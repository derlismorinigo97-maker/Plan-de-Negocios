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icio" sheetId="1" state="visible" r:id="rId3"/>
    <sheet name="Supuestos" sheetId="2" state="visible" r:id="rId4"/>
    <sheet name="Productos" sheetId="3" state="visible" r:id="rId5"/>
    <sheet name="Costos" sheetId="4" state="visible" r:id="rId6"/>
    <sheet name="Inversion" sheetId="5" state="visible" r:id="rId7"/>
    <sheet name="Reales" sheetId="6" state="visible" r:id="rId8"/>
    <sheet name="Calculo" sheetId="7" state="visible" r:id="rId9"/>
    <sheet name="Resultados" sheetId="8" state="visible" r:id="rId10"/>
    <sheet name="Control" sheetId="9" state="visible" r:id="rId11"/>
  </sheets>
  <definedNames>
    <definedName function="false" hidden="false" name="Ap_MesO" vbProcedure="false">Inversion!$C$41:$C$50</definedName>
    <definedName function="false" hidden="false" name="Ap_MesV" vbProcedure="false">Inversion!$E$41:$E$50</definedName>
    <definedName function="false" hidden="false" name="Ap_MontoO" vbProcedure="false">Inversion!$D$41:$D$50</definedName>
    <definedName function="false" hidden="false" name="Ap_MontoV" vbProcedure="false">Inversion!$F$41:$F$50</definedName>
    <definedName function="false" hidden="false" name="Cap_Amp" vbProcedure="false">Productos!$E$6:$E$17</definedName>
    <definedName function="false" hidden="false" name="Cap_Anio" vbProcedure="false">Productos!$F$6:$F$17</definedName>
    <definedName function="false" hidden="false" name="Cap_Ini" vbProcedure="false">Productos!$D$6:$D$17</definedName>
    <definedName function="false" hidden="false" name="Corte" vbProcedure="false">Supuestos!$D$119</definedName>
    <definedName function="false" hidden="false" name="c_Alertas" vbProcedure="false">Control!$C$22</definedName>
    <definedName function="false" hidden="false" name="c_CapExceso" vbProcedure="false">Productos!$N$53:$N$64</definedName>
    <definedName function="false" hidden="false" name="c_EscIdx" vbProcedure="false">Supuestos!$D$72</definedName>
    <definedName function="false" hidden="false" name="c_Modificados" vbProcedure="false">Control!$C$23</definedName>
    <definedName function="false" hidden="false" name="DiasMes" vbProcedure="false">Supuestos!$D$121</definedName>
    <definedName function="false" hidden="false" name="dMP_O" vbProcedure="false">Supuestos!$D$41:$M$41</definedName>
    <definedName function="false" hidden="false" name="dMP_V" vbProcedure="false">Supuestos!$D$53:$M$53</definedName>
    <definedName function="false" hidden="false" name="Dot_O" vbProcedure="false">Costos!$G$6:$P$35</definedName>
    <definedName function="false" hidden="false" name="Dot_V" vbProcedure="false">Costos!$G$41:$P$70</definedName>
    <definedName function="false" hidden="false" name="dOV_O" vbProcedure="false">Supuestos!$D$42:$M$42</definedName>
    <definedName function="false" hidden="false" name="dOV_V" vbProcedure="false">Supuestos!$D$54:$M$54</definedName>
    <definedName function="false" hidden="false" name="dPrecio_O" vbProcedure="false">Supuestos!$D$40:$M$40</definedName>
    <definedName function="false" hidden="false" name="dPrecio_V" vbProcedure="false">Supuestos!$D$52:$M$52</definedName>
    <definedName function="false" hidden="false" name="dSal_O" vbProcedure="false">Supuestos!$D$43:$M$43</definedName>
    <definedName function="false" hidden="false" name="dSal_V" vbProcedure="false">Supuestos!$D$55:$M$55</definedName>
    <definedName function="false" hidden="false" name="e_Atraso" vbProcedure="false">Supuestos!$G$68</definedName>
    <definedName function="false" hidden="false" name="e_dCapex" vbProcedure="false">Supuestos!$G$69</definedName>
    <definedName function="false" hidden="false" name="e_DInvEsc" vbProcedure="false">Supuestos!$G$71</definedName>
    <definedName function="false" hidden="false" name="e_dMat" vbProcedure="false">Supuestos!$G$66</definedName>
    <definedName function="false" hidden="false" name="e_dPrecio" vbProcedure="false">Supuestos!$G$65</definedName>
    <definedName function="false" hidden="false" name="e_DSOesc" vbProcedure="false">Supuestos!$G$70</definedName>
    <definedName function="false" hidden="false" name="e_dTC" vbProcedure="false">Supuestos!$G$67</definedName>
    <definedName function="false" hidden="false" name="e_dVol" vbProcedure="false">Supuestos!$G$64</definedName>
    <definedName function="false" hidden="false" name="FC_Base" vbProcedure="false">Costos!$J$75:$J$99</definedName>
    <definedName function="false" hidden="false" name="FC_Clase" vbProcedure="false">Costos!$C$75:$C$99</definedName>
    <definedName function="false" hidden="false" name="FC_Desde" vbProcedure="false">Costos!$H$75:$H$99</definedName>
    <definedName function="false" hidden="false" name="FC_g" vbProcedure="false">Costos!$G$75:$G$99</definedName>
    <definedName function="false" hidden="false" name="FC_IVA" vbProcedure="false">Costos!$I$75:$I$99</definedName>
    <definedName function="false" hidden="false" name="FC_Mon" vbProcedure="false">Costos!$D$75:$D$99</definedName>
    <definedName function="false" hidden="false" name="FC_O" vbProcedure="false">Costos!$E$75:$E$99</definedName>
    <definedName function="false" hidden="false" name="FC_V" vbProcedure="false">Costos!$F$75:$F$99</definedName>
    <definedName function="false" hidden="false" name="Fin" vbProcedure="false">Supuestos!$D$120</definedName>
    <definedName function="false" hidden="false" name="IdxMP_O" vbProcedure="false">Supuestos!$D$46:$M$46</definedName>
    <definedName function="false" hidden="false" name="IdxMP_V" vbProcedure="false">Supuestos!$D$58:$M$58</definedName>
    <definedName function="false" hidden="false" name="IdxOV_O" vbProcedure="false">Supuestos!$D$47:$M$47</definedName>
    <definedName function="false" hidden="false" name="IdxOV_V" vbProcedure="false">Supuestos!$D$59:$M$59</definedName>
    <definedName function="false" hidden="false" name="IdxPrecio_O" vbProcedure="false">Supuestos!$D$45:$M$45</definedName>
    <definedName function="false" hidden="false" name="IdxPrecio_V" vbProcedure="false">Supuestos!$D$57:$M$57</definedName>
    <definedName function="false" hidden="false" name="IdxSal_O" vbProcedure="false">Supuestos!$D$48:$M$48</definedName>
    <definedName function="false" hidden="false" name="IdxSal_V" vbProcedure="false">Supuestos!$D$60:$M$60</definedName>
    <definedName function="false" hidden="false" name="INS_O" vbProcedure="false">Productos!$K$6:$K$17</definedName>
    <definedName function="false" hidden="false" name="INS_V" vbProcedure="false">Productos!$L$6:$L$17</definedName>
    <definedName function="false" hidden="false" name="Inv_BaseV" vbProcedure="false">Inversion!$U$6:$U$25</definedName>
    <definedName function="false" hidden="false" name="Inv_CF" vbProcedure="false">Inversion!$N$6:$N$25</definedName>
    <definedName function="false" hidden="false" name="Inv_D" vbProcedure="false">Inversion!$D$6:$D$25</definedName>
    <definedName function="false" hidden="false" name="Inv_E" vbProcedure="false">Inversion!$E$6:$E$25</definedName>
    <definedName function="false" hidden="false" name="Inv_F" vbProcedure="false">Inversion!$F$6:$F$25</definedName>
    <definedName function="false" hidden="false" name="Inv_H" vbProcedure="false">Inversion!$H$6:$H$25</definedName>
    <definedName function="false" hidden="false" name="Inv_M" vbProcedure="false">Inversion!$M$6:$M$25</definedName>
    <definedName function="false" hidden="false" name="Inv_Q" vbProcedure="false">Inversion!$Q$6:$Q$25</definedName>
    <definedName function="false" hidden="false" name="Inv_R" vbProcedure="false">Inversion!$R$6:$R$25</definedName>
    <definedName function="false" hidden="false" name="Inv_SvcP" vbProcedure="false">Inversion!$S$6:$S$25</definedName>
    <definedName function="false" hidden="false" name="Inv_SvcV" vbProcedure="false">Inversion!$T$6:$T$25</definedName>
    <definedName function="false" hidden="false" name="i_CapexP" vbProcedure="false">Inversion!$D$26</definedName>
    <definedName function="false" hidden="false" name="i_CapexV" vbProcedure="false">Inversion!$N$26</definedName>
    <definedName function="false" hidden="false" name="i_Pagado" vbProcedure="false">Inversion!$H$26</definedName>
    <definedName function="false" hidden="false" name="MP_O" vbProcedure="false">Productos!$I$6:$I$17</definedName>
    <definedName function="false" hidden="false" name="MP_V" vbProcedure="false">Productos!$J$6:$J$17</definedName>
    <definedName function="false" hidden="false" name="n_Corte" vbProcedure="false">Inicio!$C$11</definedName>
    <definedName function="false" hidden="false" name="n_Escenario" vbProcedure="false">Inicio!$C$13</definedName>
    <definedName function="false" hidden="false" name="n_Etapa" vbProcedure="false">Inicio!$C$9</definedName>
    <definedName function="false" hidden="false" name="n_Fecha1" vbProcedure="false">Inicio!$C$10</definedName>
    <definedName function="false" hidden="false" name="n_InicioReal" vbProcedure="false">Inicio!$C$12</definedName>
    <definedName function="false" hidden="false" name="n_Negocio" vbProcedure="false">Inicio!$C$6</definedName>
    <definedName function="false" hidden="false" name="n_Producto" vbProcedure="false">Inicio!$C$8</definedName>
    <definedName function="false" hidden="false" name="n_Socios" vbProcedure="false">Inicio!$C$7</definedName>
    <definedName function="false" hidden="false" name="OV_O" vbProcedure="false">Productos!$M$6:$M$17</definedName>
    <definedName function="false" hidden="false" name="OV_V" vbProcedure="false">Productos!$N$6:$N$17</definedName>
    <definedName function="false" hidden="false" name="o_Alim" vbProcedure="false">Supuestos!$D$10</definedName>
    <definedName function="false" hidden="false" name="o_Anios" vbProcedure="false">Supuestos!$D$7</definedName>
    <definedName function="false" hidden="false" name="o_CajaMin" vbProcedure="false">Supuestos!$D$26</definedName>
    <definedName function="false" hidden="false" name="o_Cargas" vbProcedure="false">Supuestos!$D$9</definedName>
    <definedName function="false" hidden="false" name="o_ComV" vbProcedure="false">Supuestos!$D$19</definedName>
    <definedName function="false" hidden="false" name="o_Desp" vbProcedure="false">Supuestos!$D$13</definedName>
    <definedName function="false" hidden="false" name="o_DInv" vbProcedure="false">Supuestos!$D$22</definedName>
    <definedName function="false" hidden="false" name="o_DPOmp" vbProcedure="false">Supuestos!$D$24</definedName>
    <definedName function="false" hidden="false" name="o_DPOot" vbProcedure="false">Supuestos!$D$25</definedName>
    <definedName function="false" hidden="false" name="o_DPT" vbProcedure="false">Supuestos!$D$23</definedName>
    <definedName function="false" hidden="false" name="o_DSO" vbProcedure="false">Supuestos!$D$21</definedName>
    <definedName function="false" hidden="false" name="o_ImpA" vbProcedure="false">Supuestos!$D$16</definedName>
    <definedName function="false" hidden="false" name="o_ImpP" vbProcedure="false">Supuestos!$D$15</definedName>
    <definedName function="false" hidden="false" name="o_Inicio" vbProcedure="false">Supuestos!$D$6</definedName>
    <definedName function="false" hidden="false" name="o_IRE" vbProcedure="false">Supuestos!$D$20</definedName>
    <definedName function="false" hidden="false" name="o_IVAint" vbProcedure="false">Supuestos!$D$29</definedName>
    <definedName function="false" hidden="false" name="o_IVAmeses" vbProcedure="false">Supuestos!$D$28</definedName>
    <definedName function="false" hidden="false" name="o_IVArec" vbProcedure="false">Supuestos!$D$27</definedName>
    <definedName function="false" hidden="false" name="o_Ke" vbProcedure="false">Supuestos!$D$31</definedName>
    <definedName function="false" hidden="false" name="o_Merma" vbProcedure="false">Supuestos!$D$8</definedName>
    <definedName function="false" hidden="false" name="o_MesDiv" vbProcedure="false">Supuestos!$D$34</definedName>
    <definedName function="false" hidden="false" name="o_Pkg" vbProcedure="false">Supuestos!$D$14</definedName>
    <definedName function="false" hidden="false" name="o_PreDir" vbProcedure="false">Supuestos!$D$11</definedName>
    <definedName function="false" hidden="false" name="o_PreInd" vbProcedure="false">Supuestos!$D$12</definedName>
    <definedName function="false" hidden="false" name="o_RealAF" vbProcedure="false">Supuestos!$D$33</definedName>
    <definedName function="false" hidden="false" name="o_RealCT" vbProcedure="false">Supuestos!$D$32</definedName>
    <definedName function="false" hidden="false" name="o_SegV" vbProcedure="false">Supuestos!$D$18</definedName>
    <definedName function="false" hidden="false" name="o_Trib" vbProcedure="false">Supuestos!$D$17</definedName>
    <definedName function="false" hidden="false" name="o_WACC" vbProcedure="false">Supuestos!$D$30</definedName>
    <definedName function="false" hidden="false" name="Payout_O" vbProcedure="false">Supuestos!$D$44:$M$44</definedName>
    <definedName function="false" hidden="false" name="Payout_V" vbProcedure="false">Supuestos!$D$56:$M$56</definedName>
    <definedName function="false" hidden="false" name="Per_Clase" vbProcedure="false">Costos!$C$6:$C$35</definedName>
    <definedName function="false" hidden="false" name="Per_Mon" vbProcedure="false">Costos!$D$6:$D$35</definedName>
    <definedName function="false" hidden="false" name="Precio_O" vbProcedure="false">Productos!$G$6:$G$17</definedName>
    <definedName function="false" hidden="false" name="Precio_V" vbProcedure="false">Productos!$H$6:$H$17</definedName>
    <definedName function="false" hidden="false" name="Prod_Nombre" vbProcedure="false">Productos!$B$6:$B$17</definedName>
    <definedName function="false" hidden="false" name="pub_EBITDA" vbProcedure="false">Supuestos!$D$77:$M$77</definedName>
    <definedName function="false" hidden="false" name="pub_TIR" vbProcedure="false">Supuestos!$D$80</definedName>
    <definedName function="false" hidden="false" name="pub_Utilidad" vbProcedure="false">Supuestos!$D$78:$M$78</definedName>
    <definedName function="false" hidden="false" name="pub_VAN" vbProcedure="false">Supuestos!$D$79</definedName>
    <definedName function="false" hidden="false" name="pub_Ventas" vbProcedure="false">Supuestos!$D$76:$M$76</definedName>
    <definedName function="false" hidden="false" name="P_Alim" vbProcedure="false">Supuestos!$D$89</definedName>
    <definedName function="false" hidden="false" name="P_Anios" vbProcedure="false">Supuestos!$D$86</definedName>
    <definedName function="false" hidden="false" name="P_CajaMin" vbProcedure="false">Supuestos!$D$105</definedName>
    <definedName function="false" hidden="false" name="P_Cargas" vbProcedure="false">Supuestos!$D$88</definedName>
    <definedName function="false" hidden="false" name="P_ComV" vbProcedure="false">Supuestos!$D$98</definedName>
    <definedName function="false" hidden="false" name="P_dCapex" vbProcedure="false">Supuestos!$D$118</definedName>
    <definedName function="false" hidden="false" name="P_Desp" vbProcedure="false">Supuestos!$D$92</definedName>
    <definedName function="false" hidden="false" name="P_DInv" vbProcedure="false">Supuestos!$D$101</definedName>
    <definedName function="false" hidden="false" name="P_dMat" vbProcedure="false">Supuestos!$D$116</definedName>
    <definedName function="false" hidden="false" name="P_DPOmp" vbProcedure="false">Supuestos!$D$103</definedName>
    <definedName function="false" hidden="false" name="P_DPOot" vbProcedure="false">Supuestos!$D$104</definedName>
    <definedName function="false" hidden="false" name="P_dPrecio" vbProcedure="false">Supuestos!$D$115</definedName>
    <definedName function="false" hidden="false" name="P_DPT" vbProcedure="false">Supuestos!$D$102</definedName>
    <definedName function="false" hidden="false" name="P_DSO" vbProcedure="false">Supuestos!$D$100</definedName>
    <definedName function="false" hidden="false" name="P_dTC" vbProcedure="false">Supuestos!$D$117</definedName>
    <definedName function="false" hidden="false" name="P_dVol" vbProcedure="false">Supuestos!$D$114</definedName>
    <definedName function="false" hidden="false" name="P_ImpA" vbProcedure="false">Supuestos!$D$95</definedName>
    <definedName function="false" hidden="false" name="P_ImpP" vbProcedure="false">Supuestos!$D$94</definedName>
    <definedName function="false" hidden="false" name="P_Inicio" vbProcedure="false">Supuestos!$D$85</definedName>
    <definedName function="false" hidden="false" name="P_IRE" vbProcedure="false">Supuestos!$D$99</definedName>
    <definedName function="false" hidden="false" name="P_IVAint" vbProcedure="false">Supuestos!$D$108</definedName>
    <definedName function="false" hidden="false" name="P_IVAmeses" vbProcedure="false">Supuestos!$D$107</definedName>
    <definedName function="false" hidden="false" name="P_IVArec" vbProcedure="false">Supuestos!$D$106</definedName>
    <definedName function="false" hidden="false" name="P_Ke" vbProcedure="false">Supuestos!$D$110</definedName>
    <definedName function="false" hidden="false" name="P_L1_Cuotas" vbProcedure="false">Inversion!$D$36</definedName>
    <definedName function="false" hidden="false" name="P_L1_Gracia" vbProcedure="false">Inversion!$D$35</definedName>
    <definedName function="false" hidden="false" name="P_L1_Mes" vbProcedure="false">Inversion!$D$33</definedName>
    <definedName function="false" hidden="false" name="P_L1_Monto" vbProcedure="false">Inversion!$D$32</definedName>
    <definedName function="false" hidden="false" name="P_L1_Tasa" vbProcedure="false">Inversion!$D$34</definedName>
    <definedName function="false" hidden="false" name="P_L2_Cuotas" vbProcedure="false">Inversion!$F$36</definedName>
    <definedName function="false" hidden="false" name="P_L2_Gracia" vbProcedure="false">Inversion!$F$35</definedName>
    <definedName function="false" hidden="false" name="P_L2_Mes" vbProcedure="false">Inversion!$F$33</definedName>
    <definedName function="false" hidden="false" name="P_L2_Monto" vbProcedure="false">Inversion!$F$32</definedName>
    <definedName function="false" hidden="false" name="P_L2_Tasa" vbProcedure="false">Inversion!$F$34</definedName>
    <definedName function="false" hidden="false" name="P_L3_Cuotas" vbProcedure="false">Inversion!$H$36</definedName>
    <definedName function="false" hidden="false" name="P_L3_Gracia" vbProcedure="false">Inversion!$H$35</definedName>
    <definedName function="false" hidden="false" name="P_L3_Mes" vbProcedure="false">Inversion!$H$33</definedName>
    <definedName function="false" hidden="false" name="P_L3_Monto" vbProcedure="false">Inversion!$H$32</definedName>
    <definedName function="false" hidden="false" name="P_L3_Tasa" vbProcedure="false">Inversion!$H$34</definedName>
    <definedName function="false" hidden="false" name="P_Merma" vbProcedure="false">Supuestos!$D$87</definedName>
    <definedName function="false" hidden="false" name="P_MesDiv" vbProcedure="false">Supuestos!$D$113</definedName>
    <definedName function="false" hidden="false" name="P_Pkg" vbProcedure="false">Supuestos!$D$93</definedName>
    <definedName function="false" hidden="false" name="P_PreDir" vbProcedure="false">Supuestos!$D$90</definedName>
    <definedName function="false" hidden="false" name="P_PreInd" vbProcedure="false">Supuestos!$D$91</definedName>
    <definedName function="false" hidden="false" name="P_RealAF" vbProcedure="false">Supuestos!$D$112</definedName>
    <definedName function="false" hidden="false" name="P_RealCT" vbProcedure="false">Supuestos!$D$111</definedName>
    <definedName function="false" hidden="false" name="P_SegV" vbProcedure="false">Supuestos!$D$97</definedName>
    <definedName function="false" hidden="false" name="P_Trib" vbProcedure="false">Supuestos!$D$96</definedName>
    <definedName function="false" hidden="false" name="P_WACC" vbProcedure="false">Supuestos!$D$109</definedName>
    <definedName function="false" hidden="false" name="r_BrechaV" vbProcedure="false">Resultados!$D$18</definedName>
    <definedName function="false" hidden="false" name="r_ChkP" vbProcedure="false">Resultados!$C$26</definedName>
    <definedName function="false" hidden="false" name="r_ChkV" vbProcedure="false">Resultados!$D$26</definedName>
    <definedName function="false" hidden="false" name="r_DeudaFinP" vbProcedure="false">Control!$C$24</definedName>
    <definedName function="false" hidden="false" name="Sal_O" vbProcedure="false">Costos!$E$6:$E$35</definedName>
    <definedName function="false" hidden="false" name="Sal_V" vbProcedure="false">Costos!$F$6:$F$35</definedName>
    <definedName function="false" hidden="false" name="TC_O" vbProcedure="false">Supuestos!$D$39:$M$39</definedName>
    <definedName function="false" hidden="false" name="TC_V" vbProcedure="false">Supuestos!$D$51:$M$51</definedName>
    <definedName function="false" hidden="false" name="vg_Alim" vbProcedure="false">Supuestos!$E$10</definedName>
    <definedName function="false" hidden="false" name="vg_Anios" vbProcedure="false">Supuestos!$E$7</definedName>
    <definedName function="false" hidden="false" name="vg_CajaMin" vbProcedure="false">Supuestos!$E$26</definedName>
    <definedName function="false" hidden="false" name="vg_Cargas" vbProcedure="false">Supuestos!$E$9</definedName>
    <definedName function="false" hidden="false" name="vg_ComV" vbProcedure="false">Supuestos!$E$19</definedName>
    <definedName function="false" hidden="false" name="vg_Desp" vbProcedure="false">Supuestos!$E$13</definedName>
    <definedName function="false" hidden="false" name="vg_DInv" vbProcedure="false">Supuestos!$E$22</definedName>
    <definedName function="false" hidden="false" name="vg_DPOmp" vbProcedure="false">Supuestos!$E$24</definedName>
    <definedName function="false" hidden="false" name="vg_DPOot" vbProcedure="false">Supuestos!$E$25</definedName>
    <definedName function="false" hidden="false" name="vg_DPT" vbProcedure="false">Supuestos!$E$23</definedName>
    <definedName function="false" hidden="false" name="vg_DSO" vbProcedure="false">Supuestos!$E$21</definedName>
    <definedName function="false" hidden="false" name="vg_ImpA" vbProcedure="false">Supuestos!$E$16</definedName>
    <definedName function="false" hidden="false" name="vg_ImpP" vbProcedure="false">Supuestos!$E$15</definedName>
    <definedName function="false" hidden="false" name="vg_Inicio" vbProcedure="false">Supuestos!$E$6</definedName>
    <definedName function="false" hidden="false" name="vg_IRE" vbProcedure="false">Supuestos!$E$20</definedName>
    <definedName function="false" hidden="false" name="vg_IVAint" vbProcedure="false">Supuestos!$E$29</definedName>
    <definedName function="false" hidden="false" name="vg_IVAmeses" vbProcedure="false">Supuestos!$E$28</definedName>
    <definedName function="false" hidden="false" name="vg_IVArec" vbProcedure="false">Supuestos!$E$27</definedName>
    <definedName function="false" hidden="false" name="vg_Ke" vbProcedure="false">Supuestos!$E$31</definedName>
    <definedName function="false" hidden="false" name="vg_Merma" vbProcedure="false">Supuestos!$E$8</definedName>
    <definedName function="false" hidden="false" name="vg_MesDiv" vbProcedure="false">Supuestos!$E$34</definedName>
    <definedName function="false" hidden="false" name="vg_Pkg" vbProcedure="false">Supuestos!$E$14</definedName>
    <definedName function="false" hidden="false" name="vg_PreDir" vbProcedure="false">Supuestos!$E$11</definedName>
    <definedName function="false" hidden="false" name="vg_PreInd" vbProcedure="false">Supuestos!$E$12</definedName>
    <definedName function="false" hidden="false" name="vg_RealAF" vbProcedure="false">Supuestos!$E$33</definedName>
    <definedName function="false" hidden="false" name="vg_RealCT" vbProcedure="false">Supuestos!$E$32</definedName>
    <definedName function="false" hidden="false" name="vg_SegV" vbProcedure="false">Supuestos!$E$18</definedName>
    <definedName function="false" hidden="false" name="vg_Trib" vbProcedure="false">Supuestos!$E$17</definedName>
    <definedName function="false" hidden="false" name="vg_WACC" vbProcedure="false">Supuestos!$E$30</definedName>
    <definedName function="false" hidden="false" name="VolTot_O" vbProcedure="false">Productos!$N$21:$N$32</definedName>
    <definedName function="false" hidden="false" name="VolTot_V" vbProcedure="false">Productos!$N$37:$N$48</definedName>
    <definedName function="false" hidden="false" name="Vol_O" vbProcedure="false">Productos!$D$21:$M$32</definedName>
    <definedName function="false" hidden="false" name="Vol_V" vbProcedure="false">Productos!$D$37:$M$48</definedName>
    <definedName function="false" hidden="false" name="V_Alim" vbProcedure="false">Supuestos!$E$89</definedName>
    <definedName function="false" hidden="false" name="V_Anios" vbProcedure="false">Supuestos!$E$86</definedName>
    <definedName function="false" hidden="false" name="V_CajaMin" vbProcedure="false">Supuestos!$E$105</definedName>
    <definedName function="false" hidden="false" name="V_Cargas" vbProcedure="false">Supuestos!$E$88</definedName>
    <definedName function="false" hidden="false" name="V_ComV" vbProcedure="false">Supuestos!$E$98</definedName>
    <definedName function="false" hidden="false" name="V_dCapex" vbProcedure="false">Supuestos!$E$118</definedName>
    <definedName function="false" hidden="false" name="V_Desp" vbProcedure="false">Supuestos!$E$92</definedName>
    <definedName function="false" hidden="false" name="V_DInv" vbProcedure="false">Supuestos!$E$101</definedName>
    <definedName function="false" hidden="false" name="V_dMat" vbProcedure="false">Supuestos!$E$116</definedName>
    <definedName function="false" hidden="false" name="V_DPOmp" vbProcedure="false">Supuestos!$E$103</definedName>
    <definedName function="false" hidden="false" name="V_DPOot" vbProcedure="false">Supuestos!$E$104</definedName>
    <definedName function="false" hidden="false" name="V_dPrecio" vbProcedure="false">Supuestos!$E$115</definedName>
    <definedName function="false" hidden="false" name="V_DPT" vbProcedure="false">Supuestos!$E$102</definedName>
    <definedName function="false" hidden="false" name="V_DSO" vbProcedure="false">Supuestos!$E$100</definedName>
    <definedName function="false" hidden="false" name="V_dTC" vbProcedure="false">Supuestos!$E$117</definedName>
    <definedName function="false" hidden="false" name="V_dVol" vbProcedure="false">Supuestos!$E$114</definedName>
    <definedName function="false" hidden="false" name="V_ImpA" vbProcedure="false">Supuestos!$E$95</definedName>
    <definedName function="false" hidden="false" name="V_ImpP" vbProcedure="false">Supuestos!$E$94</definedName>
    <definedName function="false" hidden="false" name="V_Inicio" vbProcedure="false">Supuestos!$E$85</definedName>
    <definedName function="false" hidden="false" name="V_IRE" vbProcedure="false">Supuestos!$E$99</definedName>
    <definedName function="false" hidden="false" name="V_IVAint" vbProcedure="false">Supuestos!$E$108</definedName>
    <definedName function="false" hidden="false" name="V_IVAmeses" vbProcedure="false">Supuestos!$E$107</definedName>
    <definedName function="false" hidden="false" name="V_IVArec" vbProcedure="false">Supuestos!$E$106</definedName>
    <definedName function="false" hidden="false" name="V_Ke" vbProcedure="false">Supuestos!$E$110</definedName>
    <definedName function="false" hidden="false" name="V_L1_Cuotas" vbProcedure="false">Inversion!$E$36</definedName>
    <definedName function="false" hidden="false" name="V_L1_Gracia" vbProcedure="false">Inversion!$E$35</definedName>
    <definedName function="false" hidden="false" name="V_L1_Mes" vbProcedure="false">Inversion!$E$33</definedName>
    <definedName function="false" hidden="false" name="V_L1_Monto" vbProcedure="false">Inversion!$E$32</definedName>
    <definedName function="false" hidden="false" name="V_L1_Tasa" vbProcedure="false">Inversion!$E$34</definedName>
    <definedName function="false" hidden="false" name="V_L2_Cuotas" vbProcedure="false">Inversion!$G$36</definedName>
    <definedName function="false" hidden="false" name="V_L2_Gracia" vbProcedure="false">Inversion!$G$35</definedName>
    <definedName function="false" hidden="false" name="V_L2_Mes" vbProcedure="false">Inversion!$G$33</definedName>
    <definedName function="false" hidden="false" name="V_L2_Monto" vbProcedure="false">Inversion!$G$32</definedName>
    <definedName function="false" hidden="false" name="V_L2_Tasa" vbProcedure="false">Inversion!$G$34</definedName>
    <definedName function="false" hidden="false" name="V_L3_Cuotas" vbProcedure="false">Inversion!$I$36</definedName>
    <definedName function="false" hidden="false" name="V_L3_Gracia" vbProcedure="false">Inversion!$I$35</definedName>
    <definedName function="false" hidden="false" name="V_L3_Mes" vbProcedure="false">Inversion!$I$33</definedName>
    <definedName function="false" hidden="false" name="V_L3_Monto" vbProcedure="false">Inversion!$I$32</definedName>
    <definedName function="false" hidden="false" name="V_L3_Tasa" vbProcedure="false">Inversion!$I$34</definedName>
    <definedName function="false" hidden="false" name="V_Merma" vbProcedure="false">Supuestos!$E$87</definedName>
    <definedName function="false" hidden="false" name="V_MesDiv" vbProcedure="false">Supuestos!$E$113</definedName>
    <definedName function="false" hidden="false" name="V_Pkg" vbProcedure="false">Supuestos!$E$93</definedName>
    <definedName function="false" hidden="false" name="V_PreDir" vbProcedure="false">Supuestos!$E$90</definedName>
    <definedName function="false" hidden="false" name="V_PreInd" vbProcedure="false">Supuestos!$E$91</definedName>
    <definedName function="false" hidden="false" name="V_RealAF" vbProcedure="false">Supuestos!$E$112</definedName>
    <definedName function="false" hidden="false" name="V_RealCT" vbProcedure="false">Supuestos!$E$111</definedName>
    <definedName function="false" hidden="false" name="V_SegV" vbProcedure="false">Supuestos!$E$97</definedName>
    <definedName function="false" hidden="false" name="V_Trib" vbProcedure="false">Supuestos!$E$96</definedName>
    <definedName function="false" hidden="false" name="V_WACC" vbProcedure="false">Supuestos!$E$109</definedName>
  </definedNames>
  <calcPr fullCalcOnLoad="1"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<sst xmlns="http://schemas.openxmlformats.org/spreadsheetml/2006/main" count="1567" uniqueCount="908">
  <si>
    <t xml:space="preserve">Plantilla común v2: un archivo por negocio, misma estructura. Presupuesto original, ejecución real y proyección vigente separados.</t>
  </si>
  <si>
    <t xml:space="preserve">1. Configuración del negocio (completar)</t>
  </si>
  <si>
    <t xml:space="preserve">Dato</t>
  </si>
  <si>
    <t xml:space="preserve">Valor</t>
  </si>
  <si>
    <t xml:space="preserve">Instrucción</t>
  </si>
  <si>
    <t xml:space="preserve">Nombre del negocio</t>
  </si>
  <si>
    <t xml:space="preserve">Texto libre.</t>
  </si>
  <si>
    <t xml:space="preserve">Socios / empresas</t>
  </si>
  <si>
    <t xml:space="preserve">Actividad / productos</t>
  </si>
  <si>
    <t xml:space="preserve">Etapa del negocio</t>
  </si>
  <si>
    <t xml:space="preserve">Implantación (aún sin operar) u Operación.</t>
  </si>
  <si>
    <t xml:space="preserve">Fecha del mes 1 del modelo</t>
  </si>
  <si>
    <t xml:space="preserve">Primer mes de implantación u operación. Se recomienda que sea enero para que los años coincidan con años calendario. Vacío = meses relativos.</t>
  </si>
  <si>
    <t xml:space="preserve">Último mes cerrado con datos reales (n° de mes)</t>
  </si>
  <si>
    <t xml:space="preserve">Los meses hasta este número usan solo la hoja Reales y no cambian con los escenarios. Vacío = sin datos reales.</t>
  </si>
  <si>
    <t xml:space="preserve">Mes real de inicio de operación (n° de mes)</t>
  </si>
  <si>
    <t xml:space="preserve">Cargar cuando la operación ya comenzó. Prevalece sobre el supuesto vigente y el atraso del escenario.</t>
  </si>
  <si>
    <t xml:space="preserve">Escenario para la proyección</t>
  </si>
  <si>
    <t xml:space="preserve">Vigente</t>
  </si>
  <si>
    <t xml:space="preserve">Vigente (sin ajustes), Conservador u Optimista. Solo afecta los meses posteriores al corte.</t>
  </si>
  <si>
    <t xml:space="preserve">Moneda de presentación</t>
  </si>
  <si>
    <t xml:space="preserve">USD (costos en Gs convertidos con el TC de cada año)</t>
  </si>
  <si>
    <t xml:space="preserve">2. Estado del modelo (automático)</t>
  </si>
  <si>
    <t xml:space="preserve">Fecha del último mes cerrado</t>
  </si>
  <si>
    <t xml:space="preserve">Inicio de operación (presupuesto / vigente)</t>
  </si>
  <si>
    <t xml:space="preserve">Fin del horizonte evaluado (fijo)</t>
  </si>
  <si>
    <t xml:space="preserve">Supuestos vigentes modificados respecto del presupuesto</t>
  </si>
  <si>
    <t xml:space="preserve">Controles con alerta (hoja Control)</t>
  </si>
  <si>
    <t xml:space="preserve">Brecha de caja máxima vigente (USD)</t>
  </si>
  <si>
    <t xml:space="preserve">3. Cómo cargar y actualizar</t>
  </si>
  <si>
    <t xml:space="preserve">Alta de un negocio</t>
  </si>
  <si>
    <t xml:space="preserve">Copiar el archivo vacío, completar la sección 1 y luego las hojas en este orden: Supuestos → Productos → Costos → Inversion.</t>
  </si>
  <si>
    <t xml:space="preserve">Presupuesto original</t>
  </si>
  <si>
    <t xml:space="preserve">Cargar en las columnas «Presupuesto original» los datos del plan aprobado. No se modifican después: son la referencia de comparación.</t>
  </si>
  <si>
    <t xml:space="preserve">Proyección vigente</t>
  </si>
  <si>
    <t xml:space="preserve">Las columnas «Vigente» heredan el presupuesto (gris). Sobrescribir solo lo que cambió; la celda pasa a azul/amarillo y Control lo cuenta.</t>
  </si>
  <si>
    <t xml:space="preserve">Cierre mensual</t>
  </si>
  <si>
    <t xml:space="preserve">1) Cargar en Reales el mes cerrado (unidades, ventas, costos, CAPEX, financiamiento). 2) Cargar los saldos al cierre en el mes de corte. 3) Actualizar «Último mes cerrado» arriba. 4) Revisar Control. 5) Ajustar la proyección vigente si cambió.</t>
  </si>
  <si>
    <t xml:space="preserve">Inversión</t>
  </si>
  <si>
    <t xml:space="preserve">En Inversion registrar por ítem lo ejecutado, pagado, comprometido y por contratar. El costo final estimado se calcula solo.</t>
  </si>
  <si>
    <t xml:space="preserve">Escenarios</t>
  </si>
  <si>
    <t xml:space="preserve">Elegir el escenario arriba. Los ajustes están en Supuestos sección C y solo afectan la proyección (nunca los meses reales).</t>
  </si>
  <si>
    <t xml:space="preserve">Lectura</t>
  </si>
  <si>
    <t xml:space="preserve">Resultados compara presupuesto original vs vigente (real + proyección). Control muestra los faltantes y las inconsistencias.</t>
  </si>
  <si>
    <t xml:space="preserve">4. Convenciones</t>
  </si>
  <si>
    <t xml:space="preserve">Ejemplo 1.234</t>
  </si>
  <si>
    <t xml:space="preserve">Celda para completar (dato de entrada).</t>
  </si>
  <si>
    <t xml:space="preserve">Vigente heredado del presupuesto (fórmula). Sobrescribir si el dato cambió.</t>
  </si>
  <si>
    <t xml:space="preserve">Fórmula: no editar.</t>
  </si>
  <si>
    <t xml:space="preserve">Presupuesto original (Resultados).</t>
  </si>
  <si>
    <t xml:space="preserve">Vigente: real + proyección (Resultados).</t>
  </si>
  <si>
    <t xml:space="preserve">Porcentajes como fracción (0,05 = 5%). Montos en USD salvo que la columna Moneda indique PYG.</t>
  </si>
  <si>
    <t xml:space="preserve">5. Hojas</t>
  </si>
  <si>
    <t xml:space="preserve">Supuestos</t>
  </si>
  <si>
    <t xml:space="preserve">Parámetros generales, supuestos por año, escenarios y referencia del plan publicado.</t>
  </si>
  <si>
    <t xml:space="preserve">Productos</t>
  </si>
  <si>
    <t xml:space="preserve">Hasta 12 productos: precio, costos unitarios, capacidad y volumen anual (presupuesto y vigente).</t>
  </si>
  <si>
    <t xml:space="preserve">Costos</t>
  </si>
  <si>
    <t xml:space="preserve">Personal por puesto (dotación por año) y costos fijos (moneda, crecimiento, inicio).</t>
  </si>
  <si>
    <t xml:space="preserve">Inversion</t>
  </si>
  <si>
    <t xml:space="preserve">CAPEX por ítem (presupuesto, ejecutado, comprometido, por contratar), préstamos y aportes.</t>
  </si>
  <si>
    <t xml:space="preserve">Reales</t>
  </si>
  <si>
    <t xml:space="preserve">Carga mensual de la ejecución y saldos al cierre (formato fijo: un dato por celda).</t>
  </si>
  <si>
    <t xml:space="preserve">Calculo</t>
  </si>
  <si>
    <t xml:space="preserve">Motor mensual automático (no editar). Bloque P = presupuesto; bloque V = vigente.</t>
  </si>
  <si>
    <t xml:space="preserve">Resultados</t>
  </si>
  <si>
    <t xml:space="preserve">Indicadores, resúmenes anuales, desvíos y gráficos.</t>
  </si>
  <si>
    <t xml:space="preserve">Control</t>
  </si>
  <si>
    <t xml:space="preserve">Validaciones y datos faltantes.</t>
  </si>
  <si>
    <t xml:space="preserve">6. Datos pendientes de este negocio (editable)</t>
  </si>
  <si>
    <t xml:space="preserve">1.</t>
  </si>
  <si>
    <t xml:space="preserve">2.</t>
  </si>
  <si>
    <t xml:space="preserve">3.</t>
  </si>
  <si>
    <t xml:space="preserve">4.</t>
  </si>
  <si>
    <t xml:space="preserve">5.</t>
  </si>
  <si>
    <t xml:space="preserve">6.</t>
  </si>
  <si>
    <t xml:space="preserve">7.</t>
  </si>
  <si>
    <t xml:space="preserve">8.</t>
  </si>
  <si>
    <t xml:space="preserve">9.</t>
  </si>
  <si>
    <t xml:space="preserve">10.</t>
  </si>
  <si>
    <t xml:space="preserve">Supuestos — presupuesto original y vigente</t>
  </si>
  <si>
    <t xml:space="preserve">Presupuesto original = plan aprobado (no se modifica). Vigente = hereda el presupuesto; sobrescribir solo lo que cambió.</t>
  </si>
  <si>
    <t xml:space="preserve">A. Parámetros generales</t>
  </si>
  <si>
    <t xml:space="preserve">Cód.</t>
  </si>
  <si>
    <t xml:space="preserve">Parámetro</t>
  </si>
  <si>
    <t xml:space="preserve">Unidad</t>
  </si>
  <si>
    <t xml:space="preserve">Nota / fuente</t>
  </si>
  <si>
    <t xml:space="preserve">G01</t>
  </si>
  <si>
    <t xml:space="preserve">Mes de inicio de la operación (n° de mes del modelo)</t>
  </si>
  <si>
    <t xml:space="preserve">mes</t>
  </si>
  <si>
    <t xml:space="preserve">G02</t>
  </si>
  <si>
    <t xml:space="preserve">Años de operación evaluados</t>
  </si>
  <si>
    <t xml:space="preserve">años</t>
  </si>
  <si>
    <t xml:space="preserve">Horizonte común a ambas versiones: se define solo en el presupuesto.</t>
  </si>
  <si>
    <t xml:space="preserve">G03</t>
  </si>
  <si>
    <t xml:space="preserve">Merma entre producción y venta</t>
  </si>
  <si>
    <t xml:space="preserve">%</t>
  </si>
  <si>
    <t xml:space="preserve">G04</t>
  </si>
  <si>
    <t xml:space="preserve">Cargas sociales sobre salarios (aguinaldo, IPS, vacaciones)</t>
  </si>
  <si>
    <t xml:space="preserve">G05</t>
  </si>
  <si>
    <t xml:space="preserve">Alimentación del personal</t>
  </si>
  <si>
    <t xml:space="preserve">Gs/persona/mes</t>
  </si>
  <si>
    <t xml:space="preserve">G06</t>
  </si>
  <si>
    <t xml:space="preserve">Personal directo activo antes del inicio de operación</t>
  </si>
  <si>
    <t xml:space="preserve">% dotación año 1</t>
  </si>
  <si>
    <t xml:space="preserve">G07</t>
  </si>
  <si>
    <t xml:space="preserve">Personal indirecto y administrativo activo antes del inicio</t>
  </si>
  <si>
    <t xml:space="preserve">G08</t>
  </si>
  <si>
    <t xml:space="preserve">Despacho y gastos de importación (s/ materia prima + insumos)</t>
  </si>
  <si>
    <t xml:space="preserve">G09</t>
  </si>
  <si>
    <t xml:space="preserve">Packaging (s/ materiales, otros variables y personal directo)</t>
  </si>
  <si>
    <t xml:space="preserve">G10</t>
  </si>
  <si>
    <t xml:space="preserve">Imprevistos de producción (s/ costos de producción)</t>
  </si>
  <si>
    <t xml:space="preserve">G11</t>
  </si>
  <si>
    <t xml:space="preserve">Imprevistos de administración (s/ gastos marcados como base)</t>
  </si>
  <si>
    <t xml:space="preserve">G12</t>
  </si>
  <si>
    <t xml:space="preserve">Tributo de maquila (s/ ventas)</t>
  </si>
  <si>
    <t xml:space="preserve">G13</t>
  </si>
  <si>
    <t xml:space="preserve">Seguro de caución y otros cargos (s/ ventas)</t>
  </si>
  <si>
    <t xml:space="preserve">G14</t>
  </si>
  <si>
    <t xml:space="preserve">Comisiones y logística de venta (s/ ventas)</t>
  </si>
  <si>
    <t xml:space="preserve">G15</t>
  </si>
  <si>
    <t xml:space="preserve">Impuesto a la renta (s/ resultado)</t>
  </si>
  <si>
    <t xml:space="preserve">G16</t>
  </si>
  <si>
    <t xml:space="preserve">Días de cobro a clientes</t>
  </si>
  <si>
    <t xml:space="preserve">días</t>
  </si>
  <si>
    <t xml:space="preserve">G17</t>
  </si>
  <si>
    <t xml:space="preserve">Días de inventario de materiales</t>
  </si>
  <si>
    <t xml:space="preserve">G18</t>
  </si>
  <si>
    <t xml:space="preserve">Días de producto terminado</t>
  </si>
  <si>
    <t xml:space="preserve">G19</t>
  </si>
  <si>
    <t xml:space="preserve">Días de pago a proveedores de materiales</t>
  </si>
  <si>
    <t xml:space="preserve">G20</t>
  </si>
  <si>
    <t xml:space="preserve">Días de pago a otros proveedores</t>
  </si>
  <si>
    <t xml:space="preserve">G21</t>
  </si>
  <si>
    <t xml:space="preserve">Caja mínima operativa</t>
  </si>
  <si>
    <t xml:space="preserve">días de ventas</t>
  </si>
  <si>
    <t xml:space="preserve">G22</t>
  </si>
  <si>
    <t xml:space="preserve">IVA recuperable de los costos fijos gravados</t>
  </si>
  <si>
    <t xml:space="preserve">G23</t>
  </si>
  <si>
    <t xml:space="preserve">Meses para recuperar el IVA</t>
  </si>
  <si>
    <t xml:space="preserve">meses</t>
  </si>
  <si>
    <t xml:space="preserve">G24</t>
  </si>
  <si>
    <t xml:space="preserve">IVA sobre intereses</t>
  </si>
  <si>
    <t xml:space="preserve">G25</t>
  </si>
  <si>
    <t xml:space="preserve">Tasa de descuento del proyecto (WACC, anual)</t>
  </si>
  <si>
    <t xml:space="preserve">G26</t>
  </si>
  <si>
    <t xml:space="preserve">Costo del capital propio (Ke, anual)</t>
  </si>
  <si>
    <t xml:space="preserve">G27</t>
  </si>
  <si>
    <t xml:space="preserve">Recuperación del capital de trabajo al final del horizonte</t>
  </si>
  <si>
    <t xml:space="preserve">G28</t>
  </si>
  <si>
    <t xml:space="preserve">Valor de realización del activo fijo al final (s/ valor contable)</t>
  </si>
  <si>
    <t xml:space="preserve">G29</t>
  </si>
  <si>
    <t xml:space="preserve">Mes de pago de dividendos del año siguiente (1-12)</t>
  </si>
  <si>
    <t xml:space="preserve">B. Supuestos por año (año 1 = primer año de operación; el TC se aplica por año del modelo)</t>
  </si>
  <si>
    <t xml:space="preserve">Concepto</t>
  </si>
  <si>
    <t xml:space="preserve">Año 1</t>
  </si>
  <si>
    <t xml:space="preserve">Año 2</t>
  </si>
  <si>
    <t xml:space="preserve">Año 3</t>
  </si>
  <si>
    <t xml:space="preserve">Año 4</t>
  </si>
  <si>
    <t xml:space="preserve">Año 5</t>
  </si>
  <si>
    <t xml:space="preserve">Año 6</t>
  </si>
  <si>
    <t xml:space="preserve">Año 7</t>
  </si>
  <si>
    <t xml:space="preserve">Año 8</t>
  </si>
  <si>
    <t xml:space="preserve">Año 9</t>
  </si>
  <si>
    <t xml:space="preserve">Año 10</t>
  </si>
  <si>
    <t xml:space="preserve">Nota</t>
  </si>
  <si>
    <t xml:space="preserve">PRESUPUESTO ORIGINAL</t>
  </si>
  <si>
    <t xml:space="preserve">TC</t>
  </si>
  <si>
    <t xml:space="preserve">Tipo de cambio (Gs/USD) — por año del modelo</t>
  </si>
  <si>
    <t xml:space="preserve">Gs/USD</t>
  </si>
  <si>
    <t xml:space="preserve">dPrecio</t>
  </si>
  <si>
    <t xml:space="preserve">Variación de precios de venta (año de operación)</t>
  </si>
  <si>
    <t xml:space="preserve">dMP</t>
  </si>
  <si>
    <t xml:space="preserve">Variación del costo de materia prima</t>
  </si>
  <si>
    <t xml:space="preserve">dOV</t>
  </si>
  <si>
    <t xml:space="preserve">Variación de insumos y otros costos variables</t>
  </si>
  <si>
    <t xml:space="preserve">dSal</t>
  </si>
  <si>
    <t xml:space="preserve">Ajuste salarial</t>
  </si>
  <si>
    <t xml:space="preserve">Payout</t>
  </si>
  <si>
    <t xml:space="preserve">Dividendos (% del resultado del año)</t>
  </si>
  <si>
    <t xml:space="preserve">Índice acumulado de precios (cálculo)</t>
  </si>
  <si>
    <t xml:space="preserve">Índice acumulado de materia prima (cálculo)</t>
  </si>
  <si>
    <t xml:space="preserve">Índice acumulado de otros variables (cálculo)</t>
  </si>
  <si>
    <t xml:space="preserve">Índice acumulado de salarios (cálculo)</t>
  </si>
  <si>
    <t xml:space="preserve">VIGENTE (hereda el presupuesto)</t>
  </si>
  <si>
    <t xml:space="preserve">C. Escenarios (se aplican solo a la proyección vigente, después del último mes cerrado)</t>
  </si>
  <si>
    <t xml:space="preserve">Ajuste</t>
  </si>
  <si>
    <t xml:space="preserve">Conservador</t>
  </si>
  <si>
    <t xml:space="preserve">Optimista</t>
  </si>
  <si>
    <t xml:space="preserve">Aplicado</t>
  </si>
  <si>
    <t xml:space="preserve">E1</t>
  </si>
  <si>
    <t xml:space="preserve">Ajuste de volumen</t>
  </si>
  <si>
    <t xml:space="preserve">E2</t>
  </si>
  <si>
    <t xml:space="preserve">Ajuste de precio</t>
  </si>
  <si>
    <t xml:space="preserve">E3</t>
  </si>
  <si>
    <t xml:space="preserve">Ajuste de costo de materiales y variables</t>
  </si>
  <si>
    <t xml:space="preserve">E4</t>
  </si>
  <si>
    <t xml:space="preserve">Ajuste del tipo de cambio (+ = más Gs por USD)</t>
  </si>
  <si>
    <t xml:space="preserve">E5</t>
  </si>
  <si>
    <t xml:space="preserve">Atraso adicional del inicio de operación</t>
  </si>
  <si>
    <t xml:space="preserve">E6</t>
  </si>
  <si>
    <t xml:space="preserve">Sobrecosto sobre CAPEX pendiente</t>
  </si>
  <si>
    <t xml:space="preserve">E7</t>
  </si>
  <si>
    <t xml:space="preserve">Días de cobro (vacío = vigente)</t>
  </si>
  <si>
    <t xml:space="preserve">E8</t>
  </si>
  <si>
    <t xml:space="preserve">Días de inventario (vacío = vigente)</t>
  </si>
  <si>
    <t xml:space="preserve">Índice del escenario activo</t>
  </si>
  <si>
    <t xml:space="preserve">Conservador y Optimista son ajustes ILUSTRATIVOS editables, no premisas aprobadas.</t>
  </si>
  <si>
    <t xml:space="preserve">D. Referencia del plan publicado (opcional; solo para comparar)</t>
  </si>
  <si>
    <t xml:space="preserve">Ventas</t>
  </si>
  <si>
    <t xml:space="preserve">Ventas publicadas</t>
  </si>
  <si>
    <t xml:space="preserve">USD</t>
  </si>
  <si>
    <t xml:space="preserve">EBITDA</t>
  </si>
  <si>
    <t xml:space="preserve">EBITDA publicado</t>
  </si>
  <si>
    <t xml:space="preserve">Utilidad</t>
  </si>
  <si>
    <t xml:space="preserve">Resultado neto publicado</t>
  </si>
  <si>
    <t xml:space="preserve">VAN</t>
  </si>
  <si>
    <t xml:space="preserve">VAN publicado</t>
  </si>
  <si>
    <t xml:space="preserve">TIR</t>
  </si>
  <si>
    <t xml:space="preserve">TIR publicada</t>
  </si>
  <si>
    <t xml:space="preserve">E. Parámetros aplicados por versión (cálculo automático; no editar)</t>
  </si>
  <si>
    <t xml:space="preserve">Presupuesto (P)</t>
  </si>
  <si>
    <t xml:space="preserve">Vigente (V)</t>
  </si>
  <si>
    <t xml:space="preserve">Ajuste de materiales</t>
  </si>
  <si>
    <t xml:space="preserve">Ajuste de TC</t>
  </si>
  <si>
    <t xml:space="preserve">Sobrecosto CAPEX pendiente</t>
  </si>
  <si>
    <t xml:space="preserve">Último mes cerrado (0 = sin reales)</t>
  </si>
  <si>
    <t xml:space="preserve">Último mes del horizonte (fijo, según presupuesto)</t>
  </si>
  <si>
    <t xml:space="preserve">Días por mes</t>
  </si>
  <si>
    <t xml:space="preserve">Productos — precios, costos unitarios, capacidad y volúmenes (USD por unidad de venta)</t>
  </si>
  <si>
    <t xml:space="preserve">Hasta 12 productos. Las columnas «vigente» heredan el presupuesto; sobrescribir lo que cambió.</t>
  </si>
  <si>
    <t xml:space="preserve">A. Datos por producto</t>
  </si>
  <si>
    <t xml:space="preserve">#</t>
  </si>
  <si>
    <t xml:space="preserve">Producto</t>
  </si>
  <si>
    <t xml:space="preserve">Capacidad inicial (u/año)</t>
  </si>
  <si>
    <t xml:space="preserve">Capacidad ampliada (u/año)</t>
  </si>
  <si>
    <t xml:space="preserve">Desde año de operación</t>
  </si>
  <si>
    <t xml:space="preserve">Precio año 1 — presupuesto</t>
  </si>
  <si>
    <t xml:space="preserve">Precio año 1 — vigente</t>
  </si>
  <si>
    <t xml:space="preserve">Materia prima /u — presupuesto</t>
  </si>
  <si>
    <t xml:space="preserve">Materia prima /u — vigente</t>
  </si>
  <si>
    <t xml:space="preserve">Insumos /u — presupuesto</t>
  </si>
  <si>
    <t xml:space="preserve">Insumos /u — vigente</t>
  </si>
  <si>
    <t xml:space="preserve">Otros variables /u — presupuesto</t>
  </si>
  <si>
    <t xml:space="preserve">Otros variables /u — vigente</t>
  </si>
  <si>
    <t xml:space="preserve">B. Ventas en unidades por año de operación — PRESUPUESTO ORIGINAL</t>
  </si>
  <si>
    <t xml:space="preserve">Total</t>
  </si>
  <si>
    <t xml:space="preserve">C. Ventas en unidades por año de operación — VIGENTE (hereda; sobrescribir lo que cambió)</t>
  </si>
  <si>
    <t xml:space="preserve">D. Control de capacidad — unidades vigentes por encima de la capacidad (incluye merma)</t>
  </si>
  <si>
    <t xml:space="preserve">Años con exceso</t>
  </si>
  <si>
    <t xml:space="preserve">Capacidad 0 = no informada (no se controla).</t>
  </si>
  <si>
    <t xml:space="preserve">Costos — personal por puesto y costos fijos</t>
  </si>
  <si>
    <t xml:space="preserve">Salarios y costos fijos pueden cargarse en PYG o USD (columna Moneda). Se convierten con el TC de cada año.</t>
  </si>
  <si>
    <t xml:space="preserve">A. Personal por puesto — salario mensual y dotación por año de operación (PRESUPUESTO ORIGINAL; salario vigente al lado)</t>
  </si>
  <si>
    <t xml:space="preserve">Puesto</t>
  </si>
  <si>
    <t xml:space="preserve">Clase</t>
  </si>
  <si>
    <t xml:space="preserve">Moneda</t>
  </si>
  <si>
    <t xml:space="preserve">Salario mensual — presupuesto</t>
  </si>
  <si>
    <t xml:space="preserve">Salario mensual — vigente</t>
  </si>
  <si>
    <t xml:space="preserve">Dot. año 1</t>
  </si>
  <si>
    <t xml:space="preserve">Dot. año 2</t>
  </si>
  <si>
    <t xml:space="preserve">Dot. año 3</t>
  </si>
  <si>
    <t xml:space="preserve">Dot. año 4</t>
  </si>
  <si>
    <t xml:space="preserve">Dot. año 5</t>
  </si>
  <si>
    <t xml:space="preserve">Dot. año 6</t>
  </si>
  <si>
    <t xml:space="preserve">Dot. año 7</t>
  </si>
  <si>
    <t xml:space="preserve">Dot. año 8</t>
  </si>
  <si>
    <t xml:space="preserve">Dot. año 9</t>
  </si>
  <si>
    <t xml:space="preserve">Dot. año 10</t>
  </si>
  <si>
    <t xml:space="preserve">Totales de dotación</t>
  </si>
  <si>
    <t xml:space="preserve">Clase: Directo = mano de obra de producción; Indirecto = supervisión, calidad, mantenimiento, depósito (costo de producción); Administración = gerencia general y administración.</t>
  </si>
  <si>
    <t xml:space="preserve">B. Dotación VIGENTE por año de operación (hereda; sobrescribir lo que cambió)</t>
  </si>
  <si>
    <t xml:space="preserve">Totales de dotación vigente</t>
  </si>
  <si>
    <t xml:space="preserve">C. Costos fijos y gastos (monto mensual del año 1)</t>
  </si>
  <si>
    <t xml:space="preserve">Monto mensual — presupuesto</t>
  </si>
  <si>
    <t xml:space="preserve">Monto mensual — vigente</t>
  </si>
  <si>
    <t xml:space="preserve">Crecimiento anual</t>
  </si>
  <si>
    <t xml:space="preserve">Desde año de operación (0 = implantación)</t>
  </si>
  <si>
    <t xml:space="preserve">IVA incluido</t>
  </si>
  <si>
    <t xml:space="preserve">Base de imprevistos (1/0)</t>
  </si>
  <si>
    <t xml:space="preserve">Montos con IVA incluido cuando no es recuperable (criterio prudencial). Los imprevistos de producción se calculan sobre todos los costos de producción.</t>
  </si>
  <si>
    <t xml:space="preserve">Inversión y financiamiento — CAPEX por ítem, préstamos y aportes (USD)</t>
  </si>
  <si>
    <t xml:space="preserve">Costo final estimado = ejecutado + comprometido pendiente + por contratar. Los pendientes se pagan en el «mes de pago pendiente».</t>
  </si>
  <si>
    <t xml:space="preserve">A. Inversiones (CAPEX)</t>
  </si>
  <si>
    <t xml:space="preserve">Ítem</t>
  </si>
  <si>
    <t xml:space="preserve">Mes de pago (presup.)</t>
  </si>
  <si>
    <t xml:space="preserve">Vida útil (años)</t>
  </si>
  <si>
    <t xml:space="preserve">Ejecutado (devengado real)</t>
  </si>
  <si>
    <t xml:space="preserve">Pagado (real)</t>
  </si>
  <si>
    <t xml:space="preserve">Comprometido pendiente</t>
  </si>
  <si>
    <t xml:space="preserve">Por contratar (si difiere)</t>
  </si>
  <si>
    <t xml:space="preserve">Mes de pago pendiente (si difiere)</t>
  </si>
  <si>
    <t xml:space="preserve">Mes de puesta en servicio real</t>
  </si>
  <si>
    <t xml:space="preserve">Por contratar usado</t>
  </si>
  <si>
    <t xml:space="preserve">Costo final estimado</t>
  </si>
  <si>
    <t xml:space="preserve">Desvío vs presupuesto</t>
  </si>
  <si>
    <t xml:space="preserve">Avance financiero</t>
  </si>
  <si>
    <t xml:space="preserve">Mes de pago pendiente usado</t>
  </si>
  <si>
    <t xml:space="preserve">Pendiente devengado + comprometido</t>
  </si>
  <si>
    <t xml:space="preserve">Servicio (presup.)</t>
  </si>
  <si>
    <t xml:space="preserve">Servicio (vigente)</t>
  </si>
  <si>
    <t xml:space="preserve">Base depreciable vigente</t>
  </si>
  <si>
    <t xml:space="preserve">TOTAL</t>
  </si>
  <si>
    <t xml:space="preserve">Aportes en especie (máquinas): cargar el ítem aquí y el mismo monto como aporte en el mismo mes.</t>
  </si>
  <si>
    <t xml:space="preserve">B. Préstamos (sistema francés; desembolso al inicio del mes; tasa mensual = nominal anual / 12)</t>
  </si>
  <si>
    <t xml:space="preserve">Condición</t>
  </si>
  <si>
    <t xml:space="preserve">Préstamo 1 — presupuesto</t>
  </si>
  <si>
    <t xml:space="preserve">Préstamo 1 — vigente</t>
  </si>
  <si>
    <t xml:space="preserve">Préstamo 2 — presupuesto</t>
  </si>
  <si>
    <t xml:space="preserve">Préstamo 2 — vigente</t>
  </si>
  <si>
    <t xml:space="preserve">Préstamo 3 — presupuesto</t>
  </si>
  <si>
    <t xml:space="preserve">Préstamo 3 — vigente</t>
  </si>
  <si>
    <t xml:space="preserve">Nombre / banco</t>
  </si>
  <si>
    <t xml:space="preserve">Monto</t>
  </si>
  <si>
    <t xml:space="preserve">Mes de desembolso</t>
  </si>
  <si>
    <t xml:space="preserve">Tasa nominal anual</t>
  </si>
  <si>
    <t xml:space="preserve">Meses de gracia (solo intereses)</t>
  </si>
  <si>
    <t xml:space="preserve">Cuotas de capital e interés</t>
  </si>
  <si>
    <t xml:space="preserve">cuotas</t>
  </si>
  <si>
    <t xml:space="preserve">Crédito rotativo de corto plazo o devolución a un socio: cargarlo como préstamo con su cronograma.</t>
  </si>
  <si>
    <t xml:space="preserve">C. Aportes de socios (efectivo o especie)</t>
  </si>
  <si>
    <t xml:space="preserve">Mes — presupuesto</t>
  </si>
  <si>
    <t xml:space="preserve">Monto — presupuesto</t>
  </si>
  <si>
    <t xml:space="preserve">Mes — vigente</t>
  </si>
  <si>
    <t xml:space="preserve">Monto — vigente</t>
  </si>
  <si>
    <t xml:space="preserve">Reales — carga mensual de la ejecución (un dato por celda; solo meses cerrados)</t>
  </si>
  <si>
    <t xml:space="preserve">Montos en la moneda de la columna C (USD o PYG). Un mes cerrado sin datos se informa en Control (un faltante no equivale a cero).</t>
  </si>
  <si>
    <t xml:space="preserve">Mes n°</t>
  </si>
  <si>
    <t xml:space="preserve">Total cargado</t>
  </si>
  <si>
    <t xml:space="preserve">Fecha</t>
  </si>
  <si>
    <t xml:space="preserve">Año del modelo</t>
  </si>
  <si>
    <t xml:space="preserve">Estado</t>
  </si>
  <si>
    <t xml:space="preserve">Tipo de cambio</t>
  </si>
  <si>
    <t xml:space="preserve">Tipo de cambio real del mes (Gs/USD)</t>
  </si>
  <si>
    <t xml:space="preserve">Unidades vendidas por producto</t>
  </si>
  <si>
    <t xml:space="preserve">U1</t>
  </si>
  <si>
    <t xml:space="preserve">u</t>
  </si>
  <si>
    <t xml:space="preserve">U2</t>
  </si>
  <si>
    <t xml:space="preserve">U3</t>
  </si>
  <si>
    <t xml:space="preserve">U4</t>
  </si>
  <si>
    <t xml:space="preserve">U5</t>
  </si>
  <si>
    <t xml:space="preserve">U6</t>
  </si>
  <si>
    <t xml:space="preserve">U7</t>
  </si>
  <si>
    <t xml:space="preserve">U8</t>
  </si>
  <si>
    <t xml:space="preserve">U9</t>
  </si>
  <si>
    <t xml:space="preserve">U10</t>
  </si>
  <si>
    <t xml:space="preserve">U11</t>
  </si>
  <si>
    <t xml:space="preserve">U12</t>
  </si>
  <si>
    <t xml:space="preserve">Ventas por producto (facturación neta)</t>
  </si>
  <si>
    <t xml:space="preserve">S1</t>
  </si>
  <si>
    <t xml:space="preserve">S2</t>
  </si>
  <si>
    <t xml:space="preserve">S3</t>
  </si>
  <si>
    <t xml:space="preserve">S4</t>
  </si>
  <si>
    <t xml:space="preserve">S5</t>
  </si>
  <si>
    <t xml:space="preserve">S6</t>
  </si>
  <si>
    <t xml:space="preserve">S7</t>
  </si>
  <si>
    <t xml:space="preserve">S8</t>
  </si>
  <si>
    <t xml:space="preserve">S9</t>
  </si>
  <si>
    <t xml:space="preserve">S10</t>
  </si>
  <si>
    <t xml:space="preserve">S11</t>
  </si>
  <si>
    <t xml:space="preserve">S12</t>
  </si>
  <si>
    <t xml:space="preserve">Costos y gastos devengados (sin IVA recuperable)</t>
  </si>
  <si>
    <t xml:space="preserve">MAT</t>
  </si>
  <si>
    <t xml:space="preserve">Materia prima e insumos consumidos</t>
  </si>
  <si>
    <t xml:space="preserve">OVAR</t>
  </si>
  <si>
    <t xml:space="preserve">Otros costos variables (flete, despacho, packaging, seguros, comisiones)</t>
  </si>
  <si>
    <t xml:space="preserve">PERP</t>
  </si>
  <si>
    <t xml:space="preserve">Personal de producción (directo e indirecto, con cargas)</t>
  </si>
  <si>
    <t xml:space="preserve">PYG</t>
  </si>
  <si>
    <t xml:space="preserve">PERA</t>
  </si>
  <si>
    <t xml:space="preserve">Personal administrativo (con cargas)</t>
  </si>
  <si>
    <t xml:space="preserve">FIJP</t>
  </si>
  <si>
    <t xml:space="preserve">Costos fijos de producción (energía, mantenimiento, otros)</t>
  </si>
  <si>
    <t xml:space="preserve">ADM</t>
  </si>
  <si>
    <t xml:space="preserve">Gastos de administración (alquiler, servicios, honorarios, otros)</t>
  </si>
  <si>
    <t xml:space="preserve">TRIB</t>
  </si>
  <si>
    <t xml:space="preserve">Tributo de maquila</t>
  </si>
  <si>
    <t xml:space="preserve">Inversión y financiamiento (movimientos de caja)</t>
  </si>
  <si>
    <t xml:space="preserve">CAPEX</t>
  </si>
  <si>
    <t xml:space="preserve">CAPEX pagado</t>
  </si>
  <si>
    <t xml:space="preserve">DESEMB</t>
  </si>
  <si>
    <t xml:space="preserve">Desembolsos de préstamos recibidos</t>
  </si>
  <si>
    <t xml:space="preserve">INT</t>
  </si>
  <si>
    <t xml:space="preserve">Intereses, IVA y comisiones pagados</t>
  </si>
  <si>
    <t xml:space="preserve">AMORT</t>
  </si>
  <si>
    <t xml:space="preserve">Amortización de préstamos pagada</t>
  </si>
  <si>
    <t xml:space="preserve">APORTE</t>
  </si>
  <si>
    <t xml:space="preserve">Aportes de socios recibidos</t>
  </si>
  <si>
    <t xml:space="preserve">DIV</t>
  </si>
  <si>
    <t xml:space="preserve">Dividendos pagados</t>
  </si>
  <si>
    <t xml:space="preserve">Saldos al cierre del mes (obligatorio en el último mes cerrado)</t>
  </si>
  <si>
    <t xml:space="preserve">S_CAJA</t>
  </si>
  <si>
    <t xml:space="preserve">Caja y bancos</t>
  </si>
  <si>
    <t xml:space="preserve">S_CXC</t>
  </si>
  <si>
    <t xml:space="preserve">Cuentas por cobrar a clientes</t>
  </si>
  <si>
    <t xml:space="preserve">S_INV</t>
  </si>
  <si>
    <t xml:space="preserve">Inventarios (materiales y producto terminado)</t>
  </si>
  <si>
    <t xml:space="preserve">S_IVA</t>
  </si>
  <si>
    <t xml:space="preserve">Crédito fiscal IVA por recuperar</t>
  </si>
  <si>
    <t xml:space="preserve">S_PROV</t>
  </si>
  <si>
    <t xml:space="preserve">Proveedores y cuentas por pagar</t>
  </si>
  <si>
    <t xml:space="preserve">S_DEUDA</t>
  </si>
  <si>
    <t xml:space="preserve">Deuda financiera (control)</t>
  </si>
  <si>
    <t xml:space="preserve">Cálculo — motor mensual (no editar)</t>
  </si>
  <si>
    <t xml:space="preserve">Bloque P = presupuesto original (solo supuestos originales). Bloque V = vigente: Reales hasta el último mes cerrado + proyección con escenario. Mismas fórmulas.</t>
  </si>
  <si>
    <t xml:space="preserve">m</t>
  </si>
  <si>
    <t xml:space="preserve">fecha</t>
  </si>
  <si>
    <t xml:space="preserve">anio</t>
  </si>
  <si>
    <t xml:space="preserve">Mes del año del modelo</t>
  </si>
  <si>
    <t xml:space="preserve">real</t>
  </si>
  <si>
    <t xml:space="preserve">Mes real cerrado (1/0)</t>
  </si>
  <si>
    <t xml:space="preserve">hor</t>
  </si>
  <si>
    <t xml:space="preserve">Dentro del horizonte (1/0)</t>
  </si>
  <si>
    <t xml:space="preserve">tcr</t>
  </si>
  <si>
    <t xml:space="preserve">TC para convertir reales (real del mes o vigente)</t>
  </si>
  <si>
    <t xml:space="preserve">BLOQUE P — PRESUPUESTO ORIGINAL</t>
  </si>
  <si>
    <t xml:space="preserve">Calendario de la versión</t>
  </si>
  <si>
    <t xml:space="preserve">P.aop</t>
  </si>
  <si>
    <t xml:space="preserve">Año de operación (0 = fuera de operación)</t>
  </si>
  <si>
    <t xml:space="preserve">n°</t>
  </si>
  <si>
    <t xml:space="preserve">P.op</t>
  </si>
  <si>
    <t xml:space="preserve">Operación (1/0)</t>
  </si>
  <si>
    <t xml:space="preserve">1/0</t>
  </si>
  <si>
    <t xml:space="preserve">P.pre</t>
  </si>
  <si>
    <t xml:space="preserve">Implantación: antes del inicio de operación (1/0)</t>
  </si>
  <si>
    <t xml:space="preserve">P.ya</t>
  </si>
  <si>
    <t xml:space="preserve">Índice de año para crecimientos (mín. 1)</t>
  </si>
  <si>
    <t xml:space="preserve">P.tc</t>
  </si>
  <si>
    <t xml:space="preserve">Tipo de cambio aplicado (Gs/USD)</t>
  </si>
  <si>
    <t xml:space="preserve">P.itc</t>
  </si>
  <si>
    <t xml:space="preserve">Inverso del TC (0 si falta el TC)</t>
  </si>
  <si>
    <t xml:space="preserve">P.u1</t>
  </si>
  <si>
    <t xml:space="preserve">P.u2</t>
  </si>
  <si>
    <t xml:space="preserve">P.u3</t>
  </si>
  <si>
    <t xml:space="preserve">P.u4</t>
  </si>
  <si>
    <t xml:space="preserve">P.u5</t>
  </si>
  <si>
    <t xml:space="preserve">P.u6</t>
  </si>
  <si>
    <t xml:space="preserve">P.u7</t>
  </si>
  <si>
    <t xml:space="preserve">P.u8</t>
  </si>
  <si>
    <t xml:space="preserve">P.u9</t>
  </si>
  <si>
    <t xml:space="preserve">P.u10</t>
  </si>
  <si>
    <t xml:space="preserve">P.u11</t>
  </si>
  <si>
    <t xml:space="preserve">P.u12</t>
  </si>
  <si>
    <t xml:space="preserve">P.s1</t>
  </si>
  <si>
    <t xml:space="preserve">P.s2</t>
  </si>
  <si>
    <t xml:space="preserve">P.s3</t>
  </si>
  <si>
    <t xml:space="preserve">P.s4</t>
  </si>
  <si>
    <t xml:space="preserve">P.s5</t>
  </si>
  <si>
    <t xml:space="preserve">P.s6</t>
  </si>
  <si>
    <t xml:space="preserve">P.s7</t>
  </si>
  <si>
    <t xml:space="preserve">P.s8</t>
  </si>
  <si>
    <t xml:space="preserve">P.s9</t>
  </si>
  <si>
    <t xml:space="preserve">P.s10</t>
  </si>
  <si>
    <t xml:space="preserve">P.s11</t>
  </si>
  <si>
    <t xml:space="preserve">P.s12</t>
  </si>
  <si>
    <t xml:space="preserve">P.vtas</t>
  </si>
  <si>
    <t xml:space="preserve">VENTAS TOTALES</t>
  </si>
  <si>
    <t xml:space="preserve">Costos de la proyección (en meses reales se reemplazan por Reales)</t>
  </si>
  <si>
    <t xml:space="preserve">P.mp_f</t>
  </si>
  <si>
    <t xml:space="preserve">Materia prima</t>
  </si>
  <si>
    <t xml:space="preserve">P.ins_f</t>
  </si>
  <si>
    <t xml:space="preserve">Insumos</t>
  </si>
  <si>
    <t xml:space="preserve">P.ov_f</t>
  </si>
  <si>
    <t xml:space="preserve">Otros costos variables por unidad</t>
  </si>
  <si>
    <t xml:space="preserve">P.desp_f</t>
  </si>
  <si>
    <t xml:space="preserve">Despacho de importación</t>
  </si>
  <si>
    <t xml:space="preserve">P.dir_n</t>
  </si>
  <si>
    <t xml:space="preserve">Personas activas — Directo</t>
  </si>
  <si>
    <t xml:space="preserve">pers.</t>
  </si>
  <si>
    <t xml:space="preserve">P.dir_f</t>
  </si>
  <si>
    <t xml:space="preserve">Personal — Directo (salarios, cargas y alimentación)</t>
  </si>
  <si>
    <t xml:space="preserve">P.ind_n</t>
  </si>
  <si>
    <t xml:space="preserve">Personas activas — Indirecto</t>
  </si>
  <si>
    <t xml:space="preserve">P.ind_f</t>
  </si>
  <si>
    <t xml:space="preserve">Personal — Indirecto (salarios, cargas y alimentación)</t>
  </si>
  <si>
    <t xml:space="preserve">P.adm_n</t>
  </si>
  <si>
    <t xml:space="preserve">Personas activas — Administración</t>
  </si>
  <si>
    <t xml:space="preserve">P.adm_f</t>
  </si>
  <si>
    <t xml:space="preserve">Personal — Administración (salarios, cargas y alimentación)</t>
  </si>
  <si>
    <t xml:space="preserve">P.pkg_f</t>
  </si>
  <si>
    <t xml:space="preserve">Packaging</t>
  </si>
  <si>
    <t xml:space="preserve">P.vs_f</t>
  </si>
  <si>
    <t xml:space="preserve">Seguro de caución, comisiones y logística de venta</t>
  </si>
  <si>
    <t xml:space="preserve">P.trib_f</t>
  </si>
  <si>
    <t xml:space="preserve">P.fp_f</t>
  </si>
  <si>
    <t xml:space="preserve">Costos fijos de producción</t>
  </si>
  <si>
    <t xml:space="preserve">P.fa_f</t>
  </si>
  <si>
    <t xml:space="preserve">Costos fijos de administración</t>
  </si>
  <si>
    <t xml:space="preserve">P.fab_f</t>
  </si>
  <si>
    <t xml:space="preserve">Costos fijos de administración en base de imprevistos</t>
  </si>
  <si>
    <t xml:space="preserve">P.impp_f</t>
  </si>
  <si>
    <t xml:space="preserve">Imprevistos de producción</t>
  </si>
  <si>
    <t xml:space="preserve">P.impa_f</t>
  </si>
  <si>
    <t xml:space="preserve">Imprevistos de administración</t>
  </si>
  <si>
    <t xml:space="preserve">P.ivac_f</t>
  </si>
  <si>
    <t xml:space="preserve">IVA contenido en costos fijos</t>
  </si>
  <si>
    <t xml:space="preserve">Estado de resultados</t>
  </si>
  <si>
    <t xml:space="preserve">P.MAT</t>
  </si>
  <si>
    <t xml:space="preserve">Materia prima e insumos</t>
  </si>
  <si>
    <t xml:space="preserve">P.OVAR</t>
  </si>
  <si>
    <t xml:space="preserve">Otros costos variables</t>
  </si>
  <si>
    <t xml:space="preserve">P.PERP</t>
  </si>
  <si>
    <t xml:space="preserve">Personal de producción</t>
  </si>
  <si>
    <t xml:space="preserve">P.FIJP</t>
  </si>
  <si>
    <t xml:space="preserve">Costos fijos de producción e imprevistos</t>
  </si>
  <si>
    <t xml:space="preserve">P.MB</t>
  </si>
  <si>
    <t xml:space="preserve">MARGEN BRUTO</t>
  </si>
  <si>
    <t xml:space="preserve">P.PERA</t>
  </si>
  <si>
    <t xml:space="preserve">Personal administrativo</t>
  </si>
  <si>
    <t xml:space="preserve">P.ADM</t>
  </si>
  <si>
    <t xml:space="preserve">Gastos de administración e imprevistos</t>
  </si>
  <si>
    <t xml:space="preserve">P.TRIB</t>
  </si>
  <si>
    <t xml:space="preserve">P.IVAR</t>
  </si>
  <si>
    <t xml:space="preserve">(+) IVA recuperable (reduce costos)</t>
  </si>
  <si>
    <t xml:space="preserve">P.EBITDA</t>
  </si>
  <si>
    <t xml:space="preserve">P.DEP</t>
  </si>
  <si>
    <t xml:space="preserve">Depreciación y amortización</t>
  </si>
  <si>
    <t xml:space="preserve">P.EBIT</t>
  </si>
  <si>
    <t xml:space="preserve">EBIT</t>
  </si>
  <si>
    <t xml:space="preserve">P.INT</t>
  </si>
  <si>
    <t xml:space="preserve">Intereses, IVA y comisiones</t>
  </si>
  <si>
    <t xml:space="preserve">P.IRE</t>
  </si>
  <si>
    <t xml:space="preserve">Impuesto a la renta</t>
  </si>
  <si>
    <t xml:space="preserve">P.NI</t>
  </si>
  <si>
    <t xml:space="preserve">RESULTADO NETO</t>
  </si>
  <si>
    <t xml:space="preserve">Capital de trabajo (saldos por días; en el mes de corte se usan los saldos reales)</t>
  </si>
  <si>
    <t xml:space="preserve">P.cxc</t>
  </si>
  <si>
    <t xml:space="preserve">Cuentas por cobrar</t>
  </si>
  <si>
    <t xml:space="preserve">P.inv</t>
  </si>
  <si>
    <t xml:space="preserve">P.ivab</t>
  </si>
  <si>
    <t xml:space="preserve">Crédito fiscal IVA</t>
  </si>
  <si>
    <t xml:space="preserve">P.prov</t>
  </si>
  <si>
    <t xml:space="preserve">Proveedores</t>
  </si>
  <si>
    <t xml:space="preserve">P.ctn</t>
  </si>
  <si>
    <t xml:space="preserve">CAPITAL DE TRABAJO NETO</t>
  </si>
  <si>
    <t xml:space="preserve">P.dct</t>
  </si>
  <si>
    <t xml:space="preserve">Variación del capital de trabajo</t>
  </si>
  <si>
    <t xml:space="preserve">Flujo de caja e inversión</t>
  </si>
  <si>
    <t xml:space="preserve">P.CFO</t>
  </si>
  <si>
    <t xml:space="preserve">FLUJO OPERATIVO (EBITDA - impuesto - Δ capital de trabajo)</t>
  </si>
  <si>
    <t xml:space="preserve">P.CAPEX</t>
  </si>
  <si>
    <t xml:space="preserve">P.AF</t>
  </si>
  <si>
    <t xml:space="preserve">Activo fijo neto (CAPEX acumulado - depreciación acumulada)</t>
  </si>
  <si>
    <t xml:space="preserve">P.VT</t>
  </si>
  <si>
    <t xml:space="preserve">Valor terminal (capital de trabajo y activo fijo realizables)</t>
  </si>
  <si>
    <t xml:space="preserve">P.FCFF</t>
  </si>
  <si>
    <t xml:space="preserve">FLUJO LIBRE DEL PROYECTO (FCFF)</t>
  </si>
  <si>
    <t xml:space="preserve">P.CUML</t>
  </si>
  <si>
    <t xml:space="preserve">Flujo acumulado antes de financiamiento (CFO - CAPEX)</t>
  </si>
  <si>
    <t xml:space="preserve">Préstamos (cronograma contractual)</t>
  </si>
  <si>
    <t xml:space="preserve">P.L1_des</t>
  </si>
  <si>
    <t xml:space="preserve">Préstamo 1: desembolso</t>
  </si>
  <si>
    <t xml:space="preserve">P.L1_int</t>
  </si>
  <si>
    <t xml:space="preserve">Préstamo 1: interés</t>
  </si>
  <si>
    <t xml:space="preserve">P.L1_am</t>
  </si>
  <si>
    <t xml:space="preserve">Préstamo 1: amortización</t>
  </si>
  <si>
    <t xml:space="preserve">P.L1_sal</t>
  </si>
  <si>
    <t xml:space="preserve">Préstamo 1: saldo</t>
  </si>
  <si>
    <t xml:space="preserve">P.L2_des</t>
  </si>
  <si>
    <t xml:space="preserve">Préstamo 2: desembolso</t>
  </si>
  <si>
    <t xml:space="preserve">P.L2_int</t>
  </si>
  <si>
    <t xml:space="preserve">Préstamo 2: interés</t>
  </si>
  <si>
    <t xml:space="preserve">P.L2_am</t>
  </si>
  <si>
    <t xml:space="preserve">Préstamo 2: amortización</t>
  </si>
  <si>
    <t xml:space="preserve">P.L2_sal</t>
  </si>
  <si>
    <t xml:space="preserve">Préstamo 2: saldo</t>
  </si>
  <si>
    <t xml:space="preserve">P.L3_des</t>
  </si>
  <si>
    <t xml:space="preserve">Préstamo 3: desembolso</t>
  </si>
  <si>
    <t xml:space="preserve">P.L3_int</t>
  </si>
  <si>
    <t xml:space="preserve">Préstamo 3: interés</t>
  </si>
  <si>
    <t xml:space="preserve">P.L3_am</t>
  </si>
  <si>
    <t xml:space="preserve">Préstamo 3: amortización</t>
  </si>
  <si>
    <t xml:space="preserve">P.L3_sal</t>
  </si>
  <si>
    <t xml:space="preserve">Préstamo 3: saldo</t>
  </si>
  <si>
    <t xml:space="preserve">Financiamiento y tesorería</t>
  </si>
  <si>
    <t xml:space="preserve">P.DESEMB</t>
  </si>
  <si>
    <t xml:space="preserve">Desembolsos de préstamos</t>
  </si>
  <si>
    <t xml:space="preserve">P.AMORT</t>
  </si>
  <si>
    <t xml:space="preserve">Amortización de préstamos</t>
  </si>
  <si>
    <t xml:space="preserve">P.DEUDA</t>
  </si>
  <si>
    <t xml:space="preserve">DEUDA FINANCIERA (saldo)</t>
  </si>
  <si>
    <t xml:space="preserve">P.APORTE</t>
  </si>
  <si>
    <t xml:space="preserve">Aportes de socios</t>
  </si>
  <si>
    <t xml:space="preserve">P.CAJA0</t>
  </si>
  <si>
    <t xml:space="preserve">Caja antes de dividendos</t>
  </si>
  <si>
    <t xml:space="preserve">P.CMIN</t>
  </si>
  <si>
    <t xml:space="preserve">P.DIVD</t>
  </si>
  <si>
    <t xml:space="preserve">Dividendos según política (resultado del año anterior)</t>
  </si>
  <si>
    <t xml:space="preserve">P.DIV</t>
  </si>
  <si>
    <t xml:space="preserve">Dividendos pagados (solo con caja sobre el mínimo)</t>
  </si>
  <si>
    <t xml:space="preserve">P.CAJA</t>
  </si>
  <si>
    <t xml:space="preserve">CAJA FINAL</t>
  </si>
  <si>
    <t xml:space="preserve">P.AJ</t>
  </si>
  <si>
    <t xml:space="preserve">Ajuste de conciliación con la caja real</t>
  </si>
  <si>
    <t xml:space="preserve">P.BRECHA</t>
  </si>
  <si>
    <t xml:space="preserve">Brecha: caja por debajo de la caja mínima</t>
  </si>
  <si>
    <t xml:space="preserve">Valuación y control</t>
  </si>
  <si>
    <t xml:space="preserve">P.DFP</t>
  </si>
  <si>
    <t xml:space="preserve">Factor de descuento del proyecto</t>
  </si>
  <si>
    <t xml:space="preserve">P.DFE</t>
  </si>
  <si>
    <t xml:space="preserve">Factor de descuento de los socios</t>
  </si>
  <si>
    <t xml:space="preserve">P.EQ</t>
  </si>
  <si>
    <t xml:space="preserve">Flujo de los socios (-aportes + dividendos + valor final)</t>
  </si>
  <si>
    <t xml:space="preserve">P.CUMF</t>
  </si>
  <si>
    <t xml:space="preserve">FCFF acumulado</t>
  </si>
  <si>
    <t xml:space="preserve">P.PB</t>
  </si>
  <si>
    <t xml:space="preserve">Recupero de la inversión (mes con interpolación)</t>
  </si>
  <si>
    <t xml:space="preserve">P.PAT</t>
  </si>
  <si>
    <t xml:space="preserve">Patrimonio (aportes + resultados - dividendos + ajustes)</t>
  </si>
  <si>
    <t xml:space="preserve">P.CHK</t>
  </si>
  <si>
    <t xml:space="preserve">CONTROL: activo - pasivo - patrimonio (0 = OK)</t>
  </si>
  <si>
    <t xml:space="preserve">BLOQUE V — VIGENTE: REAL HASTA EL CORTE + PROYECCIÓN</t>
  </si>
  <si>
    <t xml:space="preserve">V.aop</t>
  </si>
  <si>
    <t xml:space="preserve">V.op</t>
  </si>
  <si>
    <t xml:space="preserve">V.pre</t>
  </si>
  <si>
    <t xml:space="preserve">V.ya</t>
  </si>
  <si>
    <t xml:space="preserve">V.tc</t>
  </si>
  <si>
    <t xml:space="preserve">V.itc</t>
  </si>
  <si>
    <t xml:space="preserve">V.u1</t>
  </si>
  <si>
    <t xml:space="preserve">V.u2</t>
  </si>
  <si>
    <t xml:space="preserve">V.u3</t>
  </si>
  <si>
    <t xml:space="preserve">V.u4</t>
  </si>
  <si>
    <t xml:space="preserve">V.u5</t>
  </si>
  <si>
    <t xml:space="preserve">V.u6</t>
  </si>
  <si>
    <t xml:space="preserve">V.u7</t>
  </si>
  <si>
    <t xml:space="preserve">V.u8</t>
  </si>
  <si>
    <t xml:space="preserve">V.u9</t>
  </si>
  <si>
    <t xml:space="preserve">V.u10</t>
  </si>
  <si>
    <t xml:space="preserve">V.u11</t>
  </si>
  <si>
    <t xml:space="preserve">V.u12</t>
  </si>
  <si>
    <t xml:space="preserve">V.s1</t>
  </si>
  <si>
    <t xml:space="preserve">V.s2</t>
  </si>
  <si>
    <t xml:space="preserve">V.s3</t>
  </si>
  <si>
    <t xml:space="preserve">V.s4</t>
  </si>
  <si>
    <t xml:space="preserve">V.s5</t>
  </si>
  <si>
    <t xml:space="preserve">V.s6</t>
  </si>
  <si>
    <t xml:space="preserve">V.s7</t>
  </si>
  <si>
    <t xml:space="preserve">V.s8</t>
  </si>
  <si>
    <t xml:space="preserve">V.s9</t>
  </si>
  <si>
    <t xml:space="preserve">V.s10</t>
  </si>
  <si>
    <t xml:space="preserve">V.s11</t>
  </si>
  <si>
    <t xml:space="preserve">V.s12</t>
  </si>
  <si>
    <t xml:space="preserve">V.vtas</t>
  </si>
  <si>
    <t xml:space="preserve">V.mp_f</t>
  </si>
  <si>
    <t xml:space="preserve">V.ins_f</t>
  </si>
  <si>
    <t xml:space="preserve">V.ov_f</t>
  </si>
  <si>
    <t xml:space="preserve">V.desp_f</t>
  </si>
  <si>
    <t xml:space="preserve">V.dir_n</t>
  </si>
  <si>
    <t xml:space="preserve">V.dir_f</t>
  </si>
  <si>
    <t xml:space="preserve">V.ind_n</t>
  </si>
  <si>
    <t xml:space="preserve">V.ind_f</t>
  </si>
  <si>
    <t xml:space="preserve">V.adm_n</t>
  </si>
  <si>
    <t xml:space="preserve">V.adm_f</t>
  </si>
  <si>
    <t xml:space="preserve">V.pkg_f</t>
  </si>
  <si>
    <t xml:space="preserve">V.vs_f</t>
  </si>
  <si>
    <t xml:space="preserve">V.trib_f</t>
  </si>
  <si>
    <t xml:space="preserve">V.fp_f</t>
  </si>
  <si>
    <t xml:space="preserve">V.fa_f</t>
  </si>
  <si>
    <t xml:space="preserve">V.fab_f</t>
  </si>
  <si>
    <t xml:space="preserve">V.impp_f</t>
  </si>
  <si>
    <t xml:space="preserve">V.impa_f</t>
  </si>
  <si>
    <t xml:space="preserve">V.ivac_f</t>
  </si>
  <si>
    <t xml:space="preserve">V.MAT</t>
  </si>
  <si>
    <t xml:space="preserve">V.OVAR</t>
  </si>
  <si>
    <t xml:space="preserve">V.PERP</t>
  </si>
  <si>
    <t xml:space="preserve">V.FIJP</t>
  </si>
  <si>
    <t xml:space="preserve">V.MB</t>
  </si>
  <si>
    <t xml:space="preserve">V.PERA</t>
  </si>
  <si>
    <t xml:space="preserve">V.ADM</t>
  </si>
  <si>
    <t xml:space="preserve">V.TRIB</t>
  </si>
  <si>
    <t xml:space="preserve">V.IVAR</t>
  </si>
  <si>
    <t xml:space="preserve">V.EBITDA</t>
  </si>
  <si>
    <t xml:space="preserve">V.DEP</t>
  </si>
  <si>
    <t xml:space="preserve">V.EBIT</t>
  </si>
  <si>
    <t xml:space="preserve">V.INT</t>
  </si>
  <si>
    <t xml:space="preserve">V.IRE</t>
  </si>
  <si>
    <t xml:space="preserve">V.NI</t>
  </si>
  <si>
    <t xml:space="preserve">V.cxc</t>
  </si>
  <si>
    <t xml:space="preserve">V.inv</t>
  </si>
  <si>
    <t xml:space="preserve">V.ivab</t>
  </si>
  <si>
    <t xml:space="preserve">V.prov</t>
  </si>
  <si>
    <t xml:space="preserve">V.ctn</t>
  </si>
  <si>
    <t xml:space="preserve">V.dct</t>
  </si>
  <si>
    <t xml:space="preserve">V.CFO</t>
  </si>
  <si>
    <t xml:space="preserve">V.CAPEX</t>
  </si>
  <si>
    <t xml:space="preserve">V.AF</t>
  </si>
  <si>
    <t xml:space="preserve">V.VT</t>
  </si>
  <si>
    <t xml:space="preserve">V.FCFF</t>
  </si>
  <si>
    <t xml:space="preserve">V.CUML</t>
  </si>
  <si>
    <t xml:space="preserve">V.L1_des</t>
  </si>
  <si>
    <t xml:space="preserve">V.L1_int</t>
  </si>
  <si>
    <t xml:space="preserve">V.L1_am</t>
  </si>
  <si>
    <t xml:space="preserve">V.L1_sal</t>
  </si>
  <si>
    <t xml:space="preserve">V.L2_des</t>
  </si>
  <si>
    <t xml:space="preserve">V.L2_int</t>
  </si>
  <si>
    <t xml:space="preserve">V.L2_am</t>
  </si>
  <si>
    <t xml:space="preserve">V.L2_sal</t>
  </si>
  <si>
    <t xml:space="preserve">V.L3_des</t>
  </si>
  <si>
    <t xml:space="preserve">V.L3_int</t>
  </si>
  <si>
    <t xml:space="preserve">V.L3_am</t>
  </si>
  <si>
    <t xml:space="preserve">V.L3_sal</t>
  </si>
  <si>
    <t xml:space="preserve">V.DESEMB</t>
  </si>
  <si>
    <t xml:space="preserve">V.AMORT</t>
  </si>
  <si>
    <t xml:space="preserve">V.DEUDA</t>
  </si>
  <si>
    <t xml:space="preserve">V.APORTE</t>
  </si>
  <si>
    <t xml:space="preserve">V.CAJA0</t>
  </si>
  <si>
    <t xml:space="preserve">V.CMIN</t>
  </si>
  <si>
    <t xml:space="preserve">V.DIVD</t>
  </si>
  <si>
    <t xml:space="preserve">V.DIV</t>
  </si>
  <si>
    <t xml:space="preserve">V.CAJA</t>
  </si>
  <si>
    <t xml:space="preserve">V.AJ</t>
  </si>
  <si>
    <t xml:space="preserve">V.BRECHA</t>
  </si>
  <si>
    <t xml:space="preserve">V.DFP</t>
  </si>
  <si>
    <t xml:space="preserve">V.DFE</t>
  </si>
  <si>
    <t xml:space="preserve">V.EQ</t>
  </si>
  <si>
    <t xml:space="preserve">V.CUMF</t>
  </si>
  <si>
    <t xml:space="preserve">V.PB</t>
  </si>
  <si>
    <t xml:space="preserve">V.PAT</t>
  </si>
  <si>
    <t xml:space="preserve">V.CHK</t>
  </si>
  <si>
    <t xml:space="preserve">Resultados — presupuesto original vs vigente (real + proyección)</t>
  </si>
  <si>
    <t xml:space="preserve">A. Indicadores clave</t>
  </si>
  <si>
    <t xml:space="preserve">Indicador</t>
  </si>
  <si>
    <t xml:space="preserve">Vigente (real + proyección)</t>
  </si>
  <si>
    <t xml:space="preserve">Desvío</t>
  </si>
  <si>
    <t xml:space="preserve">Ventas del año 1 del modelo</t>
  </si>
  <si>
    <t xml:space="preserve">Ventas totales del horizonte</t>
  </si>
  <si>
    <t xml:space="preserve">EBITDA del año 1 del modelo</t>
  </si>
  <si>
    <t xml:space="preserve">EBITDA total del horizonte</t>
  </si>
  <si>
    <t xml:space="preserve">Margen EBITDA del horizonte</t>
  </si>
  <si>
    <t xml:space="preserve">Resultado neto total</t>
  </si>
  <si>
    <t xml:space="preserve">Inversión total (CAPEX)</t>
  </si>
  <si>
    <t xml:space="preserve">Vigente: real pagado + pendiente con escenario.</t>
  </si>
  <si>
    <t xml:space="preserve">Necesidad máxima de fondos antes de financiamiento</t>
  </si>
  <si>
    <t xml:space="preserve">Inversión + capital de trabajo + pérdidas iniciales que deben financiar socios y bancos.</t>
  </si>
  <si>
    <t xml:space="preserve">Mes de la necesidad máxima</t>
  </si>
  <si>
    <t xml:space="preserve">Deuda financiera máxima</t>
  </si>
  <si>
    <t xml:space="preserve">Caja final mínima del horizonte</t>
  </si>
  <si>
    <t xml:space="preserve">Negativa = financiamiento no previsto.</t>
  </si>
  <si>
    <t xml:space="preserve">Brecha máxima bajo la caja mínima</t>
  </si>
  <si>
    <t xml:space="preserve">No se insertan fondos ficticios: la brecha queda visible.</t>
  </si>
  <si>
    <t xml:space="preserve">Meses con brecha</t>
  </si>
  <si>
    <t xml:space="preserve">DSCR mínimo (flujo operativo / servicio de deuda, anual)</t>
  </si>
  <si>
    <t xml:space="preserve">Años con servicio de deuda &gt; USD 1. El año 1 incluye la inversión en capital de trabajo.</t>
  </si>
  <si>
    <t xml:space="preserve">VAN del proyecto (FCFF a WACC)</t>
  </si>
  <si>
    <t xml:space="preserve">Excluye préstamos, intereses, aportes y dividendos.</t>
  </si>
  <si>
    <t xml:space="preserve">TIR del proyecto (anual)</t>
  </si>
  <si>
    <t xml:space="preserve">VAN de los socios (a Ke)</t>
  </si>
  <si>
    <t xml:space="preserve">Aportes, dividendos pagados y valor final.</t>
  </si>
  <si>
    <t xml:space="preserve">TIR de los socios (anual)</t>
  </si>
  <si>
    <t xml:space="preserve">Recupero de la inversión del proyecto (años)</t>
  </si>
  <si>
    <t xml:space="preserve">Balance de control (0 = OK)</t>
  </si>
  <si>
    <t xml:space="preserve">Plan publicado (referencia): VAN / TIR</t>
  </si>
  <si>
    <t xml:space="preserve">Cifras del documento original, calculadas con su propia metodología.</t>
  </si>
  <si>
    <t xml:space="preserve">B. Vigente (real hasta el corte + proyección) — resumen anual</t>
  </si>
  <si>
    <t xml:space="preserve">Concepto (USD)</t>
  </si>
  <si>
    <t xml:space="preserve">Año 11</t>
  </si>
  <si>
    <t xml:space="preserve">Año 12</t>
  </si>
  <si>
    <t xml:space="preserve">Estado del año</t>
  </si>
  <si>
    <t xml:space="preserve">Año calendario</t>
  </si>
  <si>
    <t xml:space="preserve">V_vtas</t>
  </si>
  <si>
    <t xml:space="preserve">V_MAT</t>
  </si>
  <si>
    <t xml:space="preserve">V_OVAR</t>
  </si>
  <si>
    <t xml:space="preserve">V_PERP</t>
  </si>
  <si>
    <t xml:space="preserve">V_FIJP</t>
  </si>
  <si>
    <t xml:space="preserve">V_MB</t>
  </si>
  <si>
    <t xml:space="preserve">Margen bruto</t>
  </si>
  <si>
    <t xml:space="preserve">V_PERA</t>
  </si>
  <si>
    <t xml:space="preserve">V_ADM</t>
  </si>
  <si>
    <t xml:space="preserve">Gastos de administración</t>
  </si>
  <si>
    <t xml:space="preserve">V_TRIB</t>
  </si>
  <si>
    <t xml:space="preserve">V_IVAR</t>
  </si>
  <si>
    <t xml:space="preserve">(+) IVA recuperable</t>
  </si>
  <si>
    <t xml:space="preserve">V_EBITDA</t>
  </si>
  <si>
    <t xml:space="preserve">V_DEP</t>
  </si>
  <si>
    <t xml:space="preserve">Depreciación</t>
  </si>
  <si>
    <t xml:space="preserve">V_INT</t>
  </si>
  <si>
    <t xml:space="preserve">V_IRE</t>
  </si>
  <si>
    <t xml:space="preserve">V_NI</t>
  </si>
  <si>
    <t xml:space="preserve">Resultado neto</t>
  </si>
  <si>
    <t xml:space="preserve">V_CFO</t>
  </si>
  <si>
    <t xml:space="preserve">Flujo operativo</t>
  </si>
  <si>
    <t xml:space="preserve">V_CAPEX</t>
  </si>
  <si>
    <t xml:space="preserve">V_FCFF</t>
  </si>
  <si>
    <t xml:space="preserve">FCFF (incluye valor terminal)</t>
  </si>
  <si>
    <t xml:space="preserve">V_APORTE</t>
  </si>
  <si>
    <t xml:space="preserve">V_DESEMB</t>
  </si>
  <si>
    <t xml:space="preserve">V_AMORT</t>
  </si>
  <si>
    <t xml:space="preserve">Amortizaciones</t>
  </si>
  <si>
    <t xml:space="preserve">V_DIV</t>
  </si>
  <si>
    <t xml:space="preserve">V_CAJA</t>
  </si>
  <si>
    <t xml:space="preserve">Caja al cierre</t>
  </si>
  <si>
    <t xml:space="preserve">V_DEUDA</t>
  </si>
  <si>
    <t xml:space="preserve">Deuda al cierre</t>
  </si>
  <si>
    <t xml:space="preserve">V_CTN</t>
  </si>
  <si>
    <t xml:space="preserve">Capital de trabajo neto al cierre</t>
  </si>
  <si>
    <t xml:space="preserve">V_BRECHA</t>
  </si>
  <si>
    <t xml:space="preserve">Brecha máxima del año</t>
  </si>
  <si>
    <t xml:space="preserve">V_mg</t>
  </si>
  <si>
    <t xml:space="preserve">Margen EBITDA</t>
  </si>
  <si>
    <t xml:space="preserve">V_DS</t>
  </si>
  <si>
    <t xml:space="preserve">Servicio de deuda (intereses + amortización)</t>
  </si>
  <si>
    <t xml:space="preserve">V_DSCR</t>
  </si>
  <si>
    <t xml:space="preserve">DSCR (flujo operativo / servicio de deuda)</t>
  </si>
  <si>
    <t xml:space="preserve">V_u1</t>
  </si>
  <si>
    <t xml:space="preserve">V_u2</t>
  </si>
  <si>
    <t xml:space="preserve">V_u3</t>
  </si>
  <si>
    <t xml:space="preserve">V_u4</t>
  </si>
  <si>
    <t xml:space="preserve">V_u5</t>
  </si>
  <si>
    <t xml:space="preserve">V_u6</t>
  </si>
  <si>
    <t xml:space="preserve">V_u7</t>
  </si>
  <si>
    <t xml:space="preserve">V_u8</t>
  </si>
  <si>
    <t xml:space="preserve">V_u9</t>
  </si>
  <si>
    <t xml:space="preserve">V_u10</t>
  </si>
  <si>
    <t xml:space="preserve">V_u11</t>
  </si>
  <si>
    <t xml:space="preserve">V_u12</t>
  </si>
  <si>
    <t xml:space="preserve">C. Presupuesto original — resumen anual</t>
  </si>
  <si>
    <t xml:space="preserve">P_vtas</t>
  </si>
  <si>
    <t xml:space="preserve">P_EBITDA</t>
  </si>
  <si>
    <t xml:space="preserve">P_NI</t>
  </si>
  <si>
    <t xml:space="preserve">P_CFO</t>
  </si>
  <si>
    <t xml:space="preserve">P_CAPEX</t>
  </si>
  <si>
    <t xml:space="preserve">P_FCFF</t>
  </si>
  <si>
    <t xml:space="preserve">P_APORTE</t>
  </si>
  <si>
    <t xml:space="preserve">P_INT</t>
  </si>
  <si>
    <t xml:space="preserve">P_AMORT</t>
  </si>
  <si>
    <t xml:space="preserve">P_CAJA</t>
  </si>
  <si>
    <t xml:space="preserve">P_DEUDA</t>
  </si>
  <si>
    <t xml:space="preserve">P_CTN</t>
  </si>
  <si>
    <t xml:space="preserve">P_DS</t>
  </si>
  <si>
    <t xml:space="preserve">Servicio de deuda</t>
  </si>
  <si>
    <t xml:space="preserve">P_DSCR</t>
  </si>
  <si>
    <t xml:space="preserve">DSCR</t>
  </si>
  <si>
    <t xml:space="preserve">P_u1</t>
  </si>
  <si>
    <t xml:space="preserve">P_u2</t>
  </si>
  <si>
    <t xml:space="preserve">P_u3</t>
  </si>
  <si>
    <t xml:space="preserve">P_u4</t>
  </si>
  <si>
    <t xml:space="preserve">P_u5</t>
  </si>
  <si>
    <t xml:space="preserve">P_u6</t>
  </si>
  <si>
    <t xml:space="preserve">P_u7</t>
  </si>
  <si>
    <t xml:space="preserve">P_u8</t>
  </si>
  <si>
    <t xml:space="preserve">P_u9</t>
  </si>
  <si>
    <t xml:space="preserve">P_u10</t>
  </si>
  <si>
    <t xml:space="preserve">P_u11</t>
  </si>
  <si>
    <t xml:space="preserve">P_u12</t>
  </si>
  <si>
    <t xml:space="preserve">D. Desvíos: vigente - presupuesto original</t>
  </si>
  <si>
    <t xml:space="preserve">FCFF</t>
  </si>
  <si>
    <t xml:space="preserve">Unidades totales</t>
  </si>
  <si>
    <t xml:space="preserve">% de desvío en ventas</t>
  </si>
  <si>
    <t xml:space="preserve">E. Plan publicado (referencia) vs presupuesto original del modelo — explica diferencias de metodología</t>
  </si>
  <si>
    <t xml:space="preserve">   Diferencia presupuesto del modelo - publicado</t>
  </si>
  <si>
    <t xml:space="preserve">Etiquetas de gráficos</t>
  </si>
  <si>
    <t xml:space="preserve">Control — validaciones y datos faltantes</t>
  </si>
  <si>
    <t xml:space="preserve">Estado OK cuando el valor está dentro de lo esperado. Revisar cada cierre.</t>
  </si>
  <si>
    <t xml:space="preserve">Esperado</t>
  </si>
  <si>
    <t xml:space="preserve">Qué hacer si no está OK</t>
  </si>
  <si>
    <t xml:space="preserve">C01</t>
  </si>
  <si>
    <t xml:space="preserve">Balance del presupuesto cuadra (activo - pasivo - patrimonio)</t>
  </si>
  <si>
    <t xml:space="preserve">Error de fórmula: no editar Calculo; revisar entradas en blanco.</t>
  </si>
  <si>
    <t xml:space="preserve">C02</t>
  </si>
  <si>
    <t xml:space="preserve">Balance vigente cuadra</t>
  </si>
  <si>
    <t xml:space="preserve">Idem.</t>
  </si>
  <si>
    <t xml:space="preserve">C03</t>
  </si>
  <si>
    <t xml:space="preserve">Meses cerrados sin ventas cargadas</t>
  </si>
  <si>
    <t xml:space="preserve">Cargar ventas reales del mes en Reales (si realmente no hubo ventas, cargar 0 explícito y documentarlo).</t>
  </si>
  <si>
    <t xml:space="preserve">C04</t>
  </si>
  <si>
    <t xml:space="preserve">Meses cerrados sin costos de materiales ni personal cargados</t>
  </si>
  <si>
    <t xml:space="preserve">Cargar costos reales del mes.</t>
  </si>
  <si>
    <t xml:space="preserve">C05</t>
  </si>
  <si>
    <t xml:space="preserve">Saldo de caja real cargado en el mes de corte</t>
  </si>
  <si>
    <t xml:space="preserve">Cargar el saldo de caja y bancos al cierre del último mes cerrado.</t>
  </si>
  <si>
    <t xml:space="preserve">C06</t>
  </si>
  <si>
    <t xml:space="preserve">Saldos de clientes, inventarios y proveedores cargados en el mes de corte</t>
  </si>
  <si>
    <t xml:space="preserve">Sin estos saldos el capital de trabajo se estima por días.</t>
  </si>
  <si>
    <t xml:space="preserve">C07</t>
  </si>
  <si>
    <t xml:space="preserve">Diferencia de deuda: real al corte - calculada</t>
  </si>
  <si>
    <t xml:space="preserve">Cargar desembolsos y amortizaciones reales o ajustar las condiciones vigentes del préstamo.</t>
  </si>
  <si>
    <t xml:space="preserve">C08</t>
  </si>
  <si>
    <t xml:space="preserve">CAPEX: pagado por ítem (Inversion) - CAPEX real mensual (Reales)</t>
  </si>
  <si>
    <t xml:space="preserve">Ambos registros deben conciliar.</t>
  </si>
  <si>
    <t xml:space="preserve">C09</t>
  </si>
  <si>
    <t xml:space="preserve">Tipo de cambio cargado en todos los años (presupuesto y vigente)</t>
  </si>
  <si>
    <t xml:space="preserve">Completar el TC por año en Supuestos B (los costos en PYG se convierten con él).</t>
  </si>
  <si>
    <t xml:space="preserve">C10</t>
  </si>
  <si>
    <t xml:space="preserve">Productos con volumen vigente por encima de la capacidad (años)</t>
  </si>
  <si>
    <t xml:space="preserve">Revisar volumen o registrar la ampliación de capacidad (Productos A).</t>
  </si>
  <si>
    <t xml:space="preserve">C11</t>
  </si>
  <si>
    <t xml:space="preserve">Productos con volumen y sin precio vigente</t>
  </si>
  <si>
    <t xml:space="preserve">Completar el precio.</t>
  </si>
  <si>
    <t xml:space="preserve">C12</t>
  </si>
  <si>
    <t xml:space="preserve">Préstamos del presupuesto cancelados dentro del horizonte</t>
  </si>
  <si>
    <t xml:space="preserve">Revisar plazo o el horizonte.</t>
  </si>
  <si>
    <t xml:space="preserve">C13</t>
  </si>
  <si>
    <t xml:space="preserve">Brecha de caja vigente (meses bajo la caja mínima)</t>
  </si>
  <si>
    <t xml:space="preserve">Definir aportes, financiamiento o mejoras de capital de trabajo (alerta, no error de fórmula).</t>
  </si>
  <si>
    <t xml:space="preserve">C14</t>
  </si>
  <si>
    <t xml:space="preserve">Negocio en operación: mes real de inicio y último mes cerrado cargados</t>
  </si>
  <si>
    <t xml:space="preserve">Completar en Inicio el mes real de inicio de operación y cargar los meses cerrados en Reales.</t>
  </si>
  <si>
    <t xml:space="preserve">C15</t>
  </si>
  <si>
    <t xml:space="preserve">Horizonte dentro de la rejilla de 144 meses (mes de inicio ≤ 25 con 10 años)</t>
  </si>
  <si>
    <t xml:space="preserve">Reducir los años evaluados o el mes de inicio (la rejilla tiene 144 meses).</t>
  </si>
  <si>
    <t xml:space="preserve">C16</t>
  </si>
  <si>
    <t xml:space="preserve">Supuestos vigentes modificados respecto del presupuesto (informativo)</t>
  </si>
  <si>
    <t xml:space="preserve">≥ 0</t>
  </si>
  <si>
    <t xml:space="preserve">Documentar en la nota de cada supuesto el motivo del cambio.</t>
  </si>
  <si>
    <t xml:space="preserve">Controles en REVISAR</t>
  </si>
  <si>
    <t xml:space="preserve">Celdas vigentes sobrescritas (difieren del presupuesto)</t>
  </si>
  <si>
    <t xml:space="preserve">Deuda del presupuesto al final del horizonte</t>
  </si>
</sst>
</file>

<file path=xl/styles.xml><?xml version="1.0" encoding="utf-8"?>
<styleSheet xmlns="http://schemas.openxmlformats.org/spreadsheetml/2006/main">
  <numFmts count="11">
    <numFmt numFmtId="164" formatCode="General"/>
    <numFmt numFmtId="165" formatCode="dd/mm/yyyy"/>
    <numFmt numFmtId="166" formatCode="0"/>
    <numFmt numFmtId="167" formatCode="#,##0;\(#,##0\);\-"/>
    <numFmt numFmtId="168" formatCode="0.00%;\(0.00%\);\-"/>
    <numFmt numFmtId="169" formatCode="0.0%;\(0.0%\);\-"/>
    <numFmt numFmtId="170" formatCode="#,##0.0000;\(#,##0.0000\);\-"/>
    <numFmt numFmtId="171" formatCode="#,##0.00;\(#,##0.00\);\-"/>
    <numFmt numFmtId="172" formatCode="mmm\-yy"/>
    <numFmt numFmtId="173" formatCode="0.00\x;\(0.00&quot;x)&quot;;\-"/>
    <numFmt numFmtId="174" formatCode="General"/>
  </numFmts>
  <fonts count="16">
    <font>
      <sz val="11"/>
      <color theme="1"/>
      <name val="Calibri"/>
      <family val="2"/>
      <charset val="1"/>
    </font>
    <font>
      <sz val="10"/>
      <name val="Arial"/>
      <family val="0"/>
    </font>
    <font>
      <sz val="10"/>
      <name val="Arial"/>
      <family val="0"/>
    </font>
    <font>
      <sz val="10"/>
      <name val="Arial"/>
      <family val="0"/>
    </font>
    <font>
      <b val="true"/>
      <sz val="13"/>
      <color rgb="FF1F3864"/>
      <name val="Arial"/>
      <family val="0"/>
      <charset val="1"/>
    </font>
    <font>
      <i val="true"/>
      <sz val="9"/>
      <color rgb="FF595959"/>
      <name val="Arial"/>
      <family val="0"/>
      <charset val="1"/>
    </font>
    <font>
      <b val="true"/>
      <sz val="10"/>
      <color rgb="FF1F3864"/>
      <name val="Arial"/>
      <family val="0"/>
      <charset val="1"/>
    </font>
    <font>
      <b val="true"/>
      <sz val="9"/>
      <color rgb="FFFFFFFF"/>
      <name val="Arial"/>
      <family val="0"/>
      <charset val="1"/>
    </font>
    <font>
      <sz val="9"/>
      <name val="Arial"/>
      <family val="0"/>
      <charset val="1"/>
    </font>
    <font>
      <sz val="9"/>
      <color rgb="FF0000FF"/>
      <name val="Arial"/>
      <family val="0"/>
      <charset val="1"/>
    </font>
    <font>
      <b val="true"/>
      <sz val="9"/>
      <name val="Arial"/>
      <family val="0"/>
      <charset val="1"/>
    </font>
    <font>
      <i val="true"/>
      <sz val="9"/>
      <color rgb="FF808080"/>
      <name val="Arial"/>
      <family val="0"/>
      <charset val="1"/>
    </font>
    <font>
      <sz val="9"/>
      <color rgb="FF008000"/>
      <name val="Arial"/>
      <family val="0"/>
      <charset val="1"/>
    </font>
    <font>
      <b val="true"/>
      <sz val="9"/>
      <color rgb="FFC00000"/>
      <name val="Arial"/>
      <family val="0"/>
      <charset val="1"/>
    </font>
    <font>
      <b val="true"/>
      <sz val="18"/>
      <color rgb="FF000000"/>
      <name val="Calibri"/>
      <family val="2"/>
    </font>
    <font>
      <sz val="10"/>
      <color rgb="FF000000"/>
      <name val="Calibri"/>
      <family val="2"/>
    </font>
  </fonts>
  <fills count="9">
    <fill>
      <patternFill patternType="none"/>
    </fill>
    <fill>
      <patternFill patternType="gray125"/>
    </fill>
    <fill>
      <patternFill patternType="solid">
        <fgColor rgb="FFD9E1F2"/>
        <bgColor rgb="FFD9D9D9"/>
      </patternFill>
    </fill>
    <fill>
      <patternFill patternType="solid">
        <fgColor rgb="FF1F3864"/>
        <bgColor rgb="FF333399"/>
      </patternFill>
    </fill>
    <fill>
      <patternFill patternType="solid">
        <fgColor rgb="FFFFF2CC"/>
        <bgColor rgb="FFFCE4D6"/>
      </patternFill>
    </fill>
    <fill>
      <patternFill patternType="solid">
        <fgColor rgb="FFF2F2F2"/>
        <bgColor rgb="FFEDEDED"/>
      </patternFill>
    </fill>
    <fill>
      <patternFill patternType="solid">
        <fgColor rgb="FFFCE4D6"/>
        <bgColor rgb="FFFFF2CC"/>
      </patternFill>
    </fill>
    <fill>
      <patternFill patternType="solid">
        <fgColor rgb="FFE2EFDA"/>
        <bgColor rgb="FFEDEDED"/>
      </patternFill>
    </fill>
    <fill>
      <patternFill patternType="solid">
        <fgColor rgb="FFEDEDED"/>
        <bgColor rgb="FFF2F2F2"/>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true" applyProtection="false">
      <alignment horizontal="center" vertical="center"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4" borderId="0" xfId="0" applyFont="true" applyBorder="false" applyAlignment="false" applyProtection="false">
      <alignment horizontal="general" vertical="bottom" textRotation="0" wrapText="false" indent="0" shrinkToFit="false"/>
      <protection locked="true" hidden="false"/>
    </xf>
    <xf numFmtId="165" fontId="9" fillId="4" borderId="0" xfId="0" applyFont="true" applyBorder="false" applyAlignment="false" applyProtection="false">
      <alignment horizontal="general" vertical="bottom" textRotation="0" wrapText="false" indent="0" shrinkToFit="false"/>
      <protection locked="true" hidden="false"/>
    </xf>
    <xf numFmtId="166" fontId="9" fillId="4"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1" fillId="5" borderId="0" xfId="0" applyFont="true" applyBorder="false" applyAlignment="false" applyProtection="false">
      <alignment horizontal="general" vertical="bottom" textRotation="0" wrapText="false" indent="0" shrinkToFit="false"/>
      <protection locked="true" hidden="false"/>
    </xf>
    <xf numFmtId="164" fontId="8" fillId="6" borderId="0" xfId="0" applyFont="true" applyBorder="false" applyAlignment="false" applyProtection="false">
      <alignment horizontal="general" vertical="bottom" textRotation="0" wrapText="false" indent="0" shrinkToFit="false"/>
      <protection locked="true" hidden="false"/>
    </xf>
    <xf numFmtId="164" fontId="8" fillId="7" borderId="0" xfId="0" applyFont="true" applyBorder="false" applyAlignment="false" applyProtection="false">
      <alignment horizontal="general" vertical="bottom" textRotation="0" wrapText="false" indent="0" shrinkToFit="false"/>
      <protection locked="true" hidden="false"/>
    </xf>
    <xf numFmtId="164" fontId="9" fillId="4" borderId="0" xfId="0" applyFont="true" applyBorder="true" applyAlignment="false" applyProtection="false">
      <alignment horizontal="general" vertical="bottom" textRotation="0" wrapText="false" indent="0" shrinkToFit="false"/>
      <protection locked="true" hidden="false"/>
    </xf>
    <xf numFmtId="164" fontId="7" fillId="3" borderId="0" xfId="0" applyFont="true" applyBorder="true" applyAlignment="true" applyProtection="false">
      <alignment horizontal="center" vertical="center" textRotation="0" wrapText="true" indent="0" shrinkToFit="false"/>
      <protection locked="true" hidden="false"/>
    </xf>
    <xf numFmtId="166" fontId="11" fillId="5"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8" fontId="9" fillId="4" borderId="0" xfId="0" applyFont="true" applyBorder="false" applyAlignment="false" applyProtection="false">
      <alignment horizontal="general" vertical="bottom" textRotation="0" wrapText="false" indent="0" shrinkToFit="false"/>
      <protection locked="true" hidden="false"/>
    </xf>
    <xf numFmtId="168" fontId="11" fillId="5" borderId="0" xfId="0" applyFont="true" applyBorder="false" applyAlignment="false" applyProtection="false">
      <alignment horizontal="general" vertical="bottom" textRotation="0" wrapText="false" indent="0" shrinkToFit="false"/>
      <protection locked="true" hidden="false"/>
    </xf>
    <xf numFmtId="167" fontId="9" fillId="4" borderId="0" xfId="0" applyFont="true" applyBorder="false" applyAlignment="false" applyProtection="false">
      <alignment horizontal="general" vertical="bottom" textRotation="0" wrapText="false" indent="0" shrinkToFit="false"/>
      <protection locked="true" hidden="false"/>
    </xf>
    <xf numFmtId="167" fontId="11" fillId="5" borderId="0" xfId="0" applyFont="true" applyBorder="false" applyAlignment="false" applyProtection="false">
      <alignment horizontal="general" vertical="bottom" textRotation="0" wrapText="false" indent="0" shrinkToFit="false"/>
      <protection locked="true" hidden="false"/>
    </xf>
    <xf numFmtId="169" fontId="9" fillId="4" borderId="0" xfId="0" applyFont="true" applyBorder="false" applyAlignment="false" applyProtection="false">
      <alignment horizontal="general" vertical="bottom" textRotation="0" wrapText="false" indent="0" shrinkToFit="false"/>
      <protection locked="true" hidden="false"/>
    </xf>
    <xf numFmtId="169" fontId="11" fillId="5" borderId="0" xfId="0" applyFont="true" applyBorder="false" applyAlignment="false" applyProtection="false">
      <alignment horizontal="general" vertical="bottom" textRotation="0" wrapText="false" indent="0" shrinkToFit="false"/>
      <protection locked="true" hidden="false"/>
    </xf>
    <xf numFmtId="164" fontId="10" fillId="6" borderId="0" xfId="0" applyFont="true" applyBorder="false" applyAlignment="false" applyProtection="false">
      <alignment horizontal="general" vertical="bottom" textRotation="0" wrapText="false" indent="0" shrinkToFit="false"/>
      <protection locked="true" hidden="false"/>
    </xf>
    <xf numFmtId="170" fontId="8" fillId="0" borderId="0" xfId="0" applyFont="true" applyBorder="false" applyAlignment="false" applyProtection="false">
      <alignment horizontal="general" vertical="bottom" textRotation="0" wrapText="false" indent="0" shrinkToFit="false"/>
      <protection locked="true" hidden="false"/>
    </xf>
    <xf numFmtId="164" fontId="10" fillId="7" borderId="0" xfId="0" applyFont="true" applyBorder="false" applyAlignment="false" applyProtection="false">
      <alignment horizontal="general" vertical="bottom" textRotation="0" wrapText="false" indent="0" shrinkToFit="false"/>
      <protection locked="true" hidden="false"/>
    </xf>
    <xf numFmtId="169" fontId="8" fillId="8" borderId="0" xfId="0" applyFont="true" applyBorder="false" applyAlignment="false" applyProtection="false">
      <alignment horizontal="general" vertical="bottom" textRotation="0" wrapText="false" indent="0" shrinkToFit="false"/>
      <protection locked="true" hidden="false"/>
    </xf>
    <xf numFmtId="169" fontId="10" fillId="0" borderId="0" xfId="0" applyFont="true" applyBorder="false" applyAlignment="false" applyProtection="false">
      <alignment horizontal="general" vertical="bottom" textRotation="0" wrapText="false" indent="0" shrinkToFit="false"/>
      <protection locked="true" hidden="false"/>
    </xf>
    <xf numFmtId="166" fontId="8" fillId="8"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xf numFmtId="171" fontId="8" fillId="0" borderId="0" xfId="0" applyFont="true" applyBorder="false" applyAlignment="false" applyProtection="false">
      <alignment horizontal="general" vertical="bottom" textRotation="0" wrapText="false" indent="0" shrinkToFit="false"/>
      <protection locked="true" hidden="false"/>
    </xf>
    <xf numFmtId="170" fontId="9" fillId="4" borderId="0" xfId="0" applyFont="true" applyBorder="false" applyAlignment="false" applyProtection="false">
      <alignment horizontal="general" vertical="bottom" textRotation="0" wrapText="false" indent="0" shrinkToFit="false"/>
      <protection locked="true" hidden="false"/>
    </xf>
    <xf numFmtId="170" fontId="11" fillId="5"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7" fontId="10" fillId="8" borderId="0" xfId="0" applyFont="true" applyBorder="false" applyAlignment="false" applyProtection="false">
      <alignment horizontal="general" vertical="bottom" textRotation="0" wrapText="false" indent="0" shrinkToFit="false"/>
      <protection locked="true" hidden="false"/>
    </xf>
    <xf numFmtId="171" fontId="9" fillId="4" borderId="0" xfId="0" applyFont="true" applyBorder="false" applyAlignment="false" applyProtection="false">
      <alignment horizontal="general" vertical="bottom" textRotation="0" wrapText="false" indent="0" shrinkToFit="false"/>
      <protection locked="true" hidden="false"/>
    </xf>
    <xf numFmtId="171" fontId="11" fillId="5"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72" fontId="7" fillId="3" borderId="0" xfId="0" applyFont="true" applyBorder="false" applyAlignment="true" applyProtection="false">
      <alignment horizontal="center" vertical="center" textRotation="0" wrapText="true" indent="0" shrinkToFit="false"/>
      <protection locked="true" hidden="false"/>
    </xf>
    <xf numFmtId="166" fontId="7" fillId="3" borderId="0" xfId="0" applyFont="true" applyBorder="false" applyAlignment="true" applyProtection="false">
      <alignment horizontal="center" vertical="center" textRotation="0" wrapText="true" indent="0" shrinkToFit="false"/>
      <protection locked="true" hidden="false"/>
    </xf>
    <xf numFmtId="166" fontId="7" fillId="3" borderId="0" xfId="0" applyFont="true" applyBorder="false" applyAlignment="false" applyProtection="false">
      <alignment horizontal="general" vertical="bottom" textRotation="0" wrapText="false" indent="0" shrinkToFit="false"/>
      <protection locked="true" hidden="false"/>
    </xf>
    <xf numFmtId="172" fontId="8" fillId="0" borderId="0" xfId="0" applyFont="true" applyBorder="fals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4" fontId="6" fillId="6" borderId="0" xfId="0" applyFont="true" applyBorder="false" applyAlignment="false" applyProtection="false">
      <alignment horizontal="general" vertical="bottom" textRotation="0" wrapText="false" indent="0" shrinkToFit="false"/>
      <protection locked="true" hidden="false"/>
    </xf>
    <xf numFmtId="166" fontId="10" fillId="8" borderId="0" xfId="0" applyFont="true" applyBorder="false" applyAlignment="false" applyProtection="false">
      <alignment horizontal="general" vertical="bottom" textRotation="0" wrapText="false" indent="0" shrinkToFit="false"/>
      <protection locked="true" hidden="false"/>
    </xf>
    <xf numFmtId="164" fontId="10" fillId="8" borderId="0" xfId="0" applyFont="true" applyBorder="false" applyAlignment="false" applyProtection="false">
      <alignment horizontal="general" vertical="bottom" textRotation="0" wrapText="false" indent="0" shrinkToFit="false"/>
      <protection locked="true" hidden="false"/>
    </xf>
    <xf numFmtId="171" fontId="10" fillId="8" borderId="0" xfId="0" applyFont="true" applyBorder="false" applyAlignment="false" applyProtection="false">
      <alignment horizontal="general" vertical="bottom" textRotation="0" wrapText="false" indent="0" shrinkToFit="false"/>
      <protection locked="true" hidden="false"/>
    </xf>
    <xf numFmtId="171" fontId="10" fillId="0" borderId="0" xfId="0" applyFont="true" applyBorder="false" applyAlignment="false" applyProtection="false">
      <alignment horizontal="general" vertical="bottom" textRotation="0" wrapText="false" indent="0" shrinkToFit="false"/>
      <protection locked="true" hidden="false"/>
    </xf>
    <xf numFmtId="164" fontId="0" fillId="7" borderId="0" xfId="0" applyFont="false" applyBorder="false" applyAlignment="false" applyProtection="false">
      <alignment horizontal="general" vertical="bottom" textRotation="0" wrapText="false" indent="0" shrinkToFit="false"/>
      <protection locked="true" hidden="false"/>
    </xf>
    <xf numFmtId="164" fontId="6" fillId="7"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7" fontId="10" fillId="6" borderId="0" xfId="0" applyFont="true" applyBorder="false" applyAlignment="false" applyProtection="false">
      <alignment horizontal="general" vertical="bottom" textRotation="0" wrapText="false" indent="0" shrinkToFit="false"/>
      <protection locked="true" hidden="false"/>
    </xf>
    <xf numFmtId="167" fontId="10" fillId="7" borderId="0" xfId="0" applyFont="true" applyBorder="false" applyAlignment="false" applyProtection="false">
      <alignment horizontal="general" vertical="bottom" textRotation="0" wrapText="false" indent="0" shrinkToFit="false"/>
      <protection locked="true" hidden="false"/>
    </xf>
    <xf numFmtId="169" fontId="10" fillId="6" borderId="0" xfId="0" applyFont="true" applyBorder="false" applyAlignment="false" applyProtection="false">
      <alignment horizontal="general" vertical="bottom" textRotation="0" wrapText="false" indent="0" shrinkToFit="false"/>
      <protection locked="true" hidden="false"/>
    </xf>
    <xf numFmtId="169" fontId="10" fillId="7" borderId="0" xfId="0" applyFont="true" applyBorder="false" applyAlignment="false" applyProtection="false">
      <alignment horizontal="general" vertical="bottom" textRotation="0" wrapText="false" indent="0" shrinkToFit="false"/>
      <protection locked="true" hidden="false"/>
    </xf>
    <xf numFmtId="166" fontId="10" fillId="6" borderId="0" xfId="0" applyFont="true" applyBorder="false" applyAlignment="false" applyProtection="false">
      <alignment horizontal="general" vertical="bottom" textRotation="0" wrapText="false" indent="0" shrinkToFit="false"/>
      <protection locked="true" hidden="false"/>
    </xf>
    <xf numFmtId="166" fontId="10" fillId="7" borderId="0" xfId="0" applyFont="true" applyBorder="false" applyAlignment="false" applyProtection="false">
      <alignment horizontal="general" vertical="bottom" textRotation="0" wrapText="false" indent="0" shrinkToFit="false"/>
      <protection locked="true" hidden="false"/>
    </xf>
    <xf numFmtId="173" fontId="10" fillId="6" borderId="0" xfId="0" applyFont="true" applyBorder="false" applyAlignment="false" applyProtection="false">
      <alignment horizontal="general" vertical="bottom" textRotation="0" wrapText="false" indent="0" shrinkToFit="false"/>
      <protection locked="true" hidden="false"/>
    </xf>
    <xf numFmtId="173" fontId="10" fillId="7" borderId="0" xfId="0" applyFont="true" applyBorder="false" applyAlignment="false" applyProtection="false">
      <alignment horizontal="general" vertical="bottom" textRotation="0" wrapText="false" indent="0" shrinkToFit="false"/>
      <protection locked="true" hidden="false"/>
    </xf>
    <xf numFmtId="173" fontId="8" fillId="0" borderId="0" xfId="0" applyFont="true" applyBorder="false" applyAlignment="false" applyProtection="false">
      <alignment horizontal="general" vertical="bottom" textRotation="0" wrapText="false" indent="0" shrinkToFit="false"/>
      <protection locked="true" hidden="false"/>
    </xf>
    <xf numFmtId="168" fontId="10" fillId="6" borderId="0" xfId="0" applyFont="true" applyBorder="false" applyAlignment="false" applyProtection="false">
      <alignment horizontal="general" vertical="bottom" textRotation="0" wrapText="false" indent="0" shrinkToFit="false"/>
      <protection locked="true" hidden="false"/>
    </xf>
    <xf numFmtId="168" fontId="10" fillId="7" borderId="0" xfId="0" applyFont="true" applyBorder="false" applyAlignment="false" applyProtection="false">
      <alignment horizontal="general" vertical="bottom" textRotation="0" wrapText="false" indent="0" shrinkToFit="false"/>
      <protection locked="true" hidden="false"/>
    </xf>
    <xf numFmtId="171" fontId="10" fillId="6" borderId="0" xfId="0" applyFont="true" applyBorder="false" applyAlignment="false" applyProtection="false">
      <alignment horizontal="general" vertical="bottom" textRotation="0" wrapText="false" indent="0" shrinkToFit="false"/>
      <protection locked="true" hidden="false"/>
    </xf>
    <xf numFmtId="171" fontId="10" fillId="7"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center" vertical="center" textRotation="0" wrapText="true" indent="0" shrinkToFit="false"/>
      <protection locked="true" hidden="false"/>
    </xf>
    <xf numFmtId="166" fontId="5" fillId="0" borderId="0" xfId="0" applyFont="true" applyBorder="false" applyAlignment="true" applyProtection="false">
      <alignment horizontal="center" vertical="center" textRotation="0" wrapText="true" indent="0" shrinkToFit="false"/>
      <protection locked="true" hidden="false"/>
    </xf>
    <xf numFmtId="167" fontId="12"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74" fontId="8" fillId="0" borderId="0" xfId="0" applyFont="true" applyBorder="false" applyAlignment="true" applyProtection="false">
      <alignment horizontal="center" vertical="center" textRotation="0" wrapText="true" indent="0" shrinkToFit="false"/>
      <protection locked="true" hidden="false"/>
    </xf>
    <xf numFmtId="164" fontId="10" fillId="0" borderId="0" xfId="0" applyFont="true" applyBorder="fals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name val="Arial"/>
        <charset val="1"/>
        <family val="0"/>
        <b val="1"/>
        <color rgb="FF0000FF"/>
        <sz val="9"/>
      </font>
      <fill>
        <patternFill>
          <bgColor rgb="FFFFF2CC"/>
        </patternFill>
      </fill>
    </dxf>
    <dxf>
      <font>
        <name val="Arial"/>
        <charset val="1"/>
        <family val="0"/>
        <b val="1"/>
        <color rgb="FF000000"/>
        <sz val="9"/>
      </font>
      <fill>
        <patternFill>
          <bgColor rgb="FFE2EFDA"/>
        </patternFill>
      </fill>
    </dxf>
    <dxf>
      <fill>
        <patternFill>
          <bgColor rgb="FFC6EFCE"/>
        </patternFill>
      </fill>
    </dxf>
    <dxf>
      <fill>
        <patternFill>
          <bgColor rgb="FFFFC7CE"/>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548235"/>
      <rgbColor rgb="FF800080"/>
      <rgbColor rgb="FF008080"/>
      <rgbColor rgb="FFD9E1F2"/>
      <rgbColor rgb="FF808080"/>
      <rgbColor rgb="FF7F7F7F"/>
      <rgbColor rgb="FFBE4B48"/>
      <rgbColor rgb="FFFFF2CC"/>
      <rgbColor rgb="FFE2EFDA"/>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2F2F2"/>
      <rgbColor rgb="FFC6EFCE"/>
      <rgbColor rgb="FFFCE4D6"/>
      <rgbColor rgb="FFEDEDED"/>
      <rgbColor rgb="FFFF99CC"/>
      <rgbColor rgb="FFCC99FF"/>
      <rgbColor rgb="FFFFC7CE"/>
      <rgbColor rgb="FF4A7EBB"/>
      <rgbColor rgb="FF33CCCC"/>
      <rgbColor rgb="FF98B855"/>
      <rgbColor rgb="FFFFC000"/>
      <rgbColor rgb="FFFF9900"/>
      <rgbColor rgb="FFFF6600"/>
      <rgbColor rgb="FF7D5FA0"/>
      <rgbColor rgb="FF878787"/>
      <rgbColor rgb="FF1F3864"/>
      <rgbColor rgb="FF4F81BD"/>
      <rgbColor rgb="FF003300"/>
      <rgbColor rgb="FF333300"/>
      <rgbColor rgb="FF993300"/>
      <rgbColor rgb="FFC0504D"/>
      <rgbColor rgb="FF333399"/>
      <rgbColor rgb="FF59595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Ventas: presupuesto vs vigente</a:t>
            </a:r>
          </a:p>
        </c:rich>
      </c:tx>
      <c:overlay val="0"/>
      <c:spPr>
        <a:noFill/>
        <a:ln w="0">
          <a:noFill/>
        </a:ln>
      </c:spPr>
    </c:title>
    <c:autoTitleDeleted val="0"/>
    <c:plotArea>
      <c:barChart>
        <c:barDir val="col"/>
        <c:grouping val="clustered"/>
        <c:varyColors val="0"/>
        <c:ser>
          <c:idx val="0"/>
          <c:order val="0"/>
          <c:tx>
            <c:strRef>
              <c:f>"Presupuesto"</c:f>
              <c:strCache>
                <c:ptCount val="1"/>
                <c:pt idx="0">
                  <c:v>Presupuesto</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Resultados!$D$134:$O$134</c:f>
              <c:multiLvlStrCache>
                <c:ptCount val="1"/>
                <c:lvl>
                  <c:pt idx="0">
                    <c:v>Año 12</c:v>
                  </c:pt>
                </c:lvl>
                <c:lvl>
                  <c:pt idx="0">
                    <c:v>Año 11</c:v>
                  </c:pt>
                </c:lvl>
                <c:lvl>
                  <c:pt idx="0">
                    <c:v>Año 10</c:v>
                  </c:pt>
                </c:lvl>
                <c:lvl>
                  <c:pt idx="0">
                    <c:v>Año 9</c:v>
                  </c:pt>
                </c:lvl>
                <c:lvl>
                  <c:pt idx="0">
                    <c:v>Año 8</c:v>
                  </c:pt>
                </c:lvl>
                <c:lvl>
                  <c:pt idx="0">
                    <c:v>Año 7</c:v>
                  </c:pt>
                </c:lvl>
                <c:lvl>
                  <c:pt idx="0">
                    <c:v>Año 6</c:v>
                  </c:pt>
                </c:lvl>
                <c:lvl>
                  <c:pt idx="0">
                    <c:v>Año 5</c:v>
                  </c:pt>
                </c:lvl>
                <c:lvl>
                  <c:pt idx="0">
                    <c:v>Año 4</c:v>
                  </c:pt>
                </c:lvl>
                <c:lvl>
                  <c:pt idx="0">
                    <c:v>Año 3</c:v>
                  </c:pt>
                </c:lvl>
                <c:lvl>
                  <c:pt idx="0">
                    <c:v>Año 2</c:v>
                  </c:pt>
                </c:lvl>
                <c:lvl>
                  <c:pt idx="0">
                    <c:v>Año 1</c:v>
                  </c:pt>
                </c:lvl>
              </c:multiLvlStrCache>
            </c:multiLvlStrRef>
          </c:cat>
          <c:val>
            <c:numRef>
              <c:f>Resultados!$D$81:$O$81</c:f>
              <c:numCache>
                <c:formatCode>#,##0;\(#,##0\);\-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ser>
          <c:idx val="1"/>
          <c:order val="1"/>
          <c:tx>
            <c:strRef>
              <c:f>"Vigente"</c:f>
              <c:strCache>
                <c:ptCount val="1"/>
                <c:pt idx="0">
                  <c:v>Vigente</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Resultados!$D$134:$O$134</c:f>
              <c:multiLvlStrCache>
                <c:ptCount val="1"/>
                <c:lvl>
                  <c:pt idx="0">
                    <c:v>Año 12</c:v>
                  </c:pt>
                </c:lvl>
                <c:lvl>
                  <c:pt idx="0">
                    <c:v>Año 11</c:v>
                  </c:pt>
                </c:lvl>
                <c:lvl>
                  <c:pt idx="0">
                    <c:v>Año 10</c:v>
                  </c:pt>
                </c:lvl>
                <c:lvl>
                  <c:pt idx="0">
                    <c:v>Año 9</c:v>
                  </c:pt>
                </c:lvl>
                <c:lvl>
                  <c:pt idx="0">
                    <c:v>Año 8</c:v>
                  </c:pt>
                </c:lvl>
                <c:lvl>
                  <c:pt idx="0">
                    <c:v>Año 7</c:v>
                  </c:pt>
                </c:lvl>
                <c:lvl>
                  <c:pt idx="0">
                    <c:v>Año 6</c:v>
                  </c:pt>
                </c:lvl>
                <c:lvl>
                  <c:pt idx="0">
                    <c:v>Año 5</c:v>
                  </c:pt>
                </c:lvl>
                <c:lvl>
                  <c:pt idx="0">
                    <c:v>Año 4</c:v>
                  </c:pt>
                </c:lvl>
                <c:lvl>
                  <c:pt idx="0">
                    <c:v>Año 3</c:v>
                  </c:pt>
                </c:lvl>
                <c:lvl>
                  <c:pt idx="0">
                    <c:v>Año 2</c:v>
                  </c:pt>
                </c:lvl>
                <c:lvl>
                  <c:pt idx="0">
                    <c:v>Año 1</c:v>
                  </c:pt>
                </c:lvl>
              </c:multiLvlStrCache>
            </c:multiLvlStrRef>
          </c:cat>
          <c:val>
            <c:numRef>
              <c:f>Resultados!$D$34:$O$34</c:f>
              <c:numCache>
                <c:formatCode>#,##0;\(#,##0\);\-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gapWidth val="150"/>
        <c:overlap val="0"/>
        <c:axId val="474060"/>
        <c:axId val="95340417"/>
      </c:barChart>
      <c:catAx>
        <c:axId val="47406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5340417"/>
        <c:crosses val="autoZero"/>
        <c:auto val="1"/>
        <c:lblAlgn val="ctr"/>
        <c:lblOffset val="100"/>
        <c:noMultiLvlLbl val="0"/>
      </c:catAx>
      <c:valAx>
        <c:axId val="95340417"/>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74060"/>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EBITDA y caja al cierre</a:t>
            </a:r>
          </a:p>
        </c:rich>
      </c:tx>
      <c:overlay val="0"/>
      <c:spPr>
        <a:noFill/>
        <a:ln w="0">
          <a:noFill/>
        </a:ln>
      </c:spPr>
    </c:title>
    <c:autoTitleDeleted val="0"/>
    <c:plotArea>
      <c:lineChart>
        <c:grouping val="standard"/>
        <c:varyColors val="0"/>
        <c:ser>
          <c:idx val="0"/>
          <c:order val="0"/>
          <c:tx>
            <c:strRef>
              <c:f>"EBITDA presupuesto"</c:f>
              <c:strCache>
                <c:ptCount val="1"/>
                <c:pt idx="0">
                  <c:v>EBITDA presupuesto</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Resultados!$D$134:$O$134</c:f>
              <c:multiLvlStrCache>
                <c:ptCount val="1"/>
                <c:lvl>
                  <c:pt idx="0">
                    <c:v>Año 12</c:v>
                  </c:pt>
                </c:lvl>
                <c:lvl>
                  <c:pt idx="0">
                    <c:v>Año 11</c:v>
                  </c:pt>
                </c:lvl>
                <c:lvl>
                  <c:pt idx="0">
                    <c:v>Año 10</c:v>
                  </c:pt>
                </c:lvl>
                <c:lvl>
                  <c:pt idx="0">
                    <c:v>Año 9</c:v>
                  </c:pt>
                </c:lvl>
                <c:lvl>
                  <c:pt idx="0">
                    <c:v>Año 8</c:v>
                  </c:pt>
                </c:lvl>
                <c:lvl>
                  <c:pt idx="0">
                    <c:v>Año 7</c:v>
                  </c:pt>
                </c:lvl>
                <c:lvl>
                  <c:pt idx="0">
                    <c:v>Año 6</c:v>
                  </c:pt>
                </c:lvl>
                <c:lvl>
                  <c:pt idx="0">
                    <c:v>Año 5</c:v>
                  </c:pt>
                </c:lvl>
                <c:lvl>
                  <c:pt idx="0">
                    <c:v>Año 4</c:v>
                  </c:pt>
                </c:lvl>
                <c:lvl>
                  <c:pt idx="0">
                    <c:v>Año 3</c:v>
                  </c:pt>
                </c:lvl>
                <c:lvl>
                  <c:pt idx="0">
                    <c:v>Año 2</c:v>
                  </c:pt>
                </c:lvl>
                <c:lvl>
                  <c:pt idx="0">
                    <c:v>Año 1</c:v>
                  </c:pt>
                </c:lvl>
              </c:multiLvlStrCache>
            </c:multiLvlStrRef>
          </c:cat>
          <c:val>
            <c:numRef>
              <c:f>Resultados!$D$82:$O$82</c:f>
              <c:numCache>
                <c:formatCode>#,##0;\(#,##0\);\-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ser>
          <c:idx val="1"/>
          <c:order val="1"/>
          <c:tx>
            <c:strRef>
              <c:f>"EBITDA vigente"</c:f>
              <c:strCache>
                <c:ptCount val="1"/>
                <c:pt idx="0">
                  <c:v>EBITDA vigente</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Resultados!$D$134:$O$134</c:f>
              <c:multiLvlStrCache>
                <c:ptCount val="1"/>
                <c:lvl>
                  <c:pt idx="0">
                    <c:v>Año 12</c:v>
                  </c:pt>
                </c:lvl>
                <c:lvl>
                  <c:pt idx="0">
                    <c:v>Año 11</c:v>
                  </c:pt>
                </c:lvl>
                <c:lvl>
                  <c:pt idx="0">
                    <c:v>Año 10</c:v>
                  </c:pt>
                </c:lvl>
                <c:lvl>
                  <c:pt idx="0">
                    <c:v>Año 9</c:v>
                  </c:pt>
                </c:lvl>
                <c:lvl>
                  <c:pt idx="0">
                    <c:v>Año 8</c:v>
                  </c:pt>
                </c:lvl>
                <c:lvl>
                  <c:pt idx="0">
                    <c:v>Año 7</c:v>
                  </c:pt>
                </c:lvl>
                <c:lvl>
                  <c:pt idx="0">
                    <c:v>Año 6</c:v>
                  </c:pt>
                </c:lvl>
                <c:lvl>
                  <c:pt idx="0">
                    <c:v>Año 5</c:v>
                  </c:pt>
                </c:lvl>
                <c:lvl>
                  <c:pt idx="0">
                    <c:v>Año 4</c:v>
                  </c:pt>
                </c:lvl>
                <c:lvl>
                  <c:pt idx="0">
                    <c:v>Año 3</c:v>
                  </c:pt>
                </c:lvl>
                <c:lvl>
                  <c:pt idx="0">
                    <c:v>Año 2</c:v>
                  </c:pt>
                </c:lvl>
                <c:lvl>
                  <c:pt idx="0">
                    <c:v>Año 1</c:v>
                  </c:pt>
                </c:lvl>
              </c:multiLvlStrCache>
            </c:multiLvlStrRef>
          </c:cat>
          <c:val>
            <c:numRef>
              <c:f>Resultados!$D$44:$O$44</c:f>
              <c:numCache>
                <c:formatCode>#,##0;\(#,##0\);\-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ser>
          <c:idx val="2"/>
          <c:order val="2"/>
          <c:tx>
            <c:strRef>
              <c:f>"Caja presupuesto"</c:f>
              <c:strCache>
                <c:ptCount val="1"/>
                <c:pt idx="0">
                  <c:v>Caja presupuesto</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Resultados!$D$134:$O$134</c:f>
              <c:multiLvlStrCache>
                <c:ptCount val="1"/>
                <c:lvl>
                  <c:pt idx="0">
                    <c:v>Año 12</c:v>
                  </c:pt>
                </c:lvl>
                <c:lvl>
                  <c:pt idx="0">
                    <c:v>Año 11</c:v>
                  </c:pt>
                </c:lvl>
                <c:lvl>
                  <c:pt idx="0">
                    <c:v>Año 10</c:v>
                  </c:pt>
                </c:lvl>
                <c:lvl>
                  <c:pt idx="0">
                    <c:v>Año 9</c:v>
                  </c:pt>
                </c:lvl>
                <c:lvl>
                  <c:pt idx="0">
                    <c:v>Año 8</c:v>
                  </c:pt>
                </c:lvl>
                <c:lvl>
                  <c:pt idx="0">
                    <c:v>Año 7</c:v>
                  </c:pt>
                </c:lvl>
                <c:lvl>
                  <c:pt idx="0">
                    <c:v>Año 6</c:v>
                  </c:pt>
                </c:lvl>
                <c:lvl>
                  <c:pt idx="0">
                    <c:v>Año 5</c:v>
                  </c:pt>
                </c:lvl>
                <c:lvl>
                  <c:pt idx="0">
                    <c:v>Año 4</c:v>
                  </c:pt>
                </c:lvl>
                <c:lvl>
                  <c:pt idx="0">
                    <c:v>Año 3</c:v>
                  </c:pt>
                </c:lvl>
                <c:lvl>
                  <c:pt idx="0">
                    <c:v>Año 2</c:v>
                  </c:pt>
                </c:lvl>
                <c:lvl>
                  <c:pt idx="0">
                    <c:v>Año 1</c:v>
                  </c:pt>
                </c:lvl>
              </c:multiLvlStrCache>
            </c:multiLvlStrRef>
          </c:cat>
          <c:val>
            <c:numRef>
              <c:f>Resultados!$D$90:$O$90</c:f>
              <c:numCache>
                <c:formatCode>#,##0;\(#,##0\);\-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ser>
          <c:idx val="3"/>
          <c:order val="3"/>
          <c:tx>
            <c:strRef>
              <c:f>"Caja vigente"</c:f>
              <c:strCache>
                <c:ptCount val="1"/>
                <c:pt idx="0">
                  <c:v>Caja vigente</c:v>
                </c:pt>
              </c:strCache>
            </c:strRef>
          </c:tx>
          <c:spPr>
            <a:solidFill>
              <a:srgbClr val="7d5fa0"/>
            </a:solidFill>
            <a:ln w="28440">
              <a:solidFill>
                <a:srgbClr val="7d5fa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Resultados!$D$134:$O$134</c:f>
              <c:multiLvlStrCache>
                <c:ptCount val="1"/>
                <c:lvl>
                  <c:pt idx="0">
                    <c:v>Año 12</c:v>
                  </c:pt>
                </c:lvl>
                <c:lvl>
                  <c:pt idx="0">
                    <c:v>Año 11</c:v>
                  </c:pt>
                </c:lvl>
                <c:lvl>
                  <c:pt idx="0">
                    <c:v>Año 10</c:v>
                  </c:pt>
                </c:lvl>
                <c:lvl>
                  <c:pt idx="0">
                    <c:v>Año 9</c:v>
                  </c:pt>
                </c:lvl>
                <c:lvl>
                  <c:pt idx="0">
                    <c:v>Año 8</c:v>
                  </c:pt>
                </c:lvl>
                <c:lvl>
                  <c:pt idx="0">
                    <c:v>Año 7</c:v>
                  </c:pt>
                </c:lvl>
                <c:lvl>
                  <c:pt idx="0">
                    <c:v>Año 6</c:v>
                  </c:pt>
                </c:lvl>
                <c:lvl>
                  <c:pt idx="0">
                    <c:v>Año 5</c:v>
                  </c:pt>
                </c:lvl>
                <c:lvl>
                  <c:pt idx="0">
                    <c:v>Año 4</c:v>
                  </c:pt>
                </c:lvl>
                <c:lvl>
                  <c:pt idx="0">
                    <c:v>Año 3</c:v>
                  </c:pt>
                </c:lvl>
                <c:lvl>
                  <c:pt idx="0">
                    <c:v>Año 2</c:v>
                  </c:pt>
                </c:lvl>
                <c:lvl>
                  <c:pt idx="0">
                    <c:v>Año 1</c:v>
                  </c:pt>
                </c:lvl>
              </c:multiLvlStrCache>
            </c:multiLvlStrRef>
          </c:cat>
          <c:val>
            <c:numRef>
              <c:f>Resultados!$D$56:$O$56</c:f>
              <c:numCache>
                <c:formatCode>#,##0;\(#,##0\);\-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hiLowLines>
          <c:spPr>
            <a:ln w="0">
              <a:noFill/>
            </a:ln>
          </c:spPr>
        </c:hiLowLines>
        <c:marker val="0"/>
        <c:axId val="92716665"/>
        <c:axId val="60818570"/>
      </c:lineChart>
      <c:catAx>
        <c:axId val="92716665"/>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60818570"/>
        <c:crosses val="autoZero"/>
        <c:auto val="1"/>
        <c:lblAlgn val="ctr"/>
        <c:lblOffset val="100"/>
        <c:noMultiLvlLbl val="0"/>
      </c:catAx>
      <c:valAx>
        <c:axId val="60818570"/>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271666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134</xdr:row>
      <xdr:rowOff>176040</xdr:rowOff>
    </xdr:from>
    <xdr:to>
      <xdr:col>2</xdr:col>
      <xdr:colOff>1141200</xdr:colOff>
      <xdr:row>149</xdr:row>
      <xdr:rowOff>18000</xdr:rowOff>
    </xdr:to>
    <xdr:graphicFrame>
      <xdr:nvGraphicFramePr>
        <xdr:cNvPr id="0" name="Chart 1"/>
        <xdr:cNvGraphicFramePr/>
      </xdr:nvGraphicFramePr>
      <xdr:xfrm>
        <a:off x="533520" y="25908120"/>
        <a:ext cx="611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0</xdr:colOff>
      <xdr:row>134</xdr:row>
      <xdr:rowOff>176040</xdr:rowOff>
    </xdr:from>
    <xdr:to>
      <xdr:col>10</xdr:col>
      <xdr:colOff>340920</xdr:colOff>
      <xdr:row>149</xdr:row>
      <xdr:rowOff>18000</xdr:rowOff>
    </xdr:to>
    <xdr:graphicFrame>
      <xdr:nvGraphicFramePr>
        <xdr:cNvPr id="1" name="Chart 2"/>
        <xdr:cNvGraphicFramePr/>
      </xdr:nvGraphicFramePr>
      <xdr:xfrm>
        <a:off x="9245520" y="25908120"/>
        <a:ext cx="6119640" cy="26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8.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D61"/>
  <sheetViews>
    <sheetView showFormulas="false" showGridLines="true" showRowColHeaders="true" showZeros="true" rightToLeft="false" tabSelected="tru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3" min="3" style="0" width="34"/>
    <col collapsed="false" customWidth="true" hidden="false" outlineLevel="0" max="4" min="4" style="0" width="90"/>
  </cols>
  <sheetData>
    <row r="1" customFormat="false" ht="16.15" hidden="false" customHeight="false" outlineLevel="0" collapsed="false">
      <c r="A1" s="1" t="str">
        <f aca="false">"Modelo financiero de maquila — "&amp;IF(n_Negocio="","(completar nombre)",n_Negocio)</f>
        <v>Modelo financiero de maquila — (completar nombre)</v>
      </c>
    </row>
    <row r="2" customFormat="false" ht="15" hidden="false" customHeight="false" outlineLevel="0" collapsed="false">
      <c r="A2" s="2" t="s">
        <v>0</v>
      </c>
    </row>
    <row r="4" customFormat="false" ht="15" hidden="false" customHeight="false" outlineLevel="0" collapsed="false">
      <c r="A4" s="3" t="s">
        <v>1</v>
      </c>
      <c r="B4" s="4"/>
      <c r="C4" s="4"/>
      <c r="D4" s="4"/>
    </row>
    <row r="5" customFormat="false" ht="15" hidden="false" customHeight="false" outlineLevel="0" collapsed="false">
      <c r="A5" s="5"/>
      <c r="B5" s="5" t="s">
        <v>2</v>
      </c>
      <c r="C5" s="5" t="s">
        <v>3</v>
      </c>
      <c r="D5" s="5" t="s">
        <v>4</v>
      </c>
    </row>
    <row r="6" customFormat="false" ht="15" hidden="false" customHeight="false" outlineLevel="0" collapsed="false">
      <c r="B6" s="6" t="s">
        <v>5</v>
      </c>
      <c r="C6" s="7"/>
      <c r="D6" s="2" t="s">
        <v>6</v>
      </c>
    </row>
    <row r="7" customFormat="false" ht="15" hidden="false" customHeight="false" outlineLevel="0" collapsed="false">
      <c r="B7" s="6" t="s">
        <v>7</v>
      </c>
      <c r="C7" s="7"/>
      <c r="D7" s="2" t="s">
        <v>6</v>
      </c>
    </row>
    <row r="8" customFormat="false" ht="15" hidden="false" customHeight="false" outlineLevel="0" collapsed="false">
      <c r="B8" s="6" t="s">
        <v>8</v>
      </c>
      <c r="C8" s="7"/>
      <c r="D8" s="2" t="s">
        <v>6</v>
      </c>
    </row>
    <row r="9" customFormat="false" ht="15" hidden="false" customHeight="false" outlineLevel="0" collapsed="false">
      <c r="B9" s="6" t="s">
        <v>9</v>
      </c>
      <c r="C9" s="7"/>
      <c r="D9" s="2" t="s">
        <v>10</v>
      </c>
    </row>
    <row r="10" customFormat="false" ht="15" hidden="false" customHeight="false" outlineLevel="0" collapsed="false">
      <c r="B10" s="6" t="s">
        <v>11</v>
      </c>
      <c r="C10" s="8"/>
      <c r="D10" s="2" t="s">
        <v>12</v>
      </c>
    </row>
    <row r="11" customFormat="false" ht="15" hidden="false" customHeight="false" outlineLevel="0" collapsed="false">
      <c r="B11" s="6" t="s">
        <v>13</v>
      </c>
      <c r="C11" s="9"/>
      <c r="D11" s="2" t="s">
        <v>14</v>
      </c>
    </row>
    <row r="12" customFormat="false" ht="15" hidden="false" customHeight="false" outlineLevel="0" collapsed="false">
      <c r="B12" s="6" t="s">
        <v>15</v>
      </c>
      <c r="C12" s="9"/>
      <c r="D12" s="2" t="s">
        <v>16</v>
      </c>
    </row>
    <row r="13" customFormat="false" ht="15" hidden="false" customHeight="false" outlineLevel="0" collapsed="false">
      <c r="B13" s="6" t="s">
        <v>17</v>
      </c>
      <c r="C13" s="7" t="s">
        <v>18</v>
      </c>
      <c r="D13" s="2" t="s">
        <v>19</v>
      </c>
    </row>
    <row r="14" customFormat="false" ht="15" hidden="false" customHeight="false" outlineLevel="0" collapsed="false">
      <c r="B14" s="6" t="s">
        <v>20</v>
      </c>
      <c r="C14" s="6" t="s">
        <v>21</v>
      </c>
    </row>
    <row r="16" customFormat="false" ht="15" hidden="false" customHeight="false" outlineLevel="0" collapsed="false">
      <c r="A16" s="3" t="s">
        <v>22</v>
      </c>
      <c r="B16" s="4"/>
      <c r="C16" s="4"/>
      <c r="D16" s="4"/>
    </row>
    <row r="17" customFormat="false" ht="15" hidden="false" customHeight="false" outlineLevel="0" collapsed="false">
      <c r="B17" s="6" t="s">
        <v>23</v>
      </c>
      <c r="C17" s="10" t="str">
        <f aca="false">IF(Corte=0,"Sin datos reales",IF(n_Fecha1="","Mes "&amp;Corte,"Mes "&amp;Corte&amp;" ("&amp;TEXT(MONTH(EOMONTH(n_Fecha1,Corte-1)),"00")&amp;"/"&amp;YEAR(EOMONTH(n_Fecha1,Corte-1))&amp;")"))</f>
        <v>Sin datos reales</v>
      </c>
    </row>
    <row r="18" customFormat="false" ht="15" hidden="false" customHeight="false" outlineLevel="0" collapsed="false">
      <c r="B18" s="6" t="s">
        <v>24</v>
      </c>
      <c r="C18" s="10" t="str">
        <f aca="false">"Mes "&amp;P_Inicio&amp;" / mes "&amp;V_Inicio</f>
        <v>Mes 1 / mes 1</v>
      </c>
    </row>
    <row r="19" customFormat="false" ht="15" hidden="false" customHeight="false" outlineLevel="0" collapsed="false">
      <c r="B19" s="6" t="s">
        <v>25</v>
      </c>
      <c r="C19" s="10" t="str">
        <f aca="false">"Mes "&amp;Fin&amp;" ("&amp;P_Anios&amp;" años de operación desde el inicio presupuestado)"</f>
        <v>Mes 120 (10 años de operación desde el inicio presupuestado)</v>
      </c>
    </row>
    <row r="20" customFormat="false" ht="15" hidden="false" customHeight="false" outlineLevel="0" collapsed="false">
      <c r="B20" s="6" t="s">
        <v>26</v>
      </c>
      <c r="C20" s="10" t="n">
        <f aca="false">c_Modificados</f>
        <v>0</v>
      </c>
    </row>
    <row r="21" customFormat="false" ht="15" hidden="false" customHeight="false" outlineLevel="0" collapsed="false">
      <c r="B21" s="6" t="s">
        <v>27</v>
      </c>
      <c r="C21" s="10" t="n">
        <f aca="false">c_Alertas</f>
        <v>1</v>
      </c>
    </row>
    <row r="22" customFormat="false" ht="15" hidden="false" customHeight="false" outlineLevel="0" collapsed="false">
      <c r="B22" s="6" t="s">
        <v>28</v>
      </c>
      <c r="C22" s="10" t="n">
        <f aca="false">r_BrechaV</f>
        <v>0</v>
      </c>
    </row>
    <row r="24" customFormat="false" ht="15" hidden="false" customHeight="false" outlineLevel="0" collapsed="false">
      <c r="A24" s="3" t="s">
        <v>29</v>
      </c>
      <c r="B24" s="4"/>
      <c r="C24" s="4"/>
      <c r="D24" s="4"/>
    </row>
    <row r="25" customFormat="false" ht="25.5" hidden="false" customHeight="true" outlineLevel="0" collapsed="false">
      <c r="B25" s="11" t="s">
        <v>30</v>
      </c>
      <c r="C25" s="12" t="s">
        <v>31</v>
      </c>
      <c r="D25" s="12"/>
    </row>
    <row r="26" customFormat="false" ht="25.5" hidden="false" customHeight="true" outlineLevel="0" collapsed="false">
      <c r="B26" s="11" t="s">
        <v>32</v>
      </c>
      <c r="C26" s="12" t="s">
        <v>33</v>
      </c>
      <c r="D26" s="12"/>
    </row>
    <row r="27" customFormat="false" ht="25.5" hidden="false" customHeight="true" outlineLevel="0" collapsed="false">
      <c r="B27" s="11" t="s">
        <v>34</v>
      </c>
      <c r="C27" s="12" t="s">
        <v>35</v>
      </c>
      <c r="D27" s="12"/>
    </row>
    <row r="28" customFormat="false" ht="25.5" hidden="false" customHeight="true" outlineLevel="0" collapsed="false">
      <c r="B28" s="11" t="s">
        <v>36</v>
      </c>
      <c r="C28" s="12" t="s">
        <v>37</v>
      </c>
      <c r="D28" s="12"/>
    </row>
    <row r="29" customFormat="false" ht="25.5" hidden="false" customHeight="true" outlineLevel="0" collapsed="false">
      <c r="B29" s="11" t="s">
        <v>38</v>
      </c>
      <c r="C29" s="12" t="s">
        <v>39</v>
      </c>
      <c r="D29" s="12"/>
    </row>
    <row r="30" customFormat="false" ht="25.5" hidden="false" customHeight="true" outlineLevel="0" collapsed="false">
      <c r="B30" s="11" t="s">
        <v>40</v>
      </c>
      <c r="C30" s="12" t="s">
        <v>41</v>
      </c>
      <c r="D30" s="12"/>
    </row>
    <row r="31" customFormat="false" ht="25.5" hidden="false" customHeight="true" outlineLevel="0" collapsed="false">
      <c r="B31" s="11" t="s">
        <v>42</v>
      </c>
      <c r="C31" s="12" t="s">
        <v>43</v>
      </c>
      <c r="D31" s="12"/>
    </row>
    <row r="33" customFormat="false" ht="15" hidden="false" customHeight="false" outlineLevel="0" collapsed="false">
      <c r="A33" s="3" t="s">
        <v>44</v>
      </c>
      <c r="B33" s="4"/>
      <c r="C33" s="4"/>
      <c r="D33" s="4"/>
    </row>
    <row r="34" customFormat="false" ht="15" hidden="false" customHeight="false" outlineLevel="0" collapsed="false">
      <c r="B34" s="7" t="s">
        <v>45</v>
      </c>
      <c r="C34" s="6" t="s">
        <v>46</v>
      </c>
    </row>
    <row r="35" customFormat="false" ht="15" hidden="false" customHeight="false" outlineLevel="0" collapsed="false">
      <c r="B35" s="13" t="s">
        <v>45</v>
      </c>
      <c r="C35" s="6" t="s">
        <v>47</v>
      </c>
    </row>
    <row r="36" customFormat="false" ht="15" hidden="false" customHeight="false" outlineLevel="0" collapsed="false">
      <c r="B36" s="6" t="s">
        <v>45</v>
      </c>
      <c r="C36" s="6" t="s">
        <v>48</v>
      </c>
    </row>
    <row r="37" customFormat="false" ht="15" hidden="false" customHeight="false" outlineLevel="0" collapsed="false">
      <c r="B37" s="14" t="s">
        <v>45</v>
      </c>
      <c r="C37" s="6" t="s">
        <v>49</v>
      </c>
    </row>
    <row r="38" customFormat="false" ht="15" hidden="false" customHeight="false" outlineLevel="0" collapsed="false">
      <c r="B38" s="15" t="s">
        <v>45</v>
      </c>
      <c r="C38" s="6" t="s">
        <v>50</v>
      </c>
    </row>
    <row r="39" customFormat="false" ht="15" hidden="false" customHeight="false" outlineLevel="0" collapsed="false">
      <c r="B39" s="2" t="s">
        <v>51</v>
      </c>
    </row>
    <row r="41" customFormat="false" ht="15" hidden="false" customHeight="false" outlineLevel="0" collapsed="false">
      <c r="A41" s="3" t="s">
        <v>52</v>
      </c>
      <c r="B41" s="4"/>
      <c r="C41" s="4"/>
      <c r="D41" s="4"/>
    </row>
    <row r="42" customFormat="false" ht="15" hidden="false" customHeight="false" outlineLevel="0" collapsed="false">
      <c r="B42" s="11" t="s">
        <v>53</v>
      </c>
      <c r="C42" s="6" t="s">
        <v>54</v>
      </c>
    </row>
    <row r="43" customFormat="false" ht="15" hidden="false" customHeight="false" outlineLevel="0" collapsed="false">
      <c r="B43" s="11" t="s">
        <v>55</v>
      </c>
      <c r="C43" s="6" t="s">
        <v>56</v>
      </c>
    </row>
    <row r="44" customFormat="false" ht="15" hidden="false" customHeight="false" outlineLevel="0" collapsed="false">
      <c r="B44" s="11" t="s">
        <v>57</v>
      </c>
      <c r="C44" s="6" t="s">
        <v>58</v>
      </c>
    </row>
    <row r="45" customFormat="false" ht="15" hidden="false" customHeight="false" outlineLevel="0" collapsed="false">
      <c r="B45" s="11" t="s">
        <v>59</v>
      </c>
      <c r="C45" s="6" t="s">
        <v>60</v>
      </c>
    </row>
    <row r="46" customFormat="false" ht="15" hidden="false" customHeight="false" outlineLevel="0" collapsed="false">
      <c r="B46" s="11" t="s">
        <v>61</v>
      </c>
      <c r="C46" s="6" t="s">
        <v>62</v>
      </c>
    </row>
    <row r="47" customFormat="false" ht="15" hidden="false" customHeight="false" outlineLevel="0" collapsed="false">
      <c r="B47" s="11" t="s">
        <v>63</v>
      </c>
      <c r="C47" s="6" t="s">
        <v>64</v>
      </c>
    </row>
    <row r="48" customFormat="false" ht="15" hidden="false" customHeight="false" outlineLevel="0" collapsed="false">
      <c r="B48" s="11" t="s">
        <v>65</v>
      </c>
      <c r="C48" s="6" t="s">
        <v>66</v>
      </c>
    </row>
    <row r="49" customFormat="false" ht="15" hidden="false" customHeight="false" outlineLevel="0" collapsed="false">
      <c r="B49" s="11" t="s">
        <v>67</v>
      </c>
      <c r="C49" s="6" t="s">
        <v>68</v>
      </c>
    </row>
    <row r="51" customFormat="false" ht="15" hidden="false" customHeight="false" outlineLevel="0" collapsed="false">
      <c r="A51" s="3" t="s">
        <v>69</v>
      </c>
      <c r="B51" s="4"/>
      <c r="C51" s="4"/>
      <c r="D51" s="4"/>
    </row>
    <row r="52" customFormat="false" ht="15" hidden="false" customHeight="false" outlineLevel="0" collapsed="false">
      <c r="B52" s="6" t="s">
        <v>70</v>
      </c>
      <c r="C52" s="16"/>
      <c r="D52" s="16"/>
    </row>
    <row r="53" customFormat="false" ht="15" hidden="false" customHeight="false" outlineLevel="0" collapsed="false">
      <c r="B53" s="6" t="s">
        <v>71</v>
      </c>
      <c r="C53" s="16"/>
      <c r="D53" s="16"/>
    </row>
    <row r="54" customFormat="false" ht="15" hidden="false" customHeight="false" outlineLevel="0" collapsed="false">
      <c r="B54" s="6" t="s">
        <v>72</v>
      </c>
      <c r="C54" s="16"/>
      <c r="D54" s="16"/>
    </row>
    <row r="55" customFormat="false" ht="15" hidden="false" customHeight="false" outlineLevel="0" collapsed="false">
      <c r="B55" s="6" t="s">
        <v>73</v>
      </c>
      <c r="C55" s="16"/>
      <c r="D55" s="16"/>
    </row>
    <row r="56" customFormat="false" ht="15" hidden="false" customHeight="false" outlineLevel="0" collapsed="false">
      <c r="B56" s="6" t="s">
        <v>74</v>
      </c>
      <c r="C56" s="16"/>
      <c r="D56" s="16"/>
    </row>
    <row r="57" customFormat="false" ht="15" hidden="false" customHeight="false" outlineLevel="0" collapsed="false">
      <c r="B57" s="6" t="s">
        <v>75</v>
      </c>
      <c r="C57" s="16"/>
      <c r="D57" s="16"/>
    </row>
    <row r="58" customFormat="false" ht="15" hidden="false" customHeight="false" outlineLevel="0" collapsed="false">
      <c r="B58" s="6" t="s">
        <v>76</v>
      </c>
      <c r="C58" s="16"/>
      <c r="D58" s="16"/>
    </row>
    <row r="59" customFormat="false" ht="15" hidden="false" customHeight="false" outlineLevel="0" collapsed="false">
      <c r="B59" s="6" t="s">
        <v>77</v>
      </c>
      <c r="C59" s="16"/>
      <c r="D59" s="16"/>
    </row>
    <row r="60" customFormat="false" ht="15" hidden="false" customHeight="false" outlineLevel="0" collapsed="false">
      <c r="B60" s="6" t="s">
        <v>78</v>
      </c>
      <c r="C60" s="16"/>
      <c r="D60" s="16"/>
    </row>
    <row r="61" customFormat="false" ht="15" hidden="false" customHeight="false" outlineLevel="0" collapsed="false">
      <c r="B61" s="6" t="s">
        <v>79</v>
      </c>
      <c r="C61" s="16"/>
      <c r="D61" s="16"/>
    </row>
  </sheetData>
  <mergeCells count="17">
    <mergeCell ref="C25:D25"/>
    <mergeCell ref="C26:D26"/>
    <mergeCell ref="C27:D27"/>
    <mergeCell ref="C28:D28"/>
    <mergeCell ref="C29:D29"/>
    <mergeCell ref="C30:D30"/>
    <mergeCell ref="C31:D31"/>
    <mergeCell ref="C52:D52"/>
    <mergeCell ref="C53:D53"/>
    <mergeCell ref="C54:D54"/>
    <mergeCell ref="C55:D55"/>
    <mergeCell ref="C56:D56"/>
    <mergeCell ref="C57:D57"/>
    <mergeCell ref="C58:D58"/>
    <mergeCell ref="C59:D59"/>
    <mergeCell ref="C60:D60"/>
    <mergeCell ref="C61:D61"/>
  </mergeCells>
  <dataValidations count="2">
    <dataValidation allowBlank="true" errorStyle="stop" operator="between" showDropDown="false" showErrorMessage="false" showInputMessage="false" sqref="C9" type="list">
      <formula1>"Implantación,Operación"</formula1>
      <formula2>0</formula2>
    </dataValidation>
    <dataValidation allowBlank="true" errorStyle="stop" operator="between" showDropDown="false" showErrorMessage="false" showInputMessage="false" sqref="C13" type="list">
      <formula1>"Vigente,Conservador,Optimista"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N12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58"/>
    <col collapsed="false" customWidth="true" hidden="false" outlineLevel="0" max="3" min="3" style="0" width="15"/>
    <col collapsed="false" customWidth="true" hidden="false" outlineLevel="0" max="7" min="4" style="0" width="14"/>
    <col collapsed="false" customWidth="true" hidden="false" outlineLevel="0" max="13" min="8" style="0" width="13"/>
    <col collapsed="false" customWidth="true" hidden="false" outlineLevel="0" max="14" min="14" style="0" width="60"/>
  </cols>
  <sheetData>
    <row r="1" customFormat="false" ht="16.15" hidden="false" customHeight="false" outlineLevel="0" collapsed="false">
      <c r="A1" s="1" t="s">
        <v>80</v>
      </c>
    </row>
    <row r="2" customFormat="false" ht="15" hidden="false" customHeight="false" outlineLevel="0" collapsed="false">
      <c r="A2" s="2" t="s">
        <v>81</v>
      </c>
    </row>
    <row r="4" customFormat="false" ht="15" hidden="false" customHeight="false" outlineLevel="0" collapsed="false">
      <c r="A4" s="3" t="s">
        <v>82</v>
      </c>
      <c r="B4" s="4"/>
      <c r="C4" s="4"/>
      <c r="D4" s="4"/>
      <c r="E4" s="4"/>
      <c r="F4" s="4"/>
      <c r="G4" s="4"/>
      <c r="H4" s="4"/>
      <c r="I4" s="4"/>
      <c r="J4" s="4"/>
      <c r="K4" s="4"/>
      <c r="L4" s="4"/>
      <c r="M4" s="4"/>
      <c r="N4" s="4"/>
    </row>
    <row r="5" customFormat="false" ht="30" hidden="false" customHeight="true" outlineLevel="0" collapsed="false">
      <c r="A5" s="5" t="s">
        <v>83</v>
      </c>
      <c r="B5" s="5" t="s">
        <v>84</v>
      </c>
      <c r="C5" s="5" t="s">
        <v>85</v>
      </c>
      <c r="D5" s="5" t="s">
        <v>32</v>
      </c>
      <c r="E5" s="5" t="s">
        <v>18</v>
      </c>
      <c r="F5" s="17" t="s">
        <v>86</v>
      </c>
      <c r="G5" s="17"/>
      <c r="H5" s="17"/>
      <c r="I5" s="17"/>
      <c r="J5" s="17"/>
      <c r="K5" s="17"/>
      <c r="L5" s="17"/>
      <c r="M5" s="17"/>
      <c r="N5" s="17"/>
    </row>
    <row r="6" customFormat="false" ht="15" hidden="false" customHeight="false" outlineLevel="0" collapsed="false">
      <c r="A6" s="6" t="s">
        <v>87</v>
      </c>
      <c r="B6" s="6" t="s">
        <v>88</v>
      </c>
      <c r="C6" s="6" t="s">
        <v>89</v>
      </c>
      <c r="D6" s="9"/>
      <c r="E6" s="18" t="n">
        <f aca="false">D6</f>
        <v>0</v>
      </c>
      <c r="F6" s="2"/>
    </row>
    <row r="7" customFormat="false" ht="15" hidden="false" customHeight="false" outlineLevel="0" collapsed="false">
      <c r="A7" s="6" t="s">
        <v>90</v>
      </c>
      <c r="B7" s="6" t="s">
        <v>91</v>
      </c>
      <c r="C7" s="6" t="s">
        <v>92</v>
      </c>
      <c r="D7" s="9" t="n">
        <v>10</v>
      </c>
      <c r="E7" s="19" t="n">
        <f aca="false">D7</f>
        <v>10</v>
      </c>
      <c r="F7" s="2" t="s">
        <v>93</v>
      </c>
    </row>
    <row r="8" customFormat="false" ht="15" hidden="false" customHeight="false" outlineLevel="0" collapsed="false">
      <c r="A8" s="6" t="s">
        <v>94</v>
      </c>
      <c r="B8" s="6" t="s">
        <v>95</v>
      </c>
      <c r="C8" s="6" t="s">
        <v>96</v>
      </c>
      <c r="D8" s="20"/>
      <c r="E8" s="21" t="n">
        <f aca="false">D8</f>
        <v>0</v>
      </c>
      <c r="F8" s="2"/>
    </row>
    <row r="9" customFormat="false" ht="15" hidden="false" customHeight="false" outlineLevel="0" collapsed="false">
      <c r="A9" s="6" t="s">
        <v>97</v>
      </c>
      <c r="B9" s="6" t="s">
        <v>98</v>
      </c>
      <c r="C9" s="6" t="s">
        <v>96</v>
      </c>
      <c r="D9" s="20"/>
      <c r="E9" s="21" t="n">
        <f aca="false">D9</f>
        <v>0</v>
      </c>
      <c r="F9" s="2"/>
    </row>
    <row r="10" customFormat="false" ht="15" hidden="false" customHeight="false" outlineLevel="0" collapsed="false">
      <c r="A10" s="6" t="s">
        <v>99</v>
      </c>
      <c r="B10" s="6" t="s">
        <v>100</v>
      </c>
      <c r="C10" s="6" t="s">
        <v>101</v>
      </c>
      <c r="D10" s="22"/>
      <c r="E10" s="23" t="n">
        <f aca="false">D10</f>
        <v>0</v>
      </c>
      <c r="F10" s="2"/>
    </row>
    <row r="11" customFormat="false" ht="15" hidden="false" customHeight="false" outlineLevel="0" collapsed="false">
      <c r="A11" s="6" t="s">
        <v>102</v>
      </c>
      <c r="B11" s="6" t="s">
        <v>103</v>
      </c>
      <c r="C11" s="6" t="s">
        <v>104</v>
      </c>
      <c r="D11" s="24"/>
      <c r="E11" s="25" t="n">
        <f aca="false">D11</f>
        <v>0</v>
      </c>
      <c r="F11" s="2"/>
    </row>
    <row r="12" customFormat="false" ht="15" hidden="false" customHeight="false" outlineLevel="0" collapsed="false">
      <c r="A12" s="6" t="s">
        <v>105</v>
      </c>
      <c r="B12" s="6" t="s">
        <v>106</v>
      </c>
      <c r="C12" s="6" t="s">
        <v>104</v>
      </c>
      <c r="D12" s="24"/>
      <c r="E12" s="25" t="n">
        <f aca="false">D12</f>
        <v>0</v>
      </c>
      <c r="F12" s="2"/>
    </row>
    <row r="13" customFormat="false" ht="15" hidden="false" customHeight="false" outlineLevel="0" collapsed="false">
      <c r="A13" s="6" t="s">
        <v>107</v>
      </c>
      <c r="B13" s="6" t="s">
        <v>108</v>
      </c>
      <c r="C13" s="6" t="s">
        <v>96</v>
      </c>
      <c r="D13" s="20"/>
      <c r="E13" s="21" t="n">
        <f aca="false">D13</f>
        <v>0</v>
      </c>
      <c r="F13" s="2"/>
    </row>
    <row r="14" customFormat="false" ht="15" hidden="false" customHeight="false" outlineLevel="0" collapsed="false">
      <c r="A14" s="6" t="s">
        <v>109</v>
      </c>
      <c r="B14" s="6" t="s">
        <v>110</v>
      </c>
      <c r="C14" s="6" t="s">
        <v>96</v>
      </c>
      <c r="D14" s="20"/>
      <c r="E14" s="21" t="n">
        <f aca="false">D14</f>
        <v>0</v>
      </c>
      <c r="F14" s="2"/>
    </row>
    <row r="15" customFormat="false" ht="15" hidden="false" customHeight="false" outlineLevel="0" collapsed="false">
      <c r="A15" s="6" t="s">
        <v>111</v>
      </c>
      <c r="B15" s="6" t="s">
        <v>112</v>
      </c>
      <c r="C15" s="6" t="s">
        <v>96</v>
      </c>
      <c r="D15" s="20"/>
      <c r="E15" s="21" t="n">
        <f aca="false">D15</f>
        <v>0</v>
      </c>
      <c r="F15" s="2"/>
    </row>
    <row r="16" customFormat="false" ht="15" hidden="false" customHeight="false" outlineLevel="0" collapsed="false">
      <c r="A16" s="6" t="s">
        <v>113</v>
      </c>
      <c r="B16" s="6" t="s">
        <v>114</v>
      </c>
      <c r="C16" s="6" t="s">
        <v>96</v>
      </c>
      <c r="D16" s="20"/>
      <c r="E16" s="21" t="n">
        <f aca="false">D16</f>
        <v>0</v>
      </c>
      <c r="F16" s="2"/>
    </row>
    <row r="17" customFormat="false" ht="15" hidden="false" customHeight="false" outlineLevel="0" collapsed="false">
      <c r="A17" s="6" t="s">
        <v>115</v>
      </c>
      <c r="B17" s="6" t="s">
        <v>116</v>
      </c>
      <c r="C17" s="6" t="s">
        <v>96</v>
      </c>
      <c r="D17" s="20"/>
      <c r="E17" s="21" t="n">
        <f aca="false">D17</f>
        <v>0</v>
      </c>
      <c r="F17" s="2"/>
    </row>
    <row r="18" customFormat="false" ht="15" hidden="false" customHeight="false" outlineLevel="0" collapsed="false">
      <c r="A18" s="6" t="s">
        <v>117</v>
      </c>
      <c r="B18" s="6" t="s">
        <v>118</v>
      </c>
      <c r="C18" s="6" t="s">
        <v>96</v>
      </c>
      <c r="D18" s="20"/>
      <c r="E18" s="21" t="n">
        <f aca="false">D18</f>
        <v>0</v>
      </c>
      <c r="F18" s="2"/>
    </row>
    <row r="19" customFormat="false" ht="15" hidden="false" customHeight="false" outlineLevel="0" collapsed="false">
      <c r="A19" s="6" t="s">
        <v>119</v>
      </c>
      <c r="B19" s="6" t="s">
        <v>120</v>
      </c>
      <c r="C19" s="6" t="s">
        <v>96</v>
      </c>
      <c r="D19" s="20"/>
      <c r="E19" s="21" t="n">
        <f aca="false">D19</f>
        <v>0</v>
      </c>
      <c r="F19" s="2"/>
    </row>
    <row r="20" customFormat="false" ht="15" hidden="false" customHeight="false" outlineLevel="0" collapsed="false">
      <c r="A20" s="6" t="s">
        <v>121</v>
      </c>
      <c r="B20" s="6" t="s">
        <v>122</v>
      </c>
      <c r="C20" s="6" t="s">
        <v>96</v>
      </c>
      <c r="D20" s="20"/>
      <c r="E20" s="21" t="n">
        <f aca="false">D20</f>
        <v>0</v>
      </c>
      <c r="F20" s="2"/>
    </row>
    <row r="21" customFormat="false" ht="15" hidden="false" customHeight="false" outlineLevel="0" collapsed="false">
      <c r="A21" s="6" t="s">
        <v>123</v>
      </c>
      <c r="B21" s="6" t="s">
        <v>124</v>
      </c>
      <c r="C21" s="6" t="s">
        <v>125</v>
      </c>
      <c r="D21" s="9"/>
      <c r="E21" s="18" t="n">
        <f aca="false">D21</f>
        <v>0</v>
      </c>
      <c r="F21" s="2"/>
    </row>
    <row r="22" customFormat="false" ht="15" hidden="false" customHeight="false" outlineLevel="0" collapsed="false">
      <c r="A22" s="6" t="s">
        <v>126</v>
      </c>
      <c r="B22" s="6" t="s">
        <v>127</v>
      </c>
      <c r="C22" s="6" t="s">
        <v>125</v>
      </c>
      <c r="D22" s="9"/>
      <c r="E22" s="18" t="n">
        <f aca="false">D22</f>
        <v>0</v>
      </c>
      <c r="F22" s="2"/>
    </row>
    <row r="23" customFormat="false" ht="15" hidden="false" customHeight="false" outlineLevel="0" collapsed="false">
      <c r="A23" s="6" t="s">
        <v>128</v>
      </c>
      <c r="B23" s="6" t="s">
        <v>129</v>
      </c>
      <c r="C23" s="6" t="s">
        <v>125</v>
      </c>
      <c r="D23" s="9"/>
      <c r="E23" s="18" t="n">
        <f aca="false">D23</f>
        <v>0</v>
      </c>
      <c r="F23" s="2"/>
    </row>
    <row r="24" customFormat="false" ht="15" hidden="false" customHeight="false" outlineLevel="0" collapsed="false">
      <c r="A24" s="6" t="s">
        <v>130</v>
      </c>
      <c r="B24" s="6" t="s">
        <v>131</v>
      </c>
      <c r="C24" s="6" t="s">
        <v>125</v>
      </c>
      <c r="D24" s="9"/>
      <c r="E24" s="18" t="n">
        <f aca="false">D24</f>
        <v>0</v>
      </c>
      <c r="F24" s="2"/>
    </row>
    <row r="25" customFormat="false" ht="15" hidden="false" customHeight="false" outlineLevel="0" collapsed="false">
      <c r="A25" s="6" t="s">
        <v>132</v>
      </c>
      <c r="B25" s="6" t="s">
        <v>133</v>
      </c>
      <c r="C25" s="6" t="s">
        <v>125</v>
      </c>
      <c r="D25" s="9"/>
      <c r="E25" s="18" t="n">
        <f aca="false">D25</f>
        <v>0</v>
      </c>
      <c r="F25" s="2"/>
    </row>
    <row r="26" customFormat="false" ht="15" hidden="false" customHeight="false" outlineLevel="0" collapsed="false">
      <c r="A26" s="6" t="s">
        <v>134</v>
      </c>
      <c r="B26" s="6" t="s">
        <v>135</v>
      </c>
      <c r="C26" s="6" t="s">
        <v>136</v>
      </c>
      <c r="D26" s="9"/>
      <c r="E26" s="18" t="n">
        <f aca="false">D26</f>
        <v>0</v>
      </c>
      <c r="F26" s="2"/>
    </row>
    <row r="27" customFormat="false" ht="15" hidden="false" customHeight="false" outlineLevel="0" collapsed="false">
      <c r="A27" s="6" t="s">
        <v>137</v>
      </c>
      <c r="B27" s="6" t="s">
        <v>138</v>
      </c>
      <c r="C27" s="6" t="s">
        <v>96</v>
      </c>
      <c r="D27" s="24"/>
      <c r="E27" s="25" t="n">
        <f aca="false">D27</f>
        <v>0</v>
      </c>
      <c r="F27" s="2"/>
    </row>
    <row r="28" customFormat="false" ht="15" hidden="false" customHeight="false" outlineLevel="0" collapsed="false">
      <c r="A28" s="6" t="s">
        <v>139</v>
      </c>
      <c r="B28" s="6" t="s">
        <v>140</v>
      </c>
      <c r="C28" s="6" t="s">
        <v>141</v>
      </c>
      <c r="D28" s="9"/>
      <c r="E28" s="18" t="n">
        <f aca="false">D28</f>
        <v>0</v>
      </c>
      <c r="F28" s="2"/>
    </row>
    <row r="29" customFormat="false" ht="15" hidden="false" customHeight="false" outlineLevel="0" collapsed="false">
      <c r="A29" s="6" t="s">
        <v>142</v>
      </c>
      <c r="B29" s="6" t="s">
        <v>143</v>
      </c>
      <c r="C29" s="6" t="s">
        <v>96</v>
      </c>
      <c r="D29" s="24"/>
      <c r="E29" s="25" t="n">
        <f aca="false">D29</f>
        <v>0</v>
      </c>
      <c r="F29" s="2"/>
    </row>
    <row r="30" customFormat="false" ht="15" hidden="false" customHeight="false" outlineLevel="0" collapsed="false">
      <c r="A30" s="6" t="s">
        <v>144</v>
      </c>
      <c r="B30" s="6" t="s">
        <v>145</v>
      </c>
      <c r="C30" s="6" t="s">
        <v>96</v>
      </c>
      <c r="D30" s="20"/>
      <c r="E30" s="21" t="n">
        <f aca="false">D30</f>
        <v>0</v>
      </c>
      <c r="F30" s="2"/>
    </row>
    <row r="31" customFormat="false" ht="15" hidden="false" customHeight="false" outlineLevel="0" collapsed="false">
      <c r="A31" s="6" t="s">
        <v>146</v>
      </c>
      <c r="B31" s="6" t="s">
        <v>147</v>
      </c>
      <c r="C31" s="6" t="s">
        <v>96</v>
      </c>
      <c r="D31" s="20"/>
      <c r="E31" s="21" t="n">
        <f aca="false">D31</f>
        <v>0</v>
      </c>
      <c r="F31" s="2"/>
    </row>
    <row r="32" customFormat="false" ht="15" hidden="false" customHeight="false" outlineLevel="0" collapsed="false">
      <c r="A32" s="6" t="s">
        <v>148</v>
      </c>
      <c r="B32" s="6" t="s">
        <v>149</v>
      </c>
      <c r="C32" s="6" t="s">
        <v>96</v>
      </c>
      <c r="D32" s="24"/>
      <c r="E32" s="25" t="n">
        <f aca="false">D32</f>
        <v>0</v>
      </c>
      <c r="F32" s="2"/>
    </row>
    <row r="33" customFormat="false" ht="15" hidden="false" customHeight="false" outlineLevel="0" collapsed="false">
      <c r="A33" s="6" t="s">
        <v>150</v>
      </c>
      <c r="B33" s="6" t="s">
        <v>151</v>
      </c>
      <c r="C33" s="6" t="s">
        <v>96</v>
      </c>
      <c r="D33" s="24"/>
      <c r="E33" s="25" t="n">
        <f aca="false">D33</f>
        <v>0</v>
      </c>
      <c r="F33" s="2"/>
    </row>
    <row r="34" customFormat="false" ht="15" hidden="false" customHeight="false" outlineLevel="0" collapsed="false">
      <c r="A34" s="6" t="s">
        <v>152</v>
      </c>
      <c r="B34" s="6" t="s">
        <v>153</v>
      </c>
      <c r="C34" s="6" t="s">
        <v>89</v>
      </c>
      <c r="D34" s="9"/>
      <c r="E34" s="18" t="n">
        <f aca="false">D34</f>
        <v>0</v>
      </c>
      <c r="F34" s="2"/>
    </row>
    <row r="36" customFormat="false" ht="15" hidden="false" customHeight="false" outlineLevel="0" collapsed="false">
      <c r="A36" s="3" t="s">
        <v>154</v>
      </c>
      <c r="B36" s="4"/>
      <c r="C36" s="4"/>
      <c r="D36" s="4"/>
      <c r="E36" s="4"/>
      <c r="F36" s="4"/>
      <c r="G36" s="4"/>
      <c r="H36" s="4"/>
      <c r="I36" s="4"/>
      <c r="J36" s="4"/>
      <c r="K36" s="4"/>
      <c r="L36" s="4"/>
      <c r="M36" s="4"/>
      <c r="N36" s="4"/>
    </row>
    <row r="37" customFormat="false" ht="15" hidden="false" customHeight="false" outlineLevel="0" collapsed="false">
      <c r="A37" s="5" t="s">
        <v>83</v>
      </c>
      <c r="B37" s="5" t="s">
        <v>155</v>
      </c>
      <c r="C37" s="5" t="s">
        <v>85</v>
      </c>
      <c r="D37" s="5" t="s">
        <v>156</v>
      </c>
      <c r="E37" s="5" t="s">
        <v>157</v>
      </c>
      <c r="F37" s="5" t="s">
        <v>158</v>
      </c>
      <c r="G37" s="5" t="s">
        <v>159</v>
      </c>
      <c r="H37" s="5" t="s">
        <v>160</v>
      </c>
      <c r="I37" s="5" t="s">
        <v>161</v>
      </c>
      <c r="J37" s="5" t="s">
        <v>162</v>
      </c>
      <c r="K37" s="5" t="s">
        <v>163</v>
      </c>
      <c r="L37" s="5" t="s">
        <v>164</v>
      </c>
      <c r="M37" s="5" t="s">
        <v>165</v>
      </c>
      <c r="N37" s="5" t="s">
        <v>166</v>
      </c>
    </row>
    <row r="38" customFormat="false" ht="15" hidden="false" customHeight="false" outlineLevel="0" collapsed="false">
      <c r="B38" s="26" t="s">
        <v>167</v>
      </c>
    </row>
    <row r="39" customFormat="false" ht="15" hidden="false" customHeight="false" outlineLevel="0" collapsed="false">
      <c r="A39" s="6" t="s">
        <v>168</v>
      </c>
      <c r="B39" s="6" t="s">
        <v>169</v>
      </c>
      <c r="C39" s="6" t="s">
        <v>170</v>
      </c>
      <c r="D39" s="22"/>
      <c r="E39" s="22"/>
      <c r="F39" s="22"/>
      <c r="G39" s="22"/>
      <c r="H39" s="22"/>
      <c r="I39" s="22"/>
      <c r="J39" s="22"/>
      <c r="K39" s="22"/>
      <c r="L39" s="22"/>
      <c r="M39" s="22"/>
    </row>
    <row r="40" customFormat="false" ht="15" hidden="false" customHeight="false" outlineLevel="0" collapsed="false">
      <c r="A40" s="6" t="s">
        <v>171</v>
      </c>
      <c r="B40" s="6" t="s">
        <v>172</v>
      </c>
      <c r="C40" s="6" t="s">
        <v>96</v>
      </c>
      <c r="D40" s="24"/>
      <c r="E40" s="24"/>
      <c r="F40" s="24"/>
      <c r="G40" s="24"/>
      <c r="H40" s="24"/>
      <c r="I40" s="24"/>
      <c r="J40" s="24"/>
      <c r="K40" s="24"/>
      <c r="L40" s="24"/>
      <c r="M40" s="24"/>
    </row>
    <row r="41" customFormat="false" ht="15" hidden="false" customHeight="false" outlineLevel="0" collapsed="false">
      <c r="A41" s="6" t="s">
        <v>173</v>
      </c>
      <c r="B41" s="6" t="s">
        <v>174</v>
      </c>
      <c r="C41" s="6" t="s">
        <v>96</v>
      </c>
      <c r="D41" s="24"/>
      <c r="E41" s="24"/>
      <c r="F41" s="24"/>
      <c r="G41" s="24"/>
      <c r="H41" s="24"/>
      <c r="I41" s="24"/>
      <c r="J41" s="24"/>
      <c r="K41" s="24"/>
      <c r="L41" s="24"/>
      <c r="M41" s="24"/>
    </row>
    <row r="42" customFormat="false" ht="15" hidden="false" customHeight="false" outlineLevel="0" collapsed="false">
      <c r="A42" s="6" t="s">
        <v>175</v>
      </c>
      <c r="B42" s="6" t="s">
        <v>176</v>
      </c>
      <c r="C42" s="6" t="s">
        <v>96</v>
      </c>
      <c r="D42" s="24"/>
      <c r="E42" s="24"/>
      <c r="F42" s="24"/>
      <c r="G42" s="24"/>
      <c r="H42" s="24"/>
      <c r="I42" s="24"/>
      <c r="J42" s="24"/>
      <c r="K42" s="24"/>
      <c r="L42" s="24"/>
      <c r="M42" s="24"/>
    </row>
    <row r="43" customFormat="false" ht="15" hidden="false" customHeight="false" outlineLevel="0" collapsed="false">
      <c r="A43" s="6" t="s">
        <v>177</v>
      </c>
      <c r="B43" s="6" t="s">
        <v>178</v>
      </c>
      <c r="C43" s="6" t="s">
        <v>96</v>
      </c>
      <c r="D43" s="24"/>
      <c r="E43" s="24"/>
      <c r="F43" s="24"/>
      <c r="G43" s="24"/>
      <c r="H43" s="24"/>
      <c r="I43" s="24"/>
      <c r="J43" s="24"/>
      <c r="K43" s="24"/>
      <c r="L43" s="24"/>
      <c r="M43" s="24"/>
    </row>
    <row r="44" customFormat="false" ht="15" hidden="false" customHeight="false" outlineLevel="0" collapsed="false">
      <c r="A44" s="6" t="s">
        <v>179</v>
      </c>
      <c r="B44" s="6" t="s">
        <v>180</v>
      </c>
      <c r="C44" s="6" t="s">
        <v>96</v>
      </c>
      <c r="D44" s="24"/>
      <c r="E44" s="24"/>
      <c r="F44" s="24"/>
      <c r="G44" s="24"/>
      <c r="H44" s="24"/>
      <c r="I44" s="24"/>
      <c r="J44" s="24"/>
      <c r="K44" s="24"/>
      <c r="L44" s="24"/>
      <c r="M44" s="24"/>
    </row>
    <row r="45" customFormat="false" ht="15" hidden="false" customHeight="false" outlineLevel="0" collapsed="false">
      <c r="B45" s="2" t="s">
        <v>181</v>
      </c>
      <c r="D45" s="27" t="n">
        <f aca="false">1</f>
        <v>1</v>
      </c>
      <c r="E45" s="27" t="n">
        <f aca="false">D45*(1+N(E40))</f>
        <v>1</v>
      </c>
      <c r="F45" s="27" t="n">
        <f aca="false">E45*(1+N(F40))</f>
        <v>1</v>
      </c>
      <c r="G45" s="27" t="n">
        <f aca="false">F45*(1+N(G40))</f>
        <v>1</v>
      </c>
      <c r="H45" s="27" t="n">
        <f aca="false">G45*(1+N(H40))</f>
        <v>1</v>
      </c>
      <c r="I45" s="27" t="n">
        <f aca="false">H45*(1+N(I40))</f>
        <v>1</v>
      </c>
      <c r="J45" s="27" t="n">
        <f aca="false">I45*(1+N(J40))</f>
        <v>1</v>
      </c>
      <c r="K45" s="27" t="n">
        <f aca="false">J45*(1+N(K40))</f>
        <v>1</v>
      </c>
      <c r="L45" s="27" t="n">
        <f aca="false">K45*(1+N(L40))</f>
        <v>1</v>
      </c>
      <c r="M45" s="27" t="n">
        <f aca="false">L45*(1+N(M40))</f>
        <v>1</v>
      </c>
    </row>
    <row r="46" customFormat="false" ht="15" hidden="false" customHeight="false" outlineLevel="0" collapsed="false">
      <c r="B46" s="2" t="s">
        <v>182</v>
      </c>
      <c r="D46" s="27" t="n">
        <f aca="false">1</f>
        <v>1</v>
      </c>
      <c r="E46" s="27" t="n">
        <f aca="false">D46*(1+N(E41))</f>
        <v>1</v>
      </c>
      <c r="F46" s="27" t="n">
        <f aca="false">E46*(1+N(F41))</f>
        <v>1</v>
      </c>
      <c r="G46" s="27" t="n">
        <f aca="false">F46*(1+N(G41))</f>
        <v>1</v>
      </c>
      <c r="H46" s="27" t="n">
        <f aca="false">G46*(1+N(H41))</f>
        <v>1</v>
      </c>
      <c r="I46" s="27" t="n">
        <f aca="false">H46*(1+N(I41))</f>
        <v>1</v>
      </c>
      <c r="J46" s="27" t="n">
        <f aca="false">I46*(1+N(J41))</f>
        <v>1</v>
      </c>
      <c r="K46" s="27" t="n">
        <f aca="false">J46*(1+N(K41))</f>
        <v>1</v>
      </c>
      <c r="L46" s="27" t="n">
        <f aca="false">K46*(1+N(L41))</f>
        <v>1</v>
      </c>
      <c r="M46" s="27" t="n">
        <f aca="false">L46*(1+N(M41))</f>
        <v>1</v>
      </c>
    </row>
    <row r="47" customFormat="false" ht="15" hidden="false" customHeight="false" outlineLevel="0" collapsed="false">
      <c r="B47" s="2" t="s">
        <v>183</v>
      </c>
      <c r="D47" s="27" t="n">
        <f aca="false">1</f>
        <v>1</v>
      </c>
      <c r="E47" s="27" t="n">
        <f aca="false">D47*(1+N(E42))</f>
        <v>1</v>
      </c>
      <c r="F47" s="27" t="n">
        <f aca="false">E47*(1+N(F42))</f>
        <v>1</v>
      </c>
      <c r="G47" s="27" t="n">
        <f aca="false">F47*(1+N(G42))</f>
        <v>1</v>
      </c>
      <c r="H47" s="27" t="n">
        <f aca="false">G47*(1+N(H42))</f>
        <v>1</v>
      </c>
      <c r="I47" s="27" t="n">
        <f aca="false">H47*(1+N(I42))</f>
        <v>1</v>
      </c>
      <c r="J47" s="27" t="n">
        <f aca="false">I47*(1+N(J42))</f>
        <v>1</v>
      </c>
      <c r="K47" s="27" t="n">
        <f aca="false">J47*(1+N(K42))</f>
        <v>1</v>
      </c>
      <c r="L47" s="27" t="n">
        <f aca="false">K47*(1+N(L42))</f>
        <v>1</v>
      </c>
      <c r="M47" s="27" t="n">
        <f aca="false">L47*(1+N(M42))</f>
        <v>1</v>
      </c>
    </row>
    <row r="48" customFormat="false" ht="15" hidden="false" customHeight="false" outlineLevel="0" collapsed="false">
      <c r="B48" s="2" t="s">
        <v>184</v>
      </c>
      <c r="D48" s="27" t="n">
        <f aca="false">1</f>
        <v>1</v>
      </c>
      <c r="E48" s="27" t="n">
        <f aca="false">D48*(1+N(E43))</f>
        <v>1</v>
      </c>
      <c r="F48" s="27" t="n">
        <f aca="false">E48*(1+N(F43))</f>
        <v>1</v>
      </c>
      <c r="G48" s="27" t="n">
        <f aca="false">F48*(1+N(G43))</f>
        <v>1</v>
      </c>
      <c r="H48" s="27" t="n">
        <f aca="false">G48*(1+N(H43))</f>
        <v>1</v>
      </c>
      <c r="I48" s="27" t="n">
        <f aca="false">H48*(1+N(I43))</f>
        <v>1</v>
      </c>
      <c r="J48" s="27" t="n">
        <f aca="false">I48*(1+N(J43))</f>
        <v>1</v>
      </c>
      <c r="K48" s="27" t="n">
        <f aca="false">J48*(1+N(K43))</f>
        <v>1</v>
      </c>
      <c r="L48" s="27" t="n">
        <f aca="false">K48*(1+N(L43))</f>
        <v>1</v>
      </c>
      <c r="M48" s="27" t="n">
        <f aca="false">L48*(1+N(M43))</f>
        <v>1</v>
      </c>
    </row>
    <row r="50" customFormat="false" ht="15" hidden="false" customHeight="false" outlineLevel="0" collapsed="false">
      <c r="B50" s="28" t="s">
        <v>185</v>
      </c>
    </row>
    <row r="51" customFormat="false" ht="15" hidden="false" customHeight="false" outlineLevel="0" collapsed="false">
      <c r="A51" s="6" t="s">
        <v>168</v>
      </c>
      <c r="B51" s="6" t="s">
        <v>169</v>
      </c>
      <c r="C51" s="6" t="s">
        <v>170</v>
      </c>
      <c r="D51" s="23" t="n">
        <f aca="false">D39</f>
        <v>0</v>
      </c>
      <c r="E51" s="23" t="n">
        <f aca="false">E39</f>
        <v>0</v>
      </c>
      <c r="F51" s="23" t="n">
        <f aca="false">F39</f>
        <v>0</v>
      </c>
      <c r="G51" s="23" t="n">
        <f aca="false">G39</f>
        <v>0</v>
      </c>
      <c r="H51" s="23" t="n">
        <f aca="false">H39</f>
        <v>0</v>
      </c>
      <c r="I51" s="23" t="n">
        <f aca="false">I39</f>
        <v>0</v>
      </c>
      <c r="J51" s="23" t="n">
        <f aca="false">J39</f>
        <v>0</v>
      </c>
      <c r="K51" s="23" t="n">
        <f aca="false">K39</f>
        <v>0</v>
      </c>
      <c r="L51" s="23" t="n">
        <f aca="false">L39</f>
        <v>0</v>
      </c>
      <c r="M51" s="23" t="n">
        <f aca="false">M39</f>
        <v>0</v>
      </c>
    </row>
    <row r="52" customFormat="false" ht="15" hidden="false" customHeight="false" outlineLevel="0" collapsed="false">
      <c r="A52" s="6" t="s">
        <v>171</v>
      </c>
      <c r="B52" s="6" t="s">
        <v>172</v>
      </c>
      <c r="C52" s="6" t="s">
        <v>96</v>
      </c>
      <c r="D52" s="25" t="n">
        <f aca="false">D40</f>
        <v>0</v>
      </c>
      <c r="E52" s="25" t="n">
        <f aca="false">E40</f>
        <v>0</v>
      </c>
      <c r="F52" s="25" t="n">
        <f aca="false">F40</f>
        <v>0</v>
      </c>
      <c r="G52" s="25" t="n">
        <f aca="false">G40</f>
        <v>0</v>
      </c>
      <c r="H52" s="25" t="n">
        <f aca="false">H40</f>
        <v>0</v>
      </c>
      <c r="I52" s="25" t="n">
        <f aca="false">I40</f>
        <v>0</v>
      </c>
      <c r="J52" s="25" t="n">
        <f aca="false">J40</f>
        <v>0</v>
      </c>
      <c r="K52" s="25" t="n">
        <f aca="false">K40</f>
        <v>0</v>
      </c>
      <c r="L52" s="25" t="n">
        <f aca="false">L40</f>
        <v>0</v>
      </c>
      <c r="M52" s="25" t="n">
        <f aca="false">M40</f>
        <v>0</v>
      </c>
    </row>
    <row r="53" customFormat="false" ht="15" hidden="false" customHeight="false" outlineLevel="0" collapsed="false">
      <c r="A53" s="6" t="s">
        <v>173</v>
      </c>
      <c r="B53" s="6" t="s">
        <v>174</v>
      </c>
      <c r="C53" s="6" t="s">
        <v>96</v>
      </c>
      <c r="D53" s="25" t="n">
        <f aca="false">D41</f>
        <v>0</v>
      </c>
      <c r="E53" s="25" t="n">
        <f aca="false">E41</f>
        <v>0</v>
      </c>
      <c r="F53" s="25" t="n">
        <f aca="false">F41</f>
        <v>0</v>
      </c>
      <c r="G53" s="25" t="n">
        <f aca="false">G41</f>
        <v>0</v>
      </c>
      <c r="H53" s="25" t="n">
        <f aca="false">H41</f>
        <v>0</v>
      </c>
      <c r="I53" s="25" t="n">
        <f aca="false">I41</f>
        <v>0</v>
      </c>
      <c r="J53" s="25" t="n">
        <f aca="false">J41</f>
        <v>0</v>
      </c>
      <c r="K53" s="25" t="n">
        <f aca="false">K41</f>
        <v>0</v>
      </c>
      <c r="L53" s="25" t="n">
        <f aca="false">L41</f>
        <v>0</v>
      </c>
      <c r="M53" s="25" t="n">
        <f aca="false">M41</f>
        <v>0</v>
      </c>
    </row>
    <row r="54" customFormat="false" ht="15" hidden="false" customHeight="false" outlineLevel="0" collapsed="false">
      <c r="A54" s="6" t="s">
        <v>175</v>
      </c>
      <c r="B54" s="6" t="s">
        <v>176</v>
      </c>
      <c r="C54" s="6" t="s">
        <v>96</v>
      </c>
      <c r="D54" s="25" t="n">
        <f aca="false">D42</f>
        <v>0</v>
      </c>
      <c r="E54" s="25" t="n">
        <f aca="false">E42</f>
        <v>0</v>
      </c>
      <c r="F54" s="25" t="n">
        <f aca="false">F42</f>
        <v>0</v>
      </c>
      <c r="G54" s="25" t="n">
        <f aca="false">G42</f>
        <v>0</v>
      </c>
      <c r="H54" s="25" t="n">
        <f aca="false">H42</f>
        <v>0</v>
      </c>
      <c r="I54" s="25" t="n">
        <f aca="false">I42</f>
        <v>0</v>
      </c>
      <c r="J54" s="25" t="n">
        <f aca="false">J42</f>
        <v>0</v>
      </c>
      <c r="K54" s="25" t="n">
        <f aca="false">K42</f>
        <v>0</v>
      </c>
      <c r="L54" s="25" t="n">
        <f aca="false">L42</f>
        <v>0</v>
      </c>
      <c r="M54" s="25" t="n">
        <f aca="false">M42</f>
        <v>0</v>
      </c>
    </row>
    <row r="55" customFormat="false" ht="15" hidden="false" customHeight="false" outlineLevel="0" collapsed="false">
      <c r="A55" s="6" t="s">
        <v>177</v>
      </c>
      <c r="B55" s="6" t="s">
        <v>178</v>
      </c>
      <c r="C55" s="6" t="s">
        <v>96</v>
      </c>
      <c r="D55" s="25" t="n">
        <f aca="false">D43</f>
        <v>0</v>
      </c>
      <c r="E55" s="25" t="n">
        <f aca="false">E43</f>
        <v>0</v>
      </c>
      <c r="F55" s="25" t="n">
        <f aca="false">F43</f>
        <v>0</v>
      </c>
      <c r="G55" s="25" t="n">
        <f aca="false">G43</f>
        <v>0</v>
      </c>
      <c r="H55" s="25" t="n">
        <f aca="false">H43</f>
        <v>0</v>
      </c>
      <c r="I55" s="25" t="n">
        <f aca="false">I43</f>
        <v>0</v>
      </c>
      <c r="J55" s="25" t="n">
        <f aca="false">J43</f>
        <v>0</v>
      </c>
      <c r="K55" s="25" t="n">
        <f aca="false">K43</f>
        <v>0</v>
      </c>
      <c r="L55" s="25" t="n">
        <f aca="false">L43</f>
        <v>0</v>
      </c>
      <c r="M55" s="25" t="n">
        <f aca="false">M43</f>
        <v>0</v>
      </c>
    </row>
    <row r="56" customFormat="false" ht="15" hidden="false" customHeight="false" outlineLevel="0" collapsed="false">
      <c r="A56" s="6" t="s">
        <v>179</v>
      </c>
      <c r="B56" s="6" t="s">
        <v>180</v>
      </c>
      <c r="C56" s="6" t="s">
        <v>96</v>
      </c>
      <c r="D56" s="25" t="n">
        <f aca="false">D44</f>
        <v>0</v>
      </c>
      <c r="E56" s="25" t="n">
        <f aca="false">E44</f>
        <v>0</v>
      </c>
      <c r="F56" s="25" t="n">
        <f aca="false">F44</f>
        <v>0</v>
      </c>
      <c r="G56" s="25" t="n">
        <f aca="false">G44</f>
        <v>0</v>
      </c>
      <c r="H56" s="25" t="n">
        <f aca="false">H44</f>
        <v>0</v>
      </c>
      <c r="I56" s="25" t="n">
        <f aca="false">I44</f>
        <v>0</v>
      </c>
      <c r="J56" s="25" t="n">
        <f aca="false">J44</f>
        <v>0</v>
      </c>
      <c r="K56" s="25" t="n">
        <f aca="false">K44</f>
        <v>0</v>
      </c>
      <c r="L56" s="25" t="n">
        <f aca="false">L44</f>
        <v>0</v>
      </c>
      <c r="M56" s="25" t="n">
        <f aca="false">M44</f>
        <v>0</v>
      </c>
    </row>
    <row r="57" customFormat="false" ht="15" hidden="false" customHeight="false" outlineLevel="0" collapsed="false">
      <c r="B57" s="2" t="s">
        <v>181</v>
      </c>
      <c r="D57" s="27" t="n">
        <f aca="false">1</f>
        <v>1</v>
      </c>
      <c r="E57" s="27" t="n">
        <f aca="false">D57*(1+N(E52))</f>
        <v>1</v>
      </c>
      <c r="F57" s="27" t="n">
        <f aca="false">E57*(1+N(F52))</f>
        <v>1</v>
      </c>
      <c r="G57" s="27" t="n">
        <f aca="false">F57*(1+N(G52))</f>
        <v>1</v>
      </c>
      <c r="H57" s="27" t="n">
        <f aca="false">G57*(1+N(H52))</f>
        <v>1</v>
      </c>
      <c r="I57" s="27" t="n">
        <f aca="false">H57*(1+N(I52))</f>
        <v>1</v>
      </c>
      <c r="J57" s="27" t="n">
        <f aca="false">I57*(1+N(J52))</f>
        <v>1</v>
      </c>
      <c r="K57" s="27" t="n">
        <f aca="false">J57*(1+N(K52))</f>
        <v>1</v>
      </c>
      <c r="L57" s="27" t="n">
        <f aca="false">K57*(1+N(L52))</f>
        <v>1</v>
      </c>
      <c r="M57" s="27" t="n">
        <f aca="false">L57*(1+N(M52))</f>
        <v>1</v>
      </c>
    </row>
    <row r="58" customFormat="false" ht="15" hidden="false" customHeight="false" outlineLevel="0" collapsed="false">
      <c r="B58" s="2" t="s">
        <v>182</v>
      </c>
      <c r="D58" s="27" t="n">
        <f aca="false">1</f>
        <v>1</v>
      </c>
      <c r="E58" s="27" t="n">
        <f aca="false">D58*(1+N(E53))</f>
        <v>1</v>
      </c>
      <c r="F58" s="27" t="n">
        <f aca="false">E58*(1+N(F53))</f>
        <v>1</v>
      </c>
      <c r="G58" s="27" t="n">
        <f aca="false">F58*(1+N(G53))</f>
        <v>1</v>
      </c>
      <c r="H58" s="27" t="n">
        <f aca="false">G58*(1+N(H53))</f>
        <v>1</v>
      </c>
      <c r="I58" s="27" t="n">
        <f aca="false">H58*(1+N(I53))</f>
        <v>1</v>
      </c>
      <c r="J58" s="27" t="n">
        <f aca="false">I58*(1+N(J53))</f>
        <v>1</v>
      </c>
      <c r="K58" s="27" t="n">
        <f aca="false">J58*(1+N(K53))</f>
        <v>1</v>
      </c>
      <c r="L58" s="27" t="n">
        <f aca="false">K58*(1+N(L53))</f>
        <v>1</v>
      </c>
      <c r="M58" s="27" t="n">
        <f aca="false">L58*(1+N(M53))</f>
        <v>1</v>
      </c>
    </row>
    <row r="59" customFormat="false" ht="15" hidden="false" customHeight="false" outlineLevel="0" collapsed="false">
      <c r="B59" s="2" t="s">
        <v>183</v>
      </c>
      <c r="D59" s="27" t="n">
        <f aca="false">1</f>
        <v>1</v>
      </c>
      <c r="E59" s="27" t="n">
        <f aca="false">D59*(1+N(E54))</f>
        <v>1</v>
      </c>
      <c r="F59" s="27" t="n">
        <f aca="false">E59*(1+N(F54))</f>
        <v>1</v>
      </c>
      <c r="G59" s="27" t="n">
        <f aca="false">F59*(1+N(G54))</f>
        <v>1</v>
      </c>
      <c r="H59" s="27" t="n">
        <f aca="false">G59*(1+N(H54))</f>
        <v>1</v>
      </c>
      <c r="I59" s="27" t="n">
        <f aca="false">H59*(1+N(I54))</f>
        <v>1</v>
      </c>
      <c r="J59" s="27" t="n">
        <f aca="false">I59*(1+N(J54))</f>
        <v>1</v>
      </c>
      <c r="K59" s="27" t="n">
        <f aca="false">J59*(1+N(K54))</f>
        <v>1</v>
      </c>
      <c r="L59" s="27" t="n">
        <f aca="false">K59*(1+N(L54))</f>
        <v>1</v>
      </c>
      <c r="M59" s="27" t="n">
        <f aca="false">L59*(1+N(M54))</f>
        <v>1</v>
      </c>
    </row>
    <row r="60" customFormat="false" ht="15" hidden="false" customHeight="false" outlineLevel="0" collapsed="false">
      <c r="B60" s="2" t="s">
        <v>184</v>
      </c>
      <c r="D60" s="27" t="n">
        <f aca="false">1</f>
        <v>1</v>
      </c>
      <c r="E60" s="27" t="n">
        <f aca="false">D60*(1+N(E55))</f>
        <v>1</v>
      </c>
      <c r="F60" s="27" t="n">
        <f aca="false">E60*(1+N(F55))</f>
        <v>1</v>
      </c>
      <c r="G60" s="27" t="n">
        <f aca="false">F60*(1+N(G55))</f>
        <v>1</v>
      </c>
      <c r="H60" s="27" t="n">
        <f aca="false">G60*(1+N(H55))</f>
        <v>1</v>
      </c>
      <c r="I60" s="27" t="n">
        <f aca="false">H60*(1+N(I55))</f>
        <v>1</v>
      </c>
      <c r="J60" s="27" t="n">
        <f aca="false">I60*(1+N(J55))</f>
        <v>1</v>
      </c>
      <c r="K60" s="27" t="n">
        <f aca="false">J60*(1+N(K55))</f>
        <v>1</v>
      </c>
      <c r="L60" s="27" t="n">
        <f aca="false">K60*(1+N(L55))</f>
        <v>1</v>
      </c>
      <c r="M60" s="27" t="n">
        <f aca="false">L60*(1+N(M55))</f>
        <v>1</v>
      </c>
    </row>
    <row r="62" customFormat="false" ht="15" hidden="false" customHeight="false" outlineLevel="0" collapsed="false">
      <c r="A62" s="3" t="s">
        <v>186</v>
      </c>
      <c r="B62" s="4"/>
      <c r="C62" s="4"/>
      <c r="D62" s="4"/>
      <c r="E62" s="4"/>
      <c r="F62" s="4"/>
      <c r="G62" s="4"/>
      <c r="H62" s="4"/>
      <c r="I62" s="4"/>
      <c r="J62" s="4"/>
      <c r="K62" s="4"/>
      <c r="L62" s="4"/>
      <c r="M62" s="4"/>
      <c r="N62" s="4"/>
    </row>
    <row r="63" customFormat="false" ht="30" hidden="false" customHeight="true" outlineLevel="0" collapsed="false">
      <c r="A63" s="5" t="s">
        <v>83</v>
      </c>
      <c r="B63" s="5" t="s">
        <v>187</v>
      </c>
      <c r="C63" s="5" t="s">
        <v>85</v>
      </c>
      <c r="D63" s="5" t="s">
        <v>18</v>
      </c>
      <c r="E63" s="5" t="s">
        <v>188</v>
      </c>
      <c r="F63" s="5" t="s">
        <v>189</v>
      </c>
      <c r="G63" s="5" t="s">
        <v>190</v>
      </c>
      <c r="H63" s="17" t="s">
        <v>166</v>
      </c>
      <c r="I63" s="17"/>
      <c r="J63" s="17"/>
      <c r="K63" s="17"/>
      <c r="L63" s="17"/>
      <c r="M63" s="17"/>
      <c r="N63" s="17"/>
    </row>
    <row r="64" customFormat="false" ht="15" hidden="false" customHeight="false" outlineLevel="0" collapsed="false">
      <c r="A64" s="6" t="s">
        <v>191</v>
      </c>
      <c r="B64" s="6" t="s">
        <v>192</v>
      </c>
      <c r="C64" s="6" t="s">
        <v>96</v>
      </c>
      <c r="D64" s="29" t="n">
        <v>0</v>
      </c>
      <c r="E64" s="24" t="n">
        <v>-0.1</v>
      </c>
      <c r="F64" s="24" t="n">
        <v>0.05</v>
      </c>
      <c r="G64" s="30" t="n">
        <f aca="false">IF(INDEX(D64:F64,1,c_EscIdx)="","",INDEX(D64:F64,1,c_EscIdx))</f>
        <v>0</v>
      </c>
    </row>
    <row r="65" customFormat="false" ht="15" hidden="false" customHeight="false" outlineLevel="0" collapsed="false">
      <c r="A65" s="6" t="s">
        <v>193</v>
      </c>
      <c r="B65" s="6" t="s">
        <v>194</v>
      </c>
      <c r="C65" s="6" t="s">
        <v>96</v>
      </c>
      <c r="D65" s="29" t="n">
        <v>0</v>
      </c>
      <c r="E65" s="24" t="n">
        <v>-0.05</v>
      </c>
      <c r="F65" s="24" t="n">
        <v>0.02</v>
      </c>
      <c r="G65" s="30" t="n">
        <f aca="false">IF(INDEX(D65:F65,1,c_EscIdx)="","",INDEX(D65:F65,1,c_EscIdx))</f>
        <v>0</v>
      </c>
    </row>
    <row r="66" customFormat="false" ht="15" hidden="false" customHeight="false" outlineLevel="0" collapsed="false">
      <c r="A66" s="6" t="s">
        <v>195</v>
      </c>
      <c r="B66" s="6" t="s">
        <v>196</v>
      </c>
      <c r="C66" s="6" t="s">
        <v>96</v>
      </c>
      <c r="D66" s="29" t="n">
        <v>0</v>
      </c>
      <c r="E66" s="24" t="n">
        <v>0.1</v>
      </c>
      <c r="F66" s="24" t="n">
        <v>-0.03</v>
      </c>
      <c r="G66" s="30" t="n">
        <f aca="false">IF(INDEX(D66:F66,1,c_EscIdx)="","",INDEX(D66:F66,1,c_EscIdx))</f>
        <v>0</v>
      </c>
    </row>
    <row r="67" customFormat="false" ht="15" hidden="false" customHeight="false" outlineLevel="0" collapsed="false">
      <c r="A67" s="6" t="s">
        <v>197</v>
      </c>
      <c r="B67" s="6" t="s">
        <v>198</v>
      </c>
      <c r="C67" s="6" t="s">
        <v>96</v>
      </c>
      <c r="D67" s="29" t="n">
        <v>0</v>
      </c>
      <c r="E67" s="24" t="n">
        <v>0</v>
      </c>
      <c r="F67" s="24" t="n">
        <v>0</v>
      </c>
      <c r="G67" s="30" t="n">
        <f aca="false">IF(INDEX(D67:F67,1,c_EscIdx)="","",INDEX(D67:F67,1,c_EscIdx))</f>
        <v>0</v>
      </c>
    </row>
    <row r="68" customFormat="false" ht="15" hidden="false" customHeight="false" outlineLevel="0" collapsed="false">
      <c r="A68" s="6" t="s">
        <v>199</v>
      </c>
      <c r="B68" s="6" t="s">
        <v>200</v>
      </c>
      <c r="C68" s="6" t="s">
        <v>141</v>
      </c>
      <c r="D68" s="31" t="n">
        <v>0</v>
      </c>
      <c r="E68" s="9" t="n">
        <v>3</v>
      </c>
      <c r="F68" s="9" t="n">
        <v>0</v>
      </c>
      <c r="G68" s="32" t="n">
        <f aca="false">IF(INDEX(D68:F68,1,c_EscIdx)="","",INDEX(D68:F68,1,c_EscIdx))</f>
        <v>0</v>
      </c>
    </row>
    <row r="69" customFormat="false" ht="15" hidden="false" customHeight="false" outlineLevel="0" collapsed="false">
      <c r="A69" s="6" t="s">
        <v>201</v>
      </c>
      <c r="B69" s="6" t="s">
        <v>202</v>
      </c>
      <c r="C69" s="6" t="s">
        <v>96</v>
      </c>
      <c r="D69" s="29" t="n">
        <v>0</v>
      </c>
      <c r="E69" s="24" t="n">
        <v>0.1</v>
      </c>
      <c r="F69" s="24" t="n">
        <v>0</v>
      </c>
      <c r="G69" s="30" t="n">
        <f aca="false">IF(INDEX(D69:F69,1,c_EscIdx)="","",INDEX(D69:F69,1,c_EscIdx))</f>
        <v>0</v>
      </c>
    </row>
    <row r="70" customFormat="false" ht="15" hidden="false" customHeight="false" outlineLevel="0" collapsed="false">
      <c r="A70" s="6" t="s">
        <v>203</v>
      </c>
      <c r="B70" s="6" t="s">
        <v>204</v>
      </c>
      <c r="C70" s="6" t="s">
        <v>125</v>
      </c>
      <c r="D70" s="31"/>
      <c r="E70" s="9" t="n">
        <v>150</v>
      </c>
      <c r="F70" s="9" t="n">
        <v>90</v>
      </c>
      <c r="G70" s="32" t="str">
        <f aca="false">IF(INDEX(D70:F70,1,c_EscIdx)="","",INDEX(D70:F70,1,c_EscIdx))</f>
        <v/>
      </c>
    </row>
    <row r="71" customFormat="false" ht="15" hidden="false" customHeight="false" outlineLevel="0" collapsed="false">
      <c r="A71" s="6" t="s">
        <v>205</v>
      </c>
      <c r="B71" s="6" t="s">
        <v>206</v>
      </c>
      <c r="C71" s="6" t="s">
        <v>125</v>
      </c>
      <c r="D71" s="31"/>
      <c r="E71" s="9"/>
      <c r="F71" s="9" t="n">
        <v>90</v>
      </c>
      <c r="G71" s="32" t="str">
        <f aca="false">IF(INDEX(D71:F71,1,c_EscIdx)="","",INDEX(D71:F71,1,c_EscIdx))</f>
        <v/>
      </c>
    </row>
    <row r="72" customFormat="false" ht="15" hidden="false" customHeight="false" outlineLevel="0" collapsed="false">
      <c r="B72" s="6" t="s">
        <v>207</v>
      </c>
      <c r="D72" s="19" t="n">
        <f aca="false">IF(n_Escenario="Conservador",2,IF(n_Escenario="Optimista",3,1))</f>
        <v>1</v>
      </c>
      <c r="H72" s="2" t="s">
        <v>208</v>
      </c>
    </row>
    <row r="74" customFormat="false" ht="15" hidden="false" customHeight="false" outlineLevel="0" collapsed="false">
      <c r="A74" s="3" t="s">
        <v>209</v>
      </c>
      <c r="B74" s="4"/>
      <c r="C74" s="4"/>
      <c r="D74" s="4"/>
      <c r="E74" s="4"/>
      <c r="F74" s="4"/>
      <c r="G74" s="4"/>
      <c r="H74" s="4"/>
      <c r="I74" s="4"/>
      <c r="J74" s="4"/>
      <c r="K74" s="4"/>
      <c r="L74" s="4"/>
      <c r="M74" s="4"/>
      <c r="N74" s="4"/>
    </row>
    <row r="75" customFormat="false" ht="15" hidden="false" customHeight="false" outlineLevel="0" collapsed="false">
      <c r="A75" s="5" t="s">
        <v>83</v>
      </c>
      <c r="B75" s="5" t="s">
        <v>155</v>
      </c>
      <c r="C75" s="5" t="s">
        <v>85</v>
      </c>
      <c r="D75" s="5" t="s">
        <v>156</v>
      </c>
      <c r="E75" s="5" t="s">
        <v>157</v>
      </c>
      <c r="F75" s="5" t="s">
        <v>158</v>
      </c>
      <c r="G75" s="5" t="s">
        <v>159</v>
      </c>
      <c r="H75" s="5" t="s">
        <v>160</v>
      </c>
      <c r="I75" s="5" t="s">
        <v>161</v>
      </c>
      <c r="J75" s="5" t="s">
        <v>162</v>
      </c>
      <c r="K75" s="5" t="s">
        <v>163</v>
      </c>
      <c r="L75" s="5" t="s">
        <v>164</v>
      </c>
      <c r="M75" s="5" t="s">
        <v>165</v>
      </c>
      <c r="N75" s="5" t="s">
        <v>166</v>
      </c>
    </row>
    <row r="76" customFormat="false" ht="15" hidden="false" customHeight="false" outlineLevel="0" collapsed="false">
      <c r="A76" s="6" t="s">
        <v>210</v>
      </c>
      <c r="B76" s="6" t="s">
        <v>211</v>
      </c>
      <c r="C76" s="6" t="s">
        <v>212</v>
      </c>
      <c r="D76" s="22"/>
      <c r="E76" s="22"/>
      <c r="F76" s="22"/>
      <c r="G76" s="22"/>
      <c r="H76" s="22"/>
      <c r="I76" s="22"/>
      <c r="J76" s="22"/>
      <c r="K76" s="22"/>
      <c r="L76" s="22"/>
      <c r="M76" s="22"/>
    </row>
    <row r="77" customFormat="false" ht="15" hidden="false" customHeight="false" outlineLevel="0" collapsed="false">
      <c r="A77" s="6" t="s">
        <v>213</v>
      </c>
      <c r="B77" s="6" t="s">
        <v>214</v>
      </c>
      <c r="C77" s="6" t="s">
        <v>212</v>
      </c>
      <c r="D77" s="22"/>
      <c r="E77" s="22"/>
      <c r="F77" s="22"/>
      <c r="G77" s="22"/>
      <c r="H77" s="22"/>
      <c r="I77" s="22"/>
      <c r="J77" s="22"/>
      <c r="K77" s="22"/>
      <c r="L77" s="22"/>
      <c r="M77" s="22"/>
    </row>
    <row r="78" customFormat="false" ht="15" hidden="false" customHeight="false" outlineLevel="0" collapsed="false">
      <c r="A78" s="6" t="s">
        <v>215</v>
      </c>
      <c r="B78" s="6" t="s">
        <v>216</v>
      </c>
      <c r="C78" s="6" t="s">
        <v>212</v>
      </c>
      <c r="D78" s="22"/>
      <c r="E78" s="22"/>
      <c r="F78" s="22"/>
      <c r="G78" s="22"/>
      <c r="H78" s="22"/>
      <c r="I78" s="22"/>
      <c r="J78" s="22"/>
      <c r="K78" s="22"/>
      <c r="L78" s="22"/>
      <c r="M78" s="22"/>
    </row>
    <row r="79" customFormat="false" ht="15" hidden="false" customHeight="false" outlineLevel="0" collapsed="false">
      <c r="A79" s="6" t="s">
        <v>217</v>
      </c>
      <c r="B79" s="6" t="s">
        <v>218</v>
      </c>
      <c r="D79" s="22"/>
    </row>
    <row r="80" customFormat="false" ht="15" hidden="false" customHeight="false" outlineLevel="0" collapsed="false">
      <c r="A80" s="6" t="s">
        <v>219</v>
      </c>
      <c r="B80" s="6" t="s">
        <v>220</v>
      </c>
      <c r="D80" s="20"/>
    </row>
    <row r="81" customFormat="false" ht="15" hidden="false" customHeight="false" outlineLevel="0" collapsed="false">
      <c r="B81" s="2"/>
    </row>
    <row r="83" customFormat="false" ht="15" hidden="false" customHeight="false" outlineLevel="0" collapsed="false">
      <c r="A83" s="3" t="s">
        <v>221</v>
      </c>
      <c r="B83" s="4"/>
      <c r="C83" s="4"/>
      <c r="D83" s="4"/>
      <c r="E83" s="4"/>
      <c r="F83" s="4"/>
      <c r="G83" s="4"/>
      <c r="H83" s="4"/>
      <c r="I83" s="4"/>
      <c r="J83" s="4"/>
      <c r="K83" s="4"/>
      <c r="L83" s="4"/>
      <c r="M83" s="4"/>
      <c r="N83" s="4"/>
    </row>
    <row r="84" customFormat="false" ht="15" hidden="false" customHeight="false" outlineLevel="0" collapsed="false">
      <c r="A84" s="5"/>
      <c r="B84" s="5" t="s">
        <v>84</v>
      </c>
      <c r="C84" s="5"/>
      <c r="D84" s="5" t="s">
        <v>222</v>
      </c>
      <c r="E84" s="5" t="s">
        <v>223</v>
      </c>
    </row>
    <row r="85" customFormat="false" ht="15" hidden="false" customHeight="false" outlineLevel="0" collapsed="false">
      <c r="B85" s="2" t="s">
        <v>88</v>
      </c>
      <c r="D85" s="19" t="n">
        <f aca="false">MAX(1,N(o_Inicio))</f>
        <v>1</v>
      </c>
      <c r="E85" s="19" t="n">
        <f aca="false">MAX(1,IF(ISNUMBER(n_InicioReal),n_InicioReal,IF(N(vg_Inicio)&lt;=Corte,N(vg_Inicio),N(vg_Inicio)+ROUND(N(e_Atraso),0))))</f>
        <v>1</v>
      </c>
    </row>
    <row r="86" customFormat="false" ht="15" hidden="false" customHeight="false" outlineLevel="0" collapsed="false">
      <c r="B86" s="2" t="s">
        <v>91</v>
      </c>
      <c r="D86" s="19" t="n">
        <f aca="false">N(o_Anios)</f>
        <v>10</v>
      </c>
      <c r="E86" s="19" t="n">
        <f aca="false">N(vg_Anios)</f>
        <v>10</v>
      </c>
    </row>
    <row r="87" customFormat="false" ht="15" hidden="false" customHeight="false" outlineLevel="0" collapsed="false">
      <c r="B87" s="2" t="s">
        <v>95</v>
      </c>
      <c r="D87" s="33" t="n">
        <f aca="false">N(o_Merma)</f>
        <v>0</v>
      </c>
      <c r="E87" s="33" t="n">
        <f aca="false">N(vg_Merma)</f>
        <v>0</v>
      </c>
    </row>
    <row r="88" customFormat="false" ht="15" hidden="false" customHeight="false" outlineLevel="0" collapsed="false">
      <c r="B88" s="2" t="s">
        <v>98</v>
      </c>
      <c r="D88" s="33" t="n">
        <f aca="false">N(o_Cargas)</f>
        <v>0</v>
      </c>
      <c r="E88" s="33" t="n">
        <f aca="false">N(vg_Cargas)</f>
        <v>0</v>
      </c>
    </row>
    <row r="89" customFormat="false" ht="15" hidden="false" customHeight="false" outlineLevel="0" collapsed="false">
      <c r="B89" s="2" t="s">
        <v>100</v>
      </c>
      <c r="D89" s="34" t="n">
        <f aca="false">N(o_Alim)</f>
        <v>0</v>
      </c>
      <c r="E89" s="34" t="n">
        <f aca="false">N(vg_Alim)</f>
        <v>0</v>
      </c>
    </row>
    <row r="90" customFormat="false" ht="15" hidden="false" customHeight="false" outlineLevel="0" collapsed="false">
      <c r="B90" s="2" t="s">
        <v>103</v>
      </c>
      <c r="D90" s="35" t="n">
        <f aca="false">N(o_PreDir)</f>
        <v>0</v>
      </c>
      <c r="E90" s="35" t="n">
        <f aca="false">N(vg_PreDir)</f>
        <v>0</v>
      </c>
    </row>
    <row r="91" customFormat="false" ht="15" hidden="false" customHeight="false" outlineLevel="0" collapsed="false">
      <c r="B91" s="2" t="s">
        <v>106</v>
      </c>
      <c r="D91" s="35" t="n">
        <f aca="false">N(o_PreInd)</f>
        <v>0</v>
      </c>
      <c r="E91" s="35" t="n">
        <f aca="false">N(vg_PreInd)</f>
        <v>0</v>
      </c>
    </row>
    <row r="92" customFormat="false" ht="15" hidden="false" customHeight="false" outlineLevel="0" collapsed="false">
      <c r="B92" s="2" t="s">
        <v>108</v>
      </c>
      <c r="D92" s="33" t="n">
        <f aca="false">N(o_Desp)</f>
        <v>0</v>
      </c>
      <c r="E92" s="33" t="n">
        <f aca="false">N(vg_Desp)</f>
        <v>0</v>
      </c>
    </row>
    <row r="93" customFormat="false" ht="15" hidden="false" customHeight="false" outlineLevel="0" collapsed="false">
      <c r="B93" s="2" t="s">
        <v>110</v>
      </c>
      <c r="D93" s="33" t="n">
        <f aca="false">N(o_Pkg)</f>
        <v>0</v>
      </c>
      <c r="E93" s="33" t="n">
        <f aca="false">N(vg_Pkg)</f>
        <v>0</v>
      </c>
    </row>
    <row r="94" customFormat="false" ht="15" hidden="false" customHeight="false" outlineLevel="0" collapsed="false">
      <c r="B94" s="2" t="s">
        <v>112</v>
      </c>
      <c r="D94" s="33" t="n">
        <f aca="false">N(o_ImpP)</f>
        <v>0</v>
      </c>
      <c r="E94" s="33" t="n">
        <f aca="false">N(vg_ImpP)</f>
        <v>0</v>
      </c>
    </row>
    <row r="95" customFormat="false" ht="15" hidden="false" customHeight="false" outlineLevel="0" collapsed="false">
      <c r="B95" s="2" t="s">
        <v>114</v>
      </c>
      <c r="D95" s="33" t="n">
        <f aca="false">N(o_ImpA)</f>
        <v>0</v>
      </c>
      <c r="E95" s="33" t="n">
        <f aca="false">N(vg_ImpA)</f>
        <v>0</v>
      </c>
    </row>
    <row r="96" customFormat="false" ht="15" hidden="false" customHeight="false" outlineLevel="0" collapsed="false">
      <c r="B96" s="2" t="s">
        <v>116</v>
      </c>
      <c r="D96" s="33" t="n">
        <f aca="false">N(o_Trib)</f>
        <v>0</v>
      </c>
      <c r="E96" s="33" t="n">
        <f aca="false">N(vg_Trib)</f>
        <v>0</v>
      </c>
    </row>
    <row r="97" customFormat="false" ht="15" hidden="false" customHeight="false" outlineLevel="0" collapsed="false">
      <c r="B97" s="2" t="s">
        <v>118</v>
      </c>
      <c r="D97" s="33" t="n">
        <f aca="false">N(o_SegV)</f>
        <v>0</v>
      </c>
      <c r="E97" s="33" t="n">
        <f aca="false">N(vg_SegV)</f>
        <v>0</v>
      </c>
    </row>
    <row r="98" customFormat="false" ht="15" hidden="false" customHeight="false" outlineLevel="0" collapsed="false">
      <c r="B98" s="2" t="s">
        <v>120</v>
      </c>
      <c r="D98" s="33" t="n">
        <f aca="false">N(o_ComV)</f>
        <v>0</v>
      </c>
      <c r="E98" s="33" t="n">
        <f aca="false">N(vg_ComV)</f>
        <v>0</v>
      </c>
    </row>
    <row r="99" customFormat="false" ht="15" hidden="false" customHeight="false" outlineLevel="0" collapsed="false">
      <c r="B99" s="2" t="s">
        <v>122</v>
      </c>
      <c r="D99" s="33" t="n">
        <f aca="false">N(o_IRE)</f>
        <v>0</v>
      </c>
      <c r="E99" s="33" t="n">
        <f aca="false">N(vg_IRE)</f>
        <v>0</v>
      </c>
    </row>
    <row r="100" customFormat="false" ht="15" hidden="false" customHeight="false" outlineLevel="0" collapsed="false">
      <c r="B100" s="2" t="s">
        <v>124</v>
      </c>
      <c r="D100" s="19" t="n">
        <f aca="false">N(o_DSO)</f>
        <v>0</v>
      </c>
      <c r="E100" s="19" t="n">
        <f aca="false">IF(e_DSOesc="",N(vg_DSO),e_DSOesc)</f>
        <v>0</v>
      </c>
    </row>
    <row r="101" customFormat="false" ht="15" hidden="false" customHeight="false" outlineLevel="0" collapsed="false">
      <c r="B101" s="2" t="s">
        <v>127</v>
      </c>
      <c r="D101" s="19" t="n">
        <f aca="false">N(o_DInv)</f>
        <v>0</v>
      </c>
      <c r="E101" s="19" t="n">
        <f aca="false">IF(e_DInvEsc="",N(vg_DInv),e_DInvEsc)</f>
        <v>0</v>
      </c>
    </row>
    <row r="102" customFormat="false" ht="15" hidden="false" customHeight="false" outlineLevel="0" collapsed="false">
      <c r="B102" s="2" t="s">
        <v>129</v>
      </c>
      <c r="D102" s="19" t="n">
        <f aca="false">N(o_DPT)</f>
        <v>0</v>
      </c>
      <c r="E102" s="19" t="n">
        <f aca="false">N(vg_DPT)</f>
        <v>0</v>
      </c>
    </row>
    <row r="103" customFormat="false" ht="15" hidden="false" customHeight="false" outlineLevel="0" collapsed="false">
      <c r="B103" s="2" t="s">
        <v>131</v>
      </c>
      <c r="D103" s="19" t="n">
        <f aca="false">N(o_DPOmp)</f>
        <v>0</v>
      </c>
      <c r="E103" s="19" t="n">
        <f aca="false">N(vg_DPOmp)</f>
        <v>0</v>
      </c>
    </row>
    <row r="104" customFormat="false" ht="15" hidden="false" customHeight="false" outlineLevel="0" collapsed="false">
      <c r="B104" s="2" t="s">
        <v>133</v>
      </c>
      <c r="D104" s="19" t="n">
        <f aca="false">N(o_DPOot)</f>
        <v>0</v>
      </c>
      <c r="E104" s="19" t="n">
        <f aca="false">N(vg_DPOot)</f>
        <v>0</v>
      </c>
    </row>
    <row r="105" customFormat="false" ht="15" hidden="false" customHeight="false" outlineLevel="0" collapsed="false">
      <c r="B105" s="2" t="s">
        <v>135</v>
      </c>
      <c r="D105" s="19" t="n">
        <f aca="false">N(o_CajaMin)</f>
        <v>0</v>
      </c>
      <c r="E105" s="19" t="n">
        <f aca="false">N(vg_CajaMin)</f>
        <v>0</v>
      </c>
    </row>
    <row r="106" customFormat="false" ht="15" hidden="false" customHeight="false" outlineLevel="0" collapsed="false">
      <c r="B106" s="2" t="s">
        <v>138</v>
      </c>
      <c r="D106" s="35" t="n">
        <f aca="false">N(o_IVArec)</f>
        <v>0</v>
      </c>
      <c r="E106" s="35" t="n">
        <f aca="false">N(vg_IVArec)</f>
        <v>0</v>
      </c>
    </row>
    <row r="107" customFormat="false" ht="15" hidden="false" customHeight="false" outlineLevel="0" collapsed="false">
      <c r="B107" s="2" t="s">
        <v>140</v>
      </c>
      <c r="D107" s="19" t="n">
        <f aca="false">N(o_IVAmeses)</f>
        <v>0</v>
      </c>
      <c r="E107" s="19" t="n">
        <f aca="false">N(vg_IVAmeses)</f>
        <v>0</v>
      </c>
    </row>
    <row r="108" customFormat="false" ht="15" hidden="false" customHeight="false" outlineLevel="0" collapsed="false">
      <c r="B108" s="2" t="s">
        <v>143</v>
      </c>
      <c r="D108" s="35" t="n">
        <f aca="false">N(o_IVAint)</f>
        <v>0</v>
      </c>
      <c r="E108" s="35" t="n">
        <f aca="false">N(vg_IVAint)</f>
        <v>0</v>
      </c>
    </row>
    <row r="109" customFormat="false" ht="15" hidden="false" customHeight="false" outlineLevel="0" collapsed="false">
      <c r="B109" s="2" t="s">
        <v>145</v>
      </c>
      <c r="D109" s="33" t="n">
        <f aca="false">N(o_WACC)</f>
        <v>0</v>
      </c>
      <c r="E109" s="33" t="n">
        <f aca="false">N(vg_WACC)</f>
        <v>0</v>
      </c>
    </row>
    <row r="110" customFormat="false" ht="15" hidden="false" customHeight="false" outlineLevel="0" collapsed="false">
      <c r="B110" s="2" t="s">
        <v>147</v>
      </c>
      <c r="D110" s="33" t="n">
        <f aca="false">N(o_Ke)</f>
        <v>0</v>
      </c>
      <c r="E110" s="33" t="n">
        <f aca="false">N(vg_Ke)</f>
        <v>0</v>
      </c>
    </row>
    <row r="111" customFormat="false" ht="15" hidden="false" customHeight="false" outlineLevel="0" collapsed="false">
      <c r="B111" s="2" t="s">
        <v>149</v>
      </c>
      <c r="D111" s="35" t="n">
        <f aca="false">N(o_RealCT)</f>
        <v>0</v>
      </c>
      <c r="E111" s="35" t="n">
        <f aca="false">N(vg_RealCT)</f>
        <v>0</v>
      </c>
    </row>
    <row r="112" customFormat="false" ht="15" hidden="false" customHeight="false" outlineLevel="0" collapsed="false">
      <c r="B112" s="2" t="s">
        <v>151</v>
      </c>
      <c r="D112" s="35" t="n">
        <f aca="false">N(o_RealAF)</f>
        <v>0</v>
      </c>
      <c r="E112" s="35" t="n">
        <f aca="false">N(vg_RealAF)</f>
        <v>0</v>
      </c>
    </row>
    <row r="113" customFormat="false" ht="15" hidden="false" customHeight="false" outlineLevel="0" collapsed="false">
      <c r="B113" s="2" t="s">
        <v>153</v>
      </c>
      <c r="D113" s="19" t="n">
        <f aca="false">N(o_MesDiv)</f>
        <v>0</v>
      </c>
      <c r="E113" s="19" t="n">
        <f aca="false">N(vg_MesDiv)</f>
        <v>0</v>
      </c>
    </row>
    <row r="114" customFormat="false" ht="15" hidden="false" customHeight="false" outlineLevel="0" collapsed="false">
      <c r="B114" s="2" t="s">
        <v>192</v>
      </c>
      <c r="D114" s="35" t="n">
        <v>0</v>
      </c>
      <c r="E114" s="35" t="n">
        <f aca="false">N(e_dVol)</f>
        <v>0</v>
      </c>
    </row>
    <row r="115" customFormat="false" ht="15" hidden="false" customHeight="false" outlineLevel="0" collapsed="false">
      <c r="B115" s="2" t="s">
        <v>194</v>
      </c>
      <c r="D115" s="35" t="n">
        <v>0</v>
      </c>
      <c r="E115" s="35" t="n">
        <f aca="false">N(e_dPrecio)</f>
        <v>0</v>
      </c>
    </row>
    <row r="116" customFormat="false" ht="15" hidden="false" customHeight="false" outlineLevel="0" collapsed="false">
      <c r="B116" s="2" t="s">
        <v>224</v>
      </c>
      <c r="D116" s="35" t="n">
        <v>0</v>
      </c>
      <c r="E116" s="35" t="n">
        <f aca="false">N(e_dMat)</f>
        <v>0</v>
      </c>
    </row>
    <row r="117" customFormat="false" ht="15" hidden="false" customHeight="false" outlineLevel="0" collapsed="false">
      <c r="B117" s="2" t="s">
        <v>225</v>
      </c>
      <c r="D117" s="35" t="n">
        <v>0</v>
      </c>
      <c r="E117" s="35" t="n">
        <f aca="false">N(e_dTC)</f>
        <v>0</v>
      </c>
    </row>
    <row r="118" customFormat="false" ht="15" hidden="false" customHeight="false" outlineLevel="0" collapsed="false">
      <c r="B118" s="2" t="s">
        <v>226</v>
      </c>
      <c r="D118" s="35" t="n">
        <v>0</v>
      </c>
      <c r="E118" s="35" t="n">
        <f aca="false">N(e_dCapex)</f>
        <v>0</v>
      </c>
    </row>
    <row r="119" customFormat="false" ht="15" hidden="false" customHeight="false" outlineLevel="0" collapsed="false">
      <c r="B119" s="2" t="s">
        <v>227</v>
      </c>
      <c r="D119" s="19" t="n">
        <f aca="false">IF(ISNUMBER(n_Corte),n_Corte,0)</f>
        <v>0</v>
      </c>
    </row>
    <row r="120" customFormat="false" ht="15" hidden="false" customHeight="false" outlineLevel="0" collapsed="false">
      <c r="B120" s="2" t="s">
        <v>228</v>
      </c>
      <c r="D120" s="19" t="n">
        <f aca="false">P_Inicio+12*P_Anios-1</f>
        <v>120</v>
      </c>
    </row>
    <row r="121" customFormat="false" ht="15" hidden="false" customHeight="false" outlineLevel="0" collapsed="false">
      <c r="B121" s="2" t="s">
        <v>229</v>
      </c>
      <c r="D121" s="36" t="n">
        <f aca="false">365/12</f>
        <v>30.4166666666667</v>
      </c>
    </row>
  </sheetData>
  <mergeCells count="2">
    <mergeCell ref="F5:N5"/>
    <mergeCell ref="H63:N63"/>
  </mergeCells>
  <conditionalFormatting sqref="E6:E34">
    <cfRule type="expression" priority="2" aboveAverage="0" equalAverage="0" bottom="0" percent="0" rank="0" text="" dxfId="0">
      <formula>E6&lt;&gt;D6</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O6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4"/>
    <col collapsed="false" customWidth="true" hidden="false" outlineLevel="0" max="3" min="3" style="0" width="8"/>
    <col collapsed="false" customWidth="true" hidden="false" outlineLevel="0" max="14" min="4" style="0" width="12.5"/>
    <col collapsed="false" customWidth="true" hidden="false" outlineLevel="0" max="15" min="15" style="0" width="50"/>
  </cols>
  <sheetData>
    <row r="1" customFormat="false" ht="16.15" hidden="false" customHeight="false" outlineLevel="0" collapsed="false">
      <c r="A1" s="1" t="s">
        <v>230</v>
      </c>
    </row>
    <row r="2" customFormat="false" ht="15" hidden="false" customHeight="false" outlineLevel="0" collapsed="false">
      <c r="A2" s="2" t="s">
        <v>231</v>
      </c>
    </row>
    <row r="4" customFormat="false" ht="15" hidden="false" customHeight="false" outlineLevel="0" collapsed="false">
      <c r="A4" s="3" t="s">
        <v>232</v>
      </c>
      <c r="B4" s="4"/>
      <c r="C4" s="4"/>
      <c r="D4" s="4"/>
      <c r="E4" s="4"/>
      <c r="F4" s="4"/>
      <c r="G4" s="4"/>
      <c r="H4" s="4"/>
      <c r="I4" s="4"/>
      <c r="J4" s="4"/>
      <c r="K4" s="4"/>
      <c r="L4" s="4"/>
      <c r="M4" s="4"/>
      <c r="N4" s="4"/>
      <c r="O4" s="4"/>
    </row>
    <row r="5" customFormat="false" ht="54" hidden="false" customHeight="true" outlineLevel="0" collapsed="false">
      <c r="A5" s="5" t="s">
        <v>233</v>
      </c>
      <c r="B5" s="5" t="s">
        <v>234</v>
      </c>
      <c r="C5" s="5" t="s">
        <v>85</v>
      </c>
      <c r="D5" s="5" t="s">
        <v>235</v>
      </c>
      <c r="E5" s="5" t="s">
        <v>236</v>
      </c>
      <c r="F5" s="5" t="s">
        <v>237</v>
      </c>
      <c r="G5" s="5" t="s">
        <v>238</v>
      </c>
      <c r="H5" s="5" t="s">
        <v>239</v>
      </c>
      <c r="I5" s="5" t="s">
        <v>240</v>
      </c>
      <c r="J5" s="5" t="s">
        <v>241</v>
      </c>
      <c r="K5" s="5" t="s">
        <v>242</v>
      </c>
      <c r="L5" s="5" t="s">
        <v>243</v>
      </c>
      <c r="M5" s="5" t="s">
        <v>244</v>
      </c>
      <c r="N5" s="5" t="s">
        <v>245</v>
      </c>
      <c r="O5" s="5" t="s">
        <v>166</v>
      </c>
    </row>
    <row r="6" customFormat="false" ht="15" hidden="false" customHeight="false" outlineLevel="0" collapsed="false">
      <c r="A6" s="6" t="n">
        <v>1</v>
      </c>
      <c r="B6" s="7"/>
      <c r="C6" s="7"/>
      <c r="D6" s="22"/>
      <c r="E6" s="22"/>
      <c r="F6" s="9"/>
      <c r="G6" s="37"/>
      <c r="H6" s="38" t="n">
        <f aca="false">G6</f>
        <v>0</v>
      </c>
      <c r="I6" s="37"/>
      <c r="J6" s="38" t="n">
        <f aca="false">I6</f>
        <v>0</v>
      </c>
      <c r="K6" s="37"/>
      <c r="L6" s="38" t="n">
        <f aca="false">K6</f>
        <v>0</v>
      </c>
      <c r="M6" s="37"/>
      <c r="N6" s="38" t="n">
        <f aca="false">M6</f>
        <v>0</v>
      </c>
      <c r="O6" s="2"/>
    </row>
    <row r="7" customFormat="false" ht="15" hidden="false" customHeight="false" outlineLevel="0" collapsed="false">
      <c r="A7" s="6" t="n">
        <v>2</v>
      </c>
      <c r="B7" s="7"/>
      <c r="C7" s="7"/>
      <c r="D7" s="22"/>
      <c r="E7" s="22"/>
      <c r="F7" s="9"/>
      <c r="G7" s="37"/>
      <c r="H7" s="38" t="n">
        <f aca="false">G7</f>
        <v>0</v>
      </c>
      <c r="I7" s="37"/>
      <c r="J7" s="38" t="n">
        <f aca="false">I7</f>
        <v>0</v>
      </c>
      <c r="K7" s="37"/>
      <c r="L7" s="38" t="n">
        <f aca="false">K7</f>
        <v>0</v>
      </c>
      <c r="M7" s="37"/>
      <c r="N7" s="38" t="n">
        <f aca="false">M7</f>
        <v>0</v>
      </c>
      <c r="O7" s="2"/>
    </row>
    <row r="8" customFormat="false" ht="15" hidden="false" customHeight="false" outlineLevel="0" collapsed="false">
      <c r="A8" s="6" t="n">
        <v>3</v>
      </c>
      <c r="B8" s="7"/>
      <c r="C8" s="7"/>
      <c r="D8" s="22"/>
      <c r="E8" s="22"/>
      <c r="F8" s="9"/>
      <c r="G8" s="37"/>
      <c r="H8" s="38" t="n">
        <f aca="false">G8</f>
        <v>0</v>
      </c>
      <c r="I8" s="37"/>
      <c r="J8" s="38" t="n">
        <f aca="false">I8</f>
        <v>0</v>
      </c>
      <c r="K8" s="37"/>
      <c r="L8" s="38" t="n">
        <f aca="false">K8</f>
        <v>0</v>
      </c>
      <c r="M8" s="37"/>
      <c r="N8" s="38" t="n">
        <f aca="false">M8</f>
        <v>0</v>
      </c>
      <c r="O8" s="2"/>
    </row>
    <row r="9" customFormat="false" ht="15" hidden="false" customHeight="false" outlineLevel="0" collapsed="false">
      <c r="A9" s="6" t="n">
        <v>4</v>
      </c>
      <c r="B9" s="7"/>
      <c r="C9" s="7"/>
      <c r="D9" s="22"/>
      <c r="E9" s="22"/>
      <c r="F9" s="9"/>
      <c r="G9" s="37"/>
      <c r="H9" s="38" t="n">
        <f aca="false">G9</f>
        <v>0</v>
      </c>
      <c r="I9" s="37"/>
      <c r="J9" s="38" t="n">
        <f aca="false">I9</f>
        <v>0</v>
      </c>
      <c r="K9" s="37"/>
      <c r="L9" s="38" t="n">
        <f aca="false">K9</f>
        <v>0</v>
      </c>
      <c r="M9" s="37"/>
      <c r="N9" s="38" t="n">
        <f aca="false">M9</f>
        <v>0</v>
      </c>
      <c r="O9" s="2"/>
    </row>
    <row r="10" customFormat="false" ht="15" hidden="false" customHeight="false" outlineLevel="0" collapsed="false">
      <c r="A10" s="6" t="n">
        <v>5</v>
      </c>
      <c r="B10" s="7"/>
      <c r="C10" s="7"/>
      <c r="D10" s="22"/>
      <c r="E10" s="22"/>
      <c r="F10" s="9"/>
      <c r="G10" s="37"/>
      <c r="H10" s="38" t="n">
        <f aca="false">G10</f>
        <v>0</v>
      </c>
      <c r="I10" s="37"/>
      <c r="J10" s="38" t="n">
        <f aca="false">I10</f>
        <v>0</v>
      </c>
      <c r="K10" s="37"/>
      <c r="L10" s="38" t="n">
        <f aca="false">K10</f>
        <v>0</v>
      </c>
      <c r="M10" s="37"/>
      <c r="N10" s="38" t="n">
        <f aca="false">M10</f>
        <v>0</v>
      </c>
      <c r="O10" s="2"/>
    </row>
    <row r="11" customFormat="false" ht="15" hidden="false" customHeight="false" outlineLevel="0" collapsed="false">
      <c r="A11" s="6" t="n">
        <v>6</v>
      </c>
      <c r="B11" s="7"/>
      <c r="C11" s="7"/>
      <c r="D11" s="22"/>
      <c r="E11" s="22"/>
      <c r="F11" s="9"/>
      <c r="G11" s="37"/>
      <c r="H11" s="38" t="n">
        <f aca="false">G11</f>
        <v>0</v>
      </c>
      <c r="I11" s="37"/>
      <c r="J11" s="38" t="n">
        <f aca="false">I11</f>
        <v>0</v>
      </c>
      <c r="K11" s="37"/>
      <c r="L11" s="38" t="n">
        <f aca="false">K11</f>
        <v>0</v>
      </c>
      <c r="M11" s="37"/>
      <c r="N11" s="38" t="n">
        <f aca="false">M11</f>
        <v>0</v>
      </c>
      <c r="O11" s="2"/>
    </row>
    <row r="12" customFormat="false" ht="15" hidden="false" customHeight="false" outlineLevel="0" collapsed="false">
      <c r="A12" s="6" t="n">
        <v>7</v>
      </c>
      <c r="B12" s="7"/>
      <c r="C12" s="7"/>
      <c r="D12" s="22"/>
      <c r="E12" s="22"/>
      <c r="F12" s="9"/>
      <c r="G12" s="37"/>
      <c r="H12" s="38" t="n">
        <f aca="false">G12</f>
        <v>0</v>
      </c>
      <c r="I12" s="37"/>
      <c r="J12" s="38" t="n">
        <f aca="false">I12</f>
        <v>0</v>
      </c>
      <c r="K12" s="37"/>
      <c r="L12" s="38" t="n">
        <f aca="false">K12</f>
        <v>0</v>
      </c>
      <c r="M12" s="37"/>
      <c r="N12" s="38" t="n">
        <f aca="false">M12</f>
        <v>0</v>
      </c>
      <c r="O12" s="2"/>
    </row>
    <row r="13" customFormat="false" ht="15" hidden="false" customHeight="false" outlineLevel="0" collapsed="false">
      <c r="A13" s="6" t="n">
        <v>8</v>
      </c>
      <c r="B13" s="7"/>
      <c r="C13" s="7"/>
      <c r="D13" s="22"/>
      <c r="E13" s="22"/>
      <c r="F13" s="9"/>
      <c r="G13" s="37"/>
      <c r="H13" s="38" t="n">
        <f aca="false">G13</f>
        <v>0</v>
      </c>
      <c r="I13" s="37"/>
      <c r="J13" s="38" t="n">
        <f aca="false">I13</f>
        <v>0</v>
      </c>
      <c r="K13" s="37"/>
      <c r="L13" s="38" t="n">
        <f aca="false">K13</f>
        <v>0</v>
      </c>
      <c r="M13" s="37"/>
      <c r="N13" s="38" t="n">
        <f aca="false">M13</f>
        <v>0</v>
      </c>
      <c r="O13" s="2"/>
    </row>
    <row r="14" customFormat="false" ht="15" hidden="false" customHeight="false" outlineLevel="0" collapsed="false">
      <c r="A14" s="6" t="n">
        <v>9</v>
      </c>
      <c r="B14" s="7"/>
      <c r="C14" s="7"/>
      <c r="D14" s="22"/>
      <c r="E14" s="22"/>
      <c r="F14" s="9"/>
      <c r="G14" s="37"/>
      <c r="H14" s="38" t="n">
        <f aca="false">G14</f>
        <v>0</v>
      </c>
      <c r="I14" s="37"/>
      <c r="J14" s="38" t="n">
        <f aca="false">I14</f>
        <v>0</v>
      </c>
      <c r="K14" s="37"/>
      <c r="L14" s="38" t="n">
        <f aca="false">K14</f>
        <v>0</v>
      </c>
      <c r="M14" s="37"/>
      <c r="N14" s="38" t="n">
        <f aca="false">M14</f>
        <v>0</v>
      </c>
      <c r="O14" s="2"/>
    </row>
    <row r="15" customFormat="false" ht="15" hidden="false" customHeight="false" outlineLevel="0" collapsed="false">
      <c r="A15" s="6" t="n">
        <v>10</v>
      </c>
      <c r="B15" s="7"/>
      <c r="C15" s="7"/>
      <c r="D15" s="22"/>
      <c r="E15" s="22"/>
      <c r="F15" s="9"/>
      <c r="G15" s="37"/>
      <c r="H15" s="38" t="n">
        <f aca="false">G15</f>
        <v>0</v>
      </c>
      <c r="I15" s="37"/>
      <c r="J15" s="38" t="n">
        <f aca="false">I15</f>
        <v>0</v>
      </c>
      <c r="K15" s="37"/>
      <c r="L15" s="38" t="n">
        <f aca="false">K15</f>
        <v>0</v>
      </c>
      <c r="M15" s="37"/>
      <c r="N15" s="38" t="n">
        <f aca="false">M15</f>
        <v>0</v>
      </c>
      <c r="O15" s="2"/>
    </row>
    <row r="16" customFormat="false" ht="15" hidden="false" customHeight="false" outlineLevel="0" collapsed="false">
      <c r="A16" s="6" t="n">
        <v>11</v>
      </c>
      <c r="B16" s="7"/>
      <c r="C16" s="7"/>
      <c r="D16" s="22"/>
      <c r="E16" s="22"/>
      <c r="F16" s="9"/>
      <c r="G16" s="37"/>
      <c r="H16" s="38" t="n">
        <f aca="false">G16</f>
        <v>0</v>
      </c>
      <c r="I16" s="37"/>
      <c r="J16" s="38" t="n">
        <f aca="false">I16</f>
        <v>0</v>
      </c>
      <c r="K16" s="37"/>
      <c r="L16" s="38" t="n">
        <f aca="false">K16</f>
        <v>0</v>
      </c>
      <c r="M16" s="37"/>
      <c r="N16" s="38" t="n">
        <f aca="false">M16</f>
        <v>0</v>
      </c>
      <c r="O16" s="2"/>
    </row>
    <row r="17" customFormat="false" ht="15" hidden="false" customHeight="false" outlineLevel="0" collapsed="false">
      <c r="A17" s="6" t="n">
        <v>12</v>
      </c>
      <c r="B17" s="7"/>
      <c r="C17" s="7"/>
      <c r="D17" s="22"/>
      <c r="E17" s="22"/>
      <c r="F17" s="9"/>
      <c r="G17" s="37"/>
      <c r="H17" s="38" t="n">
        <f aca="false">G17</f>
        <v>0</v>
      </c>
      <c r="I17" s="37"/>
      <c r="J17" s="38" t="n">
        <f aca="false">I17</f>
        <v>0</v>
      </c>
      <c r="K17" s="37"/>
      <c r="L17" s="38" t="n">
        <f aca="false">K17</f>
        <v>0</v>
      </c>
      <c r="M17" s="37"/>
      <c r="N17" s="38" t="n">
        <f aca="false">M17</f>
        <v>0</v>
      </c>
      <c r="O17" s="2"/>
    </row>
    <row r="19" customFormat="false" ht="15" hidden="false" customHeight="false" outlineLevel="0" collapsed="false">
      <c r="A19" s="3" t="s">
        <v>246</v>
      </c>
      <c r="B19" s="4"/>
      <c r="C19" s="4"/>
      <c r="D19" s="4"/>
      <c r="E19" s="4"/>
      <c r="F19" s="4"/>
      <c r="G19" s="4"/>
      <c r="H19" s="4"/>
      <c r="I19" s="4"/>
      <c r="J19" s="4"/>
      <c r="K19" s="4"/>
      <c r="L19" s="4"/>
      <c r="M19" s="4"/>
      <c r="N19" s="4"/>
      <c r="O19" s="4"/>
    </row>
    <row r="20" customFormat="false" ht="15" hidden="false" customHeight="false" outlineLevel="0" collapsed="false">
      <c r="A20" s="5" t="s">
        <v>233</v>
      </c>
      <c r="B20" s="5" t="s">
        <v>234</v>
      </c>
      <c r="C20" s="5" t="s">
        <v>85</v>
      </c>
      <c r="D20" s="5" t="s">
        <v>156</v>
      </c>
      <c r="E20" s="5" t="s">
        <v>157</v>
      </c>
      <c r="F20" s="5" t="s">
        <v>158</v>
      </c>
      <c r="G20" s="5" t="s">
        <v>159</v>
      </c>
      <c r="H20" s="5" t="s">
        <v>160</v>
      </c>
      <c r="I20" s="5" t="s">
        <v>161</v>
      </c>
      <c r="J20" s="5" t="s">
        <v>162</v>
      </c>
      <c r="K20" s="5" t="s">
        <v>163</v>
      </c>
      <c r="L20" s="5" t="s">
        <v>164</v>
      </c>
      <c r="M20" s="5" t="s">
        <v>165</v>
      </c>
      <c r="N20" s="5" t="s">
        <v>247</v>
      </c>
    </row>
    <row r="21" customFormat="false" ht="15" hidden="false" customHeight="false" outlineLevel="0" collapsed="false">
      <c r="A21" s="6" t="n">
        <v>1</v>
      </c>
      <c r="B21" s="39" t="str">
        <f aca="false">IF(B6="","",B6)</f>
        <v/>
      </c>
      <c r="C21" s="39" t="str">
        <f aca="false">IF(C6="","",C6)</f>
        <v/>
      </c>
      <c r="D21" s="22"/>
      <c r="E21" s="22"/>
      <c r="F21" s="22"/>
      <c r="G21" s="22"/>
      <c r="H21" s="22"/>
      <c r="I21" s="22"/>
      <c r="J21" s="22"/>
      <c r="K21" s="22"/>
      <c r="L21" s="22"/>
      <c r="M21" s="22"/>
      <c r="N21" s="10" t="n">
        <f aca="false">SUM(D21:M21)</f>
        <v>0</v>
      </c>
    </row>
    <row r="22" customFormat="false" ht="15" hidden="false" customHeight="false" outlineLevel="0" collapsed="false">
      <c r="A22" s="6" t="n">
        <v>2</v>
      </c>
      <c r="B22" s="39" t="str">
        <f aca="false">IF(B7="","",B7)</f>
        <v/>
      </c>
      <c r="C22" s="39" t="str">
        <f aca="false">IF(C7="","",C7)</f>
        <v/>
      </c>
      <c r="D22" s="22"/>
      <c r="E22" s="22"/>
      <c r="F22" s="22"/>
      <c r="G22" s="22"/>
      <c r="H22" s="22"/>
      <c r="I22" s="22"/>
      <c r="J22" s="22"/>
      <c r="K22" s="22"/>
      <c r="L22" s="22"/>
      <c r="M22" s="22"/>
      <c r="N22" s="10" t="n">
        <f aca="false">SUM(D22:M22)</f>
        <v>0</v>
      </c>
    </row>
    <row r="23" customFormat="false" ht="15" hidden="false" customHeight="false" outlineLevel="0" collapsed="false">
      <c r="A23" s="6" t="n">
        <v>3</v>
      </c>
      <c r="B23" s="39" t="str">
        <f aca="false">IF(B8="","",B8)</f>
        <v/>
      </c>
      <c r="C23" s="39" t="str">
        <f aca="false">IF(C8="","",C8)</f>
        <v/>
      </c>
      <c r="D23" s="22"/>
      <c r="E23" s="22"/>
      <c r="F23" s="22"/>
      <c r="G23" s="22"/>
      <c r="H23" s="22"/>
      <c r="I23" s="22"/>
      <c r="J23" s="22"/>
      <c r="K23" s="22"/>
      <c r="L23" s="22"/>
      <c r="M23" s="22"/>
      <c r="N23" s="10" t="n">
        <f aca="false">SUM(D23:M23)</f>
        <v>0</v>
      </c>
    </row>
    <row r="24" customFormat="false" ht="15" hidden="false" customHeight="false" outlineLevel="0" collapsed="false">
      <c r="A24" s="6" t="n">
        <v>4</v>
      </c>
      <c r="B24" s="39" t="str">
        <f aca="false">IF(B9="","",B9)</f>
        <v/>
      </c>
      <c r="C24" s="39" t="str">
        <f aca="false">IF(C9="","",C9)</f>
        <v/>
      </c>
      <c r="D24" s="22"/>
      <c r="E24" s="22"/>
      <c r="F24" s="22"/>
      <c r="G24" s="22"/>
      <c r="H24" s="22"/>
      <c r="I24" s="22"/>
      <c r="J24" s="22"/>
      <c r="K24" s="22"/>
      <c r="L24" s="22"/>
      <c r="M24" s="22"/>
      <c r="N24" s="10" t="n">
        <f aca="false">SUM(D24:M24)</f>
        <v>0</v>
      </c>
    </row>
    <row r="25" customFormat="false" ht="15" hidden="false" customHeight="false" outlineLevel="0" collapsed="false">
      <c r="A25" s="6" t="n">
        <v>5</v>
      </c>
      <c r="B25" s="39" t="str">
        <f aca="false">IF(B10="","",B10)</f>
        <v/>
      </c>
      <c r="C25" s="39" t="str">
        <f aca="false">IF(C10="","",C10)</f>
        <v/>
      </c>
      <c r="D25" s="22"/>
      <c r="E25" s="22"/>
      <c r="F25" s="22"/>
      <c r="G25" s="22"/>
      <c r="H25" s="22"/>
      <c r="I25" s="22"/>
      <c r="J25" s="22"/>
      <c r="K25" s="22"/>
      <c r="L25" s="22"/>
      <c r="M25" s="22"/>
      <c r="N25" s="10" t="n">
        <f aca="false">SUM(D25:M25)</f>
        <v>0</v>
      </c>
    </row>
    <row r="26" customFormat="false" ht="15" hidden="false" customHeight="false" outlineLevel="0" collapsed="false">
      <c r="A26" s="6" t="n">
        <v>6</v>
      </c>
      <c r="B26" s="39" t="str">
        <f aca="false">IF(B11="","",B11)</f>
        <v/>
      </c>
      <c r="C26" s="39" t="str">
        <f aca="false">IF(C11="","",C11)</f>
        <v/>
      </c>
      <c r="D26" s="22"/>
      <c r="E26" s="22"/>
      <c r="F26" s="22"/>
      <c r="G26" s="22"/>
      <c r="H26" s="22"/>
      <c r="I26" s="22"/>
      <c r="J26" s="22"/>
      <c r="K26" s="22"/>
      <c r="L26" s="22"/>
      <c r="M26" s="22"/>
      <c r="N26" s="10" t="n">
        <f aca="false">SUM(D26:M26)</f>
        <v>0</v>
      </c>
    </row>
    <row r="27" customFormat="false" ht="15" hidden="false" customHeight="false" outlineLevel="0" collapsed="false">
      <c r="A27" s="6" t="n">
        <v>7</v>
      </c>
      <c r="B27" s="39" t="str">
        <f aca="false">IF(B12="","",B12)</f>
        <v/>
      </c>
      <c r="C27" s="39" t="str">
        <f aca="false">IF(C12="","",C12)</f>
        <v/>
      </c>
      <c r="D27" s="22"/>
      <c r="E27" s="22"/>
      <c r="F27" s="22"/>
      <c r="G27" s="22"/>
      <c r="H27" s="22"/>
      <c r="I27" s="22"/>
      <c r="J27" s="22"/>
      <c r="K27" s="22"/>
      <c r="L27" s="22"/>
      <c r="M27" s="22"/>
      <c r="N27" s="10" t="n">
        <f aca="false">SUM(D27:M27)</f>
        <v>0</v>
      </c>
    </row>
    <row r="28" customFormat="false" ht="15" hidden="false" customHeight="false" outlineLevel="0" collapsed="false">
      <c r="A28" s="6" t="n">
        <v>8</v>
      </c>
      <c r="B28" s="39" t="str">
        <f aca="false">IF(B13="","",B13)</f>
        <v/>
      </c>
      <c r="C28" s="39" t="str">
        <f aca="false">IF(C13="","",C13)</f>
        <v/>
      </c>
      <c r="D28" s="22"/>
      <c r="E28" s="22"/>
      <c r="F28" s="22"/>
      <c r="G28" s="22"/>
      <c r="H28" s="22"/>
      <c r="I28" s="22"/>
      <c r="J28" s="22"/>
      <c r="K28" s="22"/>
      <c r="L28" s="22"/>
      <c r="M28" s="22"/>
      <c r="N28" s="10" t="n">
        <f aca="false">SUM(D28:M28)</f>
        <v>0</v>
      </c>
    </row>
    <row r="29" customFormat="false" ht="15" hidden="false" customHeight="false" outlineLevel="0" collapsed="false">
      <c r="A29" s="6" t="n">
        <v>9</v>
      </c>
      <c r="B29" s="39" t="str">
        <f aca="false">IF(B14="","",B14)</f>
        <v/>
      </c>
      <c r="C29" s="39" t="str">
        <f aca="false">IF(C14="","",C14)</f>
        <v/>
      </c>
      <c r="D29" s="22"/>
      <c r="E29" s="22"/>
      <c r="F29" s="22"/>
      <c r="G29" s="22"/>
      <c r="H29" s="22"/>
      <c r="I29" s="22"/>
      <c r="J29" s="22"/>
      <c r="K29" s="22"/>
      <c r="L29" s="22"/>
      <c r="M29" s="22"/>
      <c r="N29" s="10" t="n">
        <f aca="false">SUM(D29:M29)</f>
        <v>0</v>
      </c>
    </row>
    <row r="30" customFormat="false" ht="15" hidden="false" customHeight="false" outlineLevel="0" collapsed="false">
      <c r="A30" s="6" t="n">
        <v>10</v>
      </c>
      <c r="B30" s="39" t="str">
        <f aca="false">IF(B15="","",B15)</f>
        <v/>
      </c>
      <c r="C30" s="39" t="str">
        <f aca="false">IF(C15="","",C15)</f>
        <v/>
      </c>
      <c r="D30" s="22"/>
      <c r="E30" s="22"/>
      <c r="F30" s="22"/>
      <c r="G30" s="22"/>
      <c r="H30" s="22"/>
      <c r="I30" s="22"/>
      <c r="J30" s="22"/>
      <c r="K30" s="22"/>
      <c r="L30" s="22"/>
      <c r="M30" s="22"/>
      <c r="N30" s="10" t="n">
        <f aca="false">SUM(D30:M30)</f>
        <v>0</v>
      </c>
    </row>
    <row r="31" customFormat="false" ht="15" hidden="false" customHeight="false" outlineLevel="0" collapsed="false">
      <c r="A31" s="6" t="n">
        <v>11</v>
      </c>
      <c r="B31" s="39" t="str">
        <f aca="false">IF(B16="","",B16)</f>
        <v/>
      </c>
      <c r="C31" s="39" t="str">
        <f aca="false">IF(C16="","",C16)</f>
        <v/>
      </c>
      <c r="D31" s="22"/>
      <c r="E31" s="22"/>
      <c r="F31" s="22"/>
      <c r="G31" s="22"/>
      <c r="H31" s="22"/>
      <c r="I31" s="22"/>
      <c r="J31" s="22"/>
      <c r="K31" s="22"/>
      <c r="L31" s="22"/>
      <c r="M31" s="22"/>
      <c r="N31" s="10" t="n">
        <f aca="false">SUM(D31:M31)</f>
        <v>0</v>
      </c>
    </row>
    <row r="32" customFormat="false" ht="15" hidden="false" customHeight="false" outlineLevel="0" collapsed="false">
      <c r="A32" s="6" t="n">
        <v>12</v>
      </c>
      <c r="B32" s="39" t="str">
        <f aca="false">IF(B17="","",B17)</f>
        <v/>
      </c>
      <c r="C32" s="39" t="str">
        <f aca="false">IF(C17="","",C17)</f>
        <v/>
      </c>
      <c r="D32" s="22"/>
      <c r="E32" s="22"/>
      <c r="F32" s="22"/>
      <c r="G32" s="22"/>
      <c r="H32" s="22"/>
      <c r="I32" s="22"/>
      <c r="J32" s="22"/>
      <c r="K32" s="22"/>
      <c r="L32" s="22"/>
      <c r="M32" s="22"/>
      <c r="N32" s="10" t="n">
        <f aca="false">SUM(D32:M32)</f>
        <v>0</v>
      </c>
    </row>
    <row r="33" customFormat="false" ht="15" hidden="false" customHeight="false" outlineLevel="0" collapsed="false">
      <c r="B33" s="11" t="s">
        <v>247</v>
      </c>
      <c r="D33" s="40" t="n">
        <f aca="false">SUM(D21:D32)</f>
        <v>0</v>
      </c>
      <c r="E33" s="40" t="n">
        <f aca="false">SUM(E21:E32)</f>
        <v>0</v>
      </c>
      <c r="F33" s="40" t="n">
        <f aca="false">SUM(F21:F32)</f>
        <v>0</v>
      </c>
      <c r="G33" s="40" t="n">
        <f aca="false">SUM(G21:G32)</f>
        <v>0</v>
      </c>
      <c r="H33" s="40" t="n">
        <f aca="false">SUM(H21:H32)</f>
        <v>0</v>
      </c>
      <c r="I33" s="40" t="n">
        <f aca="false">SUM(I21:I32)</f>
        <v>0</v>
      </c>
      <c r="J33" s="40" t="n">
        <f aca="false">SUM(J21:J32)</f>
        <v>0</v>
      </c>
      <c r="K33" s="40" t="n">
        <f aca="false">SUM(K21:K32)</f>
        <v>0</v>
      </c>
      <c r="L33" s="40" t="n">
        <f aca="false">SUM(L21:L32)</f>
        <v>0</v>
      </c>
      <c r="M33" s="40" t="n">
        <f aca="false">SUM(M21:M32)</f>
        <v>0</v>
      </c>
      <c r="N33" s="40" t="n">
        <f aca="false">SUM(N21:N32)</f>
        <v>0</v>
      </c>
    </row>
    <row r="35" customFormat="false" ht="15" hidden="false" customHeight="false" outlineLevel="0" collapsed="false">
      <c r="A35" s="3" t="s">
        <v>248</v>
      </c>
      <c r="B35" s="4"/>
      <c r="C35" s="4"/>
      <c r="D35" s="4"/>
      <c r="E35" s="4"/>
      <c r="F35" s="4"/>
      <c r="G35" s="4"/>
      <c r="H35" s="4"/>
      <c r="I35" s="4"/>
      <c r="J35" s="4"/>
      <c r="K35" s="4"/>
      <c r="L35" s="4"/>
      <c r="M35" s="4"/>
      <c r="N35" s="4"/>
      <c r="O35" s="4"/>
    </row>
    <row r="36" customFormat="false" ht="15" hidden="false" customHeight="false" outlineLevel="0" collapsed="false">
      <c r="A36" s="5" t="s">
        <v>233</v>
      </c>
      <c r="B36" s="5" t="s">
        <v>234</v>
      </c>
      <c r="C36" s="5" t="s">
        <v>85</v>
      </c>
      <c r="D36" s="5" t="s">
        <v>156</v>
      </c>
      <c r="E36" s="5" t="s">
        <v>157</v>
      </c>
      <c r="F36" s="5" t="s">
        <v>158</v>
      </c>
      <c r="G36" s="5" t="s">
        <v>159</v>
      </c>
      <c r="H36" s="5" t="s">
        <v>160</v>
      </c>
      <c r="I36" s="5" t="s">
        <v>161</v>
      </c>
      <c r="J36" s="5" t="s">
        <v>162</v>
      </c>
      <c r="K36" s="5" t="s">
        <v>163</v>
      </c>
      <c r="L36" s="5" t="s">
        <v>164</v>
      </c>
      <c r="M36" s="5" t="s">
        <v>165</v>
      </c>
      <c r="N36" s="5" t="s">
        <v>247</v>
      </c>
    </row>
    <row r="37" customFormat="false" ht="15" hidden="false" customHeight="false" outlineLevel="0" collapsed="false">
      <c r="A37" s="6" t="n">
        <v>1</v>
      </c>
      <c r="B37" s="39" t="str">
        <f aca="false">IF(B6="","",B6)</f>
        <v/>
      </c>
      <c r="C37" s="39" t="str">
        <f aca="false">IF(C6="","",C6)</f>
        <v/>
      </c>
      <c r="D37" s="23" t="n">
        <f aca="false">D21</f>
        <v>0</v>
      </c>
      <c r="E37" s="23" t="n">
        <f aca="false">E21</f>
        <v>0</v>
      </c>
      <c r="F37" s="23" t="n">
        <f aca="false">F21</f>
        <v>0</v>
      </c>
      <c r="G37" s="23" t="n">
        <f aca="false">G21</f>
        <v>0</v>
      </c>
      <c r="H37" s="23" t="n">
        <f aca="false">H21</f>
        <v>0</v>
      </c>
      <c r="I37" s="23" t="n">
        <f aca="false">I21</f>
        <v>0</v>
      </c>
      <c r="J37" s="23" t="n">
        <f aca="false">J21</f>
        <v>0</v>
      </c>
      <c r="K37" s="23" t="n">
        <f aca="false">K21</f>
        <v>0</v>
      </c>
      <c r="L37" s="23" t="n">
        <f aca="false">L21</f>
        <v>0</v>
      </c>
      <c r="M37" s="23" t="n">
        <f aca="false">M21</f>
        <v>0</v>
      </c>
      <c r="N37" s="10" t="n">
        <f aca="false">SUM(D37:M37)</f>
        <v>0</v>
      </c>
    </row>
    <row r="38" customFormat="false" ht="15" hidden="false" customHeight="false" outlineLevel="0" collapsed="false">
      <c r="A38" s="6" t="n">
        <v>2</v>
      </c>
      <c r="B38" s="39" t="str">
        <f aca="false">IF(B7="","",B7)</f>
        <v/>
      </c>
      <c r="C38" s="39" t="str">
        <f aca="false">IF(C7="","",C7)</f>
        <v/>
      </c>
      <c r="D38" s="23" t="n">
        <f aca="false">D22</f>
        <v>0</v>
      </c>
      <c r="E38" s="23" t="n">
        <f aca="false">E22</f>
        <v>0</v>
      </c>
      <c r="F38" s="23" t="n">
        <f aca="false">F22</f>
        <v>0</v>
      </c>
      <c r="G38" s="23" t="n">
        <f aca="false">G22</f>
        <v>0</v>
      </c>
      <c r="H38" s="23" t="n">
        <f aca="false">H22</f>
        <v>0</v>
      </c>
      <c r="I38" s="23" t="n">
        <f aca="false">I22</f>
        <v>0</v>
      </c>
      <c r="J38" s="23" t="n">
        <f aca="false">J22</f>
        <v>0</v>
      </c>
      <c r="K38" s="23" t="n">
        <f aca="false">K22</f>
        <v>0</v>
      </c>
      <c r="L38" s="23" t="n">
        <f aca="false">L22</f>
        <v>0</v>
      </c>
      <c r="M38" s="23" t="n">
        <f aca="false">M22</f>
        <v>0</v>
      </c>
      <c r="N38" s="10" t="n">
        <f aca="false">SUM(D38:M38)</f>
        <v>0</v>
      </c>
    </row>
    <row r="39" customFormat="false" ht="15" hidden="false" customHeight="false" outlineLevel="0" collapsed="false">
      <c r="A39" s="6" t="n">
        <v>3</v>
      </c>
      <c r="B39" s="39" t="str">
        <f aca="false">IF(B8="","",B8)</f>
        <v/>
      </c>
      <c r="C39" s="39" t="str">
        <f aca="false">IF(C8="","",C8)</f>
        <v/>
      </c>
      <c r="D39" s="23" t="n">
        <f aca="false">D23</f>
        <v>0</v>
      </c>
      <c r="E39" s="23" t="n">
        <f aca="false">E23</f>
        <v>0</v>
      </c>
      <c r="F39" s="23" t="n">
        <f aca="false">F23</f>
        <v>0</v>
      </c>
      <c r="G39" s="23" t="n">
        <f aca="false">G23</f>
        <v>0</v>
      </c>
      <c r="H39" s="23" t="n">
        <f aca="false">H23</f>
        <v>0</v>
      </c>
      <c r="I39" s="23" t="n">
        <f aca="false">I23</f>
        <v>0</v>
      </c>
      <c r="J39" s="23" t="n">
        <f aca="false">J23</f>
        <v>0</v>
      </c>
      <c r="K39" s="23" t="n">
        <f aca="false">K23</f>
        <v>0</v>
      </c>
      <c r="L39" s="23" t="n">
        <f aca="false">L23</f>
        <v>0</v>
      </c>
      <c r="M39" s="23" t="n">
        <f aca="false">M23</f>
        <v>0</v>
      </c>
      <c r="N39" s="10" t="n">
        <f aca="false">SUM(D39:M39)</f>
        <v>0</v>
      </c>
    </row>
    <row r="40" customFormat="false" ht="15" hidden="false" customHeight="false" outlineLevel="0" collapsed="false">
      <c r="A40" s="6" t="n">
        <v>4</v>
      </c>
      <c r="B40" s="39" t="str">
        <f aca="false">IF(B9="","",B9)</f>
        <v/>
      </c>
      <c r="C40" s="39" t="str">
        <f aca="false">IF(C9="","",C9)</f>
        <v/>
      </c>
      <c r="D40" s="23" t="n">
        <f aca="false">D24</f>
        <v>0</v>
      </c>
      <c r="E40" s="23" t="n">
        <f aca="false">E24</f>
        <v>0</v>
      </c>
      <c r="F40" s="23" t="n">
        <f aca="false">F24</f>
        <v>0</v>
      </c>
      <c r="G40" s="23" t="n">
        <f aca="false">G24</f>
        <v>0</v>
      </c>
      <c r="H40" s="23" t="n">
        <f aca="false">H24</f>
        <v>0</v>
      </c>
      <c r="I40" s="23" t="n">
        <f aca="false">I24</f>
        <v>0</v>
      </c>
      <c r="J40" s="23" t="n">
        <f aca="false">J24</f>
        <v>0</v>
      </c>
      <c r="K40" s="23" t="n">
        <f aca="false">K24</f>
        <v>0</v>
      </c>
      <c r="L40" s="23" t="n">
        <f aca="false">L24</f>
        <v>0</v>
      </c>
      <c r="M40" s="23" t="n">
        <f aca="false">M24</f>
        <v>0</v>
      </c>
      <c r="N40" s="10" t="n">
        <f aca="false">SUM(D40:M40)</f>
        <v>0</v>
      </c>
    </row>
    <row r="41" customFormat="false" ht="15" hidden="false" customHeight="false" outlineLevel="0" collapsed="false">
      <c r="A41" s="6" t="n">
        <v>5</v>
      </c>
      <c r="B41" s="39" t="str">
        <f aca="false">IF(B10="","",B10)</f>
        <v/>
      </c>
      <c r="C41" s="39" t="str">
        <f aca="false">IF(C10="","",C10)</f>
        <v/>
      </c>
      <c r="D41" s="23" t="n">
        <f aca="false">D25</f>
        <v>0</v>
      </c>
      <c r="E41" s="23" t="n">
        <f aca="false">E25</f>
        <v>0</v>
      </c>
      <c r="F41" s="23" t="n">
        <f aca="false">F25</f>
        <v>0</v>
      </c>
      <c r="G41" s="23" t="n">
        <f aca="false">G25</f>
        <v>0</v>
      </c>
      <c r="H41" s="23" t="n">
        <f aca="false">H25</f>
        <v>0</v>
      </c>
      <c r="I41" s="23" t="n">
        <f aca="false">I25</f>
        <v>0</v>
      </c>
      <c r="J41" s="23" t="n">
        <f aca="false">J25</f>
        <v>0</v>
      </c>
      <c r="K41" s="23" t="n">
        <f aca="false">K25</f>
        <v>0</v>
      </c>
      <c r="L41" s="23" t="n">
        <f aca="false">L25</f>
        <v>0</v>
      </c>
      <c r="M41" s="23" t="n">
        <f aca="false">M25</f>
        <v>0</v>
      </c>
      <c r="N41" s="10" t="n">
        <f aca="false">SUM(D41:M41)</f>
        <v>0</v>
      </c>
    </row>
    <row r="42" customFormat="false" ht="15" hidden="false" customHeight="false" outlineLevel="0" collapsed="false">
      <c r="A42" s="6" t="n">
        <v>6</v>
      </c>
      <c r="B42" s="39" t="str">
        <f aca="false">IF(B11="","",B11)</f>
        <v/>
      </c>
      <c r="C42" s="39" t="str">
        <f aca="false">IF(C11="","",C11)</f>
        <v/>
      </c>
      <c r="D42" s="23" t="n">
        <f aca="false">D26</f>
        <v>0</v>
      </c>
      <c r="E42" s="23" t="n">
        <f aca="false">E26</f>
        <v>0</v>
      </c>
      <c r="F42" s="23" t="n">
        <f aca="false">F26</f>
        <v>0</v>
      </c>
      <c r="G42" s="23" t="n">
        <f aca="false">G26</f>
        <v>0</v>
      </c>
      <c r="H42" s="23" t="n">
        <f aca="false">H26</f>
        <v>0</v>
      </c>
      <c r="I42" s="23" t="n">
        <f aca="false">I26</f>
        <v>0</v>
      </c>
      <c r="J42" s="23" t="n">
        <f aca="false">J26</f>
        <v>0</v>
      </c>
      <c r="K42" s="23" t="n">
        <f aca="false">K26</f>
        <v>0</v>
      </c>
      <c r="L42" s="23" t="n">
        <f aca="false">L26</f>
        <v>0</v>
      </c>
      <c r="M42" s="23" t="n">
        <f aca="false">M26</f>
        <v>0</v>
      </c>
      <c r="N42" s="10" t="n">
        <f aca="false">SUM(D42:M42)</f>
        <v>0</v>
      </c>
    </row>
    <row r="43" customFormat="false" ht="15" hidden="false" customHeight="false" outlineLevel="0" collapsed="false">
      <c r="A43" s="6" t="n">
        <v>7</v>
      </c>
      <c r="B43" s="39" t="str">
        <f aca="false">IF(B12="","",B12)</f>
        <v/>
      </c>
      <c r="C43" s="39" t="str">
        <f aca="false">IF(C12="","",C12)</f>
        <v/>
      </c>
      <c r="D43" s="23" t="n">
        <f aca="false">D27</f>
        <v>0</v>
      </c>
      <c r="E43" s="23" t="n">
        <f aca="false">E27</f>
        <v>0</v>
      </c>
      <c r="F43" s="23" t="n">
        <f aca="false">F27</f>
        <v>0</v>
      </c>
      <c r="G43" s="23" t="n">
        <f aca="false">G27</f>
        <v>0</v>
      </c>
      <c r="H43" s="23" t="n">
        <f aca="false">H27</f>
        <v>0</v>
      </c>
      <c r="I43" s="23" t="n">
        <f aca="false">I27</f>
        <v>0</v>
      </c>
      <c r="J43" s="23" t="n">
        <f aca="false">J27</f>
        <v>0</v>
      </c>
      <c r="K43" s="23" t="n">
        <f aca="false">K27</f>
        <v>0</v>
      </c>
      <c r="L43" s="23" t="n">
        <f aca="false">L27</f>
        <v>0</v>
      </c>
      <c r="M43" s="23" t="n">
        <f aca="false">M27</f>
        <v>0</v>
      </c>
      <c r="N43" s="10" t="n">
        <f aca="false">SUM(D43:M43)</f>
        <v>0</v>
      </c>
    </row>
    <row r="44" customFormat="false" ht="15" hidden="false" customHeight="false" outlineLevel="0" collapsed="false">
      <c r="A44" s="6" t="n">
        <v>8</v>
      </c>
      <c r="B44" s="39" t="str">
        <f aca="false">IF(B13="","",B13)</f>
        <v/>
      </c>
      <c r="C44" s="39" t="str">
        <f aca="false">IF(C13="","",C13)</f>
        <v/>
      </c>
      <c r="D44" s="23" t="n">
        <f aca="false">D28</f>
        <v>0</v>
      </c>
      <c r="E44" s="23" t="n">
        <f aca="false">E28</f>
        <v>0</v>
      </c>
      <c r="F44" s="23" t="n">
        <f aca="false">F28</f>
        <v>0</v>
      </c>
      <c r="G44" s="23" t="n">
        <f aca="false">G28</f>
        <v>0</v>
      </c>
      <c r="H44" s="23" t="n">
        <f aca="false">H28</f>
        <v>0</v>
      </c>
      <c r="I44" s="23" t="n">
        <f aca="false">I28</f>
        <v>0</v>
      </c>
      <c r="J44" s="23" t="n">
        <f aca="false">J28</f>
        <v>0</v>
      </c>
      <c r="K44" s="23" t="n">
        <f aca="false">K28</f>
        <v>0</v>
      </c>
      <c r="L44" s="23" t="n">
        <f aca="false">L28</f>
        <v>0</v>
      </c>
      <c r="M44" s="23" t="n">
        <f aca="false">M28</f>
        <v>0</v>
      </c>
      <c r="N44" s="10" t="n">
        <f aca="false">SUM(D44:M44)</f>
        <v>0</v>
      </c>
    </row>
    <row r="45" customFormat="false" ht="15" hidden="false" customHeight="false" outlineLevel="0" collapsed="false">
      <c r="A45" s="6" t="n">
        <v>9</v>
      </c>
      <c r="B45" s="39" t="str">
        <f aca="false">IF(B14="","",B14)</f>
        <v/>
      </c>
      <c r="C45" s="39" t="str">
        <f aca="false">IF(C14="","",C14)</f>
        <v/>
      </c>
      <c r="D45" s="23" t="n">
        <f aca="false">D29</f>
        <v>0</v>
      </c>
      <c r="E45" s="23" t="n">
        <f aca="false">E29</f>
        <v>0</v>
      </c>
      <c r="F45" s="23" t="n">
        <f aca="false">F29</f>
        <v>0</v>
      </c>
      <c r="G45" s="23" t="n">
        <f aca="false">G29</f>
        <v>0</v>
      </c>
      <c r="H45" s="23" t="n">
        <f aca="false">H29</f>
        <v>0</v>
      </c>
      <c r="I45" s="23" t="n">
        <f aca="false">I29</f>
        <v>0</v>
      </c>
      <c r="J45" s="23" t="n">
        <f aca="false">J29</f>
        <v>0</v>
      </c>
      <c r="K45" s="23" t="n">
        <f aca="false">K29</f>
        <v>0</v>
      </c>
      <c r="L45" s="23" t="n">
        <f aca="false">L29</f>
        <v>0</v>
      </c>
      <c r="M45" s="23" t="n">
        <f aca="false">M29</f>
        <v>0</v>
      </c>
      <c r="N45" s="10" t="n">
        <f aca="false">SUM(D45:M45)</f>
        <v>0</v>
      </c>
    </row>
    <row r="46" customFormat="false" ht="15" hidden="false" customHeight="false" outlineLevel="0" collapsed="false">
      <c r="A46" s="6" t="n">
        <v>10</v>
      </c>
      <c r="B46" s="39" t="str">
        <f aca="false">IF(B15="","",B15)</f>
        <v/>
      </c>
      <c r="C46" s="39" t="str">
        <f aca="false">IF(C15="","",C15)</f>
        <v/>
      </c>
      <c r="D46" s="23" t="n">
        <f aca="false">D30</f>
        <v>0</v>
      </c>
      <c r="E46" s="23" t="n">
        <f aca="false">E30</f>
        <v>0</v>
      </c>
      <c r="F46" s="23" t="n">
        <f aca="false">F30</f>
        <v>0</v>
      </c>
      <c r="G46" s="23" t="n">
        <f aca="false">G30</f>
        <v>0</v>
      </c>
      <c r="H46" s="23" t="n">
        <f aca="false">H30</f>
        <v>0</v>
      </c>
      <c r="I46" s="23" t="n">
        <f aca="false">I30</f>
        <v>0</v>
      </c>
      <c r="J46" s="23" t="n">
        <f aca="false">J30</f>
        <v>0</v>
      </c>
      <c r="K46" s="23" t="n">
        <f aca="false">K30</f>
        <v>0</v>
      </c>
      <c r="L46" s="23" t="n">
        <f aca="false">L30</f>
        <v>0</v>
      </c>
      <c r="M46" s="23" t="n">
        <f aca="false">M30</f>
        <v>0</v>
      </c>
      <c r="N46" s="10" t="n">
        <f aca="false">SUM(D46:M46)</f>
        <v>0</v>
      </c>
    </row>
    <row r="47" customFormat="false" ht="15" hidden="false" customHeight="false" outlineLevel="0" collapsed="false">
      <c r="A47" s="6" t="n">
        <v>11</v>
      </c>
      <c r="B47" s="39" t="str">
        <f aca="false">IF(B16="","",B16)</f>
        <v/>
      </c>
      <c r="C47" s="39" t="str">
        <f aca="false">IF(C16="","",C16)</f>
        <v/>
      </c>
      <c r="D47" s="23" t="n">
        <f aca="false">D31</f>
        <v>0</v>
      </c>
      <c r="E47" s="23" t="n">
        <f aca="false">E31</f>
        <v>0</v>
      </c>
      <c r="F47" s="23" t="n">
        <f aca="false">F31</f>
        <v>0</v>
      </c>
      <c r="G47" s="23" t="n">
        <f aca="false">G31</f>
        <v>0</v>
      </c>
      <c r="H47" s="23" t="n">
        <f aca="false">H31</f>
        <v>0</v>
      </c>
      <c r="I47" s="23" t="n">
        <f aca="false">I31</f>
        <v>0</v>
      </c>
      <c r="J47" s="23" t="n">
        <f aca="false">J31</f>
        <v>0</v>
      </c>
      <c r="K47" s="23" t="n">
        <f aca="false">K31</f>
        <v>0</v>
      </c>
      <c r="L47" s="23" t="n">
        <f aca="false">L31</f>
        <v>0</v>
      </c>
      <c r="M47" s="23" t="n">
        <f aca="false">M31</f>
        <v>0</v>
      </c>
      <c r="N47" s="10" t="n">
        <f aca="false">SUM(D47:M47)</f>
        <v>0</v>
      </c>
    </row>
    <row r="48" customFormat="false" ht="15" hidden="false" customHeight="false" outlineLevel="0" collapsed="false">
      <c r="A48" s="6" t="n">
        <v>12</v>
      </c>
      <c r="B48" s="39" t="str">
        <f aca="false">IF(B17="","",B17)</f>
        <v/>
      </c>
      <c r="C48" s="39" t="str">
        <f aca="false">IF(C17="","",C17)</f>
        <v/>
      </c>
      <c r="D48" s="23" t="n">
        <f aca="false">D32</f>
        <v>0</v>
      </c>
      <c r="E48" s="23" t="n">
        <f aca="false">E32</f>
        <v>0</v>
      </c>
      <c r="F48" s="23" t="n">
        <f aca="false">F32</f>
        <v>0</v>
      </c>
      <c r="G48" s="23" t="n">
        <f aca="false">G32</f>
        <v>0</v>
      </c>
      <c r="H48" s="23" t="n">
        <f aca="false">H32</f>
        <v>0</v>
      </c>
      <c r="I48" s="23" t="n">
        <f aca="false">I32</f>
        <v>0</v>
      </c>
      <c r="J48" s="23" t="n">
        <f aca="false">J32</f>
        <v>0</v>
      </c>
      <c r="K48" s="23" t="n">
        <f aca="false">K32</f>
        <v>0</v>
      </c>
      <c r="L48" s="23" t="n">
        <f aca="false">L32</f>
        <v>0</v>
      </c>
      <c r="M48" s="23" t="n">
        <f aca="false">M32</f>
        <v>0</v>
      </c>
      <c r="N48" s="10" t="n">
        <f aca="false">SUM(D48:M48)</f>
        <v>0</v>
      </c>
    </row>
    <row r="49" customFormat="false" ht="15" hidden="false" customHeight="false" outlineLevel="0" collapsed="false">
      <c r="B49" s="11" t="s">
        <v>247</v>
      </c>
      <c r="D49" s="40" t="n">
        <f aca="false">SUM(D37:D48)</f>
        <v>0</v>
      </c>
      <c r="E49" s="40" t="n">
        <f aca="false">SUM(E37:E48)</f>
        <v>0</v>
      </c>
      <c r="F49" s="40" t="n">
        <f aca="false">SUM(F37:F48)</f>
        <v>0</v>
      </c>
      <c r="G49" s="40" t="n">
        <f aca="false">SUM(G37:G48)</f>
        <v>0</v>
      </c>
      <c r="H49" s="40" t="n">
        <f aca="false">SUM(H37:H48)</f>
        <v>0</v>
      </c>
      <c r="I49" s="40" t="n">
        <f aca="false">SUM(I37:I48)</f>
        <v>0</v>
      </c>
      <c r="J49" s="40" t="n">
        <f aca="false">SUM(J37:J48)</f>
        <v>0</v>
      </c>
      <c r="K49" s="40" t="n">
        <f aca="false">SUM(K37:K48)</f>
        <v>0</v>
      </c>
      <c r="L49" s="40" t="n">
        <f aca="false">SUM(L37:L48)</f>
        <v>0</v>
      </c>
      <c r="M49" s="40" t="n">
        <f aca="false">SUM(M37:M48)</f>
        <v>0</v>
      </c>
      <c r="N49" s="40" t="n">
        <f aca="false">SUM(N37:N48)</f>
        <v>0</v>
      </c>
    </row>
    <row r="51" customFormat="false" ht="15" hidden="false" customHeight="false" outlineLevel="0" collapsed="false">
      <c r="A51" s="3" t="s">
        <v>249</v>
      </c>
      <c r="B51" s="4"/>
      <c r="C51" s="4"/>
      <c r="D51" s="4"/>
      <c r="E51" s="4"/>
      <c r="F51" s="4"/>
      <c r="G51" s="4"/>
      <c r="H51" s="4"/>
      <c r="I51" s="4"/>
      <c r="J51" s="4"/>
      <c r="K51" s="4"/>
      <c r="L51" s="4"/>
      <c r="M51" s="4"/>
      <c r="N51" s="4"/>
      <c r="O51" s="4"/>
    </row>
    <row r="52" customFormat="false" ht="15" hidden="false" customHeight="false" outlineLevel="0" collapsed="false">
      <c r="A52" s="5" t="s">
        <v>233</v>
      </c>
      <c r="B52" s="5" t="s">
        <v>234</v>
      </c>
      <c r="C52" s="5"/>
      <c r="D52" s="5" t="s">
        <v>156</v>
      </c>
      <c r="E52" s="5" t="s">
        <v>157</v>
      </c>
      <c r="F52" s="5" t="s">
        <v>158</v>
      </c>
      <c r="G52" s="5" t="s">
        <v>159</v>
      </c>
      <c r="H52" s="5" t="s">
        <v>160</v>
      </c>
      <c r="I52" s="5" t="s">
        <v>161</v>
      </c>
      <c r="J52" s="5" t="s">
        <v>162</v>
      </c>
      <c r="K52" s="5" t="s">
        <v>163</v>
      </c>
      <c r="L52" s="5" t="s">
        <v>164</v>
      </c>
      <c r="M52" s="5" t="s">
        <v>165</v>
      </c>
      <c r="N52" s="5" t="s">
        <v>250</v>
      </c>
    </row>
    <row r="53" customFormat="false" ht="15" hidden="false" customHeight="false" outlineLevel="0" collapsed="false">
      <c r="A53" s="6" t="n">
        <v>1</v>
      </c>
      <c r="B53" s="39" t="str">
        <f aca="false">IF(B6="","",B6)</f>
        <v/>
      </c>
      <c r="D53" s="34" t="n">
        <f aca="false">IF(IF(AND(N($F6)&gt;0,1&gt;=$F6),N($E6),N($D6))=0,0,MAX(0,D37/(1-V_Merma)-IF(AND(N($F6)&gt;0,1&gt;=$F6),N($E6),N($D6))))</f>
        <v>0</v>
      </c>
      <c r="E53" s="34" t="n">
        <f aca="false">IF(IF(AND(N($F6)&gt;0,2&gt;=$F6),N($E6),N($D6))=0,0,MAX(0,E37/(1-V_Merma)-IF(AND(N($F6)&gt;0,2&gt;=$F6),N($E6),N($D6))))</f>
        <v>0</v>
      </c>
      <c r="F53" s="34" t="n">
        <f aca="false">IF(IF(AND(N($F6)&gt;0,3&gt;=$F6),N($E6),N($D6))=0,0,MAX(0,F37/(1-V_Merma)-IF(AND(N($F6)&gt;0,3&gt;=$F6),N($E6),N($D6))))</f>
        <v>0</v>
      </c>
      <c r="G53" s="34" t="n">
        <f aca="false">IF(IF(AND(N($F6)&gt;0,4&gt;=$F6),N($E6),N($D6))=0,0,MAX(0,G37/(1-V_Merma)-IF(AND(N($F6)&gt;0,4&gt;=$F6),N($E6),N($D6))))</f>
        <v>0</v>
      </c>
      <c r="H53" s="34" t="n">
        <f aca="false">IF(IF(AND(N($F6)&gt;0,5&gt;=$F6),N($E6),N($D6))=0,0,MAX(0,H37/(1-V_Merma)-IF(AND(N($F6)&gt;0,5&gt;=$F6),N($E6),N($D6))))</f>
        <v>0</v>
      </c>
      <c r="I53" s="34" t="n">
        <f aca="false">IF(IF(AND(N($F6)&gt;0,6&gt;=$F6),N($E6),N($D6))=0,0,MAX(0,I37/(1-V_Merma)-IF(AND(N($F6)&gt;0,6&gt;=$F6),N($E6),N($D6))))</f>
        <v>0</v>
      </c>
      <c r="J53" s="34" t="n">
        <f aca="false">IF(IF(AND(N($F6)&gt;0,7&gt;=$F6),N($E6),N($D6))=0,0,MAX(0,J37/(1-V_Merma)-IF(AND(N($F6)&gt;0,7&gt;=$F6),N($E6),N($D6))))</f>
        <v>0</v>
      </c>
      <c r="K53" s="34" t="n">
        <f aca="false">IF(IF(AND(N($F6)&gt;0,8&gt;=$F6),N($E6),N($D6))=0,0,MAX(0,K37/(1-V_Merma)-IF(AND(N($F6)&gt;0,8&gt;=$F6),N($E6),N($D6))))</f>
        <v>0</v>
      </c>
      <c r="L53" s="34" t="n">
        <f aca="false">IF(IF(AND(N($F6)&gt;0,9&gt;=$F6),N($E6),N($D6))=0,0,MAX(0,L37/(1-V_Merma)-IF(AND(N($F6)&gt;0,9&gt;=$F6),N($E6),N($D6))))</f>
        <v>0</v>
      </c>
      <c r="M53" s="34" t="n">
        <f aca="false">IF(IF(AND(N($F6)&gt;0,10&gt;=$F6),N($E6),N($D6))=0,0,MAX(0,M37/(1-V_Merma)-IF(AND(N($F6)&gt;0,10&gt;=$F6),N($E6),N($D6))))</f>
        <v>0</v>
      </c>
      <c r="N53" s="32" t="n">
        <f aca="false">COUNTIF(D53:M53,"&gt;0.5")</f>
        <v>0</v>
      </c>
    </row>
    <row r="54" customFormat="false" ht="15" hidden="false" customHeight="false" outlineLevel="0" collapsed="false">
      <c r="A54" s="6" t="n">
        <v>2</v>
      </c>
      <c r="B54" s="39" t="str">
        <f aca="false">IF(B7="","",B7)</f>
        <v/>
      </c>
      <c r="D54" s="34" t="n">
        <f aca="false">IF(IF(AND(N($F7)&gt;0,1&gt;=$F7),N($E7),N($D7))=0,0,MAX(0,D38/(1-V_Merma)-IF(AND(N($F7)&gt;0,1&gt;=$F7),N($E7),N($D7))))</f>
        <v>0</v>
      </c>
      <c r="E54" s="34" t="n">
        <f aca="false">IF(IF(AND(N($F7)&gt;0,2&gt;=$F7),N($E7),N($D7))=0,0,MAX(0,E38/(1-V_Merma)-IF(AND(N($F7)&gt;0,2&gt;=$F7),N($E7),N($D7))))</f>
        <v>0</v>
      </c>
      <c r="F54" s="34" t="n">
        <f aca="false">IF(IF(AND(N($F7)&gt;0,3&gt;=$F7),N($E7),N($D7))=0,0,MAX(0,F38/(1-V_Merma)-IF(AND(N($F7)&gt;0,3&gt;=$F7),N($E7),N($D7))))</f>
        <v>0</v>
      </c>
      <c r="G54" s="34" t="n">
        <f aca="false">IF(IF(AND(N($F7)&gt;0,4&gt;=$F7),N($E7),N($D7))=0,0,MAX(0,G38/(1-V_Merma)-IF(AND(N($F7)&gt;0,4&gt;=$F7),N($E7),N($D7))))</f>
        <v>0</v>
      </c>
      <c r="H54" s="34" t="n">
        <f aca="false">IF(IF(AND(N($F7)&gt;0,5&gt;=$F7),N($E7),N($D7))=0,0,MAX(0,H38/(1-V_Merma)-IF(AND(N($F7)&gt;0,5&gt;=$F7),N($E7),N($D7))))</f>
        <v>0</v>
      </c>
      <c r="I54" s="34" t="n">
        <f aca="false">IF(IF(AND(N($F7)&gt;0,6&gt;=$F7),N($E7),N($D7))=0,0,MAX(0,I38/(1-V_Merma)-IF(AND(N($F7)&gt;0,6&gt;=$F7),N($E7),N($D7))))</f>
        <v>0</v>
      </c>
      <c r="J54" s="34" t="n">
        <f aca="false">IF(IF(AND(N($F7)&gt;0,7&gt;=$F7),N($E7),N($D7))=0,0,MAX(0,J38/(1-V_Merma)-IF(AND(N($F7)&gt;0,7&gt;=$F7),N($E7),N($D7))))</f>
        <v>0</v>
      </c>
      <c r="K54" s="34" t="n">
        <f aca="false">IF(IF(AND(N($F7)&gt;0,8&gt;=$F7),N($E7),N($D7))=0,0,MAX(0,K38/(1-V_Merma)-IF(AND(N($F7)&gt;0,8&gt;=$F7),N($E7),N($D7))))</f>
        <v>0</v>
      </c>
      <c r="L54" s="34" t="n">
        <f aca="false">IF(IF(AND(N($F7)&gt;0,9&gt;=$F7),N($E7),N($D7))=0,0,MAX(0,L38/(1-V_Merma)-IF(AND(N($F7)&gt;0,9&gt;=$F7),N($E7),N($D7))))</f>
        <v>0</v>
      </c>
      <c r="M54" s="34" t="n">
        <f aca="false">IF(IF(AND(N($F7)&gt;0,10&gt;=$F7),N($E7),N($D7))=0,0,MAX(0,M38/(1-V_Merma)-IF(AND(N($F7)&gt;0,10&gt;=$F7),N($E7),N($D7))))</f>
        <v>0</v>
      </c>
      <c r="N54" s="32" t="n">
        <f aca="false">COUNTIF(D54:M54,"&gt;0.5")</f>
        <v>0</v>
      </c>
    </row>
    <row r="55" customFormat="false" ht="15" hidden="false" customHeight="false" outlineLevel="0" collapsed="false">
      <c r="A55" s="6" t="n">
        <v>3</v>
      </c>
      <c r="B55" s="39" t="str">
        <f aca="false">IF(B8="","",B8)</f>
        <v/>
      </c>
      <c r="D55" s="34" t="n">
        <f aca="false">IF(IF(AND(N($F8)&gt;0,1&gt;=$F8),N($E8),N($D8))=0,0,MAX(0,D39/(1-V_Merma)-IF(AND(N($F8)&gt;0,1&gt;=$F8),N($E8),N($D8))))</f>
        <v>0</v>
      </c>
      <c r="E55" s="34" t="n">
        <f aca="false">IF(IF(AND(N($F8)&gt;0,2&gt;=$F8),N($E8),N($D8))=0,0,MAX(0,E39/(1-V_Merma)-IF(AND(N($F8)&gt;0,2&gt;=$F8),N($E8),N($D8))))</f>
        <v>0</v>
      </c>
      <c r="F55" s="34" t="n">
        <f aca="false">IF(IF(AND(N($F8)&gt;0,3&gt;=$F8),N($E8),N($D8))=0,0,MAX(0,F39/(1-V_Merma)-IF(AND(N($F8)&gt;0,3&gt;=$F8),N($E8),N($D8))))</f>
        <v>0</v>
      </c>
      <c r="G55" s="34" t="n">
        <f aca="false">IF(IF(AND(N($F8)&gt;0,4&gt;=$F8),N($E8),N($D8))=0,0,MAX(0,G39/(1-V_Merma)-IF(AND(N($F8)&gt;0,4&gt;=$F8),N($E8),N($D8))))</f>
        <v>0</v>
      </c>
      <c r="H55" s="34" t="n">
        <f aca="false">IF(IF(AND(N($F8)&gt;0,5&gt;=$F8),N($E8),N($D8))=0,0,MAX(0,H39/(1-V_Merma)-IF(AND(N($F8)&gt;0,5&gt;=$F8),N($E8),N($D8))))</f>
        <v>0</v>
      </c>
      <c r="I55" s="34" t="n">
        <f aca="false">IF(IF(AND(N($F8)&gt;0,6&gt;=$F8),N($E8),N($D8))=0,0,MAX(0,I39/(1-V_Merma)-IF(AND(N($F8)&gt;0,6&gt;=$F8),N($E8),N($D8))))</f>
        <v>0</v>
      </c>
      <c r="J55" s="34" t="n">
        <f aca="false">IF(IF(AND(N($F8)&gt;0,7&gt;=$F8),N($E8),N($D8))=0,0,MAX(0,J39/(1-V_Merma)-IF(AND(N($F8)&gt;0,7&gt;=$F8),N($E8),N($D8))))</f>
        <v>0</v>
      </c>
      <c r="K55" s="34" t="n">
        <f aca="false">IF(IF(AND(N($F8)&gt;0,8&gt;=$F8),N($E8),N($D8))=0,0,MAX(0,K39/(1-V_Merma)-IF(AND(N($F8)&gt;0,8&gt;=$F8),N($E8),N($D8))))</f>
        <v>0</v>
      </c>
      <c r="L55" s="34" t="n">
        <f aca="false">IF(IF(AND(N($F8)&gt;0,9&gt;=$F8),N($E8),N($D8))=0,0,MAX(0,L39/(1-V_Merma)-IF(AND(N($F8)&gt;0,9&gt;=$F8),N($E8),N($D8))))</f>
        <v>0</v>
      </c>
      <c r="M55" s="34" t="n">
        <f aca="false">IF(IF(AND(N($F8)&gt;0,10&gt;=$F8),N($E8),N($D8))=0,0,MAX(0,M39/(1-V_Merma)-IF(AND(N($F8)&gt;0,10&gt;=$F8),N($E8),N($D8))))</f>
        <v>0</v>
      </c>
      <c r="N55" s="32" t="n">
        <f aca="false">COUNTIF(D55:M55,"&gt;0.5")</f>
        <v>0</v>
      </c>
    </row>
    <row r="56" customFormat="false" ht="15" hidden="false" customHeight="false" outlineLevel="0" collapsed="false">
      <c r="A56" s="6" t="n">
        <v>4</v>
      </c>
      <c r="B56" s="39" t="str">
        <f aca="false">IF(B9="","",B9)</f>
        <v/>
      </c>
      <c r="D56" s="34" t="n">
        <f aca="false">IF(IF(AND(N($F9)&gt;0,1&gt;=$F9),N($E9),N($D9))=0,0,MAX(0,D40/(1-V_Merma)-IF(AND(N($F9)&gt;0,1&gt;=$F9),N($E9),N($D9))))</f>
        <v>0</v>
      </c>
      <c r="E56" s="34" t="n">
        <f aca="false">IF(IF(AND(N($F9)&gt;0,2&gt;=$F9),N($E9),N($D9))=0,0,MAX(0,E40/(1-V_Merma)-IF(AND(N($F9)&gt;0,2&gt;=$F9),N($E9),N($D9))))</f>
        <v>0</v>
      </c>
      <c r="F56" s="34" t="n">
        <f aca="false">IF(IF(AND(N($F9)&gt;0,3&gt;=$F9),N($E9),N($D9))=0,0,MAX(0,F40/(1-V_Merma)-IF(AND(N($F9)&gt;0,3&gt;=$F9),N($E9),N($D9))))</f>
        <v>0</v>
      </c>
      <c r="G56" s="34" t="n">
        <f aca="false">IF(IF(AND(N($F9)&gt;0,4&gt;=$F9),N($E9),N($D9))=0,0,MAX(0,G40/(1-V_Merma)-IF(AND(N($F9)&gt;0,4&gt;=$F9),N($E9),N($D9))))</f>
        <v>0</v>
      </c>
      <c r="H56" s="34" t="n">
        <f aca="false">IF(IF(AND(N($F9)&gt;0,5&gt;=$F9),N($E9),N($D9))=0,0,MAX(0,H40/(1-V_Merma)-IF(AND(N($F9)&gt;0,5&gt;=$F9),N($E9),N($D9))))</f>
        <v>0</v>
      </c>
      <c r="I56" s="34" t="n">
        <f aca="false">IF(IF(AND(N($F9)&gt;0,6&gt;=$F9),N($E9),N($D9))=0,0,MAX(0,I40/(1-V_Merma)-IF(AND(N($F9)&gt;0,6&gt;=$F9),N($E9),N($D9))))</f>
        <v>0</v>
      </c>
      <c r="J56" s="34" t="n">
        <f aca="false">IF(IF(AND(N($F9)&gt;0,7&gt;=$F9),N($E9),N($D9))=0,0,MAX(0,J40/(1-V_Merma)-IF(AND(N($F9)&gt;0,7&gt;=$F9),N($E9),N($D9))))</f>
        <v>0</v>
      </c>
      <c r="K56" s="34" t="n">
        <f aca="false">IF(IF(AND(N($F9)&gt;0,8&gt;=$F9),N($E9),N($D9))=0,0,MAX(0,K40/(1-V_Merma)-IF(AND(N($F9)&gt;0,8&gt;=$F9),N($E9),N($D9))))</f>
        <v>0</v>
      </c>
      <c r="L56" s="34" t="n">
        <f aca="false">IF(IF(AND(N($F9)&gt;0,9&gt;=$F9),N($E9),N($D9))=0,0,MAX(0,L40/(1-V_Merma)-IF(AND(N($F9)&gt;0,9&gt;=$F9),N($E9),N($D9))))</f>
        <v>0</v>
      </c>
      <c r="M56" s="34" t="n">
        <f aca="false">IF(IF(AND(N($F9)&gt;0,10&gt;=$F9),N($E9),N($D9))=0,0,MAX(0,M40/(1-V_Merma)-IF(AND(N($F9)&gt;0,10&gt;=$F9),N($E9),N($D9))))</f>
        <v>0</v>
      </c>
      <c r="N56" s="32" t="n">
        <f aca="false">COUNTIF(D56:M56,"&gt;0.5")</f>
        <v>0</v>
      </c>
    </row>
    <row r="57" customFormat="false" ht="15" hidden="false" customHeight="false" outlineLevel="0" collapsed="false">
      <c r="A57" s="6" t="n">
        <v>5</v>
      </c>
      <c r="B57" s="39" t="str">
        <f aca="false">IF(B10="","",B10)</f>
        <v/>
      </c>
      <c r="D57" s="34" t="n">
        <f aca="false">IF(IF(AND(N($F10)&gt;0,1&gt;=$F10),N($E10),N($D10))=0,0,MAX(0,D41/(1-V_Merma)-IF(AND(N($F10)&gt;0,1&gt;=$F10),N($E10),N($D10))))</f>
        <v>0</v>
      </c>
      <c r="E57" s="34" t="n">
        <f aca="false">IF(IF(AND(N($F10)&gt;0,2&gt;=$F10),N($E10),N($D10))=0,0,MAX(0,E41/(1-V_Merma)-IF(AND(N($F10)&gt;0,2&gt;=$F10),N($E10),N($D10))))</f>
        <v>0</v>
      </c>
      <c r="F57" s="34" t="n">
        <f aca="false">IF(IF(AND(N($F10)&gt;0,3&gt;=$F10),N($E10),N($D10))=0,0,MAX(0,F41/(1-V_Merma)-IF(AND(N($F10)&gt;0,3&gt;=$F10),N($E10),N($D10))))</f>
        <v>0</v>
      </c>
      <c r="G57" s="34" t="n">
        <f aca="false">IF(IF(AND(N($F10)&gt;0,4&gt;=$F10),N($E10),N($D10))=0,0,MAX(0,G41/(1-V_Merma)-IF(AND(N($F10)&gt;0,4&gt;=$F10),N($E10),N($D10))))</f>
        <v>0</v>
      </c>
      <c r="H57" s="34" t="n">
        <f aca="false">IF(IF(AND(N($F10)&gt;0,5&gt;=$F10),N($E10),N($D10))=0,0,MAX(0,H41/(1-V_Merma)-IF(AND(N($F10)&gt;0,5&gt;=$F10),N($E10),N($D10))))</f>
        <v>0</v>
      </c>
      <c r="I57" s="34" t="n">
        <f aca="false">IF(IF(AND(N($F10)&gt;0,6&gt;=$F10),N($E10),N($D10))=0,0,MAX(0,I41/(1-V_Merma)-IF(AND(N($F10)&gt;0,6&gt;=$F10),N($E10),N($D10))))</f>
        <v>0</v>
      </c>
      <c r="J57" s="34" t="n">
        <f aca="false">IF(IF(AND(N($F10)&gt;0,7&gt;=$F10),N($E10),N($D10))=0,0,MAX(0,J41/(1-V_Merma)-IF(AND(N($F10)&gt;0,7&gt;=$F10),N($E10),N($D10))))</f>
        <v>0</v>
      </c>
      <c r="K57" s="34" t="n">
        <f aca="false">IF(IF(AND(N($F10)&gt;0,8&gt;=$F10),N($E10),N($D10))=0,0,MAX(0,K41/(1-V_Merma)-IF(AND(N($F10)&gt;0,8&gt;=$F10),N($E10),N($D10))))</f>
        <v>0</v>
      </c>
      <c r="L57" s="34" t="n">
        <f aca="false">IF(IF(AND(N($F10)&gt;0,9&gt;=$F10),N($E10),N($D10))=0,0,MAX(0,L41/(1-V_Merma)-IF(AND(N($F10)&gt;0,9&gt;=$F10),N($E10),N($D10))))</f>
        <v>0</v>
      </c>
      <c r="M57" s="34" t="n">
        <f aca="false">IF(IF(AND(N($F10)&gt;0,10&gt;=$F10),N($E10),N($D10))=0,0,MAX(0,M41/(1-V_Merma)-IF(AND(N($F10)&gt;0,10&gt;=$F10),N($E10),N($D10))))</f>
        <v>0</v>
      </c>
      <c r="N57" s="32" t="n">
        <f aca="false">COUNTIF(D57:M57,"&gt;0.5")</f>
        <v>0</v>
      </c>
    </row>
    <row r="58" customFormat="false" ht="15" hidden="false" customHeight="false" outlineLevel="0" collapsed="false">
      <c r="A58" s="6" t="n">
        <v>6</v>
      </c>
      <c r="B58" s="39" t="str">
        <f aca="false">IF(B11="","",B11)</f>
        <v/>
      </c>
      <c r="D58" s="34" t="n">
        <f aca="false">IF(IF(AND(N($F11)&gt;0,1&gt;=$F11),N($E11),N($D11))=0,0,MAX(0,D42/(1-V_Merma)-IF(AND(N($F11)&gt;0,1&gt;=$F11),N($E11),N($D11))))</f>
        <v>0</v>
      </c>
      <c r="E58" s="34" t="n">
        <f aca="false">IF(IF(AND(N($F11)&gt;0,2&gt;=$F11),N($E11),N($D11))=0,0,MAX(0,E42/(1-V_Merma)-IF(AND(N($F11)&gt;0,2&gt;=$F11),N($E11),N($D11))))</f>
        <v>0</v>
      </c>
      <c r="F58" s="34" t="n">
        <f aca="false">IF(IF(AND(N($F11)&gt;0,3&gt;=$F11),N($E11),N($D11))=0,0,MAX(0,F42/(1-V_Merma)-IF(AND(N($F11)&gt;0,3&gt;=$F11),N($E11),N($D11))))</f>
        <v>0</v>
      </c>
      <c r="G58" s="34" t="n">
        <f aca="false">IF(IF(AND(N($F11)&gt;0,4&gt;=$F11),N($E11),N($D11))=0,0,MAX(0,G42/(1-V_Merma)-IF(AND(N($F11)&gt;0,4&gt;=$F11),N($E11),N($D11))))</f>
        <v>0</v>
      </c>
      <c r="H58" s="34" t="n">
        <f aca="false">IF(IF(AND(N($F11)&gt;0,5&gt;=$F11),N($E11),N($D11))=0,0,MAX(0,H42/(1-V_Merma)-IF(AND(N($F11)&gt;0,5&gt;=$F11),N($E11),N($D11))))</f>
        <v>0</v>
      </c>
      <c r="I58" s="34" t="n">
        <f aca="false">IF(IF(AND(N($F11)&gt;0,6&gt;=$F11),N($E11),N($D11))=0,0,MAX(0,I42/(1-V_Merma)-IF(AND(N($F11)&gt;0,6&gt;=$F11),N($E11),N($D11))))</f>
        <v>0</v>
      </c>
      <c r="J58" s="34" t="n">
        <f aca="false">IF(IF(AND(N($F11)&gt;0,7&gt;=$F11),N($E11),N($D11))=0,0,MAX(0,J42/(1-V_Merma)-IF(AND(N($F11)&gt;0,7&gt;=$F11),N($E11),N($D11))))</f>
        <v>0</v>
      </c>
      <c r="K58" s="34" t="n">
        <f aca="false">IF(IF(AND(N($F11)&gt;0,8&gt;=$F11),N($E11),N($D11))=0,0,MAX(0,K42/(1-V_Merma)-IF(AND(N($F11)&gt;0,8&gt;=$F11),N($E11),N($D11))))</f>
        <v>0</v>
      </c>
      <c r="L58" s="34" t="n">
        <f aca="false">IF(IF(AND(N($F11)&gt;0,9&gt;=$F11),N($E11),N($D11))=0,0,MAX(0,L42/(1-V_Merma)-IF(AND(N($F11)&gt;0,9&gt;=$F11),N($E11),N($D11))))</f>
        <v>0</v>
      </c>
      <c r="M58" s="34" t="n">
        <f aca="false">IF(IF(AND(N($F11)&gt;0,10&gt;=$F11),N($E11),N($D11))=0,0,MAX(0,M42/(1-V_Merma)-IF(AND(N($F11)&gt;0,10&gt;=$F11),N($E11),N($D11))))</f>
        <v>0</v>
      </c>
      <c r="N58" s="32" t="n">
        <f aca="false">COUNTIF(D58:M58,"&gt;0.5")</f>
        <v>0</v>
      </c>
    </row>
    <row r="59" customFormat="false" ht="15" hidden="false" customHeight="false" outlineLevel="0" collapsed="false">
      <c r="A59" s="6" t="n">
        <v>7</v>
      </c>
      <c r="B59" s="39" t="str">
        <f aca="false">IF(B12="","",B12)</f>
        <v/>
      </c>
      <c r="D59" s="34" t="n">
        <f aca="false">IF(IF(AND(N($F12)&gt;0,1&gt;=$F12),N($E12),N($D12))=0,0,MAX(0,D43/(1-V_Merma)-IF(AND(N($F12)&gt;0,1&gt;=$F12),N($E12),N($D12))))</f>
        <v>0</v>
      </c>
      <c r="E59" s="34" t="n">
        <f aca="false">IF(IF(AND(N($F12)&gt;0,2&gt;=$F12),N($E12),N($D12))=0,0,MAX(0,E43/(1-V_Merma)-IF(AND(N($F12)&gt;0,2&gt;=$F12),N($E12),N($D12))))</f>
        <v>0</v>
      </c>
      <c r="F59" s="34" t="n">
        <f aca="false">IF(IF(AND(N($F12)&gt;0,3&gt;=$F12),N($E12),N($D12))=0,0,MAX(0,F43/(1-V_Merma)-IF(AND(N($F12)&gt;0,3&gt;=$F12),N($E12),N($D12))))</f>
        <v>0</v>
      </c>
      <c r="G59" s="34" t="n">
        <f aca="false">IF(IF(AND(N($F12)&gt;0,4&gt;=$F12),N($E12),N($D12))=0,0,MAX(0,G43/(1-V_Merma)-IF(AND(N($F12)&gt;0,4&gt;=$F12),N($E12),N($D12))))</f>
        <v>0</v>
      </c>
      <c r="H59" s="34" t="n">
        <f aca="false">IF(IF(AND(N($F12)&gt;0,5&gt;=$F12),N($E12),N($D12))=0,0,MAX(0,H43/(1-V_Merma)-IF(AND(N($F12)&gt;0,5&gt;=$F12),N($E12),N($D12))))</f>
        <v>0</v>
      </c>
      <c r="I59" s="34" t="n">
        <f aca="false">IF(IF(AND(N($F12)&gt;0,6&gt;=$F12),N($E12),N($D12))=0,0,MAX(0,I43/(1-V_Merma)-IF(AND(N($F12)&gt;0,6&gt;=$F12),N($E12),N($D12))))</f>
        <v>0</v>
      </c>
      <c r="J59" s="34" t="n">
        <f aca="false">IF(IF(AND(N($F12)&gt;0,7&gt;=$F12),N($E12),N($D12))=0,0,MAX(0,J43/(1-V_Merma)-IF(AND(N($F12)&gt;0,7&gt;=$F12),N($E12),N($D12))))</f>
        <v>0</v>
      </c>
      <c r="K59" s="34" t="n">
        <f aca="false">IF(IF(AND(N($F12)&gt;0,8&gt;=$F12),N($E12),N($D12))=0,0,MAX(0,K43/(1-V_Merma)-IF(AND(N($F12)&gt;0,8&gt;=$F12),N($E12),N($D12))))</f>
        <v>0</v>
      </c>
      <c r="L59" s="34" t="n">
        <f aca="false">IF(IF(AND(N($F12)&gt;0,9&gt;=$F12),N($E12),N($D12))=0,0,MAX(0,L43/(1-V_Merma)-IF(AND(N($F12)&gt;0,9&gt;=$F12),N($E12),N($D12))))</f>
        <v>0</v>
      </c>
      <c r="M59" s="34" t="n">
        <f aca="false">IF(IF(AND(N($F12)&gt;0,10&gt;=$F12),N($E12),N($D12))=0,0,MAX(0,M43/(1-V_Merma)-IF(AND(N($F12)&gt;0,10&gt;=$F12),N($E12),N($D12))))</f>
        <v>0</v>
      </c>
      <c r="N59" s="32" t="n">
        <f aca="false">COUNTIF(D59:M59,"&gt;0.5")</f>
        <v>0</v>
      </c>
    </row>
    <row r="60" customFormat="false" ht="15" hidden="false" customHeight="false" outlineLevel="0" collapsed="false">
      <c r="A60" s="6" t="n">
        <v>8</v>
      </c>
      <c r="B60" s="39" t="str">
        <f aca="false">IF(B13="","",B13)</f>
        <v/>
      </c>
      <c r="D60" s="34" t="n">
        <f aca="false">IF(IF(AND(N($F13)&gt;0,1&gt;=$F13),N($E13),N($D13))=0,0,MAX(0,D44/(1-V_Merma)-IF(AND(N($F13)&gt;0,1&gt;=$F13),N($E13),N($D13))))</f>
        <v>0</v>
      </c>
      <c r="E60" s="34" t="n">
        <f aca="false">IF(IF(AND(N($F13)&gt;0,2&gt;=$F13),N($E13),N($D13))=0,0,MAX(0,E44/(1-V_Merma)-IF(AND(N($F13)&gt;0,2&gt;=$F13),N($E13),N($D13))))</f>
        <v>0</v>
      </c>
      <c r="F60" s="34" t="n">
        <f aca="false">IF(IF(AND(N($F13)&gt;0,3&gt;=$F13),N($E13),N($D13))=0,0,MAX(0,F44/(1-V_Merma)-IF(AND(N($F13)&gt;0,3&gt;=$F13),N($E13),N($D13))))</f>
        <v>0</v>
      </c>
      <c r="G60" s="34" t="n">
        <f aca="false">IF(IF(AND(N($F13)&gt;0,4&gt;=$F13),N($E13),N($D13))=0,0,MAX(0,G44/(1-V_Merma)-IF(AND(N($F13)&gt;0,4&gt;=$F13),N($E13),N($D13))))</f>
        <v>0</v>
      </c>
      <c r="H60" s="34" t="n">
        <f aca="false">IF(IF(AND(N($F13)&gt;0,5&gt;=$F13),N($E13),N($D13))=0,0,MAX(0,H44/(1-V_Merma)-IF(AND(N($F13)&gt;0,5&gt;=$F13),N($E13),N($D13))))</f>
        <v>0</v>
      </c>
      <c r="I60" s="34" t="n">
        <f aca="false">IF(IF(AND(N($F13)&gt;0,6&gt;=$F13),N($E13),N($D13))=0,0,MAX(0,I44/(1-V_Merma)-IF(AND(N($F13)&gt;0,6&gt;=$F13),N($E13),N($D13))))</f>
        <v>0</v>
      </c>
      <c r="J60" s="34" t="n">
        <f aca="false">IF(IF(AND(N($F13)&gt;0,7&gt;=$F13),N($E13),N($D13))=0,0,MAX(0,J44/(1-V_Merma)-IF(AND(N($F13)&gt;0,7&gt;=$F13),N($E13),N($D13))))</f>
        <v>0</v>
      </c>
      <c r="K60" s="34" t="n">
        <f aca="false">IF(IF(AND(N($F13)&gt;0,8&gt;=$F13),N($E13),N($D13))=0,0,MAX(0,K44/(1-V_Merma)-IF(AND(N($F13)&gt;0,8&gt;=$F13),N($E13),N($D13))))</f>
        <v>0</v>
      </c>
      <c r="L60" s="34" t="n">
        <f aca="false">IF(IF(AND(N($F13)&gt;0,9&gt;=$F13),N($E13),N($D13))=0,0,MAX(0,L44/(1-V_Merma)-IF(AND(N($F13)&gt;0,9&gt;=$F13),N($E13),N($D13))))</f>
        <v>0</v>
      </c>
      <c r="M60" s="34" t="n">
        <f aca="false">IF(IF(AND(N($F13)&gt;0,10&gt;=$F13),N($E13),N($D13))=0,0,MAX(0,M44/(1-V_Merma)-IF(AND(N($F13)&gt;0,10&gt;=$F13),N($E13),N($D13))))</f>
        <v>0</v>
      </c>
      <c r="N60" s="32" t="n">
        <f aca="false">COUNTIF(D60:M60,"&gt;0.5")</f>
        <v>0</v>
      </c>
    </row>
    <row r="61" customFormat="false" ht="15" hidden="false" customHeight="false" outlineLevel="0" collapsed="false">
      <c r="A61" s="6" t="n">
        <v>9</v>
      </c>
      <c r="B61" s="39" t="str">
        <f aca="false">IF(B14="","",B14)</f>
        <v/>
      </c>
      <c r="D61" s="34" t="n">
        <f aca="false">IF(IF(AND(N($F14)&gt;0,1&gt;=$F14),N($E14),N($D14))=0,0,MAX(0,D45/(1-V_Merma)-IF(AND(N($F14)&gt;0,1&gt;=$F14),N($E14),N($D14))))</f>
        <v>0</v>
      </c>
      <c r="E61" s="34" t="n">
        <f aca="false">IF(IF(AND(N($F14)&gt;0,2&gt;=$F14),N($E14),N($D14))=0,0,MAX(0,E45/(1-V_Merma)-IF(AND(N($F14)&gt;0,2&gt;=$F14),N($E14),N($D14))))</f>
        <v>0</v>
      </c>
      <c r="F61" s="34" t="n">
        <f aca="false">IF(IF(AND(N($F14)&gt;0,3&gt;=$F14),N($E14),N($D14))=0,0,MAX(0,F45/(1-V_Merma)-IF(AND(N($F14)&gt;0,3&gt;=$F14),N($E14),N($D14))))</f>
        <v>0</v>
      </c>
      <c r="G61" s="34" t="n">
        <f aca="false">IF(IF(AND(N($F14)&gt;0,4&gt;=$F14),N($E14),N($D14))=0,0,MAX(0,G45/(1-V_Merma)-IF(AND(N($F14)&gt;0,4&gt;=$F14),N($E14),N($D14))))</f>
        <v>0</v>
      </c>
      <c r="H61" s="34" t="n">
        <f aca="false">IF(IF(AND(N($F14)&gt;0,5&gt;=$F14),N($E14),N($D14))=0,0,MAX(0,H45/(1-V_Merma)-IF(AND(N($F14)&gt;0,5&gt;=$F14),N($E14),N($D14))))</f>
        <v>0</v>
      </c>
      <c r="I61" s="34" t="n">
        <f aca="false">IF(IF(AND(N($F14)&gt;0,6&gt;=$F14),N($E14),N($D14))=0,0,MAX(0,I45/(1-V_Merma)-IF(AND(N($F14)&gt;0,6&gt;=$F14),N($E14),N($D14))))</f>
        <v>0</v>
      </c>
      <c r="J61" s="34" t="n">
        <f aca="false">IF(IF(AND(N($F14)&gt;0,7&gt;=$F14),N($E14),N($D14))=0,0,MAX(0,J45/(1-V_Merma)-IF(AND(N($F14)&gt;0,7&gt;=$F14),N($E14),N($D14))))</f>
        <v>0</v>
      </c>
      <c r="K61" s="34" t="n">
        <f aca="false">IF(IF(AND(N($F14)&gt;0,8&gt;=$F14),N($E14),N($D14))=0,0,MAX(0,K45/(1-V_Merma)-IF(AND(N($F14)&gt;0,8&gt;=$F14),N($E14),N($D14))))</f>
        <v>0</v>
      </c>
      <c r="L61" s="34" t="n">
        <f aca="false">IF(IF(AND(N($F14)&gt;0,9&gt;=$F14),N($E14),N($D14))=0,0,MAX(0,L45/(1-V_Merma)-IF(AND(N($F14)&gt;0,9&gt;=$F14),N($E14),N($D14))))</f>
        <v>0</v>
      </c>
      <c r="M61" s="34" t="n">
        <f aca="false">IF(IF(AND(N($F14)&gt;0,10&gt;=$F14),N($E14),N($D14))=0,0,MAX(0,M45/(1-V_Merma)-IF(AND(N($F14)&gt;0,10&gt;=$F14),N($E14),N($D14))))</f>
        <v>0</v>
      </c>
      <c r="N61" s="32" t="n">
        <f aca="false">COUNTIF(D61:M61,"&gt;0.5")</f>
        <v>0</v>
      </c>
    </row>
    <row r="62" customFormat="false" ht="15" hidden="false" customHeight="false" outlineLevel="0" collapsed="false">
      <c r="A62" s="6" t="n">
        <v>10</v>
      </c>
      <c r="B62" s="39" t="str">
        <f aca="false">IF(B15="","",B15)</f>
        <v/>
      </c>
      <c r="D62" s="34" t="n">
        <f aca="false">IF(IF(AND(N($F15)&gt;0,1&gt;=$F15),N($E15),N($D15))=0,0,MAX(0,D46/(1-V_Merma)-IF(AND(N($F15)&gt;0,1&gt;=$F15),N($E15),N($D15))))</f>
        <v>0</v>
      </c>
      <c r="E62" s="34" t="n">
        <f aca="false">IF(IF(AND(N($F15)&gt;0,2&gt;=$F15),N($E15),N($D15))=0,0,MAX(0,E46/(1-V_Merma)-IF(AND(N($F15)&gt;0,2&gt;=$F15),N($E15),N($D15))))</f>
        <v>0</v>
      </c>
      <c r="F62" s="34" t="n">
        <f aca="false">IF(IF(AND(N($F15)&gt;0,3&gt;=$F15),N($E15),N($D15))=0,0,MAX(0,F46/(1-V_Merma)-IF(AND(N($F15)&gt;0,3&gt;=$F15),N($E15),N($D15))))</f>
        <v>0</v>
      </c>
      <c r="G62" s="34" t="n">
        <f aca="false">IF(IF(AND(N($F15)&gt;0,4&gt;=$F15),N($E15),N($D15))=0,0,MAX(0,G46/(1-V_Merma)-IF(AND(N($F15)&gt;0,4&gt;=$F15),N($E15),N($D15))))</f>
        <v>0</v>
      </c>
      <c r="H62" s="34" t="n">
        <f aca="false">IF(IF(AND(N($F15)&gt;0,5&gt;=$F15),N($E15),N($D15))=0,0,MAX(0,H46/(1-V_Merma)-IF(AND(N($F15)&gt;0,5&gt;=$F15),N($E15),N($D15))))</f>
        <v>0</v>
      </c>
      <c r="I62" s="34" t="n">
        <f aca="false">IF(IF(AND(N($F15)&gt;0,6&gt;=$F15),N($E15),N($D15))=0,0,MAX(0,I46/(1-V_Merma)-IF(AND(N($F15)&gt;0,6&gt;=$F15),N($E15),N($D15))))</f>
        <v>0</v>
      </c>
      <c r="J62" s="34" t="n">
        <f aca="false">IF(IF(AND(N($F15)&gt;0,7&gt;=$F15),N($E15),N($D15))=0,0,MAX(0,J46/(1-V_Merma)-IF(AND(N($F15)&gt;0,7&gt;=$F15),N($E15),N($D15))))</f>
        <v>0</v>
      </c>
      <c r="K62" s="34" t="n">
        <f aca="false">IF(IF(AND(N($F15)&gt;0,8&gt;=$F15),N($E15),N($D15))=0,0,MAX(0,K46/(1-V_Merma)-IF(AND(N($F15)&gt;0,8&gt;=$F15),N($E15),N($D15))))</f>
        <v>0</v>
      </c>
      <c r="L62" s="34" t="n">
        <f aca="false">IF(IF(AND(N($F15)&gt;0,9&gt;=$F15),N($E15),N($D15))=0,0,MAX(0,L46/(1-V_Merma)-IF(AND(N($F15)&gt;0,9&gt;=$F15),N($E15),N($D15))))</f>
        <v>0</v>
      </c>
      <c r="M62" s="34" t="n">
        <f aca="false">IF(IF(AND(N($F15)&gt;0,10&gt;=$F15),N($E15),N($D15))=0,0,MAX(0,M46/(1-V_Merma)-IF(AND(N($F15)&gt;0,10&gt;=$F15),N($E15),N($D15))))</f>
        <v>0</v>
      </c>
      <c r="N62" s="32" t="n">
        <f aca="false">COUNTIF(D62:M62,"&gt;0.5")</f>
        <v>0</v>
      </c>
    </row>
    <row r="63" customFormat="false" ht="15" hidden="false" customHeight="false" outlineLevel="0" collapsed="false">
      <c r="A63" s="6" t="n">
        <v>11</v>
      </c>
      <c r="B63" s="39" t="str">
        <f aca="false">IF(B16="","",B16)</f>
        <v/>
      </c>
      <c r="D63" s="34" t="n">
        <f aca="false">IF(IF(AND(N($F16)&gt;0,1&gt;=$F16),N($E16),N($D16))=0,0,MAX(0,D47/(1-V_Merma)-IF(AND(N($F16)&gt;0,1&gt;=$F16),N($E16),N($D16))))</f>
        <v>0</v>
      </c>
      <c r="E63" s="34" t="n">
        <f aca="false">IF(IF(AND(N($F16)&gt;0,2&gt;=$F16),N($E16),N($D16))=0,0,MAX(0,E47/(1-V_Merma)-IF(AND(N($F16)&gt;0,2&gt;=$F16),N($E16),N($D16))))</f>
        <v>0</v>
      </c>
      <c r="F63" s="34" t="n">
        <f aca="false">IF(IF(AND(N($F16)&gt;0,3&gt;=$F16),N($E16),N($D16))=0,0,MAX(0,F47/(1-V_Merma)-IF(AND(N($F16)&gt;0,3&gt;=$F16),N($E16),N($D16))))</f>
        <v>0</v>
      </c>
      <c r="G63" s="34" t="n">
        <f aca="false">IF(IF(AND(N($F16)&gt;0,4&gt;=$F16),N($E16),N($D16))=0,0,MAX(0,G47/(1-V_Merma)-IF(AND(N($F16)&gt;0,4&gt;=$F16),N($E16),N($D16))))</f>
        <v>0</v>
      </c>
      <c r="H63" s="34" t="n">
        <f aca="false">IF(IF(AND(N($F16)&gt;0,5&gt;=$F16),N($E16),N($D16))=0,0,MAX(0,H47/(1-V_Merma)-IF(AND(N($F16)&gt;0,5&gt;=$F16),N($E16),N($D16))))</f>
        <v>0</v>
      </c>
      <c r="I63" s="34" t="n">
        <f aca="false">IF(IF(AND(N($F16)&gt;0,6&gt;=$F16),N($E16),N($D16))=0,0,MAX(0,I47/(1-V_Merma)-IF(AND(N($F16)&gt;0,6&gt;=$F16),N($E16),N($D16))))</f>
        <v>0</v>
      </c>
      <c r="J63" s="34" t="n">
        <f aca="false">IF(IF(AND(N($F16)&gt;0,7&gt;=$F16),N($E16),N($D16))=0,0,MAX(0,J47/(1-V_Merma)-IF(AND(N($F16)&gt;0,7&gt;=$F16),N($E16),N($D16))))</f>
        <v>0</v>
      </c>
      <c r="K63" s="34" t="n">
        <f aca="false">IF(IF(AND(N($F16)&gt;0,8&gt;=$F16),N($E16),N($D16))=0,0,MAX(0,K47/(1-V_Merma)-IF(AND(N($F16)&gt;0,8&gt;=$F16),N($E16),N($D16))))</f>
        <v>0</v>
      </c>
      <c r="L63" s="34" t="n">
        <f aca="false">IF(IF(AND(N($F16)&gt;0,9&gt;=$F16),N($E16),N($D16))=0,0,MAX(0,L47/(1-V_Merma)-IF(AND(N($F16)&gt;0,9&gt;=$F16),N($E16),N($D16))))</f>
        <v>0</v>
      </c>
      <c r="M63" s="34" t="n">
        <f aca="false">IF(IF(AND(N($F16)&gt;0,10&gt;=$F16),N($E16),N($D16))=0,0,MAX(0,M47/(1-V_Merma)-IF(AND(N($F16)&gt;0,10&gt;=$F16),N($E16),N($D16))))</f>
        <v>0</v>
      </c>
      <c r="N63" s="32" t="n">
        <f aca="false">COUNTIF(D63:M63,"&gt;0.5")</f>
        <v>0</v>
      </c>
    </row>
    <row r="64" customFormat="false" ht="15" hidden="false" customHeight="false" outlineLevel="0" collapsed="false">
      <c r="A64" s="6" t="n">
        <v>12</v>
      </c>
      <c r="B64" s="39" t="str">
        <f aca="false">IF(B17="","",B17)</f>
        <v/>
      </c>
      <c r="D64" s="34" t="n">
        <f aca="false">IF(IF(AND(N($F17)&gt;0,1&gt;=$F17),N($E17),N($D17))=0,0,MAX(0,D48/(1-V_Merma)-IF(AND(N($F17)&gt;0,1&gt;=$F17),N($E17),N($D17))))</f>
        <v>0</v>
      </c>
      <c r="E64" s="34" t="n">
        <f aca="false">IF(IF(AND(N($F17)&gt;0,2&gt;=$F17),N($E17),N($D17))=0,0,MAX(0,E48/(1-V_Merma)-IF(AND(N($F17)&gt;0,2&gt;=$F17),N($E17),N($D17))))</f>
        <v>0</v>
      </c>
      <c r="F64" s="34" t="n">
        <f aca="false">IF(IF(AND(N($F17)&gt;0,3&gt;=$F17),N($E17),N($D17))=0,0,MAX(0,F48/(1-V_Merma)-IF(AND(N($F17)&gt;0,3&gt;=$F17),N($E17),N($D17))))</f>
        <v>0</v>
      </c>
      <c r="G64" s="34" t="n">
        <f aca="false">IF(IF(AND(N($F17)&gt;0,4&gt;=$F17),N($E17),N($D17))=0,0,MAX(0,G48/(1-V_Merma)-IF(AND(N($F17)&gt;0,4&gt;=$F17),N($E17),N($D17))))</f>
        <v>0</v>
      </c>
      <c r="H64" s="34" t="n">
        <f aca="false">IF(IF(AND(N($F17)&gt;0,5&gt;=$F17),N($E17),N($D17))=0,0,MAX(0,H48/(1-V_Merma)-IF(AND(N($F17)&gt;0,5&gt;=$F17),N($E17),N($D17))))</f>
        <v>0</v>
      </c>
      <c r="I64" s="34" t="n">
        <f aca="false">IF(IF(AND(N($F17)&gt;0,6&gt;=$F17),N($E17),N($D17))=0,0,MAX(0,I48/(1-V_Merma)-IF(AND(N($F17)&gt;0,6&gt;=$F17),N($E17),N($D17))))</f>
        <v>0</v>
      </c>
      <c r="J64" s="34" t="n">
        <f aca="false">IF(IF(AND(N($F17)&gt;0,7&gt;=$F17),N($E17),N($D17))=0,0,MAX(0,J48/(1-V_Merma)-IF(AND(N($F17)&gt;0,7&gt;=$F17),N($E17),N($D17))))</f>
        <v>0</v>
      </c>
      <c r="K64" s="34" t="n">
        <f aca="false">IF(IF(AND(N($F17)&gt;0,8&gt;=$F17),N($E17),N($D17))=0,0,MAX(0,K48/(1-V_Merma)-IF(AND(N($F17)&gt;0,8&gt;=$F17),N($E17),N($D17))))</f>
        <v>0</v>
      </c>
      <c r="L64" s="34" t="n">
        <f aca="false">IF(IF(AND(N($F17)&gt;0,9&gt;=$F17),N($E17),N($D17))=0,0,MAX(0,L48/(1-V_Merma)-IF(AND(N($F17)&gt;0,9&gt;=$F17),N($E17),N($D17))))</f>
        <v>0</v>
      </c>
      <c r="M64" s="34" t="n">
        <f aca="false">IF(IF(AND(N($F17)&gt;0,10&gt;=$F17),N($E17),N($D17))=0,0,MAX(0,M48/(1-V_Merma)-IF(AND(N($F17)&gt;0,10&gt;=$F17),N($E17),N($D17))))</f>
        <v>0</v>
      </c>
      <c r="N64" s="32" t="n">
        <f aca="false">COUNTIF(D64:M64,"&gt;0.5")</f>
        <v>0</v>
      </c>
    </row>
    <row r="65" customFormat="false" ht="15" hidden="false" customHeight="false" outlineLevel="0" collapsed="false">
      <c r="B65" s="2" t="s">
        <v>251</v>
      </c>
    </row>
  </sheetData>
  <conditionalFormatting sqref="H6:H17">
    <cfRule type="expression" priority="2" aboveAverage="0" equalAverage="0" bottom="0" percent="0" rank="0" text="" dxfId="0">
      <formula>H6&lt;&gt;G6</formula>
    </cfRule>
  </conditionalFormatting>
  <conditionalFormatting sqref="J6:J17">
    <cfRule type="expression" priority="3" aboveAverage="0" equalAverage="0" bottom="0" percent="0" rank="0" text="" dxfId="0">
      <formula>J6&lt;&gt;I6</formula>
    </cfRule>
  </conditionalFormatting>
  <conditionalFormatting sqref="L6:L17">
    <cfRule type="expression" priority="4" aboveAverage="0" equalAverage="0" bottom="0" percent="0" rank="0" text="" dxfId="0">
      <formula>L6&lt;&gt;K6</formula>
    </cfRule>
  </conditionalFormatting>
  <conditionalFormatting sqref="N6:N17">
    <cfRule type="expression" priority="5" aboveAverage="0" equalAverage="0" bottom="0" percent="0" rank="0" text="" dxfId="0">
      <formula>N6&lt;&gt;M6</formula>
    </cfRule>
  </conditionalFormatting>
  <conditionalFormatting sqref="D37:M48">
    <cfRule type="expression" priority="6" aboveAverage="0" equalAverage="0" bottom="0" percent="0" rank="0" text="" dxfId="0">
      <formula>D37&lt;&gt;D21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Q100"/>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40"/>
    <col collapsed="false" customWidth="true" hidden="false" outlineLevel="0" max="3" min="3" style="0" width="16"/>
    <col collapsed="false" customWidth="true" hidden="false" outlineLevel="0" max="4" min="4" style="0" width="9"/>
    <col collapsed="false" customWidth="true" hidden="false" outlineLevel="0" max="6" min="5" style="0" width="14"/>
    <col collapsed="false" customWidth="true" hidden="false" outlineLevel="0" max="16" min="7" style="0" width="10"/>
    <col collapsed="false" customWidth="true" hidden="false" outlineLevel="0" max="17" min="17" style="0" width="40"/>
  </cols>
  <sheetData>
    <row r="1" customFormat="false" ht="16.15" hidden="false" customHeight="false" outlineLevel="0" collapsed="false">
      <c r="A1" s="1" t="s">
        <v>252</v>
      </c>
    </row>
    <row r="2" customFormat="false" ht="15" hidden="false" customHeight="false" outlineLevel="0" collapsed="false">
      <c r="A2" s="2" t="s">
        <v>253</v>
      </c>
    </row>
    <row r="4" customFormat="false" ht="15" hidden="false" customHeight="false" outlineLevel="0" collapsed="false">
      <c r="A4" s="3" t="s">
        <v>254</v>
      </c>
      <c r="B4" s="4"/>
      <c r="C4" s="4"/>
      <c r="D4" s="4"/>
      <c r="E4" s="4"/>
      <c r="F4" s="4"/>
      <c r="G4" s="4"/>
      <c r="H4" s="4"/>
      <c r="I4" s="4"/>
      <c r="J4" s="4"/>
      <c r="K4" s="4"/>
      <c r="L4" s="4"/>
      <c r="M4" s="4"/>
      <c r="N4" s="4"/>
      <c r="O4" s="4"/>
      <c r="P4" s="4"/>
      <c r="Q4" s="4"/>
    </row>
    <row r="5" customFormat="false" ht="39.75" hidden="false" customHeight="true" outlineLevel="0" collapsed="false">
      <c r="A5" s="5" t="s">
        <v>233</v>
      </c>
      <c r="B5" s="5" t="s">
        <v>255</v>
      </c>
      <c r="C5" s="5" t="s">
        <v>256</v>
      </c>
      <c r="D5" s="5" t="s">
        <v>257</v>
      </c>
      <c r="E5" s="5" t="s">
        <v>258</v>
      </c>
      <c r="F5" s="5" t="s">
        <v>259</v>
      </c>
      <c r="G5" s="5" t="s">
        <v>260</v>
      </c>
      <c r="H5" s="5" t="s">
        <v>261</v>
      </c>
      <c r="I5" s="5" t="s">
        <v>262</v>
      </c>
      <c r="J5" s="5" t="s">
        <v>263</v>
      </c>
      <c r="K5" s="5" t="s">
        <v>264</v>
      </c>
      <c r="L5" s="5" t="s">
        <v>265</v>
      </c>
      <c r="M5" s="5" t="s">
        <v>266</v>
      </c>
      <c r="N5" s="5" t="s">
        <v>267</v>
      </c>
      <c r="O5" s="5" t="s">
        <v>268</v>
      </c>
      <c r="P5" s="5" t="s">
        <v>269</v>
      </c>
      <c r="Q5" s="5" t="s">
        <v>166</v>
      </c>
    </row>
    <row r="6" customFormat="false" ht="15" hidden="false" customHeight="false" outlineLevel="0" collapsed="false">
      <c r="A6" s="6" t="n">
        <v>1</v>
      </c>
      <c r="B6" s="7"/>
      <c r="C6" s="7"/>
      <c r="D6" s="7"/>
      <c r="E6" s="22"/>
      <c r="F6" s="23" t="n">
        <f aca="false">E6</f>
        <v>0</v>
      </c>
      <c r="G6" s="22"/>
      <c r="H6" s="22"/>
      <c r="I6" s="22"/>
      <c r="J6" s="22"/>
      <c r="K6" s="22"/>
      <c r="L6" s="22"/>
      <c r="M6" s="22"/>
      <c r="N6" s="22"/>
      <c r="O6" s="22"/>
      <c r="P6" s="22"/>
    </row>
    <row r="7" customFormat="false" ht="15" hidden="false" customHeight="false" outlineLevel="0" collapsed="false">
      <c r="A7" s="6" t="n">
        <v>2</v>
      </c>
      <c r="B7" s="7"/>
      <c r="C7" s="7"/>
      <c r="D7" s="7"/>
      <c r="E7" s="22"/>
      <c r="F7" s="23" t="n">
        <f aca="false">E7</f>
        <v>0</v>
      </c>
      <c r="G7" s="22"/>
      <c r="H7" s="22"/>
      <c r="I7" s="22"/>
      <c r="J7" s="22"/>
      <c r="K7" s="22"/>
      <c r="L7" s="22"/>
      <c r="M7" s="22"/>
      <c r="N7" s="22"/>
      <c r="O7" s="22"/>
      <c r="P7" s="22"/>
    </row>
    <row r="8" customFormat="false" ht="15" hidden="false" customHeight="false" outlineLevel="0" collapsed="false">
      <c r="A8" s="6" t="n">
        <v>3</v>
      </c>
      <c r="B8" s="7"/>
      <c r="C8" s="7"/>
      <c r="D8" s="7"/>
      <c r="E8" s="22"/>
      <c r="F8" s="23" t="n">
        <f aca="false">E8</f>
        <v>0</v>
      </c>
      <c r="G8" s="22"/>
      <c r="H8" s="22"/>
      <c r="I8" s="22"/>
      <c r="J8" s="22"/>
      <c r="K8" s="22"/>
      <c r="L8" s="22"/>
      <c r="M8" s="22"/>
      <c r="N8" s="22"/>
      <c r="O8" s="22"/>
      <c r="P8" s="22"/>
    </row>
    <row r="9" customFormat="false" ht="15" hidden="false" customHeight="false" outlineLevel="0" collapsed="false">
      <c r="A9" s="6" t="n">
        <v>4</v>
      </c>
      <c r="B9" s="7"/>
      <c r="C9" s="7"/>
      <c r="D9" s="7"/>
      <c r="E9" s="22"/>
      <c r="F9" s="23" t="n">
        <f aca="false">E9</f>
        <v>0</v>
      </c>
      <c r="G9" s="22"/>
      <c r="H9" s="22"/>
      <c r="I9" s="22"/>
      <c r="J9" s="22"/>
      <c r="K9" s="22"/>
      <c r="L9" s="22"/>
      <c r="M9" s="22"/>
      <c r="N9" s="22"/>
      <c r="O9" s="22"/>
      <c r="P9" s="22"/>
    </row>
    <row r="10" customFormat="false" ht="15" hidden="false" customHeight="false" outlineLevel="0" collapsed="false">
      <c r="A10" s="6" t="n">
        <v>5</v>
      </c>
      <c r="B10" s="7"/>
      <c r="C10" s="7"/>
      <c r="D10" s="7"/>
      <c r="E10" s="22"/>
      <c r="F10" s="23" t="n">
        <f aca="false">E10</f>
        <v>0</v>
      </c>
      <c r="G10" s="22"/>
      <c r="H10" s="22"/>
      <c r="I10" s="22"/>
      <c r="J10" s="22"/>
      <c r="K10" s="22"/>
      <c r="L10" s="22"/>
      <c r="M10" s="22"/>
      <c r="N10" s="22"/>
      <c r="O10" s="22"/>
      <c r="P10" s="22"/>
    </row>
    <row r="11" customFormat="false" ht="15" hidden="false" customHeight="false" outlineLevel="0" collapsed="false">
      <c r="A11" s="6" t="n">
        <v>6</v>
      </c>
      <c r="B11" s="7"/>
      <c r="C11" s="7"/>
      <c r="D11" s="7"/>
      <c r="E11" s="22"/>
      <c r="F11" s="23" t="n">
        <f aca="false">E11</f>
        <v>0</v>
      </c>
      <c r="G11" s="22"/>
      <c r="H11" s="22"/>
      <c r="I11" s="22"/>
      <c r="J11" s="22"/>
      <c r="K11" s="22"/>
      <c r="L11" s="22"/>
      <c r="M11" s="22"/>
      <c r="N11" s="22"/>
      <c r="O11" s="22"/>
      <c r="P11" s="22"/>
    </row>
    <row r="12" customFormat="false" ht="15" hidden="false" customHeight="false" outlineLevel="0" collapsed="false">
      <c r="A12" s="6" t="n">
        <v>7</v>
      </c>
      <c r="B12" s="7"/>
      <c r="C12" s="7"/>
      <c r="D12" s="7"/>
      <c r="E12" s="22"/>
      <c r="F12" s="23" t="n">
        <f aca="false">E12</f>
        <v>0</v>
      </c>
      <c r="G12" s="22"/>
      <c r="H12" s="22"/>
      <c r="I12" s="22"/>
      <c r="J12" s="22"/>
      <c r="K12" s="22"/>
      <c r="L12" s="22"/>
      <c r="M12" s="22"/>
      <c r="N12" s="22"/>
      <c r="O12" s="22"/>
      <c r="P12" s="22"/>
    </row>
    <row r="13" customFormat="false" ht="15" hidden="false" customHeight="false" outlineLevel="0" collapsed="false">
      <c r="A13" s="6" t="n">
        <v>8</v>
      </c>
      <c r="B13" s="7"/>
      <c r="C13" s="7"/>
      <c r="D13" s="7"/>
      <c r="E13" s="22"/>
      <c r="F13" s="23" t="n">
        <f aca="false">E13</f>
        <v>0</v>
      </c>
      <c r="G13" s="22"/>
      <c r="H13" s="22"/>
      <c r="I13" s="22"/>
      <c r="J13" s="22"/>
      <c r="K13" s="22"/>
      <c r="L13" s="22"/>
      <c r="M13" s="22"/>
      <c r="N13" s="22"/>
      <c r="O13" s="22"/>
      <c r="P13" s="22"/>
    </row>
    <row r="14" customFormat="false" ht="15" hidden="false" customHeight="false" outlineLevel="0" collapsed="false">
      <c r="A14" s="6" t="n">
        <v>9</v>
      </c>
      <c r="B14" s="7"/>
      <c r="C14" s="7"/>
      <c r="D14" s="7"/>
      <c r="E14" s="22"/>
      <c r="F14" s="23" t="n">
        <f aca="false">E14</f>
        <v>0</v>
      </c>
      <c r="G14" s="22"/>
      <c r="H14" s="22"/>
      <c r="I14" s="22"/>
      <c r="J14" s="22"/>
      <c r="K14" s="22"/>
      <c r="L14" s="22"/>
      <c r="M14" s="22"/>
      <c r="N14" s="22"/>
      <c r="O14" s="22"/>
      <c r="P14" s="22"/>
    </row>
    <row r="15" customFormat="false" ht="15" hidden="false" customHeight="false" outlineLevel="0" collapsed="false">
      <c r="A15" s="6" t="n">
        <v>10</v>
      </c>
      <c r="B15" s="7"/>
      <c r="C15" s="7"/>
      <c r="D15" s="7"/>
      <c r="E15" s="22"/>
      <c r="F15" s="23" t="n">
        <f aca="false">E15</f>
        <v>0</v>
      </c>
      <c r="G15" s="22"/>
      <c r="H15" s="22"/>
      <c r="I15" s="22"/>
      <c r="J15" s="22"/>
      <c r="K15" s="22"/>
      <c r="L15" s="22"/>
      <c r="M15" s="22"/>
      <c r="N15" s="22"/>
      <c r="O15" s="22"/>
      <c r="P15" s="22"/>
    </row>
    <row r="16" customFormat="false" ht="15" hidden="false" customHeight="false" outlineLevel="0" collapsed="false">
      <c r="A16" s="6" t="n">
        <v>11</v>
      </c>
      <c r="B16" s="7"/>
      <c r="C16" s="7"/>
      <c r="D16" s="7"/>
      <c r="E16" s="22"/>
      <c r="F16" s="23" t="n">
        <f aca="false">E16</f>
        <v>0</v>
      </c>
      <c r="G16" s="22"/>
      <c r="H16" s="22"/>
      <c r="I16" s="22"/>
      <c r="J16" s="22"/>
      <c r="K16" s="22"/>
      <c r="L16" s="22"/>
      <c r="M16" s="22"/>
      <c r="N16" s="22"/>
      <c r="O16" s="22"/>
      <c r="P16" s="22"/>
    </row>
    <row r="17" customFormat="false" ht="15" hidden="false" customHeight="false" outlineLevel="0" collapsed="false">
      <c r="A17" s="6" t="n">
        <v>12</v>
      </c>
      <c r="B17" s="7"/>
      <c r="C17" s="7"/>
      <c r="D17" s="7"/>
      <c r="E17" s="22"/>
      <c r="F17" s="23" t="n">
        <f aca="false">E17</f>
        <v>0</v>
      </c>
      <c r="G17" s="22"/>
      <c r="H17" s="22"/>
      <c r="I17" s="22"/>
      <c r="J17" s="22"/>
      <c r="K17" s="22"/>
      <c r="L17" s="22"/>
      <c r="M17" s="22"/>
      <c r="N17" s="22"/>
      <c r="O17" s="22"/>
      <c r="P17" s="22"/>
    </row>
    <row r="18" customFormat="false" ht="15" hidden="false" customHeight="false" outlineLevel="0" collapsed="false">
      <c r="A18" s="6" t="n">
        <v>13</v>
      </c>
      <c r="B18" s="7"/>
      <c r="C18" s="7"/>
      <c r="D18" s="7"/>
      <c r="E18" s="22"/>
      <c r="F18" s="23" t="n">
        <f aca="false">E18</f>
        <v>0</v>
      </c>
      <c r="G18" s="22"/>
      <c r="H18" s="22"/>
      <c r="I18" s="22"/>
      <c r="J18" s="22"/>
      <c r="K18" s="22"/>
      <c r="L18" s="22"/>
      <c r="M18" s="22"/>
      <c r="N18" s="22"/>
      <c r="O18" s="22"/>
      <c r="P18" s="22"/>
    </row>
    <row r="19" customFormat="false" ht="15" hidden="false" customHeight="false" outlineLevel="0" collapsed="false">
      <c r="A19" s="6" t="n">
        <v>14</v>
      </c>
      <c r="B19" s="7"/>
      <c r="C19" s="7"/>
      <c r="D19" s="7"/>
      <c r="E19" s="22"/>
      <c r="F19" s="23" t="n">
        <f aca="false">E19</f>
        <v>0</v>
      </c>
      <c r="G19" s="22"/>
      <c r="H19" s="22"/>
      <c r="I19" s="22"/>
      <c r="J19" s="22"/>
      <c r="K19" s="22"/>
      <c r="L19" s="22"/>
      <c r="M19" s="22"/>
      <c r="N19" s="22"/>
      <c r="O19" s="22"/>
      <c r="P19" s="22"/>
    </row>
    <row r="20" customFormat="false" ht="15" hidden="false" customHeight="false" outlineLevel="0" collapsed="false">
      <c r="A20" s="6" t="n">
        <v>15</v>
      </c>
      <c r="B20" s="7"/>
      <c r="C20" s="7"/>
      <c r="D20" s="7"/>
      <c r="E20" s="22"/>
      <c r="F20" s="23" t="n">
        <f aca="false">E20</f>
        <v>0</v>
      </c>
      <c r="G20" s="22"/>
      <c r="H20" s="22"/>
      <c r="I20" s="22"/>
      <c r="J20" s="22"/>
      <c r="K20" s="22"/>
      <c r="L20" s="22"/>
      <c r="M20" s="22"/>
      <c r="N20" s="22"/>
      <c r="O20" s="22"/>
      <c r="P20" s="22"/>
    </row>
    <row r="21" customFormat="false" ht="15" hidden="false" customHeight="false" outlineLevel="0" collapsed="false">
      <c r="A21" s="6" t="n">
        <v>16</v>
      </c>
      <c r="B21" s="7"/>
      <c r="C21" s="7"/>
      <c r="D21" s="7"/>
      <c r="E21" s="22"/>
      <c r="F21" s="23" t="n">
        <f aca="false">E21</f>
        <v>0</v>
      </c>
      <c r="G21" s="22"/>
      <c r="H21" s="22"/>
      <c r="I21" s="22"/>
      <c r="J21" s="22"/>
      <c r="K21" s="22"/>
      <c r="L21" s="22"/>
      <c r="M21" s="22"/>
      <c r="N21" s="22"/>
      <c r="O21" s="22"/>
      <c r="P21" s="22"/>
    </row>
    <row r="22" customFormat="false" ht="15" hidden="false" customHeight="false" outlineLevel="0" collapsed="false">
      <c r="A22" s="6" t="n">
        <v>17</v>
      </c>
      <c r="B22" s="7"/>
      <c r="C22" s="7"/>
      <c r="D22" s="7"/>
      <c r="E22" s="22"/>
      <c r="F22" s="23" t="n">
        <f aca="false">E22</f>
        <v>0</v>
      </c>
      <c r="G22" s="22"/>
      <c r="H22" s="22"/>
      <c r="I22" s="22"/>
      <c r="J22" s="22"/>
      <c r="K22" s="22"/>
      <c r="L22" s="22"/>
      <c r="M22" s="22"/>
      <c r="N22" s="22"/>
      <c r="O22" s="22"/>
      <c r="P22" s="22"/>
    </row>
    <row r="23" customFormat="false" ht="15" hidden="false" customHeight="false" outlineLevel="0" collapsed="false">
      <c r="A23" s="6" t="n">
        <v>18</v>
      </c>
      <c r="B23" s="7"/>
      <c r="C23" s="7"/>
      <c r="D23" s="7"/>
      <c r="E23" s="22"/>
      <c r="F23" s="23" t="n">
        <f aca="false">E23</f>
        <v>0</v>
      </c>
      <c r="G23" s="22"/>
      <c r="H23" s="22"/>
      <c r="I23" s="22"/>
      <c r="J23" s="22"/>
      <c r="K23" s="22"/>
      <c r="L23" s="22"/>
      <c r="M23" s="22"/>
      <c r="N23" s="22"/>
      <c r="O23" s="22"/>
      <c r="P23" s="22"/>
    </row>
    <row r="24" customFormat="false" ht="15" hidden="false" customHeight="false" outlineLevel="0" collapsed="false">
      <c r="A24" s="6" t="n">
        <v>19</v>
      </c>
      <c r="B24" s="7"/>
      <c r="C24" s="7"/>
      <c r="D24" s="7"/>
      <c r="E24" s="22"/>
      <c r="F24" s="23" t="n">
        <f aca="false">E24</f>
        <v>0</v>
      </c>
      <c r="G24" s="22"/>
      <c r="H24" s="22"/>
      <c r="I24" s="22"/>
      <c r="J24" s="22"/>
      <c r="K24" s="22"/>
      <c r="L24" s="22"/>
      <c r="M24" s="22"/>
      <c r="N24" s="22"/>
      <c r="O24" s="22"/>
      <c r="P24" s="22"/>
    </row>
    <row r="25" customFormat="false" ht="15" hidden="false" customHeight="false" outlineLevel="0" collapsed="false">
      <c r="A25" s="6" t="n">
        <v>20</v>
      </c>
      <c r="B25" s="7"/>
      <c r="C25" s="7"/>
      <c r="D25" s="7"/>
      <c r="E25" s="22"/>
      <c r="F25" s="23" t="n">
        <f aca="false">E25</f>
        <v>0</v>
      </c>
      <c r="G25" s="22"/>
      <c r="H25" s="22"/>
      <c r="I25" s="22"/>
      <c r="J25" s="22"/>
      <c r="K25" s="22"/>
      <c r="L25" s="22"/>
      <c r="M25" s="22"/>
      <c r="N25" s="22"/>
      <c r="O25" s="22"/>
      <c r="P25" s="22"/>
    </row>
    <row r="26" customFormat="false" ht="15" hidden="false" customHeight="false" outlineLevel="0" collapsed="false">
      <c r="A26" s="6" t="n">
        <v>21</v>
      </c>
      <c r="B26" s="7"/>
      <c r="C26" s="7"/>
      <c r="D26" s="7"/>
      <c r="E26" s="22"/>
      <c r="F26" s="23" t="n">
        <f aca="false">E26</f>
        <v>0</v>
      </c>
      <c r="G26" s="22"/>
      <c r="H26" s="22"/>
      <c r="I26" s="22"/>
      <c r="J26" s="22"/>
      <c r="K26" s="22"/>
      <c r="L26" s="22"/>
      <c r="M26" s="22"/>
      <c r="N26" s="22"/>
      <c r="O26" s="22"/>
      <c r="P26" s="22"/>
    </row>
    <row r="27" customFormat="false" ht="15" hidden="false" customHeight="false" outlineLevel="0" collapsed="false">
      <c r="A27" s="6" t="n">
        <v>22</v>
      </c>
      <c r="B27" s="7"/>
      <c r="C27" s="7"/>
      <c r="D27" s="7"/>
      <c r="E27" s="22"/>
      <c r="F27" s="23" t="n">
        <f aca="false">E27</f>
        <v>0</v>
      </c>
      <c r="G27" s="22"/>
      <c r="H27" s="22"/>
      <c r="I27" s="22"/>
      <c r="J27" s="22"/>
      <c r="K27" s="22"/>
      <c r="L27" s="22"/>
      <c r="M27" s="22"/>
      <c r="N27" s="22"/>
      <c r="O27" s="22"/>
      <c r="P27" s="22"/>
    </row>
    <row r="28" customFormat="false" ht="15" hidden="false" customHeight="false" outlineLevel="0" collapsed="false">
      <c r="A28" s="6" t="n">
        <v>23</v>
      </c>
      <c r="B28" s="7"/>
      <c r="C28" s="7"/>
      <c r="D28" s="7"/>
      <c r="E28" s="22"/>
      <c r="F28" s="23" t="n">
        <f aca="false">E28</f>
        <v>0</v>
      </c>
      <c r="G28" s="22"/>
      <c r="H28" s="22"/>
      <c r="I28" s="22"/>
      <c r="J28" s="22"/>
      <c r="K28" s="22"/>
      <c r="L28" s="22"/>
      <c r="M28" s="22"/>
      <c r="N28" s="22"/>
      <c r="O28" s="22"/>
      <c r="P28" s="22"/>
    </row>
    <row r="29" customFormat="false" ht="15" hidden="false" customHeight="false" outlineLevel="0" collapsed="false">
      <c r="A29" s="6" t="n">
        <v>24</v>
      </c>
      <c r="B29" s="7"/>
      <c r="C29" s="7"/>
      <c r="D29" s="7"/>
      <c r="E29" s="22"/>
      <c r="F29" s="23" t="n">
        <f aca="false">E29</f>
        <v>0</v>
      </c>
      <c r="G29" s="22"/>
      <c r="H29" s="22"/>
      <c r="I29" s="22"/>
      <c r="J29" s="22"/>
      <c r="K29" s="22"/>
      <c r="L29" s="22"/>
      <c r="M29" s="22"/>
      <c r="N29" s="22"/>
      <c r="O29" s="22"/>
      <c r="P29" s="22"/>
    </row>
    <row r="30" customFormat="false" ht="15" hidden="false" customHeight="false" outlineLevel="0" collapsed="false">
      <c r="A30" s="6" t="n">
        <v>25</v>
      </c>
      <c r="B30" s="7"/>
      <c r="C30" s="7"/>
      <c r="D30" s="7"/>
      <c r="E30" s="22"/>
      <c r="F30" s="23" t="n">
        <f aca="false">E30</f>
        <v>0</v>
      </c>
      <c r="G30" s="22"/>
      <c r="H30" s="22"/>
      <c r="I30" s="22"/>
      <c r="J30" s="22"/>
      <c r="K30" s="22"/>
      <c r="L30" s="22"/>
      <c r="M30" s="22"/>
      <c r="N30" s="22"/>
      <c r="O30" s="22"/>
      <c r="P30" s="22"/>
    </row>
    <row r="31" customFormat="false" ht="15" hidden="false" customHeight="false" outlineLevel="0" collapsed="false">
      <c r="A31" s="6" t="n">
        <v>26</v>
      </c>
      <c r="B31" s="7"/>
      <c r="C31" s="7"/>
      <c r="D31" s="7"/>
      <c r="E31" s="22"/>
      <c r="F31" s="23" t="n">
        <f aca="false">E31</f>
        <v>0</v>
      </c>
      <c r="G31" s="22"/>
      <c r="H31" s="22"/>
      <c r="I31" s="22"/>
      <c r="J31" s="22"/>
      <c r="K31" s="22"/>
      <c r="L31" s="22"/>
      <c r="M31" s="22"/>
      <c r="N31" s="22"/>
      <c r="O31" s="22"/>
      <c r="P31" s="22"/>
    </row>
    <row r="32" customFormat="false" ht="15" hidden="false" customHeight="false" outlineLevel="0" collapsed="false">
      <c r="A32" s="6" t="n">
        <v>27</v>
      </c>
      <c r="B32" s="7"/>
      <c r="C32" s="7"/>
      <c r="D32" s="7"/>
      <c r="E32" s="22"/>
      <c r="F32" s="23" t="n">
        <f aca="false">E32</f>
        <v>0</v>
      </c>
      <c r="G32" s="22"/>
      <c r="H32" s="22"/>
      <c r="I32" s="22"/>
      <c r="J32" s="22"/>
      <c r="K32" s="22"/>
      <c r="L32" s="22"/>
      <c r="M32" s="22"/>
      <c r="N32" s="22"/>
      <c r="O32" s="22"/>
      <c r="P32" s="22"/>
    </row>
    <row r="33" customFormat="false" ht="15" hidden="false" customHeight="false" outlineLevel="0" collapsed="false">
      <c r="A33" s="6" t="n">
        <v>28</v>
      </c>
      <c r="B33" s="7"/>
      <c r="C33" s="7"/>
      <c r="D33" s="7"/>
      <c r="E33" s="22"/>
      <c r="F33" s="23" t="n">
        <f aca="false">E33</f>
        <v>0</v>
      </c>
      <c r="G33" s="22"/>
      <c r="H33" s="22"/>
      <c r="I33" s="22"/>
      <c r="J33" s="22"/>
      <c r="K33" s="22"/>
      <c r="L33" s="22"/>
      <c r="M33" s="22"/>
      <c r="N33" s="22"/>
      <c r="O33" s="22"/>
      <c r="P33" s="22"/>
    </row>
    <row r="34" customFormat="false" ht="15" hidden="false" customHeight="false" outlineLevel="0" collapsed="false">
      <c r="A34" s="6" t="n">
        <v>29</v>
      </c>
      <c r="B34" s="7"/>
      <c r="C34" s="7"/>
      <c r="D34" s="7"/>
      <c r="E34" s="22"/>
      <c r="F34" s="23" t="n">
        <f aca="false">E34</f>
        <v>0</v>
      </c>
      <c r="G34" s="22"/>
      <c r="H34" s="22"/>
      <c r="I34" s="22"/>
      <c r="J34" s="22"/>
      <c r="K34" s="22"/>
      <c r="L34" s="22"/>
      <c r="M34" s="22"/>
      <c r="N34" s="22"/>
      <c r="O34" s="22"/>
      <c r="P34" s="22"/>
    </row>
    <row r="35" customFormat="false" ht="15" hidden="false" customHeight="false" outlineLevel="0" collapsed="false">
      <c r="A35" s="6" t="n">
        <v>30</v>
      </c>
      <c r="B35" s="7"/>
      <c r="C35" s="7"/>
      <c r="D35" s="7"/>
      <c r="E35" s="22"/>
      <c r="F35" s="23" t="n">
        <f aca="false">E35</f>
        <v>0</v>
      </c>
      <c r="G35" s="22"/>
      <c r="H35" s="22"/>
      <c r="I35" s="22"/>
      <c r="J35" s="22"/>
      <c r="K35" s="22"/>
      <c r="L35" s="22"/>
      <c r="M35" s="22"/>
      <c r="N35" s="22"/>
      <c r="O35" s="22"/>
      <c r="P35" s="22"/>
    </row>
    <row r="36" customFormat="false" ht="15" hidden="false" customHeight="false" outlineLevel="0" collapsed="false">
      <c r="B36" s="11" t="s">
        <v>270</v>
      </c>
      <c r="G36" s="40" t="n">
        <f aca="false">SUM(G6:G35)</f>
        <v>0</v>
      </c>
      <c r="H36" s="40" t="n">
        <f aca="false">SUM(H6:H35)</f>
        <v>0</v>
      </c>
      <c r="I36" s="40" t="n">
        <f aca="false">SUM(I6:I35)</f>
        <v>0</v>
      </c>
      <c r="J36" s="40" t="n">
        <f aca="false">SUM(J6:J35)</f>
        <v>0</v>
      </c>
      <c r="K36" s="40" t="n">
        <f aca="false">SUM(K6:K35)</f>
        <v>0</v>
      </c>
      <c r="L36" s="40" t="n">
        <f aca="false">SUM(L6:L35)</f>
        <v>0</v>
      </c>
      <c r="M36" s="40" t="n">
        <f aca="false">SUM(M6:M35)</f>
        <v>0</v>
      </c>
      <c r="N36" s="40" t="n">
        <f aca="false">SUM(N6:N35)</f>
        <v>0</v>
      </c>
      <c r="O36" s="40" t="n">
        <f aca="false">SUM(O6:O35)</f>
        <v>0</v>
      </c>
      <c r="P36" s="40" t="n">
        <f aca="false">SUM(P6:P35)</f>
        <v>0</v>
      </c>
    </row>
    <row r="37" customFormat="false" ht="15" hidden="false" customHeight="false" outlineLevel="0" collapsed="false">
      <c r="B37" s="2" t="s">
        <v>271</v>
      </c>
    </row>
    <row r="39" customFormat="false" ht="15" hidden="false" customHeight="false" outlineLevel="0" collapsed="false">
      <c r="A39" s="3" t="s">
        <v>272</v>
      </c>
      <c r="B39" s="4"/>
      <c r="C39" s="4"/>
      <c r="D39" s="4"/>
      <c r="E39" s="4"/>
      <c r="F39" s="4"/>
      <c r="G39" s="4"/>
      <c r="H39" s="4"/>
      <c r="I39" s="4"/>
      <c r="J39" s="4"/>
      <c r="K39" s="4"/>
      <c r="L39" s="4"/>
      <c r="M39" s="4"/>
      <c r="N39" s="4"/>
      <c r="O39" s="4"/>
      <c r="P39" s="4"/>
      <c r="Q39" s="4"/>
    </row>
    <row r="40" customFormat="false" ht="15" hidden="false" customHeight="false" outlineLevel="0" collapsed="false">
      <c r="A40" s="5" t="s">
        <v>233</v>
      </c>
      <c r="B40" s="5" t="s">
        <v>255</v>
      </c>
      <c r="C40" s="5" t="s">
        <v>256</v>
      </c>
      <c r="D40" s="5"/>
      <c r="E40" s="5"/>
      <c r="F40" s="5"/>
      <c r="G40" s="5" t="s">
        <v>260</v>
      </c>
      <c r="H40" s="5" t="s">
        <v>261</v>
      </c>
      <c r="I40" s="5" t="s">
        <v>262</v>
      </c>
      <c r="J40" s="5" t="s">
        <v>263</v>
      </c>
      <c r="K40" s="5" t="s">
        <v>264</v>
      </c>
      <c r="L40" s="5" t="s">
        <v>265</v>
      </c>
      <c r="M40" s="5" t="s">
        <v>266</v>
      </c>
      <c r="N40" s="5" t="s">
        <v>267</v>
      </c>
      <c r="O40" s="5" t="s">
        <v>268</v>
      </c>
      <c r="P40" s="5" t="s">
        <v>269</v>
      </c>
    </row>
    <row r="41" customFormat="false" ht="15" hidden="false" customHeight="false" outlineLevel="0" collapsed="false">
      <c r="A41" s="6" t="n">
        <v>1</v>
      </c>
      <c r="B41" s="39" t="str">
        <f aca="false">IF(B6="","",B6)</f>
        <v/>
      </c>
      <c r="C41" s="39" t="str">
        <f aca="false">IF(C6="","",C6)</f>
        <v/>
      </c>
      <c r="G41" s="23" t="n">
        <f aca="false">G6</f>
        <v>0</v>
      </c>
      <c r="H41" s="23" t="n">
        <f aca="false">H6</f>
        <v>0</v>
      </c>
      <c r="I41" s="23" t="n">
        <f aca="false">I6</f>
        <v>0</v>
      </c>
      <c r="J41" s="23" t="n">
        <f aca="false">J6</f>
        <v>0</v>
      </c>
      <c r="K41" s="23" t="n">
        <f aca="false">K6</f>
        <v>0</v>
      </c>
      <c r="L41" s="23" t="n">
        <f aca="false">L6</f>
        <v>0</v>
      </c>
      <c r="M41" s="23" t="n">
        <f aca="false">M6</f>
        <v>0</v>
      </c>
      <c r="N41" s="23" t="n">
        <f aca="false">N6</f>
        <v>0</v>
      </c>
      <c r="O41" s="23" t="n">
        <f aca="false">O6</f>
        <v>0</v>
      </c>
      <c r="P41" s="23" t="n">
        <f aca="false">P6</f>
        <v>0</v>
      </c>
    </row>
    <row r="42" customFormat="false" ht="15" hidden="false" customHeight="false" outlineLevel="0" collapsed="false">
      <c r="A42" s="6" t="n">
        <v>2</v>
      </c>
      <c r="B42" s="39" t="str">
        <f aca="false">IF(B7="","",B7)</f>
        <v/>
      </c>
      <c r="C42" s="39" t="str">
        <f aca="false">IF(C7="","",C7)</f>
        <v/>
      </c>
      <c r="G42" s="23" t="n">
        <f aca="false">G7</f>
        <v>0</v>
      </c>
      <c r="H42" s="23" t="n">
        <f aca="false">H7</f>
        <v>0</v>
      </c>
      <c r="I42" s="23" t="n">
        <f aca="false">I7</f>
        <v>0</v>
      </c>
      <c r="J42" s="23" t="n">
        <f aca="false">J7</f>
        <v>0</v>
      </c>
      <c r="K42" s="23" t="n">
        <f aca="false">K7</f>
        <v>0</v>
      </c>
      <c r="L42" s="23" t="n">
        <f aca="false">L7</f>
        <v>0</v>
      </c>
      <c r="M42" s="23" t="n">
        <f aca="false">M7</f>
        <v>0</v>
      </c>
      <c r="N42" s="23" t="n">
        <f aca="false">N7</f>
        <v>0</v>
      </c>
      <c r="O42" s="23" t="n">
        <f aca="false">O7</f>
        <v>0</v>
      </c>
      <c r="P42" s="23" t="n">
        <f aca="false">P7</f>
        <v>0</v>
      </c>
    </row>
    <row r="43" customFormat="false" ht="15" hidden="false" customHeight="false" outlineLevel="0" collapsed="false">
      <c r="A43" s="6" t="n">
        <v>3</v>
      </c>
      <c r="B43" s="39" t="str">
        <f aca="false">IF(B8="","",B8)</f>
        <v/>
      </c>
      <c r="C43" s="39" t="str">
        <f aca="false">IF(C8="","",C8)</f>
        <v/>
      </c>
      <c r="G43" s="23" t="n">
        <f aca="false">G8</f>
        <v>0</v>
      </c>
      <c r="H43" s="23" t="n">
        <f aca="false">H8</f>
        <v>0</v>
      </c>
      <c r="I43" s="23" t="n">
        <f aca="false">I8</f>
        <v>0</v>
      </c>
      <c r="J43" s="23" t="n">
        <f aca="false">J8</f>
        <v>0</v>
      </c>
      <c r="K43" s="23" t="n">
        <f aca="false">K8</f>
        <v>0</v>
      </c>
      <c r="L43" s="23" t="n">
        <f aca="false">L8</f>
        <v>0</v>
      </c>
      <c r="M43" s="23" t="n">
        <f aca="false">M8</f>
        <v>0</v>
      </c>
      <c r="N43" s="23" t="n">
        <f aca="false">N8</f>
        <v>0</v>
      </c>
      <c r="O43" s="23" t="n">
        <f aca="false">O8</f>
        <v>0</v>
      </c>
      <c r="P43" s="23" t="n">
        <f aca="false">P8</f>
        <v>0</v>
      </c>
    </row>
    <row r="44" customFormat="false" ht="15" hidden="false" customHeight="false" outlineLevel="0" collapsed="false">
      <c r="A44" s="6" t="n">
        <v>4</v>
      </c>
      <c r="B44" s="39" t="str">
        <f aca="false">IF(B9="","",B9)</f>
        <v/>
      </c>
      <c r="C44" s="39" t="str">
        <f aca="false">IF(C9="","",C9)</f>
        <v/>
      </c>
      <c r="G44" s="23" t="n">
        <f aca="false">G9</f>
        <v>0</v>
      </c>
      <c r="H44" s="23" t="n">
        <f aca="false">H9</f>
        <v>0</v>
      </c>
      <c r="I44" s="23" t="n">
        <f aca="false">I9</f>
        <v>0</v>
      </c>
      <c r="J44" s="23" t="n">
        <f aca="false">J9</f>
        <v>0</v>
      </c>
      <c r="K44" s="23" t="n">
        <f aca="false">K9</f>
        <v>0</v>
      </c>
      <c r="L44" s="23" t="n">
        <f aca="false">L9</f>
        <v>0</v>
      </c>
      <c r="M44" s="23" t="n">
        <f aca="false">M9</f>
        <v>0</v>
      </c>
      <c r="N44" s="23" t="n">
        <f aca="false">N9</f>
        <v>0</v>
      </c>
      <c r="O44" s="23" t="n">
        <f aca="false">O9</f>
        <v>0</v>
      </c>
      <c r="P44" s="23" t="n">
        <f aca="false">P9</f>
        <v>0</v>
      </c>
    </row>
    <row r="45" customFormat="false" ht="15" hidden="false" customHeight="false" outlineLevel="0" collapsed="false">
      <c r="A45" s="6" t="n">
        <v>5</v>
      </c>
      <c r="B45" s="39" t="str">
        <f aca="false">IF(B10="","",B10)</f>
        <v/>
      </c>
      <c r="C45" s="39" t="str">
        <f aca="false">IF(C10="","",C10)</f>
        <v/>
      </c>
      <c r="G45" s="23" t="n">
        <f aca="false">G10</f>
        <v>0</v>
      </c>
      <c r="H45" s="23" t="n">
        <f aca="false">H10</f>
        <v>0</v>
      </c>
      <c r="I45" s="23" t="n">
        <f aca="false">I10</f>
        <v>0</v>
      </c>
      <c r="J45" s="23" t="n">
        <f aca="false">J10</f>
        <v>0</v>
      </c>
      <c r="K45" s="23" t="n">
        <f aca="false">K10</f>
        <v>0</v>
      </c>
      <c r="L45" s="23" t="n">
        <f aca="false">L10</f>
        <v>0</v>
      </c>
      <c r="M45" s="23" t="n">
        <f aca="false">M10</f>
        <v>0</v>
      </c>
      <c r="N45" s="23" t="n">
        <f aca="false">N10</f>
        <v>0</v>
      </c>
      <c r="O45" s="23" t="n">
        <f aca="false">O10</f>
        <v>0</v>
      </c>
      <c r="P45" s="23" t="n">
        <f aca="false">P10</f>
        <v>0</v>
      </c>
    </row>
    <row r="46" customFormat="false" ht="15" hidden="false" customHeight="false" outlineLevel="0" collapsed="false">
      <c r="A46" s="6" t="n">
        <v>6</v>
      </c>
      <c r="B46" s="39" t="str">
        <f aca="false">IF(B11="","",B11)</f>
        <v/>
      </c>
      <c r="C46" s="39" t="str">
        <f aca="false">IF(C11="","",C11)</f>
        <v/>
      </c>
      <c r="G46" s="23" t="n">
        <f aca="false">G11</f>
        <v>0</v>
      </c>
      <c r="H46" s="23" t="n">
        <f aca="false">H11</f>
        <v>0</v>
      </c>
      <c r="I46" s="23" t="n">
        <f aca="false">I11</f>
        <v>0</v>
      </c>
      <c r="J46" s="23" t="n">
        <f aca="false">J11</f>
        <v>0</v>
      </c>
      <c r="K46" s="23" t="n">
        <f aca="false">K11</f>
        <v>0</v>
      </c>
      <c r="L46" s="23" t="n">
        <f aca="false">L11</f>
        <v>0</v>
      </c>
      <c r="M46" s="23" t="n">
        <f aca="false">M11</f>
        <v>0</v>
      </c>
      <c r="N46" s="23" t="n">
        <f aca="false">N11</f>
        <v>0</v>
      </c>
      <c r="O46" s="23" t="n">
        <f aca="false">O11</f>
        <v>0</v>
      </c>
      <c r="P46" s="23" t="n">
        <f aca="false">P11</f>
        <v>0</v>
      </c>
    </row>
    <row r="47" customFormat="false" ht="15" hidden="false" customHeight="false" outlineLevel="0" collapsed="false">
      <c r="A47" s="6" t="n">
        <v>7</v>
      </c>
      <c r="B47" s="39" t="str">
        <f aca="false">IF(B12="","",B12)</f>
        <v/>
      </c>
      <c r="C47" s="39" t="str">
        <f aca="false">IF(C12="","",C12)</f>
        <v/>
      </c>
      <c r="G47" s="23" t="n">
        <f aca="false">G12</f>
        <v>0</v>
      </c>
      <c r="H47" s="23" t="n">
        <f aca="false">H12</f>
        <v>0</v>
      </c>
      <c r="I47" s="23" t="n">
        <f aca="false">I12</f>
        <v>0</v>
      </c>
      <c r="J47" s="23" t="n">
        <f aca="false">J12</f>
        <v>0</v>
      </c>
      <c r="K47" s="23" t="n">
        <f aca="false">K12</f>
        <v>0</v>
      </c>
      <c r="L47" s="23" t="n">
        <f aca="false">L12</f>
        <v>0</v>
      </c>
      <c r="M47" s="23" t="n">
        <f aca="false">M12</f>
        <v>0</v>
      </c>
      <c r="N47" s="23" t="n">
        <f aca="false">N12</f>
        <v>0</v>
      </c>
      <c r="O47" s="23" t="n">
        <f aca="false">O12</f>
        <v>0</v>
      </c>
      <c r="P47" s="23" t="n">
        <f aca="false">P12</f>
        <v>0</v>
      </c>
    </row>
    <row r="48" customFormat="false" ht="15" hidden="false" customHeight="false" outlineLevel="0" collapsed="false">
      <c r="A48" s="6" t="n">
        <v>8</v>
      </c>
      <c r="B48" s="39" t="str">
        <f aca="false">IF(B13="","",B13)</f>
        <v/>
      </c>
      <c r="C48" s="39" t="str">
        <f aca="false">IF(C13="","",C13)</f>
        <v/>
      </c>
      <c r="G48" s="23" t="n">
        <f aca="false">G13</f>
        <v>0</v>
      </c>
      <c r="H48" s="23" t="n">
        <f aca="false">H13</f>
        <v>0</v>
      </c>
      <c r="I48" s="23" t="n">
        <f aca="false">I13</f>
        <v>0</v>
      </c>
      <c r="J48" s="23" t="n">
        <f aca="false">J13</f>
        <v>0</v>
      </c>
      <c r="K48" s="23" t="n">
        <f aca="false">K13</f>
        <v>0</v>
      </c>
      <c r="L48" s="23" t="n">
        <f aca="false">L13</f>
        <v>0</v>
      </c>
      <c r="M48" s="23" t="n">
        <f aca="false">M13</f>
        <v>0</v>
      </c>
      <c r="N48" s="23" t="n">
        <f aca="false">N13</f>
        <v>0</v>
      </c>
      <c r="O48" s="23" t="n">
        <f aca="false">O13</f>
        <v>0</v>
      </c>
      <c r="P48" s="23" t="n">
        <f aca="false">P13</f>
        <v>0</v>
      </c>
    </row>
    <row r="49" customFormat="false" ht="15" hidden="false" customHeight="false" outlineLevel="0" collapsed="false">
      <c r="A49" s="6" t="n">
        <v>9</v>
      </c>
      <c r="B49" s="39" t="str">
        <f aca="false">IF(B14="","",B14)</f>
        <v/>
      </c>
      <c r="C49" s="39" t="str">
        <f aca="false">IF(C14="","",C14)</f>
        <v/>
      </c>
      <c r="G49" s="23" t="n">
        <f aca="false">G14</f>
        <v>0</v>
      </c>
      <c r="H49" s="23" t="n">
        <f aca="false">H14</f>
        <v>0</v>
      </c>
      <c r="I49" s="23" t="n">
        <f aca="false">I14</f>
        <v>0</v>
      </c>
      <c r="J49" s="23" t="n">
        <f aca="false">J14</f>
        <v>0</v>
      </c>
      <c r="K49" s="23" t="n">
        <f aca="false">K14</f>
        <v>0</v>
      </c>
      <c r="L49" s="23" t="n">
        <f aca="false">L14</f>
        <v>0</v>
      </c>
      <c r="M49" s="23" t="n">
        <f aca="false">M14</f>
        <v>0</v>
      </c>
      <c r="N49" s="23" t="n">
        <f aca="false">N14</f>
        <v>0</v>
      </c>
      <c r="O49" s="23" t="n">
        <f aca="false">O14</f>
        <v>0</v>
      </c>
      <c r="P49" s="23" t="n">
        <f aca="false">P14</f>
        <v>0</v>
      </c>
    </row>
    <row r="50" customFormat="false" ht="15" hidden="false" customHeight="false" outlineLevel="0" collapsed="false">
      <c r="A50" s="6" t="n">
        <v>10</v>
      </c>
      <c r="B50" s="39" t="str">
        <f aca="false">IF(B15="","",B15)</f>
        <v/>
      </c>
      <c r="C50" s="39" t="str">
        <f aca="false">IF(C15="","",C15)</f>
        <v/>
      </c>
      <c r="G50" s="23" t="n">
        <f aca="false">G15</f>
        <v>0</v>
      </c>
      <c r="H50" s="23" t="n">
        <f aca="false">H15</f>
        <v>0</v>
      </c>
      <c r="I50" s="23" t="n">
        <f aca="false">I15</f>
        <v>0</v>
      </c>
      <c r="J50" s="23" t="n">
        <f aca="false">J15</f>
        <v>0</v>
      </c>
      <c r="K50" s="23" t="n">
        <f aca="false">K15</f>
        <v>0</v>
      </c>
      <c r="L50" s="23" t="n">
        <f aca="false">L15</f>
        <v>0</v>
      </c>
      <c r="M50" s="23" t="n">
        <f aca="false">M15</f>
        <v>0</v>
      </c>
      <c r="N50" s="23" t="n">
        <f aca="false">N15</f>
        <v>0</v>
      </c>
      <c r="O50" s="23" t="n">
        <f aca="false">O15</f>
        <v>0</v>
      </c>
      <c r="P50" s="23" t="n">
        <f aca="false">P15</f>
        <v>0</v>
      </c>
    </row>
    <row r="51" customFormat="false" ht="15" hidden="false" customHeight="false" outlineLevel="0" collapsed="false">
      <c r="A51" s="6" t="n">
        <v>11</v>
      </c>
      <c r="B51" s="39" t="str">
        <f aca="false">IF(B16="","",B16)</f>
        <v/>
      </c>
      <c r="C51" s="39" t="str">
        <f aca="false">IF(C16="","",C16)</f>
        <v/>
      </c>
      <c r="G51" s="23" t="n">
        <f aca="false">G16</f>
        <v>0</v>
      </c>
      <c r="H51" s="23" t="n">
        <f aca="false">H16</f>
        <v>0</v>
      </c>
      <c r="I51" s="23" t="n">
        <f aca="false">I16</f>
        <v>0</v>
      </c>
      <c r="J51" s="23" t="n">
        <f aca="false">J16</f>
        <v>0</v>
      </c>
      <c r="K51" s="23" t="n">
        <f aca="false">K16</f>
        <v>0</v>
      </c>
      <c r="L51" s="23" t="n">
        <f aca="false">L16</f>
        <v>0</v>
      </c>
      <c r="M51" s="23" t="n">
        <f aca="false">M16</f>
        <v>0</v>
      </c>
      <c r="N51" s="23" t="n">
        <f aca="false">N16</f>
        <v>0</v>
      </c>
      <c r="O51" s="23" t="n">
        <f aca="false">O16</f>
        <v>0</v>
      </c>
      <c r="P51" s="23" t="n">
        <f aca="false">P16</f>
        <v>0</v>
      </c>
    </row>
    <row r="52" customFormat="false" ht="15" hidden="false" customHeight="false" outlineLevel="0" collapsed="false">
      <c r="A52" s="6" t="n">
        <v>12</v>
      </c>
      <c r="B52" s="39" t="str">
        <f aca="false">IF(B17="","",B17)</f>
        <v/>
      </c>
      <c r="C52" s="39" t="str">
        <f aca="false">IF(C17="","",C17)</f>
        <v/>
      </c>
      <c r="G52" s="23" t="n">
        <f aca="false">G17</f>
        <v>0</v>
      </c>
      <c r="H52" s="23" t="n">
        <f aca="false">H17</f>
        <v>0</v>
      </c>
      <c r="I52" s="23" t="n">
        <f aca="false">I17</f>
        <v>0</v>
      </c>
      <c r="J52" s="23" t="n">
        <f aca="false">J17</f>
        <v>0</v>
      </c>
      <c r="K52" s="23" t="n">
        <f aca="false">K17</f>
        <v>0</v>
      </c>
      <c r="L52" s="23" t="n">
        <f aca="false">L17</f>
        <v>0</v>
      </c>
      <c r="M52" s="23" t="n">
        <f aca="false">M17</f>
        <v>0</v>
      </c>
      <c r="N52" s="23" t="n">
        <f aca="false">N17</f>
        <v>0</v>
      </c>
      <c r="O52" s="23" t="n">
        <f aca="false">O17</f>
        <v>0</v>
      </c>
      <c r="P52" s="23" t="n">
        <f aca="false">P17</f>
        <v>0</v>
      </c>
    </row>
    <row r="53" customFormat="false" ht="15" hidden="false" customHeight="false" outlineLevel="0" collapsed="false">
      <c r="A53" s="6" t="n">
        <v>13</v>
      </c>
      <c r="B53" s="39" t="str">
        <f aca="false">IF(B18="","",B18)</f>
        <v/>
      </c>
      <c r="C53" s="39" t="str">
        <f aca="false">IF(C18="","",C18)</f>
        <v/>
      </c>
      <c r="G53" s="23" t="n">
        <f aca="false">G18</f>
        <v>0</v>
      </c>
      <c r="H53" s="23" t="n">
        <f aca="false">H18</f>
        <v>0</v>
      </c>
      <c r="I53" s="23" t="n">
        <f aca="false">I18</f>
        <v>0</v>
      </c>
      <c r="J53" s="23" t="n">
        <f aca="false">J18</f>
        <v>0</v>
      </c>
      <c r="K53" s="23" t="n">
        <f aca="false">K18</f>
        <v>0</v>
      </c>
      <c r="L53" s="23" t="n">
        <f aca="false">L18</f>
        <v>0</v>
      </c>
      <c r="M53" s="23" t="n">
        <f aca="false">M18</f>
        <v>0</v>
      </c>
      <c r="N53" s="23" t="n">
        <f aca="false">N18</f>
        <v>0</v>
      </c>
      <c r="O53" s="23" t="n">
        <f aca="false">O18</f>
        <v>0</v>
      </c>
      <c r="P53" s="23" t="n">
        <f aca="false">P18</f>
        <v>0</v>
      </c>
    </row>
    <row r="54" customFormat="false" ht="15" hidden="false" customHeight="false" outlineLevel="0" collapsed="false">
      <c r="A54" s="6" t="n">
        <v>14</v>
      </c>
      <c r="B54" s="39" t="str">
        <f aca="false">IF(B19="","",B19)</f>
        <v/>
      </c>
      <c r="C54" s="39" t="str">
        <f aca="false">IF(C19="","",C19)</f>
        <v/>
      </c>
      <c r="G54" s="23" t="n">
        <f aca="false">G19</f>
        <v>0</v>
      </c>
      <c r="H54" s="23" t="n">
        <f aca="false">H19</f>
        <v>0</v>
      </c>
      <c r="I54" s="23" t="n">
        <f aca="false">I19</f>
        <v>0</v>
      </c>
      <c r="J54" s="23" t="n">
        <f aca="false">J19</f>
        <v>0</v>
      </c>
      <c r="K54" s="23" t="n">
        <f aca="false">K19</f>
        <v>0</v>
      </c>
      <c r="L54" s="23" t="n">
        <f aca="false">L19</f>
        <v>0</v>
      </c>
      <c r="M54" s="23" t="n">
        <f aca="false">M19</f>
        <v>0</v>
      </c>
      <c r="N54" s="23" t="n">
        <f aca="false">N19</f>
        <v>0</v>
      </c>
      <c r="O54" s="23" t="n">
        <f aca="false">O19</f>
        <v>0</v>
      </c>
      <c r="P54" s="23" t="n">
        <f aca="false">P19</f>
        <v>0</v>
      </c>
    </row>
    <row r="55" customFormat="false" ht="15" hidden="false" customHeight="false" outlineLevel="0" collapsed="false">
      <c r="A55" s="6" t="n">
        <v>15</v>
      </c>
      <c r="B55" s="39" t="str">
        <f aca="false">IF(B20="","",B20)</f>
        <v/>
      </c>
      <c r="C55" s="39" t="str">
        <f aca="false">IF(C20="","",C20)</f>
        <v/>
      </c>
      <c r="G55" s="23" t="n">
        <f aca="false">G20</f>
        <v>0</v>
      </c>
      <c r="H55" s="23" t="n">
        <f aca="false">H20</f>
        <v>0</v>
      </c>
      <c r="I55" s="23" t="n">
        <f aca="false">I20</f>
        <v>0</v>
      </c>
      <c r="J55" s="23" t="n">
        <f aca="false">J20</f>
        <v>0</v>
      </c>
      <c r="K55" s="23" t="n">
        <f aca="false">K20</f>
        <v>0</v>
      </c>
      <c r="L55" s="23" t="n">
        <f aca="false">L20</f>
        <v>0</v>
      </c>
      <c r="M55" s="23" t="n">
        <f aca="false">M20</f>
        <v>0</v>
      </c>
      <c r="N55" s="23" t="n">
        <f aca="false">N20</f>
        <v>0</v>
      </c>
      <c r="O55" s="23" t="n">
        <f aca="false">O20</f>
        <v>0</v>
      </c>
      <c r="P55" s="23" t="n">
        <f aca="false">P20</f>
        <v>0</v>
      </c>
    </row>
    <row r="56" customFormat="false" ht="15" hidden="false" customHeight="false" outlineLevel="0" collapsed="false">
      <c r="A56" s="6" t="n">
        <v>16</v>
      </c>
      <c r="B56" s="39" t="str">
        <f aca="false">IF(B21="","",B21)</f>
        <v/>
      </c>
      <c r="C56" s="39" t="str">
        <f aca="false">IF(C21="","",C21)</f>
        <v/>
      </c>
      <c r="G56" s="23" t="n">
        <f aca="false">G21</f>
        <v>0</v>
      </c>
      <c r="H56" s="23" t="n">
        <f aca="false">H21</f>
        <v>0</v>
      </c>
      <c r="I56" s="23" t="n">
        <f aca="false">I21</f>
        <v>0</v>
      </c>
      <c r="J56" s="23" t="n">
        <f aca="false">J21</f>
        <v>0</v>
      </c>
      <c r="K56" s="23" t="n">
        <f aca="false">K21</f>
        <v>0</v>
      </c>
      <c r="L56" s="23" t="n">
        <f aca="false">L21</f>
        <v>0</v>
      </c>
      <c r="M56" s="23" t="n">
        <f aca="false">M21</f>
        <v>0</v>
      </c>
      <c r="N56" s="23" t="n">
        <f aca="false">N21</f>
        <v>0</v>
      </c>
      <c r="O56" s="23" t="n">
        <f aca="false">O21</f>
        <v>0</v>
      </c>
      <c r="P56" s="23" t="n">
        <f aca="false">P21</f>
        <v>0</v>
      </c>
    </row>
    <row r="57" customFormat="false" ht="15" hidden="false" customHeight="false" outlineLevel="0" collapsed="false">
      <c r="A57" s="6" t="n">
        <v>17</v>
      </c>
      <c r="B57" s="39" t="str">
        <f aca="false">IF(B22="","",B22)</f>
        <v/>
      </c>
      <c r="C57" s="39" t="str">
        <f aca="false">IF(C22="","",C22)</f>
        <v/>
      </c>
      <c r="G57" s="23" t="n">
        <f aca="false">G22</f>
        <v>0</v>
      </c>
      <c r="H57" s="23" t="n">
        <f aca="false">H22</f>
        <v>0</v>
      </c>
      <c r="I57" s="23" t="n">
        <f aca="false">I22</f>
        <v>0</v>
      </c>
      <c r="J57" s="23" t="n">
        <f aca="false">J22</f>
        <v>0</v>
      </c>
      <c r="K57" s="23" t="n">
        <f aca="false">K22</f>
        <v>0</v>
      </c>
      <c r="L57" s="23" t="n">
        <f aca="false">L22</f>
        <v>0</v>
      </c>
      <c r="M57" s="23" t="n">
        <f aca="false">M22</f>
        <v>0</v>
      </c>
      <c r="N57" s="23" t="n">
        <f aca="false">N22</f>
        <v>0</v>
      </c>
      <c r="O57" s="23" t="n">
        <f aca="false">O22</f>
        <v>0</v>
      </c>
      <c r="P57" s="23" t="n">
        <f aca="false">P22</f>
        <v>0</v>
      </c>
    </row>
    <row r="58" customFormat="false" ht="15" hidden="false" customHeight="false" outlineLevel="0" collapsed="false">
      <c r="A58" s="6" t="n">
        <v>18</v>
      </c>
      <c r="B58" s="39" t="str">
        <f aca="false">IF(B23="","",B23)</f>
        <v/>
      </c>
      <c r="C58" s="39" t="str">
        <f aca="false">IF(C23="","",C23)</f>
        <v/>
      </c>
      <c r="G58" s="23" t="n">
        <f aca="false">G23</f>
        <v>0</v>
      </c>
      <c r="H58" s="23" t="n">
        <f aca="false">H23</f>
        <v>0</v>
      </c>
      <c r="I58" s="23" t="n">
        <f aca="false">I23</f>
        <v>0</v>
      </c>
      <c r="J58" s="23" t="n">
        <f aca="false">J23</f>
        <v>0</v>
      </c>
      <c r="K58" s="23" t="n">
        <f aca="false">K23</f>
        <v>0</v>
      </c>
      <c r="L58" s="23" t="n">
        <f aca="false">L23</f>
        <v>0</v>
      </c>
      <c r="M58" s="23" t="n">
        <f aca="false">M23</f>
        <v>0</v>
      </c>
      <c r="N58" s="23" t="n">
        <f aca="false">N23</f>
        <v>0</v>
      </c>
      <c r="O58" s="23" t="n">
        <f aca="false">O23</f>
        <v>0</v>
      </c>
      <c r="P58" s="23" t="n">
        <f aca="false">P23</f>
        <v>0</v>
      </c>
    </row>
    <row r="59" customFormat="false" ht="15" hidden="false" customHeight="false" outlineLevel="0" collapsed="false">
      <c r="A59" s="6" t="n">
        <v>19</v>
      </c>
      <c r="B59" s="39" t="str">
        <f aca="false">IF(B24="","",B24)</f>
        <v/>
      </c>
      <c r="C59" s="39" t="str">
        <f aca="false">IF(C24="","",C24)</f>
        <v/>
      </c>
      <c r="G59" s="23" t="n">
        <f aca="false">G24</f>
        <v>0</v>
      </c>
      <c r="H59" s="23" t="n">
        <f aca="false">H24</f>
        <v>0</v>
      </c>
      <c r="I59" s="23" t="n">
        <f aca="false">I24</f>
        <v>0</v>
      </c>
      <c r="J59" s="23" t="n">
        <f aca="false">J24</f>
        <v>0</v>
      </c>
      <c r="K59" s="23" t="n">
        <f aca="false">K24</f>
        <v>0</v>
      </c>
      <c r="L59" s="23" t="n">
        <f aca="false">L24</f>
        <v>0</v>
      </c>
      <c r="M59" s="23" t="n">
        <f aca="false">M24</f>
        <v>0</v>
      </c>
      <c r="N59" s="23" t="n">
        <f aca="false">N24</f>
        <v>0</v>
      </c>
      <c r="O59" s="23" t="n">
        <f aca="false">O24</f>
        <v>0</v>
      </c>
      <c r="P59" s="23" t="n">
        <f aca="false">P24</f>
        <v>0</v>
      </c>
    </row>
    <row r="60" customFormat="false" ht="15" hidden="false" customHeight="false" outlineLevel="0" collapsed="false">
      <c r="A60" s="6" t="n">
        <v>20</v>
      </c>
      <c r="B60" s="39" t="str">
        <f aca="false">IF(B25="","",B25)</f>
        <v/>
      </c>
      <c r="C60" s="39" t="str">
        <f aca="false">IF(C25="","",C25)</f>
        <v/>
      </c>
      <c r="G60" s="23" t="n">
        <f aca="false">G25</f>
        <v>0</v>
      </c>
      <c r="H60" s="23" t="n">
        <f aca="false">H25</f>
        <v>0</v>
      </c>
      <c r="I60" s="23" t="n">
        <f aca="false">I25</f>
        <v>0</v>
      </c>
      <c r="J60" s="23" t="n">
        <f aca="false">J25</f>
        <v>0</v>
      </c>
      <c r="K60" s="23" t="n">
        <f aca="false">K25</f>
        <v>0</v>
      </c>
      <c r="L60" s="23" t="n">
        <f aca="false">L25</f>
        <v>0</v>
      </c>
      <c r="M60" s="23" t="n">
        <f aca="false">M25</f>
        <v>0</v>
      </c>
      <c r="N60" s="23" t="n">
        <f aca="false">N25</f>
        <v>0</v>
      </c>
      <c r="O60" s="23" t="n">
        <f aca="false">O25</f>
        <v>0</v>
      </c>
      <c r="P60" s="23" t="n">
        <f aca="false">P25</f>
        <v>0</v>
      </c>
    </row>
    <row r="61" customFormat="false" ht="15" hidden="false" customHeight="false" outlineLevel="0" collapsed="false">
      <c r="A61" s="6" t="n">
        <v>21</v>
      </c>
      <c r="B61" s="39" t="str">
        <f aca="false">IF(B26="","",B26)</f>
        <v/>
      </c>
      <c r="C61" s="39" t="str">
        <f aca="false">IF(C26="","",C26)</f>
        <v/>
      </c>
      <c r="G61" s="23" t="n">
        <f aca="false">G26</f>
        <v>0</v>
      </c>
      <c r="H61" s="23" t="n">
        <f aca="false">H26</f>
        <v>0</v>
      </c>
      <c r="I61" s="23" t="n">
        <f aca="false">I26</f>
        <v>0</v>
      </c>
      <c r="J61" s="23" t="n">
        <f aca="false">J26</f>
        <v>0</v>
      </c>
      <c r="K61" s="23" t="n">
        <f aca="false">K26</f>
        <v>0</v>
      </c>
      <c r="L61" s="23" t="n">
        <f aca="false">L26</f>
        <v>0</v>
      </c>
      <c r="M61" s="23" t="n">
        <f aca="false">M26</f>
        <v>0</v>
      </c>
      <c r="N61" s="23" t="n">
        <f aca="false">N26</f>
        <v>0</v>
      </c>
      <c r="O61" s="23" t="n">
        <f aca="false">O26</f>
        <v>0</v>
      </c>
      <c r="P61" s="23" t="n">
        <f aca="false">P26</f>
        <v>0</v>
      </c>
    </row>
    <row r="62" customFormat="false" ht="15" hidden="false" customHeight="false" outlineLevel="0" collapsed="false">
      <c r="A62" s="6" t="n">
        <v>22</v>
      </c>
      <c r="B62" s="39" t="str">
        <f aca="false">IF(B27="","",B27)</f>
        <v/>
      </c>
      <c r="C62" s="39" t="str">
        <f aca="false">IF(C27="","",C27)</f>
        <v/>
      </c>
      <c r="G62" s="23" t="n">
        <f aca="false">G27</f>
        <v>0</v>
      </c>
      <c r="H62" s="23" t="n">
        <f aca="false">H27</f>
        <v>0</v>
      </c>
      <c r="I62" s="23" t="n">
        <f aca="false">I27</f>
        <v>0</v>
      </c>
      <c r="J62" s="23" t="n">
        <f aca="false">J27</f>
        <v>0</v>
      </c>
      <c r="K62" s="23" t="n">
        <f aca="false">K27</f>
        <v>0</v>
      </c>
      <c r="L62" s="23" t="n">
        <f aca="false">L27</f>
        <v>0</v>
      </c>
      <c r="M62" s="23" t="n">
        <f aca="false">M27</f>
        <v>0</v>
      </c>
      <c r="N62" s="23" t="n">
        <f aca="false">N27</f>
        <v>0</v>
      </c>
      <c r="O62" s="23" t="n">
        <f aca="false">O27</f>
        <v>0</v>
      </c>
      <c r="P62" s="23" t="n">
        <f aca="false">P27</f>
        <v>0</v>
      </c>
    </row>
    <row r="63" customFormat="false" ht="15" hidden="false" customHeight="false" outlineLevel="0" collapsed="false">
      <c r="A63" s="6" t="n">
        <v>23</v>
      </c>
      <c r="B63" s="39" t="str">
        <f aca="false">IF(B28="","",B28)</f>
        <v/>
      </c>
      <c r="C63" s="39" t="str">
        <f aca="false">IF(C28="","",C28)</f>
        <v/>
      </c>
      <c r="G63" s="23" t="n">
        <f aca="false">G28</f>
        <v>0</v>
      </c>
      <c r="H63" s="23" t="n">
        <f aca="false">H28</f>
        <v>0</v>
      </c>
      <c r="I63" s="23" t="n">
        <f aca="false">I28</f>
        <v>0</v>
      </c>
      <c r="J63" s="23" t="n">
        <f aca="false">J28</f>
        <v>0</v>
      </c>
      <c r="K63" s="23" t="n">
        <f aca="false">K28</f>
        <v>0</v>
      </c>
      <c r="L63" s="23" t="n">
        <f aca="false">L28</f>
        <v>0</v>
      </c>
      <c r="M63" s="23" t="n">
        <f aca="false">M28</f>
        <v>0</v>
      </c>
      <c r="N63" s="23" t="n">
        <f aca="false">N28</f>
        <v>0</v>
      </c>
      <c r="O63" s="23" t="n">
        <f aca="false">O28</f>
        <v>0</v>
      </c>
      <c r="P63" s="23" t="n">
        <f aca="false">P28</f>
        <v>0</v>
      </c>
    </row>
    <row r="64" customFormat="false" ht="15" hidden="false" customHeight="false" outlineLevel="0" collapsed="false">
      <c r="A64" s="6" t="n">
        <v>24</v>
      </c>
      <c r="B64" s="39" t="str">
        <f aca="false">IF(B29="","",B29)</f>
        <v/>
      </c>
      <c r="C64" s="39" t="str">
        <f aca="false">IF(C29="","",C29)</f>
        <v/>
      </c>
      <c r="G64" s="23" t="n">
        <f aca="false">G29</f>
        <v>0</v>
      </c>
      <c r="H64" s="23" t="n">
        <f aca="false">H29</f>
        <v>0</v>
      </c>
      <c r="I64" s="23" t="n">
        <f aca="false">I29</f>
        <v>0</v>
      </c>
      <c r="J64" s="23" t="n">
        <f aca="false">J29</f>
        <v>0</v>
      </c>
      <c r="K64" s="23" t="n">
        <f aca="false">K29</f>
        <v>0</v>
      </c>
      <c r="L64" s="23" t="n">
        <f aca="false">L29</f>
        <v>0</v>
      </c>
      <c r="M64" s="23" t="n">
        <f aca="false">M29</f>
        <v>0</v>
      </c>
      <c r="N64" s="23" t="n">
        <f aca="false">N29</f>
        <v>0</v>
      </c>
      <c r="O64" s="23" t="n">
        <f aca="false">O29</f>
        <v>0</v>
      </c>
      <c r="P64" s="23" t="n">
        <f aca="false">P29</f>
        <v>0</v>
      </c>
    </row>
    <row r="65" customFormat="false" ht="15" hidden="false" customHeight="false" outlineLevel="0" collapsed="false">
      <c r="A65" s="6" t="n">
        <v>25</v>
      </c>
      <c r="B65" s="39" t="str">
        <f aca="false">IF(B30="","",B30)</f>
        <v/>
      </c>
      <c r="C65" s="39" t="str">
        <f aca="false">IF(C30="","",C30)</f>
        <v/>
      </c>
      <c r="G65" s="23" t="n">
        <f aca="false">G30</f>
        <v>0</v>
      </c>
      <c r="H65" s="23" t="n">
        <f aca="false">H30</f>
        <v>0</v>
      </c>
      <c r="I65" s="23" t="n">
        <f aca="false">I30</f>
        <v>0</v>
      </c>
      <c r="J65" s="23" t="n">
        <f aca="false">J30</f>
        <v>0</v>
      </c>
      <c r="K65" s="23" t="n">
        <f aca="false">K30</f>
        <v>0</v>
      </c>
      <c r="L65" s="23" t="n">
        <f aca="false">L30</f>
        <v>0</v>
      </c>
      <c r="M65" s="23" t="n">
        <f aca="false">M30</f>
        <v>0</v>
      </c>
      <c r="N65" s="23" t="n">
        <f aca="false">N30</f>
        <v>0</v>
      </c>
      <c r="O65" s="23" t="n">
        <f aca="false">O30</f>
        <v>0</v>
      </c>
      <c r="P65" s="23" t="n">
        <f aca="false">P30</f>
        <v>0</v>
      </c>
    </row>
    <row r="66" customFormat="false" ht="15" hidden="false" customHeight="false" outlineLevel="0" collapsed="false">
      <c r="A66" s="6" t="n">
        <v>26</v>
      </c>
      <c r="B66" s="39" t="str">
        <f aca="false">IF(B31="","",B31)</f>
        <v/>
      </c>
      <c r="C66" s="39" t="str">
        <f aca="false">IF(C31="","",C31)</f>
        <v/>
      </c>
      <c r="G66" s="23" t="n">
        <f aca="false">G31</f>
        <v>0</v>
      </c>
      <c r="H66" s="23" t="n">
        <f aca="false">H31</f>
        <v>0</v>
      </c>
      <c r="I66" s="23" t="n">
        <f aca="false">I31</f>
        <v>0</v>
      </c>
      <c r="J66" s="23" t="n">
        <f aca="false">J31</f>
        <v>0</v>
      </c>
      <c r="K66" s="23" t="n">
        <f aca="false">K31</f>
        <v>0</v>
      </c>
      <c r="L66" s="23" t="n">
        <f aca="false">L31</f>
        <v>0</v>
      </c>
      <c r="M66" s="23" t="n">
        <f aca="false">M31</f>
        <v>0</v>
      </c>
      <c r="N66" s="23" t="n">
        <f aca="false">N31</f>
        <v>0</v>
      </c>
      <c r="O66" s="23" t="n">
        <f aca="false">O31</f>
        <v>0</v>
      </c>
      <c r="P66" s="23" t="n">
        <f aca="false">P31</f>
        <v>0</v>
      </c>
    </row>
    <row r="67" customFormat="false" ht="15" hidden="false" customHeight="false" outlineLevel="0" collapsed="false">
      <c r="A67" s="6" t="n">
        <v>27</v>
      </c>
      <c r="B67" s="39" t="str">
        <f aca="false">IF(B32="","",B32)</f>
        <v/>
      </c>
      <c r="C67" s="39" t="str">
        <f aca="false">IF(C32="","",C32)</f>
        <v/>
      </c>
      <c r="G67" s="23" t="n">
        <f aca="false">G32</f>
        <v>0</v>
      </c>
      <c r="H67" s="23" t="n">
        <f aca="false">H32</f>
        <v>0</v>
      </c>
      <c r="I67" s="23" t="n">
        <f aca="false">I32</f>
        <v>0</v>
      </c>
      <c r="J67" s="23" t="n">
        <f aca="false">J32</f>
        <v>0</v>
      </c>
      <c r="K67" s="23" t="n">
        <f aca="false">K32</f>
        <v>0</v>
      </c>
      <c r="L67" s="23" t="n">
        <f aca="false">L32</f>
        <v>0</v>
      </c>
      <c r="M67" s="23" t="n">
        <f aca="false">M32</f>
        <v>0</v>
      </c>
      <c r="N67" s="23" t="n">
        <f aca="false">N32</f>
        <v>0</v>
      </c>
      <c r="O67" s="23" t="n">
        <f aca="false">O32</f>
        <v>0</v>
      </c>
      <c r="P67" s="23" t="n">
        <f aca="false">P32</f>
        <v>0</v>
      </c>
    </row>
    <row r="68" customFormat="false" ht="15" hidden="false" customHeight="false" outlineLevel="0" collapsed="false">
      <c r="A68" s="6" t="n">
        <v>28</v>
      </c>
      <c r="B68" s="39" t="str">
        <f aca="false">IF(B33="","",B33)</f>
        <v/>
      </c>
      <c r="C68" s="39" t="str">
        <f aca="false">IF(C33="","",C33)</f>
        <v/>
      </c>
      <c r="G68" s="23" t="n">
        <f aca="false">G33</f>
        <v>0</v>
      </c>
      <c r="H68" s="23" t="n">
        <f aca="false">H33</f>
        <v>0</v>
      </c>
      <c r="I68" s="23" t="n">
        <f aca="false">I33</f>
        <v>0</v>
      </c>
      <c r="J68" s="23" t="n">
        <f aca="false">J33</f>
        <v>0</v>
      </c>
      <c r="K68" s="23" t="n">
        <f aca="false">K33</f>
        <v>0</v>
      </c>
      <c r="L68" s="23" t="n">
        <f aca="false">L33</f>
        <v>0</v>
      </c>
      <c r="M68" s="23" t="n">
        <f aca="false">M33</f>
        <v>0</v>
      </c>
      <c r="N68" s="23" t="n">
        <f aca="false">N33</f>
        <v>0</v>
      </c>
      <c r="O68" s="23" t="n">
        <f aca="false">O33</f>
        <v>0</v>
      </c>
      <c r="P68" s="23" t="n">
        <f aca="false">P33</f>
        <v>0</v>
      </c>
    </row>
    <row r="69" customFormat="false" ht="15" hidden="false" customHeight="false" outlineLevel="0" collapsed="false">
      <c r="A69" s="6" t="n">
        <v>29</v>
      </c>
      <c r="B69" s="39" t="str">
        <f aca="false">IF(B34="","",B34)</f>
        <v/>
      </c>
      <c r="C69" s="39" t="str">
        <f aca="false">IF(C34="","",C34)</f>
        <v/>
      </c>
      <c r="G69" s="23" t="n">
        <f aca="false">G34</f>
        <v>0</v>
      </c>
      <c r="H69" s="23" t="n">
        <f aca="false">H34</f>
        <v>0</v>
      </c>
      <c r="I69" s="23" t="n">
        <f aca="false">I34</f>
        <v>0</v>
      </c>
      <c r="J69" s="23" t="n">
        <f aca="false">J34</f>
        <v>0</v>
      </c>
      <c r="K69" s="23" t="n">
        <f aca="false">K34</f>
        <v>0</v>
      </c>
      <c r="L69" s="23" t="n">
        <f aca="false">L34</f>
        <v>0</v>
      </c>
      <c r="M69" s="23" t="n">
        <f aca="false">M34</f>
        <v>0</v>
      </c>
      <c r="N69" s="23" t="n">
        <f aca="false">N34</f>
        <v>0</v>
      </c>
      <c r="O69" s="23" t="n">
        <f aca="false">O34</f>
        <v>0</v>
      </c>
      <c r="P69" s="23" t="n">
        <f aca="false">P34</f>
        <v>0</v>
      </c>
    </row>
    <row r="70" customFormat="false" ht="15" hidden="false" customHeight="false" outlineLevel="0" collapsed="false">
      <c r="A70" s="6" t="n">
        <v>30</v>
      </c>
      <c r="B70" s="39" t="str">
        <f aca="false">IF(B35="","",B35)</f>
        <v/>
      </c>
      <c r="C70" s="39" t="str">
        <f aca="false">IF(C35="","",C35)</f>
        <v/>
      </c>
      <c r="G70" s="23" t="n">
        <f aca="false">G35</f>
        <v>0</v>
      </c>
      <c r="H70" s="23" t="n">
        <f aca="false">H35</f>
        <v>0</v>
      </c>
      <c r="I70" s="23" t="n">
        <f aca="false">I35</f>
        <v>0</v>
      </c>
      <c r="J70" s="23" t="n">
        <f aca="false">J35</f>
        <v>0</v>
      </c>
      <c r="K70" s="23" t="n">
        <f aca="false">K35</f>
        <v>0</v>
      </c>
      <c r="L70" s="23" t="n">
        <f aca="false">L35</f>
        <v>0</v>
      </c>
      <c r="M70" s="23" t="n">
        <f aca="false">M35</f>
        <v>0</v>
      </c>
      <c r="N70" s="23" t="n">
        <f aca="false">N35</f>
        <v>0</v>
      </c>
      <c r="O70" s="23" t="n">
        <f aca="false">O35</f>
        <v>0</v>
      </c>
      <c r="P70" s="23" t="n">
        <f aca="false">P35</f>
        <v>0</v>
      </c>
    </row>
    <row r="71" customFormat="false" ht="15" hidden="false" customHeight="false" outlineLevel="0" collapsed="false">
      <c r="B71" s="11" t="s">
        <v>273</v>
      </c>
      <c r="G71" s="40" t="n">
        <f aca="false">SUM(G41:G70)</f>
        <v>0</v>
      </c>
      <c r="H71" s="40" t="n">
        <f aca="false">SUM(H41:H70)</f>
        <v>0</v>
      </c>
      <c r="I71" s="40" t="n">
        <f aca="false">SUM(I41:I70)</f>
        <v>0</v>
      </c>
      <c r="J71" s="40" t="n">
        <f aca="false">SUM(J41:J70)</f>
        <v>0</v>
      </c>
      <c r="K71" s="40" t="n">
        <f aca="false">SUM(K41:K70)</f>
        <v>0</v>
      </c>
      <c r="L71" s="40" t="n">
        <f aca="false">SUM(L41:L70)</f>
        <v>0</v>
      </c>
      <c r="M71" s="40" t="n">
        <f aca="false">SUM(M41:M70)</f>
        <v>0</v>
      </c>
      <c r="N71" s="40" t="n">
        <f aca="false">SUM(N41:N70)</f>
        <v>0</v>
      </c>
      <c r="O71" s="40" t="n">
        <f aca="false">SUM(O41:O70)</f>
        <v>0</v>
      </c>
      <c r="P71" s="40" t="n">
        <f aca="false">SUM(P41:P70)</f>
        <v>0</v>
      </c>
    </row>
    <row r="73" customFormat="false" ht="15" hidden="false" customHeight="false" outlineLevel="0" collapsed="false">
      <c r="A73" s="3" t="s">
        <v>274</v>
      </c>
      <c r="B73" s="4"/>
      <c r="C73" s="4"/>
      <c r="D73" s="4"/>
      <c r="E73" s="4"/>
      <c r="F73" s="4"/>
      <c r="G73" s="4"/>
      <c r="H73" s="4"/>
      <c r="I73" s="4"/>
      <c r="J73" s="4"/>
      <c r="K73" s="4"/>
      <c r="L73" s="4"/>
      <c r="M73" s="4"/>
      <c r="N73" s="4"/>
      <c r="O73" s="4"/>
      <c r="P73" s="4"/>
      <c r="Q73" s="4"/>
    </row>
    <row r="74" customFormat="false" ht="54" hidden="false" customHeight="true" outlineLevel="0" collapsed="false">
      <c r="A74" s="5" t="s">
        <v>233</v>
      </c>
      <c r="B74" s="5" t="s">
        <v>155</v>
      </c>
      <c r="C74" s="5" t="s">
        <v>256</v>
      </c>
      <c r="D74" s="5" t="s">
        <v>257</v>
      </c>
      <c r="E74" s="5" t="s">
        <v>275</v>
      </c>
      <c r="F74" s="5" t="s">
        <v>276</v>
      </c>
      <c r="G74" s="5" t="s">
        <v>277</v>
      </c>
      <c r="H74" s="5" t="s">
        <v>278</v>
      </c>
      <c r="I74" s="5" t="s">
        <v>279</v>
      </c>
      <c r="J74" s="5" t="s">
        <v>280</v>
      </c>
      <c r="K74" s="17" t="s">
        <v>166</v>
      </c>
      <c r="L74" s="17"/>
      <c r="M74" s="17"/>
      <c r="N74" s="17"/>
      <c r="O74" s="17"/>
      <c r="P74" s="17"/>
      <c r="Q74" s="17"/>
    </row>
    <row r="75" customFormat="false" ht="15" hidden="false" customHeight="false" outlineLevel="0" collapsed="false">
      <c r="A75" s="6" t="n">
        <v>1</v>
      </c>
      <c r="B75" s="7"/>
      <c r="C75" s="7"/>
      <c r="D75" s="7"/>
      <c r="E75" s="41"/>
      <c r="F75" s="42" t="n">
        <f aca="false">E75</f>
        <v>0</v>
      </c>
      <c r="G75" s="24"/>
      <c r="H75" s="9"/>
      <c r="I75" s="24"/>
      <c r="J75" s="9"/>
      <c r="K75" s="2"/>
    </row>
    <row r="76" customFormat="false" ht="15" hidden="false" customHeight="false" outlineLevel="0" collapsed="false">
      <c r="A76" s="6" t="n">
        <v>2</v>
      </c>
      <c r="B76" s="7"/>
      <c r="C76" s="7"/>
      <c r="D76" s="7"/>
      <c r="E76" s="41"/>
      <c r="F76" s="42" t="n">
        <f aca="false">E76</f>
        <v>0</v>
      </c>
      <c r="G76" s="24"/>
      <c r="H76" s="9"/>
      <c r="I76" s="24"/>
      <c r="J76" s="9"/>
      <c r="K76" s="2"/>
    </row>
    <row r="77" customFormat="false" ht="15" hidden="false" customHeight="false" outlineLevel="0" collapsed="false">
      <c r="A77" s="6" t="n">
        <v>3</v>
      </c>
      <c r="B77" s="7"/>
      <c r="C77" s="7"/>
      <c r="D77" s="7"/>
      <c r="E77" s="41"/>
      <c r="F77" s="42" t="n">
        <f aca="false">E77</f>
        <v>0</v>
      </c>
      <c r="G77" s="24"/>
      <c r="H77" s="9"/>
      <c r="I77" s="24"/>
      <c r="J77" s="9"/>
      <c r="K77" s="2"/>
    </row>
    <row r="78" customFormat="false" ht="15" hidden="false" customHeight="false" outlineLevel="0" collapsed="false">
      <c r="A78" s="6" t="n">
        <v>4</v>
      </c>
      <c r="B78" s="7"/>
      <c r="C78" s="7"/>
      <c r="D78" s="7"/>
      <c r="E78" s="41"/>
      <c r="F78" s="42" t="n">
        <f aca="false">E78</f>
        <v>0</v>
      </c>
      <c r="G78" s="24"/>
      <c r="H78" s="9"/>
      <c r="I78" s="24"/>
      <c r="J78" s="9"/>
      <c r="K78" s="2"/>
    </row>
    <row r="79" customFormat="false" ht="15" hidden="false" customHeight="false" outlineLevel="0" collapsed="false">
      <c r="A79" s="6" t="n">
        <v>5</v>
      </c>
      <c r="B79" s="7"/>
      <c r="C79" s="7"/>
      <c r="D79" s="7"/>
      <c r="E79" s="41"/>
      <c r="F79" s="42" t="n">
        <f aca="false">E79</f>
        <v>0</v>
      </c>
      <c r="G79" s="24"/>
      <c r="H79" s="9"/>
      <c r="I79" s="24"/>
      <c r="J79" s="9"/>
      <c r="K79" s="2"/>
    </row>
    <row r="80" customFormat="false" ht="15" hidden="false" customHeight="false" outlineLevel="0" collapsed="false">
      <c r="A80" s="6" t="n">
        <v>6</v>
      </c>
      <c r="B80" s="7"/>
      <c r="C80" s="7"/>
      <c r="D80" s="7"/>
      <c r="E80" s="41"/>
      <c r="F80" s="42" t="n">
        <f aca="false">E80</f>
        <v>0</v>
      </c>
      <c r="G80" s="24"/>
      <c r="H80" s="9"/>
      <c r="I80" s="24"/>
      <c r="J80" s="9"/>
      <c r="K80" s="2"/>
    </row>
    <row r="81" customFormat="false" ht="15" hidden="false" customHeight="false" outlineLevel="0" collapsed="false">
      <c r="A81" s="6" t="n">
        <v>7</v>
      </c>
      <c r="B81" s="7"/>
      <c r="C81" s="7"/>
      <c r="D81" s="7"/>
      <c r="E81" s="41"/>
      <c r="F81" s="42" t="n">
        <f aca="false">E81</f>
        <v>0</v>
      </c>
      <c r="G81" s="24"/>
      <c r="H81" s="9"/>
      <c r="I81" s="24"/>
      <c r="J81" s="9"/>
      <c r="K81" s="2"/>
    </row>
    <row r="82" customFormat="false" ht="15" hidden="false" customHeight="false" outlineLevel="0" collapsed="false">
      <c r="A82" s="6" t="n">
        <v>8</v>
      </c>
      <c r="B82" s="7"/>
      <c r="C82" s="7"/>
      <c r="D82" s="7"/>
      <c r="E82" s="41"/>
      <c r="F82" s="42" t="n">
        <f aca="false">E82</f>
        <v>0</v>
      </c>
      <c r="G82" s="24"/>
      <c r="H82" s="9"/>
      <c r="I82" s="24"/>
      <c r="J82" s="9"/>
      <c r="K82" s="2"/>
    </row>
    <row r="83" customFormat="false" ht="15" hidden="false" customHeight="false" outlineLevel="0" collapsed="false">
      <c r="A83" s="6" t="n">
        <v>9</v>
      </c>
      <c r="B83" s="7"/>
      <c r="C83" s="7"/>
      <c r="D83" s="7"/>
      <c r="E83" s="41"/>
      <c r="F83" s="42" t="n">
        <f aca="false">E83</f>
        <v>0</v>
      </c>
      <c r="G83" s="24"/>
      <c r="H83" s="9"/>
      <c r="I83" s="24"/>
      <c r="J83" s="9"/>
      <c r="K83" s="2"/>
    </row>
    <row r="84" customFormat="false" ht="15" hidden="false" customHeight="false" outlineLevel="0" collapsed="false">
      <c r="A84" s="6" t="n">
        <v>10</v>
      </c>
      <c r="B84" s="7"/>
      <c r="C84" s="7"/>
      <c r="D84" s="7"/>
      <c r="E84" s="41"/>
      <c r="F84" s="42" t="n">
        <f aca="false">E84</f>
        <v>0</v>
      </c>
      <c r="G84" s="24"/>
      <c r="H84" s="9"/>
      <c r="I84" s="24"/>
      <c r="J84" s="9"/>
      <c r="K84" s="2"/>
    </row>
    <row r="85" customFormat="false" ht="15" hidden="false" customHeight="false" outlineLevel="0" collapsed="false">
      <c r="A85" s="6" t="n">
        <v>11</v>
      </c>
      <c r="B85" s="7"/>
      <c r="C85" s="7"/>
      <c r="D85" s="7"/>
      <c r="E85" s="41"/>
      <c r="F85" s="42" t="n">
        <f aca="false">E85</f>
        <v>0</v>
      </c>
      <c r="G85" s="24"/>
      <c r="H85" s="9"/>
      <c r="I85" s="24"/>
      <c r="J85" s="9"/>
      <c r="K85" s="2"/>
    </row>
    <row r="86" customFormat="false" ht="15" hidden="false" customHeight="false" outlineLevel="0" collapsed="false">
      <c r="A86" s="6" t="n">
        <v>12</v>
      </c>
      <c r="B86" s="7"/>
      <c r="C86" s="7"/>
      <c r="D86" s="7"/>
      <c r="E86" s="41"/>
      <c r="F86" s="42" t="n">
        <f aca="false">E86</f>
        <v>0</v>
      </c>
      <c r="G86" s="24"/>
      <c r="H86" s="9"/>
      <c r="I86" s="24"/>
      <c r="J86" s="9"/>
      <c r="K86" s="2"/>
    </row>
    <row r="87" customFormat="false" ht="15" hidden="false" customHeight="false" outlineLevel="0" collapsed="false">
      <c r="A87" s="6" t="n">
        <v>13</v>
      </c>
      <c r="B87" s="7"/>
      <c r="C87" s="7"/>
      <c r="D87" s="7"/>
      <c r="E87" s="41"/>
      <c r="F87" s="42" t="n">
        <f aca="false">E87</f>
        <v>0</v>
      </c>
      <c r="G87" s="24"/>
      <c r="H87" s="9"/>
      <c r="I87" s="24"/>
      <c r="J87" s="9"/>
      <c r="K87" s="2"/>
    </row>
    <row r="88" customFormat="false" ht="15" hidden="false" customHeight="false" outlineLevel="0" collapsed="false">
      <c r="A88" s="6" t="n">
        <v>14</v>
      </c>
      <c r="B88" s="7"/>
      <c r="C88" s="7"/>
      <c r="D88" s="7"/>
      <c r="E88" s="41"/>
      <c r="F88" s="42" t="n">
        <f aca="false">E88</f>
        <v>0</v>
      </c>
      <c r="G88" s="24"/>
      <c r="H88" s="9"/>
      <c r="I88" s="24"/>
      <c r="J88" s="9"/>
      <c r="K88" s="2"/>
    </row>
    <row r="89" customFormat="false" ht="15" hidden="false" customHeight="false" outlineLevel="0" collapsed="false">
      <c r="A89" s="6" t="n">
        <v>15</v>
      </c>
      <c r="B89" s="7"/>
      <c r="C89" s="7"/>
      <c r="D89" s="7"/>
      <c r="E89" s="41"/>
      <c r="F89" s="42" t="n">
        <f aca="false">E89</f>
        <v>0</v>
      </c>
      <c r="G89" s="24"/>
      <c r="H89" s="9"/>
      <c r="I89" s="24"/>
      <c r="J89" s="9"/>
      <c r="K89" s="2"/>
    </row>
    <row r="90" customFormat="false" ht="15" hidden="false" customHeight="false" outlineLevel="0" collapsed="false">
      <c r="A90" s="6" t="n">
        <v>16</v>
      </c>
      <c r="B90" s="7"/>
      <c r="C90" s="7"/>
      <c r="D90" s="7"/>
      <c r="E90" s="41"/>
      <c r="F90" s="42" t="n">
        <f aca="false">E90</f>
        <v>0</v>
      </c>
      <c r="G90" s="24"/>
      <c r="H90" s="9"/>
      <c r="I90" s="24"/>
      <c r="J90" s="9"/>
      <c r="K90" s="2"/>
    </row>
    <row r="91" customFormat="false" ht="15" hidden="false" customHeight="false" outlineLevel="0" collapsed="false">
      <c r="A91" s="6" t="n">
        <v>17</v>
      </c>
      <c r="B91" s="7"/>
      <c r="C91" s="7"/>
      <c r="D91" s="7"/>
      <c r="E91" s="41"/>
      <c r="F91" s="42" t="n">
        <f aca="false">E91</f>
        <v>0</v>
      </c>
      <c r="G91" s="24"/>
      <c r="H91" s="9"/>
      <c r="I91" s="24"/>
      <c r="J91" s="9"/>
      <c r="K91" s="2"/>
    </row>
    <row r="92" customFormat="false" ht="15" hidden="false" customHeight="false" outlineLevel="0" collapsed="false">
      <c r="A92" s="6" t="n">
        <v>18</v>
      </c>
      <c r="B92" s="7"/>
      <c r="C92" s="7"/>
      <c r="D92" s="7"/>
      <c r="E92" s="41"/>
      <c r="F92" s="42" t="n">
        <f aca="false">E92</f>
        <v>0</v>
      </c>
      <c r="G92" s="24"/>
      <c r="H92" s="9"/>
      <c r="I92" s="24"/>
      <c r="J92" s="9"/>
      <c r="K92" s="2"/>
    </row>
    <row r="93" customFormat="false" ht="15" hidden="false" customHeight="false" outlineLevel="0" collapsed="false">
      <c r="A93" s="6" t="n">
        <v>19</v>
      </c>
      <c r="B93" s="7"/>
      <c r="C93" s="7"/>
      <c r="D93" s="7"/>
      <c r="E93" s="41"/>
      <c r="F93" s="42" t="n">
        <f aca="false">E93</f>
        <v>0</v>
      </c>
      <c r="G93" s="24"/>
      <c r="H93" s="9"/>
      <c r="I93" s="24"/>
      <c r="J93" s="9"/>
      <c r="K93" s="2"/>
    </row>
    <row r="94" customFormat="false" ht="15" hidden="false" customHeight="false" outlineLevel="0" collapsed="false">
      <c r="A94" s="6" t="n">
        <v>20</v>
      </c>
      <c r="B94" s="7"/>
      <c r="C94" s="7"/>
      <c r="D94" s="7"/>
      <c r="E94" s="41"/>
      <c r="F94" s="42" t="n">
        <f aca="false">E94</f>
        <v>0</v>
      </c>
      <c r="G94" s="24"/>
      <c r="H94" s="9"/>
      <c r="I94" s="24"/>
      <c r="J94" s="9"/>
      <c r="K94" s="2"/>
    </row>
    <row r="95" customFormat="false" ht="15" hidden="false" customHeight="false" outlineLevel="0" collapsed="false">
      <c r="A95" s="6" t="n">
        <v>21</v>
      </c>
      <c r="B95" s="7"/>
      <c r="C95" s="7"/>
      <c r="D95" s="7"/>
      <c r="E95" s="41"/>
      <c r="F95" s="42" t="n">
        <f aca="false">E95</f>
        <v>0</v>
      </c>
      <c r="G95" s="24"/>
      <c r="H95" s="9"/>
      <c r="I95" s="24"/>
      <c r="J95" s="9"/>
      <c r="K95" s="2"/>
    </row>
    <row r="96" customFormat="false" ht="15" hidden="false" customHeight="false" outlineLevel="0" collapsed="false">
      <c r="A96" s="6" t="n">
        <v>22</v>
      </c>
      <c r="B96" s="7"/>
      <c r="C96" s="7"/>
      <c r="D96" s="7"/>
      <c r="E96" s="41"/>
      <c r="F96" s="42" t="n">
        <f aca="false">E96</f>
        <v>0</v>
      </c>
      <c r="G96" s="24"/>
      <c r="H96" s="9"/>
      <c r="I96" s="24"/>
      <c r="J96" s="9"/>
      <c r="K96" s="2"/>
    </row>
    <row r="97" customFormat="false" ht="15" hidden="false" customHeight="false" outlineLevel="0" collapsed="false">
      <c r="A97" s="6" t="n">
        <v>23</v>
      </c>
      <c r="B97" s="7"/>
      <c r="C97" s="7"/>
      <c r="D97" s="7"/>
      <c r="E97" s="41"/>
      <c r="F97" s="42" t="n">
        <f aca="false">E97</f>
        <v>0</v>
      </c>
      <c r="G97" s="24"/>
      <c r="H97" s="9"/>
      <c r="I97" s="24"/>
      <c r="J97" s="9"/>
      <c r="K97" s="2"/>
    </row>
    <row r="98" customFormat="false" ht="15" hidden="false" customHeight="false" outlineLevel="0" collapsed="false">
      <c r="A98" s="6" t="n">
        <v>24</v>
      </c>
      <c r="B98" s="7"/>
      <c r="C98" s="7"/>
      <c r="D98" s="7"/>
      <c r="E98" s="41"/>
      <c r="F98" s="42" t="n">
        <f aca="false">E98</f>
        <v>0</v>
      </c>
      <c r="G98" s="24"/>
      <c r="H98" s="9"/>
      <c r="I98" s="24"/>
      <c r="J98" s="9"/>
      <c r="K98" s="2"/>
    </row>
    <row r="99" customFormat="false" ht="15" hidden="false" customHeight="false" outlineLevel="0" collapsed="false">
      <c r="A99" s="6" t="n">
        <v>25</v>
      </c>
      <c r="B99" s="7"/>
      <c r="C99" s="7"/>
      <c r="D99" s="7"/>
      <c r="E99" s="41"/>
      <c r="F99" s="42" t="n">
        <f aca="false">E99</f>
        <v>0</v>
      </c>
      <c r="G99" s="24"/>
      <c r="H99" s="9"/>
      <c r="I99" s="24"/>
      <c r="J99" s="9"/>
      <c r="K99" s="2"/>
    </row>
    <row r="100" customFormat="false" ht="15" hidden="false" customHeight="false" outlineLevel="0" collapsed="false">
      <c r="B100" s="2" t="s">
        <v>281</v>
      </c>
    </row>
  </sheetData>
  <mergeCells count="1">
    <mergeCell ref="K74:Q74"/>
  </mergeCells>
  <conditionalFormatting sqref="F6:F35">
    <cfRule type="expression" priority="2" aboveAverage="0" equalAverage="0" bottom="0" percent="0" rank="0" text="" dxfId="0">
      <formula>F6&lt;&gt;E6</formula>
    </cfRule>
  </conditionalFormatting>
  <conditionalFormatting sqref="G41:P70">
    <cfRule type="expression" priority="3" aboveAverage="0" equalAverage="0" bottom="0" percent="0" rank="0" text="" dxfId="0">
      <formula>G41&lt;&gt;G6</formula>
    </cfRule>
  </conditionalFormatting>
  <conditionalFormatting sqref="F75:F99">
    <cfRule type="expression" priority="4" aboveAverage="0" equalAverage="0" bottom="0" percent="0" rank="0" text="" dxfId="0">
      <formula>F75&lt;&gt;E75</formula>
    </cfRule>
  </conditionalFormatting>
  <dataValidations count="4">
    <dataValidation allowBlank="true" errorStyle="stop" operator="between" showDropDown="false" showErrorMessage="false" showInputMessage="false" sqref="C6:C35" type="list">
      <formula1>"Directo,Indirecto,Administración"</formula1>
      <formula2>0</formula2>
    </dataValidation>
    <dataValidation allowBlank="true" errorStyle="stop" operator="between" showDropDown="false" showErrorMessage="false" showInputMessage="false" sqref="D6:D35" type="list">
      <formula1>"PYG,USD"</formula1>
      <formula2>0</formula2>
    </dataValidation>
    <dataValidation allowBlank="true" errorStyle="stop" operator="between" showDropDown="false" showErrorMessage="false" showInputMessage="false" sqref="C75:C99" type="list">
      <formula1>"Producción,Administración"</formula1>
      <formula2>0</formula2>
    </dataValidation>
    <dataValidation allowBlank="true" errorStyle="stop" operator="between" showDropDown="false" showErrorMessage="false" showInputMessage="false" sqref="D75:D99" type="list">
      <formula1>"PYG,USD"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U50"/>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40"/>
    <col collapsed="false" customWidth="true" hidden="false" outlineLevel="0" max="3" min="3" style="0" width="14"/>
    <col collapsed="false" customWidth="true" hidden="false" outlineLevel="0" max="21" min="4" style="0" width="12.5"/>
  </cols>
  <sheetData>
    <row r="1" customFormat="false" ht="16.15" hidden="false" customHeight="false" outlineLevel="0" collapsed="false">
      <c r="A1" s="1" t="s">
        <v>282</v>
      </c>
    </row>
    <row r="2" customFormat="false" ht="15" hidden="false" customHeight="false" outlineLevel="0" collapsed="false">
      <c r="A2" s="2" t="s">
        <v>283</v>
      </c>
    </row>
    <row r="4" customFormat="false" ht="15" hidden="false" customHeight="false" outlineLevel="0" collapsed="false">
      <c r="A4" s="3" t="s">
        <v>284</v>
      </c>
      <c r="B4" s="4"/>
      <c r="C4" s="4"/>
      <c r="D4" s="4"/>
      <c r="E4" s="4"/>
      <c r="F4" s="4"/>
      <c r="G4" s="4"/>
      <c r="H4" s="4"/>
      <c r="I4" s="4"/>
      <c r="J4" s="4"/>
      <c r="K4" s="4"/>
      <c r="L4" s="4"/>
      <c r="M4" s="4"/>
      <c r="N4" s="4"/>
      <c r="O4" s="4"/>
      <c r="P4" s="4"/>
      <c r="Q4" s="4"/>
      <c r="R4" s="4"/>
      <c r="S4" s="4"/>
      <c r="T4" s="4"/>
      <c r="U4" s="4"/>
    </row>
    <row r="5" customFormat="false" ht="66" hidden="false" customHeight="true" outlineLevel="0" collapsed="false">
      <c r="A5" s="5" t="s">
        <v>233</v>
      </c>
      <c r="B5" s="5" t="s">
        <v>285</v>
      </c>
      <c r="C5" s="5" t="s">
        <v>256</v>
      </c>
      <c r="D5" s="5" t="s">
        <v>32</v>
      </c>
      <c r="E5" s="5" t="s">
        <v>286</v>
      </c>
      <c r="F5" s="5" t="s">
        <v>287</v>
      </c>
      <c r="G5" s="5" t="s">
        <v>288</v>
      </c>
      <c r="H5" s="5" t="s">
        <v>289</v>
      </c>
      <c r="I5" s="5" t="s">
        <v>290</v>
      </c>
      <c r="J5" s="5" t="s">
        <v>291</v>
      </c>
      <c r="K5" s="5" t="s">
        <v>292</v>
      </c>
      <c r="L5" s="5" t="s">
        <v>293</v>
      </c>
      <c r="M5" s="5" t="s">
        <v>294</v>
      </c>
      <c r="N5" s="5" t="s">
        <v>295</v>
      </c>
      <c r="O5" s="5" t="s">
        <v>296</v>
      </c>
      <c r="P5" s="5" t="s">
        <v>297</v>
      </c>
      <c r="Q5" s="5" t="s">
        <v>298</v>
      </c>
      <c r="R5" s="5" t="s">
        <v>299</v>
      </c>
      <c r="S5" s="5" t="s">
        <v>300</v>
      </c>
      <c r="T5" s="5" t="s">
        <v>301</v>
      </c>
      <c r="U5" s="5" t="s">
        <v>302</v>
      </c>
    </row>
    <row r="6" customFormat="false" ht="15" hidden="false" customHeight="false" outlineLevel="0" collapsed="false">
      <c r="A6" s="6" t="n">
        <v>1</v>
      </c>
      <c r="B6" s="7"/>
      <c r="C6" s="7"/>
      <c r="D6" s="22"/>
      <c r="E6" s="9"/>
      <c r="F6" s="9"/>
      <c r="G6" s="22"/>
      <c r="H6" s="22"/>
      <c r="I6" s="22"/>
      <c r="J6" s="22"/>
      <c r="K6" s="9"/>
      <c r="L6" s="9"/>
      <c r="M6" s="34" t="n">
        <f aca="false">IF(J6&lt;&gt;"",N(J6),MAX(0,N(D6)-N(G6)-N(I6)))</f>
        <v>0</v>
      </c>
      <c r="N6" s="10" t="n">
        <f aca="false">N(G6)+N(I6)+M6</f>
        <v>0</v>
      </c>
      <c r="O6" s="34" t="n">
        <f aca="false">N6-N(D6)</f>
        <v>0</v>
      </c>
      <c r="P6" s="35" t="str">
        <f aca="false">IF(N6&gt;0,N(H6)/N6,"")</f>
        <v/>
      </c>
      <c r="Q6" s="19" t="n">
        <f aca="false">IF(K6&lt;&gt;"",K6,MAX(N(E6),Corte+1))</f>
        <v>1</v>
      </c>
      <c r="R6" s="34" t="n">
        <f aca="false">N(G6)-N(H6)+N(I6)</f>
        <v>0</v>
      </c>
      <c r="S6" s="19" t="n">
        <f aca="false">MAX(N(E6),P_Inicio)</f>
        <v>1</v>
      </c>
      <c r="T6" s="19" t="n">
        <f aca="false">IF(L6&lt;&gt;"",L6,MAX(N(E6),V_Inicio))</f>
        <v>1</v>
      </c>
      <c r="U6" s="34" t="n">
        <f aca="false">N(G6)+N(I6)+M6*(1+V_dCapex)</f>
        <v>0</v>
      </c>
    </row>
    <row r="7" customFormat="false" ht="15" hidden="false" customHeight="false" outlineLevel="0" collapsed="false">
      <c r="A7" s="6" t="n">
        <v>2</v>
      </c>
      <c r="B7" s="7"/>
      <c r="C7" s="7"/>
      <c r="D7" s="22"/>
      <c r="E7" s="9"/>
      <c r="F7" s="9"/>
      <c r="G7" s="22"/>
      <c r="H7" s="22"/>
      <c r="I7" s="22"/>
      <c r="J7" s="22"/>
      <c r="K7" s="9"/>
      <c r="L7" s="9"/>
      <c r="M7" s="34" t="n">
        <f aca="false">IF(J7&lt;&gt;"",N(J7),MAX(0,N(D7)-N(G7)-N(I7)))</f>
        <v>0</v>
      </c>
      <c r="N7" s="10" t="n">
        <f aca="false">N(G7)+N(I7)+M7</f>
        <v>0</v>
      </c>
      <c r="O7" s="34" t="n">
        <f aca="false">N7-N(D7)</f>
        <v>0</v>
      </c>
      <c r="P7" s="35" t="str">
        <f aca="false">IF(N7&gt;0,N(H7)/N7,"")</f>
        <v/>
      </c>
      <c r="Q7" s="19" t="n">
        <f aca="false">IF(K7&lt;&gt;"",K7,MAX(N(E7),Corte+1))</f>
        <v>1</v>
      </c>
      <c r="R7" s="34" t="n">
        <f aca="false">N(G7)-N(H7)+N(I7)</f>
        <v>0</v>
      </c>
      <c r="S7" s="19" t="n">
        <f aca="false">MAX(N(E7),P_Inicio)</f>
        <v>1</v>
      </c>
      <c r="T7" s="19" t="n">
        <f aca="false">IF(L7&lt;&gt;"",L7,MAX(N(E7),V_Inicio))</f>
        <v>1</v>
      </c>
      <c r="U7" s="34" t="n">
        <f aca="false">N(G7)+N(I7)+M7*(1+V_dCapex)</f>
        <v>0</v>
      </c>
    </row>
    <row r="8" customFormat="false" ht="15" hidden="false" customHeight="false" outlineLevel="0" collapsed="false">
      <c r="A8" s="6" t="n">
        <v>3</v>
      </c>
      <c r="B8" s="7"/>
      <c r="C8" s="7"/>
      <c r="D8" s="22"/>
      <c r="E8" s="9"/>
      <c r="F8" s="9"/>
      <c r="G8" s="22"/>
      <c r="H8" s="22"/>
      <c r="I8" s="22"/>
      <c r="J8" s="22"/>
      <c r="K8" s="9"/>
      <c r="L8" s="9"/>
      <c r="M8" s="34" t="n">
        <f aca="false">IF(J8&lt;&gt;"",N(J8),MAX(0,N(D8)-N(G8)-N(I8)))</f>
        <v>0</v>
      </c>
      <c r="N8" s="10" t="n">
        <f aca="false">N(G8)+N(I8)+M8</f>
        <v>0</v>
      </c>
      <c r="O8" s="34" t="n">
        <f aca="false">N8-N(D8)</f>
        <v>0</v>
      </c>
      <c r="P8" s="35" t="str">
        <f aca="false">IF(N8&gt;0,N(H8)/N8,"")</f>
        <v/>
      </c>
      <c r="Q8" s="19" t="n">
        <f aca="false">IF(K8&lt;&gt;"",K8,MAX(N(E8),Corte+1))</f>
        <v>1</v>
      </c>
      <c r="R8" s="34" t="n">
        <f aca="false">N(G8)-N(H8)+N(I8)</f>
        <v>0</v>
      </c>
      <c r="S8" s="19" t="n">
        <f aca="false">MAX(N(E8),P_Inicio)</f>
        <v>1</v>
      </c>
      <c r="T8" s="19" t="n">
        <f aca="false">IF(L8&lt;&gt;"",L8,MAX(N(E8),V_Inicio))</f>
        <v>1</v>
      </c>
      <c r="U8" s="34" t="n">
        <f aca="false">N(G8)+N(I8)+M8*(1+V_dCapex)</f>
        <v>0</v>
      </c>
    </row>
    <row r="9" customFormat="false" ht="15" hidden="false" customHeight="false" outlineLevel="0" collapsed="false">
      <c r="A9" s="6" t="n">
        <v>4</v>
      </c>
      <c r="B9" s="7"/>
      <c r="C9" s="7"/>
      <c r="D9" s="22"/>
      <c r="E9" s="9"/>
      <c r="F9" s="9"/>
      <c r="G9" s="22"/>
      <c r="H9" s="22"/>
      <c r="I9" s="22"/>
      <c r="J9" s="22"/>
      <c r="K9" s="9"/>
      <c r="L9" s="9"/>
      <c r="M9" s="34" t="n">
        <f aca="false">IF(J9&lt;&gt;"",N(J9),MAX(0,N(D9)-N(G9)-N(I9)))</f>
        <v>0</v>
      </c>
      <c r="N9" s="10" t="n">
        <f aca="false">N(G9)+N(I9)+M9</f>
        <v>0</v>
      </c>
      <c r="O9" s="34" t="n">
        <f aca="false">N9-N(D9)</f>
        <v>0</v>
      </c>
      <c r="P9" s="35" t="str">
        <f aca="false">IF(N9&gt;0,N(H9)/N9,"")</f>
        <v/>
      </c>
      <c r="Q9" s="19" t="n">
        <f aca="false">IF(K9&lt;&gt;"",K9,MAX(N(E9),Corte+1))</f>
        <v>1</v>
      </c>
      <c r="R9" s="34" t="n">
        <f aca="false">N(G9)-N(H9)+N(I9)</f>
        <v>0</v>
      </c>
      <c r="S9" s="19" t="n">
        <f aca="false">MAX(N(E9),P_Inicio)</f>
        <v>1</v>
      </c>
      <c r="T9" s="19" t="n">
        <f aca="false">IF(L9&lt;&gt;"",L9,MAX(N(E9),V_Inicio))</f>
        <v>1</v>
      </c>
      <c r="U9" s="34" t="n">
        <f aca="false">N(G9)+N(I9)+M9*(1+V_dCapex)</f>
        <v>0</v>
      </c>
    </row>
    <row r="10" customFormat="false" ht="15" hidden="false" customHeight="false" outlineLevel="0" collapsed="false">
      <c r="A10" s="6" t="n">
        <v>5</v>
      </c>
      <c r="B10" s="7"/>
      <c r="C10" s="7"/>
      <c r="D10" s="22"/>
      <c r="E10" s="9"/>
      <c r="F10" s="9"/>
      <c r="G10" s="22"/>
      <c r="H10" s="22"/>
      <c r="I10" s="22"/>
      <c r="J10" s="22"/>
      <c r="K10" s="9"/>
      <c r="L10" s="9"/>
      <c r="M10" s="34" t="n">
        <f aca="false">IF(J10&lt;&gt;"",N(J10),MAX(0,N(D10)-N(G10)-N(I10)))</f>
        <v>0</v>
      </c>
      <c r="N10" s="10" t="n">
        <f aca="false">N(G10)+N(I10)+M10</f>
        <v>0</v>
      </c>
      <c r="O10" s="34" t="n">
        <f aca="false">N10-N(D10)</f>
        <v>0</v>
      </c>
      <c r="P10" s="35" t="str">
        <f aca="false">IF(N10&gt;0,N(H10)/N10,"")</f>
        <v/>
      </c>
      <c r="Q10" s="19" t="n">
        <f aca="false">IF(K10&lt;&gt;"",K10,MAX(N(E10),Corte+1))</f>
        <v>1</v>
      </c>
      <c r="R10" s="34" t="n">
        <f aca="false">N(G10)-N(H10)+N(I10)</f>
        <v>0</v>
      </c>
      <c r="S10" s="19" t="n">
        <f aca="false">MAX(N(E10),P_Inicio)</f>
        <v>1</v>
      </c>
      <c r="T10" s="19" t="n">
        <f aca="false">IF(L10&lt;&gt;"",L10,MAX(N(E10),V_Inicio))</f>
        <v>1</v>
      </c>
      <c r="U10" s="34" t="n">
        <f aca="false">N(G10)+N(I10)+M10*(1+V_dCapex)</f>
        <v>0</v>
      </c>
    </row>
    <row r="11" customFormat="false" ht="15" hidden="false" customHeight="false" outlineLevel="0" collapsed="false">
      <c r="A11" s="6" t="n">
        <v>6</v>
      </c>
      <c r="B11" s="7"/>
      <c r="C11" s="7"/>
      <c r="D11" s="22"/>
      <c r="E11" s="9"/>
      <c r="F11" s="9"/>
      <c r="G11" s="22"/>
      <c r="H11" s="22"/>
      <c r="I11" s="22"/>
      <c r="J11" s="22"/>
      <c r="K11" s="9"/>
      <c r="L11" s="9"/>
      <c r="M11" s="34" t="n">
        <f aca="false">IF(J11&lt;&gt;"",N(J11),MAX(0,N(D11)-N(G11)-N(I11)))</f>
        <v>0</v>
      </c>
      <c r="N11" s="10" t="n">
        <f aca="false">N(G11)+N(I11)+M11</f>
        <v>0</v>
      </c>
      <c r="O11" s="34" t="n">
        <f aca="false">N11-N(D11)</f>
        <v>0</v>
      </c>
      <c r="P11" s="35" t="str">
        <f aca="false">IF(N11&gt;0,N(H11)/N11,"")</f>
        <v/>
      </c>
      <c r="Q11" s="19" t="n">
        <f aca="false">IF(K11&lt;&gt;"",K11,MAX(N(E11),Corte+1))</f>
        <v>1</v>
      </c>
      <c r="R11" s="34" t="n">
        <f aca="false">N(G11)-N(H11)+N(I11)</f>
        <v>0</v>
      </c>
      <c r="S11" s="19" t="n">
        <f aca="false">MAX(N(E11),P_Inicio)</f>
        <v>1</v>
      </c>
      <c r="T11" s="19" t="n">
        <f aca="false">IF(L11&lt;&gt;"",L11,MAX(N(E11),V_Inicio))</f>
        <v>1</v>
      </c>
      <c r="U11" s="34" t="n">
        <f aca="false">N(G11)+N(I11)+M11*(1+V_dCapex)</f>
        <v>0</v>
      </c>
    </row>
    <row r="12" customFormat="false" ht="15" hidden="false" customHeight="false" outlineLevel="0" collapsed="false">
      <c r="A12" s="6" t="n">
        <v>7</v>
      </c>
      <c r="B12" s="7"/>
      <c r="C12" s="7"/>
      <c r="D12" s="22"/>
      <c r="E12" s="9"/>
      <c r="F12" s="9"/>
      <c r="G12" s="22"/>
      <c r="H12" s="22"/>
      <c r="I12" s="22"/>
      <c r="J12" s="22"/>
      <c r="K12" s="9"/>
      <c r="L12" s="9"/>
      <c r="M12" s="34" t="n">
        <f aca="false">IF(J12&lt;&gt;"",N(J12),MAX(0,N(D12)-N(G12)-N(I12)))</f>
        <v>0</v>
      </c>
      <c r="N12" s="10" t="n">
        <f aca="false">N(G12)+N(I12)+M12</f>
        <v>0</v>
      </c>
      <c r="O12" s="34" t="n">
        <f aca="false">N12-N(D12)</f>
        <v>0</v>
      </c>
      <c r="P12" s="35" t="str">
        <f aca="false">IF(N12&gt;0,N(H12)/N12,"")</f>
        <v/>
      </c>
      <c r="Q12" s="19" t="n">
        <f aca="false">IF(K12&lt;&gt;"",K12,MAX(N(E12),Corte+1))</f>
        <v>1</v>
      </c>
      <c r="R12" s="34" t="n">
        <f aca="false">N(G12)-N(H12)+N(I12)</f>
        <v>0</v>
      </c>
      <c r="S12" s="19" t="n">
        <f aca="false">MAX(N(E12),P_Inicio)</f>
        <v>1</v>
      </c>
      <c r="T12" s="19" t="n">
        <f aca="false">IF(L12&lt;&gt;"",L12,MAX(N(E12),V_Inicio))</f>
        <v>1</v>
      </c>
      <c r="U12" s="34" t="n">
        <f aca="false">N(G12)+N(I12)+M12*(1+V_dCapex)</f>
        <v>0</v>
      </c>
    </row>
    <row r="13" customFormat="false" ht="15" hidden="false" customHeight="false" outlineLevel="0" collapsed="false">
      <c r="A13" s="6" t="n">
        <v>8</v>
      </c>
      <c r="B13" s="7"/>
      <c r="C13" s="7"/>
      <c r="D13" s="22"/>
      <c r="E13" s="9"/>
      <c r="F13" s="9"/>
      <c r="G13" s="22"/>
      <c r="H13" s="22"/>
      <c r="I13" s="22"/>
      <c r="J13" s="22"/>
      <c r="K13" s="9"/>
      <c r="L13" s="9"/>
      <c r="M13" s="34" t="n">
        <f aca="false">IF(J13&lt;&gt;"",N(J13),MAX(0,N(D13)-N(G13)-N(I13)))</f>
        <v>0</v>
      </c>
      <c r="N13" s="10" t="n">
        <f aca="false">N(G13)+N(I13)+M13</f>
        <v>0</v>
      </c>
      <c r="O13" s="34" t="n">
        <f aca="false">N13-N(D13)</f>
        <v>0</v>
      </c>
      <c r="P13" s="35" t="str">
        <f aca="false">IF(N13&gt;0,N(H13)/N13,"")</f>
        <v/>
      </c>
      <c r="Q13" s="19" t="n">
        <f aca="false">IF(K13&lt;&gt;"",K13,MAX(N(E13),Corte+1))</f>
        <v>1</v>
      </c>
      <c r="R13" s="34" t="n">
        <f aca="false">N(G13)-N(H13)+N(I13)</f>
        <v>0</v>
      </c>
      <c r="S13" s="19" t="n">
        <f aca="false">MAX(N(E13),P_Inicio)</f>
        <v>1</v>
      </c>
      <c r="T13" s="19" t="n">
        <f aca="false">IF(L13&lt;&gt;"",L13,MAX(N(E13),V_Inicio))</f>
        <v>1</v>
      </c>
      <c r="U13" s="34" t="n">
        <f aca="false">N(G13)+N(I13)+M13*(1+V_dCapex)</f>
        <v>0</v>
      </c>
    </row>
    <row r="14" customFormat="false" ht="15" hidden="false" customHeight="false" outlineLevel="0" collapsed="false">
      <c r="A14" s="6" t="n">
        <v>9</v>
      </c>
      <c r="B14" s="7"/>
      <c r="C14" s="7"/>
      <c r="D14" s="22"/>
      <c r="E14" s="9"/>
      <c r="F14" s="9"/>
      <c r="G14" s="22"/>
      <c r="H14" s="22"/>
      <c r="I14" s="22"/>
      <c r="J14" s="22"/>
      <c r="K14" s="9"/>
      <c r="L14" s="9"/>
      <c r="M14" s="34" t="n">
        <f aca="false">IF(J14&lt;&gt;"",N(J14),MAX(0,N(D14)-N(G14)-N(I14)))</f>
        <v>0</v>
      </c>
      <c r="N14" s="10" t="n">
        <f aca="false">N(G14)+N(I14)+M14</f>
        <v>0</v>
      </c>
      <c r="O14" s="34" t="n">
        <f aca="false">N14-N(D14)</f>
        <v>0</v>
      </c>
      <c r="P14" s="35" t="str">
        <f aca="false">IF(N14&gt;0,N(H14)/N14,"")</f>
        <v/>
      </c>
      <c r="Q14" s="19" t="n">
        <f aca="false">IF(K14&lt;&gt;"",K14,MAX(N(E14),Corte+1))</f>
        <v>1</v>
      </c>
      <c r="R14" s="34" t="n">
        <f aca="false">N(G14)-N(H14)+N(I14)</f>
        <v>0</v>
      </c>
      <c r="S14" s="19" t="n">
        <f aca="false">MAX(N(E14),P_Inicio)</f>
        <v>1</v>
      </c>
      <c r="T14" s="19" t="n">
        <f aca="false">IF(L14&lt;&gt;"",L14,MAX(N(E14),V_Inicio))</f>
        <v>1</v>
      </c>
      <c r="U14" s="34" t="n">
        <f aca="false">N(G14)+N(I14)+M14*(1+V_dCapex)</f>
        <v>0</v>
      </c>
    </row>
    <row r="15" customFormat="false" ht="15" hidden="false" customHeight="false" outlineLevel="0" collapsed="false">
      <c r="A15" s="6" t="n">
        <v>10</v>
      </c>
      <c r="B15" s="7"/>
      <c r="C15" s="7"/>
      <c r="D15" s="22"/>
      <c r="E15" s="9"/>
      <c r="F15" s="9"/>
      <c r="G15" s="22"/>
      <c r="H15" s="22"/>
      <c r="I15" s="22"/>
      <c r="J15" s="22"/>
      <c r="K15" s="9"/>
      <c r="L15" s="9"/>
      <c r="M15" s="34" t="n">
        <f aca="false">IF(J15&lt;&gt;"",N(J15),MAX(0,N(D15)-N(G15)-N(I15)))</f>
        <v>0</v>
      </c>
      <c r="N15" s="10" t="n">
        <f aca="false">N(G15)+N(I15)+M15</f>
        <v>0</v>
      </c>
      <c r="O15" s="34" t="n">
        <f aca="false">N15-N(D15)</f>
        <v>0</v>
      </c>
      <c r="P15" s="35" t="str">
        <f aca="false">IF(N15&gt;0,N(H15)/N15,"")</f>
        <v/>
      </c>
      <c r="Q15" s="19" t="n">
        <f aca="false">IF(K15&lt;&gt;"",K15,MAX(N(E15),Corte+1))</f>
        <v>1</v>
      </c>
      <c r="R15" s="34" t="n">
        <f aca="false">N(G15)-N(H15)+N(I15)</f>
        <v>0</v>
      </c>
      <c r="S15" s="19" t="n">
        <f aca="false">MAX(N(E15),P_Inicio)</f>
        <v>1</v>
      </c>
      <c r="T15" s="19" t="n">
        <f aca="false">IF(L15&lt;&gt;"",L15,MAX(N(E15),V_Inicio))</f>
        <v>1</v>
      </c>
      <c r="U15" s="34" t="n">
        <f aca="false">N(G15)+N(I15)+M15*(1+V_dCapex)</f>
        <v>0</v>
      </c>
    </row>
    <row r="16" customFormat="false" ht="15" hidden="false" customHeight="false" outlineLevel="0" collapsed="false">
      <c r="A16" s="6" t="n">
        <v>11</v>
      </c>
      <c r="B16" s="7"/>
      <c r="C16" s="7"/>
      <c r="D16" s="22"/>
      <c r="E16" s="9"/>
      <c r="F16" s="9"/>
      <c r="G16" s="22"/>
      <c r="H16" s="22"/>
      <c r="I16" s="22"/>
      <c r="J16" s="22"/>
      <c r="K16" s="9"/>
      <c r="L16" s="9"/>
      <c r="M16" s="34" t="n">
        <f aca="false">IF(J16&lt;&gt;"",N(J16),MAX(0,N(D16)-N(G16)-N(I16)))</f>
        <v>0</v>
      </c>
      <c r="N16" s="10" t="n">
        <f aca="false">N(G16)+N(I16)+M16</f>
        <v>0</v>
      </c>
      <c r="O16" s="34" t="n">
        <f aca="false">N16-N(D16)</f>
        <v>0</v>
      </c>
      <c r="P16" s="35" t="str">
        <f aca="false">IF(N16&gt;0,N(H16)/N16,"")</f>
        <v/>
      </c>
      <c r="Q16" s="19" t="n">
        <f aca="false">IF(K16&lt;&gt;"",K16,MAX(N(E16),Corte+1))</f>
        <v>1</v>
      </c>
      <c r="R16" s="34" t="n">
        <f aca="false">N(G16)-N(H16)+N(I16)</f>
        <v>0</v>
      </c>
      <c r="S16" s="19" t="n">
        <f aca="false">MAX(N(E16),P_Inicio)</f>
        <v>1</v>
      </c>
      <c r="T16" s="19" t="n">
        <f aca="false">IF(L16&lt;&gt;"",L16,MAX(N(E16),V_Inicio))</f>
        <v>1</v>
      </c>
      <c r="U16" s="34" t="n">
        <f aca="false">N(G16)+N(I16)+M16*(1+V_dCapex)</f>
        <v>0</v>
      </c>
    </row>
    <row r="17" customFormat="false" ht="15" hidden="false" customHeight="false" outlineLevel="0" collapsed="false">
      <c r="A17" s="6" t="n">
        <v>12</v>
      </c>
      <c r="B17" s="7"/>
      <c r="C17" s="7"/>
      <c r="D17" s="22"/>
      <c r="E17" s="9"/>
      <c r="F17" s="9"/>
      <c r="G17" s="22"/>
      <c r="H17" s="22"/>
      <c r="I17" s="22"/>
      <c r="J17" s="22"/>
      <c r="K17" s="9"/>
      <c r="L17" s="9"/>
      <c r="M17" s="34" t="n">
        <f aca="false">IF(J17&lt;&gt;"",N(J17),MAX(0,N(D17)-N(G17)-N(I17)))</f>
        <v>0</v>
      </c>
      <c r="N17" s="10" t="n">
        <f aca="false">N(G17)+N(I17)+M17</f>
        <v>0</v>
      </c>
      <c r="O17" s="34" t="n">
        <f aca="false">N17-N(D17)</f>
        <v>0</v>
      </c>
      <c r="P17" s="35" t="str">
        <f aca="false">IF(N17&gt;0,N(H17)/N17,"")</f>
        <v/>
      </c>
      <c r="Q17" s="19" t="n">
        <f aca="false">IF(K17&lt;&gt;"",K17,MAX(N(E17),Corte+1))</f>
        <v>1</v>
      </c>
      <c r="R17" s="34" t="n">
        <f aca="false">N(G17)-N(H17)+N(I17)</f>
        <v>0</v>
      </c>
      <c r="S17" s="19" t="n">
        <f aca="false">MAX(N(E17),P_Inicio)</f>
        <v>1</v>
      </c>
      <c r="T17" s="19" t="n">
        <f aca="false">IF(L17&lt;&gt;"",L17,MAX(N(E17),V_Inicio))</f>
        <v>1</v>
      </c>
      <c r="U17" s="34" t="n">
        <f aca="false">N(G17)+N(I17)+M17*(1+V_dCapex)</f>
        <v>0</v>
      </c>
    </row>
    <row r="18" customFormat="false" ht="15" hidden="false" customHeight="false" outlineLevel="0" collapsed="false">
      <c r="A18" s="6" t="n">
        <v>13</v>
      </c>
      <c r="B18" s="7"/>
      <c r="C18" s="7"/>
      <c r="D18" s="22"/>
      <c r="E18" s="9"/>
      <c r="F18" s="9"/>
      <c r="G18" s="22"/>
      <c r="H18" s="22"/>
      <c r="I18" s="22"/>
      <c r="J18" s="22"/>
      <c r="K18" s="9"/>
      <c r="L18" s="9"/>
      <c r="M18" s="34" t="n">
        <f aca="false">IF(J18&lt;&gt;"",N(J18),MAX(0,N(D18)-N(G18)-N(I18)))</f>
        <v>0</v>
      </c>
      <c r="N18" s="10" t="n">
        <f aca="false">N(G18)+N(I18)+M18</f>
        <v>0</v>
      </c>
      <c r="O18" s="34" t="n">
        <f aca="false">N18-N(D18)</f>
        <v>0</v>
      </c>
      <c r="P18" s="35" t="str">
        <f aca="false">IF(N18&gt;0,N(H18)/N18,"")</f>
        <v/>
      </c>
      <c r="Q18" s="19" t="n">
        <f aca="false">IF(K18&lt;&gt;"",K18,MAX(N(E18),Corte+1))</f>
        <v>1</v>
      </c>
      <c r="R18" s="34" t="n">
        <f aca="false">N(G18)-N(H18)+N(I18)</f>
        <v>0</v>
      </c>
      <c r="S18" s="19" t="n">
        <f aca="false">MAX(N(E18),P_Inicio)</f>
        <v>1</v>
      </c>
      <c r="T18" s="19" t="n">
        <f aca="false">IF(L18&lt;&gt;"",L18,MAX(N(E18),V_Inicio))</f>
        <v>1</v>
      </c>
      <c r="U18" s="34" t="n">
        <f aca="false">N(G18)+N(I18)+M18*(1+V_dCapex)</f>
        <v>0</v>
      </c>
    </row>
    <row r="19" customFormat="false" ht="15" hidden="false" customHeight="false" outlineLevel="0" collapsed="false">
      <c r="A19" s="6" t="n">
        <v>14</v>
      </c>
      <c r="B19" s="7"/>
      <c r="C19" s="7"/>
      <c r="D19" s="22"/>
      <c r="E19" s="9"/>
      <c r="F19" s="9"/>
      <c r="G19" s="22"/>
      <c r="H19" s="22"/>
      <c r="I19" s="22"/>
      <c r="J19" s="22"/>
      <c r="K19" s="9"/>
      <c r="L19" s="9"/>
      <c r="M19" s="34" t="n">
        <f aca="false">IF(J19&lt;&gt;"",N(J19),MAX(0,N(D19)-N(G19)-N(I19)))</f>
        <v>0</v>
      </c>
      <c r="N19" s="10" t="n">
        <f aca="false">N(G19)+N(I19)+M19</f>
        <v>0</v>
      </c>
      <c r="O19" s="34" t="n">
        <f aca="false">N19-N(D19)</f>
        <v>0</v>
      </c>
      <c r="P19" s="35" t="str">
        <f aca="false">IF(N19&gt;0,N(H19)/N19,"")</f>
        <v/>
      </c>
      <c r="Q19" s="19" t="n">
        <f aca="false">IF(K19&lt;&gt;"",K19,MAX(N(E19),Corte+1))</f>
        <v>1</v>
      </c>
      <c r="R19" s="34" t="n">
        <f aca="false">N(G19)-N(H19)+N(I19)</f>
        <v>0</v>
      </c>
      <c r="S19" s="19" t="n">
        <f aca="false">MAX(N(E19),P_Inicio)</f>
        <v>1</v>
      </c>
      <c r="T19" s="19" t="n">
        <f aca="false">IF(L19&lt;&gt;"",L19,MAX(N(E19),V_Inicio))</f>
        <v>1</v>
      </c>
      <c r="U19" s="34" t="n">
        <f aca="false">N(G19)+N(I19)+M19*(1+V_dCapex)</f>
        <v>0</v>
      </c>
    </row>
    <row r="20" customFormat="false" ht="15" hidden="false" customHeight="false" outlineLevel="0" collapsed="false">
      <c r="A20" s="6" t="n">
        <v>15</v>
      </c>
      <c r="B20" s="7"/>
      <c r="C20" s="7"/>
      <c r="D20" s="22"/>
      <c r="E20" s="9"/>
      <c r="F20" s="9"/>
      <c r="G20" s="22"/>
      <c r="H20" s="22"/>
      <c r="I20" s="22"/>
      <c r="J20" s="22"/>
      <c r="K20" s="9"/>
      <c r="L20" s="9"/>
      <c r="M20" s="34" t="n">
        <f aca="false">IF(J20&lt;&gt;"",N(J20),MAX(0,N(D20)-N(G20)-N(I20)))</f>
        <v>0</v>
      </c>
      <c r="N20" s="10" t="n">
        <f aca="false">N(G20)+N(I20)+M20</f>
        <v>0</v>
      </c>
      <c r="O20" s="34" t="n">
        <f aca="false">N20-N(D20)</f>
        <v>0</v>
      </c>
      <c r="P20" s="35" t="str">
        <f aca="false">IF(N20&gt;0,N(H20)/N20,"")</f>
        <v/>
      </c>
      <c r="Q20" s="19" t="n">
        <f aca="false">IF(K20&lt;&gt;"",K20,MAX(N(E20),Corte+1))</f>
        <v>1</v>
      </c>
      <c r="R20" s="34" t="n">
        <f aca="false">N(G20)-N(H20)+N(I20)</f>
        <v>0</v>
      </c>
      <c r="S20" s="19" t="n">
        <f aca="false">MAX(N(E20),P_Inicio)</f>
        <v>1</v>
      </c>
      <c r="T20" s="19" t="n">
        <f aca="false">IF(L20&lt;&gt;"",L20,MAX(N(E20),V_Inicio))</f>
        <v>1</v>
      </c>
      <c r="U20" s="34" t="n">
        <f aca="false">N(G20)+N(I20)+M20*(1+V_dCapex)</f>
        <v>0</v>
      </c>
    </row>
    <row r="21" customFormat="false" ht="15" hidden="false" customHeight="false" outlineLevel="0" collapsed="false">
      <c r="A21" s="6" t="n">
        <v>16</v>
      </c>
      <c r="B21" s="7"/>
      <c r="C21" s="7"/>
      <c r="D21" s="22"/>
      <c r="E21" s="9"/>
      <c r="F21" s="9"/>
      <c r="G21" s="22"/>
      <c r="H21" s="22"/>
      <c r="I21" s="22"/>
      <c r="J21" s="22"/>
      <c r="K21" s="9"/>
      <c r="L21" s="9"/>
      <c r="M21" s="34" t="n">
        <f aca="false">IF(J21&lt;&gt;"",N(J21),MAX(0,N(D21)-N(G21)-N(I21)))</f>
        <v>0</v>
      </c>
      <c r="N21" s="10" t="n">
        <f aca="false">N(G21)+N(I21)+M21</f>
        <v>0</v>
      </c>
      <c r="O21" s="34" t="n">
        <f aca="false">N21-N(D21)</f>
        <v>0</v>
      </c>
      <c r="P21" s="35" t="str">
        <f aca="false">IF(N21&gt;0,N(H21)/N21,"")</f>
        <v/>
      </c>
      <c r="Q21" s="19" t="n">
        <f aca="false">IF(K21&lt;&gt;"",K21,MAX(N(E21),Corte+1))</f>
        <v>1</v>
      </c>
      <c r="R21" s="34" t="n">
        <f aca="false">N(G21)-N(H21)+N(I21)</f>
        <v>0</v>
      </c>
      <c r="S21" s="19" t="n">
        <f aca="false">MAX(N(E21),P_Inicio)</f>
        <v>1</v>
      </c>
      <c r="T21" s="19" t="n">
        <f aca="false">IF(L21&lt;&gt;"",L21,MAX(N(E21),V_Inicio))</f>
        <v>1</v>
      </c>
      <c r="U21" s="34" t="n">
        <f aca="false">N(G21)+N(I21)+M21*(1+V_dCapex)</f>
        <v>0</v>
      </c>
    </row>
    <row r="22" customFormat="false" ht="15" hidden="false" customHeight="false" outlineLevel="0" collapsed="false">
      <c r="A22" s="6" t="n">
        <v>17</v>
      </c>
      <c r="B22" s="7"/>
      <c r="C22" s="7"/>
      <c r="D22" s="22"/>
      <c r="E22" s="9"/>
      <c r="F22" s="9"/>
      <c r="G22" s="22"/>
      <c r="H22" s="22"/>
      <c r="I22" s="22"/>
      <c r="J22" s="22"/>
      <c r="K22" s="9"/>
      <c r="L22" s="9"/>
      <c r="M22" s="34" t="n">
        <f aca="false">IF(J22&lt;&gt;"",N(J22),MAX(0,N(D22)-N(G22)-N(I22)))</f>
        <v>0</v>
      </c>
      <c r="N22" s="10" t="n">
        <f aca="false">N(G22)+N(I22)+M22</f>
        <v>0</v>
      </c>
      <c r="O22" s="34" t="n">
        <f aca="false">N22-N(D22)</f>
        <v>0</v>
      </c>
      <c r="P22" s="35" t="str">
        <f aca="false">IF(N22&gt;0,N(H22)/N22,"")</f>
        <v/>
      </c>
      <c r="Q22" s="19" t="n">
        <f aca="false">IF(K22&lt;&gt;"",K22,MAX(N(E22),Corte+1))</f>
        <v>1</v>
      </c>
      <c r="R22" s="34" t="n">
        <f aca="false">N(G22)-N(H22)+N(I22)</f>
        <v>0</v>
      </c>
      <c r="S22" s="19" t="n">
        <f aca="false">MAX(N(E22),P_Inicio)</f>
        <v>1</v>
      </c>
      <c r="T22" s="19" t="n">
        <f aca="false">IF(L22&lt;&gt;"",L22,MAX(N(E22),V_Inicio))</f>
        <v>1</v>
      </c>
      <c r="U22" s="34" t="n">
        <f aca="false">N(G22)+N(I22)+M22*(1+V_dCapex)</f>
        <v>0</v>
      </c>
    </row>
    <row r="23" customFormat="false" ht="15" hidden="false" customHeight="false" outlineLevel="0" collapsed="false">
      <c r="A23" s="6" t="n">
        <v>18</v>
      </c>
      <c r="B23" s="7"/>
      <c r="C23" s="7"/>
      <c r="D23" s="22"/>
      <c r="E23" s="9"/>
      <c r="F23" s="9"/>
      <c r="G23" s="22"/>
      <c r="H23" s="22"/>
      <c r="I23" s="22"/>
      <c r="J23" s="22"/>
      <c r="K23" s="9"/>
      <c r="L23" s="9"/>
      <c r="M23" s="34" t="n">
        <f aca="false">IF(J23&lt;&gt;"",N(J23),MAX(0,N(D23)-N(G23)-N(I23)))</f>
        <v>0</v>
      </c>
      <c r="N23" s="10" t="n">
        <f aca="false">N(G23)+N(I23)+M23</f>
        <v>0</v>
      </c>
      <c r="O23" s="34" t="n">
        <f aca="false">N23-N(D23)</f>
        <v>0</v>
      </c>
      <c r="P23" s="35" t="str">
        <f aca="false">IF(N23&gt;0,N(H23)/N23,"")</f>
        <v/>
      </c>
      <c r="Q23" s="19" t="n">
        <f aca="false">IF(K23&lt;&gt;"",K23,MAX(N(E23),Corte+1))</f>
        <v>1</v>
      </c>
      <c r="R23" s="34" t="n">
        <f aca="false">N(G23)-N(H23)+N(I23)</f>
        <v>0</v>
      </c>
      <c r="S23" s="19" t="n">
        <f aca="false">MAX(N(E23),P_Inicio)</f>
        <v>1</v>
      </c>
      <c r="T23" s="19" t="n">
        <f aca="false">IF(L23&lt;&gt;"",L23,MAX(N(E23),V_Inicio))</f>
        <v>1</v>
      </c>
      <c r="U23" s="34" t="n">
        <f aca="false">N(G23)+N(I23)+M23*(1+V_dCapex)</f>
        <v>0</v>
      </c>
    </row>
    <row r="24" customFormat="false" ht="15" hidden="false" customHeight="false" outlineLevel="0" collapsed="false">
      <c r="A24" s="6" t="n">
        <v>19</v>
      </c>
      <c r="B24" s="7"/>
      <c r="C24" s="7"/>
      <c r="D24" s="22"/>
      <c r="E24" s="9"/>
      <c r="F24" s="9"/>
      <c r="G24" s="22"/>
      <c r="H24" s="22"/>
      <c r="I24" s="22"/>
      <c r="J24" s="22"/>
      <c r="K24" s="9"/>
      <c r="L24" s="9"/>
      <c r="M24" s="34" t="n">
        <f aca="false">IF(J24&lt;&gt;"",N(J24),MAX(0,N(D24)-N(G24)-N(I24)))</f>
        <v>0</v>
      </c>
      <c r="N24" s="10" t="n">
        <f aca="false">N(G24)+N(I24)+M24</f>
        <v>0</v>
      </c>
      <c r="O24" s="34" t="n">
        <f aca="false">N24-N(D24)</f>
        <v>0</v>
      </c>
      <c r="P24" s="35" t="str">
        <f aca="false">IF(N24&gt;0,N(H24)/N24,"")</f>
        <v/>
      </c>
      <c r="Q24" s="19" t="n">
        <f aca="false">IF(K24&lt;&gt;"",K24,MAX(N(E24),Corte+1))</f>
        <v>1</v>
      </c>
      <c r="R24" s="34" t="n">
        <f aca="false">N(G24)-N(H24)+N(I24)</f>
        <v>0</v>
      </c>
      <c r="S24" s="19" t="n">
        <f aca="false">MAX(N(E24),P_Inicio)</f>
        <v>1</v>
      </c>
      <c r="T24" s="19" t="n">
        <f aca="false">IF(L24&lt;&gt;"",L24,MAX(N(E24),V_Inicio))</f>
        <v>1</v>
      </c>
      <c r="U24" s="34" t="n">
        <f aca="false">N(G24)+N(I24)+M24*(1+V_dCapex)</f>
        <v>0</v>
      </c>
    </row>
    <row r="25" customFormat="false" ht="15" hidden="false" customHeight="false" outlineLevel="0" collapsed="false">
      <c r="A25" s="6" t="n">
        <v>20</v>
      </c>
      <c r="B25" s="7"/>
      <c r="C25" s="7"/>
      <c r="D25" s="22"/>
      <c r="E25" s="9"/>
      <c r="F25" s="9"/>
      <c r="G25" s="22"/>
      <c r="H25" s="22"/>
      <c r="I25" s="22"/>
      <c r="J25" s="22"/>
      <c r="K25" s="9"/>
      <c r="L25" s="9"/>
      <c r="M25" s="34" t="n">
        <f aca="false">IF(J25&lt;&gt;"",N(J25),MAX(0,N(D25)-N(G25)-N(I25)))</f>
        <v>0</v>
      </c>
      <c r="N25" s="10" t="n">
        <f aca="false">N(G25)+N(I25)+M25</f>
        <v>0</v>
      </c>
      <c r="O25" s="34" t="n">
        <f aca="false">N25-N(D25)</f>
        <v>0</v>
      </c>
      <c r="P25" s="35" t="str">
        <f aca="false">IF(N25&gt;0,N(H25)/N25,"")</f>
        <v/>
      </c>
      <c r="Q25" s="19" t="n">
        <f aca="false">IF(K25&lt;&gt;"",K25,MAX(N(E25),Corte+1))</f>
        <v>1</v>
      </c>
      <c r="R25" s="34" t="n">
        <f aca="false">N(G25)-N(H25)+N(I25)</f>
        <v>0</v>
      </c>
      <c r="S25" s="19" t="n">
        <f aca="false">MAX(N(E25),P_Inicio)</f>
        <v>1</v>
      </c>
      <c r="T25" s="19" t="n">
        <f aca="false">IF(L25&lt;&gt;"",L25,MAX(N(E25),V_Inicio))</f>
        <v>1</v>
      </c>
      <c r="U25" s="34" t="n">
        <f aca="false">N(G25)+N(I25)+M25*(1+V_dCapex)</f>
        <v>0</v>
      </c>
    </row>
    <row r="26" customFormat="false" ht="15" hidden="false" customHeight="false" outlineLevel="0" collapsed="false">
      <c r="B26" s="11" t="s">
        <v>303</v>
      </c>
      <c r="D26" s="40" t="n">
        <f aca="false">SUM(D6:D25)</f>
        <v>0</v>
      </c>
      <c r="G26" s="40" t="n">
        <f aca="false">SUM(G6:G25)</f>
        <v>0</v>
      </c>
      <c r="H26" s="40" t="n">
        <f aca="false">SUM(H6:H25)</f>
        <v>0</v>
      </c>
      <c r="I26" s="40" t="n">
        <f aca="false">SUM(I6:I25)</f>
        <v>0</v>
      </c>
      <c r="M26" s="40" t="n">
        <f aca="false">SUM(M6:M25)</f>
        <v>0</v>
      </c>
      <c r="N26" s="40" t="n">
        <f aca="false">SUM(N6:N25)</f>
        <v>0</v>
      </c>
      <c r="O26" s="40" t="n">
        <f aca="false">SUM(O6:O25)</f>
        <v>0</v>
      </c>
      <c r="P26" s="30" t="str">
        <f aca="false">IF(N26&gt;0,H26/N26,"")</f>
        <v/>
      </c>
      <c r="R26" s="40" t="n">
        <f aca="false">SUM(R6:R25)</f>
        <v>0</v>
      </c>
      <c r="U26" s="40" t="n">
        <f aca="false">SUM(U6:U25)</f>
        <v>0</v>
      </c>
    </row>
    <row r="27" customFormat="false" ht="15" hidden="false" customHeight="false" outlineLevel="0" collapsed="false">
      <c r="B27" s="2" t="s">
        <v>304</v>
      </c>
    </row>
    <row r="29" customFormat="false" ht="15" hidden="false" customHeight="false" outlineLevel="0" collapsed="false">
      <c r="A29" s="3" t="s">
        <v>305</v>
      </c>
      <c r="B29" s="4"/>
      <c r="C29" s="4"/>
      <c r="D29" s="4"/>
      <c r="E29" s="4"/>
      <c r="F29" s="4"/>
      <c r="G29" s="4"/>
      <c r="H29" s="4"/>
      <c r="I29" s="4"/>
      <c r="J29" s="4"/>
      <c r="K29" s="4"/>
      <c r="L29" s="4"/>
      <c r="M29" s="4"/>
      <c r="N29" s="4"/>
      <c r="O29" s="4"/>
      <c r="P29" s="4"/>
      <c r="Q29" s="4"/>
      <c r="R29" s="4"/>
      <c r="S29" s="4"/>
      <c r="T29" s="4"/>
      <c r="U29" s="4"/>
    </row>
    <row r="30" customFormat="false" ht="42" hidden="false" customHeight="true" outlineLevel="0" collapsed="false">
      <c r="A30" s="5"/>
      <c r="B30" s="5" t="s">
        <v>306</v>
      </c>
      <c r="C30" s="5" t="s">
        <v>85</v>
      </c>
      <c r="D30" s="5" t="s">
        <v>307</v>
      </c>
      <c r="E30" s="5" t="s">
        <v>308</v>
      </c>
      <c r="F30" s="5" t="s">
        <v>309</v>
      </c>
      <c r="G30" s="5" t="s">
        <v>310</v>
      </c>
      <c r="H30" s="5" t="s">
        <v>311</v>
      </c>
      <c r="I30" s="5" t="s">
        <v>312</v>
      </c>
    </row>
    <row r="31" customFormat="false" ht="15" hidden="false" customHeight="false" outlineLevel="0" collapsed="false">
      <c r="B31" s="6" t="s">
        <v>313</v>
      </c>
      <c r="C31" s="6"/>
      <c r="D31" s="7"/>
      <c r="E31" s="13" t="n">
        <f aca="false">D31</f>
        <v>0</v>
      </c>
      <c r="F31" s="7"/>
      <c r="G31" s="13" t="n">
        <f aca="false">F31</f>
        <v>0</v>
      </c>
      <c r="H31" s="7"/>
      <c r="I31" s="13" t="n">
        <f aca="false">H31</f>
        <v>0</v>
      </c>
    </row>
    <row r="32" customFormat="false" ht="15" hidden="false" customHeight="false" outlineLevel="0" collapsed="false">
      <c r="B32" s="6" t="s">
        <v>314</v>
      </c>
      <c r="C32" s="6" t="s">
        <v>212</v>
      </c>
      <c r="D32" s="22"/>
      <c r="E32" s="23" t="n">
        <f aca="false">D32</f>
        <v>0</v>
      </c>
      <c r="F32" s="22"/>
      <c r="G32" s="23" t="n">
        <f aca="false">F32</f>
        <v>0</v>
      </c>
      <c r="H32" s="22"/>
      <c r="I32" s="23" t="n">
        <f aca="false">H32</f>
        <v>0</v>
      </c>
    </row>
    <row r="33" customFormat="false" ht="15" hidden="false" customHeight="false" outlineLevel="0" collapsed="false">
      <c r="B33" s="6" t="s">
        <v>315</v>
      </c>
      <c r="C33" s="6" t="s">
        <v>89</v>
      </c>
      <c r="D33" s="9"/>
      <c r="E33" s="18" t="n">
        <f aca="false">D33</f>
        <v>0</v>
      </c>
      <c r="F33" s="9"/>
      <c r="G33" s="18" t="n">
        <f aca="false">F33</f>
        <v>0</v>
      </c>
      <c r="H33" s="9"/>
      <c r="I33" s="18" t="n">
        <f aca="false">H33</f>
        <v>0</v>
      </c>
    </row>
    <row r="34" customFormat="false" ht="15" hidden="false" customHeight="false" outlineLevel="0" collapsed="false">
      <c r="B34" s="6" t="s">
        <v>316</v>
      </c>
      <c r="C34" s="6" t="s">
        <v>96</v>
      </c>
      <c r="D34" s="20"/>
      <c r="E34" s="21" t="n">
        <f aca="false">D34</f>
        <v>0</v>
      </c>
      <c r="F34" s="20"/>
      <c r="G34" s="21" t="n">
        <f aca="false">F34</f>
        <v>0</v>
      </c>
      <c r="H34" s="20"/>
      <c r="I34" s="21" t="n">
        <f aca="false">H34</f>
        <v>0</v>
      </c>
    </row>
    <row r="35" customFormat="false" ht="15" hidden="false" customHeight="false" outlineLevel="0" collapsed="false">
      <c r="B35" s="6" t="s">
        <v>317</v>
      </c>
      <c r="C35" s="6" t="s">
        <v>141</v>
      </c>
      <c r="D35" s="9"/>
      <c r="E35" s="18" t="n">
        <f aca="false">D35</f>
        <v>0</v>
      </c>
      <c r="F35" s="9"/>
      <c r="G35" s="18" t="n">
        <f aca="false">F35</f>
        <v>0</v>
      </c>
      <c r="H35" s="9"/>
      <c r="I35" s="18" t="n">
        <f aca="false">H35</f>
        <v>0</v>
      </c>
    </row>
    <row r="36" customFormat="false" ht="15" hidden="false" customHeight="false" outlineLevel="0" collapsed="false">
      <c r="B36" s="6" t="s">
        <v>318</v>
      </c>
      <c r="C36" s="6" t="s">
        <v>319</v>
      </c>
      <c r="D36" s="9"/>
      <c r="E36" s="18" t="n">
        <f aca="false">D36</f>
        <v>0</v>
      </c>
      <c r="F36" s="9"/>
      <c r="G36" s="18" t="n">
        <f aca="false">F36</f>
        <v>0</v>
      </c>
      <c r="H36" s="9"/>
      <c r="I36" s="18" t="n">
        <f aca="false">H36</f>
        <v>0</v>
      </c>
    </row>
    <row r="37" customFormat="false" ht="15" hidden="false" customHeight="false" outlineLevel="0" collapsed="false">
      <c r="B37" s="2" t="s">
        <v>320</v>
      </c>
    </row>
    <row r="39" customFormat="false" ht="15" hidden="false" customHeight="false" outlineLevel="0" collapsed="false">
      <c r="A39" s="3" t="s">
        <v>321</v>
      </c>
      <c r="B39" s="4"/>
      <c r="C39" s="4"/>
      <c r="D39" s="4"/>
      <c r="E39" s="4"/>
      <c r="F39" s="4"/>
      <c r="G39" s="4"/>
      <c r="H39" s="4"/>
      <c r="I39" s="4"/>
      <c r="J39" s="4"/>
      <c r="K39" s="4"/>
      <c r="L39" s="4"/>
      <c r="M39" s="4"/>
      <c r="N39" s="4"/>
      <c r="O39" s="4"/>
      <c r="P39" s="4"/>
      <c r="Q39" s="4"/>
      <c r="R39" s="4"/>
      <c r="S39" s="4"/>
      <c r="T39" s="4"/>
      <c r="U39" s="4"/>
    </row>
    <row r="40" customFormat="false" ht="30" hidden="false" customHeight="true" outlineLevel="0" collapsed="false">
      <c r="A40" s="5" t="s">
        <v>233</v>
      </c>
      <c r="B40" s="5" t="s">
        <v>155</v>
      </c>
      <c r="C40" s="5" t="s">
        <v>322</v>
      </c>
      <c r="D40" s="5" t="s">
        <v>323</v>
      </c>
      <c r="E40" s="5" t="s">
        <v>324</v>
      </c>
      <c r="F40" s="5" t="s">
        <v>325</v>
      </c>
      <c r="G40" s="5" t="s">
        <v>166</v>
      </c>
    </row>
    <row r="41" customFormat="false" ht="15" hidden="false" customHeight="false" outlineLevel="0" collapsed="false">
      <c r="A41" s="6" t="n">
        <v>1</v>
      </c>
      <c r="B41" s="7"/>
      <c r="C41" s="9"/>
      <c r="D41" s="22"/>
      <c r="E41" s="18" t="n">
        <f aca="false">C41</f>
        <v>0</v>
      </c>
      <c r="F41" s="23" t="n">
        <f aca="false">D41</f>
        <v>0</v>
      </c>
    </row>
    <row r="42" customFormat="false" ht="15" hidden="false" customHeight="false" outlineLevel="0" collapsed="false">
      <c r="A42" s="6" t="n">
        <v>2</v>
      </c>
      <c r="B42" s="7"/>
      <c r="C42" s="9"/>
      <c r="D42" s="22"/>
      <c r="E42" s="18" t="n">
        <f aca="false">C42</f>
        <v>0</v>
      </c>
      <c r="F42" s="23" t="n">
        <f aca="false">D42</f>
        <v>0</v>
      </c>
    </row>
    <row r="43" customFormat="false" ht="15" hidden="false" customHeight="false" outlineLevel="0" collapsed="false">
      <c r="A43" s="6" t="n">
        <v>3</v>
      </c>
      <c r="B43" s="7"/>
      <c r="C43" s="9"/>
      <c r="D43" s="22"/>
      <c r="E43" s="18" t="n">
        <f aca="false">C43</f>
        <v>0</v>
      </c>
      <c r="F43" s="23" t="n">
        <f aca="false">D43</f>
        <v>0</v>
      </c>
    </row>
    <row r="44" customFormat="false" ht="15" hidden="false" customHeight="false" outlineLevel="0" collapsed="false">
      <c r="A44" s="6" t="n">
        <v>4</v>
      </c>
      <c r="B44" s="7"/>
      <c r="C44" s="9"/>
      <c r="D44" s="22"/>
      <c r="E44" s="18" t="n">
        <f aca="false">C44</f>
        <v>0</v>
      </c>
      <c r="F44" s="23" t="n">
        <f aca="false">D44</f>
        <v>0</v>
      </c>
    </row>
    <row r="45" customFormat="false" ht="15" hidden="false" customHeight="false" outlineLevel="0" collapsed="false">
      <c r="A45" s="6" t="n">
        <v>5</v>
      </c>
      <c r="B45" s="7"/>
      <c r="C45" s="9"/>
      <c r="D45" s="22"/>
      <c r="E45" s="18" t="n">
        <f aca="false">C45</f>
        <v>0</v>
      </c>
      <c r="F45" s="23" t="n">
        <f aca="false">D45</f>
        <v>0</v>
      </c>
    </row>
    <row r="46" customFormat="false" ht="15" hidden="false" customHeight="false" outlineLevel="0" collapsed="false">
      <c r="A46" s="6" t="n">
        <v>6</v>
      </c>
      <c r="B46" s="7"/>
      <c r="C46" s="9"/>
      <c r="D46" s="22"/>
      <c r="E46" s="18" t="n">
        <f aca="false">C46</f>
        <v>0</v>
      </c>
      <c r="F46" s="23" t="n">
        <f aca="false">D46</f>
        <v>0</v>
      </c>
    </row>
    <row r="47" customFormat="false" ht="15" hidden="false" customHeight="false" outlineLevel="0" collapsed="false">
      <c r="A47" s="6" t="n">
        <v>7</v>
      </c>
      <c r="B47" s="7"/>
      <c r="C47" s="9"/>
      <c r="D47" s="22"/>
      <c r="E47" s="18" t="n">
        <f aca="false">C47</f>
        <v>0</v>
      </c>
      <c r="F47" s="23" t="n">
        <f aca="false">D47</f>
        <v>0</v>
      </c>
    </row>
    <row r="48" customFormat="false" ht="15" hidden="false" customHeight="false" outlineLevel="0" collapsed="false">
      <c r="A48" s="6" t="n">
        <v>8</v>
      </c>
      <c r="B48" s="7"/>
      <c r="C48" s="9"/>
      <c r="D48" s="22"/>
      <c r="E48" s="18" t="n">
        <f aca="false">C48</f>
        <v>0</v>
      </c>
      <c r="F48" s="23" t="n">
        <f aca="false">D48</f>
        <v>0</v>
      </c>
    </row>
    <row r="49" customFormat="false" ht="15" hidden="false" customHeight="false" outlineLevel="0" collapsed="false">
      <c r="A49" s="6" t="n">
        <v>9</v>
      </c>
      <c r="B49" s="7"/>
      <c r="C49" s="9"/>
      <c r="D49" s="22"/>
      <c r="E49" s="18" t="n">
        <f aca="false">C49</f>
        <v>0</v>
      </c>
      <c r="F49" s="23" t="n">
        <f aca="false">D49</f>
        <v>0</v>
      </c>
    </row>
    <row r="50" customFormat="false" ht="15" hidden="false" customHeight="false" outlineLevel="0" collapsed="false">
      <c r="A50" s="6" t="n">
        <v>10</v>
      </c>
      <c r="B50" s="7"/>
      <c r="C50" s="9"/>
      <c r="D50" s="22"/>
      <c r="E50" s="18" t="n">
        <f aca="false">C50</f>
        <v>0</v>
      </c>
      <c r="F50" s="23" t="n">
        <f aca="false">D50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ES5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5" ySplit="7" topLeftCell="F8" activePane="bottomRight" state="frozen"/>
      <selection pane="topLeft" activeCell="A1" activeCellId="0" sqref="A1"/>
      <selection pane="topRight" activeCell="F1" activeCellId="0" sqref="F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52"/>
    <col collapsed="false" customWidth="true" hidden="false" outlineLevel="0" max="3" min="3" style="0" width="8"/>
    <col collapsed="false" customWidth="true" hidden="false" outlineLevel="0" max="4" min="4" style="0" width="14"/>
    <col collapsed="false" customWidth="true" hidden="false" outlineLevel="0" max="5" min="5" style="0" width="4"/>
    <col collapsed="false" customWidth="true" hidden="false" outlineLevel="0" max="149" min="6" style="0" width="11"/>
  </cols>
  <sheetData>
    <row r="1" customFormat="false" ht="16.15" hidden="false" customHeight="false" outlineLevel="0" collapsed="false">
      <c r="A1" s="1" t="s">
        <v>326</v>
      </c>
    </row>
    <row r="2" customFormat="false" ht="15" hidden="false" customHeight="false" outlineLevel="0" collapsed="false">
      <c r="A2" s="2" t="s">
        <v>327</v>
      </c>
    </row>
    <row r="4" customFormat="false" ht="15" hidden="false" customHeight="false" outlineLevel="0" collapsed="false">
      <c r="A4" s="43"/>
      <c r="B4" s="44" t="s">
        <v>328</v>
      </c>
      <c r="C4" s="43"/>
      <c r="D4" s="44" t="s">
        <v>329</v>
      </c>
      <c r="E4" s="43"/>
      <c r="F4" s="5" t="n">
        <v>1</v>
      </c>
      <c r="G4" s="5" t="n">
        <v>2</v>
      </c>
      <c r="H4" s="5" t="n">
        <v>3</v>
      </c>
      <c r="I4" s="5" t="n">
        <v>4</v>
      </c>
      <c r="J4" s="5" t="n">
        <v>5</v>
      </c>
      <c r="K4" s="5" t="n">
        <v>6</v>
      </c>
      <c r="L4" s="5" t="n">
        <v>7</v>
      </c>
      <c r="M4" s="5" t="n">
        <v>8</v>
      </c>
      <c r="N4" s="5" t="n">
        <v>9</v>
      </c>
      <c r="O4" s="5" t="n">
        <v>10</v>
      </c>
      <c r="P4" s="5" t="n">
        <v>11</v>
      </c>
      <c r="Q4" s="5" t="n">
        <v>12</v>
      </c>
      <c r="R4" s="5" t="n">
        <v>13</v>
      </c>
      <c r="S4" s="5" t="n">
        <v>14</v>
      </c>
      <c r="T4" s="5" t="n">
        <v>15</v>
      </c>
      <c r="U4" s="5" t="n">
        <v>16</v>
      </c>
      <c r="V4" s="5" t="n">
        <v>17</v>
      </c>
      <c r="W4" s="5" t="n">
        <v>18</v>
      </c>
      <c r="X4" s="5" t="n">
        <v>19</v>
      </c>
      <c r="Y4" s="5" t="n">
        <v>20</v>
      </c>
      <c r="Z4" s="5" t="n">
        <v>21</v>
      </c>
      <c r="AA4" s="5" t="n">
        <v>22</v>
      </c>
      <c r="AB4" s="5" t="n">
        <v>23</v>
      </c>
      <c r="AC4" s="5" t="n">
        <v>24</v>
      </c>
      <c r="AD4" s="5" t="n">
        <v>25</v>
      </c>
      <c r="AE4" s="5" t="n">
        <v>26</v>
      </c>
      <c r="AF4" s="5" t="n">
        <v>27</v>
      </c>
      <c r="AG4" s="5" t="n">
        <v>28</v>
      </c>
      <c r="AH4" s="5" t="n">
        <v>29</v>
      </c>
      <c r="AI4" s="5" t="n">
        <v>30</v>
      </c>
      <c r="AJ4" s="5" t="n">
        <v>31</v>
      </c>
      <c r="AK4" s="5" t="n">
        <v>32</v>
      </c>
      <c r="AL4" s="5" t="n">
        <v>33</v>
      </c>
      <c r="AM4" s="5" t="n">
        <v>34</v>
      </c>
      <c r="AN4" s="5" t="n">
        <v>35</v>
      </c>
      <c r="AO4" s="5" t="n">
        <v>36</v>
      </c>
      <c r="AP4" s="5" t="n">
        <v>37</v>
      </c>
      <c r="AQ4" s="5" t="n">
        <v>38</v>
      </c>
      <c r="AR4" s="5" t="n">
        <v>39</v>
      </c>
      <c r="AS4" s="5" t="n">
        <v>40</v>
      </c>
      <c r="AT4" s="5" t="n">
        <v>41</v>
      </c>
      <c r="AU4" s="5" t="n">
        <v>42</v>
      </c>
      <c r="AV4" s="5" t="n">
        <v>43</v>
      </c>
      <c r="AW4" s="5" t="n">
        <v>44</v>
      </c>
      <c r="AX4" s="5" t="n">
        <v>45</v>
      </c>
      <c r="AY4" s="5" t="n">
        <v>46</v>
      </c>
      <c r="AZ4" s="5" t="n">
        <v>47</v>
      </c>
      <c r="BA4" s="5" t="n">
        <v>48</v>
      </c>
      <c r="BB4" s="5" t="n">
        <v>49</v>
      </c>
      <c r="BC4" s="5" t="n">
        <v>50</v>
      </c>
      <c r="BD4" s="5" t="n">
        <v>51</v>
      </c>
      <c r="BE4" s="5" t="n">
        <v>52</v>
      </c>
      <c r="BF4" s="5" t="n">
        <v>53</v>
      </c>
      <c r="BG4" s="5" t="n">
        <v>54</v>
      </c>
      <c r="BH4" s="5" t="n">
        <v>55</v>
      </c>
      <c r="BI4" s="5" t="n">
        <v>56</v>
      </c>
      <c r="BJ4" s="5" t="n">
        <v>57</v>
      </c>
      <c r="BK4" s="5" t="n">
        <v>58</v>
      </c>
      <c r="BL4" s="5" t="n">
        <v>59</v>
      </c>
      <c r="BM4" s="5" t="n">
        <v>60</v>
      </c>
      <c r="BN4" s="5" t="n">
        <v>61</v>
      </c>
      <c r="BO4" s="5" t="n">
        <v>62</v>
      </c>
      <c r="BP4" s="5" t="n">
        <v>63</v>
      </c>
      <c r="BQ4" s="5" t="n">
        <v>64</v>
      </c>
      <c r="BR4" s="5" t="n">
        <v>65</v>
      </c>
      <c r="BS4" s="5" t="n">
        <v>66</v>
      </c>
      <c r="BT4" s="5" t="n">
        <v>67</v>
      </c>
      <c r="BU4" s="5" t="n">
        <v>68</v>
      </c>
      <c r="BV4" s="5" t="n">
        <v>69</v>
      </c>
      <c r="BW4" s="5" t="n">
        <v>70</v>
      </c>
      <c r="BX4" s="5" t="n">
        <v>71</v>
      </c>
      <c r="BY4" s="5" t="n">
        <v>72</v>
      </c>
      <c r="BZ4" s="5" t="n">
        <v>73</v>
      </c>
      <c r="CA4" s="5" t="n">
        <v>74</v>
      </c>
      <c r="CB4" s="5" t="n">
        <v>75</v>
      </c>
      <c r="CC4" s="5" t="n">
        <v>76</v>
      </c>
      <c r="CD4" s="5" t="n">
        <v>77</v>
      </c>
      <c r="CE4" s="5" t="n">
        <v>78</v>
      </c>
      <c r="CF4" s="5" t="n">
        <v>79</v>
      </c>
      <c r="CG4" s="5" t="n">
        <v>80</v>
      </c>
      <c r="CH4" s="5" t="n">
        <v>81</v>
      </c>
      <c r="CI4" s="5" t="n">
        <v>82</v>
      </c>
      <c r="CJ4" s="5" t="n">
        <v>83</v>
      </c>
      <c r="CK4" s="5" t="n">
        <v>84</v>
      </c>
      <c r="CL4" s="5" t="n">
        <v>85</v>
      </c>
      <c r="CM4" s="5" t="n">
        <v>86</v>
      </c>
      <c r="CN4" s="5" t="n">
        <v>87</v>
      </c>
      <c r="CO4" s="5" t="n">
        <v>88</v>
      </c>
      <c r="CP4" s="5" t="n">
        <v>89</v>
      </c>
      <c r="CQ4" s="5" t="n">
        <v>90</v>
      </c>
      <c r="CR4" s="5" t="n">
        <v>91</v>
      </c>
      <c r="CS4" s="5" t="n">
        <v>92</v>
      </c>
      <c r="CT4" s="5" t="n">
        <v>93</v>
      </c>
      <c r="CU4" s="5" t="n">
        <v>94</v>
      </c>
      <c r="CV4" s="5" t="n">
        <v>95</v>
      </c>
      <c r="CW4" s="5" t="n">
        <v>96</v>
      </c>
      <c r="CX4" s="5" t="n">
        <v>97</v>
      </c>
      <c r="CY4" s="5" t="n">
        <v>98</v>
      </c>
      <c r="CZ4" s="5" t="n">
        <v>99</v>
      </c>
      <c r="DA4" s="5" t="n">
        <v>100</v>
      </c>
      <c r="DB4" s="5" t="n">
        <v>101</v>
      </c>
      <c r="DC4" s="5" t="n">
        <v>102</v>
      </c>
      <c r="DD4" s="5" t="n">
        <v>103</v>
      </c>
      <c r="DE4" s="5" t="n">
        <v>104</v>
      </c>
      <c r="DF4" s="5" t="n">
        <v>105</v>
      </c>
      <c r="DG4" s="5" t="n">
        <v>106</v>
      </c>
      <c r="DH4" s="5" t="n">
        <v>107</v>
      </c>
      <c r="DI4" s="5" t="n">
        <v>108</v>
      </c>
      <c r="DJ4" s="5" t="n">
        <v>109</v>
      </c>
      <c r="DK4" s="5" t="n">
        <v>110</v>
      </c>
      <c r="DL4" s="5" t="n">
        <v>111</v>
      </c>
      <c r="DM4" s="5" t="n">
        <v>112</v>
      </c>
      <c r="DN4" s="5" t="n">
        <v>113</v>
      </c>
      <c r="DO4" s="5" t="n">
        <v>114</v>
      </c>
      <c r="DP4" s="5" t="n">
        <v>115</v>
      </c>
      <c r="DQ4" s="5" t="n">
        <v>116</v>
      </c>
      <c r="DR4" s="5" t="n">
        <v>117</v>
      </c>
      <c r="DS4" s="5" t="n">
        <v>118</v>
      </c>
      <c r="DT4" s="5" t="n">
        <v>119</v>
      </c>
      <c r="DU4" s="5" t="n">
        <v>120</v>
      </c>
      <c r="DV4" s="5" t="n">
        <v>121</v>
      </c>
      <c r="DW4" s="5" t="n">
        <v>122</v>
      </c>
      <c r="DX4" s="5" t="n">
        <v>123</v>
      </c>
      <c r="DY4" s="5" t="n">
        <v>124</v>
      </c>
      <c r="DZ4" s="5" t="n">
        <v>125</v>
      </c>
      <c r="EA4" s="5" t="n">
        <v>126</v>
      </c>
      <c r="EB4" s="5" t="n">
        <v>127</v>
      </c>
      <c r="EC4" s="5" t="n">
        <v>128</v>
      </c>
      <c r="ED4" s="5" t="n">
        <v>129</v>
      </c>
      <c r="EE4" s="5" t="n">
        <v>130</v>
      </c>
      <c r="EF4" s="5" t="n">
        <v>131</v>
      </c>
      <c r="EG4" s="5" t="n">
        <v>132</v>
      </c>
      <c r="EH4" s="5" t="n">
        <v>133</v>
      </c>
      <c r="EI4" s="5" t="n">
        <v>134</v>
      </c>
      <c r="EJ4" s="5" t="n">
        <v>135</v>
      </c>
      <c r="EK4" s="5" t="n">
        <v>136</v>
      </c>
      <c r="EL4" s="5" t="n">
        <v>137</v>
      </c>
      <c r="EM4" s="5" t="n">
        <v>138</v>
      </c>
      <c r="EN4" s="5" t="n">
        <v>139</v>
      </c>
      <c r="EO4" s="5" t="n">
        <v>140</v>
      </c>
      <c r="EP4" s="5" t="n">
        <v>141</v>
      </c>
      <c r="EQ4" s="5" t="n">
        <v>142</v>
      </c>
      <c r="ER4" s="5" t="n">
        <v>143</v>
      </c>
      <c r="ES4" s="5" t="n">
        <v>144</v>
      </c>
    </row>
    <row r="5" customFormat="false" ht="15" hidden="false" customHeight="false" outlineLevel="0" collapsed="false">
      <c r="A5" s="43"/>
      <c r="B5" s="44" t="s">
        <v>330</v>
      </c>
      <c r="C5" s="43"/>
      <c r="D5" s="43"/>
      <c r="E5" s="43"/>
      <c r="F5" s="45" t="str">
        <f aca="false">IF(n_Fecha1="","",EOMONTH(n_Fecha1,1-1))</f>
        <v/>
      </c>
      <c r="G5" s="45" t="str">
        <f aca="false">IF(n_Fecha1="","",EOMONTH(n_Fecha1,2-1))</f>
        <v/>
      </c>
      <c r="H5" s="45" t="str">
        <f aca="false">IF(n_Fecha1="","",EOMONTH(n_Fecha1,3-1))</f>
        <v/>
      </c>
      <c r="I5" s="45" t="str">
        <f aca="false">IF(n_Fecha1="","",EOMONTH(n_Fecha1,4-1))</f>
        <v/>
      </c>
      <c r="J5" s="45" t="str">
        <f aca="false">IF(n_Fecha1="","",EOMONTH(n_Fecha1,5-1))</f>
        <v/>
      </c>
      <c r="K5" s="45" t="str">
        <f aca="false">IF(n_Fecha1="","",EOMONTH(n_Fecha1,6-1))</f>
        <v/>
      </c>
      <c r="L5" s="45" t="str">
        <f aca="false">IF(n_Fecha1="","",EOMONTH(n_Fecha1,7-1))</f>
        <v/>
      </c>
      <c r="M5" s="45" t="str">
        <f aca="false">IF(n_Fecha1="","",EOMONTH(n_Fecha1,8-1))</f>
        <v/>
      </c>
      <c r="N5" s="45" t="str">
        <f aca="false">IF(n_Fecha1="","",EOMONTH(n_Fecha1,9-1))</f>
        <v/>
      </c>
      <c r="O5" s="45" t="str">
        <f aca="false">IF(n_Fecha1="","",EOMONTH(n_Fecha1,10-1))</f>
        <v/>
      </c>
      <c r="P5" s="45" t="str">
        <f aca="false">IF(n_Fecha1="","",EOMONTH(n_Fecha1,11-1))</f>
        <v/>
      </c>
      <c r="Q5" s="45" t="str">
        <f aca="false">IF(n_Fecha1="","",EOMONTH(n_Fecha1,12-1))</f>
        <v/>
      </c>
      <c r="R5" s="45" t="str">
        <f aca="false">IF(n_Fecha1="","",EOMONTH(n_Fecha1,13-1))</f>
        <v/>
      </c>
      <c r="S5" s="45" t="str">
        <f aca="false">IF(n_Fecha1="","",EOMONTH(n_Fecha1,14-1))</f>
        <v/>
      </c>
      <c r="T5" s="45" t="str">
        <f aca="false">IF(n_Fecha1="","",EOMONTH(n_Fecha1,15-1))</f>
        <v/>
      </c>
      <c r="U5" s="45" t="str">
        <f aca="false">IF(n_Fecha1="","",EOMONTH(n_Fecha1,16-1))</f>
        <v/>
      </c>
      <c r="V5" s="45" t="str">
        <f aca="false">IF(n_Fecha1="","",EOMONTH(n_Fecha1,17-1))</f>
        <v/>
      </c>
      <c r="W5" s="45" t="str">
        <f aca="false">IF(n_Fecha1="","",EOMONTH(n_Fecha1,18-1))</f>
        <v/>
      </c>
      <c r="X5" s="45" t="str">
        <f aca="false">IF(n_Fecha1="","",EOMONTH(n_Fecha1,19-1))</f>
        <v/>
      </c>
      <c r="Y5" s="45" t="str">
        <f aca="false">IF(n_Fecha1="","",EOMONTH(n_Fecha1,20-1))</f>
        <v/>
      </c>
      <c r="Z5" s="45" t="str">
        <f aca="false">IF(n_Fecha1="","",EOMONTH(n_Fecha1,21-1))</f>
        <v/>
      </c>
      <c r="AA5" s="45" t="str">
        <f aca="false">IF(n_Fecha1="","",EOMONTH(n_Fecha1,22-1))</f>
        <v/>
      </c>
      <c r="AB5" s="45" t="str">
        <f aca="false">IF(n_Fecha1="","",EOMONTH(n_Fecha1,23-1))</f>
        <v/>
      </c>
      <c r="AC5" s="45" t="str">
        <f aca="false">IF(n_Fecha1="","",EOMONTH(n_Fecha1,24-1))</f>
        <v/>
      </c>
      <c r="AD5" s="45" t="str">
        <f aca="false">IF(n_Fecha1="","",EOMONTH(n_Fecha1,25-1))</f>
        <v/>
      </c>
      <c r="AE5" s="45" t="str">
        <f aca="false">IF(n_Fecha1="","",EOMONTH(n_Fecha1,26-1))</f>
        <v/>
      </c>
      <c r="AF5" s="45" t="str">
        <f aca="false">IF(n_Fecha1="","",EOMONTH(n_Fecha1,27-1))</f>
        <v/>
      </c>
      <c r="AG5" s="45" t="str">
        <f aca="false">IF(n_Fecha1="","",EOMONTH(n_Fecha1,28-1))</f>
        <v/>
      </c>
      <c r="AH5" s="45" t="str">
        <f aca="false">IF(n_Fecha1="","",EOMONTH(n_Fecha1,29-1))</f>
        <v/>
      </c>
      <c r="AI5" s="45" t="str">
        <f aca="false">IF(n_Fecha1="","",EOMONTH(n_Fecha1,30-1))</f>
        <v/>
      </c>
      <c r="AJ5" s="45" t="str">
        <f aca="false">IF(n_Fecha1="","",EOMONTH(n_Fecha1,31-1))</f>
        <v/>
      </c>
      <c r="AK5" s="45" t="str">
        <f aca="false">IF(n_Fecha1="","",EOMONTH(n_Fecha1,32-1))</f>
        <v/>
      </c>
      <c r="AL5" s="45" t="str">
        <f aca="false">IF(n_Fecha1="","",EOMONTH(n_Fecha1,33-1))</f>
        <v/>
      </c>
      <c r="AM5" s="45" t="str">
        <f aca="false">IF(n_Fecha1="","",EOMONTH(n_Fecha1,34-1))</f>
        <v/>
      </c>
      <c r="AN5" s="45" t="str">
        <f aca="false">IF(n_Fecha1="","",EOMONTH(n_Fecha1,35-1))</f>
        <v/>
      </c>
      <c r="AO5" s="45" t="str">
        <f aca="false">IF(n_Fecha1="","",EOMONTH(n_Fecha1,36-1))</f>
        <v/>
      </c>
      <c r="AP5" s="45" t="str">
        <f aca="false">IF(n_Fecha1="","",EOMONTH(n_Fecha1,37-1))</f>
        <v/>
      </c>
      <c r="AQ5" s="45" t="str">
        <f aca="false">IF(n_Fecha1="","",EOMONTH(n_Fecha1,38-1))</f>
        <v/>
      </c>
      <c r="AR5" s="45" t="str">
        <f aca="false">IF(n_Fecha1="","",EOMONTH(n_Fecha1,39-1))</f>
        <v/>
      </c>
      <c r="AS5" s="45" t="str">
        <f aca="false">IF(n_Fecha1="","",EOMONTH(n_Fecha1,40-1))</f>
        <v/>
      </c>
      <c r="AT5" s="45" t="str">
        <f aca="false">IF(n_Fecha1="","",EOMONTH(n_Fecha1,41-1))</f>
        <v/>
      </c>
      <c r="AU5" s="45" t="str">
        <f aca="false">IF(n_Fecha1="","",EOMONTH(n_Fecha1,42-1))</f>
        <v/>
      </c>
      <c r="AV5" s="45" t="str">
        <f aca="false">IF(n_Fecha1="","",EOMONTH(n_Fecha1,43-1))</f>
        <v/>
      </c>
      <c r="AW5" s="45" t="str">
        <f aca="false">IF(n_Fecha1="","",EOMONTH(n_Fecha1,44-1))</f>
        <v/>
      </c>
      <c r="AX5" s="45" t="str">
        <f aca="false">IF(n_Fecha1="","",EOMONTH(n_Fecha1,45-1))</f>
        <v/>
      </c>
      <c r="AY5" s="45" t="str">
        <f aca="false">IF(n_Fecha1="","",EOMONTH(n_Fecha1,46-1))</f>
        <v/>
      </c>
      <c r="AZ5" s="45" t="str">
        <f aca="false">IF(n_Fecha1="","",EOMONTH(n_Fecha1,47-1))</f>
        <v/>
      </c>
      <c r="BA5" s="45" t="str">
        <f aca="false">IF(n_Fecha1="","",EOMONTH(n_Fecha1,48-1))</f>
        <v/>
      </c>
      <c r="BB5" s="45" t="str">
        <f aca="false">IF(n_Fecha1="","",EOMONTH(n_Fecha1,49-1))</f>
        <v/>
      </c>
      <c r="BC5" s="45" t="str">
        <f aca="false">IF(n_Fecha1="","",EOMONTH(n_Fecha1,50-1))</f>
        <v/>
      </c>
      <c r="BD5" s="45" t="str">
        <f aca="false">IF(n_Fecha1="","",EOMONTH(n_Fecha1,51-1))</f>
        <v/>
      </c>
      <c r="BE5" s="45" t="str">
        <f aca="false">IF(n_Fecha1="","",EOMONTH(n_Fecha1,52-1))</f>
        <v/>
      </c>
      <c r="BF5" s="45" t="str">
        <f aca="false">IF(n_Fecha1="","",EOMONTH(n_Fecha1,53-1))</f>
        <v/>
      </c>
      <c r="BG5" s="45" t="str">
        <f aca="false">IF(n_Fecha1="","",EOMONTH(n_Fecha1,54-1))</f>
        <v/>
      </c>
      <c r="BH5" s="45" t="str">
        <f aca="false">IF(n_Fecha1="","",EOMONTH(n_Fecha1,55-1))</f>
        <v/>
      </c>
      <c r="BI5" s="45" t="str">
        <f aca="false">IF(n_Fecha1="","",EOMONTH(n_Fecha1,56-1))</f>
        <v/>
      </c>
      <c r="BJ5" s="45" t="str">
        <f aca="false">IF(n_Fecha1="","",EOMONTH(n_Fecha1,57-1))</f>
        <v/>
      </c>
      <c r="BK5" s="45" t="str">
        <f aca="false">IF(n_Fecha1="","",EOMONTH(n_Fecha1,58-1))</f>
        <v/>
      </c>
      <c r="BL5" s="45" t="str">
        <f aca="false">IF(n_Fecha1="","",EOMONTH(n_Fecha1,59-1))</f>
        <v/>
      </c>
      <c r="BM5" s="45" t="str">
        <f aca="false">IF(n_Fecha1="","",EOMONTH(n_Fecha1,60-1))</f>
        <v/>
      </c>
      <c r="BN5" s="45" t="str">
        <f aca="false">IF(n_Fecha1="","",EOMONTH(n_Fecha1,61-1))</f>
        <v/>
      </c>
      <c r="BO5" s="45" t="str">
        <f aca="false">IF(n_Fecha1="","",EOMONTH(n_Fecha1,62-1))</f>
        <v/>
      </c>
      <c r="BP5" s="45" t="str">
        <f aca="false">IF(n_Fecha1="","",EOMONTH(n_Fecha1,63-1))</f>
        <v/>
      </c>
      <c r="BQ5" s="45" t="str">
        <f aca="false">IF(n_Fecha1="","",EOMONTH(n_Fecha1,64-1))</f>
        <v/>
      </c>
      <c r="BR5" s="45" t="str">
        <f aca="false">IF(n_Fecha1="","",EOMONTH(n_Fecha1,65-1))</f>
        <v/>
      </c>
      <c r="BS5" s="45" t="str">
        <f aca="false">IF(n_Fecha1="","",EOMONTH(n_Fecha1,66-1))</f>
        <v/>
      </c>
      <c r="BT5" s="45" t="str">
        <f aca="false">IF(n_Fecha1="","",EOMONTH(n_Fecha1,67-1))</f>
        <v/>
      </c>
      <c r="BU5" s="45" t="str">
        <f aca="false">IF(n_Fecha1="","",EOMONTH(n_Fecha1,68-1))</f>
        <v/>
      </c>
      <c r="BV5" s="45" t="str">
        <f aca="false">IF(n_Fecha1="","",EOMONTH(n_Fecha1,69-1))</f>
        <v/>
      </c>
      <c r="BW5" s="45" t="str">
        <f aca="false">IF(n_Fecha1="","",EOMONTH(n_Fecha1,70-1))</f>
        <v/>
      </c>
      <c r="BX5" s="45" t="str">
        <f aca="false">IF(n_Fecha1="","",EOMONTH(n_Fecha1,71-1))</f>
        <v/>
      </c>
      <c r="BY5" s="45" t="str">
        <f aca="false">IF(n_Fecha1="","",EOMONTH(n_Fecha1,72-1))</f>
        <v/>
      </c>
      <c r="BZ5" s="45" t="str">
        <f aca="false">IF(n_Fecha1="","",EOMONTH(n_Fecha1,73-1))</f>
        <v/>
      </c>
      <c r="CA5" s="45" t="str">
        <f aca="false">IF(n_Fecha1="","",EOMONTH(n_Fecha1,74-1))</f>
        <v/>
      </c>
      <c r="CB5" s="45" t="str">
        <f aca="false">IF(n_Fecha1="","",EOMONTH(n_Fecha1,75-1))</f>
        <v/>
      </c>
      <c r="CC5" s="45" t="str">
        <f aca="false">IF(n_Fecha1="","",EOMONTH(n_Fecha1,76-1))</f>
        <v/>
      </c>
      <c r="CD5" s="45" t="str">
        <f aca="false">IF(n_Fecha1="","",EOMONTH(n_Fecha1,77-1))</f>
        <v/>
      </c>
      <c r="CE5" s="45" t="str">
        <f aca="false">IF(n_Fecha1="","",EOMONTH(n_Fecha1,78-1))</f>
        <v/>
      </c>
      <c r="CF5" s="45" t="str">
        <f aca="false">IF(n_Fecha1="","",EOMONTH(n_Fecha1,79-1))</f>
        <v/>
      </c>
      <c r="CG5" s="45" t="str">
        <f aca="false">IF(n_Fecha1="","",EOMONTH(n_Fecha1,80-1))</f>
        <v/>
      </c>
      <c r="CH5" s="45" t="str">
        <f aca="false">IF(n_Fecha1="","",EOMONTH(n_Fecha1,81-1))</f>
        <v/>
      </c>
      <c r="CI5" s="45" t="str">
        <f aca="false">IF(n_Fecha1="","",EOMONTH(n_Fecha1,82-1))</f>
        <v/>
      </c>
      <c r="CJ5" s="45" t="str">
        <f aca="false">IF(n_Fecha1="","",EOMONTH(n_Fecha1,83-1))</f>
        <v/>
      </c>
      <c r="CK5" s="45" t="str">
        <f aca="false">IF(n_Fecha1="","",EOMONTH(n_Fecha1,84-1))</f>
        <v/>
      </c>
      <c r="CL5" s="45" t="str">
        <f aca="false">IF(n_Fecha1="","",EOMONTH(n_Fecha1,85-1))</f>
        <v/>
      </c>
      <c r="CM5" s="45" t="str">
        <f aca="false">IF(n_Fecha1="","",EOMONTH(n_Fecha1,86-1))</f>
        <v/>
      </c>
      <c r="CN5" s="45" t="str">
        <f aca="false">IF(n_Fecha1="","",EOMONTH(n_Fecha1,87-1))</f>
        <v/>
      </c>
      <c r="CO5" s="45" t="str">
        <f aca="false">IF(n_Fecha1="","",EOMONTH(n_Fecha1,88-1))</f>
        <v/>
      </c>
      <c r="CP5" s="45" t="str">
        <f aca="false">IF(n_Fecha1="","",EOMONTH(n_Fecha1,89-1))</f>
        <v/>
      </c>
      <c r="CQ5" s="45" t="str">
        <f aca="false">IF(n_Fecha1="","",EOMONTH(n_Fecha1,90-1))</f>
        <v/>
      </c>
      <c r="CR5" s="45" t="str">
        <f aca="false">IF(n_Fecha1="","",EOMONTH(n_Fecha1,91-1))</f>
        <v/>
      </c>
      <c r="CS5" s="45" t="str">
        <f aca="false">IF(n_Fecha1="","",EOMONTH(n_Fecha1,92-1))</f>
        <v/>
      </c>
      <c r="CT5" s="45" t="str">
        <f aca="false">IF(n_Fecha1="","",EOMONTH(n_Fecha1,93-1))</f>
        <v/>
      </c>
      <c r="CU5" s="45" t="str">
        <f aca="false">IF(n_Fecha1="","",EOMONTH(n_Fecha1,94-1))</f>
        <v/>
      </c>
      <c r="CV5" s="45" t="str">
        <f aca="false">IF(n_Fecha1="","",EOMONTH(n_Fecha1,95-1))</f>
        <v/>
      </c>
      <c r="CW5" s="45" t="str">
        <f aca="false">IF(n_Fecha1="","",EOMONTH(n_Fecha1,96-1))</f>
        <v/>
      </c>
      <c r="CX5" s="45" t="str">
        <f aca="false">IF(n_Fecha1="","",EOMONTH(n_Fecha1,97-1))</f>
        <v/>
      </c>
      <c r="CY5" s="45" t="str">
        <f aca="false">IF(n_Fecha1="","",EOMONTH(n_Fecha1,98-1))</f>
        <v/>
      </c>
      <c r="CZ5" s="45" t="str">
        <f aca="false">IF(n_Fecha1="","",EOMONTH(n_Fecha1,99-1))</f>
        <v/>
      </c>
      <c r="DA5" s="45" t="str">
        <f aca="false">IF(n_Fecha1="","",EOMONTH(n_Fecha1,100-1))</f>
        <v/>
      </c>
      <c r="DB5" s="45" t="str">
        <f aca="false">IF(n_Fecha1="","",EOMONTH(n_Fecha1,101-1))</f>
        <v/>
      </c>
      <c r="DC5" s="45" t="str">
        <f aca="false">IF(n_Fecha1="","",EOMONTH(n_Fecha1,102-1))</f>
        <v/>
      </c>
      <c r="DD5" s="45" t="str">
        <f aca="false">IF(n_Fecha1="","",EOMONTH(n_Fecha1,103-1))</f>
        <v/>
      </c>
      <c r="DE5" s="45" t="str">
        <f aca="false">IF(n_Fecha1="","",EOMONTH(n_Fecha1,104-1))</f>
        <v/>
      </c>
      <c r="DF5" s="45" t="str">
        <f aca="false">IF(n_Fecha1="","",EOMONTH(n_Fecha1,105-1))</f>
        <v/>
      </c>
      <c r="DG5" s="45" t="str">
        <f aca="false">IF(n_Fecha1="","",EOMONTH(n_Fecha1,106-1))</f>
        <v/>
      </c>
      <c r="DH5" s="45" t="str">
        <f aca="false">IF(n_Fecha1="","",EOMONTH(n_Fecha1,107-1))</f>
        <v/>
      </c>
      <c r="DI5" s="45" t="str">
        <f aca="false">IF(n_Fecha1="","",EOMONTH(n_Fecha1,108-1))</f>
        <v/>
      </c>
      <c r="DJ5" s="45" t="str">
        <f aca="false">IF(n_Fecha1="","",EOMONTH(n_Fecha1,109-1))</f>
        <v/>
      </c>
      <c r="DK5" s="45" t="str">
        <f aca="false">IF(n_Fecha1="","",EOMONTH(n_Fecha1,110-1))</f>
        <v/>
      </c>
      <c r="DL5" s="45" t="str">
        <f aca="false">IF(n_Fecha1="","",EOMONTH(n_Fecha1,111-1))</f>
        <v/>
      </c>
      <c r="DM5" s="45" t="str">
        <f aca="false">IF(n_Fecha1="","",EOMONTH(n_Fecha1,112-1))</f>
        <v/>
      </c>
      <c r="DN5" s="45" t="str">
        <f aca="false">IF(n_Fecha1="","",EOMONTH(n_Fecha1,113-1))</f>
        <v/>
      </c>
      <c r="DO5" s="45" t="str">
        <f aca="false">IF(n_Fecha1="","",EOMONTH(n_Fecha1,114-1))</f>
        <v/>
      </c>
      <c r="DP5" s="45" t="str">
        <f aca="false">IF(n_Fecha1="","",EOMONTH(n_Fecha1,115-1))</f>
        <v/>
      </c>
      <c r="DQ5" s="45" t="str">
        <f aca="false">IF(n_Fecha1="","",EOMONTH(n_Fecha1,116-1))</f>
        <v/>
      </c>
      <c r="DR5" s="45" t="str">
        <f aca="false">IF(n_Fecha1="","",EOMONTH(n_Fecha1,117-1))</f>
        <v/>
      </c>
      <c r="DS5" s="45" t="str">
        <f aca="false">IF(n_Fecha1="","",EOMONTH(n_Fecha1,118-1))</f>
        <v/>
      </c>
      <c r="DT5" s="45" t="str">
        <f aca="false">IF(n_Fecha1="","",EOMONTH(n_Fecha1,119-1))</f>
        <v/>
      </c>
      <c r="DU5" s="45" t="str">
        <f aca="false">IF(n_Fecha1="","",EOMONTH(n_Fecha1,120-1))</f>
        <v/>
      </c>
      <c r="DV5" s="45" t="str">
        <f aca="false">IF(n_Fecha1="","",EOMONTH(n_Fecha1,121-1))</f>
        <v/>
      </c>
      <c r="DW5" s="45" t="str">
        <f aca="false">IF(n_Fecha1="","",EOMONTH(n_Fecha1,122-1))</f>
        <v/>
      </c>
      <c r="DX5" s="45" t="str">
        <f aca="false">IF(n_Fecha1="","",EOMONTH(n_Fecha1,123-1))</f>
        <v/>
      </c>
      <c r="DY5" s="45" t="str">
        <f aca="false">IF(n_Fecha1="","",EOMONTH(n_Fecha1,124-1))</f>
        <v/>
      </c>
      <c r="DZ5" s="45" t="str">
        <f aca="false">IF(n_Fecha1="","",EOMONTH(n_Fecha1,125-1))</f>
        <v/>
      </c>
      <c r="EA5" s="45" t="str">
        <f aca="false">IF(n_Fecha1="","",EOMONTH(n_Fecha1,126-1))</f>
        <v/>
      </c>
      <c r="EB5" s="45" t="str">
        <f aca="false">IF(n_Fecha1="","",EOMONTH(n_Fecha1,127-1))</f>
        <v/>
      </c>
      <c r="EC5" s="45" t="str">
        <f aca="false">IF(n_Fecha1="","",EOMONTH(n_Fecha1,128-1))</f>
        <v/>
      </c>
      <c r="ED5" s="45" t="str">
        <f aca="false">IF(n_Fecha1="","",EOMONTH(n_Fecha1,129-1))</f>
        <v/>
      </c>
      <c r="EE5" s="45" t="str">
        <f aca="false">IF(n_Fecha1="","",EOMONTH(n_Fecha1,130-1))</f>
        <v/>
      </c>
      <c r="EF5" s="45" t="str">
        <f aca="false">IF(n_Fecha1="","",EOMONTH(n_Fecha1,131-1))</f>
        <v/>
      </c>
      <c r="EG5" s="45" t="str">
        <f aca="false">IF(n_Fecha1="","",EOMONTH(n_Fecha1,132-1))</f>
        <v/>
      </c>
      <c r="EH5" s="45" t="str">
        <f aca="false">IF(n_Fecha1="","",EOMONTH(n_Fecha1,133-1))</f>
        <v/>
      </c>
      <c r="EI5" s="45" t="str">
        <f aca="false">IF(n_Fecha1="","",EOMONTH(n_Fecha1,134-1))</f>
        <v/>
      </c>
      <c r="EJ5" s="45" t="str">
        <f aca="false">IF(n_Fecha1="","",EOMONTH(n_Fecha1,135-1))</f>
        <v/>
      </c>
      <c r="EK5" s="45" t="str">
        <f aca="false">IF(n_Fecha1="","",EOMONTH(n_Fecha1,136-1))</f>
        <v/>
      </c>
      <c r="EL5" s="45" t="str">
        <f aca="false">IF(n_Fecha1="","",EOMONTH(n_Fecha1,137-1))</f>
        <v/>
      </c>
      <c r="EM5" s="45" t="str">
        <f aca="false">IF(n_Fecha1="","",EOMONTH(n_Fecha1,138-1))</f>
        <v/>
      </c>
      <c r="EN5" s="45" t="str">
        <f aca="false">IF(n_Fecha1="","",EOMONTH(n_Fecha1,139-1))</f>
        <v/>
      </c>
      <c r="EO5" s="45" t="str">
        <f aca="false">IF(n_Fecha1="","",EOMONTH(n_Fecha1,140-1))</f>
        <v/>
      </c>
      <c r="EP5" s="45" t="str">
        <f aca="false">IF(n_Fecha1="","",EOMONTH(n_Fecha1,141-1))</f>
        <v/>
      </c>
      <c r="EQ5" s="45" t="str">
        <f aca="false">IF(n_Fecha1="","",EOMONTH(n_Fecha1,142-1))</f>
        <v/>
      </c>
      <c r="ER5" s="45" t="str">
        <f aca="false">IF(n_Fecha1="","",EOMONTH(n_Fecha1,143-1))</f>
        <v/>
      </c>
      <c r="ES5" s="45" t="str">
        <f aca="false">IF(n_Fecha1="","",EOMONTH(n_Fecha1,144-1))</f>
        <v/>
      </c>
    </row>
    <row r="6" customFormat="false" ht="15" hidden="false" customHeight="false" outlineLevel="0" collapsed="false">
      <c r="A6" s="43"/>
      <c r="B6" s="44" t="s">
        <v>331</v>
      </c>
      <c r="C6" s="43"/>
      <c r="D6" s="43"/>
      <c r="E6" s="43"/>
      <c r="F6" s="46" t="n">
        <f aca="false">ROUNDUP(1/12,0)</f>
        <v>1</v>
      </c>
      <c r="G6" s="46" t="n">
        <f aca="false">ROUNDUP(2/12,0)</f>
        <v>1</v>
      </c>
      <c r="H6" s="46" t="n">
        <f aca="false">ROUNDUP(3/12,0)</f>
        <v>1</v>
      </c>
      <c r="I6" s="46" t="n">
        <f aca="false">ROUNDUP(4/12,0)</f>
        <v>1</v>
      </c>
      <c r="J6" s="46" t="n">
        <f aca="false">ROUNDUP(5/12,0)</f>
        <v>1</v>
      </c>
      <c r="K6" s="46" t="n">
        <f aca="false">ROUNDUP(6/12,0)</f>
        <v>1</v>
      </c>
      <c r="L6" s="46" t="n">
        <f aca="false">ROUNDUP(7/12,0)</f>
        <v>1</v>
      </c>
      <c r="M6" s="46" t="n">
        <f aca="false">ROUNDUP(8/12,0)</f>
        <v>1</v>
      </c>
      <c r="N6" s="46" t="n">
        <f aca="false">ROUNDUP(9/12,0)</f>
        <v>1</v>
      </c>
      <c r="O6" s="46" t="n">
        <f aca="false">ROUNDUP(10/12,0)</f>
        <v>1</v>
      </c>
      <c r="P6" s="46" t="n">
        <f aca="false">ROUNDUP(11/12,0)</f>
        <v>1</v>
      </c>
      <c r="Q6" s="46" t="n">
        <f aca="false">ROUNDUP(12/12,0)</f>
        <v>1</v>
      </c>
      <c r="R6" s="46" t="n">
        <f aca="false">ROUNDUP(13/12,0)</f>
        <v>2</v>
      </c>
      <c r="S6" s="46" t="n">
        <f aca="false">ROUNDUP(14/12,0)</f>
        <v>2</v>
      </c>
      <c r="T6" s="46" t="n">
        <f aca="false">ROUNDUP(15/12,0)</f>
        <v>2</v>
      </c>
      <c r="U6" s="46" t="n">
        <f aca="false">ROUNDUP(16/12,0)</f>
        <v>2</v>
      </c>
      <c r="V6" s="46" t="n">
        <f aca="false">ROUNDUP(17/12,0)</f>
        <v>2</v>
      </c>
      <c r="W6" s="46" t="n">
        <f aca="false">ROUNDUP(18/12,0)</f>
        <v>2</v>
      </c>
      <c r="X6" s="46" t="n">
        <f aca="false">ROUNDUP(19/12,0)</f>
        <v>2</v>
      </c>
      <c r="Y6" s="46" t="n">
        <f aca="false">ROUNDUP(20/12,0)</f>
        <v>2</v>
      </c>
      <c r="Z6" s="46" t="n">
        <f aca="false">ROUNDUP(21/12,0)</f>
        <v>2</v>
      </c>
      <c r="AA6" s="46" t="n">
        <f aca="false">ROUNDUP(22/12,0)</f>
        <v>2</v>
      </c>
      <c r="AB6" s="46" t="n">
        <f aca="false">ROUNDUP(23/12,0)</f>
        <v>2</v>
      </c>
      <c r="AC6" s="46" t="n">
        <f aca="false">ROUNDUP(24/12,0)</f>
        <v>2</v>
      </c>
      <c r="AD6" s="46" t="n">
        <f aca="false">ROUNDUP(25/12,0)</f>
        <v>3</v>
      </c>
      <c r="AE6" s="46" t="n">
        <f aca="false">ROUNDUP(26/12,0)</f>
        <v>3</v>
      </c>
      <c r="AF6" s="46" t="n">
        <f aca="false">ROUNDUP(27/12,0)</f>
        <v>3</v>
      </c>
      <c r="AG6" s="46" t="n">
        <f aca="false">ROUNDUP(28/12,0)</f>
        <v>3</v>
      </c>
      <c r="AH6" s="46" t="n">
        <f aca="false">ROUNDUP(29/12,0)</f>
        <v>3</v>
      </c>
      <c r="AI6" s="46" t="n">
        <f aca="false">ROUNDUP(30/12,0)</f>
        <v>3</v>
      </c>
      <c r="AJ6" s="46" t="n">
        <f aca="false">ROUNDUP(31/12,0)</f>
        <v>3</v>
      </c>
      <c r="AK6" s="46" t="n">
        <f aca="false">ROUNDUP(32/12,0)</f>
        <v>3</v>
      </c>
      <c r="AL6" s="46" t="n">
        <f aca="false">ROUNDUP(33/12,0)</f>
        <v>3</v>
      </c>
      <c r="AM6" s="46" t="n">
        <f aca="false">ROUNDUP(34/12,0)</f>
        <v>3</v>
      </c>
      <c r="AN6" s="46" t="n">
        <f aca="false">ROUNDUP(35/12,0)</f>
        <v>3</v>
      </c>
      <c r="AO6" s="46" t="n">
        <f aca="false">ROUNDUP(36/12,0)</f>
        <v>3</v>
      </c>
      <c r="AP6" s="46" t="n">
        <f aca="false">ROUNDUP(37/12,0)</f>
        <v>4</v>
      </c>
      <c r="AQ6" s="46" t="n">
        <f aca="false">ROUNDUP(38/12,0)</f>
        <v>4</v>
      </c>
      <c r="AR6" s="46" t="n">
        <f aca="false">ROUNDUP(39/12,0)</f>
        <v>4</v>
      </c>
      <c r="AS6" s="46" t="n">
        <f aca="false">ROUNDUP(40/12,0)</f>
        <v>4</v>
      </c>
      <c r="AT6" s="46" t="n">
        <f aca="false">ROUNDUP(41/12,0)</f>
        <v>4</v>
      </c>
      <c r="AU6" s="46" t="n">
        <f aca="false">ROUNDUP(42/12,0)</f>
        <v>4</v>
      </c>
      <c r="AV6" s="46" t="n">
        <f aca="false">ROUNDUP(43/12,0)</f>
        <v>4</v>
      </c>
      <c r="AW6" s="46" t="n">
        <f aca="false">ROUNDUP(44/12,0)</f>
        <v>4</v>
      </c>
      <c r="AX6" s="46" t="n">
        <f aca="false">ROUNDUP(45/12,0)</f>
        <v>4</v>
      </c>
      <c r="AY6" s="46" t="n">
        <f aca="false">ROUNDUP(46/12,0)</f>
        <v>4</v>
      </c>
      <c r="AZ6" s="46" t="n">
        <f aca="false">ROUNDUP(47/12,0)</f>
        <v>4</v>
      </c>
      <c r="BA6" s="46" t="n">
        <f aca="false">ROUNDUP(48/12,0)</f>
        <v>4</v>
      </c>
      <c r="BB6" s="46" t="n">
        <f aca="false">ROUNDUP(49/12,0)</f>
        <v>5</v>
      </c>
      <c r="BC6" s="46" t="n">
        <f aca="false">ROUNDUP(50/12,0)</f>
        <v>5</v>
      </c>
      <c r="BD6" s="46" t="n">
        <f aca="false">ROUNDUP(51/12,0)</f>
        <v>5</v>
      </c>
      <c r="BE6" s="46" t="n">
        <f aca="false">ROUNDUP(52/12,0)</f>
        <v>5</v>
      </c>
      <c r="BF6" s="46" t="n">
        <f aca="false">ROUNDUP(53/12,0)</f>
        <v>5</v>
      </c>
      <c r="BG6" s="46" t="n">
        <f aca="false">ROUNDUP(54/12,0)</f>
        <v>5</v>
      </c>
      <c r="BH6" s="46" t="n">
        <f aca="false">ROUNDUP(55/12,0)</f>
        <v>5</v>
      </c>
      <c r="BI6" s="46" t="n">
        <f aca="false">ROUNDUP(56/12,0)</f>
        <v>5</v>
      </c>
      <c r="BJ6" s="46" t="n">
        <f aca="false">ROUNDUP(57/12,0)</f>
        <v>5</v>
      </c>
      <c r="BK6" s="46" t="n">
        <f aca="false">ROUNDUP(58/12,0)</f>
        <v>5</v>
      </c>
      <c r="BL6" s="46" t="n">
        <f aca="false">ROUNDUP(59/12,0)</f>
        <v>5</v>
      </c>
      <c r="BM6" s="46" t="n">
        <f aca="false">ROUNDUP(60/12,0)</f>
        <v>5</v>
      </c>
      <c r="BN6" s="46" t="n">
        <f aca="false">ROUNDUP(61/12,0)</f>
        <v>6</v>
      </c>
      <c r="BO6" s="46" t="n">
        <f aca="false">ROUNDUP(62/12,0)</f>
        <v>6</v>
      </c>
      <c r="BP6" s="46" t="n">
        <f aca="false">ROUNDUP(63/12,0)</f>
        <v>6</v>
      </c>
      <c r="BQ6" s="46" t="n">
        <f aca="false">ROUNDUP(64/12,0)</f>
        <v>6</v>
      </c>
      <c r="BR6" s="46" t="n">
        <f aca="false">ROUNDUP(65/12,0)</f>
        <v>6</v>
      </c>
      <c r="BS6" s="46" t="n">
        <f aca="false">ROUNDUP(66/12,0)</f>
        <v>6</v>
      </c>
      <c r="BT6" s="46" t="n">
        <f aca="false">ROUNDUP(67/12,0)</f>
        <v>6</v>
      </c>
      <c r="BU6" s="46" t="n">
        <f aca="false">ROUNDUP(68/12,0)</f>
        <v>6</v>
      </c>
      <c r="BV6" s="46" t="n">
        <f aca="false">ROUNDUP(69/12,0)</f>
        <v>6</v>
      </c>
      <c r="BW6" s="46" t="n">
        <f aca="false">ROUNDUP(70/12,0)</f>
        <v>6</v>
      </c>
      <c r="BX6" s="46" t="n">
        <f aca="false">ROUNDUP(71/12,0)</f>
        <v>6</v>
      </c>
      <c r="BY6" s="46" t="n">
        <f aca="false">ROUNDUP(72/12,0)</f>
        <v>6</v>
      </c>
      <c r="BZ6" s="46" t="n">
        <f aca="false">ROUNDUP(73/12,0)</f>
        <v>7</v>
      </c>
      <c r="CA6" s="46" t="n">
        <f aca="false">ROUNDUP(74/12,0)</f>
        <v>7</v>
      </c>
      <c r="CB6" s="46" t="n">
        <f aca="false">ROUNDUP(75/12,0)</f>
        <v>7</v>
      </c>
      <c r="CC6" s="46" t="n">
        <f aca="false">ROUNDUP(76/12,0)</f>
        <v>7</v>
      </c>
      <c r="CD6" s="46" t="n">
        <f aca="false">ROUNDUP(77/12,0)</f>
        <v>7</v>
      </c>
      <c r="CE6" s="46" t="n">
        <f aca="false">ROUNDUP(78/12,0)</f>
        <v>7</v>
      </c>
      <c r="CF6" s="46" t="n">
        <f aca="false">ROUNDUP(79/12,0)</f>
        <v>7</v>
      </c>
      <c r="CG6" s="46" t="n">
        <f aca="false">ROUNDUP(80/12,0)</f>
        <v>7</v>
      </c>
      <c r="CH6" s="46" t="n">
        <f aca="false">ROUNDUP(81/12,0)</f>
        <v>7</v>
      </c>
      <c r="CI6" s="46" t="n">
        <f aca="false">ROUNDUP(82/12,0)</f>
        <v>7</v>
      </c>
      <c r="CJ6" s="46" t="n">
        <f aca="false">ROUNDUP(83/12,0)</f>
        <v>7</v>
      </c>
      <c r="CK6" s="46" t="n">
        <f aca="false">ROUNDUP(84/12,0)</f>
        <v>7</v>
      </c>
      <c r="CL6" s="46" t="n">
        <f aca="false">ROUNDUP(85/12,0)</f>
        <v>8</v>
      </c>
      <c r="CM6" s="46" t="n">
        <f aca="false">ROUNDUP(86/12,0)</f>
        <v>8</v>
      </c>
      <c r="CN6" s="46" t="n">
        <f aca="false">ROUNDUP(87/12,0)</f>
        <v>8</v>
      </c>
      <c r="CO6" s="46" t="n">
        <f aca="false">ROUNDUP(88/12,0)</f>
        <v>8</v>
      </c>
      <c r="CP6" s="46" t="n">
        <f aca="false">ROUNDUP(89/12,0)</f>
        <v>8</v>
      </c>
      <c r="CQ6" s="46" t="n">
        <f aca="false">ROUNDUP(90/12,0)</f>
        <v>8</v>
      </c>
      <c r="CR6" s="46" t="n">
        <f aca="false">ROUNDUP(91/12,0)</f>
        <v>8</v>
      </c>
      <c r="CS6" s="46" t="n">
        <f aca="false">ROUNDUP(92/12,0)</f>
        <v>8</v>
      </c>
      <c r="CT6" s="46" t="n">
        <f aca="false">ROUNDUP(93/12,0)</f>
        <v>8</v>
      </c>
      <c r="CU6" s="46" t="n">
        <f aca="false">ROUNDUP(94/12,0)</f>
        <v>8</v>
      </c>
      <c r="CV6" s="46" t="n">
        <f aca="false">ROUNDUP(95/12,0)</f>
        <v>8</v>
      </c>
      <c r="CW6" s="46" t="n">
        <f aca="false">ROUNDUP(96/12,0)</f>
        <v>8</v>
      </c>
      <c r="CX6" s="46" t="n">
        <f aca="false">ROUNDUP(97/12,0)</f>
        <v>9</v>
      </c>
      <c r="CY6" s="46" t="n">
        <f aca="false">ROUNDUP(98/12,0)</f>
        <v>9</v>
      </c>
      <c r="CZ6" s="46" t="n">
        <f aca="false">ROUNDUP(99/12,0)</f>
        <v>9</v>
      </c>
      <c r="DA6" s="46" t="n">
        <f aca="false">ROUNDUP(100/12,0)</f>
        <v>9</v>
      </c>
      <c r="DB6" s="46" t="n">
        <f aca="false">ROUNDUP(101/12,0)</f>
        <v>9</v>
      </c>
      <c r="DC6" s="46" t="n">
        <f aca="false">ROUNDUP(102/12,0)</f>
        <v>9</v>
      </c>
      <c r="DD6" s="46" t="n">
        <f aca="false">ROUNDUP(103/12,0)</f>
        <v>9</v>
      </c>
      <c r="DE6" s="46" t="n">
        <f aca="false">ROUNDUP(104/12,0)</f>
        <v>9</v>
      </c>
      <c r="DF6" s="46" t="n">
        <f aca="false">ROUNDUP(105/12,0)</f>
        <v>9</v>
      </c>
      <c r="DG6" s="46" t="n">
        <f aca="false">ROUNDUP(106/12,0)</f>
        <v>9</v>
      </c>
      <c r="DH6" s="46" t="n">
        <f aca="false">ROUNDUP(107/12,0)</f>
        <v>9</v>
      </c>
      <c r="DI6" s="46" t="n">
        <f aca="false">ROUNDUP(108/12,0)</f>
        <v>9</v>
      </c>
      <c r="DJ6" s="46" t="n">
        <f aca="false">ROUNDUP(109/12,0)</f>
        <v>10</v>
      </c>
      <c r="DK6" s="46" t="n">
        <f aca="false">ROUNDUP(110/12,0)</f>
        <v>10</v>
      </c>
      <c r="DL6" s="46" t="n">
        <f aca="false">ROUNDUP(111/12,0)</f>
        <v>10</v>
      </c>
      <c r="DM6" s="46" t="n">
        <f aca="false">ROUNDUP(112/12,0)</f>
        <v>10</v>
      </c>
      <c r="DN6" s="46" t="n">
        <f aca="false">ROUNDUP(113/12,0)</f>
        <v>10</v>
      </c>
      <c r="DO6" s="46" t="n">
        <f aca="false">ROUNDUP(114/12,0)</f>
        <v>10</v>
      </c>
      <c r="DP6" s="46" t="n">
        <f aca="false">ROUNDUP(115/12,0)</f>
        <v>10</v>
      </c>
      <c r="DQ6" s="46" t="n">
        <f aca="false">ROUNDUP(116/12,0)</f>
        <v>10</v>
      </c>
      <c r="DR6" s="46" t="n">
        <f aca="false">ROUNDUP(117/12,0)</f>
        <v>10</v>
      </c>
      <c r="DS6" s="46" t="n">
        <f aca="false">ROUNDUP(118/12,0)</f>
        <v>10</v>
      </c>
      <c r="DT6" s="46" t="n">
        <f aca="false">ROUNDUP(119/12,0)</f>
        <v>10</v>
      </c>
      <c r="DU6" s="46" t="n">
        <f aca="false">ROUNDUP(120/12,0)</f>
        <v>10</v>
      </c>
      <c r="DV6" s="46" t="n">
        <f aca="false">ROUNDUP(121/12,0)</f>
        <v>11</v>
      </c>
      <c r="DW6" s="46" t="n">
        <f aca="false">ROUNDUP(122/12,0)</f>
        <v>11</v>
      </c>
      <c r="DX6" s="46" t="n">
        <f aca="false">ROUNDUP(123/12,0)</f>
        <v>11</v>
      </c>
      <c r="DY6" s="46" t="n">
        <f aca="false">ROUNDUP(124/12,0)</f>
        <v>11</v>
      </c>
      <c r="DZ6" s="46" t="n">
        <f aca="false">ROUNDUP(125/12,0)</f>
        <v>11</v>
      </c>
      <c r="EA6" s="46" t="n">
        <f aca="false">ROUNDUP(126/12,0)</f>
        <v>11</v>
      </c>
      <c r="EB6" s="46" t="n">
        <f aca="false">ROUNDUP(127/12,0)</f>
        <v>11</v>
      </c>
      <c r="EC6" s="46" t="n">
        <f aca="false">ROUNDUP(128/12,0)</f>
        <v>11</v>
      </c>
      <c r="ED6" s="46" t="n">
        <f aca="false">ROUNDUP(129/12,0)</f>
        <v>11</v>
      </c>
      <c r="EE6" s="46" t="n">
        <f aca="false">ROUNDUP(130/12,0)</f>
        <v>11</v>
      </c>
      <c r="EF6" s="46" t="n">
        <f aca="false">ROUNDUP(131/12,0)</f>
        <v>11</v>
      </c>
      <c r="EG6" s="46" t="n">
        <f aca="false">ROUNDUP(132/12,0)</f>
        <v>11</v>
      </c>
      <c r="EH6" s="46" t="n">
        <f aca="false">ROUNDUP(133/12,0)</f>
        <v>12</v>
      </c>
      <c r="EI6" s="46" t="n">
        <f aca="false">ROUNDUP(134/12,0)</f>
        <v>12</v>
      </c>
      <c r="EJ6" s="46" t="n">
        <f aca="false">ROUNDUP(135/12,0)</f>
        <v>12</v>
      </c>
      <c r="EK6" s="46" t="n">
        <f aca="false">ROUNDUP(136/12,0)</f>
        <v>12</v>
      </c>
      <c r="EL6" s="46" t="n">
        <f aca="false">ROUNDUP(137/12,0)</f>
        <v>12</v>
      </c>
      <c r="EM6" s="46" t="n">
        <f aca="false">ROUNDUP(138/12,0)</f>
        <v>12</v>
      </c>
      <c r="EN6" s="46" t="n">
        <f aca="false">ROUNDUP(139/12,0)</f>
        <v>12</v>
      </c>
      <c r="EO6" s="46" t="n">
        <f aca="false">ROUNDUP(140/12,0)</f>
        <v>12</v>
      </c>
      <c r="EP6" s="46" t="n">
        <f aca="false">ROUNDUP(141/12,0)</f>
        <v>12</v>
      </c>
      <c r="EQ6" s="46" t="n">
        <f aca="false">ROUNDUP(142/12,0)</f>
        <v>12</v>
      </c>
      <c r="ER6" s="46" t="n">
        <f aca="false">ROUNDUP(143/12,0)</f>
        <v>12</v>
      </c>
      <c r="ES6" s="46" t="n">
        <f aca="false">ROUNDUP(144/12,0)</f>
        <v>12</v>
      </c>
    </row>
    <row r="7" customFormat="false" ht="15" hidden="false" customHeight="false" outlineLevel="0" collapsed="false">
      <c r="A7" s="43"/>
      <c r="B7" s="44" t="s">
        <v>332</v>
      </c>
      <c r="C7" s="43"/>
      <c r="D7" s="43"/>
      <c r="E7" s="43"/>
      <c r="F7" s="5" t="str">
        <f aca="false">IF(1&lt;=Corte,"Cerrado","Abierto")</f>
        <v>Abierto</v>
      </c>
      <c r="G7" s="5" t="str">
        <f aca="false">IF(2&lt;=Corte,"Cerrado","Abierto")</f>
        <v>Abierto</v>
      </c>
      <c r="H7" s="5" t="str">
        <f aca="false">IF(3&lt;=Corte,"Cerrado","Abierto")</f>
        <v>Abierto</v>
      </c>
      <c r="I7" s="5" t="str">
        <f aca="false">IF(4&lt;=Corte,"Cerrado","Abierto")</f>
        <v>Abierto</v>
      </c>
      <c r="J7" s="5" t="str">
        <f aca="false">IF(5&lt;=Corte,"Cerrado","Abierto")</f>
        <v>Abierto</v>
      </c>
      <c r="K7" s="5" t="str">
        <f aca="false">IF(6&lt;=Corte,"Cerrado","Abierto")</f>
        <v>Abierto</v>
      </c>
      <c r="L7" s="5" t="str">
        <f aca="false">IF(7&lt;=Corte,"Cerrado","Abierto")</f>
        <v>Abierto</v>
      </c>
      <c r="M7" s="5" t="str">
        <f aca="false">IF(8&lt;=Corte,"Cerrado","Abierto")</f>
        <v>Abierto</v>
      </c>
      <c r="N7" s="5" t="str">
        <f aca="false">IF(9&lt;=Corte,"Cerrado","Abierto")</f>
        <v>Abierto</v>
      </c>
      <c r="O7" s="5" t="str">
        <f aca="false">IF(10&lt;=Corte,"Cerrado","Abierto")</f>
        <v>Abierto</v>
      </c>
      <c r="P7" s="5" t="str">
        <f aca="false">IF(11&lt;=Corte,"Cerrado","Abierto")</f>
        <v>Abierto</v>
      </c>
      <c r="Q7" s="5" t="str">
        <f aca="false">IF(12&lt;=Corte,"Cerrado","Abierto")</f>
        <v>Abierto</v>
      </c>
      <c r="R7" s="5" t="str">
        <f aca="false">IF(13&lt;=Corte,"Cerrado","Abierto")</f>
        <v>Abierto</v>
      </c>
      <c r="S7" s="5" t="str">
        <f aca="false">IF(14&lt;=Corte,"Cerrado","Abierto")</f>
        <v>Abierto</v>
      </c>
      <c r="T7" s="5" t="str">
        <f aca="false">IF(15&lt;=Corte,"Cerrado","Abierto")</f>
        <v>Abierto</v>
      </c>
      <c r="U7" s="5" t="str">
        <f aca="false">IF(16&lt;=Corte,"Cerrado","Abierto")</f>
        <v>Abierto</v>
      </c>
      <c r="V7" s="5" t="str">
        <f aca="false">IF(17&lt;=Corte,"Cerrado","Abierto")</f>
        <v>Abierto</v>
      </c>
      <c r="W7" s="5" t="str">
        <f aca="false">IF(18&lt;=Corte,"Cerrado","Abierto")</f>
        <v>Abierto</v>
      </c>
      <c r="X7" s="5" t="str">
        <f aca="false">IF(19&lt;=Corte,"Cerrado","Abierto")</f>
        <v>Abierto</v>
      </c>
      <c r="Y7" s="5" t="str">
        <f aca="false">IF(20&lt;=Corte,"Cerrado","Abierto")</f>
        <v>Abierto</v>
      </c>
      <c r="Z7" s="5" t="str">
        <f aca="false">IF(21&lt;=Corte,"Cerrado","Abierto")</f>
        <v>Abierto</v>
      </c>
      <c r="AA7" s="5" t="str">
        <f aca="false">IF(22&lt;=Corte,"Cerrado","Abierto")</f>
        <v>Abierto</v>
      </c>
      <c r="AB7" s="5" t="str">
        <f aca="false">IF(23&lt;=Corte,"Cerrado","Abierto")</f>
        <v>Abierto</v>
      </c>
      <c r="AC7" s="5" t="str">
        <f aca="false">IF(24&lt;=Corte,"Cerrado","Abierto")</f>
        <v>Abierto</v>
      </c>
      <c r="AD7" s="5" t="str">
        <f aca="false">IF(25&lt;=Corte,"Cerrado","Abierto")</f>
        <v>Abierto</v>
      </c>
      <c r="AE7" s="5" t="str">
        <f aca="false">IF(26&lt;=Corte,"Cerrado","Abierto")</f>
        <v>Abierto</v>
      </c>
      <c r="AF7" s="5" t="str">
        <f aca="false">IF(27&lt;=Corte,"Cerrado","Abierto")</f>
        <v>Abierto</v>
      </c>
      <c r="AG7" s="5" t="str">
        <f aca="false">IF(28&lt;=Corte,"Cerrado","Abierto")</f>
        <v>Abierto</v>
      </c>
      <c r="AH7" s="5" t="str">
        <f aca="false">IF(29&lt;=Corte,"Cerrado","Abierto")</f>
        <v>Abierto</v>
      </c>
      <c r="AI7" s="5" t="str">
        <f aca="false">IF(30&lt;=Corte,"Cerrado","Abierto")</f>
        <v>Abierto</v>
      </c>
      <c r="AJ7" s="5" t="str">
        <f aca="false">IF(31&lt;=Corte,"Cerrado","Abierto")</f>
        <v>Abierto</v>
      </c>
      <c r="AK7" s="5" t="str">
        <f aca="false">IF(32&lt;=Corte,"Cerrado","Abierto")</f>
        <v>Abierto</v>
      </c>
      <c r="AL7" s="5" t="str">
        <f aca="false">IF(33&lt;=Corte,"Cerrado","Abierto")</f>
        <v>Abierto</v>
      </c>
      <c r="AM7" s="5" t="str">
        <f aca="false">IF(34&lt;=Corte,"Cerrado","Abierto")</f>
        <v>Abierto</v>
      </c>
      <c r="AN7" s="5" t="str">
        <f aca="false">IF(35&lt;=Corte,"Cerrado","Abierto")</f>
        <v>Abierto</v>
      </c>
      <c r="AO7" s="5" t="str">
        <f aca="false">IF(36&lt;=Corte,"Cerrado","Abierto")</f>
        <v>Abierto</v>
      </c>
      <c r="AP7" s="5" t="str">
        <f aca="false">IF(37&lt;=Corte,"Cerrado","Abierto")</f>
        <v>Abierto</v>
      </c>
      <c r="AQ7" s="5" t="str">
        <f aca="false">IF(38&lt;=Corte,"Cerrado","Abierto")</f>
        <v>Abierto</v>
      </c>
      <c r="AR7" s="5" t="str">
        <f aca="false">IF(39&lt;=Corte,"Cerrado","Abierto")</f>
        <v>Abierto</v>
      </c>
      <c r="AS7" s="5" t="str">
        <f aca="false">IF(40&lt;=Corte,"Cerrado","Abierto")</f>
        <v>Abierto</v>
      </c>
      <c r="AT7" s="5" t="str">
        <f aca="false">IF(41&lt;=Corte,"Cerrado","Abierto")</f>
        <v>Abierto</v>
      </c>
      <c r="AU7" s="5" t="str">
        <f aca="false">IF(42&lt;=Corte,"Cerrado","Abierto")</f>
        <v>Abierto</v>
      </c>
      <c r="AV7" s="5" t="str">
        <f aca="false">IF(43&lt;=Corte,"Cerrado","Abierto")</f>
        <v>Abierto</v>
      </c>
      <c r="AW7" s="5" t="str">
        <f aca="false">IF(44&lt;=Corte,"Cerrado","Abierto")</f>
        <v>Abierto</v>
      </c>
      <c r="AX7" s="5" t="str">
        <f aca="false">IF(45&lt;=Corte,"Cerrado","Abierto")</f>
        <v>Abierto</v>
      </c>
      <c r="AY7" s="5" t="str">
        <f aca="false">IF(46&lt;=Corte,"Cerrado","Abierto")</f>
        <v>Abierto</v>
      </c>
      <c r="AZ7" s="5" t="str">
        <f aca="false">IF(47&lt;=Corte,"Cerrado","Abierto")</f>
        <v>Abierto</v>
      </c>
      <c r="BA7" s="5" t="str">
        <f aca="false">IF(48&lt;=Corte,"Cerrado","Abierto")</f>
        <v>Abierto</v>
      </c>
      <c r="BB7" s="5" t="str">
        <f aca="false">IF(49&lt;=Corte,"Cerrado","Abierto")</f>
        <v>Abierto</v>
      </c>
      <c r="BC7" s="5" t="str">
        <f aca="false">IF(50&lt;=Corte,"Cerrado","Abierto")</f>
        <v>Abierto</v>
      </c>
      <c r="BD7" s="5" t="str">
        <f aca="false">IF(51&lt;=Corte,"Cerrado","Abierto")</f>
        <v>Abierto</v>
      </c>
      <c r="BE7" s="5" t="str">
        <f aca="false">IF(52&lt;=Corte,"Cerrado","Abierto")</f>
        <v>Abierto</v>
      </c>
      <c r="BF7" s="5" t="str">
        <f aca="false">IF(53&lt;=Corte,"Cerrado","Abierto")</f>
        <v>Abierto</v>
      </c>
      <c r="BG7" s="5" t="str">
        <f aca="false">IF(54&lt;=Corte,"Cerrado","Abierto")</f>
        <v>Abierto</v>
      </c>
      <c r="BH7" s="5" t="str">
        <f aca="false">IF(55&lt;=Corte,"Cerrado","Abierto")</f>
        <v>Abierto</v>
      </c>
      <c r="BI7" s="5" t="str">
        <f aca="false">IF(56&lt;=Corte,"Cerrado","Abierto")</f>
        <v>Abierto</v>
      </c>
      <c r="BJ7" s="5" t="str">
        <f aca="false">IF(57&lt;=Corte,"Cerrado","Abierto")</f>
        <v>Abierto</v>
      </c>
      <c r="BK7" s="5" t="str">
        <f aca="false">IF(58&lt;=Corte,"Cerrado","Abierto")</f>
        <v>Abierto</v>
      </c>
      <c r="BL7" s="5" t="str">
        <f aca="false">IF(59&lt;=Corte,"Cerrado","Abierto")</f>
        <v>Abierto</v>
      </c>
      <c r="BM7" s="5" t="str">
        <f aca="false">IF(60&lt;=Corte,"Cerrado","Abierto")</f>
        <v>Abierto</v>
      </c>
      <c r="BN7" s="5" t="str">
        <f aca="false">IF(61&lt;=Corte,"Cerrado","Abierto")</f>
        <v>Abierto</v>
      </c>
      <c r="BO7" s="5" t="str">
        <f aca="false">IF(62&lt;=Corte,"Cerrado","Abierto")</f>
        <v>Abierto</v>
      </c>
      <c r="BP7" s="5" t="str">
        <f aca="false">IF(63&lt;=Corte,"Cerrado","Abierto")</f>
        <v>Abierto</v>
      </c>
      <c r="BQ7" s="5" t="str">
        <f aca="false">IF(64&lt;=Corte,"Cerrado","Abierto")</f>
        <v>Abierto</v>
      </c>
      <c r="BR7" s="5" t="str">
        <f aca="false">IF(65&lt;=Corte,"Cerrado","Abierto")</f>
        <v>Abierto</v>
      </c>
      <c r="BS7" s="5" t="str">
        <f aca="false">IF(66&lt;=Corte,"Cerrado","Abierto")</f>
        <v>Abierto</v>
      </c>
      <c r="BT7" s="5" t="str">
        <f aca="false">IF(67&lt;=Corte,"Cerrado","Abierto")</f>
        <v>Abierto</v>
      </c>
      <c r="BU7" s="5" t="str">
        <f aca="false">IF(68&lt;=Corte,"Cerrado","Abierto")</f>
        <v>Abierto</v>
      </c>
      <c r="BV7" s="5" t="str">
        <f aca="false">IF(69&lt;=Corte,"Cerrado","Abierto")</f>
        <v>Abierto</v>
      </c>
      <c r="BW7" s="5" t="str">
        <f aca="false">IF(70&lt;=Corte,"Cerrado","Abierto")</f>
        <v>Abierto</v>
      </c>
      <c r="BX7" s="5" t="str">
        <f aca="false">IF(71&lt;=Corte,"Cerrado","Abierto")</f>
        <v>Abierto</v>
      </c>
      <c r="BY7" s="5" t="str">
        <f aca="false">IF(72&lt;=Corte,"Cerrado","Abierto")</f>
        <v>Abierto</v>
      </c>
      <c r="BZ7" s="5" t="str">
        <f aca="false">IF(73&lt;=Corte,"Cerrado","Abierto")</f>
        <v>Abierto</v>
      </c>
      <c r="CA7" s="5" t="str">
        <f aca="false">IF(74&lt;=Corte,"Cerrado","Abierto")</f>
        <v>Abierto</v>
      </c>
      <c r="CB7" s="5" t="str">
        <f aca="false">IF(75&lt;=Corte,"Cerrado","Abierto")</f>
        <v>Abierto</v>
      </c>
      <c r="CC7" s="5" t="str">
        <f aca="false">IF(76&lt;=Corte,"Cerrado","Abierto")</f>
        <v>Abierto</v>
      </c>
      <c r="CD7" s="5" t="str">
        <f aca="false">IF(77&lt;=Corte,"Cerrado","Abierto")</f>
        <v>Abierto</v>
      </c>
      <c r="CE7" s="5" t="str">
        <f aca="false">IF(78&lt;=Corte,"Cerrado","Abierto")</f>
        <v>Abierto</v>
      </c>
      <c r="CF7" s="5" t="str">
        <f aca="false">IF(79&lt;=Corte,"Cerrado","Abierto")</f>
        <v>Abierto</v>
      </c>
      <c r="CG7" s="5" t="str">
        <f aca="false">IF(80&lt;=Corte,"Cerrado","Abierto")</f>
        <v>Abierto</v>
      </c>
      <c r="CH7" s="5" t="str">
        <f aca="false">IF(81&lt;=Corte,"Cerrado","Abierto")</f>
        <v>Abierto</v>
      </c>
      <c r="CI7" s="5" t="str">
        <f aca="false">IF(82&lt;=Corte,"Cerrado","Abierto")</f>
        <v>Abierto</v>
      </c>
      <c r="CJ7" s="5" t="str">
        <f aca="false">IF(83&lt;=Corte,"Cerrado","Abierto")</f>
        <v>Abierto</v>
      </c>
      <c r="CK7" s="5" t="str">
        <f aca="false">IF(84&lt;=Corte,"Cerrado","Abierto")</f>
        <v>Abierto</v>
      </c>
      <c r="CL7" s="5" t="str">
        <f aca="false">IF(85&lt;=Corte,"Cerrado","Abierto")</f>
        <v>Abierto</v>
      </c>
      <c r="CM7" s="5" t="str">
        <f aca="false">IF(86&lt;=Corte,"Cerrado","Abierto")</f>
        <v>Abierto</v>
      </c>
      <c r="CN7" s="5" t="str">
        <f aca="false">IF(87&lt;=Corte,"Cerrado","Abierto")</f>
        <v>Abierto</v>
      </c>
      <c r="CO7" s="5" t="str">
        <f aca="false">IF(88&lt;=Corte,"Cerrado","Abierto")</f>
        <v>Abierto</v>
      </c>
      <c r="CP7" s="5" t="str">
        <f aca="false">IF(89&lt;=Corte,"Cerrado","Abierto")</f>
        <v>Abierto</v>
      </c>
      <c r="CQ7" s="5" t="str">
        <f aca="false">IF(90&lt;=Corte,"Cerrado","Abierto")</f>
        <v>Abierto</v>
      </c>
      <c r="CR7" s="5" t="str">
        <f aca="false">IF(91&lt;=Corte,"Cerrado","Abierto")</f>
        <v>Abierto</v>
      </c>
      <c r="CS7" s="5" t="str">
        <f aca="false">IF(92&lt;=Corte,"Cerrado","Abierto")</f>
        <v>Abierto</v>
      </c>
      <c r="CT7" s="5" t="str">
        <f aca="false">IF(93&lt;=Corte,"Cerrado","Abierto")</f>
        <v>Abierto</v>
      </c>
      <c r="CU7" s="5" t="str">
        <f aca="false">IF(94&lt;=Corte,"Cerrado","Abierto")</f>
        <v>Abierto</v>
      </c>
      <c r="CV7" s="5" t="str">
        <f aca="false">IF(95&lt;=Corte,"Cerrado","Abierto")</f>
        <v>Abierto</v>
      </c>
      <c r="CW7" s="5" t="str">
        <f aca="false">IF(96&lt;=Corte,"Cerrado","Abierto")</f>
        <v>Abierto</v>
      </c>
      <c r="CX7" s="5" t="str">
        <f aca="false">IF(97&lt;=Corte,"Cerrado","Abierto")</f>
        <v>Abierto</v>
      </c>
      <c r="CY7" s="5" t="str">
        <f aca="false">IF(98&lt;=Corte,"Cerrado","Abierto")</f>
        <v>Abierto</v>
      </c>
      <c r="CZ7" s="5" t="str">
        <f aca="false">IF(99&lt;=Corte,"Cerrado","Abierto")</f>
        <v>Abierto</v>
      </c>
      <c r="DA7" s="5" t="str">
        <f aca="false">IF(100&lt;=Corte,"Cerrado","Abierto")</f>
        <v>Abierto</v>
      </c>
      <c r="DB7" s="5" t="str">
        <f aca="false">IF(101&lt;=Corte,"Cerrado","Abierto")</f>
        <v>Abierto</v>
      </c>
      <c r="DC7" s="5" t="str">
        <f aca="false">IF(102&lt;=Corte,"Cerrado","Abierto")</f>
        <v>Abierto</v>
      </c>
      <c r="DD7" s="5" t="str">
        <f aca="false">IF(103&lt;=Corte,"Cerrado","Abierto")</f>
        <v>Abierto</v>
      </c>
      <c r="DE7" s="5" t="str">
        <f aca="false">IF(104&lt;=Corte,"Cerrado","Abierto")</f>
        <v>Abierto</v>
      </c>
      <c r="DF7" s="5" t="str">
        <f aca="false">IF(105&lt;=Corte,"Cerrado","Abierto")</f>
        <v>Abierto</v>
      </c>
      <c r="DG7" s="5" t="str">
        <f aca="false">IF(106&lt;=Corte,"Cerrado","Abierto")</f>
        <v>Abierto</v>
      </c>
      <c r="DH7" s="5" t="str">
        <f aca="false">IF(107&lt;=Corte,"Cerrado","Abierto")</f>
        <v>Abierto</v>
      </c>
      <c r="DI7" s="5" t="str">
        <f aca="false">IF(108&lt;=Corte,"Cerrado","Abierto")</f>
        <v>Abierto</v>
      </c>
      <c r="DJ7" s="5" t="str">
        <f aca="false">IF(109&lt;=Corte,"Cerrado","Abierto")</f>
        <v>Abierto</v>
      </c>
      <c r="DK7" s="5" t="str">
        <f aca="false">IF(110&lt;=Corte,"Cerrado","Abierto")</f>
        <v>Abierto</v>
      </c>
      <c r="DL7" s="5" t="str">
        <f aca="false">IF(111&lt;=Corte,"Cerrado","Abierto")</f>
        <v>Abierto</v>
      </c>
      <c r="DM7" s="5" t="str">
        <f aca="false">IF(112&lt;=Corte,"Cerrado","Abierto")</f>
        <v>Abierto</v>
      </c>
      <c r="DN7" s="5" t="str">
        <f aca="false">IF(113&lt;=Corte,"Cerrado","Abierto")</f>
        <v>Abierto</v>
      </c>
      <c r="DO7" s="5" t="str">
        <f aca="false">IF(114&lt;=Corte,"Cerrado","Abierto")</f>
        <v>Abierto</v>
      </c>
      <c r="DP7" s="5" t="str">
        <f aca="false">IF(115&lt;=Corte,"Cerrado","Abierto")</f>
        <v>Abierto</v>
      </c>
      <c r="DQ7" s="5" t="str">
        <f aca="false">IF(116&lt;=Corte,"Cerrado","Abierto")</f>
        <v>Abierto</v>
      </c>
      <c r="DR7" s="5" t="str">
        <f aca="false">IF(117&lt;=Corte,"Cerrado","Abierto")</f>
        <v>Abierto</v>
      </c>
      <c r="DS7" s="5" t="str">
        <f aca="false">IF(118&lt;=Corte,"Cerrado","Abierto")</f>
        <v>Abierto</v>
      </c>
      <c r="DT7" s="5" t="str">
        <f aca="false">IF(119&lt;=Corte,"Cerrado","Abierto")</f>
        <v>Abierto</v>
      </c>
      <c r="DU7" s="5" t="str">
        <f aca="false">IF(120&lt;=Corte,"Cerrado","Abierto")</f>
        <v>Abierto</v>
      </c>
      <c r="DV7" s="5" t="str">
        <f aca="false">IF(121&lt;=Corte,"Cerrado","Abierto")</f>
        <v>Abierto</v>
      </c>
      <c r="DW7" s="5" t="str">
        <f aca="false">IF(122&lt;=Corte,"Cerrado","Abierto")</f>
        <v>Abierto</v>
      </c>
      <c r="DX7" s="5" t="str">
        <f aca="false">IF(123&lt;=Corte,"Cerrado","Abierto")</f>
        <v>Abierto</v>
      </c>
      <c r="DY7" s="5" t="str">
        <f aca="false">IF(124&lt;=Corte,"Cerrado","Abierto")</f>
        <v>Abierto</v>
      </c>
      <c r="DZ7" s="5" t="str">
        <f aca="false">IF(125&lt;=Corte,"Cerrado","Abierto")</f>
        <v>Abierto</v>
      </c>
      <c r="EA7" s="5" t="str">
        <f aca="false">IF(126&lt;=Corte,"Cerrado","Abierto")</f>
        <v>Abierto</v>
      </c>
      <c r="EB7" s="5" t="str">
        <f aca="false">IF(127&lt;=Corte,"Cerrado","Abierto")</f>
        <v>Abierto</v>
      </c>
      <c r="EC7" s="5" t="str">
        <f aca="false">IF(128&lt;=Corte,"Cerrado","Abierto")</f>
        <v>Abierto</v>
      </c>
      <c r="ED7" s="5" t="str">
        <f aca="false">IF(129&lt;=Corte,"Cerrado","Abierto")</f>
        <v>Abierto</v>
      </c>
      <c r="EE7" s="5" t="str">
        <f aca="false">IF(130&lt;=Corte,"Cerrado","Abierto")</f>
        <v>Abierto</v>
      </c>
      <c r="EF7" s="5" t="str">
        <f aca="false">IF(131&lt;=Corte,"Cerrado","Abierto")</f>
        <v>Abierto</v>
      </c>
      <c r="EG7" s="5" t="str">
        <f aca="false">IF(132&lt;=Corte,"Cerrado","Abierto")</f>
        <v>Abierto</v>
      </c>
      <c r="EH7" s="5" t="str">
        <f aca="false">IF(133&lt;=Corte,"Cerrado","Abierto")</f>
        <v>Abierto</v>
      </c>
      <c r="EI7" s="5" t="str">
        <f aca="false">IF(134&lt;=Corte,"Cerrado","Abierto")</f>
        <v>Abierto</v>
      </c>
      <c r="EJ7" s="5" t="str">
        <f aca="false">IF(135&lt;=Corte,"Cerrado","Abierto")</f>
        <v>Abierto</v>
      </c>
      <c r="EK7" s="5" t="str">
        <f aca="false">IF(136&lt;=Corte,"Cerrado","Abierto")</f>
        <v>Abierto</v>
      </c>
      <c r="EL7" s="5" t="str">
        <f aca="false">IF(137&lt;=Corte,"Cerrado","Abierto")</f>
        <v>Abierto</v>
      </c>
      <c r="EM7" s="5" t="str">
        <f aca="false">IF(138&lt;=Corte,"Cerrado","Abierto")</f>
        <v>Abierto</v>
      </c>
      <c r="EN7" s="5" t="str">
        <f aca="false">IF(139&lt;=Corte,"Cerrado","Abierto")</f>
        <v>Abierto</v>
      </c>
      <c r="EO7" s="5" t="str">
        <f aca="false">IF(140&lt;=Corte,"Cerrado","Abierto")</f>
        <v>Abierto</v>
      </c>
      <c r="EP7" s="5" t="str">
        <f aca="false">IF(141&lt;=Corte,"Cerrado","Abierto")</f>
        <v>Abierto</v>
      </c>
      <c r="EQ7" s="5" t="str">
        <f aca="false">IF(142&lt;=Corte,"Cerrado","Abierto")</f>
        <v>Abierto</v>
      </c>
      <c r="ER7" s="5" t="str">
        <f aca="false">IF(143&lt;=Corte,"Cerrado","Abierto")</f>
        <v>Abierto</v>
      </c>
      <c r="ES7" s="5" t="str">
        <f aca="false">IF(144&lt;=Corte,"Cerrado","Abierto")</f>
        <v>Abierto</v>
      </c>
    </row>
    <row r="9" customFormat="false" ht="15" hidden="false" customHeight="false" outlineLevel="0" collapsed="false">
      <c r="A9" s="3" t="s">
        <v>333</v>
      </c>
      <c r="B9" s="4"/>
      <c r="C9" s="4"/>
      <c r="D9" s="4"/>
      <c r="E9" s="4"/>
    </row>
    <row r="10" customFormat="false" ht="15" hidden="false" customHeight="false" outlineLevel="0" collapsed="false">
      <c r="A10" s="2" t="s">
        <v>168</v>
      </c>
      <c r="B10" s="6" t="s">
        <v>334</v>
      </c>
      <c r="C10" s="6" t="s">
        <v>170</v>
      </c>
      <c r="D10" s="10"/>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c r="BM10" s="22"/>
      <c r="BN10" s="22"/>
      <c r="BO10" s="22"/>
      <c r="BP10" s="22"/>
      <c r="BQ10" s="22"/>
      <c r="BR10" s="22"/>
      <c r="BS10" s="22"/>
      <c r="BT10" s="22"/>
      <c r="BU10" s="22"/>
      <c r="BV10" s="22"/>
      <c r="BW10" s="22"/>
      <c r="BX10" s="22"/>
      <c r="BY10" s="22"/>
      <c r="BZ10" s="22"/>
      <c r="CA10" s="22"/>
      <c r="CB10" s="22"/>
      <c r="CC10" s="22"/>
      <c r="CD10" s="22"/>
      <c r="CE10" s="22"/>
      <c r="CF10" s="22"/>
      <c r="CG10" s="22"/>
      <c r="CH10" s="22"/>
      <c r="CI10" s="22"/>
      <c r="CJ10" s="22"/>
      <c r="CK10" s="22"/>
      <c r="CL10" s="22"/>
      <c r="CM10" s="22"/>
      <c r="CN10" s="22"/>
      <c r="CO10" s="22"/>
      <c r="CP10" s="22"/>
      <c r="CQ10" s="22"/>
      <c r="CR10" s="22"/>
      <c r="CS10" s="22"/>
      <c r="CT10" s="22"/>
      <c r="CU10" s="22"/>
      <c r="CV10" s="22"/>
      <c r="CW10" s="22"/>
      <c r="CX10" s="22"/>
      <c r="CY10" s="22"/>
      <c r="CZ10" s="22"/>
      <c r="DA10" s="22"/>
      <c r="DB10" s="22"/>
      <c r="DC10" s="22"/>
      <c r="DD10" s="22"/>
      <c r="DE10" s="22"/>
      <c r="DF10" s="22"/>
      <c r="DG10" s="22"/>
      <c r="DH10" s="22"/>
      <c r="DI10" s="22"/>
      <c r="DJ10" s="22"/>
      <c r="DK10" s="22"/>
      <c r="DL10" s="22"/>
      <c r="DM10" s="22"/>
      <c r="DN10" s="22"/>
      <c r="DO10" s="22"/>
      <c r="DP10" s="22"/>
      <c r="DQ10" s="22"/>
      <c r="DR10" s="22"/>
      <c r="DS10" s="22"/>
      <c r="DT10" s="22"/>
      <c r="DU10" s="22"/>
      <c r="DV10" s="22"/>
      <c r="DW10" s="22"/>
      <c r="DX10" s="22"/>
      <c r="DY10" s="22"/>
      <c r="DZ10" s="22"/>
      <c r="EA10" s="22"/>
      <c r="EB10" s="22"/>
      <c r="EC10" s="22"/>
      <c r="ED10" s="22"/>
      <c r="EE10" s="22"/>
      <c r="EF10" s="22"/>
      <c r="EG10" s="22"/>
      <c r="EH10" s="22"/>
      <c r="EI10" s="22"/>
      <c r="EJ10" s="22"/>
      <c r="EK10" s="22"/>
      <c r="EL10" s="22"/>
      <c r="EM10" s="22"/>
      <c r="EN10" s="22"/>
      <c r="EO10" s="22"/>
      <c r="EP10" s="22"/>
      <c r="EQ10" s="22"/>
      <c r="ER10" s="22"/>
      <c r="ES10" s="22"/>
    </row>
    <row r="11" customFormat="false" ht="15" hidden="false" customHeight="false" outlineLevel="0" collapsed="false">
      <c r="A11" s="3" t="s">
        <v>335</v>
      </c>
      <c r="B11" s="4"/>
      <c r="C11" s="4"/>
      <c r="D11" s="4"/>
      <c r="E11" s="4"/>
    </row>
    <row r="12" customFormat="false" ht="15" hidden="false" customHeight="false" outlineLevel="0" collapsed="false">
      <c r="A12" s="2" t="s">
        <v>336</v>
      </c>
      <c r="B12" s="39" t="str">
        <f aca="false">IF(INDEX(Prod_Nombre,1)="","Producto 1 (unidades)",INDEX(Prod_Nombre,1)&amp;" (unidades)")</f>
        <v>Producto 1 (unidades)</v>
      </c>
      <c r="C12" s="6" t="s">
        <v>337</v>
      </c>
      <c r="D12" s="10" t="n">
        <f aca="false">SUM(F12:ES12)</f>
        <v>0</v>
      </c>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c r="BM12" s="22"/>
      <c r="BN12" s="22"/>
      <c r="BO12" s="22"/>
      <c r="BP12" s="22"/>
      <c r="BQ12" s="22"/>
      <c r="BR12" s="22"/>
      <c r="BS12" s="22"/>
      <c r="BT12" s="22"/>
      <c r="BU12" s="22"/>
      <c r="BV12" s="22"/>
      <c r="BW12" s="22"/>
      <c r="BX12" s="22"/>
      <c r="BY12" s="22"/>
      <c r="BZ12" s="22"/>
      <c r="CA12" s="22"/>
      <c r="CB12" s="22"/>
      <c r="CC12" s="22"/>
      <c r="CD12" s="22"/>
      <c r="CE12" s="22"/>
      <c r="CF12" s="22"/>
      <c r="CG12" s="22"/>
      <c r="CH12" s="22"/>
      <c r="CI12" s="22"/>
      <c r="CJ12" s="22"/>
      <c r="CK12" s="22"/>
      <c r="CL12" s="22"/>
      <c r="CM12" s="22"/>
      <c r="CN12" s="22"/>
      <c r="CO12" s="22"/>
      <c r="CP12" s="22"/>
      <c r="CQ12" s="22"/>
      <c r="CR12" s="22"/>
      <c r="CS12" s="22"/>
      <c r="CT12" s="22"/>
      <c r="CU12" s="22"/>
      <c r="CV12" s="22"/>
      <c r="CW12" s="22"/>
      <c r="CX12" s="22"/>
      <c r="CY12" s="22"/>
      <c r="CZ12" s="22"/>
      <c r="DA12" s="22"/>
      <c r="DB12" s="22"/>
      <c r="DC12" s="22"/>
      <c r="DD12" s="22"/>
      <c r="DE12" s="22"/>
      <c r="DF12" s="22"/>
      <c r="DG12" s="22"/>
      <c r="DH12" s="22"/>
      <c r="DI12" s="22"/>
      <c r="DJ12" s="22"/>
      <c r="DK12" s="22"/>
      <c r="DL12" s="22"/>
      <c r="DM12" s="22"/>
      <c r="DN12" s="22"/>
      <c r="DO12" s="22"/>
      <c r="DP12" s="22"/>
      <c r="DQ12" s="22"/>
      <c r="DR12" s="22"/>
      <c r="DS12" s="22"/>
      <c r="DT12" s="22"/>
      <c r="DU12" s="22"/>
      <c r="DV12" s="22"/>
      <c r="DW12" s="22"/>
      <c r="DX12" s="22"/>
      <c r="DY12" s="22"/>
      <c r="DZ12" s="22"/>
      <c r="EA12" s="22"/>
      <c r="EB12" s="22"/>
      <c r="EC12" s="22"/>
      <c r="ED12" s="22"/>
      <c r="EE12" s="22"/>
      <c r="EF12" s="22"/>
      <c r="EG12" s="22"/>
      <c r="EH12" s="22"/>
      <c r="EI12" s="22"/>
      <c r="EJ12" s="22"/>
      <c r="EK12" s="22"/>
      <c r="EL12" s="22"/>
      <c r="EM12" s="22"/>
      <c r="EN12" s="22"/>
      <c r="EO12" s="22"/>
      <c r="EP12" s="22"/>
      <c r="EQ12" s="22"/>
      <c r="ER12" s="22"/>
      <c r="ES12" s="22"/>
    </row>
    <row r="13" customFormat="false" ht="15" hidden="false" customHeight="false" outlineLevel="0" collapsed="false">
      <c r="A13" s="2" t="s">
        <v>338</v>
      </c>
      <c r="B13" s="39" t="str">
        <f aca="false">IF(INDEX(Prod_Nombre,2)="","Producto 2 (unidades)",INDEX(Prod_Nombre,2)&amp;" (unidades)")</f>
        <v>Producto 2 (unidades)</v>
      </c>
      <c r="C13" s="6" t="s">
        <v>337</v>
      </c>
      <c r="D13" s="10" t="n">
        <f aca="false">SUM(F13:ES13)</f>
        <v>0</v>
      </c>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c r="BM13" s="22"/>
      <c r="BN13" s="22"/>
      <c r="BO13" s="22"/>
      <c r="BP13" s="22"/>
      <c r="BQ13" s="22"/>
      <c r="BR13" s="22"/>
      <c r="BS13" s="22"/>
      <c r="BT13" s="22"/>
      <c r="BU13" s="22"/>
      <c r="BV13" s="22"/>
      <c r="BW13" s="22"/>
      <c r="BX13" s="22"/>
      <c r="BY13" s="22"/>
      <c r="BZ13" s="22"/>
      <c r="CA13" s="22"/>
      <c r="CB13" s="22"/>
      <c r="CC13" s="22"/>
      <c r="CD13" s="22"/>
      <c r="CE13" s="22"/>
      <c r="CF13" s="22"/>
      <c r="CG13" s="22"/>
      <c r="CH13" s="22"/>
      <c r="CI13" s="22"/>
      <c r="CJ13" s="22"/>
      <c r="CK13" s="22"/>
      <c r="CL13" s="22"/>
      <c r="CM13" s="22"/>
      <c r="CN13" s="22"/>
      <c r="CO13" s="22"/>
      <c r="CP13" s="22"/>
      <c r="CQ13" s="22"/>
      <c r="CR13" s="22"/>
      <c r="CS13" s="22"/>
      <c r="CT13" s="22"/>
      <c r="CU13" s="22"/>
      <c r="CV13" s="22"/>
      <c r="CW13" s="22"/>
      <c r="CX13" s="22"/>
      <c r="CY13" s="22"/>
      <c r="CZ13" s="22"/>
      <c r="DA13" s="22"/>
      <c r="DB13" s="22"/>
      <c r="DC13" s="22"/>
      <c r="DD13" s="22"/>
      <c r="DE13" s="22"/>
      <c r="DF13" s="22"/>
      <c r="DG13" s="22"/>
      <c r="DH13" s="22"/>
      <c r="DI13" s="22"/>
      <c r="DJ13" s="22"/>
      <c r="DK13" s="22"/>
      <c r="DL13" s="22"/>
      <c r="DM13" s="22"/>
      <c r="DN13" s="22"/>
      <c r="DO13" s="22"/>
      <c r="DP13" s="22"/>
      <c r="DQ13" s="22"/>
      <c r="DR13" s="22"/>
      <c r="DS13" s="22"/>
      <c r="DT13" s="22"/>
      <c r="DU13" s="22"/>
      <c r="DV13" s="22"/>
      <c r="DW13" s="22"/>
      <c r="DX13" s="22"/>
      <c r="DY13" s="22"/>
      <c r="DZ13" s="22"/>
      <c r="EA13" s="22"/>
      <c r="EB13" s="22"/>
      <c r="EC13" s="22"/>
      <c r="ED13" s="22"/>
      <c r="EE13" s="22"/>
      <c r="EF13" s="22"/>
      <c r="EG13" s="22"/>
      <c r="EH13" s="22"/>
      <c r="EI13" s="22"/>
      <c r="EJ13" s="22"/>
      <c r="EK13" s="22"/>
      <c r="EL13" s="22"/>
      <c r="EM13" s="22"/>
      <c r="EN13" s="22"/>
      <c r="EO13" s="22"/>
      <c r="EP13" s="22"/>
      <c r="EQ13" s="22"/>
      <c r="ER13" s="22"/>
      <c r="ES13" s="22"/>
    </row>
    <row r="14" customFormat="false" ht="15" hidden="false" customHeight="false" outlineLevel="0" collapsed="false">
      <c r="A14" s="2" t="s">
        <v>339</v>
      </c>
      <c r="B14" s="39" t="str">
        <f aca="false">IF(INDEX(Prod_Nombre,3)="","Producto 3 (unidades)",INDEX(Prod_Nombre,3)&amp;" (unidades)")</f>
        <v>Producto 3 (unidades)</v>
      </c>
      <c r="C14" s="6" t="s">
        <v>337</v>
      </c>
      <c r="D14" s="10" t="n">
        <f aca="false">SUM(F14:ES14)</f>
        <v>0</v>
      </c>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c r="BM14" s="22"/>
      <c r="BN14" s="22"/>
      <c r="BO14" s="22"/>
      <c r="BP14" s="22"/>
      <c r="BQ14" s="22"/>
      <c r="BR14" s="22"/>
      <c r="BS14" s="22"/>
      <c r="BT14" s="22"/>
      <c r="BU14" s="22"/>
      <c r="BV14" s="22"/>
      <c r="BW14" s="22"/>
      <c r="BX14" s="22"/>
      <c r="BY14" s="22"/>
      <c r="BZ14" s="22"/>
      <c r="CA14" s="22"/>
      <c r="CB14" s="22"/>
      <c r="CC14" s="22"/>
      <c r="CD14" s="22"/>
      <c r="CE14" s="22"/>
      <c r="CF14" s="22"/>
      <c r="CG14" s="22"/>
      <c r="CH14" s="22"/>
      <c r="CI14" s="22"/>
      <c r="CJ14" s="22"/>
      <c r="CK14" s="22"/>
      <c r="CL14" s="22"/>
      <c r="CM14" s="22"/>
      <c r="CN14" s="22"/>
      <c r="CO14" s="22"/>
      <c r="CP14" s="22"/>
      <c r="CQ14" s="22"/>
      <c r="CR14" s="22"/>
      <c r="CS14" s="22"/>
      <c r="CT14" s="22"/>
      <c r="CU14" s="22"/>
      <c r="CV14" s="22"/>
      <c r="CW14" s="22"/>
      <c r="CX14" s="22"/>
      <c r="CY14" s="22"/>
      <c r="CZ14" s="22"/>
      <c r="DA14" s="22"/>
      <c r="DB14" s="22"/>
      <c r="DC14" s="22"/>
      <c r="DD14" s="22"/>
      <c r="DE14" s="22"/>
      <c r="DF14" s="22"/>
      <c r="DG14" s="22"/>
      <c r="DH14" s="22"/>
      <c r="DI14" s="22"/>
      <c r="DJ14" s="22"/>
      <c r="DK14" s="22"/>
      <c r="DL14" s="22"/>
      <c r="DM14" s="22"/>
      <c r="DN14" s="22"/>
      <c r="DO14" s="22"/>
      <c r="DP14" s="22"/>
      <c r="DQ14" s="22"/>
      <c r="DR14" s="22"/>
      <c r="DS14" s="22"/>
      <c r="DT14" s="22"/>
      <c r="DU14" s="22"/>
      <c r="DV14" s="22"/>
      <c r="DW14" s="22"/>
      <c r="DX14" s="22"/>
      <c r="DY14" s="22"/>
      <c r="DZ14" s="22"/>
      <c r="EA14" s="22"/>
      <c r="EB14" s="22"/>
      <c r="EC14" s="22"/>
      <c r="ED14" s="22"/>
      <c r="EE14" s="22"/>
      <c r="EF14" s="22"/>
      <c r="EG14" s="22"/>
      <c r="EH14" s="22"/>
      <c r="EI14" s="22"/>
      <c r="EJ14" s="22"/>
      <c r="EK14" s="22"/>
      <c r="EL14" s="22"/>
      <c r="EM14" s="22"/>
      <c r="EN14" s="22"/>
      <c r="EO14" s="22"/>
      <c r="EP14" s="22"/>
      <c r="EQ14" s="22"/>
      <c r="ER14" s="22"/>
      <c r="ES14" s="22"/>
    </row>
    <row r="15" customFormat="false" ht="15" hidden="false" customHeight="false" outlineLevel="0" collapsed="false">
      <c r="A15" s="2" t="s">
        <v>340</v>
      </c>
      <c r="B15" s="39" t="str">
        <f aca="false">IF(INDEX(Prod_Nombre,4)="","Producto 4 (unidades)",INDEX(Prod_Nombre,4)&amp;" (unidades)")</f>
        <v>Producto 4 (unidades)</v>
      </c>
      <c r="C15" s="6" t="s">
        <v>337</v>
      </c>
      <c r="D15" s="10" t="n">
        <f aca="false">SUM(F15:ES15)</f>
        <v>0</v>
      </c>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c r="BM15" s="22"/>
      <c r="BN15" s="22"/>
      <c r="BO15" s="22"/>
      <c r="BP15" s="22"/>
      <c r="BQ15" s="22"/>
      <c r="BR15" s="22"/>
      <c r="BS15" s="22"/>
      <c r="BT15" s="22"/>
      <c r="BU15" s="22"/>
      <c r="BV15" s="22"/>
      <c r="BW15" s="22"/>
      <c r="BX15" s="22"/>
      <c r="BY15" s="22"/>
      <c r="BZ15" s="22"/>
      <c r="CA15" s="22"/>
      <c r="CB15" s="22"/>
      <c r="CC15" s="22"/>
      <c r="CD15" s="22"/>
      <c r="CE15" s="22"/>
      <c r="CF15" s="22"/>
      <c r="CG15" s="22"/>
      <c r="CH15" s="22"/>
      <c r="CI15" s="22"/>
      <c r="CJ15" s="22"/>
      <c r="CK15" s="22"/>
      <c r="CL15" s="22"/>
      <c r="CM15" s="22"/>
      <c r="CN15" s="22"/>
      <c r="CO15" s="22"/>
      <c r="CP15" s="22"/>
      <c r="CQ15" s="22"/>
      <c r="CR15" s="22"/>
      <c r="CS15" s="22"/>
      <c r="CT15" s="22"/>
      <c r="CU15" s="22"/>
      <c r="CV15" s="22"/>
      <c r="CW15" s="22"/>
      <c r="CX15" s="22"/>
      <c r="CY15" s="22"/>
      <c r="CZ15" s="22"/>
      <c r="DA15" s="22"/>
      <c r="DB15" s="22"/>
      <c r="DC15" s="22"/>
      <c r="DD15" s="22"/>
      <c r="DE15" s="22"/>
      <c r="DF15" s="22"/>
      <c r="DG15" s="22"/>
      <c r="DH15" s="22"/>
      <c r="DI15" s="22"/>
      <c r="DJ15" s="22"/>
      <c r="DK15" s="22"/>
      <c r="DL15" s="22"/>
      <c r="DM15" s="22"/>
      <c r="DN15" s="22"/>
      <c r="DO15" s="22"/>
      <c r="DP15" s="22"/>
      <c r="DQ15" s="22"/>
      <c r="DR15" s="22"/>
      <c r="DS15" s="22"/>
      <c r="DT15" s="22"/>
      <c r="DU15" s="22"/>
      <c r="DV15" s="22"/>
      <c r="DW15" s="22"/>
      <c r="DX15" s="22"/>
      <c r="DY15" s="22"/>
      <c r="DZ15" s="22"/>
      <c r="EA15" s="22"/>
      <c r="EB15" s="22"/>
      <c r="EC15" s="22"/>
      <c r="ED15" s="22"/>
      <c r="EE15" s="22"/>
      <c r="EF15" s="22"/>
      <c r="EG15" s="22"/>
      <c r="EH15" s="22"/>
      <c r="EI15" s="22"/>
      <c r="EJ15" s="22"/>
      <c r="EK15" s="22"/>
      <c r="EL15" s="22"/>
      <c r="EM15" s="22"/>
      <c r="EN15" s="22"/>
      <c r="EO15" s="22"/>
      <c r="EP15" s="22"/>
      <c r="EQ15" s="22"/>
      <c r="ER15" s="22"/>
      <c r="ES15" s="22"/>
    </row>
    <row r="16" customFormat="false" ht="15" hidden="false" customHeight="false" outlineLevel="0" collapsed="false">
      <c r="A16" s="2" t="s">
        <v>341</v>
      </c>
      <c r="B16" s="39" t="str">
        <f aca="false">IF(INDEX(Prod_Nombre,5)="","Producto 5 (unidades)",INDEX(Prod_Nombre,5)&amp;" (unidades)")</f>
        <v>Producto 5 (unidades)</v>
      </c>
      <c r="C16" s="6" t="s">
        <v>337</v>
      </c>
      <c r="D16" s="10" t="n">
        <f aca="false">SUM(F16:ES16)</f>
        <v>0</v>
      </c>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c r="BM16" s="22"/>
      <c r="BN16" s="22"/>
      <c r="BO16" s="22"/>
      <c r="BP16" s="22"/>
      <c r="BQ16" s="22"/>
      <c r="BR16" s="22"/>
      <c r="BS16" s="22"/>
      <c r="BT16" s="22"/>
      <c r="BU16" s="22"/>
      <c r="BV16" s="22"/>
      <c r="BW16" s="22"/>
      <c r="BX16" s="22"/>
      <c r="BY16" s="22"/>
      <c r="BZ16" s="22"/>
      <c r="CA16" s="22"/>
      <c r="CB16" s="22"/>
      <c r="CC16" s="22"/>
      <c r="CD16" s="22"/>
      <c r="CE16" s="22"/>
      <c r="CF16" s="22"/>
      <c r="CG16" s="22"/>
      <c r="CH16" s="22"/>
      <c r="CI16" s="22"/>
      <c r="CJ16" s="22"/>
      <c r="CK16" s="22"/>
      <c r="CL16" s="22"/>
      <c r="CM16" s="22"/>
      <c r="CN16" s="22"/>
      <c r="CO16" s="22"/>
      <c r="CP16" s="22"/>
      <c r="CQ16" s="22"/>
      <c r="CR16" s="22"/>
      <c r="CS16" s="22"/>
      <c r="CT16" s="22"/>
      <c r="CU16" s="22"/>
      <c r="CV16" s="22"/>
      <c r="CW16" s="22"/>
      <c r="CX16" s="22"/>
      <c r="CY16" s="22"/>
      <c r="CZ16" s="22"/>
      <c r="DA16" s="22"/>
      <c r="DB16" s="22"/>
      <c r="DC16" s="22"/>
      <c r="DD16" s="22"/>
      <c r="DE16" s="22"/>
      <c r="DF16" s="22"/>
      <c r="DG16" s="22"/>
      <c r="DH16" s="22"/>
      <c r="DI16" s="22"/>
      <c r="DJ16" s="22"/>
      <c r="DK16" s="22"/>
      <c r="DL16" s="22"/>
      <c r="DM16" s="22"/>
      <c r="DN16" s="22"/>
      <c r="DO16" s="22"/>
      <c r="DP16" s="22"/>
      <c r="DQ16" s="22"/>
      <c r="DR16" s="22"/>
      <c r="DS16" s="22"/>
      <c r="DT16" s="22"/>
      <c r="DU16" s="22"/>
      <c r="DV16" s="22"/>
      <c r="DW16" s="22"/>
      <c r="DX16" s="22"/>
      <c r="DY16" s="22"/>
      <c r="DZ16" s="22"/>
      <c r="EA16" s="22"/>
      <c r="EB16" s="22"/>
      <c r="EC16" s="22"/>
      <c r="ED16" s="22"/>
      <c r="EE16" s="22"/>
      <c r="EF16" s="22"/>
      <c r="EG16" s="22"/>
      <c r="EH16" s="22"/>
      <c r="EI16" s="22"/>
      <c r="EJ16" s="22"/>
      <c r="EK16" s="22"/>
      <c r="EL16" s="22"/>
      <c r="EM16" s="22"/>
      <c r="EN16" s="22"/>
      <c r="EO16" s="22"/>
      <c r="EP16" s="22"/>
      <c r="EQ16" s="22"/>
      <c r="ER16" s="22"/>
      <c r="ES16" s="22"/>
    </row>
    <row r="17" customFormat="false" ht="15" hidden="false" customHeight="false" outlineLevel="0" collapsed="false">
      <c r="A17" s="2" t="s">
        <v>342</v>
      </c>
      <c r="B17" s="39" t="str">
        <f aca="false">IF(INDEX(Prod_Nombre,6)="","Producto 6 (unidades)",INDEX(Prod_Nombre,6)&amp;" (unidades)")</f>
        <v>Producto 6 (unidades)</v>
      </c>
      <c r="C17" s="6" t="s">
        <v>337</v>
      </c>
      <c r="D17" s="10" t="n">
        <f aca="false">SUM(F17:ES17)</f>
        <v>0</v>
      </c>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c r="BM17" s="22"/>
      <c r="BN17" s="22"/>
      <c r="BO17" s="22"/>
      <c r="BP17" s="22"/>
      <c r="BQ17" s="22"/>
      <c r="BR17" s="22"/>
      <c r="BS17" s="22"/>
      <c r="BT17" s="22"/>
      <c r="BU17" s="22"/>
      <c r="BV17" s="22"/>
      <c r="BW17" s="22"/>
      <c r="BX17" s="22"/>
      <c r="BY17" s="22"/>
      <c r="BZ17" s="22"/>
      <c r="CA17" s="22"/>
      <c r="CB17" s="22"/>
      <c r="CC17" s="22"/>
      <c r="CD17" s="22"/>
      <c r="CE17" s="22"/>
      <c r="CF17" s="22"/>
      <c r="CG17" s="22"/>
      <c r="CH17" s="22"/>
      <c r="CI17" s="22"/>
      <c r="CJ17" s="22"/>
      <c r="CK17" s="22"/>
      <c r="CL17" s="22"/>
      <c r="CM17" s="22"/>
      <c r="CN17" s="22"/>
      <c r="CO17" s="22"/>
      <c r="CP17" s="22"/>
      <c r="CQ17" s="22"/>
      <c r="CR17" s="22"/>
      <c r="CS17" s="22"/>
      <c r="CT17" s="22"/>
      <c r="CU17" s="22"/>
      <c r="CV17" s="22"/>
      <c r="CW17" s="22"/>
      <c r="CX17" s="22"/>
      <c r="CY17" s="22"/>
      <c r="CZ17" s="22"/>
      <c r="DA17" s="22"/>
      <c r="DB17" s="22"/>
      <c r="DC17" s="22"/>
      <c r="DD17" s="22"/>
      <c r="DE17" s="22"/>
      <c r="DF17" s="22"/>
      <c r="DG17" s="22"/>
      <c r="DH17" s="22"/>
      <c r="DI17" s="22"/>
      <c r="DJ17" s="22"/>
      <c r="DK17" s="22"/>
      <c r="DL17" s="22"/>
      <c r="DM17" s="22"/>
      <c r="DN17" s="22"/>
      <c r="DO17" s="22"/>
      <c r="DP17" s="22"/>
      <c r="DQ17" s="22"/>
      <c r="DR17" s="22"/>
      <c r="DS17" s="22"/>
      <c r="DT17" s="22"/>
      <c r="DU17" s="22"/>
      <c r="DV17" s="22"/>
      <c r="DW17" s="22"/>
      <c r="DX17" s="22"/>
      <c r="DY17" s="22"/>
      <c r="DZ17" s="22"/>
      <c r="EA17" s="22"/>
      <c r="EB17" s="22"/>
      <c r="EC17" s="22"/>
      <c r="ED17" s="22"/>
      <c r="EE17" s="22"/>
      <c r="EF17" s="22"/>
      <c r="EG17" s="22"/>
      <c r="EH17" s="22"/>
      <c r="EI17" s="22"/>
      <c r="EJ17" s="22"/>
      <c r="EK17" s="22"/>
      <c r="EL17" s="22"/>
      <c r="EM17" s="22"/>
      <c r="EN17" s="22"/>
      <c r="EO17" s="22"/>
      <c r="EP17" s="22"/>
      <c r="EQ17" s="22"/>
      <c r="ER17" s="22"/>
      <c r="ES17" s="22"/>
    </row>
    <row r="18" customFormat="false" ht="15" hidden="false" customHeight="false" outlineLevel="0" collapsed="false">
      <c r="A18" s="2" t="s">
        <v>343</v>
      </c>
      <c r="B18" s="39" t="str">
        <f aca="false">IF(INDEX(Prod_Nombre,7)="","Producto 7 (unidades)",INDEX(Prod_Nombre,7)&amp;" (unidades)")</f>
        <v>Producto 7 (unidades)</v>
      </c>
      <c r="C18" s="6" t="s">
        <v>337</v>
      </c>
      <c r="D18" s="10" t="n">
        <f aca="false">SUM(F18:ES18)</f>
        <v>0</v>
      </c>
      <c r="F18" s="22"/>
      <c r="G18" s="22"/>
      <c r="H18" s="22"/>
      <c r="I18" s="22"/>
      <c r="J18" s="22"/>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c r="BM18" s="22"/>
      <c r="BN18" s="22"/>
      <c r="BO18" s="22"/>
      <c r="BP18" s="22"/>
      <c r="BQ18" s="22"/>
      <c r="BR18" s="22"/>
      <c r="BS18" s="22"/>
      <c r="BT18" s="22"/>
      <c r="BU18" s="22"/>
      <c r="BV18" s="22"/>
      <c r="BW18" s="22"/>
      <c r="BX18" s="22"/>
      <c r="BY18" s="22"/>
      <c r="BZ18" s="22"/>
      <c r="CA18" s="22"/>
      <c r="CB18" s="22"/>
      <c r="CC18" s="22"/>
      <c r="CD18" s="22"/>
      <c r="CE18" s="22"/>
      <c r="CF18" s="22"/>
      <c r="CG18" s="22"/>
      <c r="CH18" s="22"/>
      <c r="CI18" s="22"/>
      <c r="CJ18" s="22"/>
      <c r="CK18" s="22"/>
      <c r="CL18" s="22"/>
      <c r="CM18" s="22"/>
      <c r="CN18" s="22"/>
      <c r="CO18" s="22"/>
      <c r="CP18" s="22"/>
      <c r="CQ18" s="22"/>
      <c r="CR18" s="22"/>
      <c r="CS18" s="22"/>
      <c r="CT18" s="22"/>
      <c r="CU18" s="22"/>
      <c r="CV18" s="22"/>
      <c r="CW18" s="22"/>
      <c r="CX18" s="22"/>
      <c r="CY18" s="22"/>
      <c r="CZ18" s="22"/>
      <c r="DA18" s="22"/>
      <c r="DB18" s="22"/>
      <c r="DC18" s="22"/>
      <c r="DD18" s="22"/>
      <c r="DE18" s="22"/>
      <c r="DF18" s="22"/>
      <c r="DG18" s="22"/>
      <c r="DH18" s="22"/>
      <c r="DI18" s="22"/>
      <c r="DJ18" s="22"/>
      <c r="DK18" s="22"/>
      <c r="DL18" s="22"/>
      <c r="DM18" s="22"/>
      <c r="DN18" s="22"/>
      <c r="DO18" s="22"/>
      <c r="DP18" s="22"/>
      <c r="DQ18" s="22"/>
      <c r="DR18" s="22"/>
      <c r="DS18" s="22"/>
      <c r="DT18" s="22"/>
      <c r="DU18" s="22"/>
      <c r="DV18" s="22"/>
      <c r="DW18" s="22"/>
      <c r="DX18" s="22"/>
      <c r="DY18" s="22"/>
      <c r="DZ18" s="22"/>
      <c r="EA18" s="22"/>
      <c r="EB18" s="22"/>
      <c r="EC18" s="22"/>
      <c r="ED18" s="22"/>
      <c r="EE18" s="22"/>
      <c r="EF18" s="22"/>
      <c r="EG18" s="22"/>
      <c r="EH18" s="22"/>
      <c r="EI18" s="22"/>
      <c r="EJ18" s="22"/>
      <c r="EK18" s="22"/>
      <c r="EL18" s="22"/>
      <c r="EM18" s="22"/>
      <c r="EN18" s="22"/>
      <c r="EO18" s="22"/>
      <c r="EP18" s="22"/>
      <c r="EQ18" s="22"/>
      <c r="ER18" s="22"/>
      <c r="ES18" s="22"/>
    </row>
    <row r="19" customFormat="false" ht="15" hidden="false" customHeight="false" outlineLevel="0" collapsed="false">
      <c r="A19" s="2" t="s">
        <v>344</v>
      </c>
      <c r="B19" s="39" t="str">
        <f aca="false">IF(INDEX(Prod_Nombre,8)="","Producto 8 (unidades)",INDEX(Prod_Nombre,8)&amp;" (unidades)")</f>
        <v>Producto 8 (unidades)</v>
      </c>
      <c r="C19" s="6" t="s">
        <v>337</v>
      </c>
      <c r="D19" s="10" t="n">
        <f aca="false">SUM(F19:ES19)</f>
        <v>0</v>
      </c>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c r="BM19" s="22"/>
      <c r="BN19" s="22"/>
      <c r="BO19" s="22"/>
      <c r="BP19" s="22"/>
      <c r="BQ19" s="22"/>
      <c r="BR19" s="22"/>
      <c r="BS19" s="22"/>
      <c r="BT19" s="22"/>
      <c r="BU19" s="22"/>
      <c r="BV19" s="22"/>
      <c r="BW19" s="22"/>
      <c r="BX19" s="22"/>
      <c r="BY19" s="22"/>
      <c r="BZ19" s="22"/>
      <c r="CA19" s="22"/>
      <c r="CB19" s="22"/>
      <c r="CC19" s="22"/>
      <c r="CD19" s="22"/>
      <c r="CE19" s="22"/>
      <c r="CF19" s="22"/>
      <c r="CG19" s="22"/>
      <c r="CH19" s="22"/>
      <c r="CI19" s="22"/>
      <c r="CJ19" s="22"/>
      <c r="CK19" s="22"/>
      <c r="CL19" s="22"/>
      <c r="CM19" s="22"/>
      <c r="CN19" s="22"/>
      <c r="CO19" s="22"/>
      <c r="CP19" s="22"/>
      <c r="CQ19" s="22"/>
      <c r="CR19" s="22"/>
      <c r="CS19" s="22"/>
      <c r="CT19" s="22"/>
      <c r="CU19" s="22"/>
      <c r="CV19" s="22"/>
      <c r="CW19" s="22"/>
      <c r="CX19" s="22"/>
      <c r="CY19" s="22"/>
      <c r="CZ19" s="22"/>
      <c r="DA19" s="22"/>
      <c r="DB19" s="22"/>
      <c r="DC19" s="22"/>
      <c r="DD19" s="22"/>
      <c r="DE19" s="22"/>
      <c r="DF19" s="22"/>
      <c r="DG19" s="22"/>
      <c r="DH19" s="22"/>
      <c r="DI19" s="22"/>
      <c r="DJ19" s="22"/>
      <c r="DK19" s="22"/>
      <c r="DL19" s="22"/>
      <c r="DM19" s="22"/>
      <c r="DN19" s="22"/>
      <c r="DO19" s="22"/>
      <c r="DP19" s="22"/>
      <c r="DQ19" s="22"/>
      <c r="DR19" s="22"/>
      <c r="DS19" s="22"/>
      <c r="DT19" s="22"/>
      <c r="DU19" s="22"/>
      <c r="DV19" s="22"/>
      <c r="DW19" s="22"/>
      <c r="DX19" s="22"/>
      <c r="DY19" s="22"/>
      <c r="DZ19" s="22"/>
      <c r="EA19" s="22"/>
      <c r="EB19" s="22"/>
      <c r="EC19" s="22"/>
      <c r="ED19" s="22"/>
      <c r="EE19" s="22"/>
      <c r="EF19" s="22"/>
      <c r="EG19" s="22"/>
      <c r="EH19" s="22"/>
      <c r="EI19" s="22"/>
      <c r="EJ19" s="22"/>
      <c r="EK19" s="22"/>
      <c r="EL19" s="22"/>
      <c r="EM19" s="22"/>
      <c r="EN19" s="22"/>
      <c r="EO19" s="22"/>
      <c r="EP19" s="22"/>
      <c r="EQ19" s="22"/>
      <c r="ER19" s="22"/>
      <c r="ES19" s="22"/>
    </row>
    <row r="20" customFormat="false" ht="15" hidden="false" customHeight="false" outlineLevel="0" collapsed="false">
      <c r="A20" s="2" t="s">
        <v>345</v>
      </c>
      <c r="B20" s="39" t="str">
        <f aca="false">IF(INDEX(Prod_Nombre,9)="","Producto 9 (unidades)",INDEX(Prod_Nombre,9)&amp;" (unidades)")</f>
        <v>Producto 9 (unidades)</v>
      </c>
      <c r="C20" s="6" t="s">
        <v>337</v>
      </c>
      <c r="D20" s="10" t="n">
        <f aca="false">SUM(F20:ES20)</f>
        <v>0</v>
      </c>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c r="BM20" s="22"/>
      <c r="BN20" s="22"/>
      <c r="BO20" s="22"/>
      <c r="BP20" s="22"/>
      <c r="BQ20" s="22"/>
      <c r="BR20" s="22"/>
      <c r="BS20" s="22"/>
      <c r="BT20" s="22"/>
      <c r="BU20" s="22"/>
      <c r="BV20" s="22"/>
      <c r="BW20" s="22"/>
      <c r="BX20" s="22"/>
      <c r="BY20" s="22"/>
      <c r="BZ20" s="22"/>
      <c r="CA20" s="22"/>
      <c r="CB20" s="22"/>
      <c r="CC20" s="22"/>
      <c r="CD20" s="22"/>
      <c r="CE20" s="22"/>
      <c r="CF20" s="22"/>
      <c r="CG20" s="22"/>
      <c r="CH20" s="22"/>
      <c r="CI20" s="22"/>
      <c r="CJ20" s="22"/>
      <c r="CK20" s="22"/>
      <c r="CL20" s="22"/>
      <c r="CM20" s="22"/>
      <c r="CN20" s="22"/>
      <c r="CO20" s="22"/>
      <c r="CP20" s="22"/>
      <c r="CQ20" s="22"/>
      <c r="CR20" s="22"/>
      <c r="CS20" s="22"/>
      <c r="CT20" s="22"/>
      <c r="CU20" s="22"/>
      <c r="CV20" s="22"/>
      <c r="CW20" s="22"/>
      <c r="CX20" s="22"/>
      <c r="CY20" s="22"/>
      <c r="CZ20" s="22"/>
      <c r="DA20" s="22"/>
      <c r="DB20" s="22"/>
      <c r="DC20" s="22"/>
      <c r="DD20" s="22"/>
      <c r="DE20" s="22"/>
      <c r="DF20" s="22"/>
      <c r="DG20" s="22"/>
      <c r="DH20" s="22"/>
      <c r="DI20" s="22"/>
      <c r="DJ20" s="22"/>
      <c r="DK20" s="22"/>
      <c r="DL20" s="22"/>
      <c r="DM20" s="22"/>
      <c r="DN20" s="22"/>
      <c r="DO20" s="22"/>
      <c r="DP20" s="22"/>
      <c r="DQ20" s="22"/>
      <c r="DR20" s="22"/>
      <c r="DS20" s="22"/>
      <c r="DT20" s="22"/>
      <c r="DU20" s="22"/>
      <c r="DV20" s="22"/>
      <c r="DW20" s="22"/>
      <c r="DX20" s="22"/>
      <c r="DY20" s="22"/>
      <c r="DZ20" s="22"/>
      <c r="EA20" s="22"/>
      <c r="EB20" s="22"/>
      <c r="EC20" s="22"/>
      <c r="ED20" s="22"/>
      <c r="EE20" s="22"/>
      <c r="EF20" s="22"/>
      <c r="EG20" s="22"/>
      <c r="EH20" s="22"/>
      <c r="EI20" s="22"/>
      <c r="EJ20" s="22"/>
      <c r="EK20" s="22"/>
      <c r="EL20" s="22"/>
      <c r="EM20" s="22"/>
      <c r="EN20" s="22"/>
      <c r="EO20" s="22"/>
      <c r="EP20" s="22"/>
      <c r="EQ20" s="22"/>
      <c r="ER20" s="22"/>
      <c r="ES20" s="22"/>
    </row>
    <row r="21" customFormat="false" ht="15" hidden="false" customHeight="false" outlineLevel="0" collapsed="false">
      <c r="A21" s="2" t="s">
        <v>346</v>
      </c>
      <c r="B21" s="39" t="str">
        <f aca="false">IF(INDEX(Prod_Nombre,10)="","Producto 10 (unidades)",INDEX(Prod_Nombre,10)&amp;" (unidades)")</f>
        <v>Producto 10 (unidades)</v>
      </c>
      <c r="C21" s="6" t="s">
        <v>337</v>
      </c>
      <c r="D21" s="10" t="n">
        <f aca="false">SUM(F21:ES21)</f>
        <v>0</v>
      </c>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c r="BM21" s="22"/>
      <c r="BN21" s="22"/>
      <c r="BO21" s="22"/>
      <c r="BP21" s="22"/>
      <c r="BQ21" s="22"/>
      <c r="BR21" s="22"/>
      <c r="BS21" s="22"/>
      <c r="BT21" s="22"/>
      <c r="BU21" s="22"/>
      <c r="BV21" s="22"/>
      <c r="BW21" s="22"/>
      <c r="BX21" s="22"/>
      <c r="BY21" s="22"/>
      <c r="BZ21" s="22"/>
      <c r="CA21" s="22"/>
      <c r="CB21" s="22"/>
      <c r="CC21" s="22"/>
      <c r="CD21" s="22"/>
      <c r="CE21" s="22"/>
      <c r="CF21" s="22"/>
      <c r="CG21" s="22"/>
      <c r="CH21" s="22"/>
      <c r="CI21" s="22"/>
      <c r="CJ21" s="22"/>
      <c r="CK21" s="22"/>
      <c r="CL21" s="22"/>
      <c r="CM21" s="22"/>
      <c r="CN21" s="22"/>
      <c r="CO21" s="22"/>
      <c r="CP21" s="22"/>
      <c r="CQ21" s="22"/>
      <c r="CR21" s="22"/>
      <c r="CS21" s="22"/>
      <c r="CT21" s="22"/>
      <c r="CU21" s="22"/>
      <c r="CV21" s="22"/>
      <c r="CW21" s="22"/>
      <c r="CX21" s="22"/>
      <c r="CY21" s="22"/>
      <c r="CZ21" s="22"/>
      <c r="DA21" s="22"/>
      <c r="DB21" s="22"/>
      <c r="DC21" s="22"/>
      <c r="DD21" s="22"/>
      <c r="DE21" s="22"/>
      <c r="DF21" s="22"/>
      <c r="DG21" s="22"/>
      <c r="DH21" s="22"/>
      <c r="DI21" s="22"/>
      <c r="DJ21" s="22"/>
      <c r="DK21" s="22"/>
      <c r="DL21" s="22"/>
      <c r="DM21" s="22"/>
      <c r="DN21" s="22"/>
      <c r="DO21" s="22"/>
      <c r="DP21" s="22"/>
      <c r="DQ21" s="22"/>
      <c r="DR21" s="22"/>
      <c r="DS21" s="22"/>
      <c r="DT21" s="22"/>
      <c r="DU21" s="22"/>
      <c r="DV21" s="22"/>
      <c r="DW21" s="22"/>
      <c r="DX21" s="22"/>
      <c r="DY21" s="22"/>
      <c r="DZ21" s="22"/>
      <c r="EA21" s="22"/>
      <c r="EB21" s="22"/>
      <c r="EC21" s="22"/>
      <c r="ED21" s="22"/>
      <c r="EE21" s="22"/>
      <c r="EF21" s="22"/>
      <c r="EG21" s="22"/>
      <c r="EH21" s="22"/>
      <c r="EI21" s="22"/>
      <c r="EJ21" s="22"/>
      <c r="EK21" s="22"/>
      <c r="EL21" s="22"/>
      <c r="EM21" s="22"/>
      <c r="EN21" s="22"/>
      <c r="EO21" s="22"/>
      <c r="EP21" s="22"/>
      <c r="EQ21" s="22"/>
      <c r="ER21" s="22"/>
      <c r="ES21" s="22"/>
    </row>
    <row r="22" customFormat="false" ht="15" hidden="false" customHeight="false" outlineLevel="0" collapsed="false">
      <c r="A22" s="2" t="s">
        <v>347</v>
      </c>
      <c r="B22" s="39" t="str">
        <f aca="false">IF(INDEX(Prod_Nombre,11)="","Producto 11 (unidades)",INDEX(Prod_Nombre,11)&amp;" (unidades)")</f>
        <v>Producto 11 (unidades)</v>
      </c>
      <c r="C22" s="6" t="s">
        <v>337</v>
      </c>
      <c r="D22" s="10" t="n">
        <f aca="false">SUM(F22:ES22)</f>
        <v>0</v>
      </c>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c r="BM22" s="22"/>
      <c r="BN22" s="22"/>
      <c r="BO22" s="22"/>
      <c r="BP22" s="22"/>
      <c r="BQ22" s="22"/>
      <c r="BR22" s="22"/>
      <c r="BS22" s="22"/>
      <c r="BT22" s="22"/>
      <c r="BU22" s="22"/>
      <c r="BV22" s="22"/>
      <c r="BW22" s="22"/>
      <c r="BX22" s="22"/>
      <c r="BY22" s="22"/>
      <c r="BZ22" s="22"/>
      <c r="CA22" s="22"/>
      <c r="CB22" s="22"/>
      <c r="CC22" s="22"/>
      <c r="CD22" s="22"/>
      <c r="CE22" s="22"/>
      <c r="CF22" s="22"/>
      <c r="CG22" s="22"/>
      <c r="CH22" s="22"/>
      <c r="CI22" s="22"/>
      <c r="CJ22" s="22"/>
      <c r="CK22" s="22"/>
      <c r="CL22" s="22"/>
      <c r="CM22" s="22"/>
      <c r="CN22" s="22"/>
      <c r="CO22" s="22"/>
      <c r="CP22" s="22"/>
      <c r="CQ22" s="22"/>
      <c r="CR22" s="22"/>
      <c r="CS22" s="22"/>
      <c r="CT22" s="22"/>
      <c r="CU22" s="22"/>
      <c r="CV22" s="22"/>
      <c r="CW22" s="22"/>
      <c r="CX22" s="22"/>
      <c r="CY22" s="22"/>
      <c r="CZ22" s="22"/>
      <c r="DA22" s="22"/>
      <c r="DB22" s="22"/>
      <c r="DC22" s="22"/>
      <c r="DD22" s="22"/>
      <c r="DE22" s="22"/>
      <c r="DF22" s="22"/>
      <c r="DG22" s="22"/>
      <c r="DH22" s="22"/>
      <c r="DI22" s="22"/>
      <c r="DJ22" s="22"/>
      <c r="DK22" s="22"/>
      <c r="DL22" s="22"/>
      <c r="DM22" s="22"/>
      <c r="DN22" s="22"/>
      <c r="DO22" s="22"/>
      <c r="DP22" s="22"/>
      <c r="DQ22" s="22"/>
      <c r="DR22" s="22"/>
      <c r="DS22" s="22"/>
      <c r="DT22" s="22"/>
      <c r="DU22" s="22"/>
      <c r="DV22" s="22"/>
      <c r="DW22" s="22"/>
      <c r="DX22" s="22"/>
      <c r="DY22" s="22"/>
      <c r="DZ22" s="22"/>
      <c r="EA22" s="22"/>
      <c r="EB22" s="22"/>
      <c r="EC22" s="22"/>
      <c r="ED22" s="22"/>
      <c r="EE22" s="22"/>
      <c r="EF22" s="22"/>
      <c r="EG22" s="22"/>
      <c r="EH22" s="22"/>
      <c r="EI22" s="22"/>
      <c r="EJ22" s="22"/>
      <c r="EK22" s="22"/>
      <c r="EL22" s="22"/>
      <c r="EM22" s="22"/>
      <c r="EN22" s="22"/>
      <c r="EO22" s="22"/>
      <c r="EP22" s="22"/>
      <c r="EQ22" s="22"/>
      <c r="ER22" s="22"/>
      <c r="ES22" s="22"/>
    </row>
    <row r="23" customFormat="false" ht="15" hidden="false" customHeight="false" outlineLevel="0" collapsed="false">
      <c r="A23" s="2" t="s">
        <v>348</v>
      </c>
      <c r="B23" s="39" t="str">
        <f aca="false">IF(INDEX(Prod_Nombre,12)="","Producto 12 (unidades)",INDEX(Prod_Nombre,12)&amp;" (unidades)")</f>
        <v>Producto 12 (unidades)</v>
      </c>
      <c r="C23" s="6" t="s">
        <v>337</v>
      </c>
      <c r="D23" s="10" t="n">
        <f aca="false">SUM(F23:ES23)</f>
        <v>0</v>
      </c>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c r="BM23" s="22"/>
      <c r="BN23" s="22"/>
      <c r="BO23" s="22"/>
      <c r="BP23" s="22"/>
      <c r="BQ23" s="22"/>
      <c r="BR23" s="22"/>
      <c r="BS23" s="22"/>
      <c r="BT23" s="22"/>
      <c r="BU23" s="22"/>
      <c r="BV23" s="22"/>
      <c r="BW23" s="22"/>
      <c r="BX23" s="22"/>
      <c r="BY23" s="22"/>
      <c r="BZ23" s="22"/>
      <c r="CA23" s="22"/>
      <c r="CB23" s="22"/>
      <c r="CC23" s="22"/>
      <c r="CD23" s="22"/>
      <c r="CE23" s="22"/>
      <c r="CF23" s="22"/>
      <c r="CG23" s="22"/>
      <c r="CH23" s="22"/>
      <c r="CI23" s="22"/>
      <c r="CJ23" s="22"/>
      <c r="CK23" s="22"/>
      <c r="CL23" s="22"/>
      <c r="CM23" s="22"/>
      <c r="CN23" s="22"/>
      <c r="CO23" s="22"/>
      <c r="CP23" s="22"/>
      <c r="CQ23" s="22"/>
      <c r="CR23" s="22"/>
      <c r="CS23" s="22"/>
      <c r="CT23" s="22"/>
      <c r="CU23" s="22"/>
      <c r="CV23" s="22"/>
      <c r="CW23" s="22"/>
      <c r="CX23" s="22"/>
      <c r="CY23" s="22"/>
      <c r="CZ23" s="22"/>
      <c r="DA23" s="22"/>
      <c r="DB23" s="22"/>
      <c r="DC23" s="22"/>
      <c r="DD23" s="22"/>
      <c r="DE23" s="22"/>
      <c r="DF23" s="22"/>
      <c r="DG23" s="22"/>
      <c r="DH23" s="22"/>
      <c r="DI23" s="22"/>
      <c r="DJ23" s="22"/>
      <c r="DK23" s="22"/>
      <c r="DL23" s="22"/>
      <c r="DM23" s="22"/>
      <c r="DN23" s="22"/>
      <c r="DO23" s="22"/>
      <c r="DP23" s="22"/>
      <c r="DQ23" s="22"/>
      <c r="DR23" s="22"/>
      <c r="DS23" s="22"/>
      <c r="DT23" s="22"/>
      <c r="DU23" s="22"/>
      <c r="DV23" s="22"/>
      <c r="DW23" s="22"/>
      <c r="DX23" s="22"/>
      <c r="DY23" s="22"/>
      <c r="DZ23" s="22"/>
      <c r="EA23" s="22"/>
      <c r="EB23" s="22"/>
      <c r="EC23" s="22"/>
      <c r="ED23" s="22"/>
      <c r="EE23" s="22"/>
      <c r="EF23" s="22"/>
      <c r="EG23" s="22"/>
      <c r="EH23" s="22"/>
      <c r="EI23" s="22"/>
      <c r="EJ23" s="22"/>
      <c r="EK23" s="22"/>
      <c r="EL23" s="22"/>
      <c r="EM23" s="22"/>
      <c r="EN23" s="22"/>
      <c r="EO23" s="22"/>
      <c r="EP23" s="22"/>
      <c r="EQ23" s="22"/>
      <c r="ER23" s="22"/>
      <c r="ES23" s="22"/>
    </row>
    <row r="24" customFormat="false" ht="15" hidden="false" customHeight="false" outlineLevel="0" collapsed="false">
      <c r="A24" s="3" t="s">
        <v>349</v>
      </c>
      <c r="B24" s="4"/>
      <c r="C24" s="4"/>
      <c r="D24" s="4"/>
      <c r="E24" s="4"/>
    </row>
    <row r="25" customFormat="false" ht="15" hidden="false" customHeight="false" outlineLevel="0" collapsed="false">
      <c r="A25" s="2" t="s">
        <v>350</v>
      </c>
      <c r="B25" s="39" t="str">
        <f aca="false">IF(INDEX(Prod_Nombre,1)="","Producto 1 (ventas)",INDEX(Prod_Nombre,1)&amp;" (ventas)")</f>
        <v>Producto 1 (ventas)</v>
      </c>
      <c r="C25" s="7" t="s">
        <v>212</v>
      </c>
      <c r="D25" s="10" t="n">
        <f aca="false">SUM(F25:ES25)</f>
        <v>0</v>
      </c>
      <c r="F25" s="22"/>
      <c r="G25" s="22"/>
      <c r="H25" s="22"/>
      <c r="I25" s="22"/>
      <c r="J25" s="22"/>
      <c r="K25" s="22"/>
      <c r="L25" s="22"/>
      <c r="M25" s="22"/>
      <c r="N25" s="22"/>
      <c r="O25" s="22"/>
      <c r="P25" s="22"/>
      <c r="Q25" s="22"/>
      <c r="R25" s="22"/>
      <c r="S25" s="22"/>
      <c r="T25" s="22"/>
      <c r="U25" s="22"/>
      <c r="V25" s="22"/>
      <c r="W25" s="22"/>
      <c r="X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c r="BM25" s="22"/>
      <c r="BN25" s="22"/>
      <c r="BO25" s="22"/>
      <c r="BP25" s="22"/>
      <c r="BQ25" s="22"/>
      <c r="BR25" s="22"/>
      <c r="BS25" s="22"/>
      <c r="BT25" s="22"/>
      <c r="BU25" s="22"/>
      <c r="BV25" s="22"/>
      <c r="BW25" s="22"/>
      <c r="BX25" s="22"/>
      <c r="BY25" s="22"/>
      <c r="BZ25" s="22"/>
      <c r="CA25" s="22"/>
      <c r="CB25" s="22"/>
      <c r="CC25" s="22"/>
      <c r="CD25" s="22"/>
      <c r="CE25" s="22"/>
      <c r="CF25" s="22"/>
      <c r="CG25" s="22"/>
      <c r="CH25" s="22"/>
      <c r="CI25" s="22"/>
      <c r="CJ25" s="22"/>
      <c r="CK25" s="22"/>
      <c r="CL25" s="22"/>
      <c r="CM25" s="22"/>
      <c r="CN25" s="22"/>
      <c r="CO25" s="22"/>
      <c r="CP25" s="22"/>
      <c r="CQ25" s="22"/>
      <c r="CR25" s="22"/>
      <c r="CS25" s="22"/>
      <c r="CT25" s="22"/>
      <c r="CU25" s="22"/>
      <c r="CV25" s="22"/>
      <c r="CW25" s="22"/>
      <c r="CX25" s="22"/>
      <c r="CY25" s="22"/>
      <c r="CZ25" s="22"/>
      <c r="DA25" s="22"/>
      <c r="DB25" s="22"/>
      <c r="DC25" s="22"/>
      <c r="DD25" s="22"/>
      <c r="DE25" s="22"/>
      <c r="DF25" s="22"/>
      <c r="DG25" s="22"/>
      <c r="DH25" s="22"/>
      <c r="DI25" s="22"/>
      <c r="DJ25" s="22"/>
      <c r="DK25" s="22"/>
      <c r="DL25" s="22"/>
      <c r="DM25" s="22"/>
      <c r="DN25" s="22"/>
      <c r="DO25" s="22"/>
      <c r="DP25" s="22"/>
      <c r="DQ25" s="22"/>
      <c r="DR25" s="22"/>
      <c r="DS25" s="22"/>
      <c r="DT25" s="22"/>
      <c r="DU25" s="22"/>
      <c r="DV25" s="22"/>
      <c r="DW25" s="22"/>
      <c r="DX25" s="22"/>
      <c r="DY25" s="22"/>
      <c r="DZ25" s="22"/>
      <c r="EA25" s="22"/>
      <c r="EB25" s="22"/>
      <c r="EC25" s="22"/>
      <c r="ED25" s="22"/>
      <c r="EE25" s="22"/>
      <c r="EF25" s="22"/>
      <c r="EG25" s="22"/>
      <c r="EH25" s="22"/>
      <c r="EI25" s="22"/>
      <c r="EJ25" s="22"/>
      <c r="EK25" s="22"/>
      <c r="EL25" s="22"/>
      <c r="EM25" s="22"/>
      <c r="EN25" s="22"/>
      <c r="EO25" s="22"/>
      <c r="EP25" s="22"/>
      <c r="EQ25" s="22"/>
      <c r="ER25" s="22"/>
      <c r="ES25" s="22"/>
    </row>
    <row r="26" customFormat="false" ht="15" hidden="false" customHeight="false" outlineLevel="0" collapsed="false">
      <c r="A26" s="2" t="s">
        <v>351</v>
      </c>
      <c r="B26" s="39" t="str">
        <f aca="false">IF(INDEX(Prod_Nombre,2)="","Producto 2 (ventas)",INDEX(Prod_Nombre,2)&amp;" (ventas)")</f>
        <v>Producto 2 (ventas)</v>
      </c>
      <c r="C26" s="7" t="s">
        <v>212</v>
      </c>
      <c r="D26" s="10" t="n">
        <f aca="false">SUM(F26:ES26)</f>
        <v>0</v>
      </c>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c r="BM26" s="22"/>
      <c r="BN26" s="22"/>
      <c r="BO26" s="22"/>
      <c r="BP26" s="22"/>
      <c r="BQ26" s="22"/>
      <c r="BR26" s="22"/>
      <c r="BS26" s="22"/>
      <c r="BT26" s="22"/>
      <c r="BU26" s="22"/>
      <c r="BV26" s="22"/>
      <c r="BW26" s="22"/>
      <c r="BX26" s="22"/>
      <c r="BY26" s="22"/>
      <c r="BZ26" s="22"/>
      <c r="CA26" s="22"/>
      <c r="CB26" s="22"/>
      <c r="CC26" s="22"/>
      <c r="CD26" s="22"/>
      <c r="CE26" s="22"/>
      <c r="CF26" s="22"/>
      <c r="CG26" s="22"/>
      <c r="CH26" s="22"/>
      <c r="CI26" s="22"/>
      <c r="CJ26" s="22"/>
      <c r="CK26" s="22"/>
      <c r="CL26" s="22"/>
      <c r="CM26" s="22"/>
      <c r="CN26" s="22"/>
      <c r="CO26" s="22"/>
      <c r="CP26" s="22"/>
      <c r="CQ26" s="22"/>
      <c r="CR26" s="22"/>
      <c r="CS26" s="22"/>
      <c r="CT26" s="22"/>
      <c r="CU26" s="22"/>
      <c r="CV26" s="22"/>
      <c r="CW26" s="22"/>
      <c r="CX26" s="22"/>
      <c r="CY26" s="22"/>
      <c r="CZ26" s="22"/>
      <c r="DA26" s="22"/>
      <c r="DB26" s="22"/>
      <c r="DC26" s="22"/>
      <c r="DD26" s="22"/>
      <c r="DE26" s="22"/>
      <c r="DF26" s="22"/>
      <c r="DG26" s="22"/>
      <c r="DH26" s="22"/>
      <c r="DI26" s="22"/>
      <c r="DJ26" s="22"/>
      <c r="DK26" s="22"/>
      <c r="DL26" s="22"/>
      <c r="DM26" s="22"/>
      <c r="DN26" s="22"/>
      <c r="DO26" s="22"/>
      <c r="DP26" s="22"/>
      <c r="DQ26" s="22"/>
      <c r="DR26" s="22"/>
      <c r="DS26" s="22"/>
      <c r="DT26" s="22"/>
      <c r="DU26" s="22"/>
      <c r="DV26" s="22"/>
      <c r="DW26" s="22"/>
      <c r="DX26" s="22"/>
      <c r="DY26" s="22"/>
      <c r="DZ26" s="22"/>
      <c r="EA26" s="22"/>
      <c r="EB26" s="22"/>
      <c r="EC26" s="22"/>
      <c r="ED26" s="22"/>
      <c r="EE26" s="22"/>
      <c r="EF26" s="22"/>
      <c r="EG26" s="22"/>
      <c r="EH26" s="22"/>
      <c r="EI26" s="22"/>
      <c r="EJ26" s="22"/>
      <c r="EK26" s="22"/>
      <c r="EL26" s="22"/>
      <c r="EM26" s="22"/>
      <c r="EN26" s="22"/>
      <c r="EO26" s="22"/>
      <c r="EP26" s="22"/>
      <c r="EQ26" s="22"/>
      <c r="ER26" s="22"/>
      <c r="ES26" s="22"/>
    </row>
    <row r="27" customFormat="false" ht="15" hidden="false" customHeight="false" outlineLevel="0" collapsed="false">
      <c r="A27" s="2" t="s">
        <v>352</v>
      </c>
      <c r="B27" s="39" t="str">
        <f aca="false">IF(INDEX(Prod_Nombre,3)="","Producto 3 (ventas)",INDEX(Prod_Nombre,3)&amp;" (ventas)")</f>
        <v>Producto 3 (ventas)</v>
      </c>
      <c r="C27" s="7" t="s">
        <v>212</v>
      </c>
      <c r="D27" s="10" t="n">
        <f aca="false">SUM(F27:ES27)</f>
        <v>0</v>
      </c>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c r="BM27" s="22"/>
      <c r="BN27" s="22"/>
      <c r="BO27" s="22"/>
      <c r="BP27" s="22"/>
      <c r="BQ27" s="22"/>
      <c r="BR27" s="22"/>
      <c r="BS27" s="22"/>
      <c r="BT27" s="22"/>
      <c r="BU27" s="22"/>
      <c r="BV27" s="22"/>
      <c r="BW27" s="22"/>
      <c r="BX27" s="22"/>
      <c r="BY27" s="22"/>
      <c r="BZ27" s="22"/>
      <c r="CA27" s="22"/>
      <c r="CB27" s="22"/>
      <c r="CC27" s="22"/>
      <c r="CD27" s="22"/>
      <c r="CE27" s="22"/>
      <c r="CF27" s="22"/>
      <c r="CG27" s="22"/>
      <c r="CH27" s="22"/>
      <c r="CI27" s="22"/>
      <c r="CJ27" s="22"/>
      <c r="CK27" s="22"/>
      <c r="CL27" s="22"/>
      <c r="CM27" s="22"/>
      <c r="CN27" s="22"/>
      <c r="CO27" s="22"/>
      <c r="CP27" s="22"/>
      <c r="CQ27" s="22"/>
      <c r="CR27" s="22"/>
      <c r="CS27" s="22"/>
      <c r="CT27" s="22"/>
      <c r="CU27" s="22"/>
      <c r="CV27" s="22"/>
      <c r="CW27" s="22"/>
      <c r="CX27" s="22"/>
      <c r="CY27" s="22"/>
      <c r="CZ27" s="22"/>
      <c r="DA27" s="22"/>
      <c r="DB27" s="22"/>
      <c r="DC27" s="22"/>
      <c r="DD27" s="22"/>
      <c r="DE27" s="22"/>
      <c r="DF27" s="22"/>
      <c r="DG27" s="22"/>
      <c r="DH27" s="22"/>
      <c r="DI27" s="22"/>
      <c r="DJ27" s="22"/>
      <c r="DK27" s="22"/>
      <c r="DL27" s="22"/>
      <c r="DM27" s="22"/>
      <c r="DN27" s="22"/>
      <c r="DO27" s="22"/>
      <c r="DP27" s="22"/>
      <c r="DQ27" s="22"/>
      <c r="DR27" s="22"/>
      <c r="DS27" s="22"/>
      <c r="DT27" s="22"/>
      <c r="DU27" s="22"/>
      <c r="DV27" s="22"/>
      <c r="DW27" s="22"/>
      <c r="DX27" s="22"/>
      <c r="DY27" s="22"/>
      <c r="DZ27" s="22"/>
      <c r="EA27" s="22"/>
      <c r="EB27" s="22"/>
      <c r="EC27" s="22"/>
      <c r="ED27" s="22"/>
      <c r="EE27" s="22"/>
      <c r="EF27" s="22"/>
      <c r="EG27" s="22"/>
      <c r="EH27" s="22"/>
      <c r="EI27" s="22"/>
      <c r="EJ27" s="22"/>
      <c r="EK27" s="22"/>
      <c r="EL27" s="22"/>
      <c r="EM27" s="22"/>
      <c r="EN27" s="22"/>
      <c r="EO27" s="22"/>
      <c r="EP27" s="22"/>
      <c r="EQ27" s="22"/>
      <c r="ER27" s="22"/>
      <c r="ES27" s="22"/>
    </row>
    <row r="28" customFormat="false" ht="15" hidden="false" customHeight="false" outlineLevel="0" collapsed="false">
      <c r="A28" s="2" t="s">
        <v>353</v>
      </c>
      <c r="B28" s="39" t="str">
        <f aca="false">IF(INDEX(Prod_Nombre,4)="","Producto 4 (ventas)",INDEX(Prod_Nombre,4)&amp;" (ventas)")</f>
        <v>Producto 4 (ventas)</v>
      </c>
      <c r="C28" s="7" t="s">
        <v>212</v>
      </c>
      <c r="D28" s="10" t="n">
        <f aca="false">SUM(F28:ES28)</f>
        <v>0</v>
      </c>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c r="BM28" s="22"/>
      <c r="BN28" s="22"/>
      <c r="BO28" s="22"/>
      <c r="BP28" s="22"/>
      <c r="BQ28" s="22"/>
      <c r="BR28" s="22"/>
      <c r="BS28" s="22"/>
      <c r="BT28" s="22"/>
      <c r="BU28" s="22"/>
      <c r="BV28" s="22"/>
      <c r="BW28" s="22"/>
      <c r="BX28" s="22"/>
      <c r="BY28" s="22"/>
      <c r="BZ28" s="22"/>
      <c r="CA28" s="22"/>
      <c r="CB28" s="22"/>
      <c r="CC28" s="22"/>
      <c r="CD28" s="22"/>
      <c r="CE28" s="22"/>
      <c r="CF28" s="22"/>
      <c r="CG28" s="22"/>
      <c r="CH28" s="22"/>
      <c r="CI28" s="22"/>
      <c r="CJ28" s="22"/>
      <c r="CK28" s="22"/>
      <c r="CL28" s="22"/>
      <c r="CM28" s="22"/>
      <c r="CN28" s="22"/>
      <c r="CO28" s="22"/>
      <c r="CP28" s="22"/>
      <c r="CQ28" s="22"/>
      <c r="CR28" s="22"/>
      <c r="CS28" s="22"/>
      <c r="CT28" s="22"/>
      <c r="CU28" s="22"/>
      <c r="CV28" s="22"/>
      <c r="CW28" s="22"/>
      <c r="CX28" s="22"/>
      <c r="CY28" s="22"/>
      <c r="CZ28" s="22"/>
      <c r="DA28" s="22"/>
      <c r="DB28" s="22"/>
      <c r="DC28" s="22"/>
      <c r="DD28" s="22"/>
      <c r="DE28" s="22"/>
      <c r="DF28" s="22"/>
      <c r="DG28" s="22"/>
      <c r="DH28" s="22"/>
      <c r="DI28" s="22"/>
      <c r="DJ28" s="22"/>
      <c r="DK28" s="22"/>
      <c r="DL28" s="22"/>
      <c r="DM28" s="22"/>
      <c r="DN28" s="22"/>
      <c r="DO28" s="22"/>
      <c r="DP28" s="22"/>
      <c r="DQ28" s="22"/>
      <c r="DR28" s="22"/>
      <c r="DS28" s="22"/>
      <c r="DT28" s="22"/>
      <c r="DU28" s="22"/>
      <c r="DV28" s="22"/>
      <c r="DW28" s="22"/>
      <c r="DX28" s="22"/>
      <c r="DY28" s="22"/>
      <c r="DZ28" s="22"/>
      <c r="EA28" s="22"/>
      <c r="EB28" s="22"/>
      <c r="EC28" s="22"/>
      <c r="ED28" s="22"/>
      <c r="EE28" s="22"/>
      <c r="EF28" s="22"/>
      <c r="EG28" s="22"/>
      <c r="EH28" s="22"/>
      <c r="EI28" s="22"/>
      <c r="EJ28" s="22"/>
      <c r="EK28" s="22"/>
      <c r="EL28" s="22"/>
      <c r="EM28" s="22"/>
      <c r="EN28" s="22"/>
      <c r="EO28" s="22"/>
      <c r="EP28" s="22"/>
      <c r="EQ28" s="22"/>
      <c r="ER28" s="22"/>
      <c r="ES28" s="22"/>
    </row>
    <row r="29" customFormat="false" ht="15" hidden="false" customHeight="false" outlineLevel="0" collapsed="false">
      <c r="A29" s="2" t="s">
        <v>354</v>
      </c>
      <c r="B29" s="39" t="str">
        <f aca="false">IF(INDEX(Prod_Nombre,5)="","Producto 5 (ventas)",INDEX(Prod_Nombre,5)&amp;" (ventas)")</f>
        <v>Producto 5 (ventas)</v>
      </c>
      <c r="C29" s="7" t="s">
        <v>212</v>
      </c>
      <c r="D29" s="10" t="n">
        <f aca="false">SUM(F29:ES29)</f>
        <v>0</v>
      </c>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c r="BM29" s="22"/>
      <c r="BN29" s="22"/>
      <c r="BO29" s="22"/>
      <c r="BP29" s="22"/>
      <c r="BQ29" s="22"/>
      <c r="BR29" s="22"/>
      <c r="BS29" s="22"/>
      <c r="BT29" s="22"/>
      <c r="BU29" s="22"/>
      <c r="BV29" s="22"/>
      <c r="BW29" s="22"/>
      <c r="BX29" s="22"/>
      <c r="BY29" s="22"/>
      <c r="BZ29" s="22"/>
      <c r="CA29" s="22"/>
      <c r="CB29" s="22"/>
      <c r="CC29" s="22"/>
      <c r="CD29" s="22"/>
      <c r="CE29" s="22"/>
      <c r="CF29" s="22"/>
      <c r="CG29" s="22"/>
      <c r="CH29" s="22"/>
      <c r="CI29" s="22"/>
      <c r="CJ29" s="22"/>
      <c r="CK29" s="22"/>
      <c r="CL29" s="22"/>
      <c r="CM29" s="22"/>
      <c r="CN29" s="22"/>
      <c r="CO29" s="22"/>
      <c r="CP29" s="22"/>
      <c r="CQ29" s="22"/>
      <c r="CR29" s="22"/>
      <c r="CS29" s="22"/>
      <c r="CT29" s="22"/>
      <c r="CU29" s="22"/>
      <c r="CV29" s="22"/>
      <c r="CW29" s="22"/>
      <c r="CX29" s="22"/>
      <c r="CY29" s="22"/>
      <c r="CZ29" s="22"/>
      <c r="DA29" s="22"/>
      <c r="DB29" s="22"/>
      <c r="DC29" s="22"/>
      <c r="DD29" s="22"/>
      <c r="DE29" s="22"/>
      <c r="DF29" s="22"/>
      <c r="DG29" s="22"/>
      <c r="DH29" s="22"/>
      <c r="DI29" s="22"/>
      <c r="DJ29" s="22"/>
      <c r="DK29" s="22"/>
      <c r="DL29" s="22"/>
      <c r="DM29" s="22"/>
      <c r="DN29" s="22"/>
      <c r="DO29" s="22"/>
      <c r="DP29" s="22"/>
      <c r="DQ29" s="22"/>
      <c r="DR29" s="22"/>
      <c r="DS29" s="22"/>
      <c r="DT29" s="22"/>
      <c r="DU29" s="22"/>
      <c r="DV29" s="22"/>
      <c r="DW29" s="22"/>
      <c r="DX29" s="22"/>
      <c r="DY29" s="22"/>
      <c r="DZ29" s="22"/>
      <c r="EA29" s="22"/>
      <c r="EB29" s="22"/>
      <c r="EC29" s="22"/>
      <c r="ED29" s="22"/>
      <c r="EE29" s="22"/>
      <c r="EF29" s="22"/>
      <c r="EG29" s="22"/>
      <c r="EH29" s="22"/>
      <c r="EI29" s="22"/>
      <c r="EJ29" s="22"/>
      <c r="EK29" s="22"/>
      <c r="EL29" s="22"/>
      <c r="EM29" s="22"/>
      <c r="EN29" s="22"/>
      <c r="EO29" s="22"/>
      <c r="EP29" s="22"/>
      <c r="EQ29" s="22"/>
      <c r="ER29" s="22"/>
      <c r="ES29" s="22"/>
    </row>
    <row r="30" customFormat="false" ht="15" hidden="false" customHeight="false" outlineLevel="0" collapsed="false">
      <c r="A30" s="2" t="s">
        <v>355</v>
      </c>
      <c r="B30" s="39" t="str">
        <f aca="false">IF(INDEX(Prod_Nombre,6)="","Producto 6 (ventas)",INDEX(Prod_Nombre,6)&amp;" (ventas)")</f>
        <v>Producto 6 (ventas)</v>
      </c>
      <c r="C30" s="7" t="s">
        <v>212</v>
      </c>
      <c r="D30" s="10" t="n">
        <f aca="false">SUM(F30:ES30)</f>
        <v>0</v>
      </c>
      <c r="F30" s="22"/>
      <c r="G30" s="22"/>
      <c r="H30" s="22"/>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c r="BM30" s="22"/>
      <c r="BN30" s="22"/>
      <c r="BO30" s="22"/>
      <c r="BP30" s="22"/>
      <c r="BQ30" s="22"/>
      <c r="BR30" s="22"/>
      <c r="BS30" s="22"/>
      <c r="BT30" s="22"/>
      <c r="BU30" s="22"/>
      <c r="BV30" s="22"/>
      <c r="BW30" s="22"/>
      <c r="BX30" s="22"/>
      <c r="BY30" s="22"/>
      <c r="BZ30" s="22"/>
      <c r="CA30" s="22"/>
      <c r="CB30" s="22"/>
      <c r="CC30" s="22"/>
      <c r="CD30" s="22"/>
      <c r="CE30" s="22"/>
      <c r="CF30" s="22"/>
      <c r="CG30" s="22"/>
      <c r="CH30" s="22"/>
      <c r="CI30" s="22"/>
      <c r="CJ30" s="22"/>
      <c r="CK30" s="22"/>
      <c r="CL30" s="22"/>
      <c r="CM30" s="22"/>
      <c r="CN30" s="22"/>
      <c r="CO30" s="22"/>
      <c r="CP30" s="22"/>
      <c r="CQ30" s="22"/>
      <c r="CR30" s="22"/>
      <c r="CS30" s="22"/>
      <c r="CT30" s="22"/>
      <c r="CU30" s="22"/>
      <c r="CV30" s="22"/>
      <c r="CW30" s="22"/>
      <c r="CX30" s="22"/>
      <c r="CY30" s="22"/>
      <c r="CZ30" s="22"/>
      <c r="DA30" s="22"/>
      <c r="DB30" s="22"/>
      <c r="DC30" s="22"/>
      <c r="DD30" s="22"/>
      <c r="DE30" s="22"/>
      <c r="DF30" s="22"/>
      <c r="DG30" s="22"/>
      <c r="DH30" s="22"/>
      <c r="DI30" s="22"/>
      <c r="DJ30" s="22"/>
      <c r="DK30" s="22"/>
      <c r="DL30" s="22"/>
      <c r="DM30" s="22"/>
      <c r="DN30" s="22"/>
      <c r="DO30" s="22"/>
      <c r="DP30" s="22"/>
      <c r="DQ30" s="22"/>
      <c r="DR30" s="22"/>
      <c r="DS30" s="22"/>
      <c r="DT30" s="22"/>
      <c r="DU30" s="22"/>
      <c r="DV30" s="22"/>
      <c r="DW30" s="22"/>
      <c r="DX30" s="22"/>
      <c r="DY30" s="22"/>
      <c r="DZ30" s="22"/>
      <c r="EA30" s="22"/>
      <c r="EB30" s="22"/>
      <c r="EC30" s="22"/>
      <c r="ED30" s="22"/>
      <c r="EE30" s="22"/>
      <c r="EF30" s="22"/>
      <c r="EG30" s="22"/>
      <c r="EH30" s="22"/>
      <c r="EI30" s="22"/>
      <c r="EJ30" s="22"/>
      <c r="EK30" s="22"/>
      <c r="EL30" s="22"/>
      <c r="EM30" s="22"/>
      <c r="EN30" s="22"/>
      <c r="EO30" s="22"/>
      <c r="EP30" s="22"/>
      <c r="EQ30" s="22"/>
      <c r="ER30" s="22"/>
      <c r="ES30" s="22"/>
    </row>
    <row r="31" customFormat="false" ht="15" hidden="false" customHeight="false" outlineLevel="0" collapsed="false">
      <c r="A31" s="2" t="s">
        <v>356</v>
      </c>
      <c r="B31" s="39" t="str">
        <f aca="false">IF(INDEX(Prod_Nombre,7)="","Producto 7 (ventas)",INDEX(Prod_Nombre,7)&amp;" (ventas)")</f>
        <v>Producto 7 (ventas)</v>
      </c>
      <c r="C31" s="7" t="s">
        <v>212</v>
      </c>
      <c r="D31" s="10" t="n">
        <f aca="false">SUM(F31:ES31)</f>
        <v>0</v>
      </c>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c r="BM31" s="22"/>
      <c r="BN31" s="22"/>
      <c r="BO31" s="22"/>
      <c r="BP31" s="22"/>
      <c r="BQ31" s="22"/>
      <c r="BR31" s="22"/>
      <c r="BS31" s="22"/>
      <c r="BT31" s="22"/>
      <c r="BU31" s="22"/>
      <c r="BV31" s="22"/>
      <c r="BW31" s="22"/>
      <c r="BX31" s="22"/>
      <c r="BY31" s="22"/>
      <c r="BZ31" s="22"/>
      <c r="CA31" s="22"/>
      <c r="CB31" s="22"/>
      <c r="CC31" s="22"/>
      <c r="CD31" s="22"/>
      <c r="CE31" s="22"/>
      <c r="CF31" s="22"/>
      <c r="CG31" s="22"/>
      <c r="CH31" s="22"/>
      <c r="CI31" s="22"/>
      <c r="CJ31" s="22"/>
      <c r="CK31" s="22"/>
      <c r="CL31" s="22"/>
      <c r="CM31" s="22"/>
      <c r="CN31" s="22"/>
      <c r="CO31" s="22"/>
      <c r="CP31" s="22"/>
      <c r="CQ31" s="22"/>
      <c r="CR31" s="22"/>
      <c r="CS31" s="22"/>
      <c r="CT31" s="22"/>
      <c r="CU31" s="22"/>
      <c r="CV31" s="22"/>
      <c r="CW31" s="22"/>
      <c r="CX31" s="22"/>
      <c r="CY31" s="22"/>
      <c r="CZ31" s="22"/>
      <c r="DA31" s="22"/>
      <c r="DB31" s="22"/>
      <c r="DC31" s="22"/>
      <c r="DD31" s="22"/>
      <c r="DE31" s="22"/>
      <c r="DF31" s="22"/>
      <c r="DG31" s="22"/>
      <c r="DH31" s="22"/>
      <c r="DI31" s="22"/>
      <c r="DJ31" s="22"/>
      <c r="DK31" s="22"/>
      <c r="DL31" s="22"/>
      <c r="DM31" s="22"/>
      <c r="DN31" s="22"/>
      <c r="DO31" s="22"/>
      <c r="DP31" s="22"/>
      <c r="DQ31" s="22"/>
      <c r="DR31" s="22"/>
      <c r="DS31" s="22"/>
      <c r="DT31" s="22"/>
      <c r="DU31" s="22"/>
      <c r="DV31" s="22"/>
      <c r="DW31" s="22"/>
      <c r="DX31" s="22"/>
      <c r="DY31" s="22"/>
      <c r="DZ31" s="22"/>
      <c r="EA31" s="22"/>
      <c r="EB31" s="22"/>
      <c r="EC31" s="22"/>
      <c r="ED31" s="22"/>
      <c r="EE31" s="22"/>
      <c r="EF31" s="22"/>
      <c r="EG31" s="22"/>
      <c r="EH31" s="22"/>
      <c r="EI31" s="22"/>
      <c r="EJ31" s="22"/>
      <c r="EK31" s="22"/>
      <c r="EL31" s="22"/>
      <c r="EM31" s="22"/>
      <c r="EN31" s="22"/>
      <c r="EO31" s="22"/>
      <c r="EP31" s="22"/>
      <c r="EQ31" s="22"/>
      <c r="ER31" s="22"/>
      <c r="ES31" s="22"/>
    </row>
    <row r="32" customFormat="false" ht="15" hidden="false" customHeight="false" outlineLevel="0" collapsed="false">
      <c r="A32" s="2" t="s">
        <v>357</v>
      </c>
      <c r="B32" s="39" t="str">
        <f aca="false">IF(INDEX(Prod_Nombre,8)="","Producto 8 (ventas)",INDEX(Prod_Nombre,8)&amp;" (ventas)")</f>
        <v>Producto 8 (ventas)</v>
      </c>
      <c r="C32" s="7" t="s">
        <v>212</v>
      </c>
      <c r="D32" s="10" t="n">
        <f aca="false">SUM(F32:ES32)</f>
        <v>0</v>
      </c>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c r="BM32" s="22"/>
      <c r="BN32" s="22"/>
      <c r="BO32" s="22"/>
      <c r="BP32" s="22"/>
      <c r="BQ32" s="22"/>
      <c r="BR32" s="22"/>
      <c r="BS32" s="22"/>
      <c r="BT32" s="22"/>
      <c r="BU32" s="22"/>
      <c r="BV32" s="22"/>
      <c r="BW32" s="22"/>
      <c r="BX32" s="22"/>
      <c r="BY32" s="22"/>
      <c r="BZ32" s="22"/>
      <c r="CA32" s="22"/>
      <c r="CB32" s="22"/>
      <c r="CC32" s="22"/>
      <c r="CD32" s="22"/>
      <c r="CE32" s="22"/>
      <c r="CF32" s="22"/>
      <c r="CG32" s="22"/>
      <c r="CH32" s="22"/>
      <c r="CI32" s="22"/>
      <c r="CJ32" s="22"/>
      <c r="CK32" s="22"/>
      <c r="CL32" s="22"/>
      <c r="CM32" s="22"/>
      <c r="CN32" s="22"/>
      <c r="CO32" s="22"/>
      <c r="CP32" s="22"/>
      <c r="CQ32" s="22"/>
      <c r="CR32" s="22"/>
      <c r="CS32" s="22"/>
      <c r="CT32" s="22"/>
      <c r="CU32" s="22"/>
      <c r="CV32" s="22"/>
      <c r="CW32" s="22"/>
      <c r="CX32" s="22"/>
      <c r="CY32" s="22"/>
      <c r="CZ32" s="22"/>
      <c r="DA32" s="22"/>
      <c r="DB32" s="22"/>
      <c r="DC32" s="22"/>
      <c r="DD32" s="22"/>
      <c r="DE32" s="22"/>
      <c r="DF32" s="22"/>
      <c r="DG32" s="22"/>
      <c r="DH32" s="22"/>
      <c r="DI32" s="22"/>
      <c r="DJ32" s="22"/>
      <c r="DK32" s="22"/>
      <c r="DL32" s="22"/>
      <c r="DM32" s="22"/>
      <c r="DN32" s="22"/>
      <c r="DO32" s="22"/>
      <c r="DP32" s="22"/>
      <c r="DQ32" s="22"/>
      <c r="DR32" s="22"/>
      <c r="DS32" s="22"/>
      <c r="DT32" s="22"/>
      <c r="DU32" s="22"/>
      <c r="DV32" s="22"/>
      <c r="DW32" s="22"/>
      <c r="DX32" s="22"/>
      <c r="DY32" s="22"/>
      <c r="DZ32" s="22"/>
      <c r="EA32" s="22"/>
      <c r="EB32" s="22"/>
      <c r="EC32" s="22"/>
      <c r="ED32" s="22"/>
      <c r="EE32" s="22"/>
      <c r="EF32" s="22"/>
      <c r="EG32" s="22"/>
      <c r="EH32" s="22"/>
      <c r="EI32" s="22"/>
      <c r="EJ32" s="22"/>
      <c r="EK32" s="22"/>
      <c r="EL32" s="22"/>
      <c r="EM32" s="22"/>
      <c r="EN32" s="22"/>
      <c r="EO32" s="22"/>
      <c r="EP32" s="22"/>
      <c r="EQ32" s="22"/>
      <c r="ER32" s="22"/>
      <c r="ES32" s="22"/>
    </row>
    <row r="33" customFormat="false" ht="15" hidden="false" customHeight="false" outlineLevel="0" collapsed="false">
      <c r="A33" s="2" t="s">
        <v>358</v>
      </c>
      <c r="B33" s="39" t="str">
        <f aca="false">IF(INDEX(Prod_Nombre,9)="","Producto 9 (ventas)",INDEX(Prod_Nombre,9)&amp;" (ventas)")</f>
        <v>Producto 9 (ventas)</v>
      </c>
      <c r="C33" s="7" t="s">
        <v>212</v>
      </c>
      <c r="D33" s="10" t="n">
        <f aca="false">SUM(F33:ES33)</f>
        <v>0</v>
      </c>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c r="BM33" s="22"/>
      <c r="BN33" s="22"/>
      <c r="BO33" s="22"/>
      <c r="BP33" s="22"/>
      <c r="BQ33" s="22"/>
      <c r="BR33" s="22"/>
      <c r="BS33" s="22"/>
      <c r="BT33" s="22"/>
      <c r="BU33" s="22"/>
      <c r="BV33" s="22"/>
      <c r="BW33" s="22"/>
      <c r="BX33" s="22"/>
      <c r="BY33" s="22"/>
      <c r="BZ33" s="22"/>
      <c r="CA33" s="22"/>
      <c r="CB33" s="22"/>
      <c r="CC33" s="22"/>
      <c r="CD33" s="22"/>
      <c r="CE33" s="22"/>
      <c r="CF33" s="22"/>
      <c r="CG33" s="22"/>
      <c r="CH33" s="22"/>
      <c r="CI33" s="22"/>
      <c r="CJ33" s="22"/>
      <c r="CK33" s="22"/>
      <c r="CL33" s="22"/>
      <c r="CM33" s="22"/>
      <c r="CN33" s="22"/>
      <c r="CO33" s="22"/>
      <c r="CP33" s="22"/>
      <c r="CQ33" s="22"/>
      <c r="CR33" s="22"/>
      <c r="CS33" s="22"/>
      <c r="CT33" s="22"/>
      <c r="CU33" s="22"/>
      <c r="CV33" s="22"/>
      <c r="CW33" s="22"/>
      <c r="CX33" s="22"/>
      <c r="CY33" s="22"/>
      <c r="CZ33" s="22"/>
      <c r="DA33" s="22"/>
      <c r="DB33" s="22"/>
      <c r="DC33" s="22"/>
      <c r="DD33" s="22"/>
      <c r="DE33" s="22"/>
      <c r="DF33" s="22"/>
      <c r="DG33" s="22"/>
      <c r="DH33" s="22"/>
      <c r="DI33" s="22"/>
      <c r="DJ33" s="22"/>
      <c r="DK33" s="22"/>
      <c r="DL33" s="22"/>
      <c r="DM33" s="22"/>
      <c r="DN33" s="22"/>
      <c r="DO33" s="22"/>
      <c r="DP33" s="22"/>
      <c r="DQ33" s="22"/>
      <c r="DR33" s="22"/>
      <c r="DS33" s="22"/>
      <c r="DT33" s="22"/>
      <c r="DU33" s="22"/>
      <c r="DV33" s="22"/>
      <c r="DW33" s="22"/>
      <c r="DX33" s="22"/>
      <c r="DY33" s="22"/>
      <c r="DZ33" s="22"/>
      <c r="EA33" s="22"/>
      <c r="EB33" s="22"/>
      <c r="EC33" s="22"/>
      <c r="ED33" s="22"/>
      <c r="EE33" s="22"/>
      <c r="EF33" s="22"/>
      <c r="EG33" s="22"/>
      <c r="EH33" s="22"/>
      <c r="EI33" s="22"/>
      <c r="EJ33" s="22"/>
      <c r="EK33" s="22"/>
      <c r="EL33" s="22"/>
      <c r="EM33" s="22"/>
      <c r="EN33" s="22"/>
      <c r="EO33" s="22"/>
      <c r="EP33" s="22"/>
      <c r="EQ33" s="22"/>
      <c r="ER33" s="22"/>
      <c r="ES33" s="22"/>
    </row>
    <row r="34" customFormat="false" ht="15" hidden="false" customHeight="false" outlineLevel="0" collapsed="false">
      <c r="A34" s="2" t="s">
        <v>359</v>
      </c>
      <c r="B34" s="39" t="str">
        <f aca="false">IF(INDEX(Prod_Nombre,10)="","Producto 10 (ventas)",INDEX(Prod_Nombre,10)&amp;" (ventas)")</f>
        <v>Producto 10 (ventas)</v>
      </c>
      <c r="C34" s="7" t="s">
        <v>212</v>
      </c>
      <c r="D34" s="10" t="n">
        <f aca="false">SUM(F34:ES34)</f>
        <v>0</v>
      </c>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c r="BM34" s="22"/>
      <c r="BN34" s="22"/>
      <c r="BO34" s="22"/>
      <c r="BP34" s="22"/>
      <c r="BQ34" s="22"/>
      <c r="BR34" s="22"/>
      <c r="BS34" s="22"/>
      <c r="BT34" s="22"/>
      <c r="BU34" s="22"/>
      <c r="BV34" s="22"/>
      <c r="BW34" s="22"/>
      <c r="BX34" s="22"/>
      <c r="BY34" s="22"/>
      <c r="BZ34" s="22"/>
      <c r="CA34" s="22"/>
      <c r="CB34" s="22"/>
      <c r="CC34" s="22"/>
      <c r="CD34" s="22"/>
      <c r="CE34" s="22"/>
      <c r="CF34" s="22"/>
      <c r="CG34" s="22"/>
      <c r="CH34" s="22"/>
      <c r="CI34" s="22"/>
      <c r="CJ34" s="22"/>
      <c r="CK34" s="22"/>
      <c r="CL34" s="22"/>
      <c r="CM34" s="22"/>
      <c r="CN34" s="22"/>
      <c r="CO34" s="22"/>
      <c r="CP34" s="22"/>
      <c r="CQ34" s="22"/>
      <c r="CR34" s="22"/>
      <c r="CS34" s="22"/>
      <c r="CT34" s="22"/>
      <c r="CU34" s="22"/>
      <c r="CV34" s="22"/>
      <c r="CW34" s="22"/>
      <c r="CX34" s="22"/>
      <c r="CY34" s="22"/>
      <c r="CZ34" s="22"/>
      <c r="DA34" s="22"/>
      <c r="DB34" s="22"/>
      <c r="DC34" s="22"/>
      <c r="DD34" s="22"/>
      <c r="DE34" s="22"/>
      <c r="DF34" s="22"/>
      <c r="DG34" s="22"/>
      <c r="DH34" s="22"/>
      <c r="DI34" s="22"/>
      <c r="DJ34" s="22"/>
      <c r="DK34" s="22"/>
      <c r="DL34" s="22"/>
      <c r="DM34" s="22"/>
      <c r="DN34" s="22"/>
      <c r="DO34" s="22"/>
      <c r="DP34" s="22"/>
      <c r="DQ34" s="22"/>
      <c r="DR34" s="22"/>
      <c r="DS34" s="22"/>
      <c r="DT34" s="22"/>
      <c r="DU34" s="22"/>
      <c r="DV34" s="22"/>
      <c r="DW34" s="22"/>
      <c r="DX34" s="22"/>
      <c r="DY34" s="22"/>
      <c r="DZ34" s="22"/>
      <c r="EA34" s="22"/>
      <c r="EB34" s="22"/>
      <c r="EC34" s="22"/>
      <c r="ED34" s="22"/>
      <c r="EE34" s="22"/>
      <c r="EF34" s="22"/>
      <c r="EG34" s="22"/>
      <c r="EH34" s="22"/>
      <c r="EI34" s="22"/>
      <c r="EJ34" s="22"/>
      <c r="EK34" s="22"/>
      <c r="EL34" s="22"/>
      <c r="EM34" s="22"/>
      <c r="EN34" s="22"/>
      <c r="EO34" s="22"/>
      <c r="EP34" s="22"/>
      <c r="EQ34" s="22"/>
      <c r="ER34" s="22"/>
      <c r="ES34" s="22"/>
    </row>
    <row r="35" customFormat="false" ht="15" hidden="false" customHeight="false" outlineLevel="0" collapsed="false">
      <c r="A35" s="2" t="s">
        <v>360</v>
      </c>
      <c r="B35" s="39" t="str">
        <f aca="false">IF(INDEX(Prod_Nombre,11)="","Producto 11 (ventas)",INDEX(Prod_Nombre,11)&amp;" (ventas)")</f>
        <v>Producto 11 (ventas)</v>
      </c>
      <c r="C35" s="7" t="s">
        <v>212</v>
      </c>
      <c r="D35" s="10" t="n">
        <f aca="false">SUM(F35:ES35)</f>
        <v>0</v>
      </c>
      <c r="F35" s="22"/>
      <c r="G35" s="22"/>
      <c r="H35" s="22"/>
      <c r="I35" s="22"/>
      <c r="J35" s="22"/>
      <c r="K35" s="22"/>
      <c r="L35" s="22"/>
      <c r="M35" s="22"/>
      <c r="N35" s="22"/>
      <c r="O35" s="22"/>
      <c r="P35" s="22"/>
      <c r="Q35" s="22"/>
      <c r="R35" s="22"/>
      <c r="S35" s="22"/>
      <c r="T35" s="22"/>
      <c r="U35" s="22"/>
      <c r="V35" s="22"/>
      <c r="W35" s="22"/>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c r="BM35" s="22"/>
      <c r="BN35" s="22"/>
      <c r="BO35" s="22"/>
      <c r="BP35" s="22"/>
      <c r="BQ35" s="22"/>
      <c r="BR35" s="22"/>
      <c r="BS35" s="22"/>
      <c r="BT35" s="22"/>
      <c r="BU35" s="22"/>
      <c r="BV35" s="22"/>
      <c r="BW35" s="22"/>
      <c r="BX35" s="22"/>
      <c r="BY35" s="22"/>
      <c r="BZ35" s="22"/>
      <c r="CA35" s="22"/>
      <c r="CB35" s="22"/>
      <c r="CC35" s="22"/>
      <c r="CD35" s="22"/>
      <c r="CE35" s="22"/>
      <c r="CF35" s="22"/>
      <c r="CG35" s="22"/>
      <c r="CH35" s="22"/>
      <c r="CI35" s="22"/>
      <c r="CJ35" s="22"/>
      <c r="CK35" s="22"/>
      <c r="CL35" s="22"/>
      <c r="CM35" s="22"/>
      <c r="CN35" s="22"/>
      <c r="CO35" s="22"/>
      <c r="CP35" s="22"/>
      <c r="CQ35" s="22"/>
      <c r="CR35" s="22"/>
      <c r="CS35" s="22"/>
      <c r="CT35" s="22"/>
      <c r="CU35" s="22"/>
      <c r="CV35" s="22"/>
      <c r="CW35" s="22"/>
      <c r="CX35" s="22"/>
      <c r="CY35" s="22"/>
      <c r="CZ35" s="22"/>
      <c r="DA35" s="22"/>
      <c r="DB35" s="22"/>
      <c r="DC35" s="22"/>
      <c r="DD35" s="22"/>
      <c r="DE35" s="22"/>
      <c r="DF35" s="22"/>
      <c r="DG35" s="22"/>
      <c r="DH35" s="22"/>
      <c r="DI35" s="22"/>
      <c r="DJ35" s="22"/>
      <c r="DK35" s="22"/>
      <c r="DL35" s="22"/>
      <c r="DM35" s="22"/>
      <c r="DN35" s="22"/>
      <c r="DO35" s="22"/>
      <c r="DP35" s="22"/>
      <c r="DQ35" s="22"/>
      <c r="DR35" s="22"/>
      <c r="DS35" s="22"/>
      <c r="DT35" s="22"/>
      <c r="DU35" s="22"/>
      <c r="DV35" s="22"/>
      <c r="DW35" s="22"/>
      <c r="DX35" s="22"/>
      <c r="DY35" s="22"/>
      <c r="DZ35" s="22"/>
      <c r="EA35" s="22"/>
      <c r="EB35" s="22"/>
      <c r="EC35" s="22"/>
      <c r="ED35" s="22"/>
      <c r="EE35" s="22"/>
      <c r="EF35" s="22"/>
      <c r="EG35" s="22"/>
      <c r="EH35" s="22"/>
      <c r="EI35" s="22"/>
      <c r="EJ35" s="22"/>
      <c r="EK35" s="22"/>
      <c r="EL35" s="22"/>
      <c r="EM35" s="22"/>
      <c r="EN35" s="22"/>
      <c r="EO35" s="22"/>
      <c r="EP35" s="22"/>
      <c r="EQ35" s="22"/>
      <c r="ER35" s="22"/>
      <c r="ES35" s="22"/>
    </row>
    <row r="36" customFormat="false" ht="15" hidden="false" customHeight="false" outlineLevel="0" collapsed="false">
      <c r="A36" s="2" t="s">
        <v>361</v>
      </c>
      <c r="B36" s="39" t="str">
        <f aca="false">IF(INDEX(Prod_Nombre,12)="","Producto 12 (ventas)",INDEX(Prod_Nombre,12)&amp;" (ventas)")</f>
        <v>Producto 12 (ventas)</v>
      </c>
      <c r="C36" s="7" t="s">
        <v>212</v>
      </c>
      <c r="D36" s="10" t="n">
        <f aca="false">SUM(F36:ES36)</f>
        <v>0</v>
      </c>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c r="BM36" s="22"/>
      <c r="BN36" s="22"/>
      <c r="BO36" s="22"/>
      <c r="BP36" s="22"/>
      <c r="BQ36" s="22"/>
      <c r="BR36" s="22"/>
      <c r="BS36" s="22"/>
      <c r="BT36" s="22"/>
      <c r="BU36" s="22"/>
      <c r="BV36" s="22"/>
      <c r="BW36" s="22"/>
      <c r="BX36" s="22"/>
      <c r="BY36" s="22"/>
      <c r="BZ36" s="22"/>
      <c r="CA36" s="22"/>
      <c r="CB36" s="22"/>
      <c r="CC36" s="22"/>
      <c r="CD36" s="22"/>
      <c r="CE36" s="22"/>
      <c r="CF36" s="22"/>
      <c r="CG36" s="22"/>
      <c r="CH36" s="22"/>
      <c r="CI36" s="22"/>
      <c r="CJ36" s="22"/>
      <c r="CK36" s="22"/>
      <c r="CL36" s="22"/>
      <c r="CM36" s="22"/>
      <c r="CN36" s="22"/>
      <c r="CO36" s="22"/>
      <c r="CP36" s="22"/>
      <c r="CQ36" s="22"/>
      <c r="CR36" s="22"/>
      <c r="CS36" s="22"/>
      <c r="CT36" s="22"/>
      <c r="CU36" s="22"/>
      <c r="CV36" s="22"/>
      <c r="CW36" s="22"/>
      <c r="CX36" s="22"/>
      <c r="CY36" s="22"/>
      <c r="CZ36" s="22"/>
      <c r="DA36" s="22"/>
      <c r="DB36" s="22"/>
      <c r="DC36" s="22"/>
      <c r="DD36" s="22"/>
      <c r="DE36" s="22"/>
      <c r="DF36" s="22"/>
      <c r="DG36" s="22"/>
      <c r="DH36" s="22"/>
      <c r="DI36" s="22"/>
      <c r="DJ36" s="22"/>
      <c r="DK36" s="22"/>
      <c r="DL36" s="22"/>
      <c r="DM36" s="22"/>
      <c r="DN36" s="22"/>
      <c r="DO36" s="22"/>
      <c r="DP36" s="22"/>
      <c r="DQ36" s="22"/>
      <c r="DR36" s="22"/>
      <c r="DS36" s="22"/>
      <c r="DT36" s="22"/>
      <c r="DU36" s="22"/>
      <c r="DV36" s="22"/>
      <c r="DW36" s="22"/>
      <c r="DX36" s="22"/>
      <c r="DY36" s="22"/>
      <c r="DZ36" s="22"/>
      <c r="EA36" s="22"/>
      <c r="EB36" s="22"/>
      <c r="EC36" s="22"/>
      <c r="ED36" s="22"/>
      <c r="EE36" s="22"/>
      <c r="EF36" s="22"/>
      <c r="EG36" s="22"/>
      <c r="EH36" s="22"/>
      <c r="EI36" s="22"/>
      <c r="EJ36" s="22"/>
      <c r="EK36" s="22"/>
      <c r="EL36" s="22"/>
      <c r="EM36" s="22"/>
      <c r="EN36" s="22"/>
      <c r="EO36" s="22"/>
      <c r="EP36" s="22"/>
      <c r="EQ36" s="22"/>
      <c r="ER36" s="22"/>
      <c r="ES36" s="22"/>
    </row>
    <row r="37" customFormat="false" ht="15" hidden="false" customHeight="false" outlineLevel="0" collapsed="false">
      <c r="A37" s="3" t="s">
        <v>362</v>
      </c>
      <c r="B37" s="4"/>
      <c r="C37" s="4"/>
      <c r="D37" s="4"/>
      <c r="E37" s="4"/>
    </row>
    <row r="38" customFormat="false" ht="15" hidden="false" customHeight="false" outlineLevel="0" collapsed="false">
      <c r="A38" s="2" t="s">
        <v>363</v>
      </c>
      <c r="B38" s="6" t="s">
        <v>364</v>
      </c>
      <c r="C38" s="7" t="s">
        <v>212</v>
      </c>
      <c r="D38" s="10" t="n">
        <f aca="false">SUM(F38:ES38)</f>
        <v>0</v>
      </c>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c r="BM38" s="22"/>
      <c r="BN38" s="22"/>
      <c r="BO38" s="22"/>
      <c r="BP38" s="22"/>
      <c r="BQ38" s="22"/>
      <c r="BR38" s="22"/>
      <c r="BS38" s="22"/>
      <c r="BT38" s="22"/>
      <c r="BU38" s="22"/>
      <c r="BV38" s="22"/>
      <c r="BW38" s="22"/>
      <c r="BX38" s="22"/>
      <c r="BY38" s="22"/>
      <c r="BZ38" s="22"/>
      <c r="CA38" s="22"/>
      <c r="CB38" s="22"/>
      <c r="CC38" s="22"/>
      <c r="CD38" s="22"/>
      <c r="CE38" s="22"/>
      <c r="CF38" s="22"/>
      <c r="CG38" s="22"/>
      <c r="CH38" s="22"/>
      <c r="CI38" s="22"/>
      <c r="CJ38" s="22"/>
      <c r="CK38" s="22"/>
      <c r="CL38" s="22"/>
      <c r="CM38" s="22"/>
      <c r="CN38" s="22"/>
      <c r="CO38" s="22"/>
      <c r="CP38" s="22"/>
      <c r="CQ38" s="22"/>
      <c r="CR38" s="22"/>
      <c r="CS38" s="22"/>
      <c r="CT38" s="22"/>
      <c r="CU38" s="22"/>
      <c r="CV38" s="22"/>
      <c r="CW38" s="22"/>
      <c r="CX38" s="22"/>
      <c r="CY38" s="22"/>
      <c r="CZ38" s="22"/>
      <c r="DA38" s="22"/>
      <c r="DB38" s="22"/>
      <c r="DC38" s="22"/>
      <c r="DD38" s="22"/>
      <c r="DE38" s="22"/>
      <c r="DF38" s="22"/>
      <c r="DG38" s="22"/>
      <c r="DH38" s="22"/>
      <c r="DI38" s="22"/>
      <c r="DJ38" s="22"/>
      <c r="DK38" s="22"/>
      <c r="DL38" s="22"/>
      <c r="DM38" s="22"/>
      <c r="DN38" s="22"/>
      <c r="DO38" s="22"/>
      <c r="DP38" s="22"/>
      <c r="DQ38" s="22"/>
      <c r="DR38" s="22"/>
      <c r="DS38" s="22"/>
      <c r="DT38" s="22"/>
      <c r="DU38" s="22"/>
      <c r="DV38" s="22"/>
      <c r="DW38" s="22"/>
      <c r="DX38" s="22"/>
      <c r="DY38" s="22"/>
      <c r="DZ38" s="22"/>
      <c r="EA38" s="22"/>
      <c r="EB38" s="22"/>
      <c r="EC38" s="22"/>
      <c r="ED38" s="22"/>
      <c r="EE38" s="22"/>
      <c r="EF38" s="22"/>
      <c r="EG38" s="22"/>
      <c r="EH38" s="22"/>
      <c r="EI38" s="22"/>
      <c r="EJ38" s="22"/>
      <c r="EK38" s="22"/>
      <c r="EL38" s="22"/>
      <c r="EM38" s="22"/>
      <c r="EN38" s="22"/>
      <c r="EO38" s="22"/>
      <c r="EP38" s="22"/>
      <c r="EQ38" s="22"/>
      <c r="ER38" s="22"/>
      <c r="ES38" s="22"/>
    </row>
    <row r="39" customFormat="false" ht="15" hidden="false" customHeight="false" outlineLevel="0" collapsed="false">
      <c r="A39" s="2" t="s">
        <v>365</v>
      </c>
      <c r="B39" s="6" t="s">
        <v>366</v>
      </c>
      <c r="C39" s="7" t="s">
        <v>212</v>
      </c>
      <c r="D39" s="10" t="n">
        <f aca="false">SUM(F39:ES39)</f>
        <v>0</v>
      </c>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c r="BM39" s="22"/>
      <c r="BN39" s="22"/>
      <c r="BO39" s="22"/>
      <c r="BP39" s="22"/>
      <c r="BQ39" s="22"/>
      <c r="BR39" s="22"/>
      <c r="BS39" s="22"/>
      <c r="BT39" s="22"/>
      <c r="BU39" s="22"/>
      <c r="BV39" s="22"/>
      <c r="BW39" s="22"/>
      <c r="BX39" s="22"/>
      <c r="BY39" s="22"/>
      <c r="BZ39" s="22"/>
      <c r="CA39" s="22"/>
      <c r="CB39" s="22"/>
      <c r="CC39" s="22"/>
      <c r="CD39" s="22"/>
      <c r="CE39" s="22"/>
      <c r="CF39" s="22"/>
      <c r="CG39" s="22"/>
      <c r="CH39" s="22"/>
      <c r="CI39" s="22"/>
      <c r="CJ39" s="22"/>
      <c r="CK39" s="22"/>
      <c r="CL39" s="22"/>
      <c r="CM39" s="22"/>
      <c r="CN39" s="22"/>
      <c r="CO39" s="22"/>
      <c r="CP39" s="22"/>
      <c r="CQ39" s="22"/>
      <c r="CR39" s="22"/>
      <c r="CS39" s="22"/>
      <c r="CT39" s="22"/>
      <c r="CU39" s="22"/>
      <c r="CV39" s="22"/>
      <c r="CW39" s="22"/>
      <c r="CX39" s="22"/>
      <c r="CY39" s="22"/>
      <c r="CZ39" s="22"/>
      <c r="DA39" s="22"/>
      <c r="DB39" s="22"/>
      <c r="DC39" s="22"/>
      <c r="DD39" s="22"/>
      <c r="DE39" s="22"/>
      <c r="DF39" s="22"/>
      <c r="DG39" s="22"/>
      <c r="DH39" s="22"/>
      <c r="DI39" s="22"/>
      <c r="DJ39" s="22"/>
      <c r="DK39" s="22"/>
      <c r="DL39" s="22"/>
      <c r="DM39" s="22"/>
      <c r="DN39" s="22"/>
      <c r="DO39" s="22"/>
      <c r="DP39" s="22"/>
      <c r="DQ39" s="22"/>
      <c r="DR39" s="22"/>
      <c r="DS39" s="22"/>
      <c r="DT39" s="22"/>
      <c r="DU39" s="22"/>
      <c r="DV39" s="22"/>
      <c r="DW39" s="22"/>
      <c r="DX39" s="22"/>
      <c r="DY39" s="22"/>
      <c r="DZ39" s="22"/>
      <c r="EA39" s="22"/>
      <c r="EB39" s="22"/>
      <c r="EC39" s="22"/>
      <c r="ED39" s="22"/>
      <c r="EE39" s="22"/>
      <c r="EF39" s="22"/>
      <c r="EG39" s="22"/>
      <c r="EH39" s="22"/>
      <c r="EI39" s="22"/>
      <c r="EJ39" s="22"/>
      <c r="EK39" s="22"/>
      <c r="EL39" s="22"/>
      <c r="EM39" s="22"/>
      <c r="EN39" s="22"/>
      <c r="EO39" s="22"/>
      <c r="EP39" s="22"/>
      <c r="EQ39" s="22"/>
      <c r="ER39" s="22"/>
      <c r="ES39" s="22"/>
    </row>
    <row r="40" customFormat="false" ht="15" hidden="false" customHeight="false" outlineLevel="0" collapsed="false">
      <c r="A40" s="2" t="s">
        <v>367</v>
      </c>
      <c r="B40" s="6" t="s">
        <v>368</v>
      </c>
      <c r="C40" s="7" t="s">
        <v>369</v>
      </c>
      <c r="D40" s="10" t="n">
        <f aca="false">SUM(F40:ES40)</f>
        <v>0</v>
      </c>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c r="BM40" s="22"/>
      <c r="BN40" s="22"/>
      <c r="BO40" s="22"/>
      <c r="BP40" s="22"/>
      <c r="BQ40" s="22"/>
      <c r="BR40" s="22"/>
      <c r="BS40" s="22"/>
      <c r="BT40" s="22"/>
      <c r="BU40" s="22"/>
      <c r="BV40" s="22"/>
      <c r="BW40" s="22"/>
      <c r="BX40" s="22"/>
      <c r="BY40" s="22"/>
      <c r="BZ40" s="22"/>
      <c r="CA40" s="22"/>
      <c r="CB40" s="22"/>
      <c r="CC40" s="22"/>
      <c r="CD40" s="22"/>
      <c r="CE40" s="22"/>
      <c r="CF40" s="22"/>
      <c r="CG40" s="22"/>
      <c r="CH40" s="22"/>
      <c r="CI40" s="22"/>
      <c r="CJ40" s="22"/>
      <c r="CK40" s="22"/>
      <c r="CL40" s="22"/>
      <c r="CM40" s="22"/>
      <c r="CN40" s="22"/>
      <c r="CO40" s="22"/>
      <c r="CP40" s="22"/>
      <c r="CQ40" s="22"/>
      <c r="CR40" s="22"/>
      <c r="CS40" s="22"/>
      <c r="CT40" s="22"/>
      <c r="CU40" s="22"/>
      <c r="CV40" s="22"/>
      <c r="CW40" s="22"/>
      <c r="CX40" s="22"/>
      <c r="CY40" s="22"/>
      <c r="CZ40" s="22"/>
      <c r="DA40" s="22"/>
      <c r="DB40" s="22"/>
      <c r="DC40" s="22"/>
      <c r="DD40" s="22"/>
      <c r="DE40" s="22"/>
      <c r="DF40" s="22"/>
      <c r="DG40" s="22"/>
      <c r="DH40" s="22"/>
      <c r="DI40" s="22"/>
      <c r="DJ40" s="22"/>
      <c r="DK40" s="22"/>
      <c r="DL40" s="22"/>
      <c r="DM40" s="22"/>
      <c r="DN40" s="22"/>
      <c r="DO40" s="22"/>
      <c r="DP40" s="22"/>
      <c r="DQ40" s="22"/>
      <c r="DR40" s="22"/>
      <c r="DS40" s="22"/>
      <c r="DT40" s="22"/>
      <c r="DU40" s="22"/>
      <c r="DV40" s="22"/>
      <c r="DW40" s="22"/>
      <c r="DX40" s="22"/>
      <c r="DY40" s="22"/>
      <c r="DZ40" s="22"/>
      <c r="EA40" s="22"/>
      <c r="EB40" s="22"/>
      <c r="EC40" s="22"/>
      <c r="ED40" s="22"/>
      <c r="EE40" s="22"/>
      <c r="EF40" s="22"/>
      <c r="EG40" s="22"/>
      <c r="EH40" s="22"/>
      <c r="EI40" s="22"/>
      <c r="EJ40" s="22"/>
      <c r="EK40" s="22"/>
      <c r="EL40" s="22"/>
      <c r="EM40" s="22"/>
      <c r="EN40" s="22"/>
      <c r="EO40" s="22"/>
      <c r="EP40" s="22"/>
      <c r="EQ40" s="22"/>
      <c r="ER40" s="22"/>
      <c r="ES40" s="22"/>
    </row>
    <row r="41" customFormat="false" ht="15" hidden="false" customHeight="false" outlineLevel="0" collapsed="false">
      <c r="A41" s="2" t="s">
        <v>370</v>
      </c>
      <c r="B41" s="6" t="s">
        <v>371</v>
      </c>
      <c r="C41" s="7" t="s">
        <v>369</v>
      </c>
      <c r="D41" s="10" t="n">
        <f aca="false">SUM(F41:ES41)</f>
        <v>0</v>
      </c>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c r="BM41" s="22"/>
      <c r="BN41" s="22"/>
      <c r="BO41" s="22"/>
      <c r="BP41" s="22"/>
      <c r="BQ41" s="22"/>
      <c r="BR41" s="22"/>
      <c r="BS41" s="22"/>
      <c r="BT41" s="22"/>
      <c r="BU41" s="22"/>
      <c r="BV41" s="22"/>
      <c r="BW41" s="22"/>
      <c r="BX41" s="22"/>
      <c r="BY41" s="22"/>
      <c r="BZ41" s="22"/>
      <c r="CA41" s="22"/>
      <c r="CB41" s="22"/>
      <c r="CC41" s="22"/>
      <c r="CD41" s="22"/>
      <c r="CE41" s="22"/>
      <c r="CF41" s="22"/>
      <c r="CG41" s="22"/>
      <c r="CH41" s="22"/>
      <c r="CI41" s="22"/>
      <c r="CJ41" s="22"/>
      <c r="CK41" s="22"/>
      <c r="CL41" s="22"/>
      <c r="CM41" s="22"/>
      <c r="CN41" s="22"/>
      <c r="CO41" s="22"/>
      <c r="CP41" s="22"/>
      <c r="CQ41" s="22"/>
      <c r="CR41" s="22"/>
      <c r="CS41" s="22"/>
      <c r="CT41" s="22"/>
      <c r="CU41" s="22"/>
      <c r="CV41" s="22"/>
      <c r="CW41" s="22"/>
      <c r="CX41" s="22"/>
      <c r="CY41" s="22"/>
      <c r="CZ41" s="22"/>
      <c r="DA41" s="22"/>
      <c r="DB41" s="22"/>
      <c r="DC41" s="22"/>
      <c r="DD41" s="22"/>
      <c r="DE41" s="22"/>
      <c r="DF41" s="22"/>
      <c r="DG41" s="22"/>
      <c r="DH41" s="22"/>
      <c r="DI41" s="22"/>
      <c r="DJ41" s="22"/>
      <c r="DK41" s="22"/>
      <c r="DL41" s="22"/>
      <c r="DM41" s="22"/>
      <c r="DN41" s="22"/>
      <c r="DO41" s="22"/>
      <c r="DP41" s="22"/>
      <c r="DQ41" s="22"/>
      <c r="DR41" s="22"/>
      <c r="DS41" s="22"/>
      <c r="DT41" s="22"/>
      <c r="DU41" s="22"/>
      <c r="DV41" s="22"/>
      <c r="DW41" s="22"/>
      <c r="DX41" s="22"/>
      <c r="DY41" s="22"/>
      <c r="DZ41" s="22"/>
      <c r="EA41" s="22"/>
      <c r="EB41" s="22"/>
      <c r="EC41" s="22"/>
      <c r="ED41" s="22"/>
      <c r="EE41" s="22"/>
      <c r="EF41" s="22"/>
      <c r="EG41" s="22"/>
      <c r="EH41" s="22"/>
      <c r="EI41" s="22"/>
      <c r="EJ41" s="22"/>
      <c r="EK41" s="22"/>
      <c r="EL41" s="22"/>
      <c r="EM41" s="22"/>
      <c r="EN41" s="22"/>
      <c r="EO41" s="22"/>
      <c r="EP41" s="22"/>
      <c r="EQ41" s="22"/>
      <c r="ER41" s="22"/>
      <c r="ES41" s="22"/>
    </row>
    <row r="42" customFormat="false" ht="15" hidden="false" customHeight="false" outlineLevel="0" collapsed="false">
      <c r="A42" s="2" t="s">
        <v>372</v>
      </c>
      <c r="B42" s="6" t="s">
        <v>373</v>
      </c>
      <c r="C42" s="7" t="s">
        <v>212</v>
      </c>
      <c r="D42" s="10" t="n">
        <f aca="false">SUM(F42:ES42)</f>
        <v>0</v>
      </c>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c r="BM42" s="22"/>
      <c r="BN42" s="22"/>
      <c r="BO42" s="22"/>
      <c r="BP42" s="22"/>
      <c r="BQ42" s="22"/>
      <c r="BR42" s="22"/>
      <c r="BS42" s="22"/>
      <c r="BT42" s="22"/>
      <c r="BU42" s="22"/>
      <c r="BV42" s="22"/>
      <c r="BW42" s="22"/>
      <c r="BX42" s="22"/>
      <c r="BY42" s="22"/>
      <c r="BZ42" s="22"/>
      <c r="CA42" s="22"/>
      <c r="CB42" s="22"/>
      <c r="CC42" s="22"/>
      <c r="CD42" s="22"/>
      <c r="CE42" s="22"/>
      <c r="CF42" s="22"/>
      <c r="CG42" s="22"/>
      <c r="CH42" s="22"/>
      <c r="CI42" s="22"/>
      <c r="CJ42" s="22"/>
      <c r="CK42" s="22"/>
      <c r="CL42" s="22"/>
      <c r="CM42" s="22"/>
      <c r="CN42" s="22"/>
      <c r="CO42" s="22"/>
      <c r="CP42" s="22"/>
      <c r="CQ42" s="22"/>
      <c r="CR42" s="22"/>
      <c r="CS42" s="22"/>
      <c r="CT42" s="22"/>
      <c r="CU42" s="22"/>
      <c r="CV42" s="22"/>
      <c r="CW42" s="22"/>
      <c r="CX42" s="22"/>
      <c r="CY42" s="22"/>
      <c r="CZ42" s="22"/>
      <c r="DA42" s="22"/>
      <c r="DB42" s="22"/>
      <c r="DC42" s="22"/>
      <c r="DD42" s="22"/>
      <c r="DE42" s="22"/>
      <c r="DF42" s="22"/>
      <c r="DG42" s="22"/>
      <c r="DH42" s="22"/>
      <c r="DI42" s="22"/>
      <c r="DJ42" s="22"/>
      <c r="DK42" s="22"/>
      <c r="DL42" s="22"/>
      <c r="DM42" s="22"/>
      <c r="DN42" s="22"/>
      <c r="DO42" s="22"/>
      <c r="DP42" s="22"/>
      <c r="DQ42" s="22"/>
      <c r="DR42" s="22"/>
      <c r="DS42" s="22"/>
      <c r="DT42" s="22"/>
      <c r="DU42" s="22"/>
      <c r="DV42" s="22"/>
      <c r="DW42" s="22"/>
      <c r="DX42" s="22"/>
      <c r="DY42" s="22"/>
      <c r="DZ42" s="22"/>
      <c r="EA42" s="22"/>
      <c r="EB42" s="22"/>
      <c r="EC42" s="22"/>
      <c r="ED42" s="22"/>
      <c r="EE42" s="22"/>
      <c r="EF42" s="22"/>
      <c r="EG42" s="22"/>
      <c r="EH42" s="22"/>
      <c r="EI42" s="22"/>
      <c r="EJ42" s="22"/>
      <c r="EK42" s="22"/>
      <c r="EL42" s="22"/>
      <c r="EM42" s="22"/>
      <c r="EN42" s="22"/>
      <c r="EO42" s="22"/>
      <c r="EP42" s="22"/>
      <c r="EQ42" s="22"/>
      <c r="ER42" s="22"/>
      <c r="ES42" s="22"/>
    </row>
    <row r="43" customFormat="false" ht="15" hidden="false" customHeight="false" outlineLevel="0" collapsed="false">
      <c r="A43" s="2" t="s">
        <v>374</v>
      </c>
      <c r="B43" s="6" t="s">
        <v>375</v>
      </c>
      <c r="C43" s="7" t="s">
        <v>212</v>
      </c>
      <c r="D43" s="10" t="n">
        <f aca="false">SUM(F43:ES43)</f>
        <v>0</v>
      </c>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c r="BM43" s="22"/>
      <c r="BN43" s="22"/>
      <c r="BO43" s="22"/>
      <c r="BP43" s="22"/>
      <c r="BQ43" s="22"/>
      <c r="BR43" s="22"/>
      <c r="BS43" s="22"/>
      <c r="BT43" s="22"/>
      <c r="BU43" s="22"/>
      <c r="BV43" s="22"/>
      <c r="BW43" s="22"/>
      <c r="BX43" s="22"/>
      <c r="BY43" s="22"/>
      <c r="BZ43" s="22"/>
      <c r="CA43" s="22"/>
      <c r="CB43" s="22"/>
      <c r="CC43" s="22"/>
      <c r="CD43" s="22"/>
      <c r="CE43" s="22"/>
      <c r="CF43" s="22"/>
      <c r="CG43" s="22"/>
      <c r="CH43" s="22"/>
      <c r="CI43" s="22"/>
      <c r="CJ43" s="22"/>
      <c r="CK43" s="22"/>
      <c r="CL43" s="22"/>
      <c r="CM43" s="22"/>
      <c r="CN43" s="22"/>
      <c r="CO43" s="22"/>
      <c r="CP43" s="22"/>
      <c r="CQ43" s="22"/>
      <c r="CR43" s="22"/>
      <c r="CS43" s="22"/>
      <c r="CT43" s="22"/>
      <c r="CU43" s="22"/>
      <c r="CV43" s="22"/>
      <c r="CW43" s="22"/>
      <c r="CX43" s="22"/>
      <c r="CY43" s="22"/>
      <c r="CZ43" s="22"/>
      <c r="DA43" s="22"/>
      <c r="DB43" s="22"/>
      <c r="DC43" s="22"/>
      <c r="DD43" s="22"/>
      <c r="DE43" s="22"/>
      <c r="DF43" s="22"/>
      <c r="DG43" s="22"/>
      <c r="DH43" s="22"/>
      <c r="DI43" s="22"/>
      <c r="DJ43" s="22"/>
      <c r="DK43" s="22"/>
      <c r="DL43" s="22"/>
      <c r="DM43" s="22"/>
      <c r="DN43" s="22"/>
      <c r="DO43" s="22"/>
      <c r="DP43" s="22"/>
      <c r="DQ43" s="22"/>
      <c r="DR43" s="22"/>
      <c r="DS43" s="22"/>
      <c r="DT43" s="22"/>
      <c r="DU43" s="22"/>
      <c r="DV43" s="22"/>
      <c r="DW43" s="22"/>
      <c r="DX43" s="22"/>
      <c r="DY43" s="22"/>
      <c r="DZ43" s="22"/>
      <c r="EA43" s="22"/>
      <c r="EB43" s="22"/>
      <c r="EC43" s="22"/>
      <c r="ED43" s="22"/>
      <c r="EE43" s="22"/>
      <c r="EF43" s="22"/>
      <c r="EG43" s="22"/>
      <c r="EH43" s="22"/>
      <c r="EI43" s="22"/>
      <c r="EJ43" s="22"/>
      <c r="EK43" s="22"/>
      <c r="EL43" s="22"/>
      <c r="EM43" s="22"/>
      <c r="EN43" s="22"/>
      <c r="EO43" s="22"/>
      <c r="EP43" s="22"/>
      <c r="EQ43" s="22"/>
      <c r="ER43" s="22"/>
      <c r="ES43" s="22"/>
    </row>
    <row r="44" customFormat="false" ht="15" hidden="false" customHeight="false" outlineLevel="0" collapsed="false">
      <c r="A44" s="2" t="s">
        <v>376</v>
      </c>
      <c r="B44" s="6" t="s">
        <v>377</v>
      </c>
      <c r="C44" s="7" t="s">
        <v>212</v>
      </c>
      <c r="D44" s="10" t="n">
        <f aca="false">SUM(F44:ES44)</f>
        <v>0</v>
      </c>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c r="BM44" s="22"/>
      <c r="BN44" s="22"/>
      <c r="BO44" s="22"/>
      <c r="BP44" s="22"/>
      <c r="BQ44" s="22"/>
      <c r="BR44" s="22"/>
      <c r="BS44" s="22"/>
      <c r="BT44" s="22"/>
      <c r="BU44" s="22"/>
      <c r="BV44" s="22"/>
      <c r="BW44" s="22"/>
      <c r="BX44" s="22"/>
      <c r="BY44" s="22"/>
      <c r="BZ44" s="22"/>
      <c r="CA44" s="22"/>
      <c r="CB44" s="22"/>
      <c r="CC44" s="22"/>
      <c r="CD44" s="22"/>
      <c r="CE44" s="22"/>
      <c r="CF44" s="22"/>
      <c r="CG44" s="22"/>
      <c r="CH44" s="22"/>
      <c r="CI44" s="22"/>
      <c r="CJ44" s="22"/>
      <c r="CK44" s="22"/>
      <c r="CL44" s="22"/>
      <c r="CM44" s="22"/>
      <c r="CN44" s="22"/>
      <c r="CO44" s="22"/>
      <c r="CP44" s="22"/>
      <c r="CQ44" s="22"/>
      <c r="CR44" s="22"/>
      <c r="CS44" s="22"/>
      <c r="CT44" s="22"/>
      <c r="CU44" s="22"/>
      <c r="CV44" s="22"/>
      <c r="CW44" s="22"/>
      <c r="CX44" s="22"/>
      <c r="CY44" s="22"/>
      <c r="CZ44" s="22"/>
      <c r="DA44" s="22"/>
      <c r="DB44" s="22"/>
      <c r="DC44" s="22"/>
      <c r="DD44" s="22"/>
      <c r="DE44" s="22"/>
      <c r="DF44" s="22"/>
      <c r="DG44" s="22"/>
      <c r="DH44" s="22"/>
      <c r="DI44" s="22"/>
      <c r="DJ44" s="22"/>
      <c r="DK44" s="22"/>
      <c r="DL44" s="22"/>
      <c r="DM44" s="22"/>
      <c r="DN44" s="22"/>
      <c r="DO44" s="22"/>
      <c r="DP44" s="22"/>
      <c r="DQ44" s="22"/>
      <c r="DR44" s="22"/>
      <c r="DS44" s="22"/>
      <c r="DT44" s="22"/>
      <c r="DU44" s="22"/>
      <c r="DV44" s="22"/>
      <c r="DW44" s="22"/>
      <c r="DX44" s="22"/>
      <c r="DY44" s="22"/>
      <c r="DZ44" s="22"/>
      <c r="EA44" s="22"/>
      <c r="EB44" s="22"/>
      <c r="EC44" s="22"/>
      <c r="ED44" s="22"/>
      <c r="EE44" s="22"/>
      <c r="EF44" s="22"/>
      <c r="EG44" s="22"/>
      <c r="EH44" s="22"/>
      <c r="EI44" s="22"/>
      <c r="EJ44" s="22"/>
      <c r="EK44" s="22"/>
      <c r="EL44" s="22"/>
      <c r="EM44" s="22"/>
      <c r="EN44" s="22"/>
      <c r="EO44" s="22"/>
      <c r="EP44" s="22"/>
      <c r="EQ44" s="22"/>
      <c r="ER44" s="22"/>
      <c r="ES44" s="22"/>
    </row>
    <row r="45" customFormat="false" ht="15" hidden="false" customHeight="false" outlineLevel="0" collapsed="false">
      <c r="A45" s="3" t="s">
        <v>378</v>
      </c>
      <c r="B45" s="4"/>
      <c r="C45" s="4"/>
      <c r="D45" s="4"/>
      <c r="E45" s="4"/>
    </row>
    <row r="46" customFormat="false" ht="15" hidden="false" customHeight="false" outlineLevel="0" collapsed="false">
      <c r="A46" s="2" t="s">
        <v>379</v>
      </c>
      <c r="B46" s="6" t="s">
        <v>380</v>
      </c>
      <c r="C46" s="7" t="s">
        <v>212</v>
      </c>
      <c r="D46" s="10" t="n">
        <f aca="false">SUM(F46:ES46)</f>
        <v>0</v>
      </c>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c r="BM46" s="22"/>
      <c r="BN46" s="22"/>
      <c r="BO46" s="22"/>
      <c r="BP46" s="22"/>
      <c r="BQ46" s="22"/>
      <c r="BR46" s="22"/>
      <c r="BS46" s="22"/>
      <c r="BT46" s="22"/>
      <c r="BU46" s="22"/>
      <c r="BV46" s="22"/>
      <c r="BW46" s="22"/>
      <c r="BX46" s="22"/>
      <c r="BY46" s="22"/>
      <c r="BZ46" s="22"/>
      <c r="CA46" s="22"/>
      <c r="CB46" s="22"/>
      <c r="CC46" s="22"/>
      <c r="CD46" s="22"/>
      <c r="CE46" s="22"/>
      <c r="CF46" s="22"/>
      <c r="CG46" s="22"/>
      <c r="CH46" s="22"/>
      <c r="CI46" s="22"/>
      <c r="CJ46" s="22"/>
      <c r="CK46" s="22"/>
      <c r="CL46" s="22"/>
      <c r="CM46" s="22"/>
      <c r="CN46" s="22"/>
      <c r="CO46" s="22"/>
      <c r="CP46" s="22"/>
      <c r="CQ46" s="22"/>
      <c r="CR46" s="22"/>
      <c r="CS46" s="22"/>
      <c r="CT46" s="22"/>
      <c r="CU46" s="22"/>
      <c r="CV46" s="22"/>
      <c r="CW46" s="22"/>
      <c r="CX46" s="22"/>
      <c r="CY46" s="22"/>
      <c r="CZ46" s="22"/>
      <c r="DA46" s="22"/>
      <c r="DB46" s="22"/>
      <c r="DC46" s="22"/>
      <c r="DD46" s="22"/>
      <c r="DE46" s="22"/>
      <c r="DF46" s="22"/>
      <c r="DG46" s="22"/>
      <c r="DH46" s="22"/>
      <c r="DI46" s="22"/>
      <c r="DJ46" s="22"/>
      <c r="DK46" s="22"/>
      <c r="DL46" s="22"/>
      <c r="DM46" s="22"/>
      <c r="DN46" s="22"/>
      <c r="DO46" s="22"/>
      <c r="DP46" s="22"/>
      <c r="DQ46" s="22"/>
      <c r="DR46" s="22"/>
      <c r="DS46" s="22"/>
      <c r="DT46" s="22"/>
      <c r="DU46" s="22"/>
      <c r="DV46" s="22"/>
      <c r="DW46" s="22"/>
      <c r="DX46" s="22"/>
      <c r="DY46" s="22"/>
      <c r="DZ46" s="22"/>
      <c r="EA46" s="22"/>
      <c r="EB46" s="22"/>
      <c r="EC46" s="22"/>
      <c r="ED46" s="22"/>
      <c r="EE46" s="22"/>
      <c r="EF46" s="22"/>
      <c r="EG46" s="22"/>
      <c r="EH46" s="22"/>
      <c r="EI46" s="22"/>
      <c r="EJ46" s="22"/>
      <c r="EK46" s="22"/>
      <c r="EL46" s="22"/>
      <c r="EM46" s="22"/>
      <c r="EN46" s="22"/>
      <c r="EO46" s="22"/>
      <c r="EP46" s="22"/>
      <c r="EQ46" s="22"/>
      <c r="ER46" s="22"/>
      <c r="ES46" s="22"/>
    </row>
    <row r="47" customFormat="false" ht="15" hidden="false" customHeight="false" outlineLevel="0" collapsed="false">
      <c r="A47" s="2" t="s">
        <v>381</v>
      </c>
      <c r="B47" s="6" t="s">
        <v>382</v>
      </c>
      <c r="C47" s="7" t="s">
        <v>212</v>
      </c>
      <c r="D47" s="10" t="n">
        <f aca="false">SUM(F47:ES47)</f>
        <v>0</v>
      </c>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c r="BM47" s="22"/>
      <c r="BN47" s="22"/>
      <c r="BO47" s="22"/>
      <c r="BP47" s="22"/>
      <c r="BQ47" s="22"/>
      <c r="BR47" s="22"/>
      <c r="BS47" s="22"/>
      <c r="BT47" s="22"/>
      <c r="BU47" s="22"/>
      <c r="BV47" s="22"/>
      <c r="BW47" s="22"/>
      <c r="BX47" s="22"/>
      <c r="BY47" s="22"/>
      <c r="BZ47" s="22"/>
      <c r="CA47" s="22"/>
      <c r="CB47" s="22"/>
      <c r="CC47" s="22"/>
      <c r="CD47" s="22"/>
      <c r="CE47" s="22"/>
      <c r="CF47" s="22"/>
      <c r="CG47" s="22"/>
      <c r="CH47" s="22"/>
      <c r="CI47" s="22"/>
      <c r="CJ47" s="22"/>
      <c r="CK47" s="22"/>
      <c r="CL47" s="22"/>
      <c r="CM47" s="22"/>
      <c r="CN47" s="22"/>
      <c r="CO47" s="22"/>
      <c r="CP47" s="22"/>
      <c r="CQ47" s="22"/>
      <c r="CR47" s="22"/>
      <c r="CS47" s="22"/>
      <c r="CT47" s="22"/>
      <c r="CU47" s="22"/>
      <c r="CV47" s="22"/>
      <c r="CW47" s="22"/>
      <c r="CX47" s="22"/>
      <c r="CY47" s="22"/>
      <c r="CZ47" s="22"/>
      <c r="DA47" s="22"/>
      <c r="DB47" s="22"/>
      <c r="DC47" s="22"/>
      <c r="DD47" s="22"/>
      <c r="DE47" s="22"/>
      <c r="DF47" s="22"/>
      <c r="DG47" s="22"/>
      <c r="DH47" s="22"/>
      <c r="DI47" s="22"/>
      <c r="DJ47" s="22"/>
      <c r="DK47" s="22"/>
      <c r="DL47" s="22"/>
      <c r="DM47" s="22"/>
      <c r="DN47" s="22"/>
      <c r="DO47" s="22"/>
      <c r="DP47" s="22"/>
      <c r="DQ47" s="22"/>
      <c r="DR47" s="22"/>
      <c r="DS47" s="22"/>
      <c r="DT47" s="22"/>
      <c r="DU47" s="22"/>
      <c r="DV47" s="22"/>
      <c r="DW47" s="22"/>
      <c r="DX47" s="22"/>
      <c r="DY47" s="22"/>
      <c r="DZ47" s="22"/>
      <c r="EA47" s="22"/>
      <c r="EB47" s="22"/>
      <c r="EC47" s="22"/>
      <c r="ED47" s="22"/>
      <c r="EE47" s="22"/>
      <c r="EF47" s="22"/>
      <c r="EG47" s="22"/>
      <c r="EH47" s="22"/>
      <c r="EI47" s="22"/>
      <c r="EJ47" s="22"/>
      <c r="EK47" s="22"/>
      <c r="EL47" s="22"/>
      <c r="EM47" s="22"/>
      <c r="EN47" s="22"/>
      <c r="EO47" s="22"/>
      <c r="EP47" s="22"/>
      <c r="EQ47" s="22"/>
      <c r="ER47" s="22"/>
      <c r="ES47" s="22"/>
    </row>
    <row r="48" customFormat="false" ht="15" hidden="false" customHeight="false" outlineLevel="0" collapsed="false">
      <c r="A48" s="2" t="s">
        <v>383</v>
      </c>
      <c r="B48" s="6" t="s">
        <v>384</v>
      </c>
      <c r="C48" s="7" t="s">
        <v>212</v>
      </c>
      <c r="D48" s="10" t="n">
        <f aca="false">SUM(F48:ES48)</f>
        <v>0</v>
      </c>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c r="BM48" s="22"/>
      <c r="BN48" s="22"/>
      <c r="BO48" s="22"/>
      <c r="BP48" s="22"/>
      <c r="BQ48" s="22"/>
      <c r="BR48" s="22"/>
      <c r="BS48" s="22"/>
      <c r="BT48" s="22"/>
      <c r="BU48" s="22"/>
      <c r="BV48" s="22"/>
      <c r="BW48" s="22"/>
      <c r="BX48" s="22"/>
      <c r="BY48" s="22"/>
      <c r="BZ48" s="22"/>
      <c r="CA48" s="22"/>
      <c r="CB48" s="22"/>
      <c r="CC48" s="22"/>
      <c r="CD48" s="22"/>
      <c r="CE48" s="22"/>
      <c r="CF48" s="22"/>
      <c r="CG48" s="22"/>
      <c r="CH48" s="22"/>
      <c r="CI48" s="22"/>
      <c r="CJ48" s="22"/>
      <c r="CK48" s="22"/>
      <c r="CL48" s="22"/>
      <c r="CM48" s="22"/>
      <c r="CN48" s="22"/>
      <c r="CO48" s="22"/>
      <c r="CP48" s="22"/>
      <c r="CQ48" s="22"/>
      <c r="CR48" s="22"/>
      <c r="CS48" s="22"/>
      <c r="CT48" s="22"/>
      <c r="CU48" s="22"/>
      <c r="CV48" s="22"/>
      <c r="CW48" s="22"/>
      <c r="CX48" s="22"/>
      <c r="CY48" s="22"/>
      <c r="CZ48" s="22"/>
      <c r="DA48" s="22"/>
      <c r="DB48" s="22"/>
      <c r="DC48" s="22"/>
      <c r="DD48" s="22"/>
      <c r="DE48" s="22"/>
      <c r="DF48" s="22"/>
      <c r="DG48" s="22"/>
      <c r="DH48" s="22"/>
      <c r="DI48" s="22"/>
      <c r="DJ48" s="22"/>
      <c r="DK48" s="22"/>
      <c r="DL48" s="22"/>
      <c r="DM48" s="22"/>
      <c r="DN48" s="22"/>
      <c r="DO48" s="22"/>
      <c r="DP48" s="22"/>
      <c r="DQ48" s="22"/>
      <c r="DR48" s="22"/>
      <c r="DS48" s="22"/>
      <c r="DT48" s="22"/>
      <c r="DU48" s="22"/>
      <c r="DV48" s="22"/>
      <c r="DW48" s="22"/>
      <c r="DX48" s="22"/>
      <c r="DY48" s="22"/>
      <c r="DZ48" s="22"/>
      <c r="EA48" s="22"/>
      <c r="EB48" s="22"/>
      <c r="EC48" s="22"/>
      <c r="ED48" s="22"/>
      <c r="EE48" s="22"/>
      <c r="EF48" s="22"/>
      <c r="EG48" s="22"/>
      <c r="EH48" s="22"/>
      <c r="EI48" s="22"/>
      <c r="EJ48" s="22"/>
      <c r="EK48" s="22"/>
      <c r="EL48" s="22"/>
      <c r="EM48" s="22"/>
      <c r="EN48" s="22"/>
      <c r="EO48" s="22"/>
      <c r="EP48" s="22"/>
      <c r="EQ48" s="22"/>
      <c r="ER48" s="22"/>
      <c r="ES48" s="22"/>
    </row>
    <row r="49" customFormat="false" ht="15" hidden="false" customHeight="false" outlineLevel="0" collapsed="false">
      <c r="A49" s="2" t="s">
        <v>385</v>
      </c>
      <c r="B49" s="6" t="s">
        <v>386</v>
      </c>
      <c r="C49" s="7" t="s">
        <v>212</v>
      </c>
      <c r="D49" s="10" t="n">
        <f aca="false">SUM(F49:ES49)</f>
        <v>0</v>
      </c>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c r="BM49" s="22"/>
      <c r="BN49" s="22"/>
      <c r="BO49" s="22"/>
      <c r="BP49" s="22"/>
      <c r="BQ49" s="22"/>
      <c r="BR49" s="22"/>
      <c r="BS49" s="22"/>
      <c r="BT49" s="22"/>
      <c r="BU49" s="22"/>
      <c r="BV49" s="22"/>
      <c r="BW49" s="22"/>
      <c r="BX49" s="22"/>
      <c r="BY49" s="22"/>
      <c r="BZ49" s="22"/>
      <c r="CA49" s="22"/>
      <c r="CB49" s="22"/>
      <c r="CC49" s="22"/>
      <c r="CD49" s="22"/>
      <c r="CE49" s="22"/>
      <c r="CF49" s="22"/>
      <c r="CG49" s="22"/>
      <c r="CH49" s="22"/>
      <c r="CI49" s="22"/>
      <c r="CJ49" s="22"/>
      <c r="CK49" s="22"/>
      <c r="CL49" s="22"/>
      <c r="CM49" s="22"/>
      <c r="CN49" s="22"/>
      <c r="CO49" s="22"/>
      <c r="CP49" s="22"/>
      <c r="CQ49" s="22"/>
      <c r="CR49" s="22"/>
      <c r="CS49" s="22"/>
      <c r="CT49" s="22"/>
      <c r="CU49" s="22"/>
      <c r="CV49" s="22"/>
      <c r="CW49" s="22"/>
      <c r="CX49" s="22"/>
      <c r="CY49" s="22"/>
      <c r="CZ49" s="22"/>
      <c r="DA49" s="22"/>
      <c r="DB49" s="22"/>
      <c r="DC49" s="22"/>
      <c r="DD49" s="22"/>
      <c r="DE49" s="22"/>
      <c r="DF49" s="22"/>
      <c r="DG49" s="22"/>
      <c r="DH49" s="22"/>
      <c r="DI49" s="22"/>
      <c r="DJ49" s="22"/>
      <c r="DK49" s="22"/>
      <c r="DL49" s="22"/>
      <c r="DM49" s="22"/>
      <c r="DN49" s="22"/>
      <c r="DO49" s="22"/>
      <c r="DP49" s="22"/>
      <c r="DQ49" s="22"/>
      <c r="DR49" s="22"/>
      <c r="DS49" s="22"/>
      <c r="DT49" s="22"/>
      <c r="DU49" s="22"/>
      <c r="DV49" s="22"/>
      <c r="DW49" s="22"/>
      <c r="DX49" s="22"/>
      <c r="DY49" s="22"/>
      <c r="DZ49" s="22"/>
      <c r="EA49" s="22"/>
      <c r="EB49" s="22"/>
      <c r="EC49" s="22"/>
      <c r="ED49" s="22"/>
      <c r="EE49" s="22"/>
      <c r="EF49" s="22"/>
      <c r="EG49" s="22"/>
      <c r="EH49" s="22"/>
      <c r="EI49" s="22"/>
      <c r="EJ49" s="22"/>
      <c r="EK49" s="22"/>
      <c r="EL49" s="22"/>
      <c r="EM49" s="22"/>
      <c r="EN49" s="22"/>
      <c r="EO49" s="22"/>
      <c r="EP49" s="22"/>
      <c r="EQ49" s="22"/>
      <c r="ER49" s="22"/>
      <c r="ES49" s="22"/>
    </row>
    <row r="50" customFormat="false" ht="15" hidden="false" customHeight="false" outlineLevel="0" collapsed="false">
      <c r="A50" s="2" t="s">
        <v>387</v>
      </c>
      <c r="B50" s="6" t="s">
        <v>388</v>
      </c>
      <c r="C50" s="7" t="s">
        <v>212</v>
      </c>
      <c r="D50" s="10" t="n">
        <f aca="false">SUM(F50:ES50)</f>
        <v>0</v>
      </c>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c r="BM50" s="22"/>
      <c r="BN50" s="22"/>
      <c r="BO50" s="22"/>
      <c r="BP50" s="22"/>
      <c r="BQ50" s="22"/>
      <c r="BR50" s="22"/>
      <c r="BS50" s="22"/>
      <c r="BT50" s="22"/>
      <c r="BU50" s="22"/>
      <c r="BV50" s="22"/>
      <c r="BW50" s="22"/>
      <c r="BX50" s="22"/>
      <c r="BY50" s="22"/>
      <c r="BZ50" s="22"/>
      <c r="CA50" s="22"/>
      <c r="CB50" s="22"/>
      <c r="CC50" s="22"/>
      <c r="CD50" s="22"/>
      <c r="CE50" s="22"/>
      <c r="CF50" s="22"/>
      <c r="CG50" s="22"/>
      <c r="CH50" s="22"/>
      <c r="CI50" s="22"/>
      <c r="CJ50" s="22"/>
      <c r="CK50" s="22"/>
      <c r="CL50" s="22"/>
      <c r="CM50" s="22"/>
      <c r="CN50" s="22"/>
      <c r="CO50" s="22"/>
      <c r="CP50" s="22"/>
      <c r="CQ50" s="22"/>
      <c r="CR50" s="22"/>
      <c r="CS50" s="22"/>
      <c r="CT50" s="22"/>
      <c r="CU50" s="22"/>
      <c r="CV50" s="22"/>
      <c r="CW50" s="22"/>
      <c r="CX50" s="22"/>
      <c r="CY50" s="22"/>
      <c r="CZ50" s="22"/>
      <c r="DA50" s="22"/>
      <c r="DB50" s="22"/>
      <c r="DC50" s="22"/>
      <c r="DD50" s="22"/>
      <c r="DE50" s="22"/>
      <c r="DF50" s="22"/>
      <c r="DG50" s="22"/>
      <c r="DH50" s="22"/>
      <c r="DI50" s="22"/>
      <c r="DJ50" s="22"/>
      <c r="DK50" s="22"/>
      <c r="DL50" s="22"/>
      <c r="DM50" s="22"/>
      <c r="DN50" s="22"/>
      <c r="DO50" s="22"/>
      <c r="DP50" s="22"/>
      <c r="DQ50" s="22"/>
      <c r="DR50" s="22"/>
      <c r="DS50" s="22"/>
      <c r="DT50" s="22"/>
      <c r="DU50" s="22"/>
      <c r="DV50" s="22"/>
      <c r="DW50" s="22"/>
      <c r="DX50" s="22"/>
      <c r="DY50" s="22"/>
      <c r="DZ50" s="22"/>
      <c r="EA50" s="22"/>
      <c r="EB50" s="22"/>
      <c r="EC50" s="22"/>
      <c r="ED50" s="22"/>
      <c r="EE50" s="22"/>
      <c r="EF50" s="22"/>
      <c r="EG50" s="22"/>
      <c r="EH50" s="22"/>
      <c r="EI50" s="22"/>
      <c r="EJ50" s="22"/>
      <c r="EK50" s="22"/>
      <c r="EL50" s="22"/>
      <c r="EM50" s="22"/>
      <c r="EN50" s="22"/>
      <c r="EO50" s="22"/>
      <c r="EP50" s="22"/>
      <c r="EQ50" s="22"/>
      <c r="ER50" s="22"/>
      <c r="ES50" s="22"/>
    </row>
    <row r="51" customFormat="false" ht="15" hidden="false" customHeight="false" outlineLevel="0" collapsed="false">
      <c r="A51" s="2" t="s">
        <v>389</v>
      </c>
      <c r="B51" s="6" t="s">
        <v>390</v>
      </c>
      <c r="C51" s="7" t="s">
        <v>212</v>
      </c>
      <c r="D51" s="10" t="n">
        <f aca="false">SUM(F51:ES51)</f>
        <v>0</v>
      </c>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c r="BN51" s="22"/>
      <c r="BO51" s="22"/>
      <c r="BP51" s="22"/>
      <c r="BQ51" s="22"/>
      <c r="BR51" s="22"/>
      <c r="BS51" s="22"/>
      <c r="BT51" s="22"/>
      <c r="BU51" s="22"/>
      <c r="BV51" s="22"/>
      <c r="BW51" s="22"/>
      <c r="BX51" s="22"/>
      <c r="BY51" s="22"/>
      <c r="BZ51" s="22"/>
      <c r="CA51" s="22"/>
      <c r="CB51" s="22"/>
      <c r="CC51" s="22"/>
      <c r="CD51" s="22"/>
      <c r="CE51" s="22"/>
      <c r="CF51" s="22"/>
      <c r="CG51" s="22"/>
      <c r="CH51" s="22"/>
      <c r="CI51" s="22"/>
      <c r="CJ51" s="22"/>
      <c r="CK51" s="22"/>
      <c r="CL51" s="22"/>
      <c r="CM51" s="22"/>
      <c r="CN51" s="22"/>
      <c r="CO51" s="22"/>
      <c r="CP51" s="22"/>
      <c r="CQ51" s="22"/>
      <c r="CR51" s="22"/>
      <c r="CS51" s="22"/>
      <c r="CT51" s="22"/>
      <c r="CU51" s="22"/>
      <c r="CV51" s="22"/>
      <c r="CW51" s="22"/>
      <c r="CX51" s="22"/>
      <c r="CY51" s="22"/>
      <c r="CZ51" s="22"/>
      <c r="DA51" s="22"/>
      <c r="DB51" s="22"/>
      <c r="DC51" s="22"/>
      <c r="DD51" s="22"/>
      <c r="DE51" s="22"/>
      <c r="DF51" s="22"/>
      <c r="DG51" s="22"/>
      <c r="DH51" s="22"/>
      <c r="DI51" s="22"/>
      <c r="DJ51" s="22"/>
      <c r="DK51" s="22"/>
      <c r="DL51" s="22"/>
      <c r="DM51" s="22"/>
      <c r="DN51" s="22"/>
      <c r="DO51" s="22"/>
      <c r="DP51" s="22"/>
      <c r="DQ51" s="22"/>
      <c r="DR51" s="22"/>
      <c r="DS51" s="22"/>
      <c r="DT51" s="22"/>
      <c r="DU51" s="22"/>
      <c r="DV51" s="22"/>
      <c r="DW51" s="22"/>
      <c r="DX51" s="22"/>
      <c r="DY51" s="22"/>
      <c r="DZ51" s="22"/>
      <c r="EA51" s="22"/>
      <c r="EB51" s="22"/>
      <c r="EC51" s="22"/>
      <c r="ED51" s="22"/>
      <c r="EE51" s="22"/>
      <c r="EF51" s="22"/>
      <c r="EG51" s="22"/>
      <c r="EH51" s="22"/>
      <c r="EI51" s="22"/>
      <c r="EJ51" s="22"/>
      <c r="EK51" s="22"/>
      <c r="EL51" s="22"/>
      <c r="EM51" s="22"/>
      <c r="EN51" s="22"/>
      <c r="EO51" s="22"/>
      <c r="EP51" s="22"/>
      <c r="EQ51" s="22"/>
      <c r="ER51" s="22"/>
      <c r="ES51" s="22"/>
    </row>
    <row r="52" customFormat="false" ht="15" hidden="false" customHeight="false" outlineLevel="0" collapsed="false">
      <c r="A52" s="3" t="s">
        <v>391</v>
      </c>
      <c r="B52" s="4"/>
      <c r="C52" s="4"/>
      <c r="D52" s="4"/>
      <c r="E52" s="4"/>
    </row>
    <row r="53" customFormat="false" ht="15" hidden="false" customHeight="false" outlineLevel="0" collapsed="false">
      <c r="A53" s="2" t="s">
        <v>392</v>
      </c>
      <c r="B53" s="6" t="s">
        <v>393</v>
      </c>
      <c r="C53" s="7" t="s">
        <v>212</v>
      </c>
      <c r="D53" s="10"/>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c r="BM53" s="22"/>
      <c r="BN53" s="22"/>
      <c r="BO53" s="22"/>
      <c r="BP53" s="22"/>
      <c r="BQ53" s="22"/>
      <c r="BR53" s="22"/>
      <c r="BS53" s="22"/>
      <c r="BT53" s="22"/>
      <c r="BU53" s="22"/>
      <c r="BV53" s="22"/>
      <c r="BW53" s="22"/>
      <c r="BX53" s="22"/>
      <c r="BY53" s="22"/>
      <c r="BZ53" s="22"/>
      <c r="CA53" s="22"/>
      <c r="CB53" s="22"/>
      <c r="CC53" s="22"/>
      <c r="CD53" s="22"/>
      <c r="CE53" s="22"/>
      <c r="CF53" s="22"/>
      <c r="CG53" s="22"/>
      <c r="CH53" s="22"/>
      <c r="CI53" s="22"/>
      <c r="CJ53" s="22"/>
      <c r="CK53" s="22"/>
      <c r="CL53" s="22"/>
      <c r="CM53" s="22"/>
      <c r="CN53" s="22"/>
      <c r="CO53" s="22"/>
      <c r="CP53" s="22"/>
      <c r="CQ53" s="22"/>
      <c r="CR53" s="22"/>
      <c r="CS53" s="22"/>
      <c r="CT53" s="22"/>
      <c r="CU53" s="22"/>
      <c r="CV53" s="22"/>
      <c r="CW53" s="22"/>
      <c r="CX53" s="22"/>
      <c r="CY53" s="22"/>
      <c r="CZ53" s="22"/>
      <c r="DA53" s="22"/>
      <c r="DB53" s="22"/>
      <c r="DC53" s="22"/>
      <c r="DD53" s="22"/>
      <c r="DE53" s="22"/>
      <c r="DF53" s="22"/>
      <c r="DG53" s="22"/>
      <c r="DH53" s="22"/>
      <c r="DI53" s="22"/>
      <c r="DJ53" s="22"/>
      <c r="DK53" s="22"/>
      <c r="DL53" s="22"/>
      <c r="DM53" s="22"/>
      <c r="DN53" s="22"/>
      <c r="DO53" s="22"/>
      <c r="DP53" s="22"/>
      <c r="DQ53" s="22"/>
      <c r="DR53" s="22"/>
      <c r="DS53" s="22"/>
      <c r="DT53" s="22"/>
      <c r="DU53" s="22"/>
      <c r="DV53" s="22"/>
      <c r="DW53" s="22"/>
      <c r="DX53" s="22"/>
      <c r="DY53" s="22"/>
      <c r="DZ53" s="22"/>
      <c r="EA53" s="22"/>
      <c r="EB53" s="22"/>
      <c r="EC53" s="22"/>
      <c r="ED53" s="22"/>
      <c r="EE53" s="22"/>
      <c r="EF53" s="22"/>
      <c r="EG53" s="22"/>
      <c r="EH53" s="22"/>
      <c r="EI53" s="22"/>
      <c r="EJ53" s="22"/>
      <c r="EK53" s="22"/>
      <c r="EL53" s="22"/>
      <c r="EM53" s="22"/>
      <c r="EN53" s="22"/>
      <c r="EO53" s="22"/>
      <c r="EP53" s="22"/>
      <c r="EQ53" s="22"/>
      <c r="ER53" s="22"/>
      <c r="ES53" s="22"/>
    </row>
    <row r="54" customFormat="false" ht="15" hidden="false" customHeight="false" outlineLevel="0" collapsed="false">
      <c r="A54" s="2" t="s">
        <v>394</v>
      </c>
      <c r="B54" s="6" t="s">
        <v>395</v>
      </c>
      <c r="C54" s="7" t="s">
        <v>212</v>
      </c>
      <c r="D54" s="10"/>
      <c r="F54" s="22"/>
      <c r="G54" s="22"/>
      <c r="H54" s="22"/>
      <c r="I54" s="22"/>
      <c r="J54" s="22"/>
      <c r="K54" s="22"/>
      <c r="L54" s="22"/>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c r="BM54" s="22"/>
      <c r="BN54" s="22"/>
      <c r="BO54" s="22"/>
      <c r="BP54" s="22"/>
      <c r="BQ54" s="22"/>
      <c r="BR54" s="22"/>
      <c r="BS54" s="22"/>
      <c r="BT54" s="22"/>
      <c r="BU54" s="22"/>
      <c r="BV54" s="22"/>
      <c r="BW54" s="22"/>
      <c r="BX54" s="22"/>
      <c r="BY54" s="22"/>
      <c r="BZ54" s="22"/>
      <c r="CA54" s="22"/>
      <c r="CB54" s="22"/>
      <c r="CC54" s="22"/>
      <c r="CD54" s="22"/>
      <c r="CE54" s="22"/>
      <c r="CF54" s="22"/>
      <c r="CG54" s="22"/>
      <c r="CH54" s="22"/>
      <c r="CI54" s="22"/>
      <c r="CJ54" s="22"/>
      <c r="CK54" s="22"/>
      <c r="CL54" s="22"/>
      <c r="CM54" s="22"/>
      <c r="CN54" s="22"/>
      <c r="CO54" s="22"/>
      <c r="CP54" s="22"/>
      <c r="CQ54" s="22"/>
      <c r="CR54" s="22"/>
      <c r="CS54" s="22"/>
      <c r="CT54" s="22"/>
      <c r="CU54" s="22"/>
      <c r="CV54" s="22"/>
      <c r="CW54" s="22"/>
      <c r="CX54" s="22"/>
      <c r="CY54" s="22"/>
      <c r="CZ54" s="22"/>
      <c r="DA54" s="22"/>
      <c r="DB54" s="22"/>
      <c r="DC54" s="22"/>
      <c r="DD54" s="22"/>
      <c r="DE54" s="22"/>
      <c r="DF54" s="22"/>
      <c r="DG54" s="22"/>
      <c r="DH54" s="22"/>
      <c r="DI54" s="22"/>
      <c r="DJ54" s="22"/>
      <c r="DK54" s="22"/>
      <c r="DL54" s="22"/>
      <c r="DM54" s="22"/>
      <c r="DN54" s="22"/>
      <c r="DO54" s="22"/>
      <c r="DP54" s="22"/>
      <c r="DQ54" s="22"/>
      <c r="DR54" s="22"/>
      <c r="DS54" s="22"/>
      <c r="DT54" s="22"/>
      <c r="DU54" s="22"/>
      <c r="DV54" s="22"/>
      <c r="DW54" s="22"/>
      <c r="DX54" s="22"/>
      <c r="DY54" s="22"/>
      <c r="DZ54" s="22"/>
      <c r="EA54" s="22"/>
      <c r="EB54" s="22"/>
      <c r="EC54" s="22"/>
      <c r="ED54" s="22"/>
      <c r="EE54" s="22"/>
      <c r="EF54" s="22"/>
      <c r="EG54" s="22"/>
      <c r="EH54" s="22"/>
      <c r="EI54" s="22"/>
      <c r="EJ54" s="22"/>
      <c r="EK54" s="22"/>
      <c r="EL54" s="22"/>
      <c r="EM54" s="22"/>
      <c r="EN54" s="22"/>
      <c r="EO54" s="22"/>
      <c r="EP54" s="22"/>
      <c r="EQ54" s="22"/>
      <c r="ER54" s="22"/>
      <c r="ES54" s="22"/>
    </row>
    <row r="55" customFormat="false" ht="15" hidden="false" customHeight="false" outlineLevel="0" collapsed="false">
      <c r="A55" s="2" t="s">
        <v>396</v>
      </c>
      <c r="B55" s="6" t="s">
        <v>397</v>
      </c>
      <c r="C55" s="7" t="s">
        <v>212</v>
      </c>
      <c r="D55" s="10"/>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c r="BM55" s="22"/>
      <c r="BN55" s="22"/>
      <c r="BO55" s="22"/>
      <c r="BP55" s="22"/>
      <c r="BQ55" s="22"/>
      <c r="BR55" s="22"/>
      <c r="BS55" s="22"/>
      <c r="BT55" s="22"/>
      <c r="BU55" s="22"/>
      <c r="BV55" s="22"/>
      <c r="BW55" s="22"/>
      <c r="BX55" s="22"/>
      <c r="BY55" s="22"/>
      <c r="BZ55" s="22"/>
      <c r="CA55" s="22"/>
      <c r="CB55" s="22"/>
      <c r="CC55" s="22"/>
      <c r="CD55" s="22"/>
      <c r="CE55" s="22"/>
      <c r="CF55" s="22"/>
      <c r="CG55" s="22"/>
      <c r="CH55" s="22"/>
      <c r="CI55" s="22"/>
      <c r="CJ55" s="22"/>
      <c r="CK55" s="22"/>
      <c r="CL55" s="22"/>
      <c r="CM55" s="22"/>
      <c r="CN55" s="22"/>
      <c r="CO55" s="22"/>
      <c r="CP55" s="22"/>
      <c r="CQ55" s="22"/>
      <c r="CR55" s="22"/>
      <c r="CS55" s="22"/>
      <c r="CT55" s="22"/>
      <c r="CU55" s="22"/>
      <c r="CV55" s="22"/>
      <c r="CW55" s="22"/>
      <c r="CX55" s="22"/>
      <c r="CY55" s="22"/>
      <c r="CZ55" s="22"/>
      <c r="DA55" s="22"/>
      <c r="DB55" s="22"/>
      <c r="DC55" s="22"/>
      <c r="DD55" s="22"/>
      <c r="DE55" s="22"/>
      <c r="DF55" s="22"/>
      <c r="DG55" s="22"/>
      <c r="DH55" s="22"/>
      <c r="DI55" s="22"/>
      <c r="DJ55" s="22"/>
      <c r="DK55" s="22"/>
      <c r="DL55" s="22"/>
      <c r="DM55" s="22"/>
      <c r="DN55" s="22"/>
      <c r="DO55" s="22"/>
      <c r="DP55" s="22"/>
      <c r="DQ55" s="22"/>
      <c r="DR55" s="22"/>
      <c r="DS55" s="22"/>
      <c r="DT55" s="22"/>
      <c r="DU55" s="22"/>
      <c r="DV55" s="22"/>
      <c r="DW55" s="22"/>
      <c r="DX55" s="22"/>
      <c r="DY55" s="22"/>
      <c r="DZ55" s="22"/>
      <c r="EA55" s="22"/>
      <c r="EB55" s="22"/>
      <c r="EC55" s="22"/>
      <c r="ED55" s="22"/>
      <c r="EE55" s="22"/>
      <c r="EF55" s="22"/>
      <c r="EG55" s="22"/>
      <c r="EH55" s="22"/>
      <c r="EI55" s="22"/>
      <c r="EJ55" s="22"/>
      <c r="EK55" s="22"/>
      <c r="EL55" s="22"/>
      <c r="EM55" s="22"/>
      <c r="EN55" s="22"/>
      <c r="EO55" s="22"/>
      <c r="EP55" s="22"/>
      <c r="EQ55" s="22"/>
      <c r="ER55" s="22"/>
      <c r="ES55" s="22"/>
    </row>
    <row r="56" customFormat="false" ht="15" hidden="false" customHeight="false" outlineLevel="0" collapsed="false">
      <c r="A56" s="2" t="s">
        <v>398</v>
      </c>
      <c r="B56" s="6" t="s">
        <v>399</v>
      </c>
      <c r="C56" s="7" t="s">
        <v>212</v>
      </c>
      <c r="D56" s="10"/>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c r="BM56" s="22"/>
      <c r="BN56" s="22"/>
      <c r="BO56" s="22"/>
      <c r="BP56" s="22"/>
      <c r="BQ56" s="22"/>
      <c r="BR56" s="22"/>
      <c r="BS56" s="22"/>
      <c r="BT56" s="22"/>
      <c r="BU56" s="22"/>
      <c r="BV56" s="22"/>
      <c r="BW56" s="22"/>
      <c r="BX56" s="22"/>
      <c r="BY56" s="22"/>
      <c r="BZ56" s="22"/>
      <c r="CA56" s="22"/>
      <c r="CB56" s="22"/>
      <c r="CC56" s="22"/>
      <c r="CD56" s="22"/>
      <c r="CE56" s="22"/>
      <c r="CF56" s="22"/>
      <c r="CG56" s="22"/>
      <c r="CH56" s="22"/>
      <c r="CI56" s="22"/>
      <c r="CJ56" s="22"/>
      <c r="CK56" s="22"/>
      <c r="CL56" s="22"/>
      <c r="CM56" s="22"/>
      <c r="CN56" s="22"/>
      <c r="CO56" s="22"/>
      <c r="CP56" s="22"/>
      <c r="CQ56" s="22"/>
      <c r="CR56" s="22"/>
      <c r="CS56" s="22"/>
      <c r="CT56" s="22"/>
      <c r="CU56" s="22"/>
      <c r="CV56" s="22"/>
      <c r="CW56" s="22"/>
      <c r="CX56" s="22"/>
      <c r="CY56" s="22"/>
      <c r="CZ56" s="22"/>
      <c r="DA56" s="22"/>
      <c r="DB56" s="22"/>
      <c r="DC56" s="22"/>
      <c r="DD56" s="22"/>
      <c r="DE56" s="22"/>
      <c r="DF56" s="22"/>
      <c r="DG56" s="22"/>
      <c r="DH56" s="22"/>
      <c r="DI56" s="22"/>
      <c r="DJ56" s="22"/>
      <c r="DK56" s="22"/>
      <c r="DL56" s="22"/>
      <c r="DM56" s="22"/>
      <c r="DN56" s="22"/>
      <c r="DO56" s="22"/>
      <c r="DP56" s="22"/>
      <c r="DQ56" s="22"/>
      <c r="DR56" s="22"/>
      <c r="DS56" s="22"/>
      <c r="DT56" s="22"/>
      <c r="DU56" s="22"/>
      <c r="DV56" s="22"/>
      <c r="DW56" s="22"/>
      <c r="DX56" s="22"/>
      <c r="DY56" s="22"/>
      <c r="DZ56" s="22"/>
      <c r="EA56" s="22"/>
      <c r="EB56" s="22"/>
      <c r="EC56" s="22"/>
      <c r="ED56" s="22"/>
      <c r="EE56" s="22"/>
      <c r="EF56" s="22"/>
      <c r="EG56" s="22"/>
      <c r="EH56" s="22"/>
      <c r="EI56" s="22"/>
      <c r="EJ56" s="22"/>
      <c r="EK56" s="22"/>
      <c r="EL56" s="22"/>
      <c r="EM56" s="22"/>
      <c r="EN56" s="22"/>
      <c r="EO56" s="22"/>
      <c r="EP56" s="22"/>
      <c r="EQ56" s="22"/>
      <c r="ER56" s="22"/>
      <c r="ES56" s="22"/>
    </row>
    <row r="57" customFormat="false" ht="15" hidden="false" customHeight="false" outlineLevel="0" collapsed="false">
      <c r="A57" s="2" t="s">
        <v>400</v>
      </c>
      <c r="B57" s="6" t="s">
        <v>401</v>
      </c>
      <c r="C57" s="7" t="s">
        <v>212</v>
      </c>
      <c r="D57" s="10"/>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c r="BM57" s="22"/>
      <c r="BN57" s="22"/>
      <c r="BO57" s="22"/>
      <c r="BP57" s="22"/>
      <c r="BQ57" s="22"/>
      <c r="BR57" s="22"/>
      <c r="BS57" s="22"/>
      <c r="BT57" s="22"/>
      <c r="BU57" s="22"/>
      <c r="BV57" s="22"/>
      <c r="BW57" s="22"/>
      <c r="BX57" s="22"/>
      <c r="BY57" s="22"/>
      <c r="BZ57" s="22"/>
      <c r="CA57" s="22"/>
      <c r="CB57" s="22"/>
      <c r="CC57" s="22"/>
      <c r="CD57" s="22"/>
      <c r="CE57" s="22"/>
      <c r="CF57" s="22"/>
      <c r="CG57" s="22"/>
      <c r="CH57" s="22"/>
      <c r="CI57" s="22"/>
      <c r="CJ57" s="22"/>
      <c r="CK57" s="22"/>
      <c r="CL57" s="22"/>
      <c r="CM57" s="22"/>
      <c r="CN57" s="22"/>
      <c r="CO57" s="22"/>
      <c r="CP57" s="22"/>
      <c r="CQ57" s="22"/>
      <c r="CR57" s="22"/>
      <c r="CS57" s="22"/>
      <c r="CT57" s="22"/>
      <c r="CU57" s="22"/>
      <c r="CV57" s="22"/>
      <c r="CW57" s="22"/>
      <c r="CX57" s="22"/>
      <c r="CY57" s="22"/>
      <c r="CZ57" s="22"/>
      <c r="DA57" s="22"/>
      <c r="DB57" s="22"/>
      <c r="DC57" s="22"/>
      <c r="DD57" s="22"/>
      <c r="DE57" s="22"/>
      <c r="DF57" s="22"/>
      <c r="DG57" s="22"/>
      <c r="DH57" s="22"/>
      <c r="DI57" s="22"/>
      <c r="DJ57" s="22"/>
      <c r="DK57" s="22"/>
      <c r="DL57" s="22"/>
      <c r="DM57" s="22"/>
      <c r="DN57" s="22"/>
      <c r="DO57" s="22"/>
      <c r="DP57" s="22"/>
      <c r="DQ57" s="22"/>
      <c r="DR57" s="22"/>
      <c r="DS57" s="22"/>
      <c r="DT57" s="22"/>
      <c r="DU57" s="22"/>
      <c r="DV57" s="22"/>
      <c r="DW57" s="22"/>
      <c r="DX57" s="22"/>
      <c r="DY57" s="22"/>
      <c r="DZ57" s="22"/>
      <c r="EA57" s="22"/>
      <c r="EB57" s="22"/>
      <c r="EC57" s="22"/>
      <c r="ED57" s="22"/>
      <c r="EE57" s="22"/>
      <c r="EF57" s="22"/>
      <c r="EG57" s="22"/>
      <c r="EH57" s="22"/>
      <c r="EI57" s="22"/>
      <c r="EJ57" s="22"/>
      <c r="EK57" s="22"/>
      <c r="EL57" s="22"/>
      <c r="EM57" s="22"/>
      <c r="EN57" s="22"/>
      <c r="EO57" s="22"/>
      <c r="EP57" s="22"/>
      <c r="EQ57" s="22"/>
      <c r="ER57" s="22"/>
      <c r="ES57" s="22"/>
    </row>
    <row r="58" customFormat="false" ht="15" hidden="false" customHeight="false" outlineLevel="0" collapsed="false">
      <c r="A58" s="2" t="s">
        <v>402</v>
      </c>
      <c r="B58" s="6" t="s">
        <v>403</v>
      </c>
      <c r="C58" s="7" t="s">
        <v>212</v>
      </c>
      <c r="D58" s="10"/>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c r="BM58" s="22"/>
      <c r="BN58" s="22"/>
      <c r="BO58" s="22"/>
      <c r="BP58" s="22"/>
      <c r="BQ58" s="22"/>
      <c r="BR58" s="22"/>
      <c r="BS58" s="22"/>
      <c r="BT58" s="22"/>
      <c r="BU58" s="22"/>
      <c r="BV58" s="22"/>
      <c r="BW58" s="22"/>
      <c r="BX58" s="22"/>
      <c r="BY58" s="22"/>
      <c r="BZ58" s="22"/>
      <c r="CA58" s="22"/>
      <c r="CB58" s="22"/>
      <c r="CC58" s="22"/>
      <c r="CD58" s="22"/>
      <c r="CE58" s="22"/>
      <c r="CF58" s="22"/>
      <c r="CG58" s="22"/>
      <c r="CH58" s="22"/>
      <c r="CI58" s="22"/>
      <c r="CJ58" s="22"/>
      <c r="CK58" s="22"/>
      <c r="CL58" s="22"/>
      <c r="CM58" s="22"/>
      <c r="CN58" s="22"/>
      <c r="CO58" s="22"/>
      <c r="CP58" s="22"/>
      <c r="CQ58" s="22"/>
      <c r="CR58" s="22"/>
      <c r="CS58" s="22"/>
      <c r="CT58" s="22"/>
      <c r="CU58" s="22"/>
      <c r="CV58" s="22"/>
      <c r="CW58" s="22"/>
      <c r="CX58" s="22"/>
      <c r="CY58" s="22"/>
      <c r="CZ58" s="22"/>
      <c r="DA58" s="22"/>
      <c r="DB58" s="22"/>
      <c r="DC58" s="22"/>
      <c r="DD58" s="22"/>
      <c r="DE58" s="22"/>
      <c r="DF58" s="22"/>
      <c r="DG58" s="22"/>
      <c r="DH58" s="22"/>
      <c r="DI58" s="22"/>
      <c r="DJ58" s="22"/>
      <c r="DK58" s="22"/>
      <c r="DL58" s="22"/>
      <c r="DM58" s="22"/>
      <c r="DN58" s="22"/>
      <c r="DO58" s="22"/>
      <c r="DP58" s="22"/>
      <c r="DQ58" s="22"/>
      <c r="DR58" s="22"/>
      <c r="DS58" s="22"/>
      <c r="DT58" s="22"/>
      <c r="DU58" s="22"/>
      <c r="DV58" s="22"/>
      <c r="DW58" s="22"/>
      <c r="DX58" s="22"/>
      <c r="DY58" s="22"/>
      <c r="DZ58" s="22"/>
      <c r="EA58" s="22"/>
      <c r="EB58" s="22"/>
      <c r="EC58" s="22"/>
      <c r="ED58" s="22"/>
      <c r="EE58" s="22"/>
      <c r="EF58" s="22"/>
      <c r="EG58" s="22"/>
      <c r="EH58" s="22"/>
      <c r="EI58" s="22"/>
      <c r="EJ58" s="22"/>
      <c r="EK58" s="22"/>
      <c r="EL58" s="22"/>
      <c r="EM58" s="22"/>
      <c r="EN58" s="22"/>
      <c r="EO58" s="22"/>
      <c r="EP58" s="22"/>
      <c r="EQ58" s="22"/>
      <c r="ER58" s="22"/>
      <c r="ES58" s="22"/>
    </row>
  </sheetData>
  <conditionalFormatting sqref="F7:ES7">
    <cfRule type="cellIs" priority="2" operator="equal" aboveAverage="0" equalAverage="0" bottom="0" percent="0" rank="0" text="" dxfId="1">
      <formula>"Cerrado"</formula>
    </cfRule>
  </conditionalFormatting>
  <dataValidations count="1">
    <dataValidation allowBlank="true" errorStyle="stop" operator="between" showDropDown="false" showErrorMessage="false" showInputMessage="false" sqref="C25:C58" type="list">
      <formula1>"USD,PYG"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ES24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5" ySplit="8" topLeftCell="F9" activePane="bottomRight" state="frozen"/>
      <selection pane="topLeft" activeCell="A1" activeCellId="0" sqref="A1"/>
      <selection pane="topRight" activeCell="F1" activeCellId="0" sqref="F1"/>
      <selection pane="bottomLeft" activeCell="A9" activeCellId="0" sqref="A9"/>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60"/>
    <col collapsed="false" customWidth="true" hidden="false" outlineLevel="0" max="3" min="3" style="0" width="7"/>
    <col collapsed="false" customWidth="true" hidden="false" outlineLevel="0" max="4" min="4" style="0" width="3"/>
    <col collapsed="false" customWidth="true" hidden="false" outlineLevel="0" max="5" min="5" style="0" width="15"/>
    <col collapsed="false" customWidth="true" hidden="false" outlineLevel="0" max="149" min="6" style="0" width="11"/>
  </cols>
  <sheetData>
    <row r="1" customFormat="false" ht="16.15" hidden="false" customHeight="false" outlineLevel="0" collapsed="false">
      <c r="A1" s="1" t="s">
        <v>404</v>
      </c>
    </row>
    <row r="2" customFormat="false" ht="15" hidden="false" customHeight="false" outlineLevel="0" collapsed="false">
      <c r="A2" s="2" t="s">
        <v>405</v>
      </c>
    </row>
    <row r="4" customFormat="false" ht="15" hidden="false" customHeight="false" outlineLevel="0" collapsed="false">
      <c r="A4" s="2" t="s">
        <v>406</v>
      </c>
      <c r="B4" s="44" t="s">
        <v>328</v>
      </c>
      <c r="F4" s="47" t="n">
        <v>1</v>
      </c>
      <c r="G4" s="47" t="n">
        <v>2</v>
      </c>
      <c r="H4" s="47" t="n">
        <v>3</v>
      </c>
      <c r="I4" s="47" t="n">
        <v>4</v>
      </c>
      <c r="J4" s="47" t="n">
        <v>5</v>
      </c>
      <c r="K4" s="47" t="n">
        <v>6</v>
      </c>
      <c r="L4" s="47" t="n">
        <v>7</v>
      </c>
      <c r="M4" s="47" t="n">
        <v>8</v>
      </c>
      <c r="N4" s="47" t="n">
        <v>9</v>
      </c>
      <c r="O4" s="47" t="n">
        <v>10</v>
      </c>
      <c r="P4" s="47" t="n">
        <v>11</v>
      </c>
      <c r="Q4" s="47" t="n">
        <v>12</v>
      </c>
      <c r="R4" s="47" t="n">
        <v>13</v>
      </c>
      <c r="S4" s="47" t="n">
        <v>14</v>
      </c>
      <c r="T4" s="47" t="n">
        <v>15</v>
      </c>
      <c r="U4" s="47" t="n">
        <v>16</v>
      </c>
      <c r="V4" s="47" t="n">
        <v>17</v>
      </c>
      <c r="W4" s="47" t="n">
        <v>18</v>
      </c>
      <c r="X4" s="47" t="n">
        <v>19</v>
      </c>
      <c r="Y4" s="47" t="n">
        <v>20</v>
      </c>
      <c r="Z4" s="47" t="n">
        <v>21</v>
      </c>
      <c r="AA4" s="47" t="n">
        <v>22</v>
      </c>
      <c r="AB4" s="47" t="n">
        <v>23</v>
      </c>
      <c r="AC4" s="47" t="n">
        <v>24</v>
      </c>
      <c r="AD4" s="47" t="n">
        <v>25</v>
      </c>
      <c r="AE4" s="47" t="n">
        <v>26</v>
      </c>
      <c r="AF4" s="47" t="n">
        <v>27</v>
      </c>
      <c r="AG4" s="47" t="n">
        <v>28</v>
      </c>
      <c r="AH4" s="47" t="n">
        <v>29</v>
      </c>
      <c r="AI4" s="47" t="n">
        <v>30</v>
      </c>
      <c r="AJ4" s="47" t="n">
        <v>31</v>
      </c>
      <c r="AK4" s="47" t="n">
        <v>32</v>
      </c>
      <c r="AL4" s="47" t="n">
        <v>33</v>
      </c>
      <c r="AM4" s="47" t="n">
        <v>34</v>
      </c>
      <c r="AN4" s="47" t="n">
        <v>35</v>
      </c>
      <c r="AO4" s="47" t="n">
        <v>36</v>
      </c>
      <c r="AP4" s="47" t="n">
        <v>37</v>
      </c>
      <c r="AQ4" s="47" t="n">
        <v>38</v>
      </c>
      <c r="AR4" s="47" t="n">
        <v>39</v>
      </c>
      <c r="AS4" s="47" t="n">
        <v>40</v>
      </c>
      <c r="AT4" s="47" t="n">
        <v>41</v>
      </c>
      <c r="AU4" s="47" t="n">
        <v>42</v>
      </c>
      <c r="AV4" s="47" t="n">
        <v>43</v>
      </c>
      <c r="AW4" s="47" t="n">
        <v>44</v>
      </c>
      <c r="AX4" s="47" t="n">
        <v>45</v>
      </c>
      <c r="AY4" s="47" t="n">
        <v>46</v>
      </c>
      <c r="AZ4" s="47" t="n">
        <v>47</v>
      </c>
      <c r="BA4" s="47" t="n">
        <v>48</v>
      </c>
      <c r="BB4" s="47" t="n">
        <v>49</v>
      </c>
      <c r="BC4" s="47" t="n">
        <v>50</v>
      </c>
      <c r="BD4" s="47" t="n">
        <v>51</v>
      </c>
      <c r="BE4" s="47" t="n">
        <v>52</v>
      </c>
      <c r="BF4" s="47" t="n">
        <v>53</v>
      </c>
      <c r="BG4" s="47" t="n">
        <v>54</v>
      </c>
      <c r="BH4" s="47" t="n">
        <v>55</v>
      </c>
      <c r="BI4" s="47" t="n">
        <v>56</v>
      </c>
      <c r="BJ4" s="47" t="n">
        <v>57</v>
      </c>
      <c r="BK4" s="47" t="n">
        <v>58</v>
      </c>
      <c r="BL4" s="47" t="n">
        <v>59</v>
      </c>
      <c r="BM4" s="47" t="n">
        <v>60</v>
      </c>
      <c r="BN4" s="47" t="n">
        <v>61</v>
      </c>
      <c r="BO4" s="47" t="n">
        <v>62</v>
      </c>
      <c r="BP4" s="47" t="n">
        <v>63</v>
      </c>
      <c r="BQ4" s="47" t="n">
        <v>64</v>
      </c>
      <c r="BR4" s="47" t="n">
        <v>65</v>
      </c>
      <c r="BS4" s="47" t="n">
        <v>66</v>
      </c>
      <c r="BT4" s="47" t="n">
        <v>67</v>
      </c>
      <c r="BU4" s="47" t="n">
        <v>68</v>
      </c>
      <c r="BV4" s="47" t="n">
        <v>69</v>
      </c>
      <c r="BW4" s="47" t="n">
        <v>70</v>
      </c>
      <c r="BX4" s="47" t="n">
        <v>71</v>
      </c>
      <c r="BY4" s="47" t="n">
        <v>72</v>
      </c>
      <c r="BZ4" s="47" t="n">
        <v>73</v>
      </c>
      <c r="CA4" s="47" t="n">
        <v>74</v>
      </c>
      <c r="CB4" s="47" t="n">
        <v>75</v>
      </c>
      <c r="CC4" s="47" t="n">
        <v>76</v>
      </c>
      <c r="CD4" s="47" t="n">
        <v>77</v>
      </c>
      <c r="CE4" s="47" t="n">
        <v>78</v>
      </c>
      <c r="CF4" s="47" t="n">
        <v>79</v>
      </c>
      <c r="CG4" s="47" t="n">
        <v>80</v>
      </c>
      <c r="CH4" s="47" t="n">
        <v>81</v>
      </c>
      <c r="CI4" s="47" t="n">
        <v>82</v>
      </c>
      <c r="CJ4" s="47" t="n">
        <v>83</v>
      </c>
      <c r="CK4" s="47" t="n">
        <v>84</v>
      </c>
      <c r="CL4" s="47" t="n">
        <v>85</v>
      </c>
      <c r="CM4" s="47" t="n">
        <v>86</v>
      </c>
      <c r="CN4" s="47" t="n">
        <v>87</v>
      </c>
      <c r="CO4" s="47" t="n">
        <v>88</v>
      </c>
      <c r="CP4" s="47" t="n">
        <v>89</v>
      </c>
      <c r="CQ4" s="47" t="n">
        <v>90</v>
      </c>
      <c r="CR4" s="47" t="n">
        <v>91</v>
      </c>
      <c r="CS4" s="47" t="n">
        <v>92</v>
      </c>
      <c r="CT4" s="47" t="n">
        <v>93</v>
      </c>
      <c r="CU4" s="47" t="n">
        <v>94</v>
      </c>
      <c r="CV4" s="47" t="n">
        <v>95</v>
      </c>
      <c r="CW4" s="47" t="n">
        <v>96</v>
      </c>
      <c r="CX4" s="47" t="n">
        <v>97</v>
      </c>
      <c r="CY4" s="47" t="n">
        <v>98</v>
      </c>
      <c r="CZ4" s="47" t="n">
        <v>99</v>
      </c>
      <c r="DA4" s="47" t="n">
        <v>100</v>
      </c>
      <c r="DB4" s="47" t="n">
        <v>101</v>
      </c>
      <c r="DC4" s="47" t="n">
        <v>102</v>
      </c>
      <c r="DD4" s="47" t="n">
        <v>103</v>
      </c>
      <c r="DE4" s="47" t="n">
        <v>104</v>
      </c>
      <c r="DF4" s="47" t="n">
        <v>105</v>
      </c>
      <c r="DG4" s="47" t="n">
        <v>106</v>
      </c>
      <c r="DH4" s="47" t="n">
        <v>107</v>
      </c>
      <c r="DI4" s="47" t="n">
        <v>108</v>
      </c>
      <c r="DJ4" s="47" t="n">
        <v>109</v>
      </c>
      <c r="DK4" s="47" t="n">
        <v>110</v>
      </c>
      <c r="DL4" s="47" t="n">
        <v>111</v>
      </c>
      <c r="DM4" s="47" t="n">
        <v>112</v>
      </c>
      <c r="DN4" s="47" t="n">
        <v>113</v>
      </c>
      <c r="DO4" s="47" t="n">
        <v>114</v>
      </c>
      <c r="DP4" s="47" t="n">
        <v>115</v>
      </c>
      <c r="DQ4" s="47" t="n">
        <v>116</v>
      </c>
      <c r="DR4" s="47" t="n">
        <v>117</v>
      </c>
      <c r="DS4" s="47" t="n">
        <v>118</v>
      </c>
      <c r="DT4" s="47" t="n">
        <v>119</v>
      </c>
      <c r="DU4" s="47" t="n">
        <v>120</v>
      </c>
      <c r="DV4" s="47" t="n">
        <v>121</v>
      </c>
      <c r="DW4" s="47" t="n">
        <v>122</v>
      </c>
      <c r="DX4" s="47" t="n">
        <v>123</v>
      </c>
      <c r="DY4" s="47" t="n">
        <v>124</v>
      </c>
      <c r="DZ4" s="47" t="n">
        <v>125</v>
      </c>
      <c r="EA4" s="47" t="n">
        <v>126</v>
      </c>
      <c r="EB4" s="47" t="n">
        <v>127</v>
      </c>
      <c r="EC4" s="47" t="n">
        <v>128</v>
      </c>
      <c r="ED4" s="47" t="n">
        <v>129</v>
      </c>
      <c r="EE4" s="47" t="n">
        <v>130</v>
      </c>
      <c r="EF4" s="47" t="n">
        <v>131</v>
      </c>
      <c r="EG4" s="47" t="n">
        <v>132</v>
      </c>
      <c r="EH4" s="47" t="n">
        <v>133</v>
      </c>
      <c r="EI4" s="47" t="n">
        <v>134</v>
      </c>
      <c r="EJ4" s="47" t="n">
        <v>135</v>
      </c>
      <c r="EK4" s="47" t="n">
        <v>136</v>
      </c>
      <c r="EL4" s="47" t="n">
        <v>137</v>
      </c>
      <c r="EM4" s="47" t="n">
        <v>138</v>
      </c>
      <c r="EN4" s="47" t="n">
        <v>139</v>
      </c>
      <c r="EO4" s="47" t="n">
        <v>140</v>
      </c>
      <c r="EP4" s="47" t="n">
        <v>141</v>
      </c>
      <c r="EQ4" s="47" t="n">
        <v>142</v>
      </c>
      <c r="ER4" s="47" t="n">
        <v>143</v>
      </c>
      <c r="ES4" s="47" t="n">
        <v>144</v>
      </c>
    </row>
    <row r="5" customFormat="false" ht="15" hidden="false" customHeight="false" outlineLevel="0" collapsed="false">
      <c r="A5" s="2" t="s">
        <v>407</v>
      </c>
      <c r="B5" s="11" t="s">
        <v>330</v>
      </c>
      <c r="F5" s="48" t="str">
        <f aca="false">IF(n_Fecha1="","",EOMONTH(n_Fecha1,1-1))</f>
        <v/>
      </c>
      <c r="G5" s="48" t="str">
        <f aca="false">IF(n_Fecha1="","",EOMONTH(n_Fecha1,2-1))</f>
        <v/>
      </c>
      <c r="H5" s="48" t="str">
        <f aca="false">IF(n_Fecha1="","",EOMONTH(n_Fecha1,3-1))</f>
        <v/>
      </c>
      <c r="I5" s="48" t="str">
        <f aca="false">IF(n_Fecha1="","",EOMONTH(n_Fecha1,4-1))</f>
        <v/>
      </c>
      <c r="J5" s="48" t="str">
        <f aca="false">IF(n_Fecha1="","",EOMONTH(n_Fecha1,5-1))</f>
        <v/>
      </c>
      <c r="K5" s="48" t="str">
        <f aca="false">IF(n_Fecha1="","",EOMONTH(n_Fecha1,6-1))</f>
        <v/>
      </c>
      <c r="L5" s="48" t="str">
        <f aca="false">IF(n_Fecha1="","",EOMONTH(n_Fecha1,7-1))</f>
        <v/>
      </c>
      <c r="M5" s="48" t="str">
        <f aca="false">IF(n_Fecha1="","",EOMONTH(n_Fecha1,8-1))</f>
        <v/>
      </c>
      <c r="N5" s="48" t="str">
        <f aca="false">IF(n_Fecha1="","",EOMONTH(n_Fecha1,9-1))</f>
        <v/>
      </c>
      <c r="O5" s="48" t="str">
        <f aca="false">IF(n_Fecha1="","",EOMONTH(n_Fecha1,10-1))</f>
        <v/>
      </c>
      <c r="P5" s="48" t="str">
        <f aca="false">IF(n_Fecha1="","",EOMONTH(n_Fecha1,11-1))</f>
        <v/>
      </c>
      <c r="Q5" s="48" t="str">
        <f aca="false">IF(n_Fecha1="","",EOMONTH(n_Fecha1,12-1))</f>
        <v/>
      </c>
      <c r="R5" s="48" t="str">
        <f aca="false">IF(n_Fecha1="","",EOMONTH(n_Fecha1,13-1))</f>
        <v/>
      </c>
      <c r="S5" s="48" t="str">
        <f aca="false">IF(n_Fecha1="","",EOMONTH(n_Fecha1,14-1))</f>
        <v/>
      </c>
      <c r="T5" s="48" t="str">
        <f aca="false">IF(n_Fecha1="","",EOMONTH(n_Fecha1,15-1))</f>
        <v/>
      </c>
      <c r="U5" s="48" t="str">
        <f aca="false">IF(n_Fecha1="","",EOMONTH(n_Fecha1,16-1))</f>
        <v/>
      </c>
      <c r="V5" s="48" t="str">
        <f aca="false">IF(n_Fecha1="","",EOMONTH(n_Fecha1,17-1))</f>
        <v/>
      </c>
      <c r="W5" s="48" t="str">
        <f aca="false">IF(n_Fecha1="","",EOMONTH(n_Fecha1,18-1))</f>
        <v/>
      </c>
      <c r="X5" s="48" t="str">
        <f aca="false">IF(n_Fecha1="","",EOMONTH(n_Fecha1,19-1))</f>
        <v/>
      </c>
      <c r="Y5" s="48" t="str">
        <f aca="false">IF(n_Fecha1="","",EOMONTH(n_Fecha1,20-1))</f>
        <v/>
      </c>
      <c r="Z5" s="48" t="str">
        <f aca="false">IF(n_Fecha1="","",EOMONTH(n_Fecha1,21-1))</f>
        <v/>
      </c>
      <c r="AA5" s="48" t="str">
        <f aca="false">IF(n_Fecha1="","",EOMONTH(n_Fecha1,22-1))</f>
        <v/>
      </c>
      <c r="AB5" s="48" t="str">
        <f aca="false">IF(n_Fecha1="","",EOMONTH(n_Fecha1,23-1))</f>
        <v/>
      </c>
      <c r="AC5" s="48" t="str">
        <f aca="false">IF(n_Fecha1="","",EOMONTH(n_Fecha1,24-1))</f>
        <v/>
      </c>
      <c r="AD5" s="48" t="str">
        <f aca="false">IF(n_Fecha1="","",EOMONTH(n_Fecha1,25-1))</f>
        <v/>
      </c>
      <c r="AE5" s="48" t="str">
        <f aca="false">IF(n_Fecha1="","",EOMONTH(n_Fecha1,26-1))</f>
        <v/>
      </c>
      <c r="AF5" s="48" t="str">
        <f aca="false">IF(n_Fecha1="","",EOMONTH(n_Fecha1,27-1))</f>
        <v/>
      </c>
      <c r="AG5" s="48" t="str">
        <f aca="false">IF(n_Fecha1="","",EOMONTH(n_Fecha1,28-1))</f>
        <v/>
      </c>
      <c r="AH5" s="48" t="str">
        <f aca="false">IF(n_Fecha1="","",EOMONTH(n_Fecha1,29-1))</f>
        <v/>
      </c>
      <c r="AI5" s="48" t="str">
        <f aca="false">IF(n_Fecha1="","",EOMONTH(n_Fecha1,30-1))</f>
        <v/>
      </c>
      <c r="AJ5" s="48" t="str">
        <f aca="false">IF(n_Fecha1="","",EOMONTH(n_Fecha1,31-1))</f>
        <v/>
      </c>
      <c r="AK5" s="48" t="str">
        <f aca="false">IF(n_Fecha1="","",EOMONTH(n_Fecha1,32-1))</f>
        <v/>
      </c>
      <c r="AL5" s="48" t="str">
        <f aca="false">IF(n_Fecha1="","",EOMONTH(n_Fecha1,33-1))</f>
        <v/>
      </c>
      <c r="AM5" s="48" t="str">
        <f aca="false">IF(n_Fecha1="","",EOMONTH(n_Fecha1,34-1))</f>
        <v/>
      </c>
      <c r="AN5" s="48" t="str">
        <f aca="false">IF(n_Fecha1="","",EOMONTH(n_Fecha1,35-1))</f>
        <v/>
      </c>
      <c r="AO5" s="48" t="str">
        <f aca="false">IF(n_Fecha1="","",EOMONTH(n_Fecha1,36-1))</f>
        <v/>
      </c>
      <c r="AP5" s="48" t="str">
        <f aca="false">IF(n_Fecha1="","",EOMONTH(n_Fecha1,37-1))</f>
        <v/>
      </c>
      <c r="AQ5" s="48" t="str">
        <f aca="false">IF(n_Fecha1="","",EOMONTH(n_Fecha1,38-1))</f>
        <v/>
      </c>
      <c r="AR5" s="48" t="str">
        <f aca="false">IF(n_Fecha1="","",EOMONTH(n_Fecha1,39-1))</f>
        <v/>
      </c>
      <c r="AS5" s="48" t="str">
        <f aca="false">IF(n_Fecha1="","",EOMONTH(n_Fecha1,40-1))</f>
        <v/>
      </c>
      <c r="AT5" s="48" t="str">
        <f aca="false">IF(n_Fecha1="","",EOMONTH(n_Fecha1,41-1))</f>
        <v/>
      </c>
      <c r="AU5" s="48" t="str">
        <f aca="false">IF(n_Fecha1="","",EOMONTH(n_Fecha1,42-1))</f>
        <v/>
      </c>
      <c r="AV5" s="48" t="str">
        <f aca="false">IF(n_Fecha1="","",EOMONTH(n_Fecha1,43-1))</f>
        <v/>
      </c>
      <c r="AW5" s="48" t="str">
        <f aca="false">IF(n_Fecha1="","",EOMONTH(n_Fecha1,44-1))</f>
        <v/>
      </c>
      <c r="AX5" s="48" t="str">
        <f aca="false">IF(n_Fecha1="","",EOMONTH(n_Fecha1,45-1))</f>
        <v/>
      </c>
      <c r="AY5" s="48" t="str">
        <f aca="false">IF(n_Fecha1="","",EOMONTH(n_Fecha1,46-1))</f>
        <v/>
      </c>
      <c r="AZ5" s="48" t="str">
        <f aca="false">IF(n_Fecha1="","",EOMONTH(n_Fecha1,47-1))</f>
        <v/>
      </c>
      <c r="BA5" s="48" t="str">
        <f aca="false">IF(n_Fecha1="","",EOMONTH(n_Fecha1,48-1))</f>
        <v/>
      </c>
      <c r="BB5" s="48" t="str">
        <f aca="false">IF(n_Fecha1="","",EOMONTH(n_Fecha1,49-1))</f>
        <v/>
      </c>
      <c r="BC5" s="48" t="str">
        <f aca="false">IF(n_Fecha1="","",EOMONTH(n_Fecha1,50-1))</f>
        <v/>
      </c>
      <c r="BD5" s="48" t="str">
        <f aca="false">IF(n_Fecha1="","",EOMONTH(n_Fecha1,51-1))</f>
        <v/>
      </c>
      <c r="BE5" s="48" t="str">
        <f aca="false">IF(n_Fecha1="","",EOMONTH(n_Fecha1,52-1))</f>
        <v/>
      </c>
      <c r="BF5" s="48" t="str">
        <f aca="false">IF(n_Fecha1="","",EOMONTH(n_Fecha1,53-1))</f>
        <v/>
      </c>
      <c r="BG5" s="48" t="str">
        <f aca="false">IF(n_Fecha1="","",EOMONTH(n_Fecha1,54-1))</f>
        <v/>
      </c>
      <c r="BH5" s="48" t="str">
        <f aca="false">IF(n_Fecha1="","",EOMONTH(n_Fecha1,55-1))</f>
        <v/>
      </c>
      <c r="BI5" s="48" t="str">
        <f aca="false">IF(n_Fecha1="","",EOMONTH(n_Fecha1,56-1))</f>
        <v/>
      </c>
      <c r="BJ5" s="48" t="str">
        <f aca="false">IF(n_Fecha1="","",EOMONTH(n_Fecha1,57-1))</f>
        <v/>
      </c>
      <c r="BK5" s="48" t="str">
        <f aca="false">IF(n_Fecha1="","",EOMONTH(n_Fecha1,58-1))</f>
        <v/>
      </c>
      <c r="BL5" s="48" t="str">
        <f aca="false">IF(n_Fecha1="","",EOMONTH(n_Fecha1,59-1))</f>
        <v/>
      </c>
      <c r="BM5" s="48" t="str">
        <f aca="false">IF(n_Fecha1="","",EOMONTH(n_Fecha1,60-1))</f>
        <v/>
      </c>
      <c r="BN5" s="48" t="str">
        <f aca="false">IF(n_Fecha1="","",EOMONTH(n_Fecha1,61-1))</f>
        <v/>
      </c>
      <c r="BO5" s="48" t="str">
        <f aca="false">IF(n_Fecha1="","",EOMONTH(n_Fecha1,62-1))</f>
        <v/>
      </c>
      <c r="BP5" s="48" t="str">
        <f aca="false">IF(n_Fecha1="","",EOMONTH(n_Fecha1,63-1))</f>
        <v/>
      </c>
      <c r="BQ5" s="48" t="str">
        <f aca="false">IF(n_Fecha1="","",EOMONTH(n_Fecha1,64-1))</f>
        <v/>
      </c>
      <c r="BR5" s="48" t="str">
        <f aca="false">IF(n_Fecha1="","",EOMONTH(n_Fecha1,65-1))</f>
        <v/>
      </c>
      <c r="BS5" s="48" t="str">
        <f aca="false">IF(n_Fecha1="","",EOMONTH(n_Fecha1,66-1))</f>
        <v/>
      </c>
      <c r="BT5" s="48" t="str">
        <f aca="false">IF(n_Fecha1="","",EOMONTH(n_Fecha1,67-1))</f>
        <v/>
      </c>
      <c r="BU5" s="48" t="str">
        <f aca="false">IF(n_Fecha1="","",EOMONTH(n_Fecha1,68-1))</f>
        <v/>
      </c>
      <c r="BV5" s="48" t="str">
        <f aca="false">IF(n_Fecha1="","",EOMONTH(n_Fecha1,69-1))</f>
        <v/>
      </c>
      <c r="BW5" s="48" t="str">
        <f aca="false">IF(n_Fecha1="","",EOMONTH(n_Fecha1,70-1))</f>
        <v/>
      </c>
      <c r="BX5" s="48" t="str">
        <f aca="false">IF(n_Fecha1="","",EOMONTH(n_Fecha1,71-1))</f>
        <v/>
      </c>
      <c r="BY5" s="48" t="str">
        <f aca="false">IF(n_Fecha1="","",EOMONTH(n_Fecha1,72-1))</f>
        <v/>
      </c>
      <c r="BZ5" s="48" t="str">
        <f aca="false">IF(n_Fecha1="","",EOMONTH(n_Fecha1,73-1))</f>
        <v/>
      </c>
      <c r="CA5" s="48" t="str">
        <f aca="false">IF(n_Fecha1="","",EOMONTH(n_Fecha1,74-1))</f>
        <v/>
      </c>
      <c r="CB5" s="48" t="str">
        <f aca="false">IF(n_Fecha1="","",EOMONTH(n_Fecha1,75-1))</f>
        <v/>
      </c>
      <c r="CC5" s="48" t="str">
        <f aca="false">IF(n_Fecha1="","",EOMONTH(n_Fecha1,76-1))</f>
        <v/>
      </c>
      <c r="CD5" s="48" t="str">
        <f aca="false">IF(n_Fecha1="","",EOMONTH(n_Fecha1,77-1))</f>
        <v/>
      </c>
      <c r="CE5" s="48" t="str">
        <f aca="false">IF(n_Fecha1="","",EOMONTH(n_Fecha1,78-1))</f>
        <v/>
      </c>
      <c r="CF5" s="48" t="str">
        <f aca="false">IF(n_Fecha1="","",EOMONTH(n_Fecha1,79-1))</f>
        <v/>
      </c>
      <c r="CG5" s="48" t="str">
        <f aca="false">IF(n_Fecha1="","",EOMONTH(n_Fecha1,80-1))</f>
        <v/>
      </c>
      <c r="CH5" s="48" t="str">
        <f aca="false">IF(n_Fecha1="","",EOMONTH(n_Fecha1,81-1))</f>
        <v/>
      </c>
      <c r="CI5" s="48" t="str">
        <f aca="false">IF(n_Fecha1="","",EOMONTH(n_Fecha1,82-1))</f>
        <v/>
      </c>
      <c r="CJ5" s="48" t="str">
        <f aca="false">IF(n_Fecha1="","",EOMONTH(n_Fecha1,83-1))</f>
        <v/>
      </c>
      <c r="CK5" s="48" t="str">
        <f aca="false">IF(n_Fecha1="","",EOMONTH(n_Fecha1,84-1))</f>
        <v/>
      </c>
      <c r="CL5" s="48" t="str">
        <f aca="false">IF(n_Fecha1="","",EOMONTH(n_Fecha1,85-1))</f>
        <v/>
      </c>
      <c r="CM5" s="48" t="str">
        <f aca="false">IF(n_Fecha1="","",EOMONTH(n_Fecha1,86-1))</f>
        <v/>
      </c>
      <c r="CN5" s="48" t="str">
        <f aca="false">IF(n_Fecha1="","",EOMONTH(n_Fecha1,87-1))</f>
        <v/>
      </c>
      <c r="CO5" s="48" t="str">
        <f aca="false">IF(n_Fecha1="","",EOMONTH(n_Fecha1,88-1))</f>
        <v/>
      </c>
      <c r="CP5" s="48" t="str">
        <f aca="false">IF(n_Fecha1="","",EOMONTH(n_Fecha1,89-1))</f>
        <v/>
      </c>
      <c r="CQ5" s="48" t="str">
        <f aca="false">IF(n_Fecha1="","",EOMONTH(n_Fecha1,90-1))</f>
        <v/>
      </c>
      <c r="CR5" s="48" t="str">
        <f aca="false">IF(n_Fecha1="","",EOMONTH(n_Fecha1,91-1))</f>
        <v/>
      </c>
      <c r="CS5" s="48" t="str">
        <f aca="false">IF(n_Fecha1="","",EOMONTH(n_Fecha1,92-1))</f>
        <v/>
      </c>
      <c r="CT5" s="48" t="str">
        <f aca="false">IF(n_Fecha1="","",EOMONTH(n_Fecha1,93-1))</f>
        <v/>
      </c>
      <c r="CU5" s="48" t="str">
        <f aca="false">IF(n_Fecha1="","",EOMONTH(n_Fecha1,94-1))</f>
        <v/>
      </c>
      <c r="CV5" s="48" t="str">
        <f aca="false">IF(n_Fecha1="","",EOMONTH(n_Fecha1,95-1))</f>
        <v/>
      </c>
      <c r="CW5" s="48" t="str">
        <f aca="false">IF(n_Fecha1="","",EOMONTH(n_Fecha1,96-1))</f>
        <v/>
      </c>
      <c r="CX5" s="48" t="str">
        <f aca="false">IF(n_Fecha1="","",EOMONTH(n_Fecha1,97-1))</f>
        <v/>
      </c>
      <c r="CY5" s="48" t="str">
        <f aca="false">IF(n_Fecha1="","",EOMONTH(n_Fecha1,98-1))</f>
        <v/>
      </c>
      <c r="CZ5" s="48" t="str">
        <f aca="false">IF(n_Fecha1="","",EOMONTH(n_Fecha1,99-1))</f>
        <v/>
      </c>
      <c r="DA5" s="48" t="str">
        <f aca="false">IF(n_Fecha1="","",EOMONTH(n_Fecha1,100-1))</f>
        <v/>
      </c>
      <c r="DB5" s="48" t="str">
        <f aca="false">IF(n_Fecha1="","",EOMONTH(n_Fecha1,101-1))</f>
        <v/>
      </c>
      <c r="DC5" s="48" t="str">
        <f aca="false">IF(n_Fecha1="","",EOMONTH(n_Fecha1,102-1))</f>
        <v/>
      </c>
      <c r="DD5" s="48" t="str">
        <f aca="false">IF(n_Fecha1="","",EOMONTH(n_Fecha1,103-1))</f>
        <v/>
      </c>
      <c r="DE5" s="48" t="str">
        <f aca="false">IF(n_Fecha1="","",EOMONTH(n_Fecha1,104-1))</f>
        <v/>
      </c>
      <c r="DF5" s="48" t="str">
        <f aca="false">IF(n_Fecha1="","",EOMONTH(n_Fecha1,105-1))</f>
        <v/>
      </c>
      <c r="DG5" s="48" t="str">
        <f aca="false">IF(n_Fecha1="","",EOMONTH(n_Fecha1,106-1))</f>
        <v/>
      </c>
      <c r="DH5" s="48" t="str">
        <f aca="false">IF(n_Fecha1="","",EOMONTH(n_Fecha1,107-1))</f>
        <v/>
      </c>
      <c r="DI5" s="48" t="str">
        <f aca="false">IF(n_Fecha1="","",EOMONTH(n_Fecha1,108-1))</f>
        <v/>
      </c>
      <c r="DJ5" s="48" t="str">
        <f aca="false">IF(n_Fecha1="","",EOMONTH(n_Fecha1,109-1))</f>
        <v/>
      </c>
      <c r="DK5" s="48" t="str">
        <f aca="false">IF(n_Fecha1="","",EOMONTH(n_Fecha1,110-1))</f>
        <v/>
      </c>
      <c r="DL5" s="48" t="str">
        <f aca="false">IF(n_Fecha1="","",EOMONTH(n_Fecha1,111-1))</f>
        <v/>
      </c>
      <c r="DM5" s="48" t="str">
        <f aca="false">IF(n_Fecha1="","",EOMONTH(n_Fecha1,112-1))</f>
        <v/>
      </c>
      <c r="DN5" s="48" t="str">
        <f aca="false">IF(n_Fecha1="","",EOMONTH(n_Fecha1,113-1))</f>
        <v/>
      </c>
      <c r="DO5" s="48" t="str">
        <f aca="false">IF(n_Fecha1="","",EOMONTH(n_Fecha1,114-1))</f>
        <v/>
      </c>
      <c r="DP5" s="48" t="str">
        <f aca="false">IF(n_Fecha1="","",EOMONTH(n_Fecha1,115-1))</f>
        <v/>
      </c>
      <c r="DQ5" s="48" t="str">
        <f aca="false">IF(n_Fecha1="","",EOMONTH(n_Fecha1,116-1))</f>
        <v/>
      </c>
      <c r="DR5" s="48" t="str">
        <f aca="false">IF(n_Fecha1="","",EOMONTH(n_Fecha1,117-1))</f>
        <v/>
      </c>
      <c r="DS5" s="48" t="str">
        <f aca="false">IF(n_Fecha1="","",EOMONTH(n_Fecha1,118-1))</f>
        <v/>
      </c>
      <c r="DT5" s="48" t="str">
        <f aca="false">IF(n_Fecha1="","",EOMONTH(n_Fecha1,119-1))</f>
        <v/>
      </c>
      <c r="DU5" s="48" t="str">
        <f aca="false">IF(n_Fecha1="","",EOMONTH(n_Fecha1,120-1))</f>
        <v/>
      </c>
      <c r="DV5" s="48" t="str">
        <f aca="false">IF(n_Fecha1="","",EOMONTH(n_Fecha1,121-1))</f>
        <v/>
      </c>
      <c r="DW5" s="48" t="str">
        <f aca="false">IF(n_Fecha1="","",EOMONTH(n_Fecha1,122-1))</f>
        <v/>
      </c>
      <c r="DX5" s="48" t="str">
        <f aca="false">IF(n_Fecha1="","",EOMONTH(n_Fecha1,123-1))</f>
        <v/>
      </c>
      <c r="DY5" s="48" t="str">
        <f aca="false">IF(n_Fecha1="","",EOMONTH(n_Fecha1,124-1))</f>
        <v/>
      </c>
      <c r="DZ5" s="48" t="str">
        <f aca="false">IF(n_Fecha1="","",EOMONTH(n_Fecha1,125-1))</f>
        <v/>
      </c>
      <c r="EA5" s="48" t="str">
        <f aca="false">IF(n_Fecha1="","",EOMONTH(n_Fecha1,126-1))</f>
        <v/>
      </c>
      <c r="EB5" s="48" t="str">
        <f aca="false">IF(n_Fecha1="","",EOMONTH(n_Fecha1,127-1))</f>
        <v/>
      </c>
      <c r="EC5" s="48" t="str">
        <f aca="false">IF(n_Fecha1="","",EOMONTH(n_Fecha1,128-1))</f>
        <v/>
      </c>
      <c r="ED5" s="48" t="str">
        <f aca="false">IF(n_Fecha1="","",EOMONTH(n_Fecha1,129-1))</f>
        <v/>
      </c>
      <c r="EE5" s="48" t="str">
        <f aca="false">IF(n_Fecha1="","",EOMONTH(n_Fecha1,130-1))</f>
        <v/>
      </c>
      <c r="EF5" s="48" t="str">
        <f aca="false">IF(n_Fecha1="","",EOMONTH(n_Fecha1,131-1))</f>
        <v/>
      </c>
      <c r="EG5" s="48" t="str">
        <f aca="false">IF(n_Fecha1="","",EOMONTH(n_Fecha1,132-1))</f>
        <v/>
      </c>
      <c r="EH5" s="48" t="str">
        <f aca="false">IF(n_Fecha1="","",EOMONTH(n_Fecha1,133-1))</f>
        <v/>
      </c>
      <c r="EI5" s="48" t="str">
        <f aca="false">IF(n_Fecha1="","",EOMONTH(n_Fecha1,134-1))</f>
        <v/>
      </c>
      <c r="EJ5" s="48" t="str">
        <f aca="false">IF(n_Fecha1="","",EOMONTH(n_Fecha1,135-1))</f>
        <v/>
      </c>
      <c r="EK5" s="48" t="str">
        <f aca="false">IF(n_Fecha1="","",EOMONTH(n_Fecha1,136-1))</f>
        <v/>
      </c>
      <c r="EL5" s="48" t="str">
        <f aca="false">IF(n_Fecha1="","",EOMONTH(n_Fecha1,137-1))</f>
        <v/>
      </c>
      <c r="EM5" s="48" t="str">
        <f aca="false">IF(n_Fecha1="","",EOMONTH(n_Fecha1,138-1))</f>
        <v/>
      </c>
      <c r="EN5" s="48" t="str">
        <f aca="false">IF(n_Fecha1="","",EOMONTH(n_Fecha1,139-1))</f>
        <v/>
      </c>
      <c r="EO5" s="48" t="str">
        <f aca="false">IF(n_Fecha1="","",EOMONTH(n_Fecha1,140-1))</f>
        <v/>
      </c>
      <c r="EP5" s="48" t="str">
        <f aca="false">IF(n_Fecha1="","",EOMONTH(n_Fecha1,141-1))</f>
        <v/>
      </c>
      <c r="EQ5" s="48" t="str">
        <f aca="false">IF(n_Fecha1="","",EOMONTH(n_Fecha1,142-1))</f>
        <v/>
      </c>
      <c r="ER5" s="48" t="str">
        <f aca="false">IF(n_Fecha1="","",EOMONTH(n_Fecha1,143-1))</f>
        <v/>
      </c>
      <c r="ES5" s="48" t="str">
        <f aca="false">IF(n_Fecha1="","",EOMONTH(n_Fecha1,144-1))</f>
        <v/>
      </c>
    </row>
    <row r="6" customFormat="false" ht="15" hidden="false" customHeight="false" outlineLevel="0" collapsed="false">
      <c r="A6" s="2" t="s">
        <v>408</v>
      </c>
      <c r="B6" s="11" t="s">
        <v>331</v>
      </c>
      <c r="F6" s="19" t="n">
        <f aca="false">ROUNDUP(1/12,0)</f>
        <v>1</v>
      </c>
      <c r="G6" s="19" t="n">
        <f aca="false">ROUNDUP(2/12,0)</f>
        <v>1</v>
      </c>
      <c r="H6" s="19" t="n">
        <f aca="false">ROUNDUP(3/12,0)</f>
        <v>1</v>
      </c>
      <c r="I6" s="19" t="n">
        <f aca="false">ROUNDUP(4/12,0)</f>
        <v>1</v>
      </c>
      <c r="J6" s="19" t="n">
        <f aca="false">ROUNDUP(5/12,0)</f>
        <v>1</v>
      </c>
      <c r="K6" s="19" t="n">
        <f aca="false">ROUNDUP(6/12,0)</f>
        <v>1</v>
      </c>
      <c r="L6" s="19" t="n">
        <f aca="false">ROUNDUP(7/12,0)</f>
        <v>1</v>
      </c>
      <c r="M6" s="19" t="n">
        <f aca="false">ROUNDUP(8/12,0)</f>
        <v>1</v>
      </c>
      <c r="N6" s="19" t="n">
        <f aca="false">ROUNDUP(9/12,0)</f>
        <v>1</v>
      </c>
      <c r="O6" s="19" t="n">
        <f aca="false">ROUNDUP(10/12,0)</f>
        <v>1</v>
      </c>
      <c r="P6" s="19" t="n">
        <f aca="false">ROUNDUP(11/12,0)</f>
        <v>1</v>
      </c>
      <c r="Q6" s="19" t="n">
        <f aca="false">ROUNDUP(12/12,0)</f>
        <v>1</v>
      </c>
      <c r="R6" s="19" t="n">
        <f aca="false">ROUNDUP(13/12,0)</f>
        <v>2</v>
      </c>
      <c r="S6" s="19" t="n">
        <f aca="false">ROUNDUP(14/12,0)</f>
        <v>2</v>
      </c>
      <c r="T6" s="19" t="n">
        <f aca="false">ROUNDUP(15/12,0)</f>
        <v>2</v>
      </c>
      <c r="U6" s="19" t="n">
        <f aca="false">ROUNDUP(16/12,0)</f>
        <v>2</v>
      </c>
      <c r="V6" s="19" t="n">
        <f aca="false">ROUNDUP(17/12,0)</f>
        <v>2</v>
      </c>
      <c r="W6" s="19" t="n">
        <f aca="false">ROUNDUP(18/12,0)</f>
        <v>2</v>
      </c>
      <c r="X6" s="19" t="n">
        <f aca="false">ROUNDUP(19/12,0)</f>
        <v>2</v>
      </c>
      <c r="Y6" s="19" t="n">
        <f aca="false">ROUNDUP(20/12,0)</f>
        <v>2</v>
      </c>
      <c r="Z6" s="19" t="n">
        <f aca="false">ROUNDUP(21/12,0)</f>
        <v>2</v>
      </c>
      <c r="AA6" s="19" t="n">
        <f aca="false">ROUNDUP(22/12,0)</f>
        <v>2</v>
      </c>
      <c r="AB6" s="19" t="n">
        <f aca="false">ROUNDUP(23/12,0)</f>
        <v>2</v>
      </c>
      <c r="AC6" s="19" t="n">
        <f aca="false">ROUNDUP(24/12,0)</f>
        <v>2</v>
      </c>
      <c r="AD6" s="19" t="n">
        <f aca="false">ROUNDUP(25/12,0)</f>
        <v>3</v>
      </c>
      <c r="AE6" s="19" t="n">
        <f aca="false">ROUNDUP(26/12,0)</f>
        <v>3</v>
      </c>
      <c r="AF6" s="19" t="n">
        <f aca="false">ROUNDUP(27/12,0)</f>
        <v>3</v>
      </c>
      <c r="AG6" s="19" t="n">
        <f aca="false">ROUNDUP(28/12,0)</f>
        <v>3</v>
      </c>
      <c r="AH6" s="19" t="n">
        <f aca="false">ROUNDUP(29/12,0)</f>
        <v>3</v>
      </c>
      <c r="AI6" s="19" t="n">
        <f aca="false">ROUNDUP(30/12,0)</f>
        <v>3</v>
      </c>
      <c r="AJ6" s="19" t="n">
        <f aca="false">ROUNDUP(31/12,0)</f>
        <v>3</v>
      </c>
      <c r="AK6" s="19" t="n">
        <f aca="false">ROUNDUP(32/12,0)</f>
        <v>3</v>
      </c>
      <c r="AL6" s="19" t="n">
        <f aca="false">ROUNDUP(33/12,0)</f>
        <v>3</v>
      </c>
      <c r="AM6" s="19" t="n">
        <f aca="false">ROUNDUP(34/12,0)</f>
        <v>3</v>
      </c>
      <c r="AN6" s="19" t="n">
        <f aca="false">ROUNDUP(35/12,0)</f>
        <v>3</v>
      </c>
      <c r="AO6" s="19" t="n">
        <f aca="false">ROUNDUP(36/12,0)</f>
        <v>3</v>
      </c>
      <c r="AP6" s="19" t="n">
        <f aca="false">ROUNDUP(37/12,0)</f>
        <v>4</v>
      </c>
      <c r="AQ6" s="19" t="n">
        <f aca="false">ROUNDUP(38/12,0)</f>
        <v>4</v>
      </c>
      <c r="AR6" s="19" t="n">
        <f aca="false">ROUNDUP(39/12,0)</f>
        <v>4</v>
      </c>
      <c r="AS6" s="19" t="n">
        <f aca="false">ROUNDUP(40/12,0)</f>
        <v>4</v>
      </c>
      <c r="AT6" s="19" t="n">
        <f aca="false">ROUNDUP(41/12,0)</f>
        <v>4</v>
      </c>
      <c r="AU6" s="19" t="n">
        <f aca="false">ROUNDUP(42/12,0)</f>
        <v>4</v>
      </c>
      <c r="AV6" s="19" t="n">
        <f aca="false">ROUNDUP(43/12,0)</f>
        <v>4</v>
      </c>
      <c r="AW6" s="19" t="n">
        <f aca="false">ROUNDUP(44/12,0)</f>
        <v>4</v>
      </c>
      <c r="AX6" s="19" t="n">
        <f aca="false">ROUNDUP(45/12,0)</f>
        <v>4</v>
      </c>
      <c r="AY6" s="19" t="n">
        <f aca="false">ROUNDUP(46/12,0)</f>
        <v>4</v>
      </c>
      <c r="AZ6" s="19" t="n">
        <f aca="false">ROUNDUP(47/12,0)</f>
        <v>4</v>
      </c>
      <c r="BA6" s="19" t="n">
        <f aca="false">ROUNDUP(48/12,0)</f>
        <v>4</v>
      </c>
      <c r="BB6" s="19" t="n">
        <f aca="false">ROUNDUP(49/12,0)</f>
        <v>5</v>
      </c>
      <c r="BC6" s="19" t="n">
        <f aca="false">ROUNDUP(50/12,0)</f>
        <v>5</v>
      </c>
      <c r="BD6" s="19" t="n">
        <f aca="false">ROUNDUP(51/12,0)</f>
        <v>5</v>
      </c>
      <c r="BE6" s="19" t="n">
        <f aca="false">ROUNDUP(52/12,0)</f>
        <v>5</v>
      </c>
      <c r="BF6" s="19" t="n">
        <f aca="false">ROUNDUP(53/12,0)</f>
        <v>5</v>
      </c>
      <c r="BG6" s="19" t="n">
        <f aca="false">ROUNDUP(54/12,0)</f>
        <v>5</v>
      </c>
      <c r="BH6" s="19" t="n">
        <f aca="false">ROUNDUP(55/12,0)</f>
        <v>5</v>
      </c>
      <c r="BI6" s="19" t="n">
        <f aca="false">ROUNDUP(56/12,0)</f>
        <v>5</v>
      </c>
      <c r="BJ6" s="19" t="n">
        <f aca="false">ROUNDUP(57/12,0)</f>
        <v>5</v>
      </c>
      <c r="BK6" s="19" t="n">
        <f aca="false">ROUNDUP(58/12,0)</f>
        <v>5</v>
      </c>
      <c r="BL6" s="19" t="n">
        <f aca="false">ROUNDUP(59/12,0)</f>
        <v>5</v>
      </c>
      <c r="BM6" s="19" t="n">
        <f aca="false">ROUNDUP(60/12,0)</f>
        <v>5</v>
      </c>
      <c r="BN6" s="19" t="n">
        <f aca="false">ROUNDUP(61/12,0)</f>
        <v>6</v>
      </c>
      <c r="BO6" s="19" t="n">
        <f aca="false">ROUNDUP(62/12,0)</f>
        <v>6</v>
      </c>
      <c r="BP6" s="19" t="n">
        <f aca="false">ROUNDUP(63/12,0)</f>
        <v>6</v>
      </c>
      <c r="BQ6" s="19" t="n">
        <f aca="false">ROUNDUP(64/12,0)</f>
        <v>6</v>
      </c>
      <c r="BR6" s="19" t="n">
        <f aca="false">ROUNDUP(65/12,0)</f>
        <v>6</v>
      </c>
      <c r="BS6" s="19" t="n">
        <f aca="false">ROUNDUP(66/12,0)</f>
        <v>6</v>
      </c>
      <c r="BT6" s="19" t="n">
        <f aca="false">ROUNDUP(67/12,0)</f>
        <v>6</v>
      </c>
      <c r="BU6" s="19" t="n">
        <f aca="false">ROUNDUP(68/12,0)</f>
        <v>6</v>
      </c>
      <c r="BV6" s="19" t="n">
        <f aca="false">ROUNDUP(69/12,0)</f>
        <v>6</v>
      </c>
      <c r="BW6" s="19" t="n">
        <f aca="false">ROUNDUP(70/12,0)</f>
        <v>6</v>
      </c>
      <c r="BX6" s="19" t="n">
        <f aca="false">ROUNDUP(71/12,0)</f>
        <v>6</v>
      </c>
      <c r="BY6" s="19" t="n">
        <f aca="false">ROUNDUP(72/12,0)</f>
        <v>6</v>
      </c>
      <c r="BZ6" s="19" t="n">
        <f aca="false">ROUNDUP(73/12,0)</f>
        <v>7</v>
      </c>
      <c r="CA6" s="19" t="n">
        <f aca="false">ROUNDUP(74/12,0)</f>
        <v>7</v>
      </c>
      <c r="CB6" s="19" t="n">
        <f aca="false">ROUNDUP(75/12,0)</f>
        <v>7</v>
      </c>
      <c r="CC6" s="19" t="n">
        <f aca="false">ROUNDUP(76/12,0)</f>
        <v>7</v>
      </c>
      <c r="CD6" s="19" t="n">
        <f aca="false">ROUNDUP(77/12,0)</f>
        <v>7</v>
      </c>
      <c r="CE6" s="19" t="n">
        <f aca="false">ROUNDUP(78/12,0)</f>
        <v>7</v>
      </c>
      <c r="CF6" s="19" t="n">
        <f aca="false">ROUNDUP(79/12,0)</f>
        <v>7</v>
      </c>
      <c r="CG6" s="19" t="n">
        <f aca="false">ROUNDUP(80/12,0)</f>
        <v>7</v>
      </c>
      <c r="CH6" s="19" t="n">
        <f aca="false">ROUNDUP(81/12,0)</f>
        <v>7</v>
      </c>
      <c r="CI6" s="19" t="n">
        <f aca="false">ROUNDUP(82/12,0)</f>
        <v>7</v>
      </c>
      <c r="CJ6" s="19" t="n">
        <f aca="false">ROUNDUP(83/12,0)</f>
        <v>7</v>
      </c>
      <c r="CK6" s="19" t="n">
        <f aca="false">ROUNDUP(84/12,0)</f>
        <v>7</v>
      </c>
      <c r="CL6" s="19" t="n">
        <f aca="false">ROUNDUP(85/12,0)</f>
        <v>8</v>
      </c>
      <c r="CM6" s="19" t="n">
        <f aca="false">ROUNDUP(86/12,0)</f>
        <v>8</v>
      </c>
      <c r="CN6" s="19" t="n">
        <f aca="false">ROUNDUP(87/12,0)</f>
        <v>8</v>
      </c>
      <c r="CO6" s="19" t="n">
        <f aca="false">ROUNDUP(88/12,0)</f>
        <v>8</v>
      </c>
      <c r="CP6" s="19" t="n">
        <f aca="false">ROUNDUP(89/12,0)</f>
        <v>8</v>
      </c>
      <c r="CQ6" s="19" t="n">
        <f aca="false">ROUNDUP(90/12,0)</f>
        <v>8</v>
      </c>
      <c r="CR6" s="19" t="n">
        <f aca="false">ROUNDUP(91/12,0)</f>
        <v>8</v>
      </c>
      <c r="CS6" s="19" t="n">
        <f aca="false">ROUNDUP(92/12,0)</f>
        <v>8</v>
      </c>
      <c r="CT6" s="19" t="n">
        <f aca="false">ROUNDUP(93/12,0)</f>
        <v>8</v>
      </c>
      <c r="CU6" s="19" t="n">
        <f aca="false">ROUNDUP(94/12,0)</f>
        <v>8</v>
      </c>
      <c r="CV6" s="19" t="n">
        <f aca="false">ROUNDUP(95/12,0)</f>
        <v>8</v>
      </c>
      <c r="CW6" s="19" t="n">
        <f aca="false">ROUNDUP(96/12,0)</f>
        <v>8</v>
      </c>
      <c r="CX6" s="19" t="n">
        <f aca="false">ROUNDUP(97/12,0)</f>
        <v>9</v>
      </c>
      <c r="CY6" s="19" t="n">
        <f aca="false">ROUNDUP(98/12,0)</f>
        <v>9</v>
      </c>
      <c r="CZ6" s="19" t="n">
        <f aca="false">ROUNDUP(99/12,0)</f>
        <v>9</v>
      </c>
      <c r="DA6" s="19" t="n">
        <f aca="false">ROUNDUP(100/12,0)</f>
        <v>9</v>
      </c>
      <c r="DB6" s="19" t="n">
        <f aca="false">ROUNDUP(101/12,0)</f>
        <v>9</v>
      </c>
      <c r="DC6" s="19" t="n">
        <f aca="false">ROUNDUP(102/12,0)</f>
        <v>9</v>
      </c>
      <c r="DD6" s="19" t="n">
        <f aca="false">ROUNDUP(103/12,0)</f>
        <v>9</v>
      </c>
      <c r="DE6" s="19" t="n">
        <f aca="false">ROUNDUP(104/12,0)</f>
        <v>9</v>
      </c>
      <c r="DF6" s="19" t="n">
        <f aca="false">ROUNDUP(105/12,0)</f>
        <v>9</v>
      </c>
      <c r="DG6" s="19" t="n">
        <f aca="false">ROUNDUP(106/12,0)</f>
        <v>9</v>
      </c>
      <c r="DH6" s="19" t="n">
        <f aca="false">ROUNDUP(107/12,0)</f>
        <v>9</v>
      </c>
      <c r="DI6" s="19" t="n">
        <f aca="false">ROUNDUP(108/12,0)</f>
        <v>9</v>
      </c>
      <c r="DJ6" s="19" t="n">
        <f aca="false">ROUNDUP(109/12,0)</f>
        <v>10</v>
      </c>
      <c r="DK6" s="19" t="n">
        <f aca="false">ROUNDUP(110/12,0)</f>
        <v>10</v>
      </c>
      <c r="DL6" s="19" t="n">
        <f aca="false">ROUNDUP(111/12,0)</f>
        <v>10</v>
      </c>
      <c r="DM6" s="19" t="n">
        <f aca="false">ROUNDUP(112/12,0)</f>
        <v>10</v>
      </c>
      <c r="DN6" s="19" t="n">
        <f aca="false">ROUNDUP(113/12,0)</f>
        <v>10</v>
      </c>
      <c r="DO6" s="19" t="n">
        <f aca="false">ROUNDUP(114/12,0)</f>
        <v>10</v>
      </c>
      <c r="DP6" s="19" t="n">
        <f aca="false">ROUNDUP(115/12,0)</f>
        <v>10</v>
      </c>
      <c r="DQ6" s="19" t="n">
        <f aca="false">ROUNDUP(116/12,0)</f>
        <v>10</v>
      </c>
      <c r="DR6" s="19" t="n">
        <f aca="false">ROUNDUP(117/12,0)</f>
        <v>10</v>
      </c>
      <c r="DS6" s="19" t="n">
        <f aca="false">ROUNDUP(118/12,0)</f>
        <v>10</v>
      </c>
      <c r="DT6" s="19" t="n">
        <f aca="false">ROUNDUP(119/12,0)</f>
        <v>10</v>
      </c>
      <c r="DU6" s="19" t="n">
        <f aca="false">ROUNDUP(120/12,0)</f>
        <v>10</v>
      </c>
      <c r="DV6" s="19" t="n">
        <f aca="false">ROUNDUP(121/12,0)</f>
        <v>11</v>
      </c>
      <c r="DW6" s="19" t="n">
        <f aca="false">ROUNDUP(122/12,0)</f>
        <v>11</v>
      </c>
      <c r="DX6" s="19" t="n">
        <f aca="false">ROUNDUP(123/12,0)</f>
        <v>11</v>
      </c>
      <c r="DY6" s="19" t="n">
        <f aca="false">ROUNDUP(124/12,0)</f>
        <v>11</v>
      </c>
      <c r="DZ6" s="19" t="n">
        <f aca="false">ROUNDUP(125/12,0)</f>
        <v>11</v>
      </c>
      <c r="EA6" s="19" t="n">
        <f aca="false">ROUNDUP(126/12,0)</f>
        <v>11</v>
      </c>
      <c r="EB6" s="19" t="n">
        <f aca="false">ROUNDUP(127/12,0)</f>
        <v>11</v>
      </c>
      <c r="EC6" s="19" t="n">
        <f aca="false">ROUNDUP(128/12,0)</f>
        <v>11</v>
      </c>
      <c r="ED6" s="19" t="n">
        <f aca="false">ROUNDUP(129/12,0)</f>
        <v>11</v>
      </c>
      <c r="EE6" s="19" t="n">
        <f aca="false">ROUNDUP(130/12,0)</f>
        <v>11</v>
      </c>
      <c r="EF6" s="19" t="n">
        <f aca="false">ROUNDUP(131/12,0)</f>
        <v>11</v>
      </c>
      <c r="EG6" s="19" t="n">
        <f aca="false">ROUNDUP(132/12,0)</f>
        <v>11</v>
      </c>
      <c r="EH6" s="19" t="n">
        <f aca="false">ROUNDUP(133/12,0)</f>
        <v>12</v>
      </c>
      <c r="EI6" s="19" t="n">
        <f aca="false">ROUNDUP(134/12,0)</f>
        <v>12</v>
      </c>
      <c r="EJ6" s="19" t="n">
        <f aca="false">ROUNDUP(135/12,0)</f>
        <v>12</v>
      </c>
      <c r="EK6" s="19" t="n">
        <f aca="false">ROUNDUP(136/12,0)</f>
        <v>12</v>
      </c>
      <c r="EL6" s="19" t="n">
        <f aca="false">ROUNDUP(137/12,0)</f>
        <v>12</v>
      </c>
      <c r="EM6" s="19" t="n">
        <f aca="false">ROUNDUP(138/12,0)</f>
        <v>12</v>
      </c>
      <c r="EN6" s="19" t="n">
        <f aca="false">ROUNDUP(139/12,0)</f>
        <v>12</v>
      </c>
      <c r="EO6" s="19" t="n">
        <f aca="false">ROUNDUP(140/12,0)</f>
        <v>12</v>
      </c>
      <c r="EP6" s="19" t="n">
        <f aca="false">ROUNDUP(141/12,0)</f>
        <v>12</v>
      </c>
      <c r="EQ6" s="19" t="n">
        <f aca="false">ROUNDUP(142/12,0)</f>
        <v>12</v>
      </c>
      <c r="ER6" s="19" t="n">
        <f aca="false">ROUNDUP(143/12,0)</f>
        <v>12</v>
      </c>
      <c r="ES6" s="19" t="n">
        <f aca="false">ROUNDUP(144/12,0)</f>
        <v>12</v>
      </c>
    </row>
    <row r="7" customFormat="false" ht="15" hidden="false" customHeight="false" outlineLevel="0" collapsed="false">
      <c r="A7" s="2" t="s">
        <v>89</v>
      </c>
      <c r="B7" s="11" t="s">
        <v>409</v>
      </c>
      <c r="F7" s="19" t="n">
        <f aca="false">MOD(1-1,12)+1</f>
        <v>1</v>
      </c>
      <c r="G7" s="19" t="n">
        <f aca="false">MOD(2-1,12)+1</f>
        <v>2</v>
      </c>
      <c r="H7" s="19" t="n">
        <f aca="false">MOD(3-1,12)+1</f>
        <v>3</v>
      </c>
      <c r="I7" s="19" t="n">
        <f aca="false">MOD(4-1,12)+1</f>
        <v>4</v>
      </c>
      <c r="J7" s="19" t="n">
        <f aca="false">MOD(5-1,12)+1</f>
        <v>5</v>
      </c>
      <c r="K7" s="19" t="n">
        <f aca="false">MOD(6-1,12)+1</f>
        <v>6</v>
      </c>
      <c r="L7" s="19" t="n">
        <f aca="false">MOD(7-1,12)+1</f>
        <v>7</v>
      </c>
      <c r="M7" s="19" t="n">
        <f aca="false">MOD(8-1,12)+1</f>
        <v>8</v>
      </c>
      <c r="N7" s="19" t="n">
        <f aca="false">MOD(9-1,12)+1</f>
        <v>9</v>
      </c>
      <c r="O7" s="19" t="n">
        <f aca="false">MOD(10-1,12)+1</f>
        <v>10</v>
      </c>
      <c r="P7" s="19" t="n">
        <f aca="false">MOD(11-1,12)+1</f>
        <v>11</v>
      </c>
      <c r="Q7" s="19" t="n">
        <f aca="false">MOD(12-1,12)+1</f>
        <v>12</v>
      </c>
      <c r="R7" s="19" t="n">
        <f aca="false">MOD(13-1,12)+1</f>
        <v>1</v>
      </c>
      <c r="S7" s="19" t="n">
        <f aca="false">MOD(14-1,12)+1</f>
        <v>2</v>
      </c>
      <c r="T7" s="19" t="n">
        <f aca="false">MOD(15-1,12)+1</f>
        <v>3</v>
      </c>
      <c r="U7" s="19" t="n">
        <f aca="false">MOD(16-1,12)+1</f>
        <v>4</v>
      </c>
      <c r="V7" s="19" t="n">
        <f aca="false">MOD(17-1,12)+1</f>
        <v>5</v>
      </c>
      <c r="W7" s="19" t="n">
        <f aca="false">MOD(18-1,12)+1</f>
        <v>6</v>
      </c>
      <c r="X7" s="19" t="n">
        <f aca="false">MOD(19-1,12)+1</f>
        <v>7</v>
      </c>
      <c r="Y7" s="19" t="n">
        <f aca="false">MOD(20-1,12)+1</f>
        <v>8</v>
      </c>
      <c r="Z7" s="19" t="n">
        <f aca="false">MOD(21-1,12)+1</f>
        <v>9</v>
      </c>
      <c r="AA7" s="19" t="n">
        <f aca="false">MOD(22-1,12)+1</f>
        <v>10</v>
      </c>
      <c r="AB7" s="19" t="n">
        <f aca="false">MOD(23-1,12)+1</f>
        <v>11</v>
      </c>
      <c r="AC7" s="19" t="n">
        <f aca="false">MOD(24-1,12)+1</f>
        <v>12</v>
      </c>
      <c r="AD7" s="19" t="n">
        <f aca="false">MOD(25-1,12)+1</f>
        <v>1</v>
      </c>
      <c r="AE7" s="19" t="n">
        <f aca="false">MOD(26-1,12)+1</f>
        <v>2</v>
      </c>
      <c r="AF7" s="19" t="n">
        <f aca="false">MOD(27-1,12)+1</f>
        <v>3</v>
      </c>
      <c r="AG7" s="19" t="n">
        <f aca="false">MOD(28-1,12)+1</f>
        <v>4</v>
      </c>
      <c r="AH7" s="19" t="n">
        <f aca="false">MOD(29-1,12)+1</f>
        <v>5</v>
      </c>
      <c r="AI7" s="19" t="n">
        <f aca="false">MOD(30-1,12)+1</f>
        <v>6</v>
      </c>
      <c r="AJ7" s="19" t="n">
        <f aca="false">MOD(31-1,12)+1</f>
        <v>7</v>
      </c>
      <c r="AK7" s="19" t="n">
        <f aca="false">MOD(32-1,12)+1</f>
        <v>8</v>
      </c>
      <c r="AL7" s="19" t="n">
        <f aca="false">MOD(33-1,12)+1</f>
        <v>9</v>
      </c>
      <c r="AM7" s="19" t="n">
        <f aca="false">MOD(34-1,12)+1</f>
        <v>10</v>
      </c>
      <c r="AN7" s="19" t="n">
        <f aca="false">MOD(35-1,12)+1</f>
        <v>11</v>
      </c>
      <c r="AO7" s="19" t="n">
        <f aca="false">MOD(36-1,12)+1</f>
        <v>12</v>
      </c>
      <c r="AP7" s="19" t="n">
        <f aca="false">MOD(37-1,12)+1</f>
        <v>1</v>
      </c>
      <c r="AQ7" s="19" t="n">
        <f aca="false">MOD(38-1,12)+1</f>
        <v>2</v>
      </c>
      <c r="AR7" s="19" t="n">
        <f aca="false">MOD(39-1,12)+1</f>
        <v>3</v>
      </c>
      <c r="AS7" s="19" t="n">
        <f aca="false">MOD(40-1,12)+1</f>
        <v>4</v>
      </c>
      <c r="AT7" s="19" t="n">
        <f aca="false">MOD(41-1,12)+1</f>
        <v>5</v>
      </c>
      <c r="AU7" s="19" t="n">
        <f aca="false">MOD(42-1,12)+1</f>
        <v>6</v>
      </c>
      <c r="AV7" s="19" t="n">
        <f aca="false">MOD(43-1,12)+1</f>
        <v>7</v>
      </c>
      <c r="AW7" s="19" t="n">
        <f aca="false">MOD(44-1,12)+1</f>
        <v>8</v>
      </c>
      <c r="AX7" s="19" t="n">
        <f aca="false">MOD(45-1,12)+1</f>
        <v>9</v>
      </c>
      <c r="AY7" s="19" t="n">
        <f aca="false">MOD(46-1,12)+1</f>
        <v>10</v>
      </c>
      <c r="AZ7" s="19" t="n">
        <f aca="false">MOD(47-1,12)+1</f>
        <v>11</v>
      </c>
      <c r="BA7" s="19" t="n">
        <f aca="false">MOD(48-1,12)+1</f>
        <v>12</v>
      </c>
      <c r="BB7" s="19" t="n">
        <f aca="false">MOD(49-1,12)+1</f>
        <v>1</v>
      </c>
      <c r="BC7" s="19" t="n">
        <f aca="false">MOD(50-1,12)+1</f>
        <v>2</v>
      </c>
      <c r="BD7" s="19" t="n">
        <f aca="false">MOD(51-1,12)+1</f>
        <v>3</v>
      </c>
      <c r="BE7" s="19" t="n">
        <f aca="false">MOD(52-1,12)+1</f>
        <v>4</v>
      </c>
      <c r="BF7" s="19" t="n">
        <f aca="false">MOD(53-1,12)+1</f>
        <v>5</v>
      </c>
      <c r="BG7" s="19" t="n">
        <f aca="false">MOD(54-1,12)+1</f>
        <v>6</v>
      </c>
      <c r="BH7" s="19" t="n">
        <f aca="false">MOD(55-1,12)+1</f>
        <v>7</v>
      </c>
      <c r="BI7" s="19" t="n">
        <f aca="false">MOD(56-1,12)+1</f>
        <v>8</v>
      </c>
      <c r="BJ7" s="19" t="n">
        <f aca="false">MOD(57-1,12)+1</f>
        <v>9</v>
      </c>
      <c r="BK7" s="19" t="n">
        <f aca="false">MOD(58-1,12)+1</f>
        <v>10</v>
      </c>
      <c r="BL7" s="19" t="n">
        <f aca="false">MOD(59-1,12)+1</f>
        <v>11</v>
      </c>
      <c r="BM7" s="19" t="n">
        <f aca="false">MOD(60-1,12)+1</f>
        <v>12</v>
      </c>
      <c r="BN7" s="19" t="n">
        <f aca="false">MOD(61-1,12)+1</f>
        <v>1</v>
      </c>
      <c r="BO7" s="19" t="n">
        <f aca="false">MOD(62-1,12)+1</f>
        <v>2</v>
      </c>
      <c r="BP7" s="19" t="n">
        <f aca="false">MOD(63-1,12)+1</f>
        <v>3</v>
      </c>
      <c r="BQ7" s="19" t="n">
        <f aca="false">MOD(64-1,12)+1</f>
        <v>4</v>
      </c>
      <c r="BR7" s="19" t="n">
        <f aca="false">MOD(65-1,12)+1</f>
        <v>5</v>
      </c>
      <c r="BS7" s="19" t="n">
        <f aca="false">MOD(66-1,12)+1</f>
        <v>6</v>
      </c>
      <c r="BT7" s="19" t="n">
        <f aca="false">MOD(67-1,12)+1</f>
        <v>7</v>
      </c>
      <c r="BU7" s="19" t="n">
        <f aca="false">MOD(68-1,12)+1</f>
        <v>8</v>
      </c>
      <c r="BV7" s="19" t="n">
        <f aca="false">MOD(69-1,12)+1</f>
        <v>9</v>
      </c>
      <c r="BW7" s="19" t="n">
        <f aca="false">MOD(70-1,12)+1</f>
        <v>10</v>
      </c>
      <c r="BX7" s="19" t="n">
        <f aca="false">MOD(71-1,12)+1</f>
        <v>11</v>
      </c>
      <c r="BY7" s="19" t="n">
        <f aca="false">MOD(72-1,12)+1</f>
        <v>12</v>
      </c>
      <c r="BZ7" s="19" t="n">
        <f aca="false">MOD(73-1,12)+1</f>
        <v>1</v>
      </c>
      <c r="CA7" s="19" t="n">
        <f aca="false">MOD(74-1,12)+1</f>
        <v>2</v>
      </c>
      <c r="CB7" s="19" t="n">
        <f aca="false">MOD(75-1,12)+1</f>
        <v>3</v>
      </c>
      <c r="CC7" s="19" t="n">
        <f aca="false">MOD(76-1,12)+1</f>
        <v>4</v>
      </c>
      <c r="CD7" s="19" t="n">
        <f aca="false">MOD(77-1,12)+1</f>
        <v>5</v>
      </c>
      <c r="CE7" s="19" t="n">
        <f aca="false">MOD(78-1,12)+1</f>
        <v>6</v>
      </c>
      <c r="CF7" s="19" t="n">
        <f aca="false">MOD(79-1,12)+1</f>
        <v>7</v>
      </c>
      <c r="CG7" s="19" t="n">
        <f aca="false">MOD(80-1,12)+1</f>
        <v>8</v>
      </c>
      <c r="CH7" s="19" t="n">
        <f aca="false">MOD(81-1,12)+1</f>
        <v>9</v>
      </c>
      <c r="CI7" s="19" t="n">
        <f aca="false">MOD(82-1,12)+1</f>
        <v>10</v>
      </c>
      <c r="CJ7" s="19" t="n">
        <f aca="false">MOD(83-1,12)+1</f>
        <v>11</v>
      </c>
      <c r="CK7" s="19" t="n">
        <f aca="false">MOD(84-1,12)+1</f>
        <v>12</v>
      </c>
      <c r="CL7" s="19" t="n">
        <f aca="false">MOD(85-1,12)+1</f>
        <v>1</v>
      </c>
      <c r="CM7" s="19" t="n">
        <f aca="false">MOD(86-1,12)+1</f>
        <v>2</v>
      </c>
      <c r="CN7" s="19" t="n">
        <f aca="false">MOD(87-1,12)+1</f>
        <v>3</v>
      </c>
      <c r="CO7" s="19" t="n">
        <f aca="false">MOD(88-1,12)+1</f>
        <v>4</v>
      </c>
      <c r="CP7" s="19" t="n">
        <f aca="false">MOD(89-1,12)+1</f>
        <v>5</v>
      </c>
      <c r="CQ7" s="19" t="n">
        <f aca="false">MOD(90-1,12)+1</f>
        <v>6</v>
      </c>
      <c r="CR7" s="19" t="n">
        <f aca="false">MOD(91-1,12)+1</f>
        <v>7</v>
      </c>
      <c r="CS7" s="19" t="n">
        <f aca="false">MOD(92-1,12)+1</f>
        <v>8</v>
      </c>
      <c r="CT7" s="19" t="n">
        <f aca="false">MOD(93-1,12)+1</f>
        <v>9</v>
      </c>
      <c r="CU7" s="19" t="n">
        <f aca="false">MOD(94-1,12)+1</f>
        <v>10</v>
      </c>
      <c r="CV7" s="19" t="n">
        <f aca="false">MOD(95-1,12)+1</f>
        <v>11</v>
      </c>
      <c r="CW7" s="19" t="n">
        <f aca="false">MOD(96-1,12)+1</f>
        <v>12</v>
      </c>
      <c r="CX7" s="19" t="n">
        <f aca="false">MOD(97-1,12)+1</f>
        <v>1</v>
      </c>
      <c r="CY7" s="19" t="n">
        <f aca="false">MOD(98-1,12)+1</f>
        <v>2</v>
      </c>
      <c r="CZ7" s="19" t="n">
        <f aca="false">MOD(99-1,12)+1</f>
        <v>3</v>
      </c>
      <c r="DA7" s="19" t="n">
        <f aca="false">MOD(100-1,12)+1</f>
        <v>4</v>
      </c>
      <c r="DB7" s="19" t="n">
        <f aca="false">MOD(101-1,12)+1</f>
        <v>5</v>
      </c>
      <c r="DC7" s="19" t="n">
        <f aca="false">MOD(102-1,12)+1</f>
        <v>6</v>
      </c>
      <c r="DD7" s="19" t="n">
        <f aca="false">MOD(103-1,12)+1</f>
        <v>7</v>
      </c>
      <c r="DE7" s="19" t="n">
        <f aca="false">MOD(104-1,12)+1</f>
        <v>8</v>
      </c>
      <c r="DF7" s="19" t="n">
        <f aca="false">MOD(105-1,12)+1</f>
        <v>9</v>
      </c>
      <c r="DG7" s="19" t="n">
        <f aca="false">MOD(106-1,12)+1</f>
        <v>10</v>
      </c>
      <c r="DH7" s="19" t="n">
        <f aca="false">MOD(107-1,12)+1</f>
        <v>11</v>
      </c>
      <c r="DI7" s="19" t="n">
        <f aca="false">MOD(108-1,12)+1</f>
        <v>12</v>
      </c>
      <c r="DJ7" s="19" t="n">
        <f aca="false">MOD(109-1,12)+1</f>
        <v>1</v>
      </c>
      <c r="DK7" s="19" t="n">
        <f aca="false">MOD(110-1,12)+1</f>
        <v>2</v>
      </c>
      <c r="DL7" s="19" t="n">
        <f aca="false">MOD(111-1,12)+1</f>
        <v>3</v>
      </c>
      <c r="DM7" s="19" t="n">
        <f aca="false">MOD(112-1,12)+1</f>
        <v>4</v>
      </c>
      <c r="DN7" s="19" t="n">
        <f aca="false">MOD(113-1,12)+1</f>
        <v>5</v>
      </c>
      <c r="DO7" s="19" t="n">
        <f aca="false">MOD(114-1,12)+1</f>
        <v>6</v>
      </c>
      <c r="DP7" s="19" t="n">
        <f aca="false">MOD(115-1,12)+1</f>
        <v>7</v>
      </c>
      <c r="DQ7" s="19" t="n">
        <f aca="false">MOD(116-1,12)+1</f>
        <v>8</v>
      </c>
      <c r="DR7" s="19" t="n">
        <f aca="false">MOD(117-1,12)+1</f>
        <v>9</v>
      </c>
      <c r="DS7" s="19" t="n">
        <f aca="false">MOD(118-1,12)+1</f>
        <v>10</v>
      </c>
      <c r="DT7" s="19" t="n">
        <f aca="false">MOD(119-1,12)+1</f>
        <v>11</v>
      </c>
      <c r="DU7" s="19" t="n">
        <f aca="false">MOD(120-1,12)+1</f>
        <v>12</v>
      </c>
      <c r="DV7" s="19" t="n">
        <f aca="false">MOD(121-1,12)+1</f>
        <v>1</v>
      </c>
      <c r="DW7" s="19" t="n">
        <f aca="false">MOD(122-1,12)+1</f>
        <v>2</v>
      </c>
      <c r="DX7" s="19" t="n">
        <f aca="false">MOD(123-1,12)+1</f>
        <v>3</v>
      </c>
      <c r="DY7" s="19" t="n">
        <f aca="false">MOD(124-1,12)+1</f>
        <v>4</v>
      </c>
      <c r="DZ7" s="19" t="n">
        <f aca="false">MOD(125-1,12)+1</f>
        <v>5</v>
      </c>
      <c r="EA7" s="19" t="n">
        <f aca="false">MOD(126-1,12)+1</f>
        <v>6</v>
      </c>
      <c r="EB7" s="19" t="n">
        <f aca="false">MOD(127-1,12)+1</f>
        <v>7</v>
      </c>
      <c r="EC7" s="19" t="n">
        <f aca="false">MOD(128-1,12)+1</f>
        <v>8</v>
      </c>
      <c r="ED7" s="19" t="n">
        <f aca="false">MOD(129-1,12)+1</f>
        <v>9</v>
      </c>
      <c r="EE7" s="19" t="n">
        <f aca="false">MOD(130-1,12)+1</f>
        <v>10</v>
      </c>
      <c r="EF7" s="19" t="n">
        <f aca="false">MOD(131-1,12)+1</f>
        <v>11</v>
      </c>
      <c r="EG7" s="19" t="n">
        <f aca="false">MOD(132-1,12)+1</f>
        <v>12</v>
      </c>
      <c r="EH7" s="19" t="n">
        <f aca="false">MOD(133-1,12)+1</f>
        <v>1</v>
      </c>
      <c r="EI7" s="19" t="n">
        <f aca="false">MOD(134-1,12)+1</f>
        <v>2</v>
      </c>
      <c r="EJ7" s="19" t="n">
        <f aca="false">MOD(135-1,12)+1</f>
        <v>3</v>
      </c>
      <c r="EK7" s="19" t="n">
        <f aca="false">MOD(136-1,12)+1</f>
        <v>4</v>
      </c>
      <c r="EL7" s="19" t="n">
        <f aca="false">MOD(137-1,12)+1</f>
        <v>5</v>
      </c>
      <c r="EM7" s="19" t="n">
        <f aca="false">MOD(138-1,12)+1</f>
        <v>6</v>
      </c>
      <c r="EN7" s="19" t="n">
        <f aca="false">MOD(139-1,12)+1</f>
        <v>7</v>
      </c>
      <c r="EO7" s="19" t="n">
        <f aca="false">MOD(140-1,12)+1</f>
        <v>8</v>
      </c>
      <c r="EP7" s="19" t="n">
        <f aca="false">MOD(141-1,12)+1</f>
        <v>9</v>
      </c>
      <c r="EQ7" s="19" t="n">
        <f aca="false">MOD(142-1,12)+1</f>
        <v>10</v>
      </c>
      <c r="ER7" s="19" t="n">
        <f aca="false">MOD(143-1,12)+1</f>
        <v>11</v>
      </c>
      <c r="ES7" s="19" t="n">
        <f aca="false">MOD(144-1,12)+1</f>
        <v>12</v>
      </c>
    </row>
    <row r="8" customFormat="false" ht="15" hidden="false" customHeight="false" outlineLevel="0" collapsed="false">
      <c r="A8" s="2" t="s">
        <v>410</v>
      </c>
      <c r="B8" s="11" t="s">
        <v>411</v>
      </c>
      <c r="F8" s="19" t="n">
        <f aca="false">IF(1&lt;=Corte,1,0)</f>
        <v>0</v>
      </c>
      <c r="G8" s="19" t="n">
        <f aca="false">IF(2&lt;=Corte,1,0)</f>
        <v>0</v>
      </c>
      <c r="H8" s="19" t="n">
        <f aca="false">IF(3&lt;=Corte,1,0)</f>
        <v>0</v>
      </c>
      <c r="I8" s="19" t="n">
        <f aca="false">IF(4&lt;=Corte,1,0)</f>
        <v>0</v>
      </c>
      <c r="J8" s="19" t="n">
        <f aca="false">IF(5&lt;=Corte,1,0)</f>
        <v>0</v>
      </c>
      <c r="K8" s="19" t="n">
        <f aca="false">IF(6&lt;=Corte,1,0)</f>
        <v>0</v>
      </c>
      <c r="L8" s="19" t="n">
        <f aca="false">IF(7&lt;=Corte,1,0)</f>
        <v>0</v>
      </c>
      <c r="M8" s="19" t="n">
        <f aca="false">IF(8&lt;=Corte,1,0)</f>
        <v>0</v>
      </c>
      <c r="N8" s="19" t="n">
        <f aca="false">IF(9&lt;=Corte,1,0)</f>
        <v>0</v>
      </c>
      <c r="O8" s="19" t="n">
        <f aca="false">IF(10&lt;=Corte,1,0)</f>
        <v>0</v>
      </c>
      <c r="P8" s="19" t="n">
        <f aca="false">IF(11&lt;=Corte,1,0)</f>
        <v>0</v>
      </c>
      <c r="Q8" s="19" t="n">
        <f aca="false">IF(12&lt;=Corte,1,0)</f>
        <v>0</v>
      </c>
      <c r="R8" s="19" t="n">
        <f aca="false">IF(13&lt;=Corte,1,0)</f>
        <v>0</v>
      </c>
      <c r="S8" s="19" t="n">
        <f aca="false">IF(14&lt;=Corte,1,0)</f>
        <v>0</v>
      </c>
      <c r="T8" s="19" t="n">
        <f aca="false">IF(15&lt;=Corte,1,0)</f>
        <v>0</v>
      </c>
      <c r="U8" s="19" t="n">
        <f aca="false">IF(16&lt;=Corte,1,0)</f>
        <v>0</v>
      </c>
      <c r="V8" s="19" t="n">
        <f aca="false">IF(17&lt;=Corte,1,0)</f>
        <v>0</v>
      </c>
      <c r="W8" s="19" t="n">
        <f aca="false">IF(18&lt;=Corte,1,0)</f>
        <v>0</v>
      </c>
      <c r="X8" s="19" t="n">
        <f aca="false">IF(19&lt;=Corte,1,0)</f>
        <v>0</v>
      </c>
      <c r="Y8" s="19" t="n">
        <f aca="false">IF(20&lt;=Corte,1,0)</f>
        <v>0</v>
      </c>
      <c r="Z8" s="19" t="n">
        <f aca="false">IF(21&lt;=Corte,1,0)</f>
        <v>0</v>
      </c>
      <c r="AA8" s="19" t="n">
        <f aca="false">IF(22&lt;=Corte,1,0)</f>
        <v>0</v>
      </c>
      <c r="AB8" s="19" t="n">
        <f aca="false">IF(23&lt;=Corte,1,0)</f>
        <v>0</v>
      </c>
      <c r="AC8" s="19" t="n">
        <f aca="false">IF(24&lt;=Corte,1,0)</f>
        <v>0</v>
      </c>
      <c r="AD8" s="19" t="n">
        <f aca="false">IF(25&lt;=Corte,1,0)</f>
        <v>0</v>
      </c>
      <c r="AE8" s="19" t="n">
        <f aca="false">IF(26&lt;=Corte,1,0)</f>
        <v>0</v>
      </c>
      <c r="AF8" s="19" t="n">
        <f aca="false">IF(27&lt;=Corte,1,0)</f>
        <v>0</v>
      </c>
      <c r="AG8" s="19" t="n">
        <f aca="false">IF(28&lt;=Corte,1,0)</f>
        <v>0</v>
      </c>
      <c r="AH8" s="19" t="n">
        <f aca="false">IF(29&lt;=Corte,1,0)</f>
        <v>0</v>
      </c>
      <c r="AI8" s="19" t="n">
        <f aca="false">IF(30&lt;=Corte,1,0)</f>
        <v>0</v>
      </c>
      <c r="AJ8" s="19" t="n">
        <f aca="false">IF(31&lt;=Corte,1,0)</f>
        <v>0</v>
      </c>
      <c r="AK8" s="19" t="n">
        <f aca="false">IF(32&lt;=Corte,1,0)</f>
        <v>0</v>
      </c>
      <c r="AL8" s="19" t="n">
        <f aca="false">IF(33&lt;=Corte,1,0)</f>
        <v>0</v>
      </c>
      <c r="AM8" s="19" t="n">
        <f aca="false">IF(34&lt;=Corte,1,0)</f>
        <v>0</v>
      </c>
      <c r="AN8" s="19" t="n">
        <f aca="false">IF(35&lt;=Corte,1,0)</f>
        <v>0</v>
      </c>
      <c r="AO8" s="19" t="n">
        <f aca="false">IF(36&lt;=Corte,1,0)</f>
        <v>0</v>
      </c>
      <c r="AP8" s="19" t="n">
        <f aca="false">IF(37&lt;=Corte,1,0)</f>
        <v>0</v>
      </c>
      <c r="AQ8" s="19" t="n">
        <f aca="false">IF(38&lt;=Corte,1,0)</f>
        <v>0</v>
      </c>
      <c r="AR8" s="19" t="n">
        <f aca="false">IF(39&lt;=Corte,1,0)</f>
        <v>0</v>
      </c>
      <c r="AS8" s="19" t="n">
        <f aca="false">IF(40&lt;=Corte,1,0)</f>
        <v>0</v>
      </c>
      <c r="AT8" s="19" t="n">
        <f aca="false">IF(41&lt;=Corte,1,0)</f>
        <v>0</v>
      </c>
      <c r="AU8" s="19" t="n">
        <f aca="false">IF(42&lt;=Corte,1,0)</f>
        <v>0</v>
      </c>
      <c r="AV8" s="19" t="n">
        <f aca="false">IF(43&lt;=Corte,1,0)</f>
        <v>0</v>
      </c>
      <c r="AW8" s="19" t="n">
        <f aca="false">IF(44&lt;=Corte,1,0)</f>
        <v>0</v>
      </c>
      <c r="AX8" s="19" t="n">
        <f aca="false">IF(45&lt;=Corte,1,0)</f>
        <v>0</v>
      </c>
      <c r="AY8" s="19" t="n">
        <f aca="false">IF(46&lt;=Corte,1,0)</f>
        <v>0</v>
      </c>
      <c r="AZ8" s="19" t="n">
        <f aca="false">IF(47&lt;=Corte,1,0)</f>
        <v>0</v>
      </c>
      <c r="BA8" s="19" t="n">
        <f aca="false">IF(48&lt;=Corte,1,0)</f>
        <v>0</v>
      </c>
      <c r="BB8" s="19" t="n">
        <f aca="false">IF(49&lt;=Corte,1,0)</f>
        <v>0</v>
      </c>
      <c r="BC8" s="19" t="n">
        <f aca="false">IF(50&lt;=Corte,1,0)</f>
        <v>0</v>
      </c>
      <c r="BD8" s="19" t="n">
        <f aca="false">IF(51&lt;=Corte,1,0)</f>
        <v>0</v>
      </c>
      <c r="BE8" s="19" t="n">
        <f aca="false">IF(52&lt;=Corte,1,0)</f>
        <v>0</v>
      </c>
      <c r="BF8" s="19" t="n">
        <f aca="false">IF(53&lt;=Corte,1,0)</f>
        <v>0</v>
      </c>
      <c r="BG8" s="19" t="n">
        <f aca="false">IF(54&lt;=Corte,1,0)</f>
        <v>0</v>
      </c>
      <c r="BH8" s="19" t="n">
        <f aca="false">IF(55&lt;=Corte,1,0)</f>
        <v>0</v>
      </c>
      <c r="BI8" s="19" t="n">
        <f aca="false">IF(56&lt;=Corte,1,0)</f>
        <v>0</v>
      </c>
      <c r="BJ8" s="19" t="n">
        <f aca="false">IF(57&lt;=Corte,1,0)</f>
        <v>0</v>
      </c>
      <c r="BK8" s="19" t="n">
        <f aca="false">IF(58&lt;=Corte,1,0)</f>
        <v>0</v>
      </c>
      <c r="BL8" s="19" t="n">
        <f aca="false">IF(59&lt;=Corte,1,0)</f>
        <v>0</v>
      </c>
      <c r="BM8" s="19" t="n">
        <f aca="false">IF(60&lt;=Corte,1,0)</f>
        <v>0</v>
      </c>
      <c r="BN8" s="19" t="n">
        <f aca="false">IF(61&lt;=Corte,1,0)</f>
        <v>0</v>
      </c>
      <c r="BO8" s="19" t="n">
        <f aca="false">IF(62&lt;=Corte,1,0)</f>
        <v>0</v>
      </c>
      <c r="BP8" s="19" t="n">
        <f aca="false">IF(63&lt;=Corte,1,0)</f>
        <v>0</v>
      </c>
      <c r="BQ8" s="19" t="n">
        <f aca="false">IF(64&lt;=Corte,1,0)</f>
        <v>0</v>
      </c>
      <c r="BR8" s="19" t="n">
        <f aca="false">IF(65&lt;=Corte,1,0)</f>
        <v>0</v>
      </c>
      <c r="BS8" s="19" t="n">
        <f aca="false">IF(66&lt;=Corte,1,0)</f>
        <v>0</v>
      </c>
      <c r="BT8" s="19" t="n">
        <f aca="false">IF(67&lt;=Corte,1,0)</f>
        <v>0</v>
      </c>
      <c r="BU8" s="19" t="n">
        <f aca="false">IF(68&lt;=Corte,1,0)</f>
        <v>0</v>
      </c>
      <c r="BV8" s="19" t="n">
        <f aca="false">IF(69&lt;=Corte,1,0)</f>
        <v>0</v>
      </c>
      <c r="BW8" s="19" t="n">
        <f aca="false">IF(70&lt;=Corte,1,0)</f>
        <v>0</v>
      </c>
      <c r="BX8" s="19" t="n">
        <f aca="false">IF(71&lt;=Corte,1,0)</f>
        <v>0</v>
      </c>
      <c r="BY8" s="19" t="n">
        <f aca="false">IF(72&lt;=Corte,1,0)</f>
        <v>0</v>
      </c>
      <c r="BZ8" s="19" t="n">
        <f aca="false">IF(73&lt;=Corte,1,0)</f>
        <v>0</v>
      </c>
      <c r="CA8" s="19" t="n">
        <f aca="false">IF(74&lt;=Corte,1,0)</f>
        <v>0</v>
      </c>
      <c r="CB8" s="19" t="n">
        <f aca="false">IF(75&lt;=Corte,1,0)</f>
        <v>0</v>
      </c>
      <c r="CC8" s="19" t="n">
        <f aca="false">IF(76&lt;=Corte,1,0)</f>
        <v>0</v>
      </c>
      <c r="CD8" s="19" t="n">
        <f aca="false">IF(77&lt;=Corte,1,0)</f>
        <v>0</v>
      </c>
      <c r="CE8" s="19" t="n">
        <f aca="false">IF(78&lt;=Corte,1,0)</f>
        <v>0</v>
      </c>
      <c r="CF8" s="19" t="n">
        <f aca="false">IF(79&lt;=Corte,1,0)</f>
        <v>0</v>
      </c>
      <c r="CG8" s="19" t="n">
        <f aca="false">IF(80&lt;=Corte,1,0)</f>
        <v>0</v>
      </c>
      <c r="CH8" s="19" t="n">
        <f aca="false">IF(81&lt;=Corte,1,0)</f>
        <v>0</v>
      </c>
      <c r="CI8" s="19" t="n">
        <f aca="false">IF(82&lt;=Corte,1,0)</f>
        <v>0</v>
      </c>
      <c r="CJ8" s="19" t="n">
        <f aca="false">IF(83&lt;=Corte,1,0)</f>
        <v>0</v>
      </c>
      <c r="CK8" s="19" t="n">
        <f aca="false">IF(84&lt;=Corte,1,0)</f>
        <v>0</v>
      </c>
      <c r="CL8" s="19" t="n">
        <f aca="false">IF(85&lt;=Corte,1,0)</f>
        <v>0</v>
      </c>
      <c r="CM8" s="19" t="n">
        <f aca="false">IF(86&lt;=Corte,1,0)</f>
        <v>0</v>
      </c>
      <c r="CN8" s="19" t="n">
        <f aca="false">IF(87&lt;=Corte,1,0)</f>
        <v>0</v>
      </c>
      <c r="CO8" s="19" t="n">
        <f aca="false">IF(88&lt;=Corte,1,0)</f>
        <v>0</v>
      </c>
      <c r="CP8" s="19" t="n">
        <f aca="false">IF(89&lt;=Corte,1,0)</f>
        <v>0</v>
      </c>
      <c r="CQ8" s="19" t="n">
        <f aca="false">IF(90&lt;=Corte,1,0)</f>
        <v>0</v>
      </c>
      <c r="CR8" s="19" t="n">
        <f aca="false">IF(91&lt;=Corte,1,0)</f>
        <v>0</v>
      </c>
      <c r="CS8" s="19" t="n">
        <f aca="false">IF(92&lt;=Corte,1,0)</f>
        <v>0</v>
      </c>
      <c r="CT8" s="19" t="n">
        <f aca="false">IF(93&lt;=Corte,1,0)</f>
        <v>0</v>
      </c>
      <c r="CU8" s="19" t="n">
        <f aca="false">IF(94&lt;=Corte,1,0)</f>
        <v>0</v>
      </c>
      <c r="CV8" s="19" t="n">
        <f aca="false">IF(95&lt;=Corte,1,0)</f>
        <v>0</v>
      </c>
      <c r="CW8" s="19" t="n">
        <f aca="false">IF(96&lt;=Corte,1,0)</f>
        <v>0</v>
      </c>
      <c r="CX8" s="19" t="n">
        <f aca="false">IF(97&lt;=Corte,1,0)</f>
        <v>0</v>
      </c>
      <c r="CY8" s="19" t="n">
        <f aca="false">IF(98&lt;=Corte,1,0)</f>
        <v>0</v>
      </c>
      <c r="CZ8" s="19" t="n">
        <f aca="false">IF(99&lt;=Corte,1,0)</f>
        <v>0</v>
      </c>
      <c r="DA8" s="19" t="n">
        <f aca="false">IF(100&lt;=Corte,1,0)</f>
        <v>0</v>
      </c>
      <c r="DB8" s="19" t="n">
        <f aca="false">IF(101&lt;=Corte,1,0)</f>
        <v>0</v>
      </c>
      <c r="DC8" s="19" t="n">
        <f aca="false">IF(102&lt;=Corte,1,0)</f>
        <v>0</v>
      </c>
      <c r="DD8" s="19" t="n">
        <f aca="false">IF(103&lt;=Corte,1,0)</f>
        <v>0</v>
      </c>
      <c r="DE8" s="19" t="n">
        <f aca="false">IF(104&lt;=Corte,1,0)</f>
        <v>0</v>
      </c>
      <c r="DF8" s="19" t="n">
        <f aca="false">IF(105&lt;=Corte,1,0)</f>
        <v>0</v>
      </c>
      <c r="DG8" s="19" t="n">
        <f aca="false">IF(106&lt;=Corte,1,0)</f>
        <v>0</v>
      </c>
      <c r="DH8" s="19" t="n">
        <f aca="false">IF(107&lt;=Corte,1,0)</f>
        <v>0</v>
      </c>
      <c r="DI8" s="19" t="n">
        <f aca="false">IF(108&lt;=Corte,1,0)</f>
        <v>0</v>
      </c>
      <c r="DJ8" s="19" t="n">
        <f aca="false">IF(109&lt;=Corte,1,0)</f>
        <v>0</v>
      </c>
      <c r="DK8" s="19" t="n">
        <f aca="false">IF(110&lt;=Corte,1,0)</f>
        <v>0</v>
      </c>
      <c r="DL8" s="19" t="n">
        <f aca="false">IF(111&lt;=Corte,1,0)</f>
        <v>0</v>
      </c>
      <c r="DM8" s="19" t="n">
        <f aca="false">IF(112&lt;=Corte,1,0)</f>
        <v>0</v>
      </c>
      <c r="DN8" s="19" t="n">
        <f aca="false">IF(113&lt;=Corte,1,0)</f>
        <v>0</v>
      </c>
      <c r="DO8" s="19" t="n">
        <f aca="false">IF(114&lt;=Corte,1,0)</f>
        <v>0</v>
      </c>
      <c r="DP8" s="19" t="n">
        <f aca="false">IF(115&lt;=Corte,1,0)</f>
        <v>0</v>
      </c>
      <c r="DQ8" s="19" t="n">
        <f aca="false">IF(116&lt;=Corte,1,0)</f>
        <v>0</v>
      </c>
      <c r="DR8" s="19" t="n">
        <f aca="false">IF(117&lt;=Corte,1,0)</f>
        <v>0</v>
      </c>
      <c r="DS8" s="19" t="n">
        <f aca="false">IF(118&lt;=Corte,1,0)</f>
        <v>0</v>
      </c>
      <c r="DT8" s="19" t="n">
        <f aca="false">IF(119&lt;=Corte,1,0)</f>
        <v>0</v>
      </c>
      <c r="DU8" s="19" t="n">
        <f aca="false">IF(120&lt;=Corte,1,0)</f>
        <v>0</v>
      </c>
      <c r="DV8" s="19" t="n">
        <f aca="false">IF(121&lt;=Corte,1,0)</f>
        <v>0</v>
      </c>
      <c r="DW8" s="19" t="n">
        <f aca="false">IF(122&lt;=Corte,1,0)</f>
        <v>0</v>
      </c>
      <c r="DX8" s="19" t="n">
        <f aca="false">IF(123&lt;=Corte,1,0)</f>
        <v>0</v>
      </c>
      <c r="DY8" s="19" t="n">
        <f aca="false">IF(124&lt;=Corte,1,0)</f>
        <v>0</v>
      </c>
      <c r="DZ8" s="19" t="n">
        <f aca="false">IF(125&lt;=Corte,1,0)</f>
        <v>0</v>
      </c>
      <c r="EA8" s="19" t="n">
        <f aca="false">IF(126&lt;=Corte,1,0)</f>
        <v>0</v>
      </c>
      <c r="EB8" s="19" t="n">
        <f aca="false">IF(127&lt;=Corte,1,0)</f>
        <v>0</v>
      </c>
      <c r="EC8" s="19" t="n">
        <f aca="false">IF(128&lt;=Corte,1,0)</f>
        <v>0</v>
      </c>
      <c r="ED8" s="19" t="n">
        <f aca="false">IF(129&lt;=Corte,1,0)</f>
        <v>0</v>
      </c>
      <c r="EE8" s="19" t="n">
        <f aca="false">IF(130&lt;=Corte,1,0)</f>
        <v>0</v>
      </c>
      <c r="EF8" s="19" t="n">
        <f aca="false">IF(131&lt;=Corte,1,0)</f>
        <v>0</v>
      </c>
      <c r="EG8" s="19" t="n">
        <f aca="false">IF(132&lt;=Corte,1,0)</f>
        <v>0</v>
      </c>
      <c r="EH8" s="19" t="n">
        <f aca="false">IF(133&lt;=Corte,1,0)</f>
        <v>0</v>
      </c>
      <c r="EI8" s="19" t="n">
        <f aca="false">IF(134&lt;=Corte,1,0)</f>
        <v>0</v>
      </c>
      <c r="EJ8" s="19" t="n">
        <f aca="false">IF(135&lt;=Corte,1,0)</f>
        <v>0</v>
      </c>
      <c r="EK8" s="19" t="n">
        <f aca="false">IF(136&lt;=Corte,1,0)</f>
        <v>0</v>
      </c>
      <c r="EL8" s="19" t="n">
        <f aca="false">IF(137&lt;=Corte,1,0)</f>
        <v>0</v>
      </c>
      <c r="EM8" s="19" t="n">
        <f aca="false">IF(138&lt;=Corte,1,0)</f>
        <v>0</v>
      </c>
      <c r="EN8" s="19" t="n">
        <f aca="false">IF(139&lt;=Corte,1,0)</f>
        <v>0</v>
      </c>
      <c r="EO8" s="19" t="n">
        <f aca="false">IF(140&lt;=Corte,1,0)</f>
        <v>0</v>
      </c>
      <c r="EP8" s="19" t="n">
        <f aca="false">IF(141&lt;=Corte,1,0)</f>
        <v>0</v>
      </c>
      <c r="EQ8" s="19" t="n">
        <f aca="false">IF(142&lt;=Corte,1,0)</f>
        <v>0</v>
      </c>
      <c r="ER8" s="19" t="n">
        <f aca="false">IF(143&lt;=Corte,1,0)</f>
        <v>0</v>
      </c>
      <c r="ES8" s="19" t="n">
        <f aca="false">IF(144&lt;=Corte,1,0)</f>
        <v>0</v>
      </c>
    </row>
    <row r="9" customFormat="false" ht="15" hidden="false" customHeight="false" outlineLevel="0" collapsed="false">
      <c r="A9" s="2" t="s">
        <v>412</v>
      </c>
      <c r="B9" s="11" t="s">
        <v>413</v>
      </c>
      <c r="F9" s="19" t="n">
        <f aca="false">IF(1&lt;=Fin,1,0)</f>
        <v>1</v>
      </c>
      <c r="G9" s="19" t="n">
        <f aca="false">IF(2&lt;=Fin,1,0)</f>
        <v>1</v>
      </c>
      <c r="H9" s="19" t="n">
        <f aca="false">IF(3&lt;=Fin,1,0)</f>
        <v>1</v>
      </c>
      <c r="I9" s="19" t="n">
        <f aca="false">IF(4&lt;=Fin,1,0)</f>
        <v>1</v>
      </c>
      <c r="J9" s="19" t="n">
        <f aca="false">IF(5&lt;=Fin,1,0)</f>
        <v>1</v>
      </c>
      <c r="K9" s="19" t="n">
        <f aca="false">IF(6&lt;=Fin,1,0)</f>
        <v>1</v>
      </c>
      <c r="L9" s="19" t="n">
        <f aca="false">IF(7&lt;=Fin,1,0)</f>
        <v>1</v>
      </c>
      <c r="M9" s="19" t="n">
        <f aca="false">IF(8&lt;=Fin,1,0)</f>
        <v>1</v>
      </c>
      <c r="N9" s="19" t="n">
        <f aca="false">IF(9&lt;=Fin,1,0)</f>
        <v>1</v>
      </c>
      <c r="O9" s="19" t="n">
        <f aca="false">IF(10&lt;=Fin,1,0)</f>
        <v>1</v>
      </c>
      <c r="P9" s="19" t="n">
        <f aca="false">IF(11&lt;=Fin,1,0)</f>
        <v>1</v>
      </c>
      <c r="Q9" s="19" t="n">
        <f aca="false">IF(12&lt;=Fin,1,0)</f>
        <v>1</v>
      </c>
      <c r="R9" s="19" t="n">
        <f aca="false">IF(13&lt;=Fin,1,0)</f>
        <v>1</v>
      </c>
      <c r="S9" s="19" t="n">
        <f aca="false">IF(14&lt;=Fin,1,0)</f>
        <v>1</v>
      </c>
      <c r="T9" s="19" t="n">
        <f aca="false">IF(15&lt;=Fin,1,0)</f>
        <v>1</v>
      </c>
      <c r="U9" s="19" t="n">
        <f aca="false">IF(16&lt;=Fin,1,0)</f>
        <v>1</v>
      </c>
      <c r="V9" s="19" t="n">
        <f aca="false">IF(17&lt;=Fin,1,0)</f>
        <v>1</v>
      </c>
      <c r="W9" s="19" t="n">
        <f aca="false">IF(18&lt;=Fin,1,0)</f>
        <v>1</v>
      </c>
      <c r="X9" s="19" t="n">
        <f aca="false">IF(19&lt;=Fin,1,0)</f>
        <v>1</v>
      </c>
      <c r="Y9" s="19" t="n">
        <f aca="false">IF(20&lt;=Fin,1,0)</f>
        <v>1</v>
      </c>
      <c r="Z9" s="19" t="n">
        <f aca="false">IF(21&lt;=Fin,1,0)</f>
        <v>1</v>
      </c>
      <c r="AA9" s="19" t="n">
        <f aca="false">IF(22&lt;=Fin,1,0)</f>
        <v>1</v>
      </c>
      <c r="AB9" s="19" t="n">
        <f aca="false">IF(23&lt;=Fin,1,0)</f>
        <v>1</v>
      </c>
      <c r="AC9" s="19" t="n">
        <f aca="false">IF(24&lt;=Fin,1,0)</f>
        <v>1</v>
      </c>
      <c r="AD9" s="19" t="n">
        <f aca="false">IF(25&lt;=Fin,1,0)</f>
        <v>1</v>
      </c>
      <c r="AE9" s="19" t="n">
        <f aca="false">IF(26&lt;=Fin,1,0)</f>
        <v>1</v>
      </c>
      <c r="AF9" s="19" t="n">
        <f aca="false">IF(27&lt;=Fin,1,0)</f>
        <v>1</v>
      </c>
      <c r="AG9" s="19" t="n">
        <f aca="false">IF(28&lt;=Fin,1,0)</f>
        <v>1</v>
      </c>
      <c r="AH9" s="19" t="n">
        <f aca="false">IF(29&lt;=Fin,1,0)</f>
        <v>1</v>
      </c>
      <c r="AI9" s="19" t="n">
        <f aca="false">IF(30&lt;=Fin,1,0)</f>
        <v>1</v>
      </c>
      <c r="AJ9" s="19" t="n">
        <f aca="false">IF(31&lt;=Fin,1,0)</f>
        <v>1</v>
      </c>
      <c r="AK9" s="19" t="n">
        <f aca="false">IF(32&lt;=Fin,1,0)</f>
        <v>1</v>
      </c>
      <c r="AL9" s="19" t="n">
        <f aca="false">IF(33&lt;=Fin,1,0)</f>
        <v>1</v>
      </c>
      <c r="AM9" s="19" t="n">
        <f aca="false">IF(34&lt;=Fin,1,0)</f>
        <v>1</v>
      </c>
      <c r="AN9" s="19" t="n">
        <f aca="false">IF(35&lt;=Fin,1,0)</f>
        <v>1</v>
      </c>
      <c r="AO9" s="19" t="n">
        <f aca="false">IF(36&lt;=Fin,1,0)</f>
        <v>1</v>
      </c>
      <c r="AP9" s="19" t="n">
        <f aca="false">IF(37&lt;=Fin,1,0)</f>
        <v>1</v>
      </c>
      <c r="AQ9" s="19" t="n">
        <f aca="false">IF(38&lt;=Fin,1,0)</f>
        <v>1</v>
      </c>
      <c r="AR9" s="19" t="n">
        <f aca="false">IF(39&lt;=Fin,1,0)</f>
        <v>1</v>
      </c>
      <c r="AS9" s="19" t="n">
        <f aca="false">IF(40&lt;=Fin,1,0)</f>
        <v>1</v>
      </c>
      <c r="AT9" s="19" t="n">
        <f aca="false">IF(41&lt;=Fin,1,0)</f>
        <v>1</v>
      </c>
      <c r="AU9" s="19" t="n">
        <f aca="false">IF(42&lt;=Fin,1,0)</f>
        <v>1</v>
      </c>
      <c r="AV9" s="19" t="n">
        <f aca="false">IF(43&lt;=Fin,1,0)</f>
        <v>1</v>
      </c>
      <c r="AW9" s="19" t="n">
        <f aca="false">IF(44&lt;=Fin,1,0)</f>
        <v>1</v>
      </c>
      <c r="AX9" s="19" t="n">
        <f aca="false">IF(45&lt;=Fin,1,0)</f>
        <v>1</v>
      </c>
      <c r="AY9" s="19" t="n">
        <f aca="false">IF(46&lt;=Fin,1,0)</f>
        <v>1</v>
      </c>
      <c r="AZ9" s="19" t="n">
        <f aca="false">IF(47&lt;=Fin,1,0)</f>
        <v>1</v>
      </c>
      <c r="BA9" s="19" t="n">
        <f aca="false">IF(48&lt;=Fin,1,0)</f>
        <v>1</v>
      </c>
      <c r="BB9" s="19" t="n">
        <f aca="false">IF(49&lt;=Fin,1,0)</f>
        <v>1</v>
      </c>
      <c r="BC9" s="19" t="n">
        <f aca="false">IF(50&lt;=Fin,1,0)</f>
        <v>1</v>
      </c>
      <c r="BD9" s="19" t="n">
        <f aca="false">IF(51&lt;=Fin,1,0)</f>
        <v>1</v>
      </c>
      <c r="BE9" s="19" t="n">
        <f aca="false">IF(52&lt;=Fin,1,0)</f>
        <v>1</v>
      </c>
      <c r="BF9" s="19" t="n">
        <f aca="false">IF(53&lt;=Fin,1,0)</f>
        <v>1</v>
      </c>
      <c r="BG9" s="19" t="n">
        <f aca="false">IF(54&lt;=Fin,1,0)</f>
        <v>1</v>
      </c>
      <c r="BH9" s="19" t="n">
        <f aca="false">IF(55&lt;=Fin,1,0)</f>
        <v>1</v>
      </c>
      <c r="BI9" s="19" t="n">
        <f aca="false">IF(56&lt;=Fin,1,0)</f>
        <v>1</v>
      </c>
      <c r="BJ9" s="19" t="n">
        <f aca="false">IF(57&lt;=Fin,1,0)</f>
        <v>1</v>
      </c>
      <c r="BK9" s="19" t="n">
        <f aca="false">IF(58&lt;=Fin,1,0)</f>
        <v>1</v>
      </c>
      <c r="BL9" s="19" t="n">
        <f aca="false">IF(59&lt;=Fin,1,0)</f>
        <v>1</v>
      </c>
      <c r="BM9" s="19" t="n">
        <f aca="false">IF(60&lt;=Fin,1,0)</f>
        <v>1</v>
      </c>
      <c r="BN9" s="19" t="n">
        <f aca="false">IF(61&lt;=Fin,1,0)</f>
        <v>1</v>
      </c>
      <c r="BO9" s="19" t="n">
        <f aca="false">IF(62&lt;=Fin,1,0)</f>
        <v>1</v>
      </c>
      <c r="BP9" s="19" t="n">
        <f aca="false">IF(63&lt;=Fin,1,0)</f>
        <v>1</v>
      </c>
      <c r="BQ9" s="19" t="n">
        <f aca="false">IF(64&lt;=Fin,1,0)</f>
        <v>1</v>
      </c>
      <c r="BR9" s="19" t="n">
        <f aca="false">IF(65&lt;=Fin,1,0)</f>
        <v>1</v>
      </c>
      <c r="BS9" s="19" t="n">
        <f aca="false">IF(66&lt;=Fin,1,0)</f>
        <v>1</v>
      </c>
      <c r="BT9" s="19" t="n">
        <f aca="false">IF(67&lt;=Fin,1,0)</f>
        <v>1</v>
      </c>
      <c r="BU9" s="19" t="n">
        <f aca="false">IF(68&lt;=Fin,1,0)</f>
        <v>1</v>
      </c>
      <c r="BV9" s="19" t="n">
        <f aca="false">IF(69&lt;=Fin,1,0)</f>
        <v>1</v>
      </c>
      <c r="BW9" s="19" t="n">
        <f aca="false">IF(70&lt;=Fin,1,0)</f>
        <v>1</v>
      </c>
      <c r="BX9" s="19" t="n">
        <f aca="false">IF(71&lt;=Fin,1,0)</f>
        <v>1</v>
      </c>
      <c r="BY9" s="19" t="n">
        <f aca="false">IF(72&lt;=Fin,1,0)</f>
        <v>1</v>
      </c>
      <c r="BZ9" s="19" t="n">
        <f aca="false">IF(73&lt;=Fin,1,0)</f>
        <v>1</v>
      </c>
      <c r="CA9" s="19" t="n">
        <f aca="false">IF(74&lt;=Fin,1,0)</f>
        <v>1</v>
      </c>
      <c r="CB9" s="19" t="n">
        <f aca="false">IF(75&lt;=Fin,1,0)</f>
        <v>1</v>
      </c>
      <c r="CC9" s="19" t="n">
        <f aca="false">IF(76&lt;=Fin,1,0)</f>
        <v>1</v>
      </c>
      <c r="CD9" s="19" t="n">
        <f aca="false">IF(77&lt;=Fin,1,0)</f>
        <v>1</v>
      </c>
      <c r="CE9" s="19" t="n">
        <f aca="false">IF(78&lt;=Fin,1,0)</f>
        <v>1</v>
      </c>
      <c r="CF9" s="19" t="n">
        <f aca="false">IF(79&lt;=Fin,1,0)</f>
        <v>1</v>
      </c>
      <c r="CG9" s="19" t="n">
        <f aca="false">IF(80&lt;=Fin,1,0)</f>
        <v>1</v>
      </c>
      <c r="CH9" s="19" t="n">
        <f aca="false">IF(81&lt;=Fin,1,0)</f>
        <v>1</v>
      </c>
      <c r="CI9" s="19" t="n">
        <f aca="false">IF(82&lt;=Fin,1,0)</f>
        <v>1</v>
      </c>
      <c r="CJ9" s="19" t="n">
        <f aca="false">IF(83&lt;=Fin,1,0)</f>
        <v>1</v>
      </c>
      <c r="CK9" s="19" t="n">
        <f aca="false">IF(84&lt;=Fin,1,0)</f>
        <v>1</v>
      </c>
      <c r="CL9" s="19" t="n">
        <f aca="false">IF(85&lt;=Fin,1,0)</f>
        <v>1</v>
      </c>
      <c r="CM9" s="19" t="n">
        <f aca="false">IF(86&lt;=Fin,1,0)</f>
        <v>1</v>
      </c>
      <c r="CN9" s="19" t="n">
        <f aca="false">IF(87&lt;=Fin,1,0)</f>
        <v>1</v>
      </c>
      <c r="CO9" s="19" t="n">
        <f aca="false">IF(88&lt;=Fin,1,0)</f>
        <v>1</v>
      </c>
      <c r="CP9" s="19" t="n">
        <f aca="false">IF(89&lt;=Fin,1,0)</f>
        <v>1</v>
      </c>
      <c r="CQ9" s="19" t="n">
        <f aca="false">IF(90&lt;=Fin,1,0)</f>
        <v>1</v>
      </c>
      <c r="CR9" s="19" t="n">
        <f aca="false">IF(91&lt;=Fin,1,0)</f>
        <v>1</v>
      </c>
      <c r="CS9" s="19" t="n">
        <f aca="false">IF(92&lt;=Fin,1,0)</f>
        <v>1</v>
      </c>
      <c r="CT9" s="19" t="n">
        <f aca="false">IF(93&lt;=Fin,1,0)</f>
        <v>1</v>
      </c>
      <c r="CU9" s="19" t="n">
        <f aca="false">IF(94&lt;=Fin,1,0)</f>
        <v>1</v>
      </c>
      <c r="CV9" s="19" t="n">
        <f aca="false">IF(95&lt;=Fin,1,0)</f>
        <v>1</v>
      </c>
      <c r="CW9" s="19" t="n">
        <f aca="false">IF(96&lt;=Fin,1,0)</f>
        <v>1</v>
      </c>
      <c r="CX9" s="19" t="n">
        <f aca="false">IF(97&lt;=Fin,1,0)</f>
        <v>1</v>
      </c>
      <c r="CY9" s="19" t="n">
        <f aca="false">IF(98&lt;=Fin,1,0)</f>
        <v>1</v>
      </c>
      <c r="CZ9" s="19" t="n">
        <f aca="false">IF(99&lt;=Fin,1,0)</f>
        <v>1</v>
      </c>
      <c r="DA9" s="19" t="n">
        <f aca="false">IF(100&lt;=Fin,1,0)</f>
        <v>1</v>
      </c>
      <c r="DB9" s="19" t="n">
        <f aca="false">IF(101&lt;=Fin,1,0)</f>
        <v>1</v>
      </c>
      <c r="DC9" s="19" t="n">
        <f aca="false">IF(102&lt;=Fin,1,0)</f>
        <v>1</v>
      </c>
      <c r="DD9" s="19" t="n">
        <f aca="false">IF(103&lt;=Fin,1,0)</f>
        <v>1</v>
      </c>
      <c r="DE9" s="19" t="n">
        <f aca="false">IF(104&lt;=Fin,1,0)</f>
        <v>1</v>
      </c>
      <c r="DF9" s="19" t="n">
        <f aca="false">IF(105&lt;=Fin,1,0)</f>
        <v>1</v>
      </c>
      <c r="DG9" s="19" t="n">
        <f aca="false">IF(106&lt;=Fin,1,0)</f>
        <v>1</v>
      </c>
      <c r="DH9" s="19" t="n">
        <f aca="false">IF(107&lt;=Fin,1,0)</f>
        <v>1</v>
      </c>
      <c r="DI9" s="19" t="n">
        <f aca="false">IF(108&lt;=Fin,1,0)</f>
        <v>1</v>
      </c>
      <c r="DJ9" s="19" t="n">
        <f aca="false">IF(109&lt;=Fin,1,0)</f>
        <v>1</v>
      </c>
      <c r="DK9" s="19" t="n">
        <f aca="false">IF(110&lt;=Fin,1,0)</f>
        <v>1</v>
      </c>
      <c r="DL9" s="19" t="n">
        <f aca="false">IF(111&lt;=Fin,1,0)</f>
        <v>1</v>
      </c>
      <c r="DM9" s="19" t="n">
        <f aca="false">IF(112&lt;=Fin,1,0)</f>
        <v>1</v>
      </c>
      <c r="DN9" s="19" t="n">
        <f aca="false">IF(113&lt;=Fin,1,0)</f>
        <v>1</v>
      </c>
      <c r="DO9" s="19" t="n">
        <f aca="false">IF(114&lt;=Fin,1,0)</f>
        <v>1</v>
      </c>
      <c r="DP9" s="19" t="n">
        <f aca="false">IF(115&lt;=Fin,1,0)</f>
        <v>1</v>
      </c>
      <c r="DQ9" s="19" t="n">
        <f aca="false">IF(116&lt;=Fin,1,0)</f>
        <v>1</v>
      </c>
      <c r="DR9" s="19" t="n">
        <f aca="false">IF(117&lt;=Fin,1,0)</f>
        <v>1</v>
      </c>
      <c r="DS9" s="19" t="n">
        <f aca="false">IF(118&lt;=Fin,1,0)</f>
        <v>1</v>
      </c>
      <c r="DT9" s="19" t="n">
        <f aca="false">IF(119&lt;=Fin,1,0)</f>
        <v>1</v>
      </c>
      <c r="DU9" s="19" t="n">
        <f aca="false">IF(120&lt;=Fin,1,0)</f>
        <v>1</v>
      </c>
      <c r="DV9" s="19" t="n">
        <f aca="false">IF(121&lt;=Fin,1,0)</f>
        <v>0</v>
      </c>
      <c r="DW9" s="19" t="n">
        <f aca="false">IF(122&lt;=Fin,1,0)</f>
        <v>0</v>
      </c>
      <c r="DX9" s="19" t="n">
        <f aca="false">IF(123&lt;=Fin,1,0)</f>
        <v>0</v>
      </c>
      <c r="DY9" s="19" t="n">
        <f aca="false">IF(124&lt;=Fin,1,0)</f>
        <v>0</v>
      </c>
      <c r="DZ9" s="19" t="n">
        <f aca="false">IF(125&lt;=Fin,1,0)</f>
        <v>0</v>
      </c>
      <c r="EA9" s="19" t="n">
        <f aca="false">IF(126&lt;=Fin,1,0)</f>
        <v>0</v>
      </c>
      <c r="EB9" s="19" t="n">
        <f aca="false">IF(127&lt;=Fin,1,0)</f>
        <v>0</v>
      </c>
      <c r="EC9" s="19" t="n">
        <f aca="false">IF(128&lt;=Fin,1,0)</f>
        <v>0</v>
      </c>
      <c r="ED9" s="19" t="n">
        <f aca="false">IF(129&lt;=Fin,1,0)</f>
        <v>0</v>
      </c>
      <c r="EE9" s="19" t="n">
        <f aca="false">IF(130&lt;=Fin,1,0)</f>
        <v>0</v>
      </c>
      <c r="EF9" s="19" t="n">
        <f aca="false">IF(131&lt;=Fin,1,0)</f>
        <v>0</v>
      </c>
      <c r="EG9" s="19" t="n">
        <f aca="false">IF(132&lt;=Fin,1,0)</f>
        <v>0</v>
      </c>
      <c r="EH9" s="19" t="n">
        <f aca="false">IF(133&lt;=Fin,1,0)</f>
        <v>0</v>
      </c>
      <c r="EI9" s="19" t="n">
        <f aca="false">IF(134&lt;=Fin,1,0)</f>
        <v>0</v>
      </c>
      <c r="EJ9" s="19" t="n">
        <f aca="false">IF(135&lt;=Fin,1,0)</f>
        <v>0</v>
      </c>
      <c r="EK9" s="19" t="n">
        <f aca="false">IF(136&lt;=Fin,1,0)</f>
        <v>0</v>
      </c>
      <c r="EL9" s="19" t="n">
        <f aca="false">IF(137&lt;=Fin,1,0)</f>
        <v>0</v>
      </c>
      <c r="EM9" s="19" t="n">
        <f aca="false">IF(138&lt;=Fin,1,0)</f>
        <v>0</v>
      </c>
      <c r="EN9" s="19" t="n">
        <f aca="false">IF(139&lt;=Fin,1,0)</f>
        <v>0</v>
      </c>
      <c r="EO9" s="19" t="n">
        <f aca="false">IF(140&lt;=Fin,1,0)</f>
        <v>0</v>
      </c>
      <c r="EP9" s="19" t="n">
        <f aca="false">IF(141&lt;=Fin,1,0)</f>
        <v>0</v>
      </c>
      <c r="EQ9" s="19" t="n">
        <f aca="false">IF(142&lt;=Fin,1,0)</f>
        <v>0</v>
      </c>
      <c r="ER9" s="19" t="n">
        <f aca="false">IF(143&lt;=Fin,1,0)</f>
        <v>0</v>
      </c>
      <c r="ES9" s="19" t="n">
        <f aca="false">IF(144&lt;=Fin,1,0)</f>
        <v>0</v>
      </c>
    </row>
    <row r="10" customFormat="false" ht="15" hidden="false" customHeight="false" outlineLevel="0" collapsed="false">
      <c r="A10" s="2" t="s">
        <v>414</v>
      </c>
      <c r="B10" s="11" t="s">
        <v>415</v>
      </c>
      <c r="F10" s="34" t="n">
        <f aca="false">IF(N(Reales!F10)&gt;0,Reales!F10,INDEX(TC_V,1,MIN(10,F$6)))</f>
        <v>0</v>
      </c>
      <c r="G10" s="34" t="n">
        <f aca="false">IF(N(Reales!G10)&gt;0,Reales!G10,INDEX(TC_V,1,MIN(10,G$6)))</f>
        <v>0</v>
      </c>
      <c r="H10" s="34" t="n">
        <f aca="false">IF(N(Reales!H10)&gt;0,Reales!H10,INDEX(TC_V,1,MIN(10,H$6)))</f>
        <v>0</v>
      </c>
      <c r="I10" s="34" t="n">
        <f aca="false">IF(N(Reales!I10)&gt;0,Reales!I10,INDEX(TC_V,1,MIN(10,I$6)))</f>
        <v>0</v>
      </c>
      <c r="J10" s="34" t="n">
        <f aca="false">IF(N(Reales!J10)&gt;0,Reales!J10,INDEX(TC_V,1,MIN(10,J$6)))</f>
        <v>0</v>
      </c>
      <c r="K10" s="34" t="n">
        <f aca="false">IF(N(Reales!K10)&gt;0,Reales!K10,INDEX(TC_V,1,MIN(10,K$6)))</f>
        <v>0</v>
      </c>
      <c r="L10" s="34" t="n">
        <f aca="false">IF(N(Reales!L10)&gt;0,Reales!L10,INDEX(TC_V,1,MIN(10,L$6)))</f>
        <v>0</v>
      </c>
      <c r="M10" s="34" t="n">
        <f aca="false">IF(N(Reales!M10)&gt;0,Reales!M10,INDEX(TC_V,1,MIN(10,M$6)))</f>
        <v>0</v>
      </c>
      <c r="N10" s="34" t="n">
        <f aca="false">IF(N(Reales!N10)&gt;0,Reales!N10,INDEX(TC_V,1,MIN(10,N$6)))</f>
        <v>0</v>
      </c>
      <c r="O10" s="34" t="n">
        <f aca="false">IF(N(Reales!O10)&gt;0,Reales!O10,INDEX(TC_V,1,MIN(10,O$6)))</f>
        <v>0</v>
      </c>
      <c r="P10" s="34" t="n">
        <f aca="false">IF(N(Reales!P10)&gt;0,Reales!P10,INDEX(TC_V,1,MIN(10,P$6)))</f>
        <v>0</v>
      </c>
      <c r="Q10" s="34" t="n">
        <f aca="false">IF(N(Reales!Q10)&gt;0,Reales!Q10,INDEX(TC_V,1,MIN(10,Q$6)))</f>
        <v>0</v>
      </c>
      <c r="R10" s="34" t="n">
        <f aca="false">IF(N(Reales!R10)&gt;0,Reales!R10,INDEX(TC_V,1,MIN(10,R$6)))</f>
        <v>0</v>
      </c>
      <c r="S10" s="34" t="n">
        <f aca="false">IF(N(Reales!S10)&gt;0,Reales!S10,INDEX(TC_V,1,MIN(10,S$6)))</f>
        <v>0</v>
      </c>
      <c r="T10" s="34" t="n">
        <f aca="false">IF(N(Reales!T10)&gt;0,Reales!T10,INDEX(TC_V,1,MIN(10,T$6)))</f>
        <v>0</v>
      </c>
      <c r="U10" s="34" t="n">
        <f aca="false">IF(N(Reales!U10)&gt;0,Reales!U10,INDEX(TC_V,1,MIN(10,U$6)))</f>
        <v>0</v>
      </c>
      <c r="V10" s="34" t="n">
        <f aca="false">IF(N(Reales!V10)&gt;0,Reales!V10,INDEX(TC_V,1,MIN(10,V$6)))</f>
        <v>0</v>
      </c>
      <c r="W10" s="34" t="n">
        <f aca="false">IF(N(Reales!W10)&gt;0,Reales!W10,INDEX(TC_V,1,MIN(10,W$6)))</f>
        <v>0</v>
      </c>
      <c r="X10" s="34" t="n">
        <f aca="false">IF(N(Reales!X10)&gt;0,Reales!X10,INDEX(TC_V,1,MIN(10,X$6)))</f>
        <v>0</v>
      </c>
      <c r="Y10" s="34" t="n">
        <f aca="false">IF(N(Reales!Y10)&gt;0,Reales!Y10,INDEX(TC_V,1,MIN(10,Y$6)))</f>
        <v>0</v>
      </c>
      <c r="Z10" s="34" t="n">
        <f aca="false">IF(N(Reales!Z10)&gt;0,Reales!Z10,INDEX(TC_V,1,MIN(10,Z$6)))</f>
        <v>0</v>
      </c>
      <c r="AA10" s="34" t="n">
        <f aca="false">IF(N(Reales!AA10)&gt;0,Reales!AA10,INDEX(TC_V,1,MIN(10,AA$6)))</f>
        <v>0</v>
      </c>
      <c r="AB10" s="34" t="n">
        <f aca="false">IF(N(Reales!AB10)&gt;0,Reales!AB10,INDEX(TC_V,1,MIN(10,AB$6)))</f>
        <v>0</v>
      </c>
      <c r="AC10" s="34" t="n">
        <f aca="false">IF(N(Reales!AC10)&gt;0,Reales!AC10,INDEX(TC_V,1,MIN(10,AC$6)))</f>
        <v>0</v>
      </c>
      <c r="AD10" s="34" t="n">
        <f aca="false">IF(N(Reales!AD10)&gt;0,Reales!AD10,INDEX(TC_V,1,MIN(10,AD$6)))</f>
        <v>0</v>
      </c>
      <c r="AE10" s="34" t="n">
        <f aca="false">IF(N(Reales!AE10)&gt;0,Reales!AE10,INDEX(TC_V,1,MIN(10,AE$6)))</f>
        <v>0</v>
      </c>
      <c r="AF10" s="34" t="n">
        <f aca="false">IF(N(Reales!AF10)&gt;0,Reales!AF10,INDEX(TC_V,1,MIN(10,AF$6)))</f>
        <v>0</v>
      </c>
      <c r="AG10" s="34" t="n">
        <f aca="false">IF(N(Reales!AG10)&gt;0,Reales!AG10,INDEX(TC_V,1,MIN(10,AG$6)))</f>
        <v>0</v>
      </c>
      <c r="AH10" s="34" t="n">
        <f aca="false">IF(N(Reales!AH10)&gt;0,Reales!AH10,INDEX(TC_V,1,MIN(10,AH$6)))</f>
        <v>0</v>
      </c>
      <c r="AI10" s="34" t="n">
        <f aca="false">IF(N(Reales!AI10)&gt;0,Reales!AI10,INDEX(TC_V,1,MIN(10,AI$6)))</f>
        <v>0</v>
      </c>
      <c r="AJ10" s="34" t="n">
        <f aca="false">IF(N(Reales!AJ10)&gt;0,Reales!AJ10,INDEX(TC_V,1,MIN(10,AJ$6)))</f>
        <v>0</v>
      </c>
      <c r="AK10" s="34" t="n">
        <f aca="false">IF(N(Reales!AK10)&gt;0,Reales!AK10,INDEX(TC_V,1,MIN(10,AK$6)))</f>
        <v>0</v>
      </c>
      <c r="AL10" s="34" t="n">
        <f aca="false">IF(N(Reales!AL10)&gt;0,Reales!AL10,INDEX(TC_V,1,MIN(10,AL$6)))</f>
        <v>0</v>
      </c>
      <c r="AM10" s="34" t="n">
        <f aca="false">IF(N(Reales!AM10)&gt;0,Reales!AM10,INDEX(TC_V,1,MIN(10,AM$6)))</f>
        <v>0</v>
      </c>
      <c r="AN10" s="34" t="n">
        <f aca="false">IF(N(Reales!AN10)&gt;0,Reales!AN10,INDEX(TC_V,1,MIN(10,AN$6)))</f>
        <v>0</v>
      </c>
      <c r="AO10" s="34" t="n">
        <f aca="false">IF(N(Reales!AO10)&gt;0,Reales!AO10,INDEX(TC_V,1,MIN(10,AO$6)))</f>
        <v>0</v>
      </c>
      <c r="AP10" s="34" t="n">
        <f aca="false">IF(N(Reales!AP10)&gt;0,Reales!AP10,INDEX(TC_V,1,MIN(10,AP$6)))</f>
        <v>0</v>
      </c>
      <c r="AQ10" s="34" t="n">
        <f aca="false">IF(N(Reales!AQ10)&gt;0,Reales!AQ10,INDEX(TC_V,1,MIN(10,AQ$6)))</f>
        <v>0</v>
      </c>
      <c r="AR10" s="34" t="n">
        <f aca="false">IF(N(Reales!AR10)&gt;0,Reales!AR10,INDEX(TC_V,1,MIN(10,AR$6)))</f>
        <v>0</v>
      </c>
      <c r="AS10" s="34" t="n">
        <f aca="false">IF(N(Reales!AS10)&gt;0,Reales!AS10,INDEX(TC_V,1,MIN(10,AS$6)))</f>
        <v>0</v>
      </c>
      <c r="AT10" s="34" t="n">
        <f aca="false">IF(N(Reales!AT10)&gt;0,Reales!AT10,INDEX(TC_V,1,MIN(10,AT$6)))</f>
        <v>0</v>
      </c>
      <c r="AU10" s="34" t="n">
        <f aca="false">IF(N(Reales!AU10)&gt;0,Reales!AU10,INDEX(TC_V,1,MIN(10,AU$6)))</f>
        <v>0</v>
      </c>
      <c r="AV10" s="34" t="n">
        <f aca="false">IF(N(Reales!AV10)&gt;0,Reales!AV10,INDEX(TC_V,1,MIN(10,AV$6)))</f>
        <v>0</v>
      </c>
      <c r="AW10" s="34" t="n">
        <f aca="false">IF(N(Reales!AW10)&gt;0,Reales!AW10,INDEX(TC_V,1,MIN(10,AW$6)))</f>
        <v>0</v>
      </c>
      <c r="AX10" s="34" t="n">
        <f aca="false">IF(N(Reales!AX10)&gt;0,Reales!AX10,INDEX(TC_V,1,MIN(10,AX$6)))</f>
        <v>0</v>
      </c>
      <c r="AY10" s="34" t="n">
        <f aca="false">IF(N(Reales!AY10)&gt;0,Reales!AY10,INDEX(TC_V,1,MIN(10,AY$6)))</f>
        <v>0</v>
      </c>
      <c r="AZ10" s="34" t="n">
        <f aca="false">IF(N(Reales!AZ10)&gt;0,Reales!AZ10,INDEX(TC_V,1,MIN(10,AZ$6)))</f>
        <v>0</v>
      </c>
      <c r="BA10" s="34" t="n">
        <f aca="false">IF(N(Reales!BA10)&gt;0,Reales!BA10,INDEX(TC_V,1,MIN(10,BA$6)))</f>
        <v>0</v>
      </c>
      <c r="BB10" s="34" t="n">
        <f aca="false">IF(N(Reales!BB10)&gt;0,Reales!BB10,INDEX(TC_V,1,MIN(10,BB$6)))</f>
        <v>0</v>
      </c>
      <c r="BC10" s="34" t="n">
        <f aca="false">IF(N(Reales!BC10)&gt;0,Reales!BC10,INDEX(TC_V,1,MIN(10,BC$6)))</f>
        <v>0</v>
      </c>
      <c r="BD10" s="34" t="n">
        <f aca="false">IF(N(Reales!BD10)&gt;0,Reales!BD10,INDEX(TC_V,1,MIN(10,BD$6)))</f>
        <v>0</v>
      </c>
      <c r="BE10" s="34" t="n">
        <f aca="false">IF(N(Reales!BE10)&gt;0,Reales!BE10,INDEX(TC_V,1,MIN(10,BE$6)))</f>
        <v>0</v>
      </c>
      <c r="BF10" s="34" t="n">
        <f aca="false">IF(N(Reales!BF10)&gt;0,Reales!BF10,INDEX(TC_V,1,MIN(10,BF$6)))</f>
        <v>0</v>
      </c>
      <c r="BG10" s="34" t="n">
        <f aca="false">IF(N(Reales!BG10)&gt;0,Reales!BG10,INDEX(TC_V,1,MIN(10,BG$6)))</f>
        <v>0</v>
      </c>
      <c r="BH10" s="34" t="n">
        <f aca="false">IF(N(Reales!BH10)&gt;0,Reales!BH10,INDEX(TC_V,1,MIN(10,BH$6)))</f>
        <v>0</v>
      </c>
      <c r="BI10" s="34" t="n">
        <f aca="false">IF(N(Reales!BI10)&gt;0,Reales!BI10,INDEX(TC_V,1,MIN(10,BI$6)))</f>
        <v>0</v>
      </c>
      <c r="BJ10" s="34" t="n">
        <f aca="false">IF(N(Reales!BJ10)&gt;0,Reales!BJ10,INDEX(TC_V,1,MIN(10,BJ$6)))</f>
        <v>0</v>
      </c>
      <c r="BK10" s="34" t="n">
        <f aca="false">IF(N(Reales!BK10)&gt;0,Reales!BK10,INDEX(TC_V,1,MIN(10,BK$6)))</f>
        <v>0</v>
      </c>
      <c r="BL10" s="34" t="n">
        <f aca="false">IF(N(Reales!BL10)&gt;0,Reales!BL10,INDEX(TC_V,1,MIN(10,BL$6)))</f>
        <v>0</v>
      </c>
      <c r="BM10" s="34" t="n">
        <f aca="false">IF(N(Reales!BM10)&gt;0,Reales!BM10,INDEX(TC_V,1,MIN(10,BM$6)))</f>
        <v>0</v>
      </c>
      <c r="BN10" s="34" t="n">
        <f aca="false">IF(N(Reales!BN10)&gt;0,Reales!BN10,INDEX(TC_V,1,MIN(10,BN$6)))</f>
        <v>0</v>
      </c>
      <c r="BO10" s="34" t="n">
        <f aca="false">IF(N(Reales!BO10)&gt;0,Reales!BO10,INDEX(TC_V,1,MIN(10,BO$6)))</f>
        <v>0</v>
      </c>
      <c r="BP10" s="34" t="n">
        <f aca="false">IF(N(Reales!BP10)&gt;0,Reales!BP10,INDEX(TC_V,1,MIN(10,BP$6)))</f>
        <v>0</v>
      </c>
      <c r="BQ10" s="34" t="n">
        <f aca="false">IF(N(Reales!BQ10)&gt;0,Reales!BQ10,INDEX(TC_V,1,MIN(10,BQ$6)))</f>
        <v>0</v>
      </c>
      <c r="BR10" s="34" t="n">
        <f aca="false">IF(N(Reales!BR10)&gt;0,Reales!BR10,INDEX(TC_V,1,MIN(10,BR$6)))</f>
        <v>0</v>
      </c>
      <c r="BS10" s="34" t="n">
        <f aca="false">IF(N(Reales!BS10)&gt;0,Reales!BS10,INDEX(TC_V,1,MIN(10,BS$6)))</f>
        <v>0</v>
      </c>
      <c r="BT10" s="34" t="n">
        <f aca="false">IF(N(Reales!BT10)&gt;0,Reales!BT10,INDEX(TC_V,1,MIN(10,BT$6)))</f>
        <v>0</v>
      </c>
      <c r="BU10" s="34" t="n">
        <f aca="false">IF(N(Reales!BU10)&gt;0,Reales!BU10,INDEX(TC_V,1,MIN(10,BU$6)))</f>
        <v>0</v>
      </c>
      <c r="BV10" s="34" t="n">
        <f aca="false">IF(N(Reales!BV10)&gt;0,Reales!BV10,INDEX(TC_V,1,MIN(10,BV$6)))</f>
        <v>0</v>
      </c>
      <c r="BW10" s="34" t="n">
        <f aca="false">IF(N(Reales!BW10)&gt;0,Reales!BW10,INDEX(TC_V,1,MIN(10,BW$6)))</f>
        <v>0</v>
      </c>
      <c r="BX10" s="34" t="n">
        <f aca="false">IF(N(Reales!BX10)&gt;0,Reales!BX10,INDEX(TC_V,1,MIN(10,BX$6)))</f>
        <v>0</v>
      </c>
      <c r="BY10" s="34" t="n">
        <f aca="false">IF(N(Reales!BY10)&gt;0,Reales!BY10,INDEX(TC_V,1,MIN(10,BY$6)))</f>
        <v>0</v>
      </c>
      <c r="BZ10" s="34" t="n">
        <f aca="false">IF(N(Reales!BZ10)&gt;0,Reales!BZ10,INDEX(TC_V,1,MIN(10,BZ$6)))</f>
        <v>0</v>
      </c>
      <c r="CA10" s="34" t="n">
        <f aca="false">IF(N(Reales!CA10)&gt;0,Reales!CA10,INDEX(TC_V,1,MIN(10,CA$6)))</f>
        <v>0</v>
      </c>
      <c r="CB10" s="34" t="n">
        <f aca="false">IF(N(Reales!CB10)&gt;0,Reales!CB10,INDEX(TC_V,1,MIN(10,CB$6)))</f>
        <v>0</v>
      </c>
      <c r="CC10" s="34" t="n">
        <f aca="false">IF(N(Reales!CC10)&gt;0,Reales!CC10,INDEX(TC_V,1,MIN(10,CC$6)))</f>
        <v>0</v>
      </c>
      <c r="CD10" s="34" t="n">
        <f aca="false">IF(N(Reales!CD10)&gt;0,Reales!CD10,INDEX(TC_V,1,MIN(10,CD$6)))</f>
        <v>0</v>
      </c>
      <c r="CE10" s="34" t="n">
        <f aca="false">IF(N(Reales!CE10)&gt;0,Reales!CE10,INDEX(TC_V,1,MIN(10,CE$6)))</f>
        <v>0</v>
      </c>
      <c r="CF10" s="34" t="n">
        <f aca="false">IF(N(Reales!CF10)&gt;0,Reales!CF10,INDEX(TC_V,1,MIN(10,CF$6)))</f>
        <v>0</v>
      </c>
      <c r="CG10" s="34" t="n">
        <f aca="false">IF(N(Reales!CG10)&gt;0,Reales!CG10,INDEX(TC_V,1,MIN(10,CG$6)))</f>
        <v>0</v>
      </c>
      <c r="CH10" s="34" t="n">
        <f aca="false">IF(N(Reales!CH10)&gt;0,Reales!CH10,INDEX(TC_V,1,MIN(10,CH$6)))</f>
        <v>0</v>
      </c>
      <c r="CI10" s="34" t="n">
        <f aca="false">IF(N(Reales!CI10)&gt;0,Reales!CI10,INDEX(TC_V,1,MIN(10,CI$6)))</f>
        <v>0</v>
      </c>
      <c r="CJ10" s="34" t="n">
        <f aca="false">IF(N(Reales!CJ10)&gt;0,Reales!CJ10,INDEX(TC_V,1,MIN(10,CJ$6)))</f>
        <v>0</v>
      </c>
      <c r="CK10" s="34" t="n">
        <f aca="false">IF(N(Reales!CK10)&gt;0,Reales!CK10,INDEX(TC_V,1,MIN(10,CK$6)))</f>
        <v>0</v>
      </c>
      <c r="CL10" s="34" t="n">
        <f aca="false">IF(N(Reales!CL10)&gt;0,Reales!CL10,INDEX(TC_V,1,MIN(10,CL$6)))</f>
        <v>0</v>
      </c>
      <c r="CM10" s="34" t="n">
        <f aca="false">IF(N(Reales!CM10)&gt;0,Reales!CM10,INDEX(TC_V,1,MIN(10,CM$6)))</f>
        <v>0</v>
      </c>
      <c r="CN10" s="34" t="n">
        <f aca="false">IF(N(Reales!CN10)&gt;0,Reales!CN10,INDEX(TC_V,1,MIN(10,CN$6)))</f>
        <v>0</v>
      </c>
      <c r="CO10" s="34" t="n">
        <f aca="false">IF(N(Reales!CO10)&gt;0,Reales!CO10,INDEX(TC_V,1,MIN(10,CO$6)))</f>
        <v>0</v>
      </c>
      <c r="CP10" s="34" t="n">
        <f aca="false">IF(N(Reales!CP10)&gt;0,Reales!CP10,INDEX(TC_V,1,MIN(10,CP$6)))</f>
        <v>0</v>
      </c>
      <c r="CQ10" s="34" t="n">
        <f aca="false">IF(N(Reales!CQ10)&gt;0,Reales!CQ10,INDEX(TC_V,1,MIN(10,CQ$6)))</f>
        <v>0</v>
      </c>
      <c r="CR10" s="34" t="n">
        <f aca="false">IF(N(Reales!CR10)&gt;0,Reales!CR10,INDEX(TC_V,1,MIN(10,CR$6)))</f>
        <v>0</v>
      </c>
      <c r="CS10" s="34" t="n">
        <f aca="false">IF(N(Reales!CS10)&gt;0,Reales!CS10,INDEX(TC_V,1,MIN(10,CS$6)))</f>
        <v>0</v>
      </c>
      <c r="CT10" s="34" t="n">
        <f aca="false">IF(N(Reales!CT10)&gt;0,Reales!CT10,INDEX(TC_V,1,MIN(10,CT$6)))</f>
        <v>0</v>
      </c>
      <c r="CU10" s="34" t="n">
        <f aca="false">IF(N(Reales!CU10)&gt;0,Reales!CU10,INDEX(TC_V,1,MIN(10,CU$6)))</f>
        <v>0</v>
      </c>
      <c r="CV10" s="34" t="n">
        <f aca="false">IF(N(Reales!CV10)&gt;0,Reales!CV10,INDEX(TC_V,1,MIN(10,CV$6)))</f>
        <v>0</v>
      </c>
      <c r="CW10" s="34" t="n">
        <f aca="false">IF(N(Reales!CW10)&gt;0,Reales!CW10,INDEX(TC_V,1,MIN(10,CW$6)))</f>
        <v>0</v>
      </c>
      <c r="CX10" s="34" t="n">
        <f aca="false">IF(N(Reales!CX10)&gt;0,Reales!CX10,INDEX(TC_V,1,MIN(10,CX$6)))</f>
        <v>0</v>
      </c>
      <c r="CY10" s="34" t="n">
        <f aca="false">IF(N(Reales!CY10)&gt;0,Reales!CY10,INDEX(TC_V,1,MIN(10,CY$6)))</f>
        <v>0</v>
      </c>
      <c r="CZ10" s="34" t="n">
        <f aca="false">IF(N(Reales!CZ10)&gt;0,Reales!CZ10,INDEX(TC_V,1,MIN(10,CZ$6)))</f>
        <v>0</v>
      </c>
      <c r="DA10" s="34" t="n">
        <f aca="false">IF(N(Reales!DA10)&gt;0,Reales!DA10,INDEX(TC_V,1,MIN(10,DA$6)))</f>
        <v>0</v>
      </c>
      <c r="DB10" s="34" t="n">
        <f aca="false">IF(N(Reales!DB10)&gt;0,Reales!DB10,INDEX(TC_V,1,MIN(10,DB$6)))</f>
        <v>0</v>
      </c>
      <c r="DC10" s="34" t="n">
        <f aca="false">IF(N(Reales!DC10)&gt;0,Reales!DC10,INDEX(TC_V,1,MIN(10,DC$6)))</f>
        <v>0</v>
      </c>
      <c r="DD10" s="34" t="n">
        <f aca="false">IF(N(Reales!DD10)&gt;0,Reales!DD10,INDEX(TC_V,1,MIN(10,DD$6)))</f>
        <v>0</v>
      </c>
      <c r="DE10" s="34" t="n">
        <f aca="false">IF(N(Reales!DE10)&gt;0,Reales!DE10,INDEX(TC_V,1,MIN(10,DE$6)))</f>
        <v>0</v>
      </c>
      <c r="DF10" s="34" t="n">
        <f aca="false">IF(N(Reales!DF10)&gt;0,Reales!DF10,INDEX(TC_V,1,MIN(10,DF$6)))</f>
        <v>0</v>
      </c>
      <c r="DG10" s="34" t="n">
        <f aca="false">IF(N(Reales!DG10)&gt;0,Reales!DG10,INDEX(TC_V,1,MIN(10,DG$6)))</f>
        <v>0</v>
      </c>
      <c r="DH10" s="34" t="n">
        <f aca="false">IF(N(Reales!DH10)&gt;0,Reales!DH10,INDEX(TC_V,1,MIN(10,DH$6)))</f>
        <v>0</v>
      </c>
      <c r="DI10" s="34" t="n">
        <f aca="false">IF(N(Reales!DI10)&gt;0,Reales!DI10,INDEX(TC_V,1,MIN(10,DI$6)))</f>
        <v>0</v>
      </c>
      <c r="DJ10" s="34" t="n">
        <f aca="false">IF(N(Reales!DJ10)&gt;0,Reales!DJ10,INDEX(TC_V,1,MIN(10,DJ$6)))</f>
        <v>0</v>
      </c>
      <c r="DK10" s="34" t="n">
        <f aca="false">IF(N(Reales!DK10)&gt;0,Reales!DK10,INDEX(TC_V,1,MIN(10,DK$6)))</f>
        <v>0</v>
      </c>
      <c r="DL10" s="34" t="n">
        <f aca="false">IF(N(Reales!DL10)&gt;0,Reales!DL10,INDEX(TC_V,1,MIN(10,DL$6)))</f>
        <v>0</v>
      </c>
      <c r="DM10" s="34" t="n">
        <f aca="false">IF(N(Reales!DM10)&gt;0,Reales!DM10,INDEX(TC_V,1,MIN(10,DM$6)))</f>
        <v>0</v>
      </c>
      <c r="DN10" s="34" t="n">
        <f aca="false">IF(N(Reales!DN10)&gt;0,Reales!DN10,INDEX(TC_V,1,MIN(10,DN$6)))</f>
        <v>0</v>
      </c>
      <c r="DO10" s="34" t="n">
        <f aca="false">IF(N(Reales!DO10)&gt;0,Reales!DO10,INDEX(TC_V,1,MIN(10,DO$6)))</f>
        <v>0</v>
      </c>
      <c r="DP10" s="34" t="n">
        <f aca="false">IF(N(Reales!DP10)&gt;0,Reales!DP10,INDEX(TC_V,1,MIN(10,DP$6)))</f>
        <v>0</v>
      </c>
      <c r="DQ10" s="34" t="n">
        <f aca="false">IF(N(Reales!DQ10)&gt;0,Reales!DQ10,INDEX(TC_V,1,MIN(10,DQ$6)))</f>
        <v>0</v>
      </c>
      <c r="DR10" s="34" t="n">
        <f aca="false">IF(N(Reales!DR10)&gt;0,Reales!DR10,INDEX(TC_V,1,MIN(10,DR$6)))</f>
        <v>0</v>
      </c>
      <c r="DS10" s="34" t="n">
        <f aca="false">IF(N(Reales!DS10)&gt;0,Reales!DS10,INDEX(TC_V,1,MIN(10,DS$6)))</f>
        <v>0</v>
      </c>
      <c r="DT10" s="34" t="n">
        <f aca="false">IF(N(Reales!DT10)&gt;0,Reales!DT10,INDEX(TC_V,1,MIN(10,DT$6)))</f>
        <v>0</v>
      </c>
      <c r="DU10" s="34" t="n">
        <f aca="false">IF(N(Reales!DU10)&gt;0,Reales!DU10,INDEX(TC_V,1,MIN(10,DU$6)))</f>
        <v>0</v>
      </c>
      <c r="DV10" s="34" t="n">
        <f aca="false">IF(N(Reales!DV10)&gt;0,Reales!DV10,INDEX(TC_V,1,MIN(10,DV$6)))</f>
        <v>0</v>
      </c>
      <c r="DW10" s="34" t="n">
        <f aca="false">IF(N(Reales!DW10)&gt;0,Reales!DW10,INDEX(TC_V,1,MIN(10,DW$6)))</f>
        <v>0</v>
      </c>
      <c r="DX10" s="34" t="n">
        <f aca="false">IF(N(Reales!DX10)&gt;0,Reales!DX10,INDEX(TC_V,1,MIN(10,DX$6)))</f>
        <v>0</v>
      </c>
      <c r="DY10" s="34" t="n">
        <f aca="false">IF(N(Reales!DY10)&gt;0,Reales!DY10,INDEX(TC_V,1,MIN(10,DY$6)))</f>
        <v>0</v>
      </c>
      <c r="DZ10" s="34" t="n">
        <f aca="false">IF(N(Reales!DZ10)&gt;0,Reales!DZ10,INDEX(TC_V,1,MIN(10,DZ$6)))</f>
        <v>0</v>
      </c>
      <c r="EA10" s="34" t="n">
        <f aca="false">IF(N(Reales!EA10)&gt;0,Reales!EA10,INDEX(TC_V,1,MIN(10,EA$6)))</f>
        <v>0</v>
      </c>
      <c r="EB10" s="34" t="n">
        <f aca="false">IF(N(Reales!EB10)&gt;0,Reales!EB10,INDEX(TC_V,1,MIN(10,EB$6)))</f>
        <v>0</v>
      </c>
      <c r="EC10" s="34" t="n">
        <f aca="false">IF(N(Reales!EC10)&gt;0,Reales!EC10,INDEX(TC_V,1,MIN(10,EC$6)))</f>
        <v>0</v>
      </c>
      <c r="ED10" s="34" t="n">
        <f aca="false">IF(N(Reales!ED10)&gt;0,Reales!ED10,INDEX(TC_V,1,MIN(10,ED$6)))</f>
        <v>0</v>
      </c>
      <c r="EE10" s="34" t="n">
        <f aca="false">IF(N(Reales!EE10)&gt;0,Reales!EE10,INDEX(TC_V,1,MIN(10,EE$6)))</f>
        <v>0</v>
      </c>
      <c r="EF10" s="34" t="n">
        <f aca="false">IF(N(Reales!EF10)&gt;0,Reales!EF10,INDEX(TC_V,1,MIN(10,EF$6)))</f>
        <v>0</v>
      </c>
      <c r="EG10" s="34" t="n">
        <f aca="false">IF(N(Reales!EG10)&gt;0,Reales!EG10,INDEX(TC_V,1,MIN(10,EG$6)))</f>
        <v>0</v>
      </c>
      <c r="EH10" s="34" t="n">
        <f aca="false">IF(N(Reales!EH10)&gt;0,Reales!EH10,INDEX(TC_V,1,MIN(10,EH$6)))</f>
        <v>0</v>
      </c>
      <c r="EI10" s="34" t="n">
        <f aca="false">IF(N(Reales!EI10)&gt;0,Reales!EI10,INDEX(TC_V,1,MIN(10,EI$6)))</f>
        <v>0</v>
      </c>
      <c r="EJ10" s="34" t="n">
        <f aca="false">IF(N(Reales!EJ10)&gt;0,Reales!EJ10,INDEX(TC_V,1,MIN(10,EJ$6)))</f>
        <v>0</v>
      </c>
      <c r="EK10" s="34" t="n">
        <f aca="false">IF(N(Reales!EK10)&gt;0,Reales!EK10,INDEX(TC_V,1,MIN(10,EK$6)))</f>
        <v>0</v>
      </c>
      <c r="EL10" s="34" t="n">
        <f aca="false">IF(N(Reales!EL10)&gt;0,Reales!EL10,INDEX(TC_V,1,MIN(10,EL$6)))</f>
        <v>0</v>
      </c>
      <c r="EM10" s="34" t="n">
        <f aca="false">IF(N(Reales!EM10)&gt;0,Reales!EM10,INDEX(TC_V,1,MIN(10,EM$6)))</f>
        <v>0</v>
      </c>
      <c r="EN10" s="34" t="n">
        <f aca="false">IF(N(Reales!EN10)&gt;0,Reales!EN10,INDEX(TC_V,1,MIN(10,EN$6)))</f>
        <v>0</v>
      </c>
      <c r="EO10" s="34" t="n">
        <f aca="false">IF(N(Reales!EO10)&gt;0,Reales!EO10,INDEX(TC_V,1,MIN(10,EO$6)))</f>
        <v>0</v>
      </c>
      <c r="EP10" s="34" t="n">
        <f aca="false">IF(N(Reales!EP10)&gt;0,Reales!EP10,INDEX(TC_V,1,MIN(10,EP$6)))</f>
        <v>0</v>
      </c>
      <c r="EQ10" s="34" t="n">
        <f aca="false">IF(N(Reales!EQ10)&gt;0,Reales!EQ10,INDEX(TC_V,1,MIN(10,EQ$6)))</f>
        <v>0</v>
      </c>
      <c r="ER10" s="34" t="n">
        <f aca="false">IF(N(Reales!ER10)&gt;0,Reales!ER10,INDEX(TC_V,1,MIN(10,ER$6)))</f>
        <v>0</v>
      </c>
      <c r="ES10" s="34" t="n">
        <f aca="false">IF(N(Reales!ES10)&gt;0,Reales!ES10,INDEX(TC_V,1,MIN(10,ES$6)))</f>
        <v>0</v>
      </c>
    </row>
    <row r="12" customFormat="false" ht="15" hidden="false" customHeight="false" outlineLevel="0" collapsed="false">
      <c r="A12" s="49"/>
      <c r="B12" s="50" t="s">
        <v>416</v>
      </c>
      <c r="C12" s="49"/>
      <c r="D12" s="49"/>
      <c r="E12" s="49"/>
    </row>
    <row r="13" customFormat="false" ht="15" hidden="false" customHeight="false" outlineLevel="0" collapsed="false">
      <c r="A13" s="4"/>
      <c r="B13" s="3" t="s">
        <v>417</v>
      </c>
      <c r="C13" s="4"/>
      <c r="D13" s="4"/>
      <c r="E13" s="4"/>
    </row>
    <row r="14" customFormat="false" ht="15" hidden="false" customHeight="false" outlineLevel="0" collapsed="false">
      <c r="A14" s="2" t="s">
        <v>418</v>
      </c>
      <c r="B14" s="6" t="s">
        <v>419</v>
      </c>
      <c r="C14" s="6" t="s">
        <v>420</v>
      </c>
      <c r="F14" s="19" t="n">
        <f aca="false">IF(AND(1&gt;=P_Inicio,1&lt;=Fin),INT((1-P_Inicio)/12)+1,0)</f>
        <v>1</v>
      </c>
      <c r="G14" s="19" t="n">
        <f aca="false">IF(AND(2&gt;=P_Inicio,2&lt;=Fin),INT((2-P_Inicio)/12)+1,0)</f>
        <v>1</v>
      </c>
      <c r="H14" s="19" t="n">
        <f aca="false">IF(AND(3&gt;=P_Inicio,3&lt;=Fin),INT((3-P_Inicio)/12)+1,0)</f>
        <v>1</v>
      </c>
      <c r="I14" s="19" t="n">
        <f aca="false">IF(AND(4&gt;=P_Inicio,4&lt;=Fin),INT((4-P_Inicio)/12)+1,0)</f>
        <v>1</v>
      </c>
      <c r="J14" s="19" t="n">
        <f aca="false">IF(AND(5&gt;=P_Inicio,5&lt;=Fin),INT((5-P_Inicio)/12)+1,0)</f>
        <v>1</v>
      </c>
      <c r="K14" s="19" t="n">
        <f aca="false">IF(AND(6&gt;=P_Inicio,6&lt;=Fin),INT((6-P_Inicio)/12)+1,0)</f>
        <v>1</v>
      </c>
      <c r="L14" s="19" t="n">
        <f aca="false">IF(AND(7&gt;=P_Inicio,7&lt;=Fin),INT((7-P_Inicio)/12)+1,0)</f>
        <v>1</v>
      </c>
      <c r="M14" s="19" t="n">
        <f aca="false">IF(AND(8&gt;=P_Inicio,8&lt;=Fin),INT((8-P_Inicio)/12)+1,0)</f>
        <v>1</v>
      </c>
      <c r="N14" s="19" t="n">
        <f aca="false">IF(AND(9&gt;=P_Inicio,9&lt;=Fin),INT((9-P_Inicio)/12)+1,0)</f>
        <v>1</v>
      </c>
      <c r="O14" s="19" t="n">
        <f aca="false">IF(AND(10&gt;=P_Inicio,10&lt;=Fin),INT((10-P_Inicio)/12)+1,0)</f>
        <v>1</v>
      </c>
      <c r="P14" s="19" t="n">
        <f aca="false">IF(AND(11&gt;=P_Inicio,11&lt;=Fin),INT((11-P_Inicio)/12)+1,0)</f>
        <v>1</v>
      </c>
      <c r="Q14" s="19" t="n">
        <f aca="false">IF(AND(12&gt;=P_Inicio,12&lt;=Fin),INT((12-P_Inicio)/12)+1,0)</f>
        <v>1</v>
      </c>
      <c r="R14" s="19" t="n">
        <f aca="false">IF(AND(13&gt;=P_Inicio,13&lt;=Fin),INT((13-P_Inicio)/12)+1,0)</f>
        <v>2</v>
      </c>
      <c r="S14" s="19" t="n">
        <f aca="false">IF(AND(14&gt;=P_Inicio,14&lt;=Fin),INT((14-P_Inicio)/12)+1,0)</f>
        <v>2</v>
      </c>
      <c r="T14" s="19" t="n">
        <f aca="false">IF(AND(15&gt;=P_Inicio,15&lt;=Fin),INT((15-P_Inicio)/12)+1,0)</f>
        <v>2</v>
      </c>
      <c r="U14" s="19" t="n">
        <f aca="false">IF(AND(16&gt;=P_Inicio,16&lt;=Fin),INT((16-P_Inicio)/12)+1,0)</f>
        <v>2</v>
      </c>
      <c r="V14" s="19" t="n">
        <f aca="false">IF(AND(17&gt;=P_Inicio,17&lt;=Fin),INT((17-P_Inicio)/12)+1,0)</f>
        <v>2</v>
      </c>
      <c r="W14" s="19" t="n">
        <f aca="false">IF(AND(18&gt;=P_Inicio,18&lt;=Fin),INT((18-P_Inicio)/12)+1,0)</f>
        <v>2</v>
      </c>
      <c r="X14" s="19" t="n">
        <f aca="false">IF(AND(19&gt;=P_Inicio,19&lt;=Fin),INT((19-P_Inicio)/12)+1,0)</f>
        <v>2</v>
      </c>
      <c r="Y14" s="19" t="n">
        <f aca="false">IF(AND(20&gt;=P_Inicio,20&lt;=Fin),INT((20-P_Inicio)/12)+1,0)</f>
        <v>2</v>
      </c>
      <c r="Z14" s="19" t="n">
        <f aca="false">IF(AND(21&gt;=P_Inicio,21&lt;=Fin),INT((21-P_Inicio)/12)+1,0)</f>
        <v>2</v>
      </c>
      <c r="AA14" s="19" t="n">
        <f aca="false">IF(AND(22&gt;=P_Inicio,22&lt;=Fin),INT((22-P_Inicio)/12)+1,0)</f>
        <v>2</v>
      </c>
      <c r="AB14" s="19" t="n">
        <f aca="false">IF(AND(23&gt;=P_Inicio,23&lt;=Fin),INT((23-P_Inicio)/12)+1,0)</f>
        <v>2</v>
      </c>
      <c r="AC14" s="19" t="n">
        <f aca="false">IF(AND(24&gt;=P_Inicio,24&lt;=Fin),INT((24-P_Inicio)/12)+1,0)</f>
        <v>2</v>
      </c>
      <c r="AD14" s="19" t="n">
        <f aca="false">IF(AND(25&gt;=P_Inicio,25&lt;=Fin),INT((25-P_Inicio)/12)+1,0)</f>
        <v>3</v>
      </c>
      <c r="AE14" s="19" t="n">
        <f aca="false">IF(AND(26&gt;=P_Inicio,26&lt;=Fin),INT((26-P_Inicio)/12)+1,0)</f>
        <v>3</v>
      </c>
      <c r="AF14" s="19" t="n">
        <f aca="false">IF(AND(27&gt;=P_Inicio,27&lt;=Fin),INT((27-P_Inicio)/12)+1,0)</f>
        <v>3</v>
      </c>
      <c r="AG14" s="19" t="n">
        <f aca="false">IF(AND(28&gt;=P_Inicio,28&lt;=Fin),INT((28-P_Inicio)/12)+1,0)</f>
        <v>3</v>
      </c>
      <c r="AH14" s="19" t="n">
        <f aca="false">IF(AND(29&gt;=P_Inicio,29&lt;=Fin),INT((29-P_Inicio)/12)+1,0)</f>
        <v>3</v>
      </c>
      <c r="AI14" s="19" t="n">
        <f aca="false">IF(AND(30&gt;=P_Inicio,30&lt;=Fin),INT((30-P_Inicio)/12)+1,0)</f>
        <v>3</v>
      </c>
      <c r="AJ14" s="19" t="n">
        <f aca="false">IF(AND(31&gt;=P_Inicio,31&lt;=Fin),INT((31-P_Inicio)/12)+1,0)</f>
        <v>3</v>
      </c>
      <c r="AK14" s="19" t="n">
        <f aca="false">IF(AND(32&gt;=P_Inicio,32&lt;=Fin),INT((32-P_Inicio)/12)+1,0)</f>
        <v>3</v>
      </c>
      <c r="AL14" s="19" t="n">
        <f aca="false">IF(AND(33&gt;=P_Inicio,33&lt;=Fin),INT((33-P_Inicio)/12)+1,0)</f>
        <v>3</v>
      </c>
      <c r="AM14" s="19" t="n">
        <f aca="false">IF(AND(34&gt;=P_Inicio,34&lt;=Fin),INT((34-P_Inicio)/12)+1,0)</f>
        <v>3</v>
      </c>
      <c r="AN14" s="19" t="n">
        <f aca="false">IF(AND(35&gt;=P_Inicio,35&lt;=Fin),INT((35-P_Inicio)/12)+1,0)</f>
        <v>3</v>
      </c>
      <c r="AO14" s="19" t="n">
        <f aca="false">IF(AND(36&gt;=P_Inicio,36&lt;=Fin),INT((36-P_Inicio)/12)+1,0)</f>
        <v>3</v>
      </c>
      <c r="AP14" s="19" t="n">
        <f aca="false">IF(AND(37&gt;=P_Inicio,37&lt;=Fin),INT((37-P_Inicio)/12)+1,0)</f>
        <v>4</v>
      </c>
      <c r="AQ14" s="19" t="n">
        <f aca="false">IF(AND(38&gt;=P_Inicio,38&lt;=Fin),INT((38-P_Inicio)/12)+1,0)</f>
        <v>4</v>
      </c>
      <c r="AR14" s="19" t="n">
        <f aca="false">IF(AND(39&gt;=P_Inicio,39&lt;=Fin),INT((39-P_Inicio)/12)+1,0)</f>
        <v>4</v>
      </c>
      <c r="AS14" s="19" t="n">
        <f aca="false">IF(AND(40&gt;=P_Inicio,40&lt;=Fin),INT((40-P_Inicio)/12)+1,0)</f>
        <v>4</v>
      </c>
      <c r="AT14" s="19" t="n">
        <f aca="false">IF(AND(41&gt;=P_Inicio,41&lt;=Fin),INT((41-P_Inicio)/12)+1,0)</f>
        <v>4</v>
      </c>
      <c r="AU14" s="19" t="n">
        <f aca="false">IF(AND(42&gt;=P_Inicio,42&lt;=Fin),INT((42-P_Inicio)/12)+1,0)</f>
        <v>4</v>
      </c>
      <c r="AV14" s="19" t="n">
        <f aca="false">IF(AND(43&gt;=P_Inicio,43&lt;=Fin),INT((43-P_Inicio)/12)+1,0)</f>
        <v>4</v>
      </c>
      <c r="AW14" s="19" t="n">
        <f aca="false">IF(AND(44&gt;=P_Inicio,44&lt;=Fin),INT((44-P_Inicio)/12)+1,0)</f>
        <v>4</v>
      </c>
      <c r="AX14" s="19" t="n">
        <f aca="false">IF(AND(45&gt;=P_Inicio,45&lt;=Fin),INT((45-P_Inicio)/12)+1,0)</f>
        <v>4</v>
      </c>
      <c r="AY14" s="19" t="n">
        <f aca="false">IF(AND(46&gt;=P_Inicio,46&lt;=Fin),INT((46-P_Inicio)/12)+1,0)</f>
        <v>4</v>
      </c>
      <c r="AZ14" s="19" t="n">
        <f aca="false">IF(AND(47&gt;=P_Inicio,47&lt;=Fin),INT((47-P_Inicio)/12)+1,0)</f>
        <v>4</v>
      </c>
      <c r="BA14" s="19" t="n">
        <f aca="false">IF(AND(48&gt;=P_Inicio,48&lt;=Fin),INT((48-P_Inicio)/12)+1,0)</f>
        <v>4</v>
      </c>
      <c r="BB14" s="19" t="n">
        <f aca="false">IF(AND(49&gt;=P_Inicio,49&lt;=Fin),INT((49-P_Inicio)/12)+1,0)</f>
        <v>5</v>
      </c>
      <c r="BC14" s="19" t="n">
        <f aca="false">IF(AND(50&gt;=P_Inicio,50&lt;=Fin),INT((50-P_Inicio)/12)+1,0)</f>
        <v>5</v>
      </c>
      <c r="BD14" s="19" t="n">
        <f aca="false">IF(AND(51&gt;=P_Inicio,51&lt;=Fin),INT((51-P_Inicio)/12)+1,0)</f>
        <v>5</v>
      </c>
      <c r="BE14" s="19" t="n">
        <f aca="false">IF(AND(52&gt;=P_Inicio,52&lt;=Fin),INT((52-P_Inicio)/12)+1,0)</f>
        <v>5</v>
      </c>
      <c r="BF14" s="19" t="n">
        <f aca="false">IF(AND(53&gt;=P_Inicio,53&lt;=Fin),INT((53-P_Inicio)/12)+1,0)</f>
        <v>5</v>
      </c>
      <c r="BG14" s="19" t="n">
        <f aca="false">IF(AND(54&gt;=P_Inicio,54&lt;=Fin),INT((54-P_Inicio)/12)+1,0)</f>
        <v>5</v>
      </c>
      <c r="BH14" s="19" t="n">
        <f aca="false">IF(AND(55&gt;=P_Inicio,55&lt;=Fin),INT((55-P_Inicio)/12)+1,0)</f>
        <v>5</v>
      </c>
      <c r="BI14" s="19" t="n">
        <f aca="false">IF(AND(56&gt;=P_Inicio,56&lt;=Fin),INT((56-P_Inicio)/12)+1,0)</f>
        <v>5</v>
      </c>
      <c r="BJ14" s="19" t="n">
        <f aca="false">IF(AND(57&gt;=P_Inicio,57&lt;=Fin),INT((57-P_Inicio)/12)+1,0)</f>
        <v>5</v>
      </c>
      <c r="BK14" s="19" t="n">
        <f aca="false">IF(AND(58&gt;=P_Inicio,58&lt;=Fin),INT((58-P_Inicio)/12)+1,0)</f>
        <v>5</v>
      </c>
      <c r="BL14" s="19" t="n">
        <f aca="false">IF(AND(59&gt;=P_Inicio,59&lt;=Fin),INT((59-P_Inicio)/12)+1,0)</f>
        <v>5</v>
      </c>
      <c r="BM14" s="19" t="n">
        <f aca="false">IF(AND(60&gt;=P_Inicio,60&lt;=Fin),INT((60-P_Inicio)/12)+1,0)</f>
        <v>5</v>
      </c>
      <c r="BN14" s="19" t="n">
        <f aca="false">IF(AND(61&gt;=P_Inicio,61&lt;=Fin),INT((61-P_Inicio)/12)+1,0)</f>
        <v>6</v>
      </c>
      <c r="BO14" s="19" t="n">
        <f aca="false">IF(AND(62&gt;=P_Inicio,62&lt;=Fin),INT((62-P_Inicio)/12)+1,0)</f>
        <v>6</v>
      </c>
      <c r="BP14" s="19" t="n">
        <f aca="false">IF(AND(63&gt;=P_Inicio,63&lt;=Fin),INT((63-P_Inicio)/12)+1,0)</f>
        <v>6</v>
      </c>
      <c r="BQ14" s="19" t="n">
        <f aca="false">IF(AND(64&gt;=P_Inicio,64&lt;=Fin),INT((64-P_Inicio)/12)+1,0)</f>
        <v>6</v>
      </c>
      <c r="BR14" s="19" t="n">
        <f aca="false">IF(AND(65&gt;=P_Inicio,65&lt;=Fin),INT((65-P_Inicio)/12)+1,0)</f>
        <v>6</v>
      </c>
      <c r="BS14" s="19" t="n">
        <f aca="false">IF(AND(66&gt;=P_Inicio,66&lt;=Fin),INT((66-P_Inicio)/12)+1,0)</f>
        <v>6</v>
      </c>
      <c r="BT14" s="19" t="n">
        <f aca="false">IF(AND(67&gt;=P_Inicio,67&lt;=Fin),INT((67-P_Inicio)/12)+1,0)</f>
        <v>6</v>
      </c>
      <c r="BU14" s="19" t="n">
        <f aca="false">IF(AND(68&gt;=P_Inicio,68&lt;=Fin),INT((68-P_Inicio)/12)+1,0)</f>
        <v>6</v>
      </c>
      <c r="BV14" s="19" t="n">
        <f aca="false">IF(AND(69&gt;=P_Inicio,69&lt;=Fin),INT((69-P_Inicio)/12)+1,0)</f>
        <v>6</v>
      </c>
      <c r="BW14" s="19" t="n">
        <f aca="false">IF(AND(70&gt;=P_Inicio,70&lt;=Fin),INT((70-P_Inicio)/12)+1,0)</f>
        <v>6</v>
      </c>
      <c r="BX14" s="19" t="n">
        <f aca="false">IF(AND(71&gt;=P_Inicio,71&lt;=Fin),INT((71-P_Inicio)/12)+1,0)</f>
        <v>6</v>
      </c>
      <c r="BY14" s="19" t="n">
        <f aca="false">IF(AND(72&gt;=P_Inicio,72&lt;=Fin),INT((72-P_Inicio)/12)+1,0)</f>
        <v>6</v>
      </c>
      <c r="BZ14" s="19" t="n">
        <f aca="false">IF(AND(73&gt;=P_Inicio,73&lt;=Fin),INT((73-P_Inicio)/12)+1,0)</f>
        <v>7</v>
      </c>
      <c r="CA14" s="19" t="n">
        <f aca="false">IF(AND(74&gt;=P_Inicio,74&lt;=Fin),INT((74-P_Inicio)/12)+1,0)</f>
        <v>7</v>
      </c>
      <c r="CB14" s="19" t="n">
        <f aca="false">IF(AND(75&gt;=P_Inicio,75&lt;=Fin),INT((75-P_Inicio)/12)+1,0)</f>
        <v>7</v>
      </c>
      <c r="CC14" s="19" t="n">
        <f aca="false">IF(AND(76&gt;=P_Inicio,76&lt;=Fin),INT((76-P_Inicio)/12)+1,0)</f>
        <v>7</v>
      </c>
      <c r="CD14" s="19" t="n">
        <f aca="false">IF(AND(77&gt;=P_Inicio,77&lt;=Fin),INT((77-P_Inicio)/12)+1,0)</f>
        <v>7</v>
      </c>
      <c r="CE14" s="19" t="n">
        <f aca="false">IF(AND(78&gt;=P_Inicio,78&lt;=Fin),INT((78-P_Inicio)/12)+1,0)</f>
        <v>7</v>
      </c>
      <c r="CF14" s="19" t="n">
        <f aca="false">IF(AND(79&gt;=P_Inicio,79&lt;=Fin),INT((79-P_Inicio)/12)+1,0)</f>
        <v>7</v>
      </c>
      <c r="CG14" s="19" t="n">
        <f aca="false">IF(AND(80&gt;=P_Inicio,80&lt;=Fin),INT((80-P_Inicio)/12)+1,0)</f>
        <v>7</v>
      </c>
      <c r="CH14" s="19" t="n">
        <f aca="false">IF(AND(81&gt;=P_Inicio,81&lt;=Fin),INT((81-P_Inicio)/12)+1,0)</f>
        <v>7</v>
      </c>
      <c r="CI14" s="19" t="n">
        <f aca="false">IF(AND(82&gt;=P_Inicio,82&lt;=Fin),INT((82-P_Inicio)/12)+1,0)</f>
        <v>7</v>
      </c>
      <c r="CJ14" s="19" t="n">
        <f aca="false">IF(AND(83&gt;=P_Inicio,83&lt;=Fin),INT((83-P_Inicio)/12)+1,0)</f>
        <v>7</v>
      </c>
      <c r="CK14" s="19" t="n">
        <f aca="false">IF(AND(84&gt;=P_Inicio,84&lt;=Fin),INT((84-P_Inicio)/12)+1,0)</f>
        <v>7</v>
      </c>
      <c r="CL14" s="19" t="n">
        <f aca="false">IF(AND(85&gt;=P_Inicio,85&lt;=Fin),INT((85-P_Inicio)/12)+1,0)</f>
        <v>8</v>
      </c>
      <c r="CM14" s="19" t="n">
        <f aca="false">IF(AND(86&gt;=P_Inicio,86&lt;=Fin),INT((86-P_Inicio)/12)+1,0)</f>
        <v>8</v>
      </c>
      <c r="CN14" s="19" t="n">
        <f aca="false">IF(AND(87&gt;=P_Inicio,87&lt;=Fin),INT((87-P_Inicio)/12)+1,0)</f>
        <v>8</v>
      </c>
      <c r="CO14" s="19" t="n">
        <f aca="false">IF(AND(88&gt;=P_Inicio,88&lt;=Fin),INT((88-P_Inicio)/12)+1,0)</f>
        <v>8</v>
      </c>
      <c r="CP14" s="19" t="n">
        <f aca="false">IF(AND(89&gt;=P_Inicio,89&lt;=Fin),INT((89-P_Inicio)/12)+1,0)</f>
        <v>8</v>
      </c>
      <c r="CQ14" s="19" t="n">
        <f aca="false">IF(AND(90&gt;=P_Inicio,90&lt;=Fin),INT((90-P_Inicio)/12)+1,0)</f>
        <v>8</v>
      </c>
      <c r="CR14" s="19" t="n">
        <f aca="false">IF(AND(91&gt;=P_Inicio,91&lt;=Fin),INT((91-P_Inicio)/12)+1,0)</f>
        <v>8</v>
      </c>
      <c r="CS14" s="19" t="n">
        <f aca="false">IF(AND(92&gt;=P_Inicio,92&lt;=Fin),INT((92-P_Inicio)/12)+1,0)</f>
        <v>8</v>
      </c>
      <c r="CT14" s="19" t="n">
        <f aca="false">IF(AND(93&gt;=P_Inicio,93&lt;=Fin),INT((93-P_Inicio)/12)+1,0)</f>
        <v>8</v>
      </c>
      <c r="CU14" s="19" t="n">
        <f aca="false">IF(AND(94&gt;=P_Inicio,94&lt;=Fin),INT((94-P_Inicio)/12)+1,0)</f>
        <v>8</v>
      </c>
      <c r="CV14" s="19" t="n">
        <f aca="false">IF(AND(95&gt;=P_Inicio,95&lt;=Fin),INT((95-P_Inicio)/12)+1,0)</f>
        <v>8</v>
      </c>
      <c r="CW14" s="19" t="n">
        <f aca="false">IF(AND(96&gt;=P_Inicio,96&lt;=Fin),INT((96-P_Inicio)/12)+1,0)</f>
        <v>8</v>
      </c>
      <c r="CX14" s="19" t="n">
        <f aca="false">IF(AND(97&gt;=P_Inicio,97&lt;=Fin),INT((97-P_Inicio)/12)+1,0)</f>
        <v>9</v>
      </c>
      <c r="CY14" s="19" t="n">
        <f aca="false">IF(AND(98&gt;=P_Inicio,98&lt;=Fin),INT((98-P_Inicio)/12)+1,0)</f>
        <v>9</v>
      </c>
      <c r="CZ14" s="19" t="n">
        <f aca="false">IF(AND(99&gt;=P_Inicio,99&lt;=Fin),INT((99-P_Inicio)/12)+1,0)</f>
        <v>9</v>
      </c>
      <c r="DA14" s="19" t="n">
        <f aca="false">IF(AND(100&gt;=P_Inicio,100&lt;=Fin),INT((100-P_Inicio)/12)+1,0)</f>
        <v>9</v>
      </c>
      <c r="DB14" s="19" t="n">
        <f aca="false">IF(AND(101&gt;=P_Inicio,101&lt;=Fin),INT((101-P_Inicio)/12)+1,0)</f>
        <v>9</v>
      </c>
      <c r="DC14" s="19" t="n">
        <f aca="false">IF(AND(102&gt;=P_Inicio,102&lt;=Fin),INT((102-P_Inicio)/12)+1,0)</f>
        <v>9</v>
      </c>
      <c r="DD14" s="19" t="n">
        <f aca="false">IF(AND(103&gt;=P_Inicio,103&lt;=Fin),INT((103-P_Inicio)/12)+1,0)</f>
        <v>9</v>
      </c>
      <c r="DE14" s="19" t="n">
        <f aca="false">IF(AND(104&gt;=P_Inicio,104&lt;=Fin),INT((104-P_Inicio)/12)+1,0)</f>
        <v>9</v>
      </c>
      <c r="DF14" s="19" t="n">
        <f aca="false">IF(AND(105&gt;=P_Inicio,105&lt;=Fin),INT((105-P_Inicio)/12)+1,0)</f>
        <v>9</v>
      </c>
      <c r="DG14" s="19" t="n">
        <f aca="false">IF(AND(106&gt;=P_Inicio,106&lt;=Fin),INT((106-P_Inicio)/12)+1,0)</f>
        <v>9</v>
      </c>
      <c r="DH14" s="19" t="n">
        <f aca="false">IF(AND(107&gt;=P_Inicio,107&lt;=Fin),INT((107-P_Inicio)/12)+1,0)</f>
        <v>9</v>
      </c>
      <c r="DI14" s="19" t="n">
        <f aca="false">IF(AND(108&gt;=P_Inicio,108&lt;=Fin),INT((108-P_Inicio)/12)+1,0)</f>
        <v>9</v>
      </c>
      <c r="DJ14" s="19" t="n">
        <f aca="false">IF(AND(109&gt;=P_Inicio,109&lt;=Fin),INT((109-P_Inicio)/12)+1,0)</f>
        <v>10</v>
      </c>
      <c r="DK14" s="19" t="n">
        <f aca="false">IF(AND(110&gt;=P_Inicio,110&lt;=Fin),INT((110-P_Inicio)/12)+1,0)</f>
        <v>10</v>
      </c>
      <c r="DL14" s="19" t="n">
        <f aca="false">IF(AND(111&gt;=P_Inicio,111&lt;=Fin),INT((111-P_Inicio)/12)+1,0)</f>
        <v>10</v>
      </c>
      <c r="DM14" s="19" t="n">
        <f aca="false">IF(AND(112&gt;=P_Inicio,112&lt;=Fin),INT((112-P_Inicio)/12)+1,0)</f>
        <v>10</v>
      </c>
      <c r="DN14" s="19" t="n">
        <f aca="false">IF(AND(113&gt;=P_Inicio,113&lt;=Fin),INT((113-P_Inicio)/12)+1,0)</f>
        <v>10</v>
      </c>
      <c r="DO14" s="19" t="n">
        <f aca="false">IF(AND(114&gt;=P_Inicio,114&lt;=Fin),INT((114-P_Inicio)/12)+1,0)</f>
        <v>10</v>
      </c>
      <c r="DP14" s="19" t="n">
        <f aca="false">IF(AND(115&gt;=P_Inicio,115&lt;=Fin),INT((115-P_Inicio)/12)+1,0)</f>
        <v>10</v>
      </c>
      <c r="DQ14" s="19" t="n">
        <f aca="false">IF(AND(116&gt;=P_Inicio,116&lt;=Fin),INT((116-P_Inicio)/12)+1,0)</f>
        <v>10</v>
      </c>
      <c r="DR14" s="19" t="n">
        <f aca="false">IF(AND(117&gt;=P_Inicio,117&lt;=Fin),INT((117-P_Inicio)/12)+1,0)</f>
        <v>10</v>
      </c>
      <c r="DS14" s="19" t="n">
        <f aca="false">IF(AND(118&gt;=P_Inicio,118&lt;=Fin),INT((118-P_Inicio)/12)+1,0)</f>
        <v>10</v>
      </c>
      <c r="DT14" s="19" t="n">
        <f aca="false">IF(AND(119&gt;=P_Inicio,119&lt;=Fin),INT((119-P_Inicio)/12)+1,0)</f>
        <v>10</v>
      </c>
      <c r="DU14" s="19" t="n">
        <f aca="false">IF(AND(120&gt;=P_Inicio,120&lt;=Fin),INT((120-P_Inicio)/12)+1,0)</f>
        <v>10</v>
      </c>
      <c r="DV14" s="19" t="n">
        <f aca="false">IF(AND(121&gt;=P_Inicio,121&lt;=Fin),INT((121-P_Inicio)/12)+1,0)</f>
        <v>0</v>
      </c>
      <c r="DW14" s="19" t="n">
        <f aca="false">IF(AND(122&gt;=P_Inicio,122&lt;=Fin),INT((122-P_Inicio)/12)+1,0)</f>
        <v>0</v>
      </c>
      <c r="DX14" s="19" t="n">
        <f aca="false">IF(AND(123&gt;=P_Inicio,123&lt;=Fin),INT((123-P_Inicio)/12)+1,0)</f>
        <v>0</v>
      </c>
      <c r="DY14" s="19" t="n">
        <f aca="false">IF(AND(124&gt;=P_Inicio,124&lt;=Fin),INT((124-P_Inicio)/12)+1,0)</f>
        <v>0</v>
      </c>
      <c r="DZ14" s="19" t="n">
        <f aca="false">IF(AND(125&gt;=P_Inicio,125&lt;=Fin),INT((125-P_Inicio)/12)+1,0)</f>
        <v>0</v>
      </c>
      <c r="EA14" s="19" t="n">
        <f aca="false">IF(AND(126&gt;=P_Inicio,126&lt;=Fin),INT((126-P_Inicio)/12)+1,0)</f>
        <v>0</v>
      </c>
      <c r="EB14" s="19" t="n">
        <f aca="false">IF(AND(127&gt;=P_Inicio,127&lt;=Fin),INT((127-P_Inicio)/12)+1,0)</f>
        <v>0</v>
      </c>
      <c r="EC14" s="19" t="n">
        <f aca="false">IF(AND(128&gt;=P_Inicio,128&lt;=Fin),INT((128-P_Inicio)/12)+1,0)</f>
        <v>0</v>
      </c>
      <c r="ED14" s="19" t="n">
        <f aca="false">IF(AND(129&gt;=P_Inicio,129&lt;=Fin),INT((129-P_Inicio)/12)+1,0)</f>
        <v>0</v>
      </c>
      <c r="EE14" s="19" t="n">
        <f aca="false">IF(AND(130&gt;=P_Inicio,130&lt;=Fin),INT((130-P_Inicio)/12)+1,0)</f>
        <v>0</v>
      </c>
      <c r="EF14" s="19" t="n">
        <f aca="false">IF(AND(131&gt;=P_Inicio,131&lt;=Fin),INT((131-P_Inicio)/12)+1,0)</f>
        <v>0</v>
      </c>
      <c r="EG14" s="19" t="n">
        <f aca="false">IF(AND(132&gt;=P_Inicio,132&lt;=Fin),INT((132-P_Inicio)/12)+1,0)</f>
        <v>0</v>
      </c>
      <c r="EH14" s="19" t="n">
        <f aca="false">IF(AND(133&gt;=P_Inicio,133&lt;=Fin),INT((133-P_Inicio)/12)+1,0)</f>
        <v>0</v>
      </c>
      <c r="EI14" s="19" t="n">
        <f aca="false">IF(AND(134&gt;=P_Inicio,134&lt;=Fin),INT((134-P_Inicio)/12)+1,0)</f>
        <v>0</v>
      </c>
      <c r="EJ14" s="19" t="n">
        <f aca="false">IF(AND(135&gt;=P_Inicio,135&lt;=Fin),INT((135-P_Inicio)/12)+1,0)</f>
        <v>0</v>
      </c>
      <c r="EK14" s="19" t="n">
        <f aca="false">IF(AND(136&gt;=P_Inicio,136&lt;=Fin),INT((136-P_Inicio)/12)+1,0)</f>
        <v>0</v>
      </c>
      <c r="EL14" s="19" t="n">
        <f aca="false">IF(AND(137&gt;=P_Inicio,137&lt;=Fin),INT((137-P_Inicio)/12)+1,0)</f>
        <v>0</v>
      </c>
      <c r="EM14" s="19" t="n">
        <f aca="false">IF(AND(138&gt;=P_Inicio,138&lt;=Fin),INT((138-P_Inicio)/12)+1,0)</f>
        <v>0</v>
      </c>
      <c r="EN14" s="19" t="n">
        <f aca="false">IF(AND(139&gt;=P_Inicio,139&lt;=Fin),INT((139-P_Inicio)/12)+1,0)</f>
        <v>0</v>
      </c>
      <c r="EO14" s="19" t="n">
        <f aca="false">IF(AND(140&gt;=P_Inicio,140&lt;=Fin),INT((140-P_Inicio)/12)+1,0)</f>
        <v>0</v>
      </c>
      <c r="EP14" s="19" t="n">
        <f aca="false">IF(AND(141&gt;=P_Inicio,141&lt;=Fin),INT((141-P_Inicio)/12)+1,0)</f>
        <v>0</v>
      </c>
      <c r="EQ14" s="19" t="n">
        <f aca="false">IF(AND(142&gt;=P_Inicio,142&lt;=Fin),INT((142-P_Inicio)/12)+1,0)</f>
        <v>0</v>
      </c>
      <c r="ER14" s="19" t="n">
        <f aca="false">IF(AND(143&gt;=P_Inicio,143&lt;=Fin),INT((143-P_Inicio)/12)+1,0)</f>
        <v>0</v>
      </c>
      <c r="ES14" s="19" t="n">
        <f aca="false">IF(AND(144&gt;=P_Inicio,144&lt;=Fin),INT((144-P_Inicio)/12)+1,0)</f>
        <v>0</v>
      </c>
    </row>
    <row r="15" customFormat="false" ht="15" hidden="false" customHeight="false" outlineLevel="0" collapsed="false">
      <c r="A15" s="2" t="s">
        <v>421</v>
      </c>
      <c r="B15" s="6" t="s">
        <v>422</v>
      </c>
      <c r="C15" s="6" t="s">
        <v>423</v>
      </c>
      <c r="E15" s="51" t="n">
        <f aca="false">SUM(F15:ES15)</f>
        <v>120</v>
      </c>
      <c r="F15" s="19" t="n">
        <f aca="false">IF(F$14&gt;0,1,0)</f>
        <v>1</v>
      </c>
      <c r="G15" s="19" t="n">
        <f aca="false">IF(G$14&gt;0,1,0)</f>
        <v>1</v>
      </c>
      <c r="H15" s="19" t="n">
        <f aca="false">IF(H$14&gt;0,1,0)</f>
        <v>1</v>
      </c>
      <c r="I15" s="19" t="n">
        <f aca="false">IF(I$14&gt;0,1,0)</f>
        <v>1</v>
      </c>
      <c r="J15" s="19" t="n">
        <f aca="false">IF(J$14&gt;0,1,0)</f>
        <v>1</v>
      </c>
      <c r="K15" s="19" t="n">
        <f aca="false">IF(K$14&gt;0,1,0)</f>
        <v>1</v>
      </c>
      <c r="L15" s="19" t="n">
        <f aca="false">IF(L$14&gt;0,1,0)</f>
        <v>1</v>
      </c>
      <c r="M15" s="19" t="n">
        <f aca="false">IF(M$14&gt;0,1,0)</f>
        <v>1</v>
      </c>
      <c r="N15" s="19" t="n">
        <f aca="false">IF(N$14&gt;0,1,0)</f>
        <v>1</v>
      </c>
      <c r="O15" s="19" t="n">
        <f aca="false">IF(O$14&gt;0,1,0)</f>
        <v>1</v>
      </c>
      <c r="P15" s="19" t="n">
        <f aca="false">IF(P$14&gt;0,1,0)</f>
        <v>1</v>
      </c>
      <c r="Q15" s="19" t="n">
        <f aca="false">IF(Q$14&gt;0,1,0)</f>
        <v>1</v>
      </c>
      <c r="R15" s="19" t="n">
        <f aca="false">IF(R$14&gt;0,1,0)</f>
        <v>1</v>
      </c>
      <c r="S15" s="19" t="n">
        <f aca="false">IF(S$14&gt;0,1,0)</f>
        <v>1</v>
      </c>
      <c r="T15" s="19" t="n">
        <f aca="false">IF(T$14&gt;0,1,0)</f>
        <v>1</v>
      </c>
      <c r="U15" s="19" t="n">
        <f aca="false">IF(U$14&gt;0,1,0)</f>
        <v>1</v>
      </c>
      <c r="V15" s="19" t="n">
        <f aca="false">IF(V$14&gt;0,1,0)</f>
        <v>1</v>
      </c>
      <c r="W15" s="19" t="n">
        <f aca="false">IF(W$14&gt;0,1,0)</f>
        <v>1</v>
      </c>
      <c r="X15" s="19" t="n">
        <f aca="false">IF(X$14&gt;0,1,0)</f>
        <v>1</v>
      </c>
      <c r="Y15" s="19" t="n">
        <f aca="false">IF(Y$14&gt;0,1,0)</f>
        <v>1</v>
      </c>
      <c r="Z15" s="19" t="n">
        <f aca="false">IF(Z$14&gt;0,1,0)</f>
        <v>1</v>
      </c>
      <c r="AA15" s="19" t="n">
        <f aca="false">IF(AA$14&gt;0,1,0)</f>
        <v>1</v>
      </c>
      <c r="AB15" s="19" t="n">
        <f aca="false">IF(AB$14&gt;0,1,0)</f>
        <v>1</v>
      </c>
      <c r="AC15" s="19" t="n">
        <f aca="false">IF(AC$14&gt;0,1,0)</f>
        <v>1</v>
      </c>
      <c r="AD15" s="19" t="n">
        <f aca="false">IF(AD$14&gt;0,1,0)</f>
        <v>1</v>
      </c>
      <c r="AE15" s="19" t="n">
        <f aca="false">IF(AE$14&gt;0,1,0)</f>
        <v>1</v>
      </c>
      <c r="AF15" s="19" t="n">
        <f aca="false">IF(AF$14&gt;0,1,0)</f>
        <v>1</v>
      </c>
      <c r="AG15" s="19" t="n">
        <f aca="false">IF(AG$14&gt;0,1,0)</f>
        <v>1</v>
      </c>
      <c r="AH15" s="19" t="n">
        <f aca="false">IF(AH$14&gt;0,1,0)</f>
        <v>1</v>
      </c>
      <c r="AI15" s="19" t="n">
        <f aca="false">IF(AI$14&gt;0,1,0)</f>
        <v>1</v>
      </c>
      <c r="AJ15" s="19" t="n">
        <f aca="false">IF(AJ$14&gt;0,1,0)</f>
        <v>1</v>
      </c>
      <c r="AK15" s="19" t="n">
        <f aca="false">IF(AK$14&gt;0,1,0)</f>
        <v>1</v>
      </c>
      <c r="AL15" s="19" t="n">
        <f aca="false">IF(AL$14&gt;0,1,0)</f>
        <v>1</v>
      </c>
      <c r="AM15" s="19" t="n">
        <f aca="false">IF(AM$14&gt;0,1,0)</f>
        <v>1</v>
      </c>
      <c r="AN15" s="19" t="n">
        <f aca="false">IF(AN$14&gt;0,1,0)</f>
        <v>1</v>
      </c>
      <c r="AO15" s="19" t="n">
        <f aca="false">IF(AO$14&gt;0,1,0)</f>
        <v>1</v>
      </c>
      <c r="AP15" s="19" t="n">
        <f aca="false">IF(AP$14&gt;0,1,0)</f>
        <v>1</v>
      </c>
      <c r="AQ15" s="19" t="n">
        <f aca="false">IF(AQ$14&gt;0,1,0)</f>
        <v>1</v>
      </c>
      <c r="AR15" s="19" t="n">
        <f aca="false">IF(AR$14&gt;0,1,0)</f>
        <v>1</v>
      </c>
      <c r="AS15" s="19" t="n">
        <f aca="false">IF(AS$14&gt;0,1,0)</f>
        <v>1</v>
      </c>
      <c r="AT15" s="19" t="n">
        <f aca="false">IF(AT$14&gt;0,1,0)</f>
        <v>1</v>
      </c>
      <c r="AU15" s="19" t="n">
        <f aca="false">IF(AU$14&gt;0,1,0)</f>
        <v>1</v>
      </c>
      <c r="AV15" s="19" t="n">
        <f aca="false">IF(AV$14&gt;0,1,0)</f>
        <v>1</v>
      </c>
      <c r="AW15" s="19" t="n">
        <f aca="false">IF(AW$14&gt;0,1,0)</f>
        <v>1</v>
      </c>
      <c r="AX15" s="19" t="n">
        <f aca="false">IF(AX$14&gt;0,1,0)</f>
        <v>1</v>
      </c>
      <c r="AY15" s="19" t="n">
        <f aca="false">IF(AY$14&gt;0,1,0)</f>
        <v>1</v>
      </c>
      <c r="AZ15" s="19" t="n">
        <f aca="false">IF(AZ$14&gt;0,1,0)</f>
        <v>1</v>
      </c>
      <c r="BA15" s="19" t="n">
        <f aca="false">IF(BA$14&gt;0,1,0)</f>
        <v>1</v>
      </c>
      <c r="BB15" s="19" t="n">
        <f aca="false">IF(BB$14&gt;0,1,0)</f>
        <v>1</v>
      </c>
      <c r="BC15" s="19" t="n">
        <f aca="false">IF(BC$14&gt;0,1,0)</f>
        <v>1</v>
      </c>
      <c r="BD15" s="19" t="n">
        <f aca="false">IF(BD$14&gt;0,1,0)</f>
        <v>1</v>
      </c>
      <c r="BE15" s="19" t="n">
        <f aca="false">IF(BE$14&gt;0,1,0)</f>
        <v>1</v>
      </c>
      <c r="BF15" s="19" t="n">
        <f aca="false">IF(BF$14&gt;0,1,0)</f>
        <v>1</v>
      </c>
      <c r="BG15" s="19" t="n">
        <f aca="false">IF(BG$14&gt;0,1,0)</f>
        <v>1</v>
      </c>
      <c r="BH15" s="19" t="n">
        <f aca="false">IF(BH$14&gt;0,1,0)</f>
        <v>1</v>
      </c>
      <c r="BI15" s="19" t="n">
        <f aca="false">IF(BI$14&gt;0,1,0)</f>
        <v>1</v>
      </c>
      <c r="BJ15" s="19" t="n">
        <f aca="false">IF(BJ$14&gt;0,1,0)</f>
        <v>1</v>
      </c>
      <c r="BK15" s="19" t="n">
        <f aca="false">IF(BK$14&gt;0,1,0)</f>
        <v>1</v>
      </c>
      <c r="BL15" s="19" t="n">
        <f aca="false">IF(BL$14&gt;0,1,0)</f>
        <v>1</v>
      </c>
      <c r="BM15" s="19" t="n">
        <f aca="false">IF(BM$14&gt;0,1,0)</f>
        <v>1</v>
      </c>
      <c r="BN15" s="19" t="n">
        <f aca="false">IF(BN$14&gt;0,1,0)</f>
        <v>1</v>
      </c>
      <c r="BO15" s="19" t="n">
        <f aca="false">IF(BO$14&gt;0,1,0)</f>
        <v>1</v>
      </c>
      <c r="BP15" s="19" t="n">
        <f aca="false">IF(BP$14&gt;0,1,0)</f>
        <v>1</v>
      </c>
      <c r="BQ15" s="19" t="n">
        <f aca="false">IF(BQ$14&gt;0,1,0)</f>
        <v>1</v>
      </c>
      <c r="BR15" s="19" t="n">
        <f aca="false">IF(BR$14&gt;0,1,0)</f>
        <v>1</v>
      </c>
      <c r="BS15" s="19" t="n">
        <f aca="false">IF(BS$14&gt;0,1,0)</f>
        <v>1</v>
      </c>
      <c r="BT15" s="19" t="n">
        <f aca="false">IF(BT$14&gt;0,1,0)</f>
        <v>1</v>
      </c>
      <c r="BU15" s="19" t="n">
        <f aca="false">IF(BU$14&gt;0,1,0)</f>
        <v>1</v>
      </c>
      <c r="BV15" s="19" t="n">
        <f aca="false">IF(BV$14&gt;0,1,0)</f>
        <v>1</v>
      </c>
      <c r="BW15" s="19" t="n">
        <f aca="false">IF(BW$14&gt;0,1,0)</f>
        <v>1</v>
      </c>
      <c r="BX15" s="19" t="n">
        <f aca="false">IF(BX$14&gt;0,1,0)</f>
        <v>1</v>
      </c>
      <c r="BY15" s="19" t="n">
        <f aca="false">IF(BY$14&gt;0,1,0)</f>
        <v>1</v>
      </c>
      <c r="BZ15" s="19" t="n">
        <f aca="false">IF(BZ$14&gt;0,1,0)</f>
        <v>1</v>
      </c>
      <c r="CA15" s="19" t="n">
        <f aca="false">IF(CA$14&gt;0,1,0)</f>
        <v>1</v>
      </c>
      <c r="CB15" s="19" t="n">
        <f aca="false">IF(CB$14&gt;0,1,0)</f>
        <v>1</v>
      </c>
      <c r="CC15" s="19" t="n">
        <f aca="false">IF(CC$14&gt;0,1,0)</f>
        <v>1</v>
      </c>
      <c r="CD15" s="19" t="n">
        <f aca="false">IF(CD$14&gt;0,1,0)</f>
        <v>1</v>
      </c>
      <c r="CE15" s="19" t="n">
        <f aca="false">IF(CE$14&gt;0,1,0)</f>
        <v>1</v>
      </c>
      <c r="CF15" s="19" t="n">
        <f aca="false">IF(CF$14&gt;0,1,0)</f>
        <v>1</v>
      </c>
      <c r="CG15" s="19" t="n">
        <f aca="false">IF(CG$14&gt;0,1,0)</f>
        <v>1</v>
      </c>
      <c r="CH15" s="19" t="n">
        <f aca="false">IF(CH$14&gt;0,1,0)</f>
        <v>1</v>
      </c>
      <c r="CI15" s="19" t="n">
        <f aca="false">IF(CI$14&gt;0,1,0)</f>
        <v>1</v>
      </c>
      <c r="CJ15" s="19" t="n">
        <f aca="false">IF(CJ$14&gt;0,1,0)</f>
        <v>1</v>
      </c>
      <c r="CK15" s="19" t="n">
        <f aca="false">IF(CK$14&gt;0,1,0)</f>
        <v>1</v>
      </c>
      <c r="CL15" s="19" t="n">
        <f aca="false">IF(CL$14&gt;0,1,0)</f>
        <v>1</v>
      </c>
      <c r="CM15" s="19" t="n">
        <f aca="false">IF(CM$14&gt;0,1,0)</f>
        <v>1</v>
      </c>
      <c r="CN15" s="19" t="n">
        <f aca="false">IF(CN$14&gt;0,1,0)</f>
        <v>1</v>
      </c>
      <c r="CO15" s="19" t="n">
        <f aca="false">IF(CO$14&gt;0,1,0)</f>
        <v>1</v>
      </c>
      <c r="CP15" s="19" t="n">
        <f aca="false">IF(CP$14&gt;0,1,0)</f>
        <v>1</v>
      </c>
      <c r="CQ15" s="19" t="n">
        <f aca="false">IF(CQ$14&gt;0,1,0)</f>
        <v>1</v>
      </c>
      <c r="CR15" s="19" t="n">
        <f aca="false">IF(CR$14&gt;0,1,0)</f>
        <v>1</v>
      </c>
      <c r="CS15" s="19" t="n">
        <f aca="false">IF(CS$14&gt;0,1,0)</f>
        <v>1</v>
      </c>
      <c r="CT15" s="19" t="n">
        <f aca="false">IF(CT$14&gt;0,1,0)</f>
        <v>1</v>
      </c>
      <c r="CU15" s="19" t="n">
        <f aca="false">IF(CU$14&gt;0,1,0)</f>
        <v>1</v>
      </c>
      <c r="CV15" s="19" t="n">
        <f aca="false">IF(CV$14&gt;0,1,0)</f>
        <v>1</v>
      </c>
      <c r="CW15" s="19" t="n">
        <f aca="false">IF(CW$14&gt;0,1,0)</f>
        <v>1</v>
      </c>
      <c r="CX15" s="19" t="n">
        <f aca="false">IF(CX$14&gt;0,1,0)</f>
        <v>1</v>
      </c>
      <c r="CY15" s="19" t="n">
        <f aca="false">IF(CY$14&gt;0,1,0)</f>
        <v>1</v>
      </c>
      <c r="CZ15" s="19" t="n">
        <f aca="false">IF(CZ$14&gt;0,1,0)</f>
        <v>1</v>
      </c>
      <c r="DA15" s="19" t="n">
        <f aca="false">IF(DA$14&gt;0,1,0)</f>
        <v>1</v>
      </c>
      <c r="DB15" s="19" t="n">
        <f aca="false">IF(DB$14&gt;0,1,0)</f>
        <v>1</v>
      </c>
      <c r="DC15" s="19" t="n">
        <f aca="false">IF(DC$14&gt;0,1,0)</f>
        <v>1</v>
      </c>
      <c r="DD15" s="19" t="n">
        <f aca="false">IF(DD$14&gt;0,1,0)</f>
        <v>1</v>
      </c>
      <c r="DE15" s="19" t="n">
        <f aca="false">IF(DE$14&gt;0,1,0)</f>
        <v>1</v>
      </c>
      <c r="DF15" s="19" t="n">
        <f aca="false">IF(DF$14&gt;0,1,0)</f>
        <v>1</v>
      </c>
      <c r="DG15" s="19" t="n">
        <f aca="false">IF(DG$14&gt;0,1,0)</f>
        <v>1</v>
      </c>
      <c r="DH15" s="19" t="n">
        <f aca="false">IF(DH$14&gt;0,1,0)</f>
        <v>1</v>
      </c>
      <c r="DI15" s="19" t="n">
        <f aca="false">IF(DI$14&gt;0,1,0)</f>
        <v>1</v>
      </c>
      <c r="DJ15" s="19" t="n">
        <f aca="false">IF(DJ$14&gt;0,1,0)</f>
        <v>1</v>
      </c>
      <c r="DK15" s="19" t="n">
        <f aca="false">IF(DK$14&gt;0,1,0)</f>
        <v>1</v>
      </c>
      <c r="DL15" s="19" t="n">
        <f aca="false">IF(DL$14&gt;0,1,0)</f>
        <v>1</v>
      </c>
      <c r="DM15" s="19" t="n">
        <f aca="false">IF(DM$14&gt;0,1,0)</f>
        <v>1</v>
      </c>
      <c r="DN15" s="19" t="n">
        <f aca="false">IF(DN$14&gt;0,1,0)</f>
        <v>1</v>
      </c>
      <c r="DO15" s="19" t="n">
        <f aca="false">IF(DO$14&gt;0,1,0)</f>
        <v>1</v>
      </c>
      <c r="DP15" s="19" t="n">
        <f aca="false">IF(DP$14&gt;0,1,0)</f>
        <v>1</v>
      </c>
      <c r="DQ15" s="19" t="n">
        <f aca="false">IF(DQ$14&gt;0,1,0)</f>
        <v>1</v>
      </c>
      <c r="DR15" s="19" t="n">
        <f aca="false">IF(DR$14&gt;0,1,0)</f>
        <v>1</v>
      </c>
      <c r="DS15" s="19" t="n">
        <f aca="false">IF(DS$14&gt;0,1,0)</f>
        <v>1</v>
      </c>
      <c r="DT15" s="19" t="n">
        <f aca="false">IF(DT$14&gt;0,1,0)</f>
        <v>1</v>
      </c>
      <c r="DU15" s="19" t="n">
        <f aca="false">IF(DU$14&gt;0,1,0)</f>
        <v>1</v>
      </c>
      <c r="DV15" s="19" t="n">
        <f aca="false">IF(DV$14&gt;0,1,0)</f>
        <v>0</v>
      </c>
      <c r="DW15" s="19" t="n">
        <f aca="false">IF(DW$14&gt;0,1,0)</f>
        <v>0</v>
      </c>
      <c r="DX15" s="19" t="n">
        <f aca="false">IF(DX$14&gt;0,1,0)</f>
        <v>0</v>
      </c>
      <c r="DY15" s="19" t="n">
        <f aca="false">IF(DY$14&gt;0,1,0)</f>
        <v>0</v>
      </c>
      <c r="DZ15" s="19" t="n">
        <f aca="false">IF(DZ$14&gt;0,1,0)</f>
        <v>0</v>
      </c>
      <c r="EA15" s="19" t="n">
        <f aca="false">IF(EA$14&gt;0,1,0)</f>
        <v>0</v>
      </c>
      <c r="EB15" s="19" t="n">
        <f aca="false">IF(EB$14&gt;0,1,0)</f>
        <v>0</v>
      </c>
      <c r="EC15" s="19" t="n">
        <f aca="false">IF(EC$14&gt;0,1,0)</f>
        <v>0</v>
      </c>
      <c r="ED15" s="19" t="n">
        <f aca="false">IF(ED$14&gt;0,1,0)</f>
        <v>0</v>
      </c>
      <c r="EE15" s="19" t="n">
        <f aca="false">IF(EE$14&gt;0,1,0)</f>
        <v>0</v>
      </c>
      <c r="EF15" s="19" t="n">
        <f aca="false">IF(EF$14&gt;0,1,0)</f>
        <v>0</v>
      </c>
      <c r="EG15" s="19" t="n">
        <f aca="false">IF(EG$14&gt;0,1,0)</f>
        <v>0</v>
      </c>
      <c r="EH15" s="19" t="n">
        <f aca="false">IF(EH$14&gt;0,1,0)</f>
        <v>0</v>
      </c>
      <c r="EI15" s="19" t="n">
        <f aca="false">IF(EI$14&gt;0,1,0)</f>
        <v>0</v>
      </c>
      <c r="EJ15" s="19" t="n">
        <f aca="false">IF(EJ$14&gt;0,1,0)</f>
        <v>0</v>
      </c>
      <c r="EK15" s="19" t="n">
        <f aca="false">IF(EK$14&gt;0,1,0)</f>
        <v>0</v>
      </c>
      <c r="EL15" s="19" t="n">
        <f aca="false">IF(EL$14&gt;0,1,0)</f>
        <v>0</v>
      </c>
      <c r="EM15" s="19" t="n">
        <f aca="false">IF(EM$14&gt;0,1,0)</f>
        <v>0</v>
      </c>
      <c r="EN15" s="19" t="n">
        <f aca="false">IF(EN$14&gt;0,1,0)</f>
        <v>0</v>
      </c>
      <c r="EO15" s="19" t="n">
        <f aca="false">IF(EO$14&gt;0,1,0)</f>
        <v>0</v>
      </c>
      <c r="EP15" s="19" t="n">
        <f aca="false">IF(EP$14&gt;0,1,0)</f>
        <v>0</v>
      </c>
      <c r="EQ15" s="19" t="n">
        <f aca="false">IF(EQ$14&gt;0,1,0)</f>
        <v>0</v>
      </c>
      <c r="ER15" s="19" t="n">
        <f aca="false">IF(ER$14&gt;0,1,0)</f>
        <v>0</v>
      </c>
      <c r="ES15" s="19" t="n">
        <f aca="false">IF(ES$14&gt;0,1,0)</f>
        <v>0</v>
      </c>
    </row>
    <row r="16" customFormat="false" ht="15" hidden="false" customHeight="false" outlineLevel="0" collapsed="false">
      <c r="A16" s="2" t="s">
        <v>424</v>
      </c>
      <c r="B16" s="6" t="s">
        <v>425</v>
      </c>
      <c r="C16" s="6" t="s">
        <v>423</v>
      </c>
      <c r="E16" s="51" t="n">
        <f aca="false">SUM(F16:ES16)</f>
        <v>0</v>
      </c>
      <c r="F16" s="19" t="n">
        <f aca="false">IF(AND(1&lt;P_Inicio,1&lt;=Fin),1,0)</f>
        <v>0</v>
      </c>
      <c r="G16" s="19" t="n">
        <f aca="false">IF(AND(2&lt;P_Inicio,2&lt;=Fin),1,0)</f>
        <v>0</v>
      </c>
      <c r="H16" s="19" t="n">
        <f aca="false">IF(AND(3&lt;P_Inicio,3&lt;=Fin),1,0)</f>
        <v>0</v>
      </c>
      <c r="I16" s="19" t="n">
        <f aca="false">IF(AND(4&lt;P_Inicio,4&lt;=Fin),1,0)</f>
        <v>0</v>
      </c>
      <c r="J16" s="19" t="n">
        <f aca="false">IF(AND(5&lt;P_Inicio,5&lt;=Fin),1,0)</f>
        <v>0</v>
      </c>
      <c r="K16" s="19" t="n">
        <f aca="false">IF(AND(6&lt;P_Inicio,6&lt;=Fin),1,0)</f>
        <v>0</v>
      </c>
      <c r="L16" s="19" t="n">
        <f aca="false">IF(AND(7&lt;P_Inicio,7&lt;=Fin),1,0)</f>
        <v>0</v>
      </c>
      <c r="M16" s="19" t="n">
        <f aca="false">IF(AND(8&lt;P_Inicio,8&lt;=Fin),1,0)</f>
        <v>0</v>
      </c>
      <c r="N16" s="19" t="n">
        <f aca="false">IF(AND(9&lt;P_Inicio,9&lt;=Fin),1,0)</f>
        <v>0</v>
      </c>
      <c r="O16" s="19" t="n">
        <f aca="false">IF(AND(10&lt;P_Inicio,10&lt;=Fin),1,0)</f>
        <v>0</v>
      </c>
      <c r="P16" s="19" t="n">
        <f aca="false">IF(AND(11&lt;P_Inicio,11&lt;=Fin),1,0)</f>
        <v>0</v>
      </c>
      <c r="Q16" s="19" t="n">
        <f aca="false">IF(AND(12&lt;P_Inicio,12&lt;=Fin),1,0)</f>
        <v>0</v>
      </c>
      <c r="R16" s="19" t="n">
        <f aca="false">IF(AND(13&lt;P_Inicio,13&lt;=Fin),1,0)</f>
        <v>0</v>
      </c>
      <c r="S16" s="19" t="n">
        <f aca="false">IF(AND(14&lt;P_Inicio,14&lt;=Fin),1,0)</f>
        <v>0</v>
      </c>
      <c r="T16" s="19" t="n">
        <f aca="false">IF(AND(15&lt;P_Inicio,15&lt;=Fin),1,0)</f>
        <v>0</v>
      </c>
      <c r="U16" s="19" t="n">
        <f aca="false">IF(AND(16&lt;P_Inicio,16&lt;=Fin),1,0)</f>
        <v>0</v>
      </c>
      <c r="V16" s="19" t="n">
        <f aca="false">IF(AND(17&lt;P_Inicio,17&lt;=Fin),1,0)</f>
        <v>0</v>
      </c>
      <c r="W16" s="19" t="n">
        <f aca="false">IF(AND(18&lt;P_Inicio,18&lt;=Fin),1,0)</f>
        <v>0</v>
      </c>
      <c r="X16" s="19" t="n">
        <f aca="false">IF(AND(19&lt;P_Inicio,19&lt;=Fin),1,0)</f>
        <v>0</v>
      </c>
      <c r="Y16" s="19" t="n">
        <f aca="false">IF(AND(20&lt;P_Inicio,20&lt;=Fin),1,0)</f>
        <v>0</v>
      </c>
      <c r="Z16" s="19" t="n">
        <f aca="false">IF(AND(21&lt;P_Inicio,21&lt;=Fin),1,0)</f>
        <v>0</v>
      </c>
      <c r="AA16" s="19" t="n">
        <f aca="false">IF(AND(22&lt;P_Inicio,22&lt;=Fin),1,0)</f>
        <v>0</v>
      </c>
      <c r="AB16" s="19" t="n">
        <f aca="false">IF(AND(23&lt;P_Inicio,23&lt;=Fin),1,0)</f>
        <v>0</v>
      </c>
      <c r="AC16" s="19" t="n">
        <f aca="false">IF(AND(24&lt;P_Inicio,24&lt;=Fin),1,0)</f>
        <v>0</v>
      </c>
      <c r="AD16" s="19" t="n">
        <f aca="false">IF(AND(25&lt;P_Inicio,25&lt;=Fin),1,0)</f>
        <v>0</v>
      </c>
      <c r="AE16" s="19" t="n">
        <f aca="false">IF(AND(26&lt;P_Inicio,26&lt;=Fin),1,0)</f>
        <v>0</v>
      </c>
      <c r="AF16" s="19" t="n">
        <f aca="false">IF(AND(27&lt;P_Inicio,27&lt;=Fin),1,0)</f>
        <v>0</v>
      </c>
      <c r="AG16" s="19" t="n">
        <f aca="false">IF(AND(28&lt;P_Inicio,28&lt;=Fin),1,0)</f>
        <v>0</v>
      </c>
      <c r="AH16" s="19" t="n">
        <f aca="false">IF(AND(29&lt;P_Inicio,29&lt;=Fin),1,0)</f>
        <v>0</v>
      </c>
      <c r="AI16" s="19" t="n">
        <f aca="false">IF(AND(30&lt;P_Inicio,30&lt;=Fin),1,0)</f>
        <v>0</v>
      </c>
      <c r="AJ16" s="19" t="n">
        <f aca="false">IF(AND(31&lt;P_Inicio,31&lt;=Fin),1,0)</f>
        <v>0</v>
      </c>
      <c r="AK16" s="19" t="n">
        <f aca="false">IF(AND(32&lt;P_Inicio,32&lt;=Fin),1,0)</f>
        <v>0</v>
      </c>
      <c r="AL16" s="19" t="n">
        <f aca="false">IF(AND(33&lt;P_Inicio,33&lt;=Fin),1,0)</f>
        <v>0</v>
      </c>
      <c r="AM16" s="19" t="n">
        <f aca="false">IF(AND(34&lt;P_Inicio,34&lt;=Fin),1,0)</f>
        <v>0</v>
      </c>
      <c r="AN16" s="19" t="n">
        <f aca="false">IF(AND(35&lt;P_Inicio,35&lt;=Fin),1,0)</f>
        <v>0</v>
      </c>
      <c r="AO16" s="19" t="n">
        <f aca="false">IF(AND(36&lt;P_Inicio,36&lt;=Fin),1,0)</f>
        <v>0</v>
      </c>
      <c r="AP16" s="19" t="n">
        <f aca="false">IF(AND(37&lt;P_Inicio,37&lt;=Fin),1,0)</f>
        <v>0</v>
      </c>
      <c r="AQ16" s="19" t="n">
        <f aca="false">IF(AND(38&lt;P_Inicio,38&lt;=Fin),1,0)</f>
        <v>0</v>
      </c>
      <c r="AR16" s="19" t="n">
        <f aca="false">IF(AND(39&lt;P_Inicio,39&lt;=Fin),1,0)</f>
        <v>0</v>
      </c>
      <c r="AS16" s="19" t="n">
        <f aca="false">IF(AND(40&lt;P_Inicio,40&lt;=Fin),1,0)</f>
        <v>0</v>
      </c>
      <c r="AT16" s="19" t="n">
        <f aca="false">IF(AND(41&lt;P_Inicio,41&lt;=Fin),1,0)</f>
        <v>0</v>
      </c>
      <c r="AU16" s="19" t="n">
        <f aca="false">IF(AND(42&lt;P_Inicio,42&lt;=Fin),1,0)</f>
        <v>0</v>
      </c>
      <c r="AV16" s="19" t="n">
        <f aca="false">IF(AND(43&lt;P_Inicio,43&lt;=Fin),1,0)</f>
        <v>0</v>
      </c>
      <c r="AW16" s="19" t="n">
        <f aca="false">IF(AND(44&lt;P_Inicio,44&lt;=Fin),1,0)</f>
        <v>0</v>
      </c>
      <c r="AX16" s="19" t="n">
        <f aca="false">IF(AND(45&lt;P_Inicio,45&lt;=Fin),1,0)</f>
        <v>0</v>
      </c>
      <c r="AY16" s="19" t="n">
        <f aca="false">IF(AND(46&lt;P_Inicio,46&lt;=Fin),1,0)</f>
        <v>0</v>
      </c>
      <c r="AZ16" s="19" t="n">
        <f aca="false">IF(AND(47&lt;P_Inicio,47&lt;=Fin),1,0)</f>
        <v>0</v>
      </c>
      <c r="BA16" s="19" t="n">
        <f aca="false">IF(AND(48&lt;P_Inicio,48&lt;=Fin),1,0)</f>
        <v>0</v>
      </c>
      <c r="BB16" s="19" t="n">
        <f aca="false">IF(AND(49&lt;P_Inicio,49&lt;=Fin),1,0)</f>
        <v>0</v>
      </c>
      <c r="BC16" s="19" t="n">
        <f aca="false">IF(AND(50&lt;P_Inicio,50&lt;=Fin),1,0)</f>
        <v>0</v>
      </c>
      <c r="BD16" s="19" t="n">
        <f aca="false">IF(AND(51&lt;P_Inicio,51&lt;=Fin),1,0)</f>
        <v>0</v>
      </c>
      <c r="BE16" s="19" t="n">
        <f aca="false">IF(AND(52&lt;P_Inicio,52&lt;=Fin),1,0)</f>
        <v>0</v>
      </c>
      <c r="BF16" s="19" t="n">
        <f aca="false">IF(AND(53&lt;P_Inicio,53&lt;=Fin),1,0)</f>
        <v>0</v>
      </c>
      <c r="BG16" s="19" t="n">
        <f aca="false">IF(AND(54&lt;P_Inicio,54&lt;=Fin),1,0)</f>
        <v>0</v>
      </c>
      <c r="BH16" s="19" t="n">
        <f aca="false">IF(AND(55&lt;P_Inicio,55&lt;=Fin),1,0)</f>
        <v>0</v>
      </c>
      <c r="BI16" s="19" t="n">
        <f aca="false">IF(AND(56&lt;P_Inicio,56&lt;=Fin),1,0)</f>
        <v>0</v>
      </c>
      <c r="BJ16" s="19" t="n">
        <f aca="false">IF(AND(57&lt;P_Inicio,57&lt;=Fin),1,0)</f>
        <v>0</v>
      </c>
      <c r="BK16" s="19" t="n">
        <f aca="false">IF(AND(58&lt;P_Inicio,58&lt;=Fin),1,0)</f>
        <v>0</v>
      </c>
      <c r="BL16" s="19" t="n">
        <f aca="false">IF(AND(59&lt;P_Inicio,59&lt;=Fin),1,0)</f>
        <v>0</v>
      </c>
      <c r="BM16" s="19" t="n">
        <f aca="false">IF(AND(60&lt;P_Inicio,60&lt;=Fin),1,0)</f>
        <v>0</v>
      </c>
      <c r="BN16" s="19" t="n">
        <f aca="false">IF(AND(61&lt;P_Inicio,61&lt;=Fin),1,0)</f>
        <v>0</v>
      </c>
      <c r="BO16" s="19" t="n">
        <f aca="false">IF(AND(62&lt;P_Inicio,62&lt;=Fin),1,0)</f>
        <v>0</v>
      </c>
      <c r="BP16" s="19" t="n">
        <f aca="false">IF(AND(63&lt;P_Inicio,63&lt;=Fin),1,0)</f>
        <v>0</v>
      </c>
      <c r="BQ16" s="19" t="n">
        <f aca="false">IF(AND(64&lt;P_Inicio,64&lt;=Fin),1,0)</f>
        <v>0</v>
      </c>
      <c r="BR16" s="19" t="n">
        <f aca="false">IF(AND(65&lt;P_Inicio,65&lt;=Fin),1,0)</f>
        <v>0</v>
      </c>
      <c r="BS16" s="19" t="n">
        <f aca="false">IF(AND(66&lt;P_Inicio,66&lt;=Fin),1,0)</f>
        <v>0</v>
      </c>
      <c r="BT16" s="19" t="n">
        <f aca="false">IF(AND(67&lt;P_Inicio,67&lt;=Fin),1,0)</f>
        <v>0</v>
      </c>
      <c r="BU16" s="19" t="n">
        <f aca="false">IF(AND(68&lt;P_Inicio,68&lt;=Fin),1,0)</f>
        <v>0</v>
      </c>
      <c r="BV16" s="19" t="n">
        <f aca="false">IF(AND(69&lt;P_Inicio,69&lt;=Fin),1,0)</f>
        <v>0</v>
      </c>
      <c r="BW16" s="19" t="n">
        <f aca="false">IF(AND(70&lt;P_Inicio,70&lt;=Fin),1,0)</f>
        <v>0</v>
      </c>
      <c r="BX16" s="19" t="n">
        <f aca="false">IF(AND(71&lt;P_Inicio,71&lt;=Fin),1,0)</f>
        <v>0</v>
      </c>
      <c r="BY16" s="19" t="n">
        <f aca="false">IF(AND(72&lt;P_Inicio,72&lt;=Fin),1,0)</f>
        <v>0</v>
      </c>
      <c r="BZ16" s="19" t="n">
        <f aca="false">IF(AND(73&lt;P_Inicio,73&lt;=Fin),1,0)</f>
        <v>0</v>
      </c>
      <c r="CA16" s="19" t="n">
        <f aca="false">IF(AND(74&lt;P_Inicio,74&lt;=Fin),1,0)</f>
        <v>0</v>
      </c>
      <c r="CB16" s="19" t="n">
        <f aca="false">IF(AND(75&lt;P_Inicio,75&lt;=Fin),1,0)</f>
        <v>0</v>
      </c>
      <c r="CC16" s="19" t="n">
        <f aca="false">IF(AND(76&lt;P_Inicio,76&lt;=Fin),1,0)</f>
        <v>0</v>
      </c>
      <c r="CD16" s="19" t="n">
        <f aca="false">IF(AND(77&lt;P_Inicio,77&lt;=Fin),1,0)</f>
        <v>0</v>
      </c>
      <c r="CE16" s="19" t="n">
        <f aca="false">IF(AND(78&lt;P_Inicio,78&lt;=Fin),1,0)</f>
        <v>0</v>
      </c>
      <c r="CF16" s="19" t="n">
        <f aca="false">IF(AND(79&lt;P_Inicio,79&lt;=Fin),1,0)</f>
        <v>0</v>
      </c>
      <c r="CG16" s="19" t="n">
        <f aca="false">IF(AND(80&lt;P_Inicio,80&lt;=Fin),1,0)</f>
        <v>0</v>
      </c>
      <c r="CH16" s="19" t="n">
        <f aca="false">IF(AND(81&lt;P_Inicio,81&lt;=Fin),1,0)</f>
        <v>0</v>
      </c>
      <c r="CI16" s="19" t="n">
        <f aca="false">IF(AND(82&lt;P_Inicio,82&lt;=Fin),1,0)</f>
        <v>0</v>
      </c>
      <c r="CJ16" s="19" t="n">
        <f aca="false">IF(AND(83&lt;P_Inicio,83&lt;=Fin),1,0)</f>
        <v>0</v>
      </c>
      <c r="CK16" s="19" t="n">
        <f aca="false">IF(AND(84&lt;P_Inicio,84&lt;=Fin),1,0)</f>
        <v>0</v>
      </c>
      <c r="CL16" s="19" t="n">
        <f aca="false">IF(AND(85&lt;P_Inicio,85&lt;=Fin),1,0)</f>
        <v>0</v>
      </c>
      <c r="CM16" s="19" t="n">
        <f aca="false">IF(AND(86&lt;P_Inicio,86&lt;=Fin),1,0)</f>
        <v>0</v>
      </c>
      <c r="CN16" s="19" t="n">
        <f aca="false">IF(AND(87&lt;P_Inicio,87&lt;=Fin),1,0)</f>
        <v>0</v>
      </c>
      <c r="CO16" s="19" t="n">
        <f aca="false">IF(AND(88&lt;P_Inicio,88&lt;=Fin),1,0)</f>
        <v>0</v>
      </c>
      <c r="CP16" s="19" t="n">
        <f aca="false">IF(AND(89&lt;P_Inicio,89&lt;=Fin),1,0)</f>
        <v>0</v>
      </c>
      <c r="CQ16" s="19" t="n">
        <f aca="false">IF(AND(90&lt;P_Inicio,90&lt;=Fin),1,0)</f>
        <v>0</v>
      </c>
      <c r="CR16" s="19" t="n">
        <f aca="false">IF(AND(91&lt;P_Inicio,91&lt;=Fin),1,0)</f>
        <v>0</v>
      </c>
      <c r="CS16" s="19" t="n">
        <f aca="false">IF(AND(92&lt;P_Inicio,92&lt;=Fin),1,0)</f>
        <v>0</v>
      </c>
      <c r="CT16" s="19" t="n">
        <f aca="false">IF(AND(93&lt;P_Inicio,93&lt;=Fin),1,0)</f>
        <v>0</v>
      </c>
      <c r="CU16" s="19" t="n">
        <f aca="false">IF(AND(94&lt;P_Inicio,94&lt;=Fin),1,0)</f>
        <v>0</v>
      </c>
      <c r="CV16" s="19" t="n">
        <f aca="false">IF(AND(95&lt;P_Inicio,95&lt;=Fin),1,0)</f>
        <v>0</v>
      </c>
      <c r="CW16" s="19" t="n">
        <f aca="false">IF(AND(96&lt;P_Inicio,96&lt;=Fin),1,0)</f>
        <v>0</v>
      </c>
      <c r="CX16" s="19" t="n">
        <f aca="false">IF(AND(97&lt;P_Inicio,97&lt;=Fin),1,0)</f>
        <v>0</v>
      </c>
      <c r="CY16" s="19" t="n">
        <f aca="false">IF(AND(98&lt;P_Inicio,98&lt;=Fin),1,0)</f>
        <v>0</v>
      </c>
      <c r="CZ16" s="19" t="n">
        <f aca="false">IF(AND(99&lt;P_Inicio,99&lt;=Fin),1,0)</f>
        <v>0</v>
      </c>
      <c r="DA16" s="19" t="n">
        <f aca="false">IF(AND(100&lt;P_Inicio,100&lt;=Fin),1,0)</f>
        <v>0</v>
      </c>
      <c r="DB16" s="19" t="n">
        <f aca="false">IF(AND(101&lt;P_Inicio,101&lt;=Fin),1,0)</f>
        <v>0</v>
      </c>
      <c r="DC16" s="19" t="n">
        <f aca="false">IF(AND(102&lt;P_Inicio,102&lt;=Fin),1,0)</f>
        <v>0</v>
      </c>
      <c r="DD16" s="19" t="n">
        <f aca="false">IF(AND(103&lt;P_Inicio,103&lt;=Fin),1,0)</f>
        <v>0</v>
      </c>
      <c r="DE16" s="19" t="n">
        <f aca="false">IF(AND(104&lt;P_Inicio,104&lt;=Fin),1,0)</f>
        <v>0</v>
      </c>
      <c r="DF16" s="19" t="n">
        <f aca="false">IF(AND(105&lt;P_Inicio,105&lt;=Fin),1,0)</f>
        <v>0</v>
      </c>
      <c r="DG16" s="19" t="n">
        <f aca="false">IF(AND(106&lt;P_Inicio,106&lt;=Fin),1,0)</f>
        <v>0</v>
      </c>
      <c r="DH16" s="19" t="n">
        <f aca="false">IF(AND(107&lt;P_Inicio,107&lt;=Fin),1,0)</f>
        <v>0</v>
      </c>
      <c r="DI16" s="19" t="n">
        <f aca="false">IF(AND(108&lt;P_Inicio,108&lt;=Fin),1,0)</f>
        <v>0</v>
      </c>
      <c r="DJ16" s="19" t="n">
        <f aca="false">IF(AND(109&lt;P_Inicio,109&lt;=Fin),1,0)</f>
        <v>0</v>
      </c>
      <c r="DK16" s="19" t="n">
        <f aca="false">IF(AND(110&lt;P_Inicio,110&lt;=Fin),1,0)</f>
        <v>0</v>
      </c>
      <c r="DL16" s="19" t="n">
        <f aca="false">IF(AND(111&lt;P_Inicio,111&lt;=Fin),1,0)</f>
        <v>0</v>
      </c>
      <c r="DM16" s="19" t="n">
        <f aca="false">IF(AND(112&lt;P_Inicio,112&lt;=Fin),1,0)</f>
        <v>0</v>
      </c>
      <c r="DN16" s="19" t="n">
        <f aca="false">IF(AND(113&lt;P_Inicio,113&lt;=Fin),1,0)</f>
        <v>0</v>
      </c>
      <c r="DO16" s="19" t="n">
        <f aca="false">IF(AND(114&lt;P_Inicio,114&lt;=Fin),1,0)</f>
        <v>0</v>
      </c>
      <c r="DP16" s="19" t="n">
        <f aca="false">IF(AND(115&lt;P_Inicio,115&lt;=Fin),1,0)</f>
        <v>0</v>
      </c>
      <c r="DQ16" s="19" t="n">
        <f aca="false">IF(AND(116&lt;P_Inicio,116&lt;=Fin),1,0)</f>
        <v>0</v>
      </c>
      <c r="DR16" s="19" t="n">
        <f aca="false">IF(AND(117&lt;P_Inicio,117&lt;=Fin),1,0)</f>
        <v>0</v>
      </c>
      <c r="DS16" s="19" t="n">
        <f aca="false">IF(AND(118&lt;P_Inicio,118&lt;=Fin),1,0)</f>
        <v>0</v>
      </c>
      <c r="DT16" s="19" t="n">
        <f aca="false">IF(AND(119&lt;P_Inicio,119&lt;=Fin),1,0)</f>
        <v>0</v>
      </c>
      <c r="DU16" s="19" t="n">
        <f aca="false">IF(AND(120&lt;P_Inicio,120&lt;=Fin),1,0)</f>
        <v>0</v>
      </c>
      <c r="DV16" s="19" t="n">
        <f aca="false">IF(AND(121&lt;P_Inicio,121&lt;=Fin),1,0)</f>
        <v>0</v>
      </c>
      <c r="DW16" s="19" t="n">
        <f aca="false">IF(AND(122&lt;P_Inicio,122&lt;=Fin),1,0)</f>
        <v>0</v>
      </c>
      <c r="DX16" s="19" t="n">
        <f aca="false">IF(AND(123&lt;P_Inicio,123&lt;=Fin),1,0)</f>
        <v>0</v>
      </c>
      <c r="DY16" s="19" t="n">
        <f aca="false">IF(AND(124&lt;P_Inicio,124&lt;=Fin),1,0)</f>
        <v>0</v>
      </c>
      <c r="DZ16" s="19" t="n">
        <f aca="false">IF(AND(125&lt;P_Inicio,125&lt;=Fin),1,0)</f>
        <v>0</v>
      </c>
      <c r="EA16" s="19" t="n">
        <f aca="false">IF(AND(126&lt;P_Inicio,126&lt;=Fin),1,0)</f>
        <v>0</v>
      </c>
      <c r="EB16" s="19" t="n">
        <f aca="false">IF(AND(127&lt;P_Inicio,127&lt;=Fin),1,0)</f>
        <v>0</v>
      </c>
      <c r="EC16" s="19" t="n">
        <f aca="false">IF(AND(128&lt;P_Inicio,128&lt;=Fin),1,0)</f>
        <v>0</v>
      </c>
      <c r="ED16" s="19" t="n">
        <f aca="false">IF(AND(129&lt;P_Inicio,129&lt;=Fin),1,0)</f>
        <v>0</v>
      </c>
      <c r="EE16" s="19" t="n">
        <f aca="false">IF(AND(130&lt;P_Inicio,130&lt;=Fin),1,0)</f>
        <v>0</v>
      </c>
      <c r="EF16" s="19" t="n">
        <f aca="false">IF(AND(131&lt;P_Inicio,131&lt;=Fin),1,0)</f>
        <v>0</v>
      </c>
      <c r="EG16" s="19" t="n">
        <f aca="false">IF(AND(132&lt;P_Inicio,132&lt;=Fin),1,0)</f>
        <v>0</v>
      </c>
      <c r="EH16" s="19" t="n">
        <f aca="false">IF(AND(133&lt;P_Inicio,133&lt;=Fin),1,0)</f>
        <v>0</v>
      </c>
      <c r="EI16" s="19" t="n">
        <f aca="false">IF(AND(134&lt;P_Inicio,134&lt;=Fin),1,0)</f>
        <v>0</v>
      </c>
      <c r="EJ16" s="19" t="n">
        <f aca="false">IF(AND(135&lt;P_Inicio,135&lt;=Fin),1,0)</f>
        <v>0</v>
      </c>
      <c r="EK16" s="19" t="n">
        <f aca="false">IF(AND(136&lt;P_Inicio,136&lt;=Fin),1,0)</f>
        <v>0</v>
      </c>
      <c r="EL16" s="19" t="n">
        <f aca="false">IF(AND(137&lt;P_Inicio,137&lt;=Fin),1,0)</f>
        <v>0</v>
      </c>
      <c r="EM16" s="19" t="n">
        <f aca="false">IF(AND(138&lt;P_Inicio,138&lt;=Fin),1,0)</f>
        <v>0</v>
      </c>
      <c r="EN16" s="19" t="n">
        <f aca="false">IF(AND(139&lt;P_Inicio,139&lt;=Fin),1,0)</f>
        <v>0</v>
      </c>
      <c r="EO16" s="19" t="n">
        <f aca="false">IF(AND(140&lt;P_Inicio,140&lt;=Fin),1,0)</f>
        <v>0</v>
      </c>
      <c r="EP16" s="19" t="n">
        <f aca="false">IF(AND(141&lt;P_Inicio,141&lt;=Fin),1,0)</f>
        <v>0</v>
      </c>
      <c r="EQ16" s="19" t="n">
        <f aca="false">IF(AND(142&lt;P_Inicio,142&lt;=Fin),1,0)</f>
        <v>0</v>
      </c>
      <c r="ER16" s="19" t="n">
        <f aca="false">IF(AND(143&lt;P_Inicio,143&lt;=Fin),1,0)</f>
        <v>0</v>
      </c>
      <c r="ES16" s="19" t="n">
        <f aca="false">IF(AND(144&lt;P_Inicio,144&lt;=Fin),1,0)</f>
        <v>0</v>
      </c>
    </row>
    <row r="17" customFormat="false" ht="15" hidden="false" customHeight="false" outlineLevel="0" collapsed="false">
      <c r="A17" s="2" t="s">
        <v>426</v>
      </c>
      <c r="B17" s="6" t="s">
        <v>427</v>
      </c>
      <c r="C17" s="6" t="s">
        <v>420</v>
      </c>
      <c r="F17" s="19" t="n">
        <f aca="false">MAX(1,F$14)</f>
        <v>1</v>
      </c>
      <c r="G17" s="19" t="n">
        <f aca="false">MAX(1,G$14)</f>
        <v>1</v>
      </c>
      <c r="H17" s="19" t="n">
        <f aca="false">MAX(1,H$14)</f>
        <v>1</v>
      </c>
      <c r="I17" s="19" t="n">
        <f aca="false">MAX(1,I$14)</f>
        <v>1</v>
      </c>
      <c r="J17" s="19" t="n">
        <f aca="false">MAX(1,J$14)</f>
        <v>1</v>
      </c>
      <c r="K17" s="19" t="n">
        <f aca="false">MAX(1,K$14)</f>
        <v>1</v>
      </c>
      <c r="L17" s="19" t="n">
        <f aca="false">MAX(1,L$14)</f>
        <v>1</v>
      </c>
      <c r="M17" s="19" t="n">
        <f aca="false">MAX(1,M$14)</f>
        <v>1</v>
      </c>
      <c r="N17" s="19" t="n">
        <f aca="false">MAX(1,N$14)</f>
        <v>1</v>
      </c>
      <c r="O17" s="19" t="n">
        <f aca="false">MAX(1,O$14)</f>
        <v>1</v>
      </c>
      <c r="P17" s="19" t="n">
        <f aca="false">MAX(1,P$14)</f>
        <v>1</v>
      </c>
      <c r="Q17" s="19" t="n">
        <f aca="false">MAX(1,Q$14)</f>
        <v>1</v>
      </c>
      <c r="R17" s="19" t="n">
        <f aca="false">MAX(1,R$14)</f>
        <v>2</v>
      </c>
      <c r="S17" s="19" t="n">
        <f aca="false">MAX(1,S$14)</f>
        <v>2</v>
      </c>
      <c r="T17" s="19" t="n">
        <f aca="false">MAX(1,T$14)</f>
        <v>2</v>
      </c>
      <c r="U17" s="19" t="n">
        <f aca="false">MAX(1,U$14)</f>
        <v>2</v>
      </c>
      <c r="V17" s="19" t="n">
        <f aca="false">MAX(1,V$14)</f>
        <v>2</v>
      </c>
      <c r="W17" s="19" t="n">
        <f aca="false">MAX(1,W$14)</f>
        <v>2</v>
      </c>
      <c r="X17" s="19" t="n">
        <f aca="false">MAX(1,X$14)</f>
        <v>2</v>
      </c>
      <c r="Y17" s="19" t="n">
        <f aca="false">MAX(1,Y$14)</f>
        <v>2</v>
      </c>
      <c r="Z17" s="19" t="n">
        <f aca="false">MAX(1,Z$14)</f>
        <v>2</v>
      </c>
      <c r="AA17" s="19" t="n">
        <f aca="false">MAX(1,AA$14)</f>
        <v>2</v>
      </c>
      <c r="AB17" s="19" t="n">
        <f aca="false">MAX(1,AB$14)</f>
        <v>2</v>
      </c>
      <c r="AC17" s="19" t="n">
        <f aca="false">MAX(1,AC$14)</f>
        <v>2</v>
      </c>
      <c r="AD17" s="19" t="n">
        <f aca="false">MAX(1,AD$14)</f>
        <v>3</v>
      </c>
      <c r="AE17" s="19" t="n">
        <f aca="false">MAX(1,AE$14)</f>
        <v>3</v>
      </c>
      <c r="AF17" s="19" t="n">
        <f aca="false">MAX(1,AF$14)</f>
        <v>3</v>
      </c>
      <c r="AG17" s="19" t="n">
        <f aca="false">MAX(1,AG$14)</f>
        <v>3</v>
      </c>
      <c r="AH17" s="19" t="n">
        <f aca="false">MAX(1,AH$14)</f>
        <v>3</v>
      </c>
      <c r="AI17" s="19" t="n">
        <f aca="false">MAX(1,AI$14)</f>
        <v>3</v>
      </c>
      <c r="AJ17" s="19" t="n">
        <f aca="false">MAX(1,AJ$14)</f>
        <v>3</v>
      </c>
      <c r="AK17" s="19" t="n">
        <f aca="false">MAX(1,AK$14)</f>
        <v>3</v>
      </c>
      <c r="AL17" s="19" t="n">
        <f aca="false">MAX(1,AL$14)</f>
        <v>3</v>
      </c>
      <c r="AM17" s="19" t="n">
        <f aca="false">MAX(1,AM$14)</f>
        <v>3</v>
      </c>
      <c r="AN17" s="19" t="n">
        <f aca="false">MAX(1,AN$14)</f>
        <v>3</v>
      </c>
      <c r="AO17" s="19" t="n">
        <f aca="false">MAX(1,AO$14)</f>
        <v>3</v>
      </c>
      <c r="AP17" s="19" t="n">
        <f aca="false">MAX(1,AP$14)</f>
        <v>4</v>
      </c>
      <c r="AQ17" s="19" t="n">
        <f aca="false">MAX(1,AQ$14)</f>
        <v>4</v>
      </c>
      <c r="AR17" s="19" t="n">
        <f aca="false">MAX(1,AR$14)</f>
        <v>4</v>
      </c>
      <c r="AS17" s="19" t="n">
        <f aca="false">MAX(1,AS$14)</f>
        <v>4</v>
      </c>
      <c r="AT17" s="19" t="n">
        <f aca="false">MAX(1,AT$14)</f>
        <v>4</v>
      </c>
      <c r="AU17" s="19" t="n">
        <f aca="false">MAX(1,AU$14)</f>
        <v>4</v>
      </c>
      <c r="AV17" s="19" t="n">
        <f aca="false">MAX(1,AV$14)</f>
        <v>4</v>
      </c>
      <c r="AW17" s="19" t="n">
        <f aca="false">MAX(1,AW$14)</f>
        <v>4</v>
      </c>
      <c r="AX17" s="19" t="n">
        <f aca="false">MAX(1,AX$14)</f>
        <v>4</v>
      </c>
      <c r="AY17" s="19" t="n">
        <f aca="false">MAX(1,AY$14)</f>
        <v>4</v>
      </c>
      <c r="AZ17" s="19" t="n">
        <f aca="false">MAX(1,AZ$14)</f>
        <v>4</v>
      </c>
      <c r="BA17" s="19" t="n">
        <f aca="false">MAX(1,BA$14)</f>
        <v>4</v>
      </c>
      <c r="BB17" s="19" t="n">
        <f aca="false">MAX(1,BB$14)</f>
        <v>5</v>
      </c>
      <c r="BC17" s="19" t="n">
        <f aca="false">MAX(1,BC$14)</f>
        <v>5</v>
      </c>
      <c r="BD17" s="19" t="n">
        <f aca="false">MAX(1,BD$14)</f>
        <v>5</v>
      </c>
      <c r="BE17" s="19" t="n">
        <f aca="false">MAX(1,BE$14)</f>
        <v>5</v>
      </c>
      <c r="BF17" s="19" t="n">
        <f aca="false">MAX(1,BF$14)</f>
        <v>5</v>
      </c>
      <c r="BG17" s="19" t="n">
        <f aca="false">MAX(1,BG$14)</f>
        <v>5</v>
      </c>
      <c r="BH17" s="19" t="n">
        <f aca="false">MAX(1,BH$14)</f>
        <v>5</v>
      </c>
      <c r="BI17" s="19" t="n">
        <f aca="false">MAX(1,BI$14)</f>
        <v>5</v>
      </c>
      <c r="BJ17" s="19" t="n">
        <f aca="false">MAX(1,BJ$14)</f>
        <v>5</v>
      </c>
      <c r="BK17" s="19" t="n">
        <f aca="false">MAX(1,BK$14)</f>
        <v>5</v>
      </c>
      <c r="BL17" s="19" t="n">
        <f aca="false">MAX(1,BL$14)</f>
        <v>5</v>
      </c>
      <c r="BM17" s="19" t="n">
        <f aca="false">MAX(1,BM$14)</f>
        <v>5</v>
      </c>
      <c r="BN17" s="19" t="n">
        <f aca="false">MAX(1,BN$14)</f>
        <v>6</v>
      </c>
      <c r="BO17" s="19" t="n">
        <f aca="false">MAX(1,BO$14)</f>
        <v>6</v>
      </c>
      <c r="BP17" s="19" t="n">
        <f aca="false">MAX(1,BP$14)</f>
        <v>6</v>
      </c>
      <c r="BQ17" s="19" t="n">
        <f aca="false">MAX(1,BQ$14)</f>
        <v>6</v>
      </c>
      <c r="BR17" s="19" t="n">
        <f aca="false">MAX(1,BR$14)</f>
        <v>6</v>
      </c>
      <c r="BS17" s="19" t="n">
        <f aca="false">MAX(1,BS$14)</f>
        <v>6</v>
      </c>
      <c r="BT17" s="19" t="n">
        <f aca="false">MAX(1,BT$14)</f>
        <v>6</v>
      </c>
      <c r="BU17" s="19" t="n">
        <f aca="false">MAX(1,BU$14)</f>
        <v>6</v>
      </c>
      <c r="BV17" s="19" t="n">
        <f aca="false">MAX(1,BV$14)</f>
        <v>6</v>
      </c>
      <c r="BW17" s="19" t="n">
        <f aca="false">MAX(1,BW$14)</f>
        <v>6</v>
      </c>
      <c r="BX17" s="19" t="n">
        <f aca="false">MAX(1,BX$14)</f>
        <v>6</v>
      </c>
      <c r="BY17" s="19" t="n">
        <f aca="false">MAX(1,BY$14)</f>
        <v>6</v>
      </c>
      <c r="BZ17" s="19" t="n">
        <f aca="false">MAX(1,BZ$14)</f>
        <v>7</v>
      </c>
      <c r="CA17" s="19" t="n">
        <f aca="false">MAX(1,CA$14)</f>
        <v>7</v>
      </c>
      <c r="CB17" s="19" t="n">
        <f aca="false">MAX(1,CB$14)</f>
        <v>7</v>
      </c>
      <c r="CC17" s="19" t="n">
        <f aca="false">MAX(1,CC$14)</f>
        <v>7</v>
      </c>
      <c r="CD17" s="19" t="n">
        <f aca="false">MAX(1,CD$14)</f>
        <v>7</v>
      </c>
      <c r="CE17" s="19" t="n">
        <f aca="false">MAX(1,CE$14)</f>
        <v>7</v>
      </c>
      <c r="CF17" s="19" t="n">
        <f aca="false">MAX(1,CF$14)</f>
        <v>7</v>
      </c>
      <c r="CG17" s="19" t="n">
        <f aca="false">MAX(1,CG$14)</f>
        <v>7</v>
      </c>
      <c r="CH17" s="19" t="n">
        <f aca="false">MAX(1,CH$14)</f>
        <v>7</v>
      </c>
      <c r="CI17" s="19" t="n">
        <f aca="false">MAX(1,CI$14)</f>
        <v>7</v>
      </c>
      <c r="CJ17" s="19" t="n">
        <f aca="false">MAX(1,CJ$14)</f>
        <v>7</v>
      </c>
      <c r="CK17" s="19" t="n">
        <f aca="false">MAX(1,CK$14)</f>
        <v>7</v>
      </c>
      <c r="CL17" s="19" t="n">
        <f aca="false">MAX(1,CL$14)</f>
        <v>8</v>
      </c>
      <c r="CM17" s="19" t="n">
        <f aca="false">MAX(1,CM$14)</f>
        <v>8</v>
      </c>
      <c r="CN17" s="19" t="n">
        <f aca="false">MAX(1,CN$14)</f>
        <v>8</v>
      </c>
      <c r="CO17" s="19" t="n">
        <f aca="false">MAX(1,CO$14)</f>
        <v>8</v>
      </c>
      <c r="CP17" s="19" t="n">
        <f aca="false">MAX(1,CP$14)</f>
        <v>8</v>
      </c>
      <c r="CQ17" s="19" t="n">
        <f aca="false">MAX(1,CQ$14)</f>
        <v>8</v>
      </c>
      <c r="CR17" s="19" t="n">
        <f aca="false">MAX(1,CR$14)</f>
        <v>8</v>
      </c>
      <c r="CS17" s="19" t="n">
        <f aca="false">MAX(1,CS$14)</f>
        <v>8</v>
      </c>
      <c r="CT17" s="19" t="n">
        <f aca="false">MAX(1,CT$14)</f>
        <v>8</v>
      </c>
      <c r="CU17" s="19" t="n">
        <f aca="false">MAX(1,CU$14)</f>
        <v>8</v>
      </c>
      <c r="CV17" s="19" t="n">
        <f aca="false">MAX(1,CV$14)</f>
        <v>8</v>
      </c>
      <c r="CW17" s="19" t="n">
        <f aca="false">MAX(1,CW$14)</f>
        <v>8</v>
      </c>
      <c r="CX17" s="19" t="n">
        <f aca="false">MAX(1,CX$14)</f>
        <v>9</v>
      </c>
      <c r="CY17" s="19" t="n">
        <f aca="false">MAX(1,CY$14)</f>
        <v>9</v>
      </c>
      <c r="CZ17" s="19" t="n">
        <f aca="false">MAX(1,CZ$14)</f>
        <v>9</v>
      </c>
      <c r="DA17" s="19" t="n">
        <f aca="false">MAX(1,DA$14)</f>
        <v>9</v>
      </c>
      <c r="DB17" s="19" t="n">
        <f aca="false">MAX(1,DB$14)</f>
        <v>9</v>
      </c>
      <c r="DC17" s="19" t="n">
        <f aca="false">MAX(1,DC$14)</f>
        <v>9</v>
      </c>
      <c r="DD17" s="19" t="n">
        <f aca="false">MAX(1,DD$14)</f>
        <v>9</v>
      </c>
      <c r="DE17" s="19" t="n">
        <f aca="false">MAX(1,DE$14)</f>
        <v>9</v>
      </c>
      <c r="DF17" s="19" t="n">
        <f aca="false">MAX(1,DF$14)</f>
        <v>9</v>
      </c>
      <c r="DG17" s="19" t="n">
        <f aca="false">MAX(1,DG$14)</f>
        <v>9</v>
      </c>
      <c r="DH17" s="19" t="n">
        <f aca="false">MAX(1,DH$14)</f>
        <v>9</v>
      </c>
      <c r="DI17" s="19" t="n">
        <f aca="false">MAX(1,DI$14)</f>
        <v>9</v>
      </c>
      <c r="DJ17" s="19" t="n">
        <f aca="false">MAX(1,DJ$14)</f>
        <v>10</v>
      </c>
      <c r="DK17" s="19" t="n">
        <f aca="false">MAX(1,DK$14)</f>
        <v>10</v>
      </c>
      <c r="DL17" s="19" t="n">
        <f aca="false">MAX(1,DL$14)</f>
        <v>10</v>
      </c>
      <c r="DM17" s="19" t="n">
        <f aca="false">MAX(1,DM$14)</f>
        <v>10</v>
      </c>
      <c r="DN17" s="19" t="n">
        <f aca="false">MAX(1,DN$14)</f>
        <v>10</v>
      </c>
      <c r="DO17" s="19" t="n">
        <f aca="false">MAX(1,DO$14)</f>
        <v>10</v>
      </c>
      <c r="DP17" s="19" t="n">
        <f aca="false">MAX(1,DP$14)</f>
        <v>10</v>
      </c>
      <c r="DQ17" s="19" t="n">
        <f aca="false">MAX(1,DQ$14)</f>
        <v>10</v>
      </c>
      <c r="DR17" s="19" t="n">
        <f aca="false">MAX(1,DR$14)</f>
        <v>10</v>
      </c>
      <c r="DS17" s="19" t="n">
        <f aca="false">MAX(1,DS$14)</f>
        <v>10</v>
      </c>
      <c r="DT17" s="19" t="n">
        <f aca="false">MAX(1,DT$14)</f>
        <v>10</v>
      </c>
      <c r="DU17" s="19" t="n">
        <f aca="false">MAX(1,DU$14)</f>
        <v>10</v>
      </c>
      <c r="DV17" s="19" t="n">
        <f aca="false">MAX(1,DV$14)</f>
        <v>1</v>
      </c>
      <c r="DW17" s="19" t="n">
        <f aca="false">MAX(1,DW$14)</f>
        <v>1</v>
      </c>
      <c r="DX17" s="19" t="n">
        <f aca="false">MAX(1,DX$14)</f>
        <v>1</v>
      </c>
      <c r="DY17" s="19" t="n">
        <f aca="false">MAX(1,DY$14)</f>
        <v>1</v>
      </c>
      <c r="DZ17" s="19" t="n">
        <f aca="false">MAX(1,DZ$14)</f>
        <v>1</v>
      </c>
      <c r="EA17" s="19" t="n">
        <f aca="false">MAX(1,EA$14)</f>
        <v>1</v>
      </c>
      <c r="EB17" s="19" t="n">
        <f aca="false">MAX(1,EB$14)</f>
        <v>1</v>
      </c>
      <c r="EC17" s="19" t="n">
        <f aca="false">MAX(1,EC$14)</f>
        <v>1</v>
      </c>
      <c r="ED17" s="19" t="n">
        <f aca="false">MAX(1,ED$14)</f>
        <v>1</v>
      </c>
      <c r="EE17" s="19" t="n">
        <f aca="false">MAX(1,EE$14)</f>
        <v>1</v>
      </c>
      <c r="EF17" s="19" t="n">
        <f aca="false">MAX(1,EF$14)</f>
        <v>1</v>
      </c>
      <c r="EG17" s="19" t="n">
        <f aca="false">MAX(1,EG$14)</f>
        <v>1</v>
      </c>
      <c r="EH17" s="19" t="n">
        <f aca="false">MAX(1,EH$14)</f>
        <v>1</v>
      </c>
      <c r="EI17" s="19" t="n">
        <f aca="false">MAX(1,EI$14)</f>
        <v>1</v>
      </c>
      <c r="EJ17" s="19" t="n">
        <f aca="false">MAX(1,EJ$14)</f>
        <v>1</v>
      </c>
      <c r="EK17" s="19" t="n">
        <f aca="false">MAX(1,EK$14)</f>
        <v>1</v>
      </c>
      <c r="EL17" s="19" t="n">
        <f aca="false">MAX(1,EL$14)</f>
        <v>1</v>
      </c>
      <c r="EM17" s="19" t="n">
        <f aca="false">MAX(1,EM$14)</f>
        <v>1</v>
      </c>
      <c r="EN17" s="19" t="n">
        <f aca="false">MAX(1,EN$14)</f>
        <v>1</v>
      </c>
      <c r="EO17" s="19" t="n">
        <f aca="false">MAX(1,EO$14)</f>
        <v>1</v>
      </c>
      <c r="EP17" s="19" t="n">
        <f aca="false">MAX(1,EP$14)</f>
        <v>1</v>
      </c>
      <c r="EQ17" s="19" t="n">
        <f aca="false">MAX(1,EQ$14)</f>
        <v>1</v>
      </c>
      <c r="ER17" s="19" t="n">
        <f aca="false">MAX(1,ER$14)</f>
        <v>1</v>
      </c>
      <c r="ES17" s="19" t="n">
        <f aca="false">MAX(1,ES$14)</f>
        <v>1</v>
      </c>
    </row>
    <row r="18" customFormat="false" ht="15" hidden="false" customHeight="false" outlineLevel="0" collapsed="false">
      <c r="A18" s="2" t="s">
        <v>428</v>
      </c>
      <c r="B18" s="6" t="s">
        <v>429</v>
      </c>
      <c r="C18" s="6" t="s">
        <v>170</v>
      </c>
      <c r="F18" s="34" t="n">
        <f aca="false">INDEX(TC_O,1,MIN(10,F$6))*(1+P_dTC)</f>
        <v>0</v>
      </c>
      <c r="G18" s="34" t="n">
        <f aca="false">INDEX(TC_O,1,MIN(10,G$6))*(1+P_dTC)</f>
        <v>0</v>
      </c>
      <c r="H18" s="34" t="n">
        <f aca="false">INDEX(TC_O,1,MIN(10,H$6))*(1+P_dTC)</f>
        <v>0</v>
      </c>
      <c r="I18" s="34" t="n">
        <f aca="false">INDEX(TC_O,1,MIN(10,I$6))*(1+P_dTC)</f>
        <v>0</v>
      </c>
      <c r="J18" s="34" t="n">
        <f aca="false">INDEX(TC_O,1,MIN(10,J$6))*(1+P_dTC)</f>
        <v>0</v>
      </c>
      <c r="K18" s="34" t="n">
        <f aca="false">INDEX(TC_O,1,MIN(10,K$6))*(1+P_dTC)</f>
        <v>0</v>
      </c>
      <c r="L18" s="34" t="n">
        <f aca="false">INDEX(TC_O,1,MIN(10,L$6))*(1+P_dTC)</f>
        <v>0</v>
      </c>
      <c r="M18" s="34" t="n">
        <f aca="false">INDEX(TC_O,1,MIN(10,M$6))*(1+P_dTC)</f>
        <v>0</v>
      </c>
      <c r="N18" s="34" t="n">
        <f aca="false">INDEX(TC_O,1,MIN(10,N$6))*(1+P_dTC)</f>
        <v>0</v>
      </c>
      <c r="O18" s="34" t="n">
        <f aca="false">INDEX(TC_O,1,MIN(10,O$6))*(1+P_dTC)</f>
        <v>0</v>
      </c>
      <c r="P18" s="34" t="n">
        <f aca="false">INDEX(TC_O,1,MIN(10,P$6))*(1+P_dTC)</f>
        <v>0</v>
      </c>
      <c r="Q18" s="34" t="n">
        <f aca="false">INDEX(TC_O,1,MIN(10,Q$6))*(1+P_dTC)</f>
        <v>0</v>
      </c>
      <c r="R18" s="34" t="n">
        <f aca="false">INDEX(TC_O,1,MIN(10,R$6))*(1+P_dTC)</f>
        <v>0</v>
      </c>
      <c r="S18" s="34" t="n">
        <f aca="false">INDEX(TC_O,1,MIN(10,S$6))*(1+P_dTC)</f>
        <v>0</v>
      </c>
      <c r="T18" s="34" t="n">
        <f aca="false">INDEX(TC_O,1,MIN(10,T$6))*(1+P_dTC)</f>
        <v>0</v>
      </c>
      <c r="U18" s="34" t="n">
        <f aca="false">INDEX(TC_O,1,MIN(10,U$6))*(1+P_dTC)</f>
        <v>0</v>
      </c>
      <c r="V18" s="34" t="n">
        <f aca="false">INDEX(TC_O,1,MIN(10,V$6))*(1+P_dTC)</f>
        <v>0</v>
      </c>
      <c r="W18" s="34" t="n">
        <f aca="false">INDEX(TC_O,1,MIN(10,W$6))*(1+P_dTC)</f>
        <v>0</v>
      </c>
      <c r="X18" s="34" t="n">
        <f aca="false">INDEX(TC_O,1,MIN(10,X$6))*(1+P_dTC)</f>
        <v>0</v>
      </c>
      <c r="Y18" s="34" t="n">
        <f aca="false">INDEX(TC_O,1,MIN(10,Y$6))*(1+P_dTC)</f>
        <v>0</v>
      </c>
      <c r="Z18" s="34" t="n">
        <f aca="false">INDEX(TC_O,1,MIN(10,Z$6))*(1+P_dTC)</f>
        <v>0</v>
      </c>
      <c r="AA18" s="34" t="n">
        <f aca="false">INDEX(TC_O,1,MIN(10,AA$6))*(1+P_dTC)</f>
        <v>0</v>
      </c>
      <c r="AB18" s="34" t="n">
        <f aca="false">INDEX(TC_O,1,MIN(10,AB$6))*(1+P_dTC)</f>
        <v>0</v>
      </c>
      <c r="AC18" s="34" t="n">
        <f aca="false">INDEX(TC_O,1,MIN(10,AC$6))*(1+P_dTC)</f>
        <v>0</v>
      </c>
      <c r="AD18" s="34" t="n">
        <f aca="false">INDEX(TC_O,1,MIN(10,AD$6))*(1+P_dTC)</f>
        <v>0</v>
      </c>
      <c r="AE18" s="34" t="n">
        <f aca="false">INDEX(TC_O,1,MIN(10,AE$6))*(1+P_dTC)</f>
        <v>0</v>
      </c>
      <c r="AF18" s="34" t="n">
        <f aca="false">INDEX(TC_O,1,MIN(10,AF$6))*(1+P_dTC)</f>
        <v>0</v>
      </c>
      <c r="AG18" s="34" t="n">
        <f aca="false">INDEX(TC_O,1,MIN(10,AG$6))*(1+P_dTC)</f>
        <v>0</v>
      </c>
      <c r="AH18" s="34" t="n">
        <f aca="false">INDEX(TC_O,1,MIN(10,AH$6))*(1+P_dTC)</f>
        <v>0</v>
      </c>
      <c r="AI18" s="34" t="n">
        <f aca="false">INDEX(TC_O,1,MIN(10,AI$6))*(1+P_dTC)</f>
        <v>0</v>
      </c>
      <c r="AJ18" s="34" t="n">
        <f aca="false">INDEX(TC_O,1,MIN(10,AJ$6))*(1+P_dTC)</f>
        <v>0</v>
      </c>
      <c r="AK18" s="34" t="n">
        <f aca="false">INDEX(TC_O,1,MIN(10,AK$6))*(1+P_dTC)</f>
        <v>0</v>
      </c>
      <c r="AL18" s="34" t="n">
        <f aca="false">INDEX(TC_O,1,MIN(10,AL$6))*(1+P_dTC)</f>
        <v>0</v>
      </c>
      <c r="AM18" s="34" t="n">
        <f aca="false">INDEX(TC_O,1,MIN(10,AM$6))*(1+P_dTC)</f>
        <v>0</v>
      </c>
      <c r="AN18" s="34" t="n">
        <f aca="false">INDEX(TC_O,1,MIN(10,AN$6))*(1+P_dTC)</f>
        <v>0</v>
      </c>
      <c r="AO18" s="34" t="n">
        <f aca="false">INDEX(TC_O,1,MIN(10,AO$6))*(1+P_dTC)</f>
        <v>0</v>
      </c>
      <c r="AP18" s="34" t="n">
        <f aca="false">INDEX(TC_O,1,MIN(10,AP$6))*(1+P_dTC)</f>
        <v>0</v>
      </c>
      <c r="AQ18" s="34" t="n">
        <f aca="false">INDEX(TC_O,1,MIN(10,AQ$6))*(1+P_dTC)</f>
        <v>0</v>
      </c>
      <c r="AR18" s="34" t="n">
        <f aca="false">INDEX(TC_O,1,MIN(10,AR$6))*(1+P_dTC)</f>
        <v>0</v>
      </c>
      <c r="AS18" s="34" t="n">
        <f aca="false">INDEX(TC_O,1,MIN(10,AS$6))*(1+P_dTC)</f>
        <v>0</v>
      </c>
      <c r="AT18" s="34" t="n">
        <f aca="false">INDEX(TC_O,1,MIN(10,AT$6))*(1+P_dTC)</f>
        <v>0</v>
      </c>
      <c r="AU18" s="34" t="n">
        <f aca="false">INDEX(TC_O,1,MIN(10,AU$6))*(1+P_dTC)</f>
        <v>0</v>
      </c>
      <c r="AV18" s="34" t="n">
        <f aca="false">INDEX(TC_O,1,MIN(10,AV$6))*(1+P_dTC)</f>
        <v>0</v>
      </c>
      <c r="AW18" s="34" t="n">
        <f aca="false">INDEX(TC_O,1,MIN(10,AW$6))*(1+P_dTC)</f>
        <v>0</v>
      </c>
      <c r="AX18" s="34" t="n">
        <f aca="false">INDEX(TC_O,1,MIN(10,AX$6))*(1+P_dTC)</f>
        <v>0</v>
      </c>
      <c r="AY18" s="34" t="n">
        <f aca="false">INDEX(TC_O,1,MIN(10,AY$6))*(1+P_dTC)</f>
        <v>0</v>
      </c>
      <c r="AZ18" s="34" t="n">
        <f aca="false">INDEX(TC_O,1,MIN(10,AZ$6))*(1+P_dTC)</f>
        <v>0</v>
      </c>
      <c r="BA18" s="34" t="n">
        <f aca="false">INDEX(TC_O,1,MIN(10,BA$6))*(1+P_dTC)</f>
        <v>0</v>
      </c>
      <c r="BB18" s="34" t="n">
        <f aca="false">INDEX(TC_O,1,MIN(10,BB$6))*(1+P_dTC)</f>
        <v>0</v>
      </c>
      <c r="BC18" s="34" t="n">
        <f aca="false">INDEX(TC_O,1,MIN(10,BC$6))*(1+P_dTC)</f>
        <v>0</v>
      </c>
      <c r="BD18" s="34" t="n">
        <f aca="false">INDEX(TC_O,1,MIN(10,BD$6))*(1+P_dTC)</f>
        <v>0</v>
      </c>
      <c r="BE18" s="34" t="n">
        <f aca="false">INDEX(TC_O,1,MIN(10,BE$6))*(1+P_dTC)</f>
        <v>0</v>
      </c>
      <c r="BF18" s="34" t="n">
        <f aca="false">INDEX(TC_O,1,MIN(10,BF$6))*(1+P_dTC)</f>
        <v>0</v>
      </c>
      <c r="BG18" s="34" t="n">
        <f aca="false">INDEX(TC_O,1,MIN(10,BG$6))*(1+P_dTC)</f>
        <v>0</v>
      </c>
      <c r="BH18" s="34" t="n">
        <f aca="false">INDEX(TC_O,1,MIN(10,BH$6))*(1+P_dTC)</f>
        <v>0</v>
      </c>
      <c r="BI18" s="34" t="n">
        <f aca="false">INDEX(TC_O,1,MIN(10,BI$6))*(1+P_dTC)</f>
        <v>0</v>
      </c>
      <c r="BJ18" s="34" t="n">
        <f aca="false">INDEX(TC_O,1,MIN(10,BJ$6))*(1+P_dTC)</f>
        <v>0</v>
      </c>
      <c r="BK18" s="34" t="n">
        <f aca="false">INDEX(TC_O,1,MIN(10,BK$6))*(1+P_dTC)</f>
        <v>0</v>
      </c>
      <c r="BL18" s="34" t="n">
        <f aca="false">INDEX(TC_O,1,MIN(10,BL$6))*(1+P_dTC)</f>
        <v>0</v>
      </c>
      <c r="BM18" s="34" t="n">
        <f aca="false">INDEX(TC_O,1,MIN(10,BM$6))*(1+P_dTC)</f>
        <v>0</v>
      </c>
      <c r="BN18" s="34" t="n">
        <f aca="false">INDEX(TC_O,1,MIN(10,BN$6))*(1+P_dTC)</f>
        <v>0</v>
      </c>
      <c r="BO18" s="34" t="n">
        <f aca="false">INDEX(TC_O,1,MIN(10,BO$6))*(1+P_dTC)</f>
        <v>0</v>
      </c>
      <c r="BP18" s="34" t="n">
        <f aca="false">INDEX(TC_O,1,MIN(10,BP$6))*(1+P_dTC)</f>
        <v>0</v>
      </c>
      <c r="BQ18" s="34" t="n">
        <f aca="false">INDEX(TC_O,1,MIN(10,BQ$6))*(1+P_dTC)</f>
        <v>0</v>
      </c>
      <c r="BR18" s="34" t="n">
        <f aca="false">INDEX(TC_O,1,MIN(10,BR$6))*(1+P_dTC)</f>
        <v>0</v>
      </c>
      <c r="BS18" s="34" t="n">
        <f aca="false">INDEX(TC_O,1,MIN(10,BS$6))*(1+P_dTC)</f>
        <v>0</v>
      </c>
      <c r="BT18" s="34" t="n">
        <f aca="false">INDEX(TC_O,1,MIN(10,BT$6))*(1+P_dTC)</f>
        <v>0</v>
      </c>
      <c r="BU18" s="34" t="n">
        <f aca="false">INDEX(TC_O,1,MIN(10,BU$6))*(1+P_dTC)</f>
        <v>0</v>
      </c>
      <c r="BV18" s="34" t="n">
        <f aca="false">INDEX(TC_O,1,MIN(10,BV$6))*(1+P_dTC)</f>
        <v>0</v>
      </c>
      <c r="BW18" s="34" t="n">
        <f aca="false">INDEX(TC_O,1,MIN(10,BW$6))*(1+P_dTC)</f>
        <v>0</v>
      </c>
      <c r="BX18" s="34" t="n">
        <f aca="false">INDEX(TC_O,1,MIN(10,BX$6))*(1+P_dTC)</f>
        <v>0</v>
      </c>
      <c r="BY18" s="34" t="n">
        <f aca="false">INDEX(TC_O,1,MIN(10,BY$6))*(1+P_dTC)</f>
        <v>0</v>
      </c>
      <c r="BZ18" s="34" t="n">
        <f aca="false">INDEX(TC_O,1,MIN(10,BZ$6))*(1+P_dTC)</f>
        <v>0</v>
      </c>
      <c r="CA18" s="34" t="n">
        <f aca="false">INDEX(TC_O,1,MIN(10,CA$6))*(1+P_dTC)</f>
        <v>0</v>
      </c>
      <c r="CB18" s="34" t="n">
        <f aca="false">INDEX(TC_O,1,MIN(10,CB$6))*(1+P_dTC)</f>
        <v>0</v>
      </c>
      <c r="CC18" s="34" t="n">
        <f aca="false">INDEX(TC_O,1,MIN(10,CC$6))*(1+P_dTC)</f>
        <v>0</v>
      </c>
      <c r="CD18" s="34" t="n">
        <f aca="false">INDEX(TC_O,1,MIN(10,CD$6))*(1+P_dTC)</f>
        <v>0</v>
      </c>
      <c r="CE18" s="34" t="n">
        <f aca="false">INDEX(TC_O,1,MIN(10,CE$6))*(1+P_dTC)</f>
        <v>0</v>
      </c>
      <c r="CF18" s="34" t="n">
        <f aca="false">INDEX(TC_O,1,MIN(10,CF$6))*(1+P_dTC)</f>
        <v>0</v>
      </c>
      <c r="CG18" s="34" t="n">
        <f aca="false">INDEX(TC_O,1,MIN(10,CG$6))*(1+P_dTC)</f>
        <v>0</v>
      </c>
      <c r="CH18" s="34" t="n">
        <f aca="false">INDEX(TC_O,1,MIN(10,CH$6))*(1+P_dTC)</f>
        <v>0</v>
      </c>
      <c r="CI18" s="34" t="n">
        <f aca="false">INDEX(TC_O,1,MIN(10,CI$6))*(1+P_dTC)</f>
        <v>0</v>
      </c>
      <c r="CJ18" s="34" t="n">
        <f aca="false">INDEX(TC_O,1,MIN(10,CJ$6))*(1+P_dTC)</f>
        <v>0</v>
      </c>
      <c r="CK18" s="34" t="n">
        <f aca="false">INDEX(TC_O,1,MIN(10,CK$6))*(1+P_dTC)</f>
        <v>0</v>
      </c>
      <c r="CL18" s="34" t="n">
        <f aca="false">INDEX(TC_O,1,MIN(10,CL$6))*(1+P_dTC)</f>
        <v>0</v>
      </c>
      <c r="CM18" s="34" t="n">
        <f aca="false">INDEX(TC_O,1,MIN(10,CM$6))*(1+P_dTC)</f>
        <v>0</v>
      </c>
      <c r="CN18" s="34" t="n">
        <f aca="false">INDEX(TC_O,1,MIN(10,CN$6))*(1+P_dTC)</f>
        <v>0</v>
      </c>
      <c r="CO18" s="34" t="n">
        <f aca="false">INDEX(TC_O,1,MIN(10,CO$6))*(1+P_dTC)</f>
        <v>0</v>
      </c>
      <c r="CP18" s="34" t="n">
        <f aca="false">INDEX(TC_O,1,MIN(10,CP$6))*(1+P_dTC)</f>
        <v>0</v>
      </c>
      <c r="CQ18" s="34" t="n">
        <f aca="false">INDEX(TC_O,1,MIN(10,CQ$6))*(1+P_dTC)</f>
        <v>0</v>
      </c>
      <c r="CR18" s="34" t="n">
        <f aca="false">INDEX(TC_O,1,MIN(10,CR$6))*(1+P_dTC)</f>
        <v>0</v>
      </c>
      <c r="CS18" s="34" t="n">
        <f aca="false">INDEX(TC_O,1,MIN(10,CS$6))*(1+P_dTC)</f>
        <v>0</v>
      </c>
      <c r="CT18" s="34" t="n">
        <f aca="false">INDEX(TC_O,1,MIN(10,CT$6))*(1+P_dTC)</f>
        <v>0</v>
      </c>
      <c r="CU18" s="34" t="n">
        <f aca="false">INDEX(TC_O,1,MIN(10,CU$6))*(1+P_dTC)</f>
        <v>0</v>
      </c>
      <c r="CV18" s="34" t="n">
        <f aca="false">INDEX(TC_O,1,MIN(10,CV$6))*(1+P_dTC)</f>
        <v>0</v>
      </c>
      <c r="CW18" s="34" t="n">
        <f aca="false">INDEX(TC_O,1,MIN(10,CW$6))*(1+P_dTC)</f>
        <v>0</v>
      </c>
      <c r="CX18" s="34" t="n">
        <f aca="false">INDEX(TC_O,1,MIN(10,CX$6))*(1+P_dTC)</f>
        <v>0</v>
      </c>
      <c r="CY18" s="34" t="n">
        <f aca="false">INDEX(TC_O,1,MIN(10,CY$6))*(1+P_dTC)</f>
        <v>0</v>
      </c>
      <c r="CZ18" s="34" t="n">
        <f aca="false">INDEX(TC_O,1,MIN(10,CZ$6))*(1+P_dTC)</f>
        <v>0</v>
      </c>
      <c r="DA18" s="34" t="n">
        <f aca="false">INDEX(TC_O,1,MIN(10,DA$6))*(1+P_dTC)</f>
        <v>0</v>
      </c>
      <c r="DB18" s="34" t="n">
        <f aca="false">INDEX(TC_O,1,MIN(10,DB$6))*(1+P_dTC)</f>
        <v>0</v>
      </c>
      <c r="DC18" s="34" t="n">
        <f aca="false">INDEX(TC_O,1,MIN(10,DC$6))*(1+P_dTC)</f>
        <v>0</v>
      </c>
      <c r="DD18" s="34" t="n">
        <f aca="false">INDEX(TC_O,1,MIN(10,DD$6))*(1+P_dTC)</f>
        <v>0</v>
      </c>
      <c r="DE18" s="34" t="n">
        <f aca="false">INDEX(TC_O,1,MIN(10,DE$6))*(1+P_dTC)</f>
        <v>0</v>
      </c>
      <c r="DF18" s="34" t="n">
        <f aca="false">INDEX(TC_O,1,MIN(10,DF$6))*(1+P_dTC)</f>
        <v>0</v>
      </c>
      <c r="DG18" s="34" t="n">
        <f aca="false">INDEX(TC_O,1,MIN(10,DG$6))*(1+P_dTC)</f>
        <v>0</v>
      </c>
      <c r="DH18" s="34" t="n">
        <f aca="false">INDEX(TC_O,1,MIN(10,DH$6))*(1+P_dTC)</f>
        <v>0</v>
      </c>
      <c r="DI18" s="34" t="n">
        <f aca="false">INDEX(TC_O,1,MIN(10,DI$6))*(1+P_dTC)</f>
        <v>0</v>
      </c>
      <c r="DJ18" s="34" t="n">
        <f aca="false">INDEX(TC_O,1,MIN(10,DJ$6))*(1+P_dTC)</f>
        <v>0</v>
      </c>
      <c r="DK18" s="34" t="n">
        <f aca="false">INDEX(TC_O,1,MIN(10,DK$6))*(1+P_dTC)</f>
        <v>0</v>
      </c>
      <c r="DL18" s="34" t="n">
        <f aca="false">INDEX(TC_O,1,MIN(10,DL$6))*(1+P_dTC)</f>
        <v>0</v>
      </c>
      <c r="DM18" s="34" t="n">
        <f aca="false">INDEX(TC_O,1,MIN(10,DM$6))*(1+P_dTC)</f>
        <v>0</v>
      </c>
      <c r="DN18" s="34" t="n">
        <f aca="false">INDEX(TC_O,1,MIN(10,DN$6))*(1+P_dTC)</f>
        <v>0</v>
      </c>
      <c r="DO18" s="34" t="n">
        <f aca="false">INDEX(TC_O,1,MIN(10,DO$6))*(1+P_dTC)</f>
        <v>0</v>
      </c>
      <c r="DP18" s="34" t="n">
        <f aca="false">INDEX(TC_O,1,MIN(10,DP$6))*(1+P_dTC)</f>
        <v>0</v>
      </c>
      <c r="DQ18" s="34" t="n">
        <f aca="false">INDEX(TC_O,1,MIN(10,DQ$6))*(1+P_dTC)</f>
        <v>0</v>
      </c>
      <c r="DR18" s="34" t="n">
        <f aca="false">INDEX(TC_O,1,MIN(10,DR$6))*(1+P_dTC)</f>
        <v>0</v>
      </c>
      <c r="DS18" s="34" t="n">
        <f aca="false">INDEX(TC_O,1,MIN(10,DS$6))*(1+P_dTC)</f>
        <v>0</v>
      </c>
      <c r="DT18" s="34" t="n">
        <f aca="false">INDEX(TC_O,1,MIN(10,DT$6))*(1+P_dTC)</f>
        <v>0</v>
      </c>
      <c r="DU18" s="34" t="n">
        <f aca="false">INDEX(TC_O,1,MIN(10,DU$6))*(1+P_dTC)</f>
        <v>0</v>
      </c>
      <c r="DV18" s="34" t="n">
        <f aca="false">INDEX(TC_O,1,MIN(10,DV$6))*(1+P_dTC)</f>
        <v>0</v>
      </c>
      <c r="DW18" s="34" t="n">
        <f aca="false">INDEX(TC_O,1,MIN(10,DW$6))*(1+P_dTC)</f>
        <v>0</v>
      </c>
      <c r="DX18" s="34" t="n">
        <f aca="false">INDEX(TC_O,1,MIN(10,DX$6))*(1+P_dTC)</f>
        <v>0</v>
      </c>
      <c r="DY18" s="34" t="n">
        <f aca="false">INDEX(TC_O,1,MIN(10,DY$6))*(1+P_dTC)</f>
        <v>0</v>
      </c>
      <c r="DZ18" s="34" t="n">
        <f aca="false">INDEX(TC_O,1,MIN(10,DZ$6))*(1+P_dTC)</f>
        <v>0</v>
      </c>
      <c r="EA18" s="34" t="n">
        <f aca="false">INDEX(TC_O,1,MIN(10,EA$6))*(1+P_dTC)</f>
        <v>0</v>
      </c>
      <c r="EB18" s="34" t="n">
        <f aca="false">INDEX(TC_O,1,MIN(10,EB$6))*(1+P_dTC)</f>
        <v>0</v>
      </c>
      <c r="EC18" s="34" t="n">
        <f aca="false">INDEX(TC_O,1,MIN(10,EC$6))*(1+P_dTC)</f>
        <v>0</v>
      </c>
      <c r="ED18" s="34" t="n">
        <f aca="false">INDEX(TC_O,1,MIN(10,ED$6))*(1+P_dTC)</f>
        <v>0</v>
      </c>
      <c r="EE18" s="34" t="n">
        <f aca="false">INDEX(TC_O,1,MIN(10,EE$6))*(1+P_dTC)</f>
        <v>0</v>
      </c>
      <c r="EF18" s="34" t="n">
        <f aca="false">INDEX(TC_O,1,MIN(10,EF$6))*(1+P_dTC)</f>
        <v>0</v>
      </c>
      <c r="EG18" s="34" t="n">
        <f aca="false">INDEX(TC_O,1,MIN(10,EG$6))*(1+P_dTC)</f>
        <v>0</v>
      </c>
      <c r="EH18" s="34" t="n">
        <f aca="false">INDEX(TC_O,1,MIN(10,EH$6))*(1+P_dTC)</f>
        <v>0</v>
      </c>
      <c r="EI18" s="34" t="n">
        <f aca="false">INDEX(TC_O,1,MIN(10,EI$6))*(1+P_dTC)</f>
        <v>0</v>
      </c>
      <c r="EJ18" s="34" t="n">
        <f aca="false">INDEX(TC_O,1,MIN(10,EJ$6))*(1+P_dTC)</f>
        <v>0</v>
      </c>
      <c r="EK18" s="34" t="n">
        <f aca="false">INDEX(TC_O,1,MIN(10,EK$6))*(1+P_dTC)</f>
        <v>0</v>
      </c>
      <c r="EL18" s="34" t="n">
        <f aca="false">INDEX(TC_O,1,MIN(10,EL$6))*(1+P_dTC)</f>
        <v>0</v>
      </c>
      <c r="EM18" s="34" t="n">
        <f aca="false">INDEX(TC_O,1,MIN(10,EM$6))*(1+P_dTC)</f>
        <v>0</v>
      </c>
      <c r="EN18" s="34" t="n">
        <f aca="false">INDEX(TC_O,1,MIN(10,EN$6))*(1+P_dTC)</f>
        <v>0</v>
      </c>
      <c r="EO18" s="34" t="n">
        <f aca="false">INDEX(TC_O,1,MIN(10,EO$6))*(1+P_dTC)</f>
        <v>0</v>
      </c>
      <c r="EP18" s="34" t="n">
        <f aca="false">INDEX(TC_O,1,MIN(10,EP$6))*(1+P_dTC)</f>
        <v>0</v>
      </c>
      <c r="EQ18" s="34" t="n">
        <f aca="false">INDEX(TC_O,1,MIN(10,EQ$6))*(1+P_dTC)</f>
        <v>0</v>
      </c>
      <c r="ER18" s="34" t="n">
        <f aca="false">INDEX(TC_O,1,MIN(10,ER$6))*(1+P_dTC)</f>
        <v>0</v>
      </c>
      <c r="ES18" s="34" t="n">
        <f aca="false">INDEX(TC_O,1,MIN(10,ES$6))*(1+P_dTC)</f>
        <v>0</v>
      </c>
    </row>
    <row r="19" customFormat="false" ht="15" hidden="false" customHeight="false" outlineLevel="0" collapsed="false">
      <c r="A19" s="2" t="s">
        <v>430</v>
      </c>
      <c r="B19" s="6" t="s">
        <v>431</v>
      </c>
      <c r="C19" s="6"/>
      <c r="F19" s="27" t="n">
        <f aca="false">IF(F$18&gt;0,1/F$18,0)</f>
        <v>0</v>
      </c>
      <c r="G19" s="27" t="n">
        <f aca="false">IF(G$18&gt;0,1/G$18,0)</f>
        <v>0</v>
      </c>
      <c r="H19" s="27" t="n">
        <f aca="false">IF(H$18&gt;0,1/H$18,0)</f>
        <v>0</v>
      </c>
      <c r="I19" s="27" t="n">
        <f aca="false">IF(I$18&gt;0,1/I$18,0)</f>
        <v>0</v>
      </c>
      <c r="J19" s="27" t="n">
        <f aca="false">IF(J$18&gt;0,1/J$18,0)</f>
        <v>0</v>
      </c>
      <c r="K19" s="27" t="n">
        <f aca="false">IF(K$18&gt;0,1/K$18,0)</f>
        <v>0</v>
      </c>
      <c r="L19" s="27" t="n">
        <f aca="false">IF(L$18&gt;0,1/L$18,0)</f>
        <v>0</v>
      </c>
      <c r="M19" s="27" t="n">
        <f aca="false">IF(M$18&gt;0,1/M$18,0)</f>
        <v>0</v>
      </c>
      <c r="N19" s="27" t="n">
        <f aca="false">IF(N$18&gt;0,1/N$18,0)</f>
        <v>0</v>
      </c>
      <c r="O19" s="27" t="n">
        <f aca="false">IF(O$18&gt;0,1/O$18,0)</f>
        <v>0</v>
      </c>
      <c r="P19" s="27" t="n">
        <f aca="false">IF(P$18&gt;0,1/P$18,0)</f>
        <v>0</v>
      </c>
      <c r="Q19" s="27" t="n">
        <f aca="false">IF(Q$18&gt;0,1/Q$18,0)</f>
        <v>0</v>
      </c>
      <c r="R19" s="27" t="n">
        <f aca="false">IF(R$18&gt;0,1/R$18,0)</f>
        <v>0</v>
      </c>
      <c r="S19" s="27" t="n">
        <f aca="false">IF(S$18&gt;0,1/S$18,0)</f>
        <v>0</v>
      </c>
      <c r="T19" s="27" t="n">
        <f aca="false">IF(T$18&gt;0,1/T$18,0)</f>
        <v>0</v>
      </c>
      <c r="U19" s="27" t="n">
        <f aca="false">IF(U$18&gt;0,1/U$18,0)</f>
        <v>0</v>
      </c>
      <c r="V19" s="27" t="n">
        <f aca="false">IF(V$18&gt;0,1/V$18,0)</f>
        <v>0</v>
      </c>
      <c r="W19" s="27" t="n">
        <f aca="false">IF(W$18&gt;0,1/W$18,0)</f>
        <v>0</v>
      </c>
      <c r="X19" s="27" t="n">
        <f aca="false">IF(X$18&gt;0,1/X$18,0)</f>
        <v>0</v>
      </c>
      <c r="Y19" s="27" t="n">
        <f aca="false">IF(Y$18&gt;0,1/Y$18,0)</f>
        <v>0</v>
      </c>
      <c r="Z19" s="27" t="n">
        <f aca="false">IF(Z$18&gt;0,1/Z$18,0)</f>
        <v>0</v>
      </c>
      <c r="AA19" s="27" t="n">
        <f aca="false">IF(AA$18&gt;0,1/AA$18,0)</f>
        <v>0</v>
      </c>
      <c r="AB19" s="27" t="n">
        <f aca="false">IF(AB$18&gt;0,1/AB$18,0)</f>
        <v>0</v>
      </c>
      <c r="AC19" s="27" t="n">
        <f aca="false">IF(AC$18&gt;0,1/AC$18,0)</f>
        <v>0</v>
      </c>
      <c r="AD19" s="27" t="n">
        <f aca="false">IF(AD$18&gt;0,1/AD$18,0)</f>
        <v>0</v>
      </c>
      <c r="AE19" s="27" t="n">
        <f aca="false">IF(AE$18&gt;0,1/AE$18,0)</f>
        <v>0</v>
      </c>
      <c r="AF19" s="27" t="n">
        <f aca="false">IF(AF$18&gt;0,1/AF$18,0)</f>
        <v>0</v>
      </c>
      <c r="AG19" s="27" t="n">
        <f aca="false">IF(AG$18&gt;0,1/AG$18,0)</f>
        <v>0</v>
      </c>
      <c r="AH19" s="27" t="n">
        <f aca="false">IF(AH$18&gt;0,1/AH$18,0)</f>
        <v>0</v>
      </c>
      <c r="AI19" s="27" t="n">
        <f aca="false">IF(AI$18&gt;0,1/AI$18,0)</f>
        <v>0</v>
      </c>
      <c r="AJ19" s="27" t="n">
        <f aca="false">IF(AJ$18&gt;0,1/AJ$18,0)</f>
        <v>0</v>
      </c>
      <c r="AK19" s="27" t="n">
        <f aca="false">IF(AK$18&gt;0,1/AK$18,0)</f>
        <v>0</v>
      </c>
      <c r="AL19" s="27" t="n">
        <f aca="false">IF(AL$18&gt;0,1/AL$18,0)</f>
        <v>0</v>
      </c>
      <c r="AM19" s="27" t="n">
        <f aca="false">IF(AM$18&gt;0,1/AM$18,0)</f>
        <v>0</v>
      </c>
      <c r="AN19" s="27" t="n">
        <f aca="false">IF(AN$18&gt;0,1/AN$18,0)</f>
        <v>0</v>
      </c>
      <c r="AO19" s="27" t="n">
        <f aca="false">IF(AO$18&gt;0,1/AO$18,0)</f>
        <v>0</v>
      </c>
      <c r="AP19" s="27" t="n">
        <f aca="false">IF(AP$18&gt;0,1/AP$18,0)</f>
        <v>0</v>
      </c>
      <c r="AQ19" s="27" t="n">
        <f aca="false">IF(AQ$18&gt;0,1/AQ$18,0)</f>
        <v>0</v>
      </c>
      <c r="AR19" s="27" t="n">
        <f aca="false">IF(AR$18&gt;0,1/AR$18,0)</f>
        <v>0</v>
      </c>
      <c r="AS19" s="27" t="n">
        <f aca="false">IF(AS$18&gt;0,1/AS$18,0)</f>
        <v>0</v>
      </c>
      <c r="AT19" s="27" t="n">
        <f aca="false">IF(AT$18&gt;0,1/AT$18,0)</f>
        <v>0</v>
      </c>
      <c r="AU19" s="27" t="n">
        <f aca="false">IF(AU$18&gt;0,1/AU$18,0)</f>
        <v>0</v>
      </c>
      <c r="AV19" s="27" t="n">
        <f aca="false">IF(AV$18&gt;0,1/AV$18,0)</f>
        <v>0</v>
      </c>
      <c r="AW19" s="27" t="n">
        <f aca="false">IF(AW$18&gt;0,1/AW$18,0)</f>
        <v>0</v>
      </c>
      <c r="AX19" s="27" t="n">
        <f aca="false">IF(AX$18&gt;0,1/AX$18,0)</f>
        <v>0</v>
      </c>
      <c r="AY19" s="27" t="n">
        <f aca="false">IF(AY$18&gt;0,1/AY$18,0)</f>
        <v>0</v>
      </c>
      <c r="AZ19" s="27" t="n">
        <f aca="false">IF(AZ$18&gt;0,1/AZ$18,0)</f>
        <v>0</v>
      </c>
      <c r="BA19" s="27" t="n">
        <f aca="false">IF(BA$18&gt;0,1/BA$18,0)</f>
        <v>0</v>
      </c>
      <c r="BB19" s="27" t="n">
        <f aca="false">IF(BB$18&gt;0,1/BB$18,0)</f>
        <v>0</v>
      </c>
      <c r="BC19" s="27" t="n">
        <f aca="false">IF(BC$18&gt;0,1/BC$18,0)</f>
        <v>0</v>
      </c>
      <c r="BD19" s="27" t="n">
        <f aca="false">IF(BD$18&gt;0,1/BD$18,0)</f>
        <v>0</v>
      </c>
      <c r="BE19" s="27" t="n">
        <f aca="false">IF(BE$18&gt;0,1/BE$18,0)</f>
        <v>0</v>
      </c>
      <c r="BF19" s="27" t="n">
        <f aca="false">IF(BF$18&gt;0,1/BF$18,0)</f>
        <v>0</v>
      </c>
      <c r="BG19" s="27" t="n">
        <f aca="false">IF(BG$18&gt;0,1/BG$18,0)</f>
        <v>0</v>
      </c>
      <c r="BH19" s="27" t="n">
        <f aca="false">IF(BH$18&gt;0,1/BH$18,0)</f>
        <v>0</v>
      </c>
      <c r="BI19" s="27" t="n">
        <f aca="false">IF(BI$18&gt;0,1/BI$18,0)</f>
        <v>0</v>
      </c>
      <c r="BJ19" s="27" t="n">
        <f aca="false">IF(BJ$18&gt;0,1/BJ$18,0)</f>
        <v>0</v>
      </c>
      <c r="BK19" s="27" t="n">
        <f aca="false">IF(BK$18&gt;0,1/BK$18,0)</f>
        <v>0</v>
      </c>
      <c r="BL19" s="27" t="n">
        <f aca="false">IF(BL$18&gt;0,1/BL$18,0)</f>
        <v>0</v>
      </c>
      <c r="BM19" s="27" t="n">
        <f aca="false">IF(BM$18&gt;0,1/BM$18,0)</f>
        <v>0</v>
      </c>
      <c r="BN19" s="27" t="n">
        <f aca="false">IF(BN$18&gt;0,1/BN$18,0)</f>
        <v>0</v>
      </c>
      <c r="BO19" s="27" t="n">
        <f aca="false">IF(BO$18&gt;0,1/BO$18,0)</f>
        <v>0</v>
      </c>
      <c r="BP19" s="27" t="n">
        <f aca="false">IF(BP$18&gt;0,1/BP$18,0)</f>
        <v>0</v>
      </c>
      <c r="BQ19" s="27" t="n">
        <f aca="false">IF(BQ$18&gt;0,1/BQ$18,0)</f>
        <v>0</v>
      </c>
      <c r="BR19" s="27" t="n">
        <f aca="false">IF(BR$18&gt;0,1/BR$18,0)</f>
        <v>0</v>
      </c>
      <c r="BS19" s="27" t="n">
        <f aca="false">IF(BS$18&gt;0,1/BS$18,0)</f>
        <v>0</v>
      </c>
      <c r="BT19" s="27" t="n">
        <f aca="false">IF(BT$18&gt;0,1/BT$18,0)</f>
        <v>0</v>
      </c>
      <c r="BU19" s="27" t="n">
        <f aca="false">IF(BU$18&gt;0,1/BU$18,0)</f>
        <v>0</v>
      </c>
      <c r="BV19" s="27" t="n">
        <f aca="false">IF(BV$18&gt;0,1/BV$18,0)</f>
        <v>0</v>
      </c>
      <c r="BW19" s="27" t="n">
        <f aca="false">IF(BW$18&gt;0,1/BW$18,0)</f>
        <v>0</v>
      </c>
      <c r="BX19" s="27" t="n">
        <f aca="false">IF(BX$18&gt;0,1/BX$18,0)</f>
        <v>0</v>
      </c>
      <c r="BY19" s="27" t="n">
        <f aca="false">IF(BY$18&gt;0,1/BY$18,0)</f>
        <v>0</v>
      </c>
      <c r="BZ19" s="27" t="n">
        <f aca="false">IF(BZ$18&gt;0,1/BZ$18,0)</f>
        <v>0</v>
      </c>
      <c r="CA19" s="27" t="n">
        <f aca="false">IF(CA$18&gt;0,1/CA$18,0)</f>
        <v>0</v>
      </c>
      <c r="CB19" s="27" t="n">
        <f aca="false">IF(CB$18&gt;0,1/CB$18,0)</f>
        <v>0</v>
      </c>
      <c r="CC19" s="27" t="n">
        <f aca="false">IF(CC$18&gt;0,1/CC$18,0)</f>
        <v>0</v>
      </c>
      <c r="CD19" s="27" t="n">
        <f aca="false">IF(CD$18&gt;0,1/CD$18,0)</f>
        <v>0</v>
      </c>
      <c r="CE19" s="27" t="n">
        <f aca="false">IF(CE$18&gt;0,1/CE$18,0)</f>
        <v>0</v>
      </c>
      <c r="CF19" s="27" t="n">
        <f aca="false">IF(CF$18&gt;0,1/CF$18,0)</f>
        <v>0</v>
      </c>
      <c r="CG19" s="27" t="n">
        <f aca="false">IF(CG$18&gt;0,1/CG$18,0)</f>
        <v>0</v>
      </c>
      <c r="CH19" s="27" t="n">
        <f aca="false">IF(CH$18&gt;0,1/CH$18,0)</f>
        <v>0</v>
      </c>
      <c r="CI19" s="27" t="n">
        <f aca="false">IF(CI$18&gt;0,1/CI$18,0)</f>
        <v>0</v>
      </c>
      <c r="CJ19" s="27" t="n">
        <f aca="false">IF(CJ$18&gt;0,1/CJ$18,0)</f>
        <v>0</v>
      </c>
      <c r="CK19" s="27" t="n">
        <f aca="false">IF(CK$18&gt;0,1/CK$18,0)</f>
        <v>0</v>
      </c>
      <c r="CL19" s="27" t="n">
        <f aca="false">IF(CL$18&gt;0,1/CL$18,0)</f>
        <v>0</v>
      </c>
      <c r="CM19" s="27" t="n">
        <f aca="false">IF(CM$18&gt;0,1/CM$18,0)</f>
        <v>0</v>
      </c>
      <c r="CN19" s="27" t="n">
        <f aca="false">IF(CN$18&gt;0,1/CN$18,0)</f>
        <v>0</v>
      </c>
      <c r="CO19" s="27" t="n">
        <f aca="false">IF(CO$18&gt;0,1/CO$18,0)</f>
        <v>0</v>
      </c>
      <c r="CP19" s="27" t="n">
        <f aca="false">IF(CP$18&gt;0,1/CP$18,0)</f>
        <v>0</v>
      </c>
      <c r="CQ19" s="27" t="n">
        <f aca="false">IF(CQ$18&gt;0,1/CQ$18,0)</f>
        <v>0</v>
      </c>
      <c r="CR19" s="27" t="n">
        <f aca="false">IF(CR$18&gt;0,1/CR$18,0)</f>
        <v>0</v>
      </c>
      <c r="CS19" s="27" t="n">
        <f aca="false">IF(CS$18&gt;0,1/CS$18,0)</f>
        <v>0</v>
      </c>
      <c r="CT19" s="27" t="n">
        <f aca="false">IF(CT$18&gt;0,1/CT$18,0)</f>
        <v>0</v>
      </c>
      <c r="CU19" s="27" t="n">
        <f aca="false">IF(CU$18&gt;0,1/CU$18,0)</f>
        <v>0</v>
      </c>
      <c r="CV19" s="27" t="n">
        <f aca="false">IF(CV$18&gt;0,1/CV$18,0)</f>
        <v>0</v>
      </c>
      <c r="CW19" s="27" t="n">
        <f aca="false">IF(CW$18&gt;0,1/CW$18,0)</f>
        <v>0</v>
      </c>
      <c r="CX19" s="27" t="n">
        <f aca="false">IF(CX$18&gt;0,1/CX$18,0)</f>
        <v>0</v>
      </c>
      <c r="CY19" s="27" t="n">
        <f aca="false">IF(CY$18&gt;0,1/CY$18,0)</f>
        <v>0</v>
      </c>
      <c r="CZ19" s="27" t="n">
        <f aca="false">IF(CZ$18&gt;0,1/CZ$18,0)</f>
        <v>0</v>
      </c>
      <c r="DA19" s="27" t="n">
        <f aca="false">IF(DA$18&gt;0,1/DA$18,0)</f>
        <v>0</v>
      </c>
      <c r="DB19" s="27" t="n">
        <f aca="false">IF(DB$18&gt;0,1/DB$18,0)</f>
        <v>0</v>
      </c>
      <c r="DC19" s="27" t="n">
        <f aca="false">IF(DC$18&gt;0,1/DC$18,0)</f>
        <v>0</v>
      </c>
      <c r="DD19" s="27" t="n">
        <f aca="false">IF(DD$18&gt;0,1/DD$18,0)</f>
        <v>0</v>
      </c>
      <c r="DE19" s="27" t="n">
        <f aca="false">IF(DE$18&gt;0,1/DE$18,0)</f>
        <v>0</v>
      </c>
      <c r="DF19" s="27" t="n">
        <f aca="false">IF(DF$18&gt;0,1/DF$18,0)</f>
        <v>0</v>
      </c>
      <c r="DG19" s="27" t="n">
        <f aca="false">IF(DG$18&gt;0,1/DG$18,0)</f>
        <v>0</v>
      </c>
      <c r="DH19" s="27" t="n">
        <f aca="false">IF(DH$18&gt;0,1/DH$18,0)</f>
        <v>0</v>
      </c>
      <c r="DI19" s="27" t="n">
        <f aca="false">IF(DI$18&gt;0,1/DI$18,0)</f>
        <v>0</v>
      </c>
      <c r="DJ19" s="27" t="n">
        <f aca="false">IF(DJ$18&gt;0,1/DJ$18,0)</f>
        <v>0</v>
      </c>
      <c r="DK19" s="27" t="n">
        <f aca="false">IF(DK$18&gt;0,1/DK$18,0)</f>
        <v>0</v>
      </c>
      <c r="DL19" s="27" t="n">
        <f aca="false">IF(DL$18&gt;0,1/DL$18,0)</f>
        <v>0</v>
      </c>
      <c r="DM19" s="27" t="n">
        <f aca="false">IF(DM$18&gt;0,1/DM$18,0)</f>
        <v>0</v>
      </c>
      <c r="DN19" s="27" t="n">
        <f aca="false">IF(DN$18&gt;0,1/DN$18,0)</f>
        <v>0</v>
      </c>
      <c r="DO19" s="27" t="n">
        <f aca="false">IF(DO$18&gt;0,1/DO$18,0)</f>
        <v>0</v>
      </c>
      <c r="DP19" s="27" t="n">
        <f aca="false">IF(DP$18&gt;0,1/DP$18,0)</f>
        <v>0</v>
      </c>
      <c r="DQ19" s="27" t="n">
        <f aca="false">IF(DQ$18&gt;0,1/DQ$18,0)</f>
        <v>0</v>
      </c>
      <c r="DR19" s="27" t="n">
        <f aca="false">IF(DR$18&gt;0,1/DR$18,0)</f>
        <v>0</v>
      </c>
      <c r="DS19" s="27" t="n">
        <f aca="false">IF(DS$18&gt;0,1/DS$18,0)</f>
        <v>0</v>
      </c>
      <c r="DT19" s="27" t="n">
        <f aca="false">IF(DT$18&gt;0,1/DT$18,0)</f>
        <v>0</v>
      </c>
      <c r="DU19" s="27" t="n">
        <f aca="false">IF(DU$18&gt;0,1/DU$18,0)</f>
        <v>0</v>
      </c>
      <c r="DV19" s="27" t="n">
        <f aca="false">IF(DV$18&gt;0,1/DV$18,0)</f>
        <v>0</v>
      </c>
      <c r="DW19" s="27" t="n">
        <f aca="false">IF(DW$18&gt;0,1/DW$18,0)</f>
        <v>0</v>
      </c>
      <c r="DX19" s="27" t="n">
        <f aca="false">IF(DX$18&gt;0,1/DX$18,0)</f>
        <v>0</v>
      </c>
      <c r="DY19" s="27" t="n">
        <f aca="false">IF(DY$18&gt;0,1/DY$18,0)</f>
        <v>0</v>
      </c>
      <c r="DZ19" s="27" t="n">
        <f aca="false">IF(DZ$18&gt;0,1/DZ$18,0)</f>
        <v>0</v>
      </c>
      <c r="EA19" s="27" t="n">
        <f aca="false">IF(EA$18&gt;0,1/EA$18,0)</f>
        <v>0</v>
      </c>
      <c r="EB19" s="27" t="n">
        <f aca="false">IF(EB$18&gt;0,1/EB$18,0)</f>
        <v>0</v>
      </c>
      <c r="EC19" s="27" t="n">
        <f aca="false">IF(EC$18&gt;0,1/EC$18,0)</f>
        <v>0</v>
      </c>
      <c r="ED19" s="27" t="n">
        <f aca="false">IF(ED$18&gt;0,1/ED$18,0)</f>
        <v>0</v>
      </c>
      <c r="EE19" s="27" t="n">
        <f aca="false">IF(EE$18&gt;0,1/EE$18,0)</f>
        <v>0</v>
      </c>
      <c r="EF19" s="27" t="n">
        <f aca="false">IF(EF$18&gt;0,1/EF$18,0)</f>
        <v>0</v>
      </c>
      <c r="EG19" s="27" t="n">
        <f aca="false">IF(EG$18&gt;0,1/EG$18,0)</f>
        <v>0</v>
      </c>
      <c r="EH19" s="27" t="n">
        <f aca="false">IF(EH$18&gt;0,1/EH$18,0)</f>
        <v>0</v>
      </c>
      <c r="EI19" s="27" t="n">
        <f aca="false">IF(EI$18&gt;0,1/EI$18,0)</f>
        <v>0</v>
      </c>
      <c r="EJ19" s="27" t="n">
        <f aca="false">IF(EJ$18&gt;0,1/EJ$18,0)</f>
        <v>0</v>
      </c>
      <c r="EK19" s="27" t="n">
        <f aca="false">IF(EK$18&gt;0,1/EK$18,0)</f>
        <v>0</v>
      </c>
      <c r="EL19" s="27" t="n">
        <f aca="false">IF(EL$18&gt;0,1/EL$18,0)</f>
        <v>0</v>
      </c>
      <c r="EM19" s="27" t="n">
        <f aca="false">IF(EM$18&gt;0,1/EM$18,0)</f>
        <v>0</v>
      </c>
      <c r="EN19" s="27" t="n">
        <f aca="false">IF(EN$18&gt;0,1/EN$18,0)</f>
        <v>0</v>
      </c>
      <c r="EO19" s="27" t="n">
        <f aca="false">IF(EO$18&gt;0,1/EO$18,0)</f>
        <v>0</v>
      </c>
      <c r="EP19" s="27" t="n">
        <f aca="false">IF(EP$18&gt;0,1/EP$18,0)</f>
        <v>0</v>
      </c>
      <c r="EQ19" s="27" t="n">
        <f aca="false">IF(EQ$18&gt;0,1/EQ$18,0)</f>
        <v>0</v>
      </c>
      <c r="ER19" s="27" t="n">
        <f aca="false">IF(ER$18&gt;0,1/ER$18,0)</f>
        <v>0</v>
      </c>
      <c r="ES19" s="27" t="n">
        <f aca="false">IF(ES$18&gt;0,1/ES$18,0)</f>
        <v>0</v>
      </c>
    </row>
    <row r="20" customFormat="false" ht="15" hidden="false" customHeight="false" outlineLevel="0" collapsed="false">
      <c r="A20" s="4"/>
      <c r="B20" s="3" t="s">
        <v>210</v>
      </c>
      <c r="C20" s="4"/>
      <c r="D20" s="4"/>
      <c r="E20" s="4"/>
    </row>
    <row r="21" customFormat="false" ht="15" hidden="false" customHeight="false" outlineLevel="0" collapsed="false">
      <c r="A21" s="2" t="s">
        <v>432</v>
      </c>
      <c r="B21" s="39" t="str">
        <f aca="false">IF(INDEX(Prod_Nombre,1)="","Producto 1",INDEX(Prod_Nombre,1))&amp;" — unidades"</f>
        <v>Producto 1 — unidades</v>
      </c>
      <c r="C21" s="6" t="s">
        <v>337</v>
      </c>
      <c r="E21" s="40" t="n">
        <f aca="false">SUM(F21:ES21)</f>
        <v>0</v>
      </c>
      <c r="F21" s="34" t="n">
        <f aca="false">IF(F$15=1,INDEX(Vol_O,1,F$14)/12*(1+P_dVol),0)</f>
        <v>0</v>
      </c>
      <c r="G21" s="34" t="n">
        <f aca="false">IF(G$15=1,INDEX(Vol_O,1,G$14)/12*(1+P_dVol),0)</f>
        <v>0</v>
      </c>
      <c r="H21" s="34" t="n">
        <f aca="false">IF(H$15=1,INDEX(Vol_O,1,H$14)/12*(1+P_dVol),0)</f>
        <v>0</v>
      </c>
      <c r="I21" s="34" t="n">
        <f aca="false">IF(I$15=1,INDEX(Vol_O,1,I$14)/12*(1+P_dVol),0)</f>
        <v>0</v>
      </c>
      <c r="J21" s="34" t="n">
        <f aca="false">IF(J$15=1,INDEX(Vol_O,1,J$14)/12*(1+P_dVol),0)</f>
        <v>0</v>
      </c>
      <c r="K21" s="34" t="n">
        <f aca="false">IF(K$15=1,INDEX(Vol_O,1,K$14)/12*(1+P_dVol),0)</f>
        <v>0</v>
      </c>
      <c r="L21" s="34" t="n">
        <f aca="false">IF(L$15=1,INDEX(Vol_O,1,L$14)/12*(1+P_dVol),0)</f>
        <v>0</v>
      </c>
      <c r="M21" s="34" t="n">
        <f aca="false">IF(M$15=1,INDEX(Vol_O,1,M$14)/12*(1+P_dVol),0)</f>
        <v>0</v>
      </c>
      <c r="N21" s="34" t="n">
        <f aca="false">IF(N$15=1,INDEX(Vol_O,1,N$14)/12*(1+P_dVol),0)</f>
        <v>0</v>
      </c>
      <c r="O21" s="34" t="n">
        <f aca="false">IF(O$15=1,INDEX(Vol_O,1,O$14)/12*(1+P_dVol),0)</f>
        <v>0</v>
      </c>
      <c r="P21" s="34" t="n">
        <f aca="false">IF(P$15=1,INDEX(Vol_O,1,P$14)/12*(1+P_dVol),0)</f>
        <v>0</v>
      </c>
      <c r="Q21" s="34" t="n">
        <f aca="false">IF(Q$15=1,INDEX(Vol_O,1,Q$14)/12*(1+P_dVol),0)</f>
        <v>0</v>
      </c>
      <c r="R21" s="34" t="n">
        <f aca="false">IF(R$15=1,INDEX(Vol_O,1,R$14)/12*(1+P_dVol),0)</f>
        <v>0</v>
      </c>
      <c r="S21" s="34" t="n">
        <f aca="false">IF(S$15=1,INDEX(Vol_O,1,S$14)/12*(1+P_dVol),0)</f>
        <v>0</v>
      </c>
      <c r="T21" s="34" t="n">
        <f aca="false">IF(T$15=1,INDEX(Vol_O,1,T$14)/12*(1+P_dVol),0)</f>
        <v>0</v>
      </c>
      <c r="U21" s="34" t="n">
        <f aca="false">IF(U$15=1,INDEX(Vol_O,1,U$14)/12*(1+P_dVol),0)</f>
        <v>0</v>
      </c>
      <c r="V21" s="34" t="n">
        <f aca="false">IF(V$15=1,INDEX(Vol_O,1,V$14)/12*(1+P_dVol),0)</f>
        <v>0</v>
      </c>
      <c r="W21" s="34" t="n">
        <f aca="false">IF(W$15=1,INDEX(Vol_O,1,W$14)/12*(1+P_dVol),0)</f>
        <v>0</v>
      </c>
      <c r="X21" s="34" t="n">
        <f aca="false">IF(X$15=1,INDEX(Vol_O,1,X$14)/12*(1+P_dVol),0)</f>
        <v>0</v>
      </c>
      <c r="Y21" s="34" t="n">
        <f aca="false">IF(Y$15=1,INDEX(Vol_O,1,Y$14)/12*(1+P_dVol),0)</f>
        <v>0</v>
      </c>
      <c r="Z21" s="34" t="n">
        <f aca="false">IF(Z$15=1,INDEX(Vol_O,1,Z$14)/12*(1+P_dVol),0)</f>
        <v>0</v>
      </c>
      <c r="AA21" s="34" t="n">
        <f aca="false">IF(AA$15=1,INDEX(Vol_O,1,AA$14)/12*(1+P_dVol),0)</f>
        <v>0</v>
      </c>
      <c r="AB21" s="34" t="n">
        <f aca="false">IF(AB$15=1,INDEX(Vol_O,1,AB$14)/12*(1+P_dVol),0)</f>
        <v>0</v>
      </c>
      <c r="AC21" s="34" t="n">
        <f aca="false">IF(AC$15=1,INDEX(Vol_O,1,AC$14)/12*(1+P_dVol),0)</f>
        <v>0</v>
      </c>
      <c r="AD21" s="34" t="n">
        <f aca="false">IF(AD$15=1,INDEX(Vol_O,1,AD$14)/12*(1+P_dVol),0)</f>
        <v>0</v>
      </c>
      <c r="AE21" s="34" t="n">
        <f aca="false">IF(AE$15=1,INDEX(Vol_O,1,AE$14)/12*(1+P_dVol),0)</f>
        <v>0</v>
      </c>
      <c r="AF21" s="34" t="n">
        <f aca="false">IF(AF$15=1,INDEX(Vol_O,1,AF$14)/12*(1+P_dVol),0)</f>
        <v>0</v>
      </c>
      <c r="AG21" s="34" t="n">
        <f aca="false">IF(AG$15=1,INDEX(Vol_O,1,AG$14)/12*(1+P_dVol),0)</f>
        <v>0</v>
      </c>
      <c r="AH21" s="34" t="n">
        <f aca="false">IF(AH$15=1,INDEX(Vol_O,1,AH$14)/12*(1+P_dVol),0)</f>
        <v>0</v>
      </c>
      <c r="AI21" s="34" t="n">
        <f aca="false">IF(AI$15=1,INDEX(Vol_O,1,AI$14)/12*(1+P_dVol),0)</f>
        <v>0</v>
      </c>
      <c r="AJ21" s="34" t="n">
        <f aca="false">IF(AJ$15=1,INDEX(Vol_O,1,AJ$14)/12*(1+P_dVol),0)</f>
        <v>0</v>
      </c>
      <c r="AK21" s="34" t="n">
        <f aca="false">IF(AK$15=1,INDEX(Vol_O,1,AK$14)/12*(1+P_dVol),0)</f>
        <v>0</v>
      </c>
      <c r="AL21" s="34" t="n">
        <f aca="false">IF(AL$15=1,INDEX(Vol_O,1,AL$14)/12*(1+P_dVol),0)</f>
        <v>0</v>
      </c>
      <c r="AM21" s="34" t="n">
        <f aca="false">IF(AM$15=1,INDEX(Vol_O,1,AM$14)/12*(1+P_dVol),0)</f>
        <v>0</v>
      </c>
      <c r="AN21" s="34" t="n">
        <f aca="false">IF(AN$15=1,INDEX(Vol_O,1,AN$14)/12*(1+P_dVol),0)</f>
        <v>0</v>
      </c>
      <c r="AO21" s="34" t="n">
        <f aca="false">IF(AO$15=1,INDEX(Vol_O,1,AO$14)/12*(1+P_dVol),0)</f>
        <v>0</v>
      </c>
      <c r="AP21" s="34" t="n">
        <f aca="false">IF(AP$15=1,INDEX(Vol_O,1,AP$14)/12*(1+P_dVol),0)</f>
        <v>0</v>
      </c>
      <c r="AQ21" s="34" t="n">
        <f aca="false">IF(AQ$15=1,INDEX(Vol_O,1,AQ$14)/12*(1+P_dVol),0)</f>
        <v>0</v>
      </c>
      <c r="AR21" s="34" t="n">
        <f aca="false">IF(AR$15=1,INDEX(Vol_O,1,AR$14)/12*(1+P_dVol),0)</f>
        <v>0</v>
      </c>
      <c r="AS21" s="34" t="n">
        <f aca="false">IF(AS$15=1,INDEX(Vol_O,1,AS$14)/12*(1+P_dVol),0)</f>
        <v>0</v>
      </c>
      <c r="AT21" s="34" t="n">
        <f aca="false">IF(AT$15=1,INDEX(Vol_O,1,AT$14)/12*(1+P_dVol),0)</f>
        <v>0</v>
      </c>
      <c r="AU21" s="34" t="n">
        <f aca="false">IF(AU$15=1,INDEX(Vol_O,1,AU$14)/12*(1+P_dVol),0)</f>
        <v>0</v>
      </c>
      <c r="AV21" s="34" t="n">
        <f aca="false">IF(AV$15=1,INDEX(Vol_O,1,AV$14)/12*(1+P_dVol),0)</f>
        <v>0</v>
      </c>
      <c r="AW21" s="34" t="n">
        <f aca="false">IF(AW$15=1,INDEX(Vol_O,1,AW$14)/12*(1+P_dVol),0)</f>
        <v>0</v>
      </c>
      <c r="AX21" s="34" t="n">
        <f aca="false">IF(AX$15=1,INDEX(Vol_O,1,AX$14)/12*(1+P_dVol),0)</f>
        <v>0</v>
      </c>
      <c r="AY21" s="34" t="n">
        <f aca="false">IF(AY$15=1,INDEX(Vol_O,1,AY$14)/12*(1+P_dVol),0)</f>
        <v>0</v>
      </c>
      <c r="AZ21" s="34" t="n">
        <f aca="false">IF(AZ$15=1,INDEX(Vol_O,1,AZ$14)/12*(1+P_dVol),0)</f>
        <v>0</v>
      </c>
      <c r="BA21" s="34" t="n">
        <f aca="false">IF(BA$15=1,INDEX(Vol_O,1,BA$14)/12*(1+P_dVol),0)</f>
        <v>0</v>
      </c>
      <c r="BB21" s="34" t="n">
        <f aca="false">IF(BB$15=1,INDEX(Vol_O,1,BB$14)/12*(1+P_dVol),0)</f>
        <v>0</v>
      </c>
      <c r="BC21" s="34" t="n">
        <f aca="false">IF(BC$15=1,INDEX(Vol_O,1,BC$14)/12*(1+P_dVol),0)</f>
        <v>0</v>
      </c>
      <c r="BD21" s="34" t="n">
        <f aca="false">IF(BD$15=1,INDEX(Vol_O,1,BD$14)/12*(1+P_dVol),0)</f>
        <v>0</v>
      </c>
      <c r="BE21" s="34" t="n">
        <f aca="false">IF(BE$15=1,INDEX(Vol_O,1,BE$14)/12*(1+P_dVol),0)</f>
        <v>0</v>
      </c>
      <c r="BF21" s="34" t="n">
        <f aca="false">IF(BF$15=1,INDEX(Vol_O,1,BF$14)/12*(1+P_dVol),0)</f>
        <v>0</v>
      </c>
      <c r="BG21" s="34" t="n">
        <f aca="false">IF(BG$15=1,INDEX(Vol_O,1,BG$14)/12*(1+P_dVol),0)</f>
        <v>0</v>
      </c>
      <c r="BH21" s="34" t="n">
        <f aca="false">IF(BH$15=1,INDEX(Vol_O,1,BH$14)/12*(1+P_dVol),0)</f>
        <v>0</v>
      </c>
      <c r="BI21" s="34" t="n">
        <f aca="false">IF(BI$15=1,INDEX(Vol_O,1,BI$14)/12*(1+P_dVol),0)</f>
        <v>0</v>
      </c>
      <c r="BJ21" s="34" t="n">
        <f aca="false">IF(BJ$15=1,INDEX(Vol_O,1,BJ$14)/12*(1+P_dVol),0)</f>
        <v>0</v>
      </c>
      <c r="BK21" s="34" t="n">
        <f aca="false">IF(BK$15=1,INDEX(Vol_O,1,BK$14)/12*(1+P_dVol),0)</f>
        <v>0</v>
      </c>
      <c r="BL21" s="34" t="n">
        <f aca="false">IF(BL$15=1,INDEX(Vol_O,1,BL$14)/12*(1+P_dVol),0)</f>
        <v>0</v>
      </c>
      <c r="BM21" s="34" t="n">
        <f aca="false">IF(BM$15=1,INDEX(Vol_O,1,BM$14)/12*(1+P_dVol),0)</f>
        <v>0</v>
      </c>
      <c r="BN21" s="34" t="n">
        <f aca="false">IF(BN$15=1,INDEX(Vol_O,1,BN$14)/12*(1+P_dVol),0)</f>
        <v>0</v>
      </c>
      <c r="BO21" s="34" t="n">
        <f aca="false">IF(BO$15=1,INDEX(Vol_O,1,BO$14)/12*(1+P_dVol),0)</f>
        <v>0</v>
      </c>
      <c r="BP21" s="34" t="n">
        <f aca="false">IF(BP$15=1,INDEX(Vol_O,1,BP$14)/12*(1+P_dVol),0)</f>
        <v>0</v>
      </c>
      <c r="BQ21" s="34" t="n">
        <f aca="false">IF(BQ$15=1,INDEX(Vol_O,1,BQ$14)/12*(1+P_dVol),0)</f>
        <v>0</v>
      </c>
      <c r="BR21" s="34" t="n">
        <f aca="false">IF(BR$15=1,INDEX(Vol_O,1,BR$14)/12*(1+P_dVol),0)</f>
        <v>0</v>
      </c>
      <c r="BS21" s="34" t="n">
        <f aca="false">IF(BS$15=1,INDEX(Vol_O,1,BS$14)/12*(1+P_dVol),0)</f>
        <v>0</v>
      </c>
      <c r="BT21" s="34" t="n">
        <f aca="false">IF(BT$15=1,INDEX(Vol_O,1,BT$14)/12*(1+P_dVol),0)</f>
        <v>0</v>
      </c>
      <c r="BU21" s="34" t="n">
        <f aca="false">IF(BU$15=1,INDEX(Vol_O,1,BU$14)/12*(1+P_dVol),0)</f>
        <v>0</v>
      </c>
      <c r="BV21" s="34" t="n">
        <f aca="false">IF(BV$15=1,INDEX(Vol_O,1,BV$14)/12*(1+P_dVol),0)</f>
        <v>0</v>
      </c>
      <c r="BW21" s="34" t="n">
        <f aca="false">IF(BW$15=1,INDEX(Vol_O,1,BW$14)/12*(1+P_dVol),0)</f>
        <v>0</v>
      </c>
      <c r="BX21" s="34" t="n">
        <f aca="false">IF(BX$15=1,INDEX(Vol_O,1,BX$14)/12*(1+P_dVol),0)</f>
        <v>0</v>
      </c>
      <c r="BY21" s="34" t="n">
        <f aca="false">IF(BY$15=1,INDEX(Vol_O,1,BY$14)/12*(1+P_dVol),0)</f>
        <v>0</v>
      </c>
      <c r="BZ21" s="34" t="n">
        <f aca="false">IF(BZ$15=1,INDEX(Vol_O,1,BZ$14)/12*(1+P_dVol),0)</f>
        <v>0</v>
      </c>
      <c r="CA21" s="34" t="n">
        <f aca="false">IF(CA$15=1,INDEX(Vol_O,1,CA$14)/12*(1+P_dVol),0)</f>
        <v>0</v>
      </c>
      <c r="CB21" s="34" t="n">
        <f aca="false">IF(CB$15=1,INDEX(Vol_O,1,CB$14)/12*(1+P_dVol),0)</f>
        <v>0</v>
      </c>
      <c r="CC21" s="34" t="n">
        <f aca="false">IF(CC$15=1,INDEX(Vol_O,1,CC$14)/12*(1+P_dVol),0)</f>
        <v>0</v>
      </c>
      <c r="CD21" s="34" t="n">
        <f aca="false">IF(CD$15=1,INDEX(Vol_O,1,CD$14)/12*(1+P_dVol),0)</f>
        <v>0</v>
      </c>
      <c r="CE21" s="34" t="n">
        <f aca="false">IF(CE$15=1,INDEX(Vol_O,1,CE$14)/12*(1+P_dVol),0)</f>
        <v>0</v>
      </c>
      <c r="CF21" s="34" t="n">
        <f aca="false">IF(CF$15=1,INDEX(Vol_O,1,CF$14)/12*(1+P_dVol),0)</f>
        <v>0</v>
      </c>
      <c r="CG21" s="34" t="n">
        <f aca="false">IF(CG$15=1,INDEX(Vol_O,1,CG$14)/12*(1+P_dVol),0)</f>
        <v>0</v>
      </c>
      <c r="CH21" s="34" t="n">
        <f aca="false">IF(CH$15=1,INDEX(Vol_O,1,CH$14)/12*(1+P_dVol),0)</f>
        <v>0</v>
      </c>
      <c r="CI21" s="34" t="n">
        <f aca="false">IF(CI$15=1,INDEX(Vol_O,1,CI$14)/12*(1+P_dVol),0)</f>
        <v>0</v>
      </c>
      <c r="CJ21" s="34" t="n">
        <f aca="false">IF(CJ$15=1,INDEX(Vol_O,1,CJ$14)/12*(1+P_dVol),0)</f>
        <v>0</v>
      </c>
      <c r="CK21" s="34" t="n">
        <f aca="false">IF(CK$15=1,INDEX(Vol_O,1,CK$14)/12*(1+P_dVol),0)</f>
        <v>0</v>
      </c>
      <c r="CL21" s="34" t="n">
        <f aca="false">IF(CL$15=1,INDEX(Vol_O,1,CL$14)/12*(1+P_dVol),0)</f>
        <v>0</v>
      </c>
      <c r="CM21" s="34" t="n">
        <f aca="false">IF(CM$15=1,INDEX(Vol_O,1,CM$14)/12*(1+P_dVol),0)</f>
        <v>0</v>
      </c>
      <c r="CN21" s="34" t="n">
        <f aca="false">IF(CN$15=1,INDEX(Vol_O,1,CN$14)/12*(1+P_dVol),0)</f>
        <v>0</v>
      </c>
      <c r="CO21" s="34" t="n">
        <f aca="false">IF(CO$15=1,INDEX(Vol_O,1,CO$14)/12*(1+P_dVol),0)</f>
        <v>0</v>
      </c>
      <c r="CP21" s="34" t="n">
        <f aca="false">IF(CP$15=1,INDEX(Vol_O,1,CP$14)/12*(1+P_dVol),0)</f>
        <v>0</v>
      </c>
      <c r="CQ21" s="34" t="n">
        <f aca="false">IF(CQ$15=1,INDEX(Vol_O,1,CQ$14)/12*(1+P_dVol),0)</f>
        <v>0</v>
      </c>
      <c r="CR21" s="34" t="n">
        <f aca="false">IF(CR$15=1,INDEX(Vol_O,1,CR$14)/12*(1+P_dVol),0)</f>
        <v>0</v>
      </c>
      <c r="CS21" s="34" t="n">
        <f aca="false">IF(CS$15=1,INDEX(Vol_O,1,CS$14)/12*(1+P_dVol),0)</f>
        <v>0</v>
      </c>
      <c r="CT21" s="34" t="n">
        <f aca="false">IF(CT$15=1,INDEX(Vol_O,1,CT$14)/12*(1+P_dVol),0)</f>
        <v>0</v>
      </c>
      <c r="CU21" s="34" t="n">
        <f aca="false">IF(CU$15=1,INDEX(Vol_O,1,CU$14)/12*(1+P_dVol),0)</f>
        <v>0</v>
      </c>
      <c r="CV21" s="34" t="n">
        <f aca="false">IF(CV$15=1,INDEX(Vol_O,1,CV$14)/12*(1+P_dVol),0)</f>
        <v>0</v>
      </c>
      <c r="CW21" s="34" t="n">
        <f aca="false">IF(CW$15=1,INDEX(Vol_O,1,CW$14)/12*(1+P_dVol),0)</f>
        <v>0</v>
      </c>
      <c r="CX21" s="34" t="n">
        <f aca="false">IF(CX$15=1,INDEX(Vol_O,1,CX$14)/12*(1+P_dVol),0)</f>
        <v>0</v>
      </c>
      <c r="CY21" s="34" t="n">
        <f aca="false">IF(CY$15=1,INDEX(Vol_O,1,CY$14)/12*(1+P_dVol),0)</f>
        <v>0</v>
      </c>
      <c r="CZ21" s="34" t="n">
        <f aca="false">IF(CZ$15=1,INDEX(Vol_O,1,CZ$14)/12*(1+P_dVol),0)</f>
        <v>0</v>
      </c>
      <c r="DA21" s="34" t="n">
        <f aca="false">IF(DA$15=1,INDEX(Vol_O,1,DA$14)/12*(1+P_dVol),0)</f>
        <v>0</v>
      </c>
      <c r="DB21" s="34" t="n">
        <f aca="false">IF(DB$15=1,INDEX(Vol_O,1,DB$14)/12*(1+P_dVol),0)</f>
        <v>0</v>
      </c>
      <c r="DC21" s="34" t="n">
        <f aca="false">IF(DC$15=1,INDEX(Vol_O,1,DC$14)/12*(1+P_dVol),0)</f>
        <v>0</v>
      </c>
      <c r="DD21" s="34" t="n">
        <f aca="false">IF(DD$15=1,INDEX(Vol_O,1,DD$14)/12*(1+P_dVol),0)</f>
        <v>0</v>
      </c>
      <c r="DE21" s="34" t="n">
        <f aca="false">IF(DE$15=1,INDEX(Vol_O,1,DE$14)/12*(1+P_dVol),0)</f>
        <v>0</v>
      </c>
      <c r="DF21" s="34" t="n">
        <f aca="false">IF(DF$15=1,INDEX(Vol_O,1,DF$14)/12*(1+P_dVol),0)</f>
        <v>0</v>
      </c>
      <c r="DG21" s="34" t="n">
        <f aca="false">IF(DG$15=1,INDEX(Vol_O,1,DG$14)/12*(1+P_dVol),0)</f>
        <v>0</v>
      </c>
      <c r="DH21" s="34" t="n">
        <f aca="false">IF(DH$15=1,INDEX(Vol_O,1,DH$14)/12*(1+P_dVol),0)</f>
        <v>0</v>
      </c>
      <c r="DI21" s="34" t="n">
        <f aca="false">IF(DI$15=1,INDEX(Vol_O,1,DI$14)/12*(1+P_dVol),0)</f>
        <v>0</v>
      </c>
      <c r="DJ21" s="34" t="n">
        <f aca="false">IF(DJ$15=1,INDEX(Vol_O,1,DJ$14)/12*(1+P_dVol),0)</f>
        <v>0</v>
      </c>
      <c r="DK21" s="34" t="n">
        <f aca="false">IF(DK$15=1,INDEX(Vol_O,1,DK$14)/12*(1+P_dVol),0)</f>
        <v>0</v>
      </c>
      <c r="DL21" s="34" t="n">
        <f aca="false">IF(DL$15=1,INDEX(Vol_O,1,DL$14)/12*(1+P_dVol),0)</f>
        <v>0</v>
      </c>
      <c r="DM21" s="34" t="n">
        <f aca="false">IF(DM$15=1,INDEX(Vol_O,1,DM$14)/12*(1+P_dVol),0)</f>
        <v>0</v>
      </c>
      <c r="DN21" s="34" t="n">
        <f aca="false">IF(DN$15=1,INDEX(Vol_O,1,DN$14)/12*(1+P_dVol),0)</f>
        <v>0</v>
      </c>
      <c r="DO21" s="34" t="n">
        <f aca="false">IF(DO$15=1,INDEX(Vol_O,1,DO$14)/12*(1+P_dVol),0)</f>
        <v>0</v>
      </c>
      <c r="DP21" s="34" t="n">
        <f aca="false">IF(DP$15=1,INDEX(Vol_O,1,DP$14)/12*(1+P_dVol),0)</f>
        <v>0</v>
      </c>
      <c r="DQ21" s="34" t="n">
        <f aca="false">IF(DQ$15=1,INDEX(Vol_O,1,DQ$14)/12*(1+P_dVol),0)</f>
        <v>0</v>
      </c>
      <c r="DR21" s="34" t="n">
        <f aca="false">IF(DR$15=1,INDEX(Vol_O,1,DR$14)/12*(1+P_dVol),0)</f>
        <v>0</v>
      </c>
      <c r="DS21" s="34" t="n">
        <f aca="false">IF(DS$15=1,INDEX(Vol_O,1,DS$14)/12*(1+P_dVol),0)</f>
        <v>0</v>
      </c>
      <c r="DT21" s="34" t="n">
        <f aca="false">IF(DT$15=1,INDEX(Vol_O,1,DT$14)/12*(1+P_dVol),0)</f>
        <v>0</v>
      </c>
      <c r="DU21" s="34" t="n">
        <f aca="false">IF(DU$15=1,INDEX(Vol_O,1,DU$14)/12*(1+P_dVol),0)</f>
        <v>0</v>
      </c>
      <c r="DV21" s="34" t="n">
        <f aca="false">IF(DV$15=1,INDEX(Vol_O,1,DV$14)/12*(1+P_dVol),0)</f>
        <v>0</v>
      </c>
      <c r="DW21" s="34" t="n">
        <f aca="false">IF(DW$15=1,INDEX(Vol_O,1,DW$14)/12*(1+P_dVol),0)</f>
        <v>0</v>
      </c>
      <c r="DX21" s="34" t="n">
        <f aca="false">IF(DX$15=1,INDEX(Vol_O,1,DX$14)/12*(1+P_dVol),0)</f>
        <v>0</v>
      </c>
      <c r="DY21" s="34" t="n">
        <f aca="false">IF(DY$15=1,INDEX(Vol_O,1,DY$14)/12*(1+P_dVol),0)</f>
        <v>0</v>
      </c>
      <c r="DZ21" s="34" t="n">
        <f aca="false">IF(DZ$15=1,INDEX(Vol_O,1,DZ$14)/12*(1+P_dVol),0)</f>
        <v>0</v>
      </c>
      <c r="EA21" s="34" t="n">
        <f aca="false">IF(EA$15=1,INDEX(Vol_O,1,EA$14)/12*(1+P_dVol),0)</f>
        <v>0</v>
      </c>
      <c r="EB21" s="34" t="n">
        <f aca="false">IF(EB$15=1,INDEX(Vol_O,1,EB$14)/12*(1+P_dVol),0)</f>
        <v>0</v>
      </c>
      <c r="EC21" s="34" t="n">
        <f aca="false">IF(EC$15=1,INDEX(Vol_O,1,EC$14)/12*(1+P_dVol),0)</f>
        <v>0</v>
      </c>
      <c r="ED21" s="34" t="n">
        <f aca="false">IF(ED$15=1,INDEX(Vol_O,1,ED$14)/12*(1+P_dVol),0)</f>
        <v>0</v>
      </c>
      <c r="EE21" s="34" t="n">
        <f aca="false">IF(EE$15=1,INDEX(Vol_O,1,EE$14)/12*(1+P_dVol),0)</f>
        <v>0</v>
      </c>
      <c r="EF21" s="34" t="n">
        <f aca="false">IF(EF$15=1,INDEX(Vol_O,1,EF$14)/12*(1+P_dVol),0)</f>
        <v>0</v>
      </c>
      <c r="EG21" s="34" t="n">
        <f aca="false">IF(EG$15=1,INDEX(Vol_O,1,EG$14)/12*(1+P_dVol),0)</f>
        <v>0</v>
      </c>
      <c r="EH21" s="34" t="n">
        <f aca="false">IF(EH$15=1,INDEX(Vol_O,1,EH$14)/12*(1+P_dVol),0)</f>
        <v>0</v>
      </c>
      <c r="EI21" s="34" t="n">
        <f aca="false">IF(EI$15=1,INDEX(Vol_O,1,EI$14)/12*(1+P_dVol),0)</f>
        <v>0</v>
      </c>
      <c r="EJ21" s="34" t="n">
        <f aca="false">IF(EJ$15=1,INDEX(Vol_O,1,EJ$14)/12*(1+P_dVol),0)</f>
        <v>0</v>
      </c>
      <c r="EK21" s="34" t="n">
        <f aca="false">IF(EK$15=1,INDEX(Vol_O,1,EK$14)/12*(1+P_dVol),0)</f>
        <v>0</v>
      </c>
      <c r="EL21" s="34" t="n">
        <f aca="false">IF(EL$15=1,INDEX(Vol_O,1,EL$14)/12*(1+P_dVol),0)</f>
        <v>0</v>
      </c>
      <c r="EM21" s="34" t="n">
        <f aca="false">IF(EM$15=1,INDEX(Vol_O,1,EM$14)/12*(1+P_dVol),0)</f>
        <v>0</v>
      </c>
      <c r="EN21" s="34" t="n">
        <f aca="false">IF(EN$15=1,INDEX(Vol_O,1,EN$14)/12*(1+P_dVol),0)</f>
        <v>0</v>
      </c>
      <c r="EO21" s="34" t="n">
        <f aca="false">IF(EO$15=1,INDEX(Vol_O,1,EO$14)/12*(1+P_dVol),0)</f>
        <v>0</v>
      </c>
      <c r="EP21" s="34" t="n">
        <f aca="false">IF(EP$15=1,INDEX(Vol_O,1,EP$14)/12*(1+P_dVol),0)</f>
        <v>0</v>
      </c>
      <c r="EQ21" s="34" t="n">
        <f aca="false">IF(EQ$15=1,INDEX(Vol_O,1,EQ$14)/12*(1+P_dVol),0)</f>
        <v>0</v>
      </c>
      <c r="ER21" s="34" t="n">
        <f aca="false">IF(ER$15=1,INDEX(Vol_O,1,ER$14)/12*(1+P_dVol),0)</f>
        <v>0</v>
      </c>
      <c r="ES21" s="34" t="n">
        <f aca="false">IF(ES$15=1,INDEX(Vol_O,1,ES$14)/12*(1+P_dVol),0)</f>
        <v>0</v>
      </c>
    </row>
    <row r="22" customFormat="false" ht="15" hidden="false" customHeight="false" outlineLevel="0" collapsed="false">
      <c r="A22" s="2" t="s">
        <v>433</v>
      </c>
      <c r="B22" s="39" t="str">
        <f aca="false">IF(INDEX(Prod_Nombre,2)="","Producto 2",INDEX(Prod_Nombre,2))&amp;" — unidades"</f>
        <v>Producto 2 — unidades</v>
      </c>
      <c r="C22" s="6" t="s">
        <v>337</v>
      </c>
      <c r="E22" s="40" t="n">
        <f aca="false">SUM(F22:ES22)</f>
        <v>0</v>
      </c>
      <c r="F22" s="34" t="n">
        <f aca="false">IF(F$15=1,INDEX(Vol_O,2,F$14)/12*(1+P_dVol),0)</f>
        <v>0</v>
      </c>
      <c r="G22" s="34" t="n">
        <f aca="false">IF(G$15=1,INDEX(Vol_O,2,G$14)/12*(1+P_dVol),0)</f>
        <v>0</v>
      </c>
      <c r="H22" s="34" t="n">
        <f aca="false">IF(H$15=1,INDEX(Vol_O,2,H$14)/12*(1+P_dVol),0)</f>
        <v>0</v>
      </c>
      <c r="I22" s="34" t="n">
        <f aca="false">IF(I$15=1,INDEX(Vol_O,2,I$14)/12*(1+P_dVol),0)</f>
        <v>0</v>
      </c>
      <c r="J22" s="34" t="n">
        <f aca="false">IF(J$15=1,INDEX(Vol_O,2,J$14)/12*(1+P_dVol),0)</f>
        <v>0</v>
      </c>
      <c r="K22" s="34" t="n">
        <f aca="false">IF(K$15=1,INDEX(Vol_O,2,K$14)/12*(1+P_dVol),0)</f>
        <v>0</v>
      </c>
      <c r="L22" s="34" t="n">
        <f aca="false">IF(L$15=1,INDEX(Vol_O,2,L$14)/12*(1+P_dVol),0)</f>
        <v>0</v>
      </c>
      <c r="M22" s="34" t="n">
        <f aca="false">IF(M$15=1,INDEX(Vol_O,2,M$14)/12*(1+P_dVol),0)</f>
        <v>0</v>
      </c>
      <c r="N22" s="34" t="n">
        <f aca="false">IF(N$15=1,INDEX(Vol_O,2,N$14)/12*(1+P_dVol),0)</f>
        <v>0</v>
      </c>
      <c r="O22" s="34" t="n">
        <f aca="false">IF(O$15=1,INDEX(Vol_O,2,O$14)/12*(1+P_dVol),0)</f>
        <v>0</v>
      </c>
      <c r="P22" s="34" t="n">
        <f aca="false">IF(P$15=1,INDEX(Vol_O,2,P$14)/12*(1+P_dVol),0)</f>
        <v>0</v>
      </c>
      <c r="Q22" s="34" t="n">
        <f aca="false">IF(Q$15=1,INDEX(Vol_O,2,Q$14)/12*(1+P_dVol),0)</f>
        <v>0</v>
      </c>
      <c r="R22" s="34" t="n">
        <f aca="false">IF(R$15=1,INDEX(Vol_O,2,R$14)/12*(1+P_dVol),0)</f>
        <v>0</v>
      </c>
      <c r="S22" s="34" t="n">
        <f aca="false">IF(S$15=1,INDEX(Vol_O,2,S$14)/12*(1+P_dVol),0)</f>
        <v>0</v>
      </c>
      <c r="T22" s="34" t="n">
        <f aca="false">IF(T$15=1,INDEX(Vol_O,2,T$14)/12*(1+P_dVol),0)</f>
        <v>0</v>
      </c>
      <c r="U22" s="34" t="n">
        <f aca="false">IF(U$15=1,INDEX(Vol_O,2,U$14)/12*(1+P_dVol),0)</f>
        <v>0</v>
      </c>
      <c r="V22" s="34" t="n">
        <f aca="false">IF(V$15=1,INDEX(Vol_O,2,V$14)/12*(1+P_dVol),0)</f>
        <v>0</v>
      </c>
      <c r="W22" s="34" t="n">
        <f aca="false">IF(W$15=1,INDEX(Vol_O,2,W$14)/12*(1+P_dVol),0)</f>
        <v>0</v>
      </c>
      <c r="X22" s="34" t="n">
        <f aca="false">IF(X$15=1,INDEX(Vol_O,2,X$14)/12*(1+P_dVol),0)</f>
        <v>0</v>
      </c>
      <c r="Y22" s="34" t="n">
        <f aca="false">IF(Y$15=1,INDEX(Vol_O,2,Y$14)/12*(1+P_dVol),0)</f>
        <v>0</v>
      </c>
      <c r="Z22" s="34" t="n">
        <f aca="false">IF(Z$15=1,INDEX(Vol_O,2,Z$14)/12*(1+P_dVol),0)</f>
        <v>0</v>
      </c>
      <c r="AA22" s="34" t="n">
        <f aca="false">IF(AA$15=1,INDEX(Vol_O,2,AA$14)/12*(1+P_dVol),0)</f>
        <v>0</v>
      </c>
      <c r="AB22" s="34" t="n">
        <f aca="false">IF(AB$15=1,INDEX(Vol_O,2,AB$14)/12*(1+P_dVol),0)</f>
        <v>0</v>
      </c>
      <c r="AC22" s="34" t="n">
        <f aca="false">IF(AC$15=1,INDEX(Vol_O,2,AC$14)/12*(1+P_dVol),0)</f>
        <v>0</v>
      </c>
      <c r="AD22" s="34" t="n">
        <f aca="false">IF(AD$15=1,INDEX(Vol_O,2,AD$14)/12*(1+P_dVol),0)</f>
        <v>0</v>
      </c>
      <c r="AE22" s="34" t="n">
        <f aca="false">IF(AE$15=1,INDEX(Vol_O,2,AE$14)/12*(1+P_dVol),0)</f>
        <v>0</v>
      </c>
      <c r="AF22" s="34" t="n">
        <f aca="false">IF(AF$15=1,INDEX(Vol_O,2,AF$14)/12*(1+P_dVol),0)</f>
        <v>0</v>
      </c>
      <c r="AG22" s="34" t="n">
        <f aca="false">IF(AG$15=1,INDEX(Vol_O,2,AG$14)/12*(1+P_dVol),0)</f>
        <v>0</v>
      </c>
      <c r="AH22" s="34" t="n">
        <f aca="false">IF(AH$15=1,INDEX(Vol_O,2,AH$14)/12*(1+P_dVol),0)</f>
        <v>0</v>
      </c>
      <c r="AI22" s="34" t="n">
        <f aca="false">IF(AI$15=1,INDEX(Vol_O,2,AI$14)/12*(1+P_dVol),0)</f>
        <v>0</v>
      </c>
      <c r="AJ22" s="34" t="n">
        <f aca="false">IF(AJ$15=1,INDEX(Vol_O,2,AJ$14)/12*(1+P_dVol),0)</f>
        <v>0</v>
      </c>
      <c r="AK22" s="34" t="n">
        <f aca="false">IF(AK$15=1,INDEX(Vol_O,2,AK$14)/12*(1+P_dVol),0)</f>
        <v>0</v>
      </c>
      <c r="AL22" s="34" t="n">
        <f aca="false">IF(AL$15=1,INDEX(Vol_O,2,AL$14)/12*(1+P_dVol),0)</f>
        <v>0</v>
      </c>
      <c r="AM22" s="34" t="n">
        <f aca="false">IF(AM$15=1,INDEX(Vol_O,2,AM$14)/12*(1+P_dVol),0)</f>
        <v>0</v>
      </c>
      <c r="AN22" s="34" t="n">
        <f aca="false">IF(AN$15=1,INDEX(Vol_O,2,AN$14)/12*(1+P_dVol),0)</f>
        <v>0</v>
      </c>
      <c r="AO22" s="34" t="n">
        <f aca="false">IF(AO$15=1,INDEX(Vol_O,2,AO$14)/12*(1+P_dVol),0)</f>
        <v>0</v>
      </c>
      <c r="AP22" s="34" t="n">
        <f aca="false">IF(AP$15=1,INDEX(Vol_O,2,AP$14)/12*(1+P_dVol),0)</f>
        <v>0</v>
      </c>
      <c r="AQ22" s="34" t="n">
        <f aca="false">IF(AQ$15=1,INDEX(Vol_O,2,AQ$14)/12*(1+P_dVol),0)</f>
        <v>0</v>
      </c>
      <c r="AR22" s="34" t="n">
        <f aca="false">IF(AR$15=1,INDEX(Vol_O,2,AR$14)/12*(1+P_dVol),0)</f>
        <v>0</v>
      </c>
      <c r="AS22" s="34" t="n">
        <f aca="false">IF(AS$15=1,INDEX(Vol_O,2,AS$14)/12*(1+P_dVol),0)</f>
        <v>0</v>
      </c>
      <c r="AT22" s="34" t="n">
        <f aca="false">IF(AT$15=1,INDEX(Vol_O,2,AT$14)/12*(1+P_dVol),0)</f>
        <v>0</v>
      </c>
      <c r="AU22" s="34" t="n">
        <f aca="false">IF(AU$15=1,INDEX(Vol_O,2,AU$14)/12*(1+P_dVol),0)</f>
        <v>0</v>
      </c>
      <c r="AV22" s="34" t="n">
        <f aca="false">IF(AV$15=1,INDEX(Vol_O,2,AV$14)/12*(1+P_dVol),0)</f>
        <v>0</v>
      </c>
      <c r="AW22" s="34" t="n">
        <f aca="false">IF(AW$15=1,INDEX(Vol_O,2,AW$14)/12*(1+P_dVol),0)</f>
        <v>0</v>
      </c>
      <c r="AX22" s="34" t="n">
        <f aca="false">IF(AX$15=1,INDEX(Vol_O,2,AX$14)/12*(1+P_dVol),0)</f>
        <v>0</v>
      </c>
      <c r="AY22" s="34" t="n">
        <f aca="false">IF(AY$15=1,INDEX(Vol_O,2,AY$14)/12*(1+P_dVol),0)</f>
        <v>0</v>
      </c>
      <c r="AZ22" s="34" t="n">
        <f aca="false">IF(AZ$15=1,INDEX(Vol_O,2,AZ$14)/12*(1+P_dVol),0)</f>
        <v>0</v>
      </c>
      <c r="BA22" s="34" t="n">
        <f aca="false">IF(BA$15=1,INDEX(Vol_O,2,BA$14)/12*(1+P_dVol),0)</f>
        <v>0</v>
      </c>
      <c r="BB22" s="34" t="n">
        <f aca="false">IF(BB$15=1,INDEX(Vol_O,2,BB$14)/12*(1+P_dVol),0)</f>
        <v>0</v>
      </c>
      <c r="BC22" s="34" t="n">
        <f aca="false">IF(BC$15=1,INDEX(Vol_O,2,BC$14)/12*(1+P_dVol),0)</f>
        <v>0</v>
      </c>
      <c r="BD22" s="34" t="n">
        <f aca="false">IF(BD$15=1,INDEX(Vol_O,2,BD$14)/12*(1+P_dVol),0)</f>
        <v>0</v>
      </c>
      <c r="BE22" s="34" t="n">
        <f aca="false">IF(BE$15=1,INDEX(Vol_O,2,BE$14)/12*(1+P_dVol),0)</f>
        <v>0</v>
      </c>
      <c r="BF22" s="34" t="n">
        <f aca="false">IF(BF$15=1,INDEX(Vol_O,2,BF$14)/12*(1+P_dVol),0)</f>
        <v>0</v>
      </c>
      <c r="BG22" s="34" t="n">
        <f aca="false">IF(BG$15=1,INDEX(Vol_O,2,BG$14)/12*(1+P_dVol),0)</f>
        <v>0</v>
      </c>
      <c r="BH22" s="34" t="n">
        <f aca="false">IF(BH$15=1,INDEX(Vol_O,2,BH$14)/12*(1+P_dVol),0)</f>
        <v>0</v>
      </c>
      <c r="BI22" s="34" t="n">
        <f aca="false">IF(BI$15=1,INDEX(Vol_O,2,BI$14)/12*(1+P_dVol),0)</f>
        <v>0</v>
      </c>
      <c r="BJ22" s="34" t="n">
        <f aca="false">IF(BJ$15=1,INDEX(Vol_O,2,BJ$14)/12*(1+P_dVol),0)</f>
        <v>0</v>
      </c>
      <c r="BK22" s="34" t="n">
        <f aca="false">IF(BK$15=1,INDEX(Vol_O,2,BK$14)/12*(1+P_dVol),0)</f>
        <v>0</v>
      </c>
      <c r="BL22" s="34" t="n">
        <f aca="false">IF(BL$15=1,INDEX(Vol_O,2,BL$14)/12*(1+P_dVol),0)</f>
        <v>0</v>
      </c>
      <c r="BM22" s="34" t="n">
        <f aca="false">IF(BM$15=1,INDEX(Vol_O,2,BM$14)/12*(1+P_dVol),0)</f>
        <v>0</v>
      </c>
      <c r="BN22" s="34" t="n">
        <f aca="false">IF(BN$15=1,INDEX(Vol_O,2,BN$14)/12*(1+P_dVol),0)</f>
        <v>0</v>
      </c>
      <c r="BO22" s="34" t="n">
        <f aca="false">IF(BO$15=1,INDEX(Vol_O,2,BO$14)/12*(1+P_dVol),0)</f>
        <v>0</v>
      </c>
      <c r="BP22" s="34" t="n">
        <f aca="false">IF(BP$15=1,INDEX(Vol_O,2,BP$14)/12*(1+P_dVol),0)</f>
        <v>0</v>
      </c>
      <c r="BQ22" s="34" t="n">
        <f aca="false">IF(BQ$15=1,INDEX(Vol_O,2,BQ$14)/12*(1+P_dVol),0)</f>
        <v>0</v>
      </c>
      <c r="BR22" s="34" t="n">
        <f aca="false">IF(BR$15=1,INDEX(Vol_O,2,BR$14)/12*(1+P_dVol),0)</f>
        <v>0</v>
      </c>
      <c r="BS22" s="34" t="n">
        <f aca="false">IF(BS$15=1,INDEX(Vol_O,2,BS$14)/12*(1+P_dVol),0)</f>
        <v>0</v>
      </c>
      <c r="BT22" s="34" t="n">
        <f aca="false">IF(BT$15=1,INDEX(Vol_O,2,BT$14)/12*(1+P_dVol),0)</f>
        <v>0</v>
      </c>
      <c r="BU22" s="34" t="n">
        <f aca="false">IF(BU$15=1,INDEX(Vol_O,2,BU$14)/12*(1+P_dVol),0)</f>
        <v>0</v>
      </c>
      <c r="BV22" s="34" t="n">
        <f aca="false">IF(BV$15=1,INDEX(Vol_O,2,BV$14)/12*(1+P_dVol),0)</f>
        <v>0</v>
      </c>
      <c r="BW22" s="34" t="n">
        <f aca="false">IF(BW$15=1,INDEX(Vol_O,2,BW$14)/12*(1+P_dVol),0)</f>
        <v>0</v>
      </c>
      <c r="BX22" s="34" t="n">
        <f aca="false">IF(BX$15=1,INDEX(Vol_O,2,BX$14)/12*(1+P_dVol),0)</f>
        <v>0</v>
      </c>
      <c r="BY22" s="34" t="n">
        <f aca="false">IF(BY$15=1,INDEX(Vol_O,2,BY$14)/12*(1+P_dVol),0)</f>
        <v>0</v>
      </c>
      <c r="BZ22" s="34" t="n">
        <f aca="false">IF(BZ$15=1,INDEX(Vol_O,2,BZ$14)/12*(1+P_dVol),0)</f>
        <v>0</v>
      </c>
      <c r="CA22" s="34" t="n">
        <f aca="false">IF(CA$15=1,INDEX(Vol_O,2,CA$14)/12*(1+P_dVol),0)</f>
        <v>0</v>
      </c>
      <c r="CB22" s="34" t="n">
        <f aca="false">IF(CB$15=1,INDEX(Vol_O,2,CB$14)/12*(1+P_dVol),0)</f>
        <v>0</v>
      </c>
      <c r="CC22" s="34" t="n">
        <f aca="false">IF(CC$15=1,INDEX(Vol_O,2,CC$14)/12*(1+P_dVol),0)</f>
        <v>0</v>
      </c>
      <c r="CD22" s="34" t="n">
        <f aca="false">IF(CD$15=1,INDEX(Vol_O,2,CD$14)/12*(1+P_dVol),0)</f>
        <v>0</v>
      </c>
      <c r="CE22" s="34" t="n">
        <f aca="false">IF(CE$15=1,INDEX(Vol_O,2,CE$14)/12*(1+P_dVol),0)</f>
        <v>0</v>
      </c>
      <c r="CF22" s="34" t="n">
        <f aca="false">IF(CF$15=1,INDEX(Vol_O,2,CF$14)/12*(1+P_dVol),0)</f>
        <v>0</v>
      </c>
      <c r="CG22" s="34" t="n">
        <f aca="false">IF(CG$15=1,INDEX(Vol_O,2,CG$14)/12*(1+P_dVol),0)</f>
        <v>0</v>
      </c>
      <c r="CH22" s="34" t="n">
        <f aca="false">IF(CH$15=1,INDEX(Vol_O,2,CH$14)/12*(1+P_dVol),0)</f>
        <v>0</v>
      </c>
      <c r="CI22" s="34" t="n">
        <f aca="false">IF(CI$15=1,INDEX(Vol_O,2,CI$14)/12*(1+P_dVol),0)</f>
        <v>0</v>
      </c>
      <c r="CJ22" s="34" t="n">
        <f aca="false">IF(CJ$15=1,INDEX(Vol_O,2,CJ$14)/12*(1+P_dVol),0)</f>
        <v>0</v>
      </c>
      <c r="CK22" s="34" t="n">
        <f aca="false">IF(CK$15=1,INDEX(Vol_O,2,CK$14)/12*(1+P_dVol),0)</f>
        <v>0</v>
      </c>
      <c r="CL22" s="34" t="n">
        <f aca="false">IF(CL$15=1,INDEX(Vol_O,2,CL$14)/12*(1+P_dVol),0)</f>
        <v>0</v>
      </c>
      <c r="CM22" s="34" t="n">
        <f aca="false">IF(CM$15=1,INDEX(Vol_O,2,CM$14)/12*(1+P_dVol),0)</f>
        <v>0</v>
      </c>
      <c r="CN22" s="34" t="n">
        <f aca="false">IF(CN$15=1,INDEX(Vol_O,2,CN$14)/12*(1+P_dVol),0)</f>
        <v>0</v>
      </c>
      <c r="CO22" s="34" t="n">
        <f aca="false">IF(CO$15=1,INDEX(Vol_O,2,CO$14)/12*(1+P_dVol),0)</f>
        <v>0</v>
      </c>
      <c r="CP22" s="34" t="n">
        <f aca="false">IF(CP$15=1,INDEX(Vol_O,2,CP$14)/12*(1+P_dVol),0)</f>
        <v>0</v>
      </c>
      <c r="CQ22" s="34" t="n">
        <f aca="false">IF(CQ$15=1,INDEX(Vol_O,2,CQ$14)/12*(1+P_dVol),0)</f>
        <v>0</v>
      </c>
      <c r="CR22" s="34" t="n">
        <f aca="false">IF(CR$15=1,INDEX(Vol_O,2,CR$14)/12*(1+P_dVol),0)</f>
        <v>0</v>
      </c>
      <c r="CS22" s="34" t="n">
        <f aca="false">IF(CS$15=1,INDEX(Vol_O,2,CS$14)/12*(1+P_dVol),0)</f>
        <v>0</v>
      </c>
      <c r="CT22" s="34" t="n">
        <f aca="false">IF(CT$15=1,INDEX(Vol_O,2,CT$14)/12*(1+P_dVol),0)</f>
        <v>0</v>
      </c>
      <c r="CU22" s="34" t="n">
        <f aca="false">IF(CU$15=1,INDEX(Vol_O,2,CU$14)/12*(1+P_dVol),0)</f>
        <v>0</v>
      </c>
      <c r="CV22" s="34" t="n">
        <f aca="false">IF(CV$15=1,INDEX(Vol_O,2,CV$14)/12*(1+P_dVol),0)</f>
        <v>0</v>
      </c>
      <c r="CW22" s="34" t="n">
        <f aca="false">IF(CW$15=1,INDEX(Vol_O,2,CW$14)/12*(1+P_dVol),0)</f>
        <v>0</v>
      </c>
      <c r="CX22" s="34" t="n">
        <f aca="false">IF(CX$15=1,INDEX(Vol_O,2,CX$14)/12*(1+P_dVol),0)</f>
        <v>0</v>
      </c>
      <c r="CY22" s="34" t="n">
        <f aca="false">IF(CY$15=1,INDEX(Vol_O,2,CY$14)/12*(1+P_dVol),0)</f>
        <v>0</v>
      </c>
      <c r="CZ22" s="34" t="n">
        <f aca="false">IF(CZ$15=1,INDEX(Vol_O,2,CZ$14)/12*(1+P_dVol),0)</f>
        <v>0</v>
      </c>
      <c r="DA22" s="34" t="n">
        <f aca="false">IF(DA$15=1,INDEX(Vol_O,2,DA$14)/12*(1+P_dVol),0)</f>
        <v>0</v>
      </c>
      <c r="DB22" s="34" t="n">
        <f aca="false">IF(DB$15=1,INDEX(Vol_O,2,DB$14)/12*(1+P_dVol),0)</f>
        <v>0</v>
      </c>
      <c r="DC22" s="34" t="n">
        <f aca="false">IF(DC$15=1,INDEX(Vol_O,2,DC$14)/12*(1+P_dVol),0)</f>
        <v>0</v>
      </c>
      <c r="DD22" s="34" t="n">
        <f aca="false">IF(DD$15=1,INDEX(Vol_O,2,DD$14)/12*(1+P_dVol),0)</f>
        <v>0</v>
      </c>
      <c r="DE22" s="34" t="n">
        <f aca="false">IF(DE$15=1,INDEX(Vol_O,2,DE$14)/12*(1+P_dVol),0)</f>
        <v>0</v>
      </c>
      <c r="DF22" s="34" t="n">
        <f aca="false">IF(DF$15=1,INDEX(Vol_O,2,DF$14)/12*(1+P_dVol),0)</f>
        <v>0</v>
      </c>
      <c r="DG22" s="34" t="n">
        <f aca="false">IF(DG$15=1,INDEX(Vol_O,2,DG$14)/12*(1+P_dVol),0)</f>
        <v>0</v>
      </c>
      <c r="DH22" s="34" t="n">
        <f aca="false">IF(DH$15=1,INDEX(Vol_O,2,DH$14)/12*(1+P_dVol),0)</f>
        <v>0</v>
      </c>
      <c r="DI22" s="34" t="n">
        <f aca="false">IF(DI$15=1,INDEX(Vol_O,2,DI$14)/12*(1+P_dVol),0)</f>
        <v>0</v>
      </c>
      <c r="DJ22" s="34" t="n">
        <f aca="false">IF(DJ$15=1,INDEX(Vol_O,2,DJ$14)/12*(1+P_dVol),0)</f>
        <v>0</v>
      </c>
      <c r="DK22" s="34" t="n">
        <f aca="false">IF(DK$15=1,INDEX(Vol_O,2,DK$14)/12*(1+P_dVol),0)</f>
        <v>0</v>
      </c>
      <c r="DL22" s="34" t="n">
        <f aca="false">IF(DL$15=1,INDEX(Vol_O,2,DL$14)/12*(1+P_dVol),0)</f>
        <v>0</v>
      </c>
      <c r="DM22" s="34" t="n">
        <f aca="false">IF(DM$15=1,INDEX(Vol_O,2,DM$14)/12*(1+P_dVol),0)</f>
        <v>0</v>
      </c>
      <c r="DN22" s="34" t="n">
        <f aca="false">IF(DN$15=1,INDEX(Vol_O,2,DN$14)/12*(1+P_dVol),0)</f>
        <v>0</v>
      </c>
      <c r="DO22" s="34" t="n">
        <f aca="false">IF(DO$15=1,INDEX(Vol_O,2,DO$14)/12*(1+P_dVol),0)</f>
        <v>0</v>
      </c>
      <c r="DP22" s="34" t="n">
        <f aca="false">IF(DP$15=1,INDEX(Vol_O,2,DP$14)/12*(1+P_dVol),0)</f>
        <v>0</v>
      </c>
      <c r="DQ22" s="34" t="n">
        <f aca="false">IF(DQ$15=1,INDEX(Vol_O,2,DQ$14)/12*(1+P_dVol),0)</f>
        <v>0</v>
      </c>
      <c r="DR22" s="34" t="n">
        <f aca="false">IF(DR$15=1,INDEX(Vol_O,2,DR$14)/12*(1+P_dVol),0)</f>
        <v>0</v>
      </c>
      <c r="DS22" s="34" t="n">
        <f aca="false">IF(DS$15=1,INDEX(Vol_O,2,DS$14)/12*(1+P_dVol),0)</f>
        <v>0</v>
      </c>
      <c r="DT22" s="34" t="n">
        <f aca="false">IF(DT$15=1,INDEX(Vol_O,2,DT$14)/12*(1+P_dVol),0)</f>
        <v>0</v>
      </c>
      <c r="DU22" s="34" t="n">
        <f aca="false">IF(DU$15=1,INDEX(Vol_O,2,DU$14)/12*(1+P_dVol),0)</f>
        <v>0</v>
      </c>
      <c r="DV22" s="34" t="n">
        <f aca="false">IF(DV$15=1,INDEX(Vol_O,2,DV$14)/12*(1+P_dVol),0)</f>
        <v>0</v>
      </c>
      <c r="DW22" s="34" t="n">
        <f aca="false">IF(DW$15=1,INDEX(Vol_O,2,DW$14)/12*(1+P_dVol),0)</f>
        <v>0</v>
      </c>
      <c r="DX22" s="34" t="n">
        <f aca="false">IF(DX$15=1,INDEX(Vol_O,2,DX$14)/12*(1+P_dVol),0)</f>
        <v>0</v>
      </c>
      <c r="DY22" s="34" t="n">
        <f aca="false">IF(DY$15=1,INDEX(Vol_O,2,DY$14)/12*(1+P_dVol),0)</f>
        <v>0</v>
      </c>
      <c r="DZ22" s="34" t="n">
        <f aca="false">IF(DZ$15=1,INDEX(Vol_O,2,DZ$14)/12*(1+P_dVol),0)</f>
        <v>0</v>
      </c>
      <c r="EA22" s="34" t="n">
        <f aca="false">IF(EA$15=1,INDEX(Vol_O,2,EA$14)/12*(1+P_dVol),0)</f>
        <v>0</v>
      </c>
      <c r="EB22" s="34" t="n">
        <f aca="false">IF(EB$15=1,INDEX(Vol_O,2,EB$14)/12*(1+P_dVol),0)</f>
        <v>0</v>
      </c>
      <c r="EC22" s="34" t="n">
        <f aca="false">IF(EC$15=1,INDEX(Vol_O,2,EC$14)/12*(1+P_dVol),0)</f>
        <v>0</v>
      </c>
      <c r="ED22" s="34" t="n">
        <f aca="false">IF(ED$15=1,INDEX(Vol_O,2,ED$14)/12*(1+P_dVol),0)</f>
        <v>0</v>
      </c>
      <c r="EE22" s="34" t="n">
        <f aca="false">IF(EE$15=1,INDEX(Vol_O,2,EE$14)/12*(1+P_dVol),0)</f>
        <v>0</v>
      </c>
      <c r="EF22" s="34" t="n">
        <f aca="false">IF(EF$15=1,INDEX(Vol_O,2,EF$14)/12*(1+P_dVol),0)</f>
        <v>0</v>
      </c>
      <c r="EG22" s="34" t="n">
        <f aca="false">IF(EG$15=1,INDEX(Vol_O,2,EG$14)/12*(1+P_dVol),0)</f>
        <v>0</v>
      </c>
      <c r="EH22" s="34" t="n">
        <f aca="false">IF(EH$15=1,INDEX(Vol_O,2,EH$14)/12*(1+P_dVol),0)</f>
        <v>0</v>
      </c>
      <c r="EI22" s="34" t="n">
        <f aca="false">IF(EI$15=1,INDEX(Vol_O,2,EI$14)/12*(1+P_dVol),0)</f>
        <v>0</v>
      </c>
      <c r="EJ22" s="34" t="n">
        <f aca="false">IF(EJ$15=1,INDEX(Vol_O,2,EJ$14)/12*(1+P_dVol),0)</f>
        <v>0</v>
      </c>
      <c r="EK22" s="34" t="n">
        <f aca="false">IF(EK$15=1,INDEX(Vol_O,2,EK$14)/12*(1+P_dVol),0)</f>
        <v>0</v>
      </c>
      <c r="EL22" s="34" t="n">
        <f aca="false">IF(EL$15=1,INDEX(Vol_O,2,EL$14)/12*(1+P_dVol),0)</f>
        <v>0</v>
      </c>
      <c r="EM22" s="34" t="n">
        <f aca="false">IF(EM$15=1,INDEX(Vol_O,2,EM$14)/12*(1+P_dVol),0)</f>
        <v>0</v>
      </c>
      <c r="EN22" s="34" t="n">
        <f aca="false">IF(EN$15=1,INDEX(Vol_O,2,EN$14)/12*(1+P_dVol),0)</f>
        <v>0</v>
      </c>
      <c r="EO22" s="34" t="n">
        <f aca="false">IF(EO$15=1,INDEX(Vol_O,2,EO$14)/12*(1+P_dVol),0)</f>
        <v>0</v>
      </c>
      <c r="EP22" s="34" t="n">
        <f aca="false">IF(EP$15=1,INDEX(Vol_O,2,EP$14)/12*(1+P_dVol),0)</f>
        <v>0</v>
      </c>
      <c r="EQ22" s="34" t="n">
        <f aca="false">IF(EQ$15=1,INDEX(Vol_O,2,EQ$14)/12*(1+P_dVol),0)</f>
        <v>0</v>
      </c>
      <c r="ER22" s="34" t="n">
        <f aca="false">IF(ER$15=1,INDEX(Vol_O,2,ER$14)/12*(1+P_dVol),0)</f>
        <v>0</v>
      </c>
      <c r="ES22" s="34" t="n">
        <f aca="false">IF(ES$15=1,INDEX(Vol_O,2,ES$14)/12*(1+P_dVol),0)</f>
        <v>0</v>
      </c>
    </row>
    <row r="23" customFormat="false" ht="15" hidden="false" customHeight="false" outlineLevel="0" collapsed="false">
      <c r="A23" s="2" t="s">
        <v>434</v>
      </c>
      <c r="B23" s="39" t="str">
        <f aca="false">IF(INDEX(Prod_Nombre,3)="","Producto 3",INDEX(Prod_Nombre,3))&amp;" — unidades"</f>
        <v>Producto 3 — unidades</v>
      </c>
      <c r="C23" s="6" t="s">
        <v>337</v>
      </c>
      <c r="E23" s="40" t="n">
        <f aca="false">SUM(F23:ES23)</f>
        <v>0</v>
      </c>
      <c r="F23" s="34" t="n">
        <f aca="false">IF(F$15=1,INDEX(Vol_O,3,F$14)/12*(1+P_dVol),0)</f>
        <v>0</v>
      </c>
      <c r="G23" s="34" t="n">
        <f aca="false">IF(G$15=1,INDEX(Vol_O,3,G$14)/12*(1+P_dVol),0)</f>
        <v>0</v>
      </c>
      <c r="H23" s="34" t="n">
        <f aca="false">IF(H$15=1,INDEX(Vol_O,3,H$14)/12*(1+P_dVol),0)</f>
        <v>0</v>
      </c>
      <c r="I23" s="34" t="n">
        <f aca="false">IF(I$15=1,INDEX(Vol_O,3,I$14)/12*(1+P_dVol),0)</f>
        <v>0</v>
      </c>
      <c r="J23" s="34" t="n">
        <f aca="false">IF(J$15=1,INDEX(Vol_O,3,J$14)/12*(1+P_dVol),0)</f>
        <v>0</v>
      </c>
      <c r="K23" s="34" t="n">
        <f aca="false">IF(K$15=1,INDEX(Vol_O,3,K$14)/12*(1+P_dVol),0)</f>
        <v>0</v>
      </c>
      <c r="L23" s="34" t="n">
        <f aca="false">IF(L$15=1,INDEX(Vol_O,3,L$14)/12*(1+P_dVol),0)</f>
        <v>0</v>
      </c>
      <c r="M23" s="34" t="n">
        <f aca="false">IF(M$15=1,INDEX(Vol_O,3,M$14)/12*(1+P_dVol),0)</f>
        <v>0</v>
      </c>
      <c r="N23" s="34" t="n">
        <f aca="false">IF(N$15=1,INDEX(Vol_O,3,N$14)/12*(1+P_dVol),0)</f>
        <v>0</v>
      </c>
      <c r="O23" s="34" t="n">
        <f aca="false">IF(O$15=1,INDEX(Vol_O,3,O$14)/12*(1+P_dVol),0)</f>
        <v>0</v>
      </c>
      <c r="P23" s="34" t="n">
        <f aca="false">IF(P$15=1,INDEX(Vol_O,3,P$14)/12*(1+P_dVol),0)</f>
        <v>0</v>
      </c>
      <c r="Q23" s="34" t="n">
        <f aca="false">IF(Q$15=1,INDEX(Vol_O,3,Q$14)/12*(1+P_dVol),0)</f>
        <v>0</v>
      </c>
      <c r="R23" s="34" t="n">
        <f aca="false">IF(R$15=1,INDEX(Vol_O,3,R$14)/12*(1+P_dVol),0)</f>
        <v>0</v>
      </c>
      <c r="S23" s="34" t="n">
        <f aca="false">IF(S$15=1,INDEX(Vol_O,3,S$14)/12*(1+P_dVol),0)</f>
        <v>0</v>
      </c>
      <c r="T23" s="34" t="n">
        <f aca="false">IF(T$15=1,INDEX(Vol_O,3,T$14)/12*(1+P_dVol),0)</f>
        <v>0</v>
      </c>
      <c r="U23" s="34" t="n">
        <f aca="false">IF(U$15=1,INDEX(Vol_O,3,U$14)/12*(1+P_dVol),0)</f>
        <v>0</v>
      </c>
      <c r="V23" s="34" t="n">
        <f aca="false">IF(V$15=1,INDEX(Vol_O,3,V$14)/12*(1+P_dVol),0)</f>
        <v>0</v>
      </c>
      <c r="W23" s="34" t="n">
        <f aca="false">IF(W$15=1,INDEX(Vol_O,3,W$14)/12*(1+P_dVol),0)</f>
        <v>0</v>
      </c>
      <c r="X23" s="34" t="n">
        <f aca="false">IF(X$15=1,INDEX(Vol_O,3,X$14)/12*(1+P_dVol),0)</f>
        <v>0</v>
      </c>
      <c r="Y23" s="34" t="n">
        <f aca="false">IF(Y$15=1,INDEX(Vol_O,3,Y$14)/12*(1+P_dVol),0)</f>
        <v>0</v>
      </c>
      <c r="Z23" s="34" t="n">
        <f aca="false">IF(Z$15=1,INDEX(Vol_O,3,Z$14)/12*(1+P_dVol),0)</f>
        <v>0</v>
      </c>
      <c r="AA23" s="34" t="n">
        <f aca="false">IF(AA$15=1,INDEX(Vol_O,3,AA$14)/12*(1+P_dVol),0)</f>
        <v>0</v>
      </c>
      <c r="AB23" s="34" t="n">
        <f aca="false">IF(AB$15=1,INDEX(Vol_O,3,AB$14)/12*(1+P_dVol),0)</f>
        <v>0</v>
      </c>
      <c r="AC23" s="34" t="n">
        <f aca="false">IF(AC$15=1,INDEX(Vol_O,3,AC$14)/12*(1+P_dVol),0)</f>
        <v>0</v>
      </c>
      <c r="AD23" s="34" t="n">
        <f aca="false">IF(AD$15=1,INDEX(Vol_O,3,AD$14)/12*(1+P_dVol),0)</f>
        <v>0</v>
      </c>
      <c r="AE23" s="34" t="n">
        <f aca="false">IF(AE$15=1,INDEX(Vol_O,3,AE$14)/12*(1+P_dVol),0)</f>
        <v>0</v>
      </c>
      <c r="AF23" s="34" t="n">
        <f aca="false">IF(AF$15=1,INDEX(Vol_O,3,AF$14)/12*(1+P_dVol),0)</f>
        <v>0</v>
      </c>
      <c r="AG23" s="34" t="n">
        <f aca="false">IF(AG$15=1,INDEX(Vol_O,3,AG$14)/12*(1+P_dVol),0)</f>
        <v>0</v>
      </c>
      <c r="AH23" s="34" t="n">
        <f aca="false">IF(AH$15=1,INDEX(Vol_O,3,AH$14)/12*(1+P_dVol),0)</f>
        <v>0</v>
      </c>
      <c r="AI23" s="34" t="n">
        <f aca="false">IF(AI$15=1,INDEX(Vol_O,3,AI$14)/12*(1+P_dVol),0)</f>
        <v>0</v>
      </c>
      <c r="AJ23" s="34" t="n">
        <f aca="false">IF(AJ$15=1,INDEX(Vol_O,3,AJ$14)/12*(1+P_dVol),0)</f>
        <v>0</v>
      </c>
      <c r="AK23" s="34" t="n">
        <f aca="false">IF(AK$15=1,INDEX(Vol_O,3,AK$14)/12*(1+P_dVol),0)</f>
        <v>0</v>
      </c>
      <c r="AL23" s="34" t="n">
        <f aca="false">IF(AL$15=1,INDEX(Vol_O,3,AL$14)/12*(1+P_dVol),0)</f>
        <v>0</v>
      </c>
      <c r="AM23" s="34" t="n">
        <f aca="false">IF(AM$15=1,INDEX(Vol_O,3,AM$14)/12*(1+P_dVol),0)</f>
        <v>0</v>
      </c>
      <c r="AN23" s="34" t="n">
        <f aca="false">IF(AN$15=1,INDEX(Vol_O,3,AN$14)/12*(1+P_dVol),0)</f>
        <v>0</v>
      </c>
      <c r="AO23" s="34" t="n">
        <f aca="false">IF(AO$15=1,INDEX(Vol_O,3,AO$14)/12*(1+P_dVol),0)</f>
        <v>0</v>
      </c>
      <c r="AP23" s="34" t="n">
        <f aca="false">IF(AP$15=1,INDEX(Vol_O,3,AP$14)/12*(1+P_dVol),0)</f>
        <v>0</v>
      </c>
      <c r="AQ23" s="34" t="n">
        <f aca="false">IF(AQ$15=1,INDEX(Vol_O,3,AQ$14)/12*(1+P_dVol),0)</f>
        <v>0</v>
      </c>
      <c r="AR23" s="34" t="n">
        <f aca="false">IF(AR$15=1,INDEX(Vol_O,3,AR$14)/12*(1+P_dVol),0)</f>
        <v>0</v>
      </c>
      <c r="AS23" s="34" t="n">
        <f aca="false">IF(AS$15=1,INDEX(Vol_O,3,AS$14)/12*(1+P_dVol),0)</f>
        <v>0</v>
      </c>
      <c r="AT23" s="34" t="n">
        <f aca="false">IF(AT$15=1,INDEX(Vol_O,3,AT$14)/12*(1+P_dVol),0)</f>
        <v>0</v>
      </c>
      <c r="AU23" s="34" t="n">
        <f aca="false">IF(AU$15=1,INDEX(Vol_O,3,AU$14)/12*(1+P_dVol),0)</f>
        <v>0</v>
      </c>
      <c r="AV23" s="34" t="n">
        <f aca="false">IF(AV$15=1,INDEX(Vol_O,3,AV$14)/12*(1+P_dVol),0)</f>
        <v>0</v>
      </c>
      <c r="AW23" s="34" t="n">
        <f aca="false">IF(AW$15=1,INDEX(Vol_O,3,AW$14)/12*(1+P_dVol),0)</f>
        <v>0</v>
      </c>
      <c r="AX23" s="34" t="n">
        <f aca="false">IF(AX$15=1,INDEX(Vol_O,3,AX$14)/12*(1+P_dVol),0)</f>
        <v>0</v>
      </c>
      <c r="AY23" s="34" t="n">
        <f aca="false">IF(AY$15=1,INDEX(Vol_O,3,AY$14)/12*(1+P_dVol),0)</f>
        <v>0</v>
      </c>
      <c r="AZ23" s="34" t="n">
        <f aca="false">IF(AZ$15=1,INDEX(Vol_O,3,AZ$14)/12*(1+P_dVol),0)</f>
        <v>0</v>
      </c>
      <c r="BA23" s="34" t="n">
        <f aca="false">IF(BA$15=1,INDEX(Vol_O,3,BA$14)/12*(1+P_dVol),0)</f>
        <v>0</v>
      </c>
      <c r="BB23" s="34" t="n">
        <f aca="false">IF(BB$15=1,INDEX(Vol_O,3,BB$14)/12*(1+P_dVol),0)</f>
        <v>0</v>
      </c>
      <c r="BC23" s="34" t="n">
        <f aca="false">IF(BC$15=1,INDEX(Vol_O,3,BC$14)/12*(1+P_dVol),0)</f>
        <v>0</v>
      </c>
      <c r="BD23" s="34" t="n">
        <f aca="false">IF(BD$15=1,INDEX(Vol_O,3,BD$14)/12*(1+P_dVol),0)</f>
        <v>0</v>
      </c>
      <c r="BE23" s="34" t="n">
        <f aca="false">IF(BE$15=1,INDEX(Vol_O,3,BE$14)/12*(1+P_dVol),0)</f>
        <v>0</v>
      </c>
      <c r="BF23" s="34" t="n">
        <f aca="false">IF(BF$15=1,INDEX(Vol_O,3,BF$14)/12*(1+P_dVol),0)</f>
        <v>0</v>
      </c>
      <c r="BG23" s="34" t="n">
        <f aca="false">IF(BG$15=1,INDEX(Vol_O,3,BG$14)/12*(1+P_dVol),0)</f>
        <v>0</v>
      </c>
      <c r="BH23" s="34" t="n">
        <f aca="false">IF(BH$15=1,INDEX(Vol_O,3,BH$14)/12*(1+P_dVol),0)</f>
        <v>0</v>
      </c>
      <c r="BI23" s="34" t="n">
        <f aca="false">IF(BI$15=1,INDEX(Vol_O,3,BI$14)/12*(1+P_dVol),0)</f>
        <v>0</v>
      </c>
      <c r="BJ23" s="34" t="n">
        <f aca="false">IF(BJ$15=1,INDEX(Vol_O,3,BJ$14)/12*(1+P_dVol),0)</f>
        <v>0</v>
      </c>
      <c r="BK23" s="34" t="n">
        <f aca="false">IF(BK$15=1,INDEX(Vol_O,3,BK$14)/12*(1+P_dVol),0)</f>
        <v>0</v>
      </c>
      <c r="BL23" s="34" t="n">
        <f aca="false">IF(BL$15=1,INDEX(Vol_O,3,BL$14)/12*(1+P_dVol),0)</f>
        <v>0</v>
      </c>
      <c r="BM23" s="34" t="n">
        <f aca="false">IF(BM$15=1,INDEX(Vol_O,3,BM$14)/12*(1+P_dVol),0)</f>
        <v>0</v>
      </c>
      <c r="BN23" s="34" t="n">
        <f aca="false">IF(BN$15=1,INDEX(Vol_O,3,BN$14)/12*(1+P_dVol),0)</f>
        <v>0</v>
      </c>
      <c r="BO23" s="34" t="n">
        <f aca="false">IF(BO$15=1,INDEX(Vol_O,3,BO$14)/12*(1+P_dVol),0)</f>
        <v>0</v>
      </c>
      <c r="BP23" s="34" t="n">
        <f aca="false">IF(BP$15=1,INDEX(Vol_O,3,BP$14)/12*(1+P_dVol),0)</f>
        <v>0</v>
      </c>
      <c r="BQ23" s="34" t="n">
        <f aca="false">IF(BQ$15=1,INDEX(Vol_O,3,BQ$14)/12*(1+P_dVol),0)</f>
        <v>0</v>
      </c>
      <c r="BR23" s="34" t="n">
        <f aca="false">IF(BR$15=1,INDEX(Vol_O,3,BR$14)/12*(1+P_dVol),0)</f>
        <v>0</v>
      </c>
      <c r="BS23" s="34" t="n">
        <f aca="false">IF(BS$15=1,INDEX(Vol_O,3,BS$14)/12*(1+P_dVol),0)</f>
        <v>0</v>
      </c>
      <c r="BT23" s="34" t="n">
        <f aca="false">IF(BT$15=1,INDEX(Vol_O,3,BT$14)/12*(1+P_dVol),0)</f>
        <v>0</v>
      </c>
      <c r="BU23" s="34" t="n">
        <f aca="false">IF(BU$15=1,INDEX(Vol_O,3,BU$14)/12*(1+P_dVol),0)</f>
        <v>0</v>
      </c>
      <c r="BV23" s="34" t="n">
        <f aca="false">IF(BV$15=1,INDEX(Vol_O,3,BV$14)/12*(1+P_dVol),0)</f>
        <v>0</v>
      </c>
      <c r="BW23" s="34" t="n">
        <f aca="false">IF(BW$15=1,INDEX(Vol_O,3,BW$14)/12*(1+P_dVol),0)</f>
        <v>0</v>
      </c>
      <c r="BX23" s="34" t="n">
        <f aca="false">IF(BX$15=1,INDEX(Vol_O,3,BX$14)/12*(1+P_dVol),0)</f>
        <v>0</v>
      </c>
      <c r="BY23" s="34" t="n">
        <f aca="false">IF(BY$15=1,INDEX(Vol_O,3,BY$14)/12*(1+P_dVol),0)</f>
        <v>0</v>
      </c>
      <c r="BZ23" s="34" t="n">
        <f aca="false">IF(BZ$15=1,INDEX(Vol_O,3,BZ$14)/12*(1+P_dVol),0)</f>
        <v>0</v>
      </c>
      <c r="CA23" s="34" t="n">
        <f aca="false">IF(CA$15=1,INDEX(Vol_O,3,CA$14)/12*(1+P_dVol),0)</f>
        <v>0</v>
      </c>
      <c r="CB23" s="34" t="n">
        <f aca="false">IF(CB$15=1,INDEX(Vol_O,3,CB$14)/12*(1+P_dVol),0)</f>
        <v>0</v>
      </c>
      <c r="CC23" s="34" t="n">
        <f aca="false">IF(CC$15=1,INDEX(Vol_O,3,CC$14)/12*(1+P_dVol),0)</f>
        <v>0</v>
      </c>
      <c r="CD23" s="34" t="n">
        <f aca="false">IF(CD$15=1,INDEX(Vol_O,3,CD$14)/12*(1+P_dVol),0)</f>
        <v>0</v>
      </c>
      <c r="CE23" s="34" t="n">
        <f aca="false">IF(CE$15=1,INDEX(Vol_O,3,CE$14)/12*(1+P_dVol),0)</f>
        <v>0</v>
      </c>
      <c r="CF23" s="34" t="n">
        <f aca="false">IF(CF$15=1,INDEX(Vol_O,3,CF$14)/12*(1+P_dVol),0)</f>
        <v>0</v>
      </c>
      <c r="CG23" s="34" t="n">
        <f aca="false">IF(CG$15=1,INDEX(Vol_O,3,CG$14)/12*(1+P_dVol),0)</f>
        <v>0</v>
      </c>
      <c r="CH23" s="34" t="n">
        <f aca="false">IF(CH$15=1,INDEX(Vol_O,3,CH$14)/12*(1+P_dVol),0)</f>
        <v>0</v>
      </c>
      <c r="CI23" s="34" t="n">
        <f aca="false">IF(CI$15=1,INDEX(Vol_O,3,CI$14)/12*(1+P_dVol),0)</f>
        <v>0</v>
      </c>
      <c r="CJ23" s="34" t="n">
        <f aca="false">IF(CJ$15=1,INDEX(Vol_O,3,CJ$14)/12*(1+P_dVol),0)</f>
        <v>0</v>
      </c>
      <c r="CK23" s="34" t="n">
        <f aca="false">IF(CK$15=1,INDEX(Vol_O,3,CK$14)/12*(1+P_dVol),0)</f>
        <v>0</v>
      </c>
      <c r="CL23" s="34" t="n">
        <f aca="false">IF(CL$15=1,INDEX(Vol_O,3,CL$14)/12*(1+P_dVol),0)</f>
        <v>0</v>
      </c>
      <c r="CM23" s="34" t="n">
        <f aca="false">IF(CM$15=1,INDEX(Vol_O,3,CM$14)/12*(1+P_dVol),0)</f>
        <v>0</v>
      </c>
      <c r="CN23" s="34" t="n">
        <f aca="false">IF(CN$15=1,INDEX(Vol_O,3,CN$14)/12*(1+P_dVol),0)</f>
        <v>0</v>
      </c>
      <c r="CO23" s="34" t="n">
        <f aca="false">IF(CO$15=1,INDEX(Vol_O,3,CO$14)/12*(1+P_dVol),0)</f>
        <v>0</v>
      </c>
      <c r="CP23" s="34" t="n">
        <f aca="false">IF(CP$15=1,INDEX(Vol_O,3,CP$14)/12*(1+P_dVol),0)</f>
        <v>0</v>
      </c>
      <c r="CQ23" s="34" t="n">
        <f aca="false">IF(CQ$15=1,INDEX(Vol_O,3,CQ$14)/12*(1+P_dVol),0)</f>
        <v>0</v>
      </c>
      <c r="CR23" s="34" t="n">
        <f aca="false">IF(CR$15=1,INDEX(Vol_O,3,CR$14)/12*(1+P_dVol),0)</f>
        <v>0</v>
      </c>
      <c r="CS23" s="34" t="n">
        <f aca="false">IF(CS$15=1,INDEX(Vol_O,3,CS$14)/12*(1+P_dVol),0)</f>
        <v>0</v>
      </c>
      <c r="CT23" s="34" t="n">
        <f aca="false">IF(CT$15=1,INDEX(Vol_O,3,CT$14)/12*(1+P_dVol),0)</f>
        <v>0</v>
      </c>
      <c r="CU23" s="34" t="n">
        <f aca="false">IF(CU$15=1,INDEX(Vol_O,3,CU$14)/12*(1+P_dVol),0)</f>
        <v>0</v>
      </c>
      <c r="CV23" s="34" t="n">
        <f aca="false">IF(CV$15=1,INDEX(Vol_O,3,CV$14)/12*(1+P_dVol),0)</f>
        <v>0</v>
      </c>
      <c r="CW23" s="34" t="n">
        <f aca="false">IF(CW$15=1,INDEX(Vol_O,3,CW$14)/12*(1+P_dVol),0)</f>
        <v>0</v>
      </c>
      <c r="CX23" s="34" t="n">
        <f aca="false">IF(CX$15=1,INDEX(Vol_O,3,CX$14)/12*(1+P_dVol),0)</f>
        <v>0</v>
      </c>
      <c r="CY23" s="34" t="n">
        <f aca="false">IF(CY$15=1,INDEX(Vol_O,3,CY$14)/12*(1+P_dVol),0)</f>
        <v>0</v>
      </c>
      <c r="CZ23" s="34" t="n">
        <f aca="false">IF(CZ$15=1,INDEX(Vol_O,3,CZ$14)/12*(1+P_dVol),0)</f>
        <v>0</v>
      </c>
      <c r="DA23" s="34" t="n">
        <f aca="false">IF(DA$15=1,INDEX(Vol_O,3,DA$14)/12*(1+P_dVol),0)</f>
        <v>0</v>
      </c>
      <c r="DB23" s="34" t="n">
        <f aca="false">IF(DB$15=1,INDEX(Vol_O,3,DB$14)/12*(1+P_dVol),0)</f>
        <v>0</v>
      </c>
      <c r="DC23" s="34" t="n">
        <f aca="false">IF(DC$15=1,INDEX(Vol_O,3,DC$14)/12*(1+P_dVol),0)</f>
        <v>0</v>
      </c>
      <c r="DD23" s="34" t="n">
        <f aca="false">IF(DD$15=1,INDEX(Vol_O,3,DD$14)/12*(1+P_dVol),0)</f>
        <v>0</v>
      </c>
      <c r="DE23" s="34" t="n">
        <f aca="false">IF(DE$15=1,INDEX(Vol_O,3,DE$14)/12*(1+P_dVol),0)</f>
        <v>0</v>
      </c>
      <c r="DF23" s="34" t="n">
        <f aca="false">IF(DF$15=1,INDEX(Vol_O,3,DF$14)/12*(1+P_dVol),0)</f>
        <v>0</v>
      </c>
      <c r="DG23" s="34" t="n">
        <f aca="false">IF(DG$15=1,INDEX(Vol_O,3,DG$14)/12*(1+P_dVol),0)</f>
        <v>0</v>
      </c>
      <c r="DH23" s="34" t="n">
        <f aca="false">IF(DH$15=1,INDEX(Vol_O,3,DH$14)/12*(1+P_dVol),0)</f>
        <v>0</v>
      </c>
      <c r="DI23" s="34" t="n">
        <f aca="false">IF(DI$15=1,INDEX(Vol_O,3,DI$14)/12*(1+P_dVol),0)</f>
        <v>0</v>
      </c>
      <c r="DJ23" s="34" t="n">
        <f aca="false">IF(DJ$15=1,INDEX(Vol_O,3,DJ$14)/12*(1+P_dVol),0)</f>
        <v>0</v>
      </c>
      <c r="DK23" s="34" t="n">
        <f aca="false">IF(DK$15=1,INDEX(Vol_O,3,DK$14)/12*(1+P_dVol),0)</f>
        <v>0</v>
      </c>
      <c r="DL23" s="34" t="n">
        <f aca="false">IF(DL$15=1,INDEX(Vol_O,3,DL$14)/12*(1+P_dVol),0)</f>
        <v>0</v>
      </c>
      <c r="DM23" s="34" t="n">
        <f aca="false">IF(DM$15=1,INDEX(Vol_O,3,DM$14)/12*(1+P_dVol),0)</f>
        <v>0</v>
      </c>
      <c r="DN23" s="34" t="n">
        <f aca="false">IF(DN$15=1,INDEX(Vol_O,3,DN$14)/12*(1+P_dVol),0)</f>
        <v>0</v>
      </c>
      <c r="DO23" s="34" t="n">
        <f aca="false">IF(DO$15=1,INDEX(Vol_O,3,DO$14)/12*(1+P_dVol),0)</f>
        <v>0</v>
      </c>
      <c r="DP23" s="34" t="n">
        <f aca="false">IF(DP$15=1,INDEX(Vol_O,3,DP$14)/12*(1+P_dVol),0)</f>
        <v>0</v>
      </c>
      <c r="DQ23" s="34" t="n">
        <f aca="false">IF(DQ$15=1,INDEX(Vol_O,3,DQ$14)/12*(1+P_dVol),0)</f>
        <v>0</v>
      </c>
      <c r="DR23" s="34" t="n">
        <f aca="false">IF(DR$15=1,INDEX(Vol_O,3,DR$14)/12*(1+P_dVol),0)</f>
        <v>0</v>
      </c>
      <c r="DS23" s="34" t="n">
        <f aca="false">IF(DS$15=1,INDEX(Vol_O,3,DS$14)/12*(1+P_dVol),0)</f>
        <v>0</v>
      </c>
      <c r="DT23" s="34" t="n">
        <f aca="false">IF(DT$15=1,INDEX(Vol_O,3,DT$14)/12*(1+P_dVol),0)</f>
        <v>0</v>
      </c>
      <c r="DU23" s="34" t="n">
        <f aca="false">IF(DU$15=1,INDEX(Vol_O,3,DU$14)/12*(1+P_dVol),0)</f>
        <v>0</v>
      </c>
      <c r="DV23" s="34" t="n">
        <f aca="false">IF(DV$15=1,INDEX(Vol_O,3,DV$14)/12*(1+P_dVol),0)</f>
        <v>0</v>
      </c>
      <c r="DW23" s="34" t="n">
        <f aca="false">IF(DW$15=1,INDEX(Vol_O,3,DW$14)/12*(1+P_dVol),0)</f>
        <v>0</v>
      </c>
      <c r="DX23" s="34" t="n">
        <f aca="false">IF(DX$15=1,INDEX(Vol_O,3,DX$14)/12*(1+P_dVol),0)</f>
        <v>0</v>
      </c>
      <c r="DY23" s="34" t="n">
        <f aca="false">IF(DY$15=1,INDEX(Vol_O,3,DY$14)/12*(1+P_dVol),0)</f>
        <v>0</v>
      </c>
      <c r="DZ23" s="34" t="n">
        <f aca="false">IF(DZ$15=1,INDEX(Vol_O,3,DZ$14)/12*(1+P_dVol),0)</f>
        <v>0</v>
      </c>
      <c r="EA23" s="34" t="n">
        <f aca="false">IF(EA$15=1,INDEX(Vol_O,3,EA$14)/12*(1+P_dVol),0)</f>
        <v>0</v>
      </c>
      <c r="EB23" s="34" t="n">
        <f aca="false">IF(EB$15=1,INDEX(Vol_O,3,EB$14)/12*(1+P_dVol),0)</f>
        <v>0</v>
      </c>
      <c r="EC23" s="34" t="n">
        <f aca="false">IF(EC$15=1,INDEX(Vol_O,3,EC$14)/12*(1+P_dVol),0)</f>
        <v>0</v>
      </c>
      <c r="ED23" s="34" t="n">
        <f aca="false">IF(ED$15=1,INDEX(Vol_O,3,ED$14)/12*(1+P_dVol),0)</f>
        <v>0</v>
      </c>
      <c r="EE23" s="34" t="n">
        <f aca="false">IF(EE$15=1,INDEX(Vol_O,3,EE$14)/12*(1+P_dVol),0)</f>
        <v>0</v>
      </c>
      <c r="EF23" s="34" t="n">
        <f aca="false">IF(EF$15=1,INDEX(Vol_O,3,EF$14)/12*(1+P_dVol),0)</f>
        <v>0</v>
      </c>
      <c r="EG23" s="34" t="n">
        <f aca="false">IF(EG$15=1,INDEX(Vol_O,3,EG$14)/12*(1+P_dVol),0)</f>
        <v>0</v>
      </c>
      <c r="EH23" s="34" t="n">
        <f aca="false">IF(EH$15=1,INDEX(Vol_O,3,EH$14)/12*(1+P_dVol),0)</f>
        <v>0</v>
      </c>
      <c r="EI23" s="34" t="n">
        <f aca="false">IF(EI$15=1,INDEX(Vol_O,3,EI$14)/12*(1+P_dVol),0)</f>
        <v>0</v>
      </c>
      <c r="EJ23" s="34" t="n">
        <f aca="false">IF(EJ$15=1,INDEX(Vol_O,3,EJ$14)/12*(1+P_dVol),0)</f>
        <v>0</v>
      </c>
      <c r="EK23" s="34" t="n">
        <f aca="false">IF(EK$15=1,INDEX(Vol_O,3,EK$14)/12*(1+P_dVol),0)</f>
        <v>0</v>
      </c>
      <c r="EL23" s="34" t="n">
        <f aca="false">IF(EL$15=1,INDEX(Vol_O,3,EL$14)/12*(1+P_dVol),0)</f>
        <v>0</v>
      </c>
      <c r="EM23" s="34" t="n">
        <f aca="false">IF(EM$15=1,INDEX(Vol_O,3,EM$14)/12*(1+P_dVol),0)</f>
        <v>0</v>
      </c>
      <c r="EN23" s="34" t="n">
        <f aca="false">IF(EN$15=1,INDEX(Vol_O,3,EN$14)/12*(1+P_dVol),0)</f>
        <v>0</v>
      </c>
      <c r="EO23" s="34" t="n">
        <f aca="false">IF(EO$15=1,INDEX(Vol_O,3,EO$14)/12*(1+P_dVol),0)</f>
        <v>0</v>
      </c>
      <c r="EP23" s="34" t="n">
        <f aca="false">IF(EP$15=1,INDEX(Vol_O,3,EP$14)/12*(1+P_dVol),0)</f>
        <v>0</v>
      </c>
      <c r="EQ23" s="34" t="n">
        <f aca="false">IF(EQ$15=1,INDEX(Vol_O,3,EQ$14)/12*(1+P_dVol),0)</f>
        <v>0</v>
      </c>
      <c r="ER23" s="34" t="n">
        <f aca="false">IF(ER$15=1,INDEX(Vol_O,3,ER$14)/12*(1+P_dVol),0)</f>
        <v>0</v>
      </c>
      <c r="ES23" s="34" t="n">
        <f aca="false">IF(ES$15=1,INDEX(Vol_O,3,ES$14)/12*(1+P_dVol),0)</f>
        <v>0</v>
      </c>
    </row>
    <row r="24" customFormat="false" ht="15" hidden="false" customHeight="false" outlineLevel="0" collapsed="false">
      <c r="A24" s="2" t="s">
        <v>435</v>
      </c>
      <c r="B24" s="39" t="str">
        <f aca="false">IF(INDEX(Prod_Nombre,4)="","Producto 4",INDEX(Prod_Nombre,4))&amp;" — unidades"</f>
        <v>Producto 4 — unidades</v>
      </c>
      <c r="C24" s="6" t="s">
        <v>337</v>
      </c>
      <c r="E24" s="40" t="n">
        <f aca="false">SUM(F24:ES24)</f>
        <v>0</v>
      </c>
      <c r="F24" s="34" t="n">
        <f aca="false">IF(F$15=1,INDEX(Vol_O,4,F$14)/12*(1+P_dVol),0)</f>
        <v>0</v>
      </c>
      <c r="G24" s="34" t="n">
        <f aca="false">IF(G$15=1,INDEX(Vol_O,4,G$14)/12*(1+P_dVol),0)</f>
        <v>0</v>
      </c>
      <c r="H24" s="34" t="n">
        <f aca="false">IF(H$15=1,INDEX(Vol_O,4,H$14)/12*(1+P_dVol),0)</f>
        <v>0</v>
      </c>
      <c r="I24" s="34" t="n">
        <f aca="false">IF(I$15=1,INDEX(Vol_O,4,I$14)/12*(1+P_dVol),0)</f>
        <v>0</v>
      </c>
      <c r="J24" s="34" t="n">
        <f aca="false">IF(J$15=1,INDEX(Vol_O,4,J$14)/12*(1+P_dVol),0)</f>
        <v>0</v>
      </c>
      <c r="K24" s="34" t="n">
        <f aca="false">IF(K$15=1,INDEX(Vol_O,4,K$14)/12*(1+P_dVol),0)</f>
        <v>0</v>
      </c>
      <c r="L24" s="34" t="n">
        <f aca="false">IF(L$15=1,INDEX(Vol_O,4,L$14)/12*(1+P_dVol),0)</f>
        <v>0</v>
      </c>
      <c r="M24" s="34" t="n">
        <f aca="false">IF(M$15=1,INDEX(Vol_O,4,M$14)/12*(1+P_dVol),0)</f>
        <v>0</v>
      </c>
      <c r="N24" s="34" t="n">
        <f aca="false">IF(N$15=1,INDEX(Vol_O,4,N$14)/12*(1+P_dVol),0)</f>
        <v>0</v>
      </c>
      <c r="O24" s="34" t="n">
        <f aca="false">IF(O$15=1,INDEX(Vol_O,4,O$14)/12*(1+P_dVol),0)</f>
        <v>0</v>
      </c>
      <c r="P24" s="34" t="n">
        <f aca="false">IF(P$15=1,INDEX(Vol_O,4,P$14)/12*(1+P_dVol),0)</f>
        <v>0</v>
      </c>
      <c r="Q24" s="34" t="n">
        <f aca="false">IF(Q$15=1,INDEX(Vol_O,4,Q$14)/12*(1+P_dVol),0)</f>
        <v>0</v>
      </c>
      <c r="R24" s="34" t="n">
        <f aca="false">IF(R$15=1,INDEX(Vol_O,4,R$14)/12*(1+P_dVol),0)</f>
        <v>0</v>
      </c>
      <c r="S24" s="34" t="n">
        <f aca="false">IF(S$15=1,INDEX(Vol_O,4,S$14)/12*(1+P_dVol),0)</f>
        <v>0</v>
      </c>
      <c r="T24" s="34" t="n">
        <f aca="false">IF(T$15=1,INDEX(Vol_O,4,T$14)/12*(1+P_dVol),0)</f>
        <v>0</v>
      </c>
      <c r="U24" s="34" t="n">
        <f aca="false">IF(U$15=1,INDEX(Vol_O,4,U$14)/12*(1+P_dVol),0)</f>
        <v>0</v>
      </c>
      <c r="V24" s="34" t="n">
        <f aca="false">IF(V$15=1,INDEX(Vol_O,4,V$14)/12*(1+P_dVol),0)</f>
        <v>0</v>
      </c>
      <c r="W24" s="34" t="n">
        <f aca="false">IF(W$15=1,INDEX(Vol_O,4,W$14)/12*(1+P_dVol),0)</f>
        <v>0</v>
      </c>
      <c r="X24" s="34" t="n">
        <f aca="false">IF(X$15=1,INDEX(Vol_O,4,X$14)/12*(1+P_dVol),0)</f>
        <v>0</v>
      </c>
      <c r="Y24" s="34" t="n">
        <f aca="false">IF(Y$15=1,INDEX(Vol_O,4,Y$14)/12*(1+P_dVol),0)</f>
        <v>0</v>
      </c>
      <c r="Z24" s="34" t="n">
        <f aca="false">IF(Z$15=1,INDEX(Vol_O,4,Z$14)/12*(1+P_dVol),0)</f>
        <v>0</v>
      </c>
      <c r="AA24" s="34" t="n">
        <f aca="false">IF(AA$15=1,INDEX(Vol_O,4,AA$14)/12*(1+P_dVol),0)</f>
        <v>0</v>
      </c>
      <c r="AB24" s="34" t="n">
        <f aca="false">IF(AB$15=1,INDEX(Vol_O,4,AB$14)/12*(1+P_dVol),0)</f>
        <v>0</v>
      </c>
      <c r="AC24" s="34" t="n">
        <f aca="false">IF(AC$15=1,INDEX(Vol_O,4,AC$14)/12*(1+P_dVol),0)</f>
        <v>0</v>
      </c>
      <c r="AD24" s="34" t="n">
        <f aca="false">IF(AD$15=1,INDEX(Vol_O,4,AD$14)/12*(1+P_dVol),0)</f>
        <v>0</v>
      </c>
      <c r="AE24" s="34" t="n">
        <f aca="false">IF(AE$15=1,INDEX(Vol_O,4,AE$14)/12*(1+P_dVol),0)</f>
        <v>0</v>
      </c>
      <c r="AF24" s="34" t="n">
        <f aca="false">IF(AF$15=1,INDEX(Vol_O,4,AF$14)/12*(1+P_dVol),0)</f>
        <v>0</v>
      </c>
      <c r="AG24" s="34" t="n">
        <f aca="false">IF(AG$15=1,INDEX(Vol_O,4,AG$14)/12*(1+P_dVol),0)</f>
        <v>0</v>
      </c>
      <c r="AH24" s="34" t="n">
        <f aca="false">IF(AH$15=1,INDEX(Vol_O,4,AH$14)/12*(1+P_dVol),0)</f>
        <v>0</v>
      </c>
      <c r="AI24" s="34" t="n">
        <f aca="false">IF(AI$15=1,INDEX(Vol_O,4,AI$14)/12*(1+P_dVol),0)</f>
        <v>0</v>
      </c>
      <c r="AJ24" s="34" t="n">
        <f aca="false">IF(AJ$15=1,INDEX(Vol_O,4,AJ$14)/12*(1+P_dVol),0)</f>
        <v>0</v>
      </c>
      <c r="AK24" s="34" t="n">
        <f aca="false">IF(AK$15=1,INDEX(Vol_O,4,AK$14)/12*(1+P_dVol),0)</f>
        <v>0</v>
      </c>
      <c r="AL24" s="34" t="n">
        <f aca="false">IF(AL$15=1,INDEX(Vol_O,4,AL$14)/12*(1+P_dVol),0)</f>
        <v>0</v>
      </c>
      <c r="AM24" s="34" t="n">
        <f aca="false">IF(AM$15=1,INDEX(Vol_O,4,AM$14)/12*(1+P_dVol),0)</f>
        <v>0</v>
      </c>
      <c r="AN24" s="34" t="n">
        <f aca="false">IF(AN$15=1,INDEX(Vol_O,4,AN$14)/12*(1+P_dVol),0)</f>
        <v>0</v>
      </c>
      <c r="AO24" s="34" t="n">
        <f aca="false">IF(AO$15=1,INDEX(Vol_O,4,AO$14)/12*(1+P_dVol),0)</f>
        <v>0</v>
      </c>
      <c r="AP24" s="34" t="n">
        <f aca="false">IF(AP$15=1,INDEX(Vol_O,4,AP$14)/12*(1+P_dVol),0)</f>
        <v>0</v>
      </c>
      <c r="AQ24" s="34" t="n">
        <f aca="false">IF(AQ$15=1,INDEX(Vol_O,4,AQ$14)/12*(1+P_dVol),0)</f>
        <v>0</v>
      </c>
      <c r="AR24" s="34" t="n">
        <f aca="false">IF(AR$15=1,INDEX(Vol_O,4,AR$14)/12*(1+P_dVol),0)</f>
        <v>0</v>
      </c>
      <c r="AS24" s="34" t="n">
        <f aca="false">IF(AS$15=1,INDEX(Vol_O,4,AS$14)/12*(1+P_dVol),0)</f>
        <v>0</v>
      </c>
      <c r="AT24" s="34" t="n">
        <f aca="false">IF(AT$15=1,INDEX(Vol_O,4,AT$14)/12*(1+P_dVol),0)</f>
        <v>0</v>
      </c>
      <c r="AU24" s="34" t="n">
        <f aca="false">IF(AU$15=1,INDEX(Vol_O,4,AU$14)/12*(1+P_dVol),0)</f>
        <v>0</v>
      </c>
      <c r="AV24" s="34" t="n">
        <f aca="false">IF(AV$15=1,INDEX(Vol_O,4,AV$14)/12*(1+P_dVol),0)</f>
        <v>0</v>
      </c>
      <c r="AW24" s="34" t="n">
        <f aca="false">IF(AW$15=1,INDEX(Vol_O,4,AW$14)/12*(1+P_dVol),0)</f>
        <v>0</v>
      </c>
      <c r="AX24" s="34" t="n">
        <f aca="false">IF(AX$15=1,INDEX(Vol_O,4,AX$14)/12*(1+P_dVol),0)</f>
        <v>0</v>
      </c>
      <c r="AY24" s="34" t="n">
        <f aca="false">IF(AY$15=1,INDEX(Vol_O,4,AY$14)/12*(1+P_dVol),0)</f>
        <v>0</v>
      </c>
      <c r="AZ24" s="34" t="n">
        <f aca="false">IF(AZ$15=1,INDEX(Vol_O,4,AZ$14)/12*(1+P_dVol),0)</f>
        <v>0</v>
      </c>
      <c r="BA24" s="34" t="n">
        <f aca="false">IF(BA$15=1,INDEX(Vol_O,4,BA$14)/12*(1+P_dVol),0)</f>
        <v>0</v>
      </c>
      <c r="BB24" s="34" t="n">
        <f aca="false">IF(BB$15=1,INDEX(Vol_O,4,BB$14)/12*(1+P_dVol),0)</f>
        <v>0</v>
      </c>
      <c r="BC24" s="34" t="n">
        <f aca="false">IF(BC$15=1,INDEX(Vol_O,4,BC$14)/12*(1+P_dVol),0)</f>
        <v>0</v>
      </c>
      <c r="BD24" s="34" t="n">
        <f aca="false">IF(BD$15=1,INDEX(Vol_O,4,BD$14)/12*(1+P_dVol),0)</f>
        <v>0</v>
      </c>
      <c r="BE24" s="34" t="n">
        <f aca="false">IF(BE$15=1,INDEX(Vol_O,4,BE$14)/12*(1+P_dVol),0)</f>
        <v>0</v>
      </c>
      <c r="BF24" s="34" t="n">
        <f aca="false">IF(BF$15=1,INDEX(Vol_O,4,BF$14)/12*(1+P_dVol),0)</f>
        <v>0</v>
      </c>
      <c r="BG24" s="34" t="n">
        <f aca="false">IF(BG$15=1,INDEX(Vol_O,4,BG$14)/12*(1+P_dVol),0)</f>
        <v>0</v>
      </c>
      <c r="BH24" s="34" t="n">
        <f aca="false">IF(BH$15=1,INDEX(Vol_O,4,BH$14)/12*(1+P_dVol),0)</f>
        <v>0</v>
      </c>
      <c r="BI24" s="34" t="n">
        <f aca="false">IF(BI$15=1,INDEX(Vol_O,4,BI$14)/12*(1+P_dVol),0)</f>
        <v>0</v>
      </c>
      <c r="BJ24" s="34" t="n">
        <f aca="false">IF(BJ$15=1,INDEX(Vol_O,4,BJ$14)/12*(1+P_dVol),0)</f>
        <v>0</v>
      </c>
      <c r="BK24" s="34" t="n">
        <f aca="false">IF(BK$15=1,INDEX(Vol_O,4,BK$14)/12*(1+P_dVol),0)</f>
        <v>0</v>
      </c>
      <c r="BL24" s="34" t="n">
        <f aca="false">IF(BL$15=1,INDEX(Vol_O,4,BL$14)/12*(1+P_dVol),0)</f>
        <v>0</v>
      </c>
      <c r="BM24" s="34" t="n">
        <f aca="false">IF(BM$15=1,INDEX(Vol_O,4,BM$14)/12*(1+P_dVol),0)</f>
        <v>0</v>
      </c>
      <c r="BN24" s="34" t="n">
        <f aca="false">IF(BN$15=1,INDEX(Vol_O,4,BN$14)/12*(1+P_dVol),0)</f>
        <v>0</v>
      </c>
      <c r="BO24" s="34" t="n">
        <f aca="false">IF(BO$15=1,INDEX(Vol_O,4,BO$14)/12*(1+P_dVol),0)</f>
        <v>0</v>
      </c>
      <c r="BP24" s="34" t="n">
        <f aca="false">IF(BP$15=1,INDEX(Vol_O,4,BP$14)/12*(1+P_dVol),0)</f>
        <v>0</v>
      </c>
      <c r="BQ24" s="34" t="n">
        <f aca="false">IF(BQ$15=1,INDEX(Vol_O,4,BQ$14)/12*(1+P_dVol),0)</f>
        <v>0</v>
      </c>
      <c r="BR24" s="34" t="n">
        <f aca="false">IF(BR$15=1,INDEX(Vol_O,4,BR$14)/12*(1+P_dVol),0)</f>
        <v>0</v>
      </c>
      <c r="BS24" s="34" t="n">
        <f aca="false">IF(BS$15=1,INDEX(Vol_O,4,BS$14)/12*(1+P_dVol),0)</f>
        <v>0</v>
      </c>
      <c r="BT24" s="34" t="n">
        <f aca="false">IF(BT$15=1,INDEX(Vol_O,4,BT$14)/12*(1+P_dVol),0)</f>
        <v>0</v>
      </c>
      <c r="BU24" s="34" t="n">
        <f aca="false">IF(BU$15=1,INDEX(Vol_O,4,BU$14)/12*(1+P_dVol),0)</f>
        <v>0</v>
      </c>
      <c r="BV24" s="34" t="n">
        <f aca="false">IF(BV$15=1,INDEX(Vol_O,4,BV$14)/12*(1+P_dVol),0)</f>
        <v>0</v>
      </c>
      <c r="BW24" s="34" t="n">
        <f aca="false">IF(BW$15=1,INDEX(Vol_O,4,BW$14)/12*(1+P_dVol),0)</f>
        <v>0</v>
      </c>
      <c r="BX24" s="34" t="n">
        <f aca="false">IF(BX$15=1,INDEX(Vol_O,4,BX$14)/12*(1+P_dVol),0)</f>
        <v>0</v>
      </c>
      <c r="BY24" s="34" t="n">
        <f aca="false">IF(BY$15=1,INDEX(Vol_O,4,BY$14)/12*(1+P_dVol),0)</f>
        <v>0</v>
      </c>
      <c r="BZ24" s="34" t="n">
        <f aca="false">IF(BZ$15=1,INDEX(Vol_O,4,BZ$14)/12*(1+P_dVol),0)</f>
        <v>0</v>
      </c>
      <c r="CA24" s="34" t="n">
        <f aca="false">IF(CA$15=1,INDEX(Vol_O,4,CA$14)/12*(1+P_dVol),0)</f>
        <v>0</v>
      </c>
      <c r="CB24" s="34" t="n">
        <f aca="false">IF(CB$15=1,INDEX(Vol_O,4,CB$14)/12*(1+P_dVol),0)</f>
        <v>0</v>
      </c>
      <c r="CC24" s="34" t="n">
        <f aca="false">IF(CC$15=1,INDEX(Vol_O,4,CC$14)/12*(1+P_dVol),0)</f>
        <v>0</v>
      </c>
      <c r="CD24" s="34" t="n">
        <f aca="false">IF(CD$15=1,INDEX(Vol_O,4,CD$14)/12*(1+P_dVol),0)</f>
        <v>0</v>
      </c>
      <c r="CE24" s="34" t="n">
        <f aca="false">IF(CE$15=1,INDEX(Vol_O,4,CE$14)/12*(1+P_dVol),0)</f>
        <v>0</v>
      </c>
      <c r="CF24" s="34" t="n">
        <f aca="false">IF(CF$15=1,INDEX(Vol_O,4,CF$14)/12*(1+P_dVol),0)</f>
        <v>0</v>
      </c>
      <c r="CG24" s="34" t="n">
        <f aca="false">IF(CG$15=1,INDEX(Vol_O,4,CG$14)/12*(1+P_dVol),0)</f>
        <v>0</v>
      </c>
      <c r="CH24" s="34" t="n">
        <f aca="false">IF(CH$15=1,INDEX(Vol_O,4,CH$14)/12*(1+P_dVol),0)</f>
        <v>0</v>
      </c>
      <c r="CI24" s="34" t="n">
        <f aca="false">IF(CI$15=1,INDEX(Vol_O,4,CI$14)/12*(1+P_dVol),0)</f>
        <v>0</v>
      </c>
      <c r="CJ24" s="34" t="n">
        <f aca="false">IF(CJ$15=1,INDEX(Vol_O,4,CJ$14)/12*(1+P_dVol),0)</f>
        <v>0</v>
      </c>
      <c r="CK24" s="34" t="n">
        <f aca="false">IF(CK$15=1,INDEX(Vol_O,4,CK$14)/12*(1+P_dVol),0)</f>
        <v>0</v>
      </c>
      <c r="CL24" s="34" t="n">
        <f aca="false">IF(CL$15=1,INDEX(Vol_O,4,CL$14)/12*(1+P_dVol),0)</f>
        <v>0</v>
      </c>
      <c r="CM24" s="34" t="n">
        <f aca="false">IF(CM$15=1,INDEX(Vol_O,4,CM$14)/12*(1+P_dVol),0)</f>
        <v>0</v>
      </c>
      <c r="CN24" s="34" t="n">
        <f aca="false">IF(CN$15=1,INDEX(Vol_O,4,CN$14)/12*(1+P_dVol),0)</f>
        <v>0</v>
      </c>
      <c r="CO24" s="34" t="n">
        <f aca="false">IF(CO$15=1,INDEX(Vol_O,4,CO$14)/12*(1+P_dVol),0)</f>
        <v>0</v>
      </c>
      <c r="CP24" s="34" t="n">
        <f aca="false">IF(CP$15=1,INDEX(Vol_O,4,CP$14)/12*(1+P_dVol),0)</f>
        <v>0</v>
      </c>
      <c r="CQ24" s="34" t="n">
        <f aca="false">IF(CQ$15=1,INDEX(Vol_O,4,CQ$14)/12*(1+P_dVol),0)</f>
        <v>0</v>
      </c>
      <c r="CR24" s="34" t="n">
        <f aca="false">IF(CR$15=1,INDEX(Vol_O,4,CR$14)/12*(1+P_dVol),0)</f>
        <v>0</v>
      </c>
      <c r="CS24" s="34" t="n">
        <f aca="false">IF(CS$15=1,INDEX(Vol_O,4,CS$14)/12*(1+P_dVol),0)</f>
        <v>0</v>
      </c>
      <c r="CT24" s="34" t="n">
        <f aca="false">IF(CT$15=1,INDEX(Vol_O,4,CT$14)/12*(1+P_dVol),0)</f>
        <v>0</v>
      </c>
      <c r="CU24" s="34" t="n">
        <f aca="false">IF(CU$15=1,INDEX(Vol_O,4,CU$14)/12*(1+P_dVol),0)</f>
        <v>0</v>
      </c>
      <c r="CV24" s="34" t="n">
        <f aca="false">IF(CV$15=1,INDEX(Vol_O,4,CV$14)/12*(1+P_dVol),0)</f>
        <v>0</v>
      </c>
      <c r="CW24" s="34" t="n">
        <f aca="false">IF(CW$15=1,INDEX(Vol_O,4,CW$14)/12*(1+P_dVol),0)</f>
        <v>0</v>
      </c>
      <c r="CX24" s="34" t="n">
        <f aca="false">IF(CX$15=1,INDEX(Vol_O,4,CX$14)/12*(1+P_dVol),0)</f>
        <v>0</v>
      </c>
      <c r="CY24" s="34" t="n">
        <f aca="false">IF(CY$15=1,INDEX(Vol_O,4,CY$14)/12*(1+P_dVol),0)</f>
        <v>0</v>
      </c>
      <c r="CZ24" s="34" t="n">
        <f aca="false">IF(CZ$15=1,INDEX(Vol_O,4,CZ$14)/12*(1+P_dVol),0)</f>
        <v>0</v>
      </c>
      <c r="DA24" s="34" t="n">
        <f aca="false">IF(DA$15=1,INDEX(Vol_O,4,DA$14)/12*(1+P_dVol),0)</f>
        <v>0</v>
      </c>
      <c r="DB24" s="34" t="n">
        <f aca="false">IF(DB$15=1,INDEX(Vol_O,4,DB$14)/12*(1+P_dVol),0)</f>
        <v>0</v>
      </c>
      <c r="DC24" s="34" t="n">
        <f aca="false">IF(DC$15=1,INDEX(Vol_O,4,DC$14)/12*(1+P_dVol),0)</f>
        <v>0</v>
      </c>
      <c r="DD24" s="34" t="n">
        <f aca="false">IF(DD$15=1,INDEX(Vol_O,4,DD$14)/12*(1+P_dVol),0)</f>
        <v>0</v>
      </c>
      <c r="DE24" s="34" t="n">
        <f aca="false">IF(DE$15=1,INDEX(Vol_O,4,DE$14)/12*(1+P_dVol),0)</f>
        <v>0</v>
      </c>
      <c r="DF24" s="34" t="n">
        <f aca="false">IF(DF$15=1,INDEX(Vol_O,4,DF$14)/12*(1+P_dVol),0)</f>
        <v>0</v>
      </c>
      <c r="DG24" s="34" t="n">
        <f aca="false">IF(DG$15=1,INDEX(Vol_O,4,DG$14)/12*(1+P_dVol),0)</f>
        <v>0</v>
      </c>
      <c r="DH24" s="34" t="n">
        <f aca="false">IF(DH$15=1,INDEX(Vol_O,4,DH$14)/12*(1+P_dVol),0)</f>
        <v>0</v>
      </c>
      <c r="DI24" s="34" t="n">
        <f aca="false">IF(DI$15=1,INDEX(Vol_O,4,DI$14)/12*(1+P_dVol),0)</f>
        <v>0</v>
      </c>
      <c r="DJ24" s="34" t="n">
        <f aca="false">IF(DJ$15=1,INDEX(Vol_O,4,DJ$14)/12*(1+P_dVol),0)</f>
        <v>0</v>
      </c>
      <c r="DK24" s="34" t="n">
        <f aca="false">IF(DK$15=1,INDEX(Vol_O,4,DK$14)/12*(1+P_dVol),0)</f>
        <v>0</v>
      </c>
      <c r="DL24" s="34" t="n">
        <f aca="false">IF(DL$15=1,INDEX(Vol_O,4,DL$14)/12*(1+P_dVol),0)</f>
        <v>0</v>
      </c>
      <c r="DM24" s="34" t="n">
        <f aca="false">IF(DM$15=1,INDEX(Vol_O,4,DM$14)/12*(1+P_dVol),0)</f>
        <v>0</v>
      </c>
      <c r="DN24" s="34" t="n">
        <f aca="false">IF(DN$15=1,INDEX(Vol_O,4,DN$14)/12*(1+P_dVol),0)</f>
        <v>0</v>
      </c>
      <c r="DO24" s="34" t="n">
        <f aca="false">IF(DO$15=1,INDEX(Vol_O,4,DO$14)/12*(1+P_dVol),0)</f>
        <v>0</v>
      </c>
      <c r="DP24" s="34" t="n">
        <f aca="false">IF(DP$15=1,INDEX(Vol_O,4,DP$14)/12*(1+P_dVol),0)</f>
        <v>0</v>
      </c>
      <c r="DQ24" s="34" t="n">
        <f aca="false">IF(DQ$15=1,INDEX(Vol_O,4,DQ$14)/12*(1+P_dVol),0)</f>
        <v>0</v>
      </c>
      <c r="DR24" s="34" t="n">
        <f aca="false">IF(DR$15=1,INDEX(Vol_O,4,DR$14)/12*(1+P_dVol),0)</f>
        <v>0</v>
      </c>
      <c r="DS24" s="34" t="n">
        <f aca="false">IF(DS$15=1,INDEX(Vol_O,4,DS$14)/12*(1+P_dVol),0)</f>
        <v>0</v>
      </c>
      <c r="DT24" s="34" t="n">
        <f aca="false">IF(DT$15=1,INDEX(Vol_O,4,DT$14)/12*(1+P_dVol),0)</f>
        <v>0</v>
      </c>
      <c r="DU24" s="34" t="n">
        <f aca="false">IF(DU$15=1,INDEX(Vol_O,4,DU$14)/12*(1+P_dVol),0)</f>
        <v>0</v>
      </c>
      <c r="DV24" s="34" t="n">
        <f aca="false">IF(DV$15=1,INDEX(Vol_O,4,DV$14)/12*(1+P_dVol),0)</f>
        <v>0</v>
      </c>
      <c r="DW24" s="34" t="n">
        <f aca="false">IF(DW$15=1,INDEX(Vol_O,4,DW$14)/12*(1+P_dVol),0)</f>
        <v>0</v>
      </c>
      <c r="DX24" s="34" t="n">
        <f aca="false">IF(DX$15=1,INDEX(Vol_O,4,DX$14)/12*(1+P_dVol),0)</f>
        <v>0</v>
      </c>
      <c r="DY24" s="34" t="n">
        <f aca="false">IF(DY$15=1,INDEX(Vol_O,4,DY$14)/12*(1+P_dVol),0)</f>
        <v>0</v>
      </c>
      <c r="DZ24" s="34" t="n">
        <f aca="false">IF(DZ$15=1,INDEX(Vol_O,4,DZ$14)/12*(1+P_dVol),0)</f>
        <v>0</v>
      </c>
      <c r="EA24" s="34" t="n">
        <f aca="false">IF(EA$15=1,INDEX(Vol_O,4,EA$14)/12*(1+P_dVol),0)</f>
        <v>0</v>
      </c>
      <c r="EB24" s="34" t="n">
        <f aca="false">IF(EB$15=1,INDEX(Vol_O,4,EB$14)/12*(1+P_dVol),0)</f>
        <v>0</v>
      </c>
      <c r="EC24" s="34" t="n">
        <f aca="false">IF(EC$15=1,INDEX(Vol_O,4,EC$14)/12*(1+P_dVol),0)</f>
        <v>0</v>
      </c>
      <c r="ED24" s="34" t="n">
        <f aca="false">IF(ED$15=1,INDEX(Vol_O,4,ED$14)/12*(1+P_dVol),0)</f>
        <v>0</v>
      </c>
      <c r="EE24" s="34" t="n">
        <f aca="false">IF(EE$15=1,INDEX(Vol_O,4,EE$14)/12*(1+P_dVol),0)</f>
        <v>0</v>
      </c>
      <c r="EF24" s="34" t="n">
        <f aca="false">IF(EF$15=1,INDEX(Vol_O,4,EF$14)/12*(1+P_dVol),0)</f>
        <v>0</v>
      </c>
      <c r="EG24" s="34" t="n">
        <f aca="false">IF(EG$15=1,INDEX(Vol_O,4,EG$14)/12*(1+P_dVol),0)</f>
        <v>0</v>
      </c>
      <c r="EH24" s="34" t="n">
        <f aca="false">IF(EH$15=1,INDEX(Vol_O,4,EH$14)/12*(1+P_dVol),0)</f>
        <v>0</v>
      </c>
      <c r="EI24" s="34" t="n">
        <f aca="false">IF(EI$15=1,INDEX(Vol_O,4,EI$14)/12*(1+P_dVol),0)</f>
        <v>0</v>
      </c>
      <c r="EJ24" s="34" t="n">
        <f aca="false">IF(EJ$15=1,INDEX(Vol_O,4,EJ$14)/12*(1+P_dVol),0)</f>
        <v>0</v>
      </c>
      <c r="EK24" s="34" t="n">
        <f aca="false">IF(EK$15=1,INDEX(Vol_O,4,EK$14)/12*(1+P_dVol),0)</f>
        <v>0</v>
      </c>
      <c r="EL24" s="34" t="n">
        <f aca="false">IF(EL$15=1,INDEX(Vol_O,4,EL$14)/12*(1+P_dVol),0)</f>
        <v>0</v>
      </c>
      <c r="EM24" s="34" t="n">
        <f aca="false">IF(EM$15=1,INDEX(Vol_O,4,EM$14)/12*(1+P_dVol),0)</f>
        <v>0</v>
      </c>
      <c r="EN24" s="34" t="n">
        <f aca="false">IF(EN$15=1,INDEX(Vol_O,4,EN$14)/12*(1+P_dVol),0)</f>
        <v>0</v>
      </c>
      <c r="EO24" s="34" t="n">
        <f aca="false">IF(EO$15=1,INDEX(Vol_O,4,EO$14)/12*(1+P_dVol),0)</f>
        <v>0</v>
      </c>
      <c r="EP24" s="34" t="n">
        <f aca="false">IF(EP$15=1,INDEX(Vol_O,4,EP$14)/12*(1+P_dVol),0)</f>
        <v>0</v>
      </c>
      <c r="EQ24" s="34" t="n">
        <f aca="false">IF(EQ$15=1,INDEX(Vol_O,4,EQ$14)/12*(1+P_dVol),0)</f>
        <v>0</v>
      </c>
      <c r="ER24" s="34" t="n">
        <f aca="false">IF(ER$15=1,INDEX(Vol_O,4,ER$14)/12*(1+P_dVol),0)</f>
        <v>0</v>
      </c>
      <c r="ES24" s="34" t="n">
        <f aca="false">IF(ES$15=1,INDEX(Vol_O,4,ES$14)/12*(1+P_dVol),0)</f>
        <v>0</v>
      </c>
    </row>
    <row r="25" customFormat="false" ht="15" hidden="false" customHeight="false" outlineLevel="0" collapsed="false">
      <c r="A25" s="2" t="s">
        <v>436</v>
      </c>
      <c r="B25" s="39" t="str">
        <f aca="false">IF(INDEX(Prod_Nombre,5)="","Producto 5",INDEX(Prod_Nombre,5))&amp;" — unidades"</f>
        <v>Producto 5 — unidades</v>
      </c>
      <c r="C25" s="6" t="s">
        <v>337</v>
      </c>
      <c r="E25" s="40" t="n">
        <f aca="false">SUM(F25:ES25)</f>
        <v>0</v>
      </c>
      <c r="F25" s="34" t="n">
        <f aca="false">IF(F$15=1,INDEX(Vol_O,5,F$14)/12*(1+P_dVol),0)</f>
        <v>0</v>
      </c>
      <c r="G25" s="34" t="n">
        <f aca="false">IF(G$15=1,INDEX(Vol_O,5,G$14)/12*(1+P_dVol),0)</f>
        <v>0</v>
      </c>
      <c r="H25" s="34" t="n">
        <f aca="false">IF(H$15=1,INDEX(Vol_O,5,H$14)/12*(1+P_dVol),0)</f>
        <v>0</v>
      </c>
      <c r="I25" s="34" t="n">
        <f aca="false">IF(I$15=1,INDEX(Vol_O,5,I$14)/12*(1+P_dVol),0)</f>
        <v>0</v>
      </c>
      <c r="J25" s="34" t="n">
        <f aca="false">IF(J$15=1,INDEX(Vol_O,5,J$14)/12*(1+P_dVol),0)</f>
        <v>0</v>
      </c>
      <c r="K25" s="34" t="n">
        <f aca="false">IF(K$15=1,INDEX(Vol_O,5,K$14)/12*(1+P_dVol),0)</f>
        <v>0</v>
      </c>
      <c r="L25" s="34" t="n">
        <f aca="false">IF(L$15=1,INDEX(Vol_O,5,L$14)/12*(1+P_dVol),0)</f>
        <v>0</v>
      </c>
      <c r="M25" s="34" t="n">
        <f aca="false">IF(M$15=1,INDEX(Vol_O,5,M$14)/12*(1+P_dVol),0)</f>
        <v>0</v>
      </c>
      <c r="N25" s="34" t="n">
        <f aca="false">IF(N$15=1,INDEX(Vol_O,5,N$14)/12*(1+P_dVol),0)</f>
        <v>0</v>
      </c>
      <c r="O25" s="34" t="n">
        <f aca="false">IF(O$15=1,INDEX(Vol_O,5,O$14)/12*(1+P_dVol),0)</f>
        <v>0</v>
      </c>
      <c r="P25" s="34" t="n">
        <f aca="false">IF(P$15=1,INDEX(Vol_O,5,P$14)/12*(1+P_dVol),0)</f>
        <v>0</v>
      </c>
      <c r="Q25" s="34" t="n">
        <f aca="false">IF(Q$15=1,INDEX(Vol_O,5,Q$14)/12*(1+P_dVol),0)</f>
        <v>0</v>
      </c>
      <c r="R25" s="34" t="n">
        <f aca="false">IF(R$15=1,INDEX(Vol_O,5,R$14)/12*(1+P_dVol),0)</f>
        <v>0</v>
      </c>
      <c r="S25" s="34" t="n">
        <f aca="false">IF(S$15=1,INDEX(Vol_O,5,S$14)/12*(1+P_dVol),0)</f>
        <v>0</v>
      </c>
      <c r="T25" s="34" t="n">
        <f aca="false">IF(T$15=1,INDEX(Vol_O,5,T$14)/12*(1+P_dVol),0)</f>
        <v>0</v>
      </c>
      <c r="U25" s="34" t="n">
        <f aca="false">IF(U$15=1,INDEX(Vol_O,5,U$14)/12*(1+P_dVol),0)</f>
        <v>0</v>
      </c>
      <c r="V25" s="34" t="n">
        <f aca="false">IF(V$15=1,INDEX(Vol_O,5,V$14)/12*(1+P_dVol),0)</f>
        <v>0</v>
      </c>
      <c r="W25" s="34" t="n">
        <f aca="false">IF(W$15=1,INDEX(Vol_O,5,W$14)/12*(1+P_dVol),0)</f>
        <v>0</v>
      </c>
      <c r="X25" s="34" t="n">
        <f aca="false">IF(X$15=1,INDEX(Vol_O,5,X$14)/12*(1+P_dVol),0)</f>
        <v>0</v>
      </c>
      <c r="Y25" s="34" t="n">
        <f aca="false">IF(Y$15=1,INDEX(Vol_O,5,Y$14)/12*(1+P_dVol),0)</f>
        <v>0</v>
      </c>
      <c r="Z25" s="34" t="n">
        <f aca="false">IF(Z$15=1,INDEX(Vol_O,5,Z$14)/12*(1+P_dVol),0)</f>
        <v>0</v>
      </c>
      <c r="AA25" s="34" t="n">
        <f aca="false">IF(AA$15=1,INDEX(Vol_O,5,AA$14)/12*(1+P_dVol),0)</f>
        <v>0</v>
      </c>
      <c r="AB25" s="34" t="n">
        <f aca="false">IF(AB$15=1,INDEX(Vol_O,5,AB$14)/12*(1+P_dVol),0)</f>
        <v>0</v>
      </c>
      <c r="AC25" s="34" t="n">
        <f aca="false">IF(AC$15=1,INDEX(Vol_O,5,AC$14)/12*(1+P_dVol),0)</f>
        <v>0</v>
      </c>
      <c r="AD25" s="34" t="n">
        <f aca="false">IF(AD$15=1,INDEX(Vol_O,5,AD$14)/12*(1+P_dVol),0)</f>
        <v>0</v>
      </c>
      <c r="AE25" s="34" t="n">
        <f aca="false">IF(AE$15=1,INDEX(Vol_O,5,AE$14)/12*(1+P_dVol),0)</f>
        <v>0</v>
      </c>
      <c r="AF25" s="34" t="n">
        <f aca="false">IF(AF$15=1,INDEX(Vol_O,5,AF$14)/12*(1+P_dVol),0)</f>
        <v>0</v>
      </c>
      <c r="AG25" s="34" t="n">
        <f aca="false">IF(AG$15=1,INDEX(Vol_O,5,AG$14)/12*(1+P_dVol),0)</f>
        <v>0</v>
      </c>
      <c r="AH25" s="34" t="n">
        <f aca="false">IF(AH$15=1,INDEX(Vol_O,5,AH$14)/12*(1+P_dVol),0)</f>
        <v>0</v>
      </c>
      <c r="AI25" s="34" t="n">
        <f aca="false">IF(AI$15=1,INDEX(Vol_O,5,AI$14)/12*(1+P_dVol),0)</f>
        <v>0</v>
      </c>
      <c r="AJ25" s="34" t="n">
        <f aca="false">IF(AJ$15=1,INDEX(Vol_O,5,AJ$14)/12*(1+P_dVol),0)</f>
        <v>0</v>
      </c>
      <c r="AK25" s="34" t="n">
        <f aca="false">IF(AK$15=1,INDEX(Vol_O,5,AK$14)/12*(1+P_dVol),0)</f>
        <v>0</v>
      </c>
      <c r="AL25" s="34" t="n">
        <f aca="false">IF(AL$15=1,INDEX(Vol_O,5,AL$14)/12*(1+P_dVol),0)</f>
        <v>0</v>
      </c>
      <c r="AM25" s="34" t="n">
        <f aca="false">IF(AM$15=1,INDEX(Vol_O,5,AM$14)/12*(1+P_dVol),0)</f>
        <v>0</v>
      </c>
      <c r="AN25" s="34" t="n">
        <f aca="false">IF(AN$15=1,INDEX(Vol_O,5,AN$14)/12*(1+P_dVol),0)</f>
        <v>0</v>
      </c>
      <c r="AO25" s="34" t="n">
        <f aca="false">IF(AO$15=1,INDEX(Vol_O,5,AO$14)/12*(1+P_dVol),0)</f>
        <v>0</v>
      </c>
      <c r="AP25" s="34" t="n">
        <f aca="false">IF(AP$15=1,INDEX(Vol_O,5,AP$14)/12*(1+P_dVol),0)</f>
        <v>0</v>
      </c>
      <c r="AQ25" s="34" t="n">
        <f aca="false">IF(AQ$15=1,INDEX(Vol_O,5,AQ$14)/12*(1+P_dVol),0)</f>
        <v>0</v>
      </c>
      <c r="AR25" s="34" t="n">
        <f aca="false">IF(AR$15=1,INDEX(Vol_O,5,AR$14)/12*(1+P_dVol),0)</f>
        <v>0</v>
      </c>
      <c r="AS25" s="34" t="n">
        <f aca="false">IF(AS$15=1,INDEX(Vol_O,5,AS$14)/12*(1+P_dVol),0)</f>
        <v>0</v>
      </c>
      <c r="AT25" s="34" t="n">
        <f aca="false">IF(AT$15=1,INDEX(Vol_O,5,AT$14)/12*(1+P_dVol),0)</f>
        <v>0</v>
      </c>
      <c r="AU25" s="34" t="n">
        <f aca="false">IF(AU$15=1,INDEX(Vol_O,5,AU$14)/12*(1+P_dVol),0)</f>
        <v>0</v>
      </c>
      <c r="AV25" s="34" t="n">
        <f aca="false">IF(AV$15=1,INDEX(Vol_O,5,AV$14)/12*(1+P_dVol),0)</f>
        <v>0</v>
      </c>
      <c r="AW25" s="34" t="n">
        <f aca="false">IF(AW$15=1,INDEX(Vol_O,5,AW$14)/12*(1+P_dVol),0)</f>
        <v>0</v>
      </c>
      <c r="AX25" s="34" t="n">
        <f aca="false">IF(AX$15=1,INDEX(Vol_O,5,AX$14)/12*(1+P_dVol),0)</f>
        <v>0</v>
      </c>
      <c r="AY25" s="34" t="n">
        <f aca="false">IF(AY$15=1,INDEX(Vol_O,5,AY$14)/12*(1+P_dVol),0)</f>
        <v>0</v>
      </c>
      <c r="AZ25" s="34" t="n">
        <f aca="false">IF(AZ$15=1,INDEX(Vol_O,5,AZ$14)/12*(1+P_dVol),0)</f>
        <v>0</v>
      </c>
      <c r="BA25" s="34" t="n">
        <f aca="false">IF(BA$15=1,INDEX(Vol_O,5,BA$14)/12*(1+P_dVol),0)</f>
        <v>0</v>
      </c>
      <c r="BB25" s="34" t="n">
        <f aca="false">IF(BB$15=1,INDEX(Vol_O,5,BB$14)/12*(1+P_dVol),0)</f>
        <v>0</v>
      </c>
      <c r="BC25" s="34" t="n">
        <f aca="false">IF(BC$15=1,INDEX(Vol_O,5,BC$14)/12*(1+P_dVol),0)</f>
        <v>0</v>
      </c>
      <c r="BD25" s="34" t="n">
        <f aca="false">IF(BD$15=1,INDEX(Vol_O,5,BD$14)/12*(1+P_dVol),0)</f>
        <v>0</v>
      </c>
      <c r="BE25" s="34" t="n">
        <f aca="false">IF(BE$15=1,INDEX(Vol_O,5,BE$14)/12*(1+P_dVol),0)</f>
        <v>0</v>
      </c>
      <c r="BF25" s="34" t="n">
        <f aca="false">IF(BF$15=1,INDEX(Vol_O,5,BF$14)/12*(1+P_dVol),0)</f>
        <v>0</v>
      </c>
      <c r="BG25" s="34" t="n">
        <f aca="false">IF(BG$15=1,INDEX(Vol_O,5,BG$14)/12*(1+P_dVol),0)</f>
        <v>0</v>
      </c>
      <c r="BH25" s="34" t="n">
        <f aca="false">IF(BH$15=1,INDEX(Vol_O,5,BH$14)/12*(1+P_dVol),0)</f>
        <v>0</v>
      </c>
      <c r="BI25" s="34" t="n">
        <f aca="false">IF(BI$15=1,INDEX(Vol_O,5,BI$14)/12*(1+P_dVol),0)</f>
        <v>0</v>
      </c>
      <c r="BJ25" s="34" t="n">
        <f aca="false">IF(BJ$15=1,INDEX(Vol_O,5,BJ$14)/12*(1+P_dVol),0)</f>
        <v>0</v>
      </c>
      <c r="BK25" s="34" t="n">
        <f aca="false">IF(BK$15=1,INDEX(Vol_O,5,BK$14)/12*(1+P_dVol),0)</f>
        <v>0</v>
      </c>
      <c r="BL25" s="34" t="n">
        <f aca="false">IF(BL$15=1,INDEX(Vol_O,5,BL$14)/12*(1+P_dVol),0)</f>
        <v>0</v>
      </c>
      <c r="BM25" s="34" t="n">
        <f aca="false">IF(BM$15=1,INDEX(Vol_O,5,BM$14)/12*(1+P_dVol),0)</f>
        <v>0</v>
      </c>
      <c r="BN25" s="34" t="n">
        <f aca="false">IF(BN$15=1,INDEX(Vol_O,5,BN$14)/12*(1+P_dVol),0)</f>
        <v>0</v>
      </c>
      <c r="BO25" s="34" t="n">
        <f aca="false">IF(BO$15=1,INDEX(Vol_O,5,BO$14)/12*(1+P_dVol),0)</f>
        <v>0</v>
      </c>
      <c r="BP25" s="34" t="n">
        <f aca="false">IF(BP$15=1,INDEX(Vol_O,5,BP$14)/12*(1+P_dVol),0)</f>
        <v>0</v>
      </c>
      <c r="BQ25" s="34" t="n">
        <f aca="false">IF(BQ$15=1,INDEX(Vol_O,5,BQ$14)/12*(1+P_dVol),0)</f>
        <v>0</v>
      </c>
      <c r="BR25" s="34" t="n">
        <f aca="false">IF(BR$15=1,INDEX(Vol_O,5,BR$14)/12*(1+P_dVol),0)</f>
        <v>0</v>
      </c>
      <c r="BS25" s="34" t="n">
        <f aca="false">IF(BS$15=1,INDEX(Vol_O,5,BS$14)/12*(1+P_dVol),0)</f>
        <v>0</v>
      </c>
      <c r="BT25" s="34" t="n">
        <f aca="false">IF(BT$15=1,INDEX(Vol_O,5,BT$14)/12*(1+P_dVol),0)</f>
        <v>0</v>
      </c>
      <c r="BU25" s="34" t="n">
        <f aca="false">IF(BU$15=1,INDEX(Vol_O,5,BU$14)/12*(1+P_dVol),0)</f>
        <v>0</v>
      </c>
      <c r="BV25" s="34" t="n">
        <f aca="false">IF(BV$15=1,INDEX(Vol_O,5,BV$14)/12*(1+P_dVol),0)</f>
        <v>0</v>
      </c>
      <c r="BW25" s="34" t="n">
        <f aca="false">IF(BW$15=1,INDEX(Vol_O,5,BW$14)/12*(1+P_dVol),0)</f>
        <v>0</v>
      </c>
      <c r="BX25" s="34" t="n">
        <f aca="false">IF(BX$15=1,INDEX(Vol_O,5,BX$14)/12*(1+P_dVol),0)</f>
        <v>0</v>
      </c>
      <c r="BY25" s="34" t="n">
        <f aca="false">IF(BY$15=1,INDEX(Vol_O,5,BY$14)/12*(1+P_dVol),0)</f>
        <v>0</v>
      </c>
      <c r="BZ25" s="34" t="n">
        <f aca="false">IF(BZ$15=1,INDEX(Vol_O,5,BZ$14)/12*(1+P_dVol),0)</f>
        <v>0</v>
      </c>
      <c r="CA25" s="34" t="n">
        <f aca="false">IF(CA$15=1,INDEX(Vol_O,5,CA$14)/12*(1+P_dVol),0)</f>
        <v>0</v>
      </c>
      <c r="CB25" s="34" t="n">
        <f aca="false">IF(CB$15=1,INDEX(Vol_O,5,CB$14)/12*(1+P_dVol),0)</f>
        <v>0</v>
      </c>
      <c r="CC25" s="34" t="n">
        <f aca="false">IF(CC$15=1,INDEX(Vol_O,5,CC$14)/12*(1+P_dVol),0)</f>
        <v>0</v>
      </c>
      <c r="CD25" s="34" t="n">
        <f aca="false">IF(CD$15=1,INDEX(Vol_O,5,CD$14)/12*(1+P_dVol),0)</f>
        <v>0</v>
      </c>
      <c r="CE25" s="34" t="n">
        <f aca="false">IF(CE$15=1,INDEX(Vol_O,5,CE$14)/12*(1+P_dVol),0)</f>
        <v>0</v>
      </c>
      <c r="CF25" s="34" t="n">
        <f aca="false">IF(CF$15=1,INDEX(Vol_O,5,CF$14)/12*(1+P_dVol),0)</f>
        <v>0</v>
      </c>
      <c r="CG25" s="34" t="n">
        <f aca="false">IF(CG$15=1,INDEX(Vol_O,5,CG$14)/12*(1+P_dVol),0)</f>
        <v>0</v>
      </c>
      <c r="CH25" s="34" t="n">
        <f aca="false">IF(CH$15=1,INDEX(Vol_O,5,CH$14)/12*(1+P_dVol),0)</f>
        <v>0</v>
      </c>
      <c r="CI25" s="34" t="n">
        <f aca="false">IF(CI$15=1,INDEX(Vol_O,5,CI$14)/12*(1+P_dVol),0)</f>
        <v>0</v>
      </c>
      <c r="CJ25" s="34" t="n">
        <f aca="false">IF(CJ$15=1,INDEX(Vol_O,5,CJ$14)/12*(1+P_dVol),0)</f>
        <v>0</v>
      </c>
      <c r="CK25" s="34" t="n">
        <f aca="false">IF(CK$15=1,INDEX(Vol_O,5,CK$14)/12*(1+P_dVol),0)</f>
        <v>0</v>
      </c>
      <c r="CL25" s="34" t="n">
        <f aca="false">IF(CL$15=1,INDEX(Vol_O,5,CL$14)/12*(1+P_dVol),0)</f>
        <v>0</v>
      </c>
      <c r="CM25" s="34" t="n">
        <f aca="false">IF(CM$15=1,INDEX(Vol_O,5,CM$14)/12*(1+P_dVol),0)</f>
        <v>0</v>
      </c>
      <c r="CN25" s="34" t="n">
        <f aca="false">IF(CN$15=1,INDEX(Vol_O,5,CN$14)/12*(1+P_dVol),0)</f>
        <v>0</v>
      </c>
      <c r="CO25" s="34" t="n">
        <f aca="false">IF(CO$15=1,INDEX(Vol_O,5,CO$14)/12*(1+P_dVol),0)</f>
        <v>0</v>
      </c>
      <c r="CP25" s="34" t="n">
        <f aca="false">IF(CP$15=1,INDEX(Vol_O,5,CP$14)/12*(1+P_dVol),0)</f>
        <v>0</v>
      </c>
      <c r="CQ25" s="34" t="n">
        <f aca="false">IF(CQ$15=1,INDEX(Vol_O,5,CQ$14)/12*(1+P_dVol),0)</f>
        <v>0</v>
      </c>
      <c r="CR25" s="34" t="n">
        <f aca="false">IF(CR$15=1,INDEX(Vol_O,5,CR$14)/12*(1+P_dVol),0)</f>
        <v>0</v>
      </c>
      <c r="CS25" s="34" t="n">
        <f aca="false">IF(CS$15=1,INDEX(Vol_O,5,CS$14)/12*(1+P_dVol),0)</f>
        <v>0</v>
      </c>
      <c r="CT25" s="34" t="n">
        <f aca="false">IF(CT$15=1,INDEX(Vol_O,5,CT$14)/12*(1+P_dVol),0)</f>
        <v>0</v>
      </c>
      <c r="CU25" s="34" t="n">
        <f aca="false">IF(CU$15=1,INDEX(Vol_O,5,CU$14)/12*(1+P_dVol),0)</f>
        <v>0</v>
      </c>
      <c r="CV25" s="34" t="n">
        <f aca="false">IF(CV$15=1,INDEX(Vol_O,5,CV$14)/12*(1+P_dVol),0)</f>
        <v>0</v>
      </c>
      <c r="CW25" s="34" t="n">
        <f aca="false">IF(CW$15=1,INDEX(Vol_O,5,CW$14)/12*(1+P_dVol),0)</f>
        <v>0</v>
      </c>
      <c r="CX25" s="34" t="n">
        <f aca="false">IF(CX$15=1,INDEX(Vol_O,5,CX$14)/12*(1+P_dVol),0)</f>
        <v>0</v>
      </c>
      <c r="CY25" s="34" t="n">
        <f aca="false">IF(CY$15=1,INDEX(Vol_O,5,CY$14)/12*(1+P_dVol),0)</f>
        <v>0</v>
      </c>
      <c r="CZ25" s="34" t="n">
        <f aca="false">IF(CZ$15=1,INDEX(Vol_O,5,CZ$14)/12*(1+P_dVol),0)</f>
        <v>0</v>
      </c>
      <c r="DA25" s="34" t="n">
        <f aca="false">IF(DA$15=1,INDEX(Vol_O,5,DA$14)/12*(1+P_dVol),0)</f>
        <v>0</v>
      </c>
      <c r="DB25" s="34" t="n">
        <f aca="false">IF(DB$15=1,INDEX(Vol_O,5,DB$14)/12*(1+P_dVol),0)</f>
        <v>0</v>
      </c>
      <c r="DC25" s="34" t="n">
        <f aca="false">IF(DC$15=1,INDEX(Vol_O,5,DC$14)/12*(1+P_dVol),0)</f>
        <v>0</v>
      </c>
      <c r="DD25" s="34" t="n">
        <f aca="false">IF(DD$15=1,INDEX(Vol_O,5,DD$14)/12*(1+P_dVol),0)</f>
        <v>0</v>
      </c>
      <c r="DE25" s="34" t="n">
        <f aca="false">IF(DE$15=1,INDEX(Vol_O,5,DE$14)/12*(1+P_dVol),0)</f>
        <v>0</v>
      </c>
      <c r="DF25" s="34" t="n">
        <f aca="false">IF(DF$15=1,INDEX(Vol_O,5,DF$14)/12*(1+P_dVol),0)</f>
        <v>0</v>
      </c>
      <c r="DG25" s="34" t="n">
        <f aca="false">IF(DG$15=1,INDEX(Vol_O,5,DG$14)/12*(1+P_dVol),0)</f>
        <v>0</v>
      </c>
      <c r="DH25" s="34" t="n">
        <f aca="false">IF(DH$15=1,INDEX(Vol_O,5,DH$14)/12*(1+P_dVol),0)</f>
        <v>0</v>
      </c>
      <c r="DI25" s="34" t="n">
        <f aca="false">IF(DI$15=1,INDEX(Vol_O,5,DI$14)/12*(1+P_dVol),0)</f>
        <v>0</v>
      </c>
      <c r="DJ25" s="34" t="n">
        <f aca="false">IF(DJ$15=1,INDEX(Vol_O,5,DJ$14)/12*(1+P_dVol),0)</f>
        <v>0</v>
      </c>
      <c r="DK25" s="34" t="n">
        <f aca="false">IF(DK$15=1,INDEX(Vol_O,5,DK$14)/12*(1+P_dVol),0)</f>
        <v>0</v>
      </c>
      <c r="DL25" s="34" t="n">
        <f aca="false">IF(DL$15=1,INDEX(Vol_O,5,DL$14)/12*(1+P_dVol),0)</f>
        <v>0</v>
      </c>
      <c r="DM25" s="34" t="n">
        <f aca="false">IF(DM$15=1,INDEX(Vol_O,5,DM$14)/12*(1+P_dVol),0)</f>
        <v>0</v>
      </c>
      <c r="DN25" s="34" t="n">
        <f aca="false">IF(DN$15=1,INDEX(Vol_O,5,DN$14)/12*(1+P_dVol),0)</f>
        <v>0</v>
      </c>
      <c r="DO25" s="34" t="n">
        <f aca="false">IF(DO$15=1,INDEX(Vol_O,5,DO$14)/12*(1+P_dVol),0)</f>
        <v>0</v>
      </c>
      <c r="DP25" s="34" t="n">
        <f aca="false">IF(DP$15=1,INDEX(Vol_O,5,DP$14)/12*(1+P_dVol),0)</f>
        <v>0</v>
      </c>
      <c r="DQ25" s="34" t="n">
        <f aca="false">IF(DQ$15=1,INDEX(Vol_O,5,DQ$14)/12*(1+P_dVol),0)</f>
        <v>0</v>
      </c>
      <c r="DR25" s="34" t="n">
        <f aca="false">IF(DR$15=1,INDEX(Vol_O,5,DR$14)/12*(1+P_dVol),0)</f>
        <v>0</v>
      </c>
      <c r="DS25" s="34" t="n">
        <f aca="false">IF(DS$15=1,INDEX(Vol_O,5,DS$14)/12*(1+P_dVol),0)</f>
        <v>0</v>
      </c>
      <c r="DT25" s="34" t="n">
        <f aca="false">IF(DT$15=1,INDEX(Vol_O,5,DT$14)/12*(1+P_dVol),0)</f>
        <v>0</v>
      </c>
      <c r="DU25" s="34" t="n">
        <f aca="false">IF(DU$15=1,INDEX(Vol_O,5,DU$14)/12*(1+P_dVol),0)</f>
        <v>0</v>
      </c>
      <c r="DV25" s="34" t="n">
        <f aca="false">IF(DV$15=1,INDEX(Vol_O,5,DV$14)/12*(1+P_dVol),0)</f>
        <v>0</v>
      </c>
      <c r="DW25" s="34" t="n">
        <f aca="false">IF(DW$15=1,INDEX(Vol_O,5,DW$14)/12*(1+P_dVol),0)</f>
        <v>0</v>
      </c>
      <c r="DX25" s="34" t="n">
        <f aca="false">IF(DX$15=1,INDEX(Vol_O,5,DX$14)/12*(1+P_dVol),0)</f>
        <v>0</v>
      </c>
      <c r="DY25" s="34" t="n">
        <f aca="false">IF(DY$15=1,INDEX(Vol_O,5,DY$14)/12*(1+P_dVol),0)</f>
        <v>0</v>
      </c>
      <c r="DZ25" s="34" t="n">
        <f aca="false">IF(DZ$15=1,INDEX(Vol_O,5,DZ$14)/12*(1+P_dVol),0)</f>
        <v>0</v>
      </c>
      <c r="EA25" s="34" t="n">
        <f aca="false">IF(EA$15=1,INDEX(Vol_O,5,EA$14)/12*(1+P_dVol),0)</f>
        <v>0</v>
      </c>
      <c r="EB25" s="34" t="n">
        <f aca="false">IF(EB$15=1,INDEX(Vol_O,5,EB$14)/12*(1+P_dVol),0)</f>
        <v>0</v>
      </c>
      <c r="EC25" s="34" t="n">
        <f aca="false">IF(EC$15=1,INDEX(Vol_O,5,EC$14)/12*(1+P_dVol),0)</f>
        <v>0</v>
      </c>
      <c r="ED25" s="34" t="n">
        <f aca="false">IF(ED$15=1,INDEX(Vol_O,5,ED$14)/12*(1+P_dVol),0)</f>
        <v>0</v>
      </c>
      <c r="EE25" s="34" t="n">
        <f aca="false">IF(EE$15=1,INDEX(Vol_O,5,EE$14)/12*(1+P_dVol),0)</f>
        <v>0</v>
      </c>
      <c r="EF25" s="34" t="n">
        <f aca="false">IF(EF$15=1,INDEX(Vol_O,5,EF$14)/12*(1+P_dVol),0)</f>
        <v>0</v>
      </c>
      <c r="EG25" s="34" t="n">
        <f aca="false">IF(EG$15=1,INDEX(Vol_O,5,EG$14)/12*(1+P_dVol),0)</f>
        <v>0</v>
      </c>
      <c r="EH25" s="34" t="n">
        <f aca="false">IF(EH$15=1,INDEX(Vol_O,5,EH$14)/12*(1+P_dVol),0)</f>
        <v>0</v>
      </c>
      <c r="EI25" s="34" t="n">
        <f aca="false">IF(EI$15=1,INDEX(Vol_O,5,EI$14)/12*(1+P_dVol),0)</f>
        <v>0</v>
      </c>
      <c r="EJ25" s="34" t="n">
        <f aca="false">IF(EJ$15=1,INDEX(Vol_O,5,EJ$14)/12*(1+P_dVol),0)</f>
        <v>0</v>
      </c>
      <c r="EK25" s="34" t="n">
        <f aca="false">IF(EK$15=1,INDEX(Vol_O,5,EK$14)/12*(1+P_dVol),0)</f>
        <v>0</v>
      </c>
      <c r="EL25" s="34" t="n">
        <f aca="false">IF(EL$15=1,INDEX(Vol_O,5,EL$14)/12*(1+P_dVol),0)</f>
        <v>0</v>
      </c>
      <c r="EM25" s="34" t="n">
        <f aca="false">IF(EM$15=1,INDEX(Vol_O,5,EM$14)/12*(1+P_dVol),0)</f>
        <v>0</v>
      </c>
      <c r="EN25" s="34" t="n">
        <f aca="false">IF(EN$15=1,INDEX(Vol_O,5,EN$14)/12*(1+P_dVol),0)</f>
        <v>0</v>
      </c>
      <c r="EO25" s="34" t="n">
        <f aca="false">IF(EO$15=1,INDEX(Vol_O,5,EO$14)/12*(1+P_dVol),0)</f>
        <v>0</v>
      </c>
      <c r="EP25" s="34" t="n">
        <f aca="false">IF(EP$15=1,INDEX(Vol_O,5,EP$14)/12*(1+P_dVol),0)</f>
        <v>0</v>
      </c>
      <c r="EQ25" s="34" t="n">
        <f aca="false">IF(EQ$15=1,INDEX(Vol_O,5,EQ$14)/12*(1+P_dVol),0)</f>
        <v>0</v>
      </c>
      <c r="ER25" s="34" t="n">
        <f aca="false">IF(ER$15=1,INDEX(Vol_O,5,ER$14)/12*(1+P_dVol),0)</f>
        <v>0</v>
      </c>
      <c r="ES25" s="34" t="n">
        <f aca="false">IF(ES$15=1,INDEX(Vol_O,5,ES$14)/12*(1+P_dVol),0)</f>
        <v>0</v>
      </c>
    </row>
    <row r="26" customFormat="false" ht="15" hidden="false" customHeight="false" outlineLevel="0" collapsed="false">
      <c r="A26" s="2" t="s">
        <v>437</v>
      </c>
      <c r="B26" s="39" t="str">
        <f aca="false">IF(INDEX(Prod_Nombre,6)="","Producto 6",INDEX(Prod_Nombre,6))&amp;" — unidades"</f>
        <v>Producto 6 — unidades</v>
      </c>
      <c r="C26" s="6" t="s">
        <v>337</v>
      </c>
      <c r="E26" s="40" t="n">
        <f aca="false">SUM(F26:ES26)</f>
        <v>0</v>
      </c>
      <c r="F26" s="34" t="n">
        <f aca="false">IF(F$15=1,INDEX(Vol_O,6,F$14)/12*(1+P_dVol),0)</f>
        <v>0</v>
      </c>
      <c r="G26" s="34" t="n">
        <f aca="false">IF(G$15=1,INDEX(Vol_O,6,G$14)/12*(1+P_dVol),0)</f>
        <v>0</v>
      </c>
      <c r="H26" s="34" t="n">
        <f aca="false">IF(H$15=1,INDEX(Vol_O,6,H$14)/12*(1+P_dVol),0)</f>
        <v>0</v>
      </c>
      <c r="I26" s="34" t="n">
        <f aca="false">IF(I$15=1,INDEX(Vol_O,6,I$14)/12*(1+P_dVol),0)</f>
        <v>0</v>
      </c>
      <c r="J26" s="34" t="n">
        <f aca="false">IF(J$15=1,INDEX(Vol_O,6,J$14)/12*(1+P_dVol),0)</f>
        <v>0</v>
      </c>
      <c r="K26" s="34" t="n">
        <f aca="false">IF(K$15=1,INDEX(Vol_O,6,K$14)/12*(1+P_dVol),0)</f>
        <v>0</v>
      </c>
      <c r="L26" s="34" t="n">
        <f aca="false">IF(L$15=1,INDEX(Vol_O,6,L$14)/12*(1+P_dVol),0)</f>
        <v>0</v>
      </c>
      <c r="M26" s="34" t="n">
        <f aca="false">IF(M$15=1,INDEX(Vol_O,6,M$14)/12*(1+P_dVol),0)</f>
        <v>0</v>
      </c>
      <c r="N26" s="34" t="n">
        <f aca="false">IF(N$15=1,INDEX(Vol_O,6,N$14)/12*(1+P_dVol),0)</f>
        <v>0</v>
      </c>
      <c r="O26" s="34" t="n">
        <f aca="false">IF(O$15=1,INDEX(Vol_O,6,O$14)/12*(1+P_dVol),0)</f>
        <v>0</v>
      </c>
      <c r="P26" s="34" t="n">
        <f aca="false">IF(P$15=1,INDEX(Vol_O,6,P$14)/12*(1+P_dVol),0)</f>
        <v>0</v>
      </c>
      <c r="Q26" s="34" t="n">
        <f aca="false">IF(Q$15=1,INDEX(Vol_O,6,Q$14)/12*(1+P_dVol),0)</f>
        <v>0</v>
      </c>
      <c r="R26" s="34" t="n">
        <f aca="false">IF(R$15=1,INDEX(Vol_O,6,R$14)/12*(1+P_dVol),0)</f>
        <v>0</v>
      </c>
      <c r="S26" s="34" t="n">
        <f aca="false">IF(S$15=1,INDEX(Vol_O,6,S$14)/12*(1+P_dVol),0)</f>
        <v>0</v>
      </c>
      <c r="T26" s="34" t="n">
        <f aca="false">IF(T$15=1,INDEX(Vol_O,6,T$14)/12*(1+P_dVol),0)</f>
        <v>0</v>
      </c>
      <c r="U26" s="34" t="n">
        <f aca="false">IF(U$15=1,INDEX(Vol_O,6,U$14)/12*(1+P_dVol),0)</f>
        <v>0</v>
      </c>
      <c r="V26" s="34" t="n">
        <f aca="false">IF(V$15=1,INDEX(Vol_O,6,V$14)/12*(1+P_dVol),0)</f>
        <v>0</v>
      </c>
      <c r="W26" s="34" t="n">
        <f aca="false">IF(W$15=1,INDEX(Vol_O,6,W$14)/12*(1+P_dVol),0)</f>
        <v>0</v>
      </c>
      <c r="X26" s="34" t="n">
        <f aca="false">IF(X$15=1,INDEX(Vol_O,6,X$14)/12*(1+P_dVol),0)</f>
        <v>0</v>
      </c>
      <c r="Y26" s="34" t="n">
        <f aca="false">IF(Y$15=1,INDEX(Vol_O,6,Y$14)/12*(1+P_dVol),0)</f>
        <v>0</v>
      </c>
      <c r="Z26" s="34" t="n">
        <f aca="false">IF(Z$15=1,INDEX(Vol_O,6,Z$14)/12*(1+P_dVol),0)</f>
        <v>0</v>
      </c>
      <c r="AA26" s="34" t="n">
        <f aca="false">IF(AA$15=1,INDEX(Vol_O,6,AA$14)/12*(1+P_dVol),0)</f>
        <v>0</v>
      </c>
      <c r="AB26" s="34" t="n">
        <f aca="false">IF(AB$15=1,INDEX(Vol_O,6,AB$14)/12*(1+P_dVol),0)</f>
        <v>0</v>
      </c>
      <c r="AC26" s="34" t="n">
        <f aca="false">IF(AC$15=1,INDEX(Vol_O,6,AC$14)/12*(1+P_dVol),0)</f>
        <v>0</v>
      </c>
      <c r="AD26" s="34" t="n">
        <f aca="false">IF(AD$15=1,INDEX(Vol_O,6,AD$14)/12*(1+P_dVol),0)</f>
        <v>0</v>
      </c>
      <c r="AE26" s="34" t="n">
        <f aca="false">IF(AE$15=1,INDEX(Vol_O,6,AE$14)/12*(1+P_dVol),0)</f>
        <v>0</v>
      </c>
      <c r="AF26" s="34" t="n">
        <f aca="false">IF(AF$15=1,INDEX(Vol_O,6,AF$14)/12*(1+P_dVol),0)</f>
        <v>0</v>
      </c>
      <c r="AG26" s="34" t="n">
        <f aca="false">IF(AG$15=1,INDEX(Vol_O,6,AG$14)/12*(1+P_dVol),0)</f>
        <v>0</v>
      </c>
      <c r="AH26" s="34" t="n">
        <f aca="false">IF(AH$15=1,INDEX(Vol_O,6,AH$14)/12*(1+P_dVol),0)</f>
        <v>0</v>
      </c>
      <c r="AI26" s="34" t="n">
        <f aca="false">IF(AI$15=1,INDEX(Vol_O,6,AI$14)/12*(1+P_dVol),0)</f>
        <v>0</v>
      </c>
      <c r="AJ26" s="34" t="n">
        <f aca="false">IF(AJ$15=1,INDEX(Vol_O,6,AJ$14)/12*(1+P_dVol),0)</f>
        <v>0</v>
      </c>
      <c r="AK26" s="34" t="n">
        <f aca="false">IF(AK$15=1,INDEX(Vol_O,6,AK$14)/12*(1+P_dVol),0)</f>
        <v>0</v>
      </c>
      <c r="AL26" s="34" t="n">
        <f aca="false">IF(AL$15=1,INDEX(Vol_O,6,AL$14)/12*(1+P_dVol),0)</f>
        <v>0</v>
      </c>
      <c r="AM26" s="34" t="n">
        <f aca="false">IF(AM$15=1,INDEX(Vol_O,6,AM$14)/12*(1+P_dVol),0)</f>
        <v>0</v>
      </c>
      <c r="AN26" s="34" t="n">
        <f aca="false">IF(AN$15=1,INDEX(Vol_O,6,AN$14)/12*(1+P_dVol),0)</f>
        <v>0</v>
      </c>
      <c r="AO26" s="34" t="n">
        <f aca="false">IF(AO$15=1,INDEX(Vol_O,6,AO$14)/12*(1+P_dVol),0)</f>
        <v>0</v>
      </c>
      <c r="AP26" s="34" t="n">
        <f aca="false">IF(AP$15=1,INDEX(Vol_O,6,AP$14)/12*(1+P_dVol),0)</f>
        <v>0</v>
      </c>
      <c r="AQ26" s="34" t="n">
        <f aca="false">IF(AQ$15=1,INDEX(Vol_O,6,AQ$14)/12*(1+P_dVol),0)</f>
        <v>0</v>
      </c>
      <c r="AR26" s="34" t="n">
        <f aca="false">IF(AR$15=1,INDEX(Vol_O,6,AR$14)/12*(1+P_dVol),0)</f>
        <v>0</v>
      </c>
      <c r="AS26" s="34" t="n">
        <f aca="false">IF(AS$15=1,INDEX(Vol_O,6,AS$14)/12*(1+P_dVol),0)</f>
        <v>0</v>
      </c>
      <c r="AT26" s="34" t="n">
        <f aca="false">IF(AT$15=1,INDEX(Vol_O,6,AT$14)/12*(1+P_dVol),0)</f>
        <v>0</v>
      </c>
      <c r="AU26" s="34" t="n">
        <f aca="false">IF(AU$15=1,INDEX(Vol_O,6,AU$14)/12*(1+P_dVol),0)</f>
        <v>0</v>
      </c>
      <c r="AV26" s="34" t="n">
        <f aca="false">IF(AV$15=1,INDEX(Vol_O,6,AV$14)/12*(1+P_dVol),0)</f>
        <v>0</v>
      </c>
      <c r="AW26" s="34" t="n">
        <f aca="false">IF(AW$15=1,INDEX(Vol_O,6,AW$14)/12*(1+P_dVol),0)</f>
        <v>0</v>
      </c>
      <c r="AX26" s="34" t="n">
        <f aca="false">IF(AX$15=1,INDEX(Vol_O,6,AX$14)/12*(1+P_dVol),0)</f>
        <v>0</v>
      </c>
      <c r="AY26" s="34" t="n">
        <f aca="false">IF(AY$15=1,INDEX(Vol_O,6,AY$14)/12*(1+P_dVol),0)</f>
        <v>0</v>
      </c>
      <c r="AZ26" s="34" t="n">
        <f aca="false">IF(AZ$15=1,INDEX(Vol_O,6,AZ$14)/12*(1+P_dVol),0)</f>
        <v>0</v>
      </c>
      <c r="BA26" s="34" t="n">
        <f aca="false">IF(BA$15=1,INDEX(Vol_O,6,BA$14)/12*(1+P_dVol),0)</f>
        <v>0</v>
      </c>
      <c r="BB26" s="34" t="n">
        <f aca="false">IF(BB$15=1,INDEX(Vol_O,6,BB$14)/12*(1+P_dVol),0)</f>
        <v>0</v>
      </c>
      <c r="BC26" s="34" t="n">
        <f aca="false">IF(BC$15=1,INDEX(Vol_O,6,BC$14)/12*(1+P_dVol),0)</f>
        <v>0</v>
      </c>
      <c r="BD26" s="34" t="n">
        <f aca="false">IF(BD$15=1,INDEX(Vol_O,6,BD$14)/12*(1+P_dVol),0)</f>
        <v>0</v>
      </c>
      <c r="BE26" s="34" t="n">
        <f aca="false">IF(BE$15=1,INDEX(Vol_O,6,BE$14)/12*(1+P_dVol),0)</f>
        <v>0</v>
      </c>
      <c r="BF26" s="34" t="n">
        <f aca="false">IF(BF$15=1,INDEX(Vol_O,6,BF$14)/12*(1+P_dVol),0)</f>
        <v>0</v>
      </c>
      <c r="BG26" s="34" t="n">
        <f aca="false">IF(BG$15=1,INDEX(Vol_O,6,BG$14)/12*(1+P_dVol),0)</f>
        <v>0</v>
      </c>
      <c r="BH26" s="34" t="n">
        <f aca="false">IF(BH$15=1,INDEX(Vol_O,6,BH$14)/12*(1+P_dVol),0)</f>
        <v>0</v>
      </c>
      <c r="BI26" s="34" t="n">
        <f aca="false">IF(BI$15=1,INDEX(Vol_O,6,BI$14)/12*(1+P_dVol),0)</f>
        <v>0</v>
      </c>
      <c r="BJ26" s="34" t="n">
        <f aca="false">IF(BJ$15=1,INDEX(Vol_O,6,BJ$14)/12*(1+P_dVol),0)</f>
        <v>0</v>
      </c>
      <c r="BK26" s="34" t="n">
        <f aca="false">IF(BK$15=1,INDEX(Vol_O,6,BK$14)/12*(1+P_dVol),0)</f>
        <v>0</v>
      </c>
      <c r="BL26" s="34" t="n">
        <f aca="false">IF(BL$15=1,INDEX(Vol_O,6,BL$14)/12*(1+P_dVol),0)</f>
        <v>0</v>
      </c>
      <c r="BM26" s="34" t="n">
        <f aca="false">IF(BM$15=1,INDEX(Vol_O,6,BM$14)/12*(1+P_dVol),0)</f>
        <v>0</v>
      </c>
      <c r="BN26" s="34" t="n">
        <f aca="false">IF(BN$15=1,INDEX(Vol_O,6,BN$14)/12*(1+P_dVol),0)</f>
        <v>0</v>
      </c>
      <c r="BO26" s="34" t="n">
        <f aca="false">IF(BO$15=1,INDEX(Vol_O,6,BO$14)/12*(1+P_dVol),0)</f>
        <v>0</v>
      </c>
      <c r="BP26" s="34" t="n">
        <f aca="false">IF(BP$15=1,INDEX(Vol_O,6,BP$14)/12*(1+P_dVol),0)</f>
        <v>0</v>
      </c>
      <c r="BQ26" s="34" t="n">
        <f aca="false">IF(BQ$15=1,INDEX(Vol_O,6,BQ$14)/12*(1+P_dVol),0)</f>
        <v>0</v>
      </c>
      <c r="BR26" s="34" t="n">
        <f aca="false">IF(BR$15=1,INDEX(Vol_O,6,BR$14)/12*(1+P_dVol),0)</f>
        <v>0</v>
      </c>
      <c r="BS26" s="34" t="n">
        <f aca="false">IF(BS$15=1,INDEX(Vol_O,6,BS$14)/12*(1+P_dVol),0)</f>
        <v>0</v>
      </c>
      <c r="BT26" s="34" t="n">
        <f aca="false">IF(BT$15=1,INDEX(Vol_O,6,BT$14)/12*(1+P_dVol),0)</f>
        <v>0</v>
      </c>
      <c r="BU26" s="34" t="n">
        <f aca="false">IF(BU$15=1,INDEX(Vol_O,6,BU$14)/12*(1+P_dVol),0)</f>
        <v>0</v>
      </c>
      <c r="BV26" s="34" t="n">
        <f aca="false">IF(BV$15=1,INDEX(Vol_O,6,BV$14)/12*(1+P_dVol),0)</f>
        <v>0</v>
      </c>
      <c r="BW26" s="34" t="n">
        <f aca="false">IF(BW$15=1,INDEX(Vol_O,6,BW$14)/12*(1+P_dVol),0)</f>
        <v>0</v>
      </c>
      <c r="BX26" s="34" t="n">
        <f aca="false">IF(BX$15=1,INDEX(Vol_O,6,BX$14)/12*(1+P_dVol),0)</f>
        <v>0</v>
      </c>
      <c r="BY26" s="34" t="n">
        <f aca="false">IF(BY$15=1,INDEX(Vol_O,6,BY$14)/12*(1+P_dVol),0)</f>
        <v>0</v>
      </c>
      <c r="BZ26" s="34" t="n">
        <f aca="false">IF(BZ$15=1,INDEX(Vol_O,6,BZ$14)/12*(1+P_dVol),0)</f>
        <v>0</v>
      </c>
      <c r="CA26" s="34" t="n">
        <f aca="false">IF(CA$15=1,INDEX(Vol_O,6,CA$14)/12*(1+P_dVol),0)</f>
        <v>0</v>
      </c>
      <c r="CB26" s="34" t="n">
        <f aca="false">IF(CB$15=1,INDEX(Vol_O,6,CB$14)/12*(1+P_dVol),0)</f>
        <v>0</v>
      </c>
      <c r="CC26" s="34" t="n">
        <f aca="false">IF(CC$15=1,INDEX(Vol_O,6,CC$14)/12*(1+P_dVol),0)</f>
        <v>0</v>
      </c>
      <c r="CD26" s="34" t="n">
        <f aca="false">IF(CD$15=1,INDEX(Vol_O,6,CD$14)/12*(1+P_dVol),0)</f>
        <v>0</v>
      </c>
      <c r="CE26" s="34" t="n">
        <f aca="false">IF(CE$15=1,INDEX(Vol_O,6,CE$14)/12*(1+P_dVol),0)</f>
        <v>0</v>
      </c>
      <c r="CF26" s="34" t="n">
        <f aca="false">IF(CF$15=1,INDEX(Vol_O,6,CF$14)/12*(1+P_dVol),0)</f>
        <v>0</v>
      </c>
      <c r="CG26" s="34" t="n">
        <f aca="false">IF(CG$15=1,INDEX(Vol_O,6,CG$14)/12*(1+P_dVol),0)</f>
        <v>0</v>
      </c>
      <c r="CH26" s="34" t="n">
        <f aca="false">IF(CH$15=1,INDEX(Vol_O,6,CH$14)/12*(1+P_dVol),0)</f>
        <v>0</v>
      </c>
      <c r="CI26" s="34" t="n">
        <f aca="false">IF(CI$15=1,INDEX(Vol_O,6,CI$14)/12*(1+P_dVol),0)</f>
        <v>0</v>
      </c>
      <c r="CJ26" s="34" t="n">
        <f aca="false">IF(CJ$15=1,INDEX(Vol_O,6,CJ$14)/12*(1+P_dVol),0)</f>
        <v>0</v>
      </c>
      <c r="CK26" s="34" t="n">
        <f aca="false">IF(CK$15=1,INDEX(Vol_O,6,CK$14)/12*(1+P_dVol),0)</f>
        <v>0</v>
      </c>
      <c r="CL26" s="34" t="n">
        <f aca="false">IF(CL$15=1,INDEX(Vol_O,6,CL$14)/12*(1+P_dVol),0)</f>
        <v>0</v>
      </c>
      <c r="CM26" s="34" t="n">
        <f aca="false">IF(CM$15=1,INDEX(Vol_O,6,CM$14)/12*(1+P_dVol),0)</f>
        <v>0</v>
      </c>
      <c r="CN26" s="34" t="n">
        <f aca="false">IF(CN$15=1,INDEX(Vol_O,6,CN$14)/12*(1+P_dVol),0)</f>
        <v>0</v>
      </c>
      <c r="CO26" s="34" t="n">
        <f aca="false">IF(CO$15=1,INDEX(Vol_O,6,CO$14)/12*(1+P_dVol),0)</f>
        <v>0</v>
      </c>
      <c r="CP26" s="34" t="n">
        <f aca="false">IF(CP$15=1,INDEX(Vol_O,6,CP$14)/12*(1+P_dVol),0)</f>
        <v>0</v>
      </c>
      <c r="CQ26" s="34" t="n">
        <f aca="false">IF(CQ$15=1,INDEX(Vol_O,6,CQ$14)/12*(1+P_dVol),0)</f>
        <v>0</v>
      </c>
      <c r="CR26" s="34" t="n">
        <f aca="false">IF(CR$15=1,INDEX(Vol_O,6,CR$14)/12*(1+P_dVol),0)</f>
        <v>0</v>
      </c>
      <c r="CS26" s="34" t="n">
        <f aca="false">IF(CS$15=1,INDEX(Vol_O,6,CS$14)/12*(1+P_dVol),0)</f>
        <v>0</v>
      </c>
      <c r="CT26" s="34" t="n">
        <f aca="false">IF(CT$15=1,INDEX(Vol_O,6,CT$14)/12*(1+P_dVol),0)</f>
        <v>0</v>
      </c>
      <c r="CU26" s="34" t="n">
        <f aca="false">IF(CU$15=1,INDEX(Vol_O,6,CU$14)/12*(1+P_dVol),0)</f>
        <v>0</v>
      </c>
      <c r="CV26" s="34" t="n">
        <f aca="false">IF(CV$15=1,INDEX(Vol_O,6,CV$14)/12*(1+P_dVol),0)</f>
        <v>0</v>
      </c>
      <c r="CW26" s="34" t="n">
        <f aca="false">IF(CW$15=1,INDEX(Vol_O,6,CW$14)/12*(1+P_dVol),0)</f>
        <v>0</v>
      </c>
      <c r="CX26" s="34" t="n">
        <f aca="false">IF(CX$15=1,INDEX(Vol_O,6,CX$14)/12*(1+P_dVol),0)</f>
        <v>0</v>
      </c>
      <c r="CY26" s="34" t="n">
        <f aca="false">IF(CY$15=1,INDEX(Vol_O,6,CY$14)/12*(1+P_dVol),0)</f>
        <v>0</v>
      </c>
      <c r="CZ26" s="34" t="n">
        <f aca="false">IF(CZ$15=1,INDEX(Vol_O,6,CZ$14)/12*(1+P_dVol),0)</f>
        <v>0</v>
      </c>
      <c r="DA26" s="34" t="n">
        <f aca="false">IF(DA$15=1,INDEX(Vol_O,6,DA$14)/12*(1+P_dVol),0)</f>
        <v>0</v>
      </c>
      <c r="DB26" s="34" t="n">
        <f aca="false">IF(DB$15=1,INDEX(Vol_O,6,DB$14)/12*(1+P_dVol),0)</f>
        <v>0</v>
      </c>
      <c r="DC26" s="34" t="n">
        <f aca="false">IF(DC$15=1,INDEX(Vol_O,6,DC$14)/12*(1+P_dVol),0)</f>
        <v>0</v>
      </c>
      <c r="DD26" s="34" t="n">
        <f aca="false">IF(DD$15=1,INDEX(Vol_O,6,DD$14)/12*(1+P_dVol),0)</f>
        <v>0</v>
      </c>
      <c r="DE26" s="34" t="n">
        <f aca="false">IF(DE$15=1,INDEX(Vol_O,6,DE$14)/12*(1+P_dVol),0)</f>
        <v>0</v>
      </c>
      <c r="DF26" s="34" t="n">
        <f aca="false">IF(DF$15=1,INDEX(Vol_O,6,DF$14)/12*(1+P_dVol),0)</f>
        <v>0</v>
      </c>
      <c r="DG26" s="34" t="n">
        <f aca="false">IF(DG$15=1,INDEX(Vol_O,6,DG$14)/12*(1+P_dVol),0)</f>
        <v>0</v>
      </c>
      <c r="DH26" s="34" t="n">
        <f aca="false">IF(DH$15=1,INDEX(Vol_O,6,DH$14)/12*(1+P_dVol),0)</f>
        <v>0</v>
      </c>
      <c r="DI26" s="34" t="n">
        <f aca="false">IF(DI$15=1,INDEX(Vol_O,6,DI$14)/12*(1+P_dVol),0)</f>
        <v>0</v>
      </c>
      <c r="DJ26" s="34" t="n">
        <f aca="false">IF(DJ$15=1,INDEX(Vol_O,6,DJ$14)/12*(1+P_dVol),0)</f>
        <v>0</v>
      </c>
      <c r="DK26" s="34" t="n">
        <f aca="false">IF(DK$15=1,INDEX(Vol_O,6,DK$14)/12*(1+P_dVol),0)</f>
        <v>0</v>
      </c>
      <c r="DL26" s="34" t="n">
        <f aca="false">IF(DL$15=1,INDEX(Vol_O,6,DL$14)/12*(1+P_dVol),0)</f>
        <v>0</v>
      </c>
      <c r="DM26" s="34" t="n">
        <f aca="false">IF(DM$15=1,INDEX(Vol_O,6,DM$14)/12*(1+P_dVol),0)</f>
        <v>0</v>
      </c>
      <c r="DN26" s="34" t="n">
        <f aca="false">IF(DN$15=1,INDEX(Vol_O,6,DN$14)/12*(1+P_dVol),0)</f>
        <v>0</v>
      </c>
      <c r="DO26" s="34" t="n">
        <f aca="false">IF(DO$15=1,INDEX(Vol_O,6,DO$14)/12*(1+P_dVol),0)</f>
        <v>0</v>
      </c>
      <c r="DP26" s="34" t="n">
        <f aca="false">IF(DP$15=1,INDEX(Vol_O,6,DP$14)/12*(1+P_dVol),0)</f>
        <v>0</v>
      </c>
      <c r="DQ26" s="34" t="n">
        <f aca="false">IF(DQ$15=1,INDEX(Vol_O,6,DQ$14)/12*(1+P_dVol),0)</f>
        <v>0</v>
      </c>
      <c r="DR26" s="34" t="n">
        <f aca="false">IF(DR$15=1,INDEX(Vol_O,6,DR$14)/12*(1+P_dVol),0)</f>
        <v>0</v>
      </c>
      <c r="DS26" s="34" t="n">
        <f aca="false">IF(DS$15=1,INDEX(Vol_O,6,DS$14)/12*(1+P_dVol),0)</f>
        <v>0</v>
      </c>
      <c r="DT26" s="34" t="n">
        <f aca="false">IF(DT$15=1,INDEX(Vol_O,6,DT$14)/12*(1+P_dVol),0)</f>
        <v>0</v>
      </c>
      <c r="DU26" s="34" t="n">
        <f aca="false">IF(DU$15=1,INDEX(Vol_O,6,DU$14)/12*(1+P_dVol),0)</f>
        <v>0</v>
      </c>
      <c r="DV26" s="34" t="n">
        <f aca="false">IF(DV$15=1,INDEX(Vol_O,6,DV$14)/12*(1+P_dVol),0)</f>
        <v>0</v>
      </c>
      <c r="DW26" s="34" t="n">
        <f aca="false">IF(DW$15=1,INDEX(Vol_O,6,DW$14)/12*(1+P_dVol),0)</f>
        <v>0</v>
      </c>
      <c r="DX26" s="34" t="n">
        <f aca="false">IF(DX$15=1,INDEX(Vol_O,6,DX$14)/12*(1+P_dVol),0)</f>
        <v>0</v>
      </c>
      <c r="DY26" s="34" t="n">
        <f aca="false">IF(DY$15=1,INDEX(Vol_O,6,DY$14)/12*(1+P_dVol),0)</f>
        <v>0</v>
      </c>
      <c r="DZ26" s="34" t="n">
        <f aca="false">IF(DZ$15=1,INDEX(Vol_O,6,DZ$14)/12*(1+P_dVol),0)</f>
        <v>0</v>
      </c>
      <c r="EA26" s="34" t="n">
        <f aca="false">IF(EA$15=1,INDEX(Vol_O,6,EA$14)/12*(1+P_dVol),0)</f>
        <v>0</v>
      </c>
      <c r="EB26" s="34" t="n">
        <f aca="false">IF(EB$15=1,INDEX(Vol_O,6,EB$14)/12*(1+P_dVol),0)</f>
        <v>0</v>
      </c>
      <c r="EC26" s="34" t="n">
        <f aca="false">IF(EC$15=1,INDEX(Vol_O,6,EC$14)/12*(1+P_dVol),0)</f>
        <v>0</v>
      </c>
      <c r="ED26" s="34" t="n">
        <f aca="false">IF(ED$15=1,INDEX(Vol_O,6,ED$14)/12*(1+P_dVol),0)</f>
        <v>0</v>
      </c>
      <c r="EE26" s="34" t="n">
        <f aca="false">IF(EE$15=1,INDEX(Vol_O,6,EE$14)/12*(1+P_dVol),0)</f>
        <v>0</v>
      </c>
      <c r="EF26" s="34" t="n">
        <f aca="false">IF(EF$15=1,INDEX(Vol_O,6,EF$14)/12*(1+P_dVol),0)</f>
        <v>0</v>
      </c>
      <c r="EG26" s="34" t="n">
        <f aca="false">IF(EG$15=1,INDEX(Vol_O,6,EG$14)/12*(1+P_dVol),0)</f>
        <v>0</v>
      </c>
      <c r="EH26" s="34" t="n">
        <f aca="false">IF(EH$15=1,INDEX(Vol_O,6,EH$14)/12*(1+P_dVol),0)</f>
        <v>0</v>
      </c>
      <c r="EI26" s="34" t="n">
        <f aca="false">IF(EI$15=1,INDEX(Vol_O,6,EI$14)/12*(1+P_dVol),0)</f>
        <v>0</v>
      </c>
      <c r="EJ26" s="34" t="n">
        <f aca="false">IF(EJ$15=1,INDEX(Vol_O,6,EJ$14)/12*(1+P_dVol),0)</f>
        <v>0</v>
      </c>
      <c r="EK26" s="34" t="n">
        <f aca="false">IF(EK$15=1,INDEX(Vol_O,6,EK$14)/12*(1+P_dVol),0)</f>
        <v>0</v>
      </c>
      <c r="EL26" s="34" t="n">
        <f aca="false">IF(EL$15=1,INDEX(Vol_O,6,EL$14)/12*(1+P_dVol),0)</f>
        <v>0</v>
      </c>
      <c r="EM26" s="34" t="n">
        <f aca="false">IF(EM$15=1,INDEX(Vol_O,6,EM$14)/12*(1+P_dVol),0)</f>
        <v>0</v>
      </c>
      <c r="EN26" s="34" t="n">
        <f aca="false">IF(EN$15=1,INDEX(Vol_O,6,EN$14)/12*(1+P_dVol),0)</f>
        <v>0</v>
      </c>
      <c r="EO26" s="34" t="n">
        <f aca="false">IF(EO$15=1,INDEX(Vol_O,6,EO$14)/12*(1+P_dVol),0)</f>
        <v>0</v>
      </c>
      <c r="EP26" s="34" t="n">
        <f aca="false">IF(EP$15=1,INDEX(Vol_O,6,EP$14)/12*(1+P_dVol),0)</f>
        <v>0</v>
      </c>
      <c r="EQ26" s="34" t="n">
        <f aca="false">IF(EQ$15=1,INDEX(Vol_O,6,EQ$14)/12*(1+P_dVol),0)</f>
        <v>0</v>
      </c>
      <c r="ER26" s="34" t="n">
        <f aca="false">IF(ER$15=1,INDEX(Vol_O,6,ER$14)/12*(1+P_dVol),0)</f>
        <v>0</v>
      </c>
      <c r="ES26" s="34" t="n">
        <f aca="false">IF(ES$15=1,INDEX(Vol_O,6,ES$14)/12*(1+P_dVol),0)</f>
        <v>0</v>
      </c>
    </row>
    <row r="27" customFormat="false" ht="15" hidden="false" customHeight="false" outlineLevel="0" collapsed="false">
      <c r="A27" s="2" t="s">
        <v>438</v>
      </c>
      <c r="B27" s="39" t="str">
        <f aca="false">IF(INDEX(Prod_Nombre,7)="","Producto 7",INDEX(Prod_Nombre,7))&amp;" — unidades"</f>
        <v>Producto 7 — unidades</v>
      </c>
      <c r="C27" s="6" t="s">
        <v>337</v>
      </c>
      <c r="E27" s="40" t="n">
        <f aca="false">SUM(F27:ES27)</f>
        <v>0</v>
      </c>
      <c r="F27" s="34" t="n">
        <f aca="false">IF(F$15=1,INDEX(Vol_O,7,F$14)/12*(1+P_dVol),0)</f>
        <v>0</v>
      </c>
      <c r="G27" s="34" t="n">
        <f aca="false">IF(G$15=1,INDEX(Vol_O,7,G$14)/12*(1+P_dVol),0)</f>
        <v>0</v>
      </c>
      <c r="H27" s="34" t="n">
        <f aca="false">IF(H$15=1,INDEX(Vol_O,7,H$14)/12*(1+P_dVol),0)</f>
        <v>0</v>
      </c>
      <c r="I27" s="34" t="n">
        <f aca="false">IF(I$15=1,INDEX(Vol_O,7,I$14)/12*(1+P_dVol),0)</f>
        <v>0</v>
      </c>
      <c r="J27" s="34" t="n">
        <f aca="false">IF(J$15=1,INDEX(Vol_O,7,J$14)/12*(1+P_dVol),0)</f>
        <v>0</v>
      </c>
      <c r="K27" s="34" t="n">
        <f aca="false">IF(K$15=1,INDEX(Vol_O,7,K$14)/12*(1+P_dVol),0)</f>
        <v>0</v>
      </c>
      <c r="L27" s="34" t="n">
        <f aca="false">IF(L$15=1,INDEX(Vol_O,7,L$14)/12*(1+P_dVol),0)</f>
        <v>0</v>
      </c>
      <c r="M27" s="34" t="n">
        <f aca="false">IF(M$15=1,INDEX(Vol_O,7,M$14)/12*(1+P_dVol),0)</f>
        <v>0</v>
      </c>
      <c r="N27" s="34" t="n">
        <f aca="false">IF(N$15=1,INDEX(Vol_O,7,N$14)/12*(1+P_dVol),0)</f>
        <v>0</v>
      </c>
      <c r="O27" s="34" t="n">
        <f aca="false">IF(O$15=1,INDEX(Vol_O,7,O$14)/12*(1+P_dVol),0)</f>
        <v>0</v>
      </c>
      <c r="P27" s="34" t="n">
        <f aca="false">IF(P$15=1,INDEX(Vol_O,7,P$14)/12*(1+P_dVol),0)</f>
        <v>0</v>
      </c>
      <c r="Q27" s="34" t="n">
        <f aca="false">IF(Q$15=1,INDEX(Vol_O,7,Q$14)/12*(1+P_dVol),0)</f>
        <v>0</v>
      </c>
      <c r="R27" s="34" t="n">
        <f aca="false">IF(R$15=1,INDEX(Vol_O,7,R$14)/12*(1+P_dVol),0)</f>
        <v>0</v>
      </c>
      <c r="S27" s="34" t="n">
        <f aca="false">IF(S$15=1,INDEX(Vol_O,7,S$14)/12*(1+P_dVol),0)</f>
        <v>0</v>
      </c>
      <c r="T27" s="34" t="n">
        <f aca="false">IF(T$15=1,INDEX(Vol_O,7,T$14)/12*(1+P_dVol),0)</f>
        <v>0</v>
      </c>
      <c r="U27" s="34" t="n">
        <f aca="false">IF(U$15=1,INDEX(Vol_O,7,U$14)/12*(1+P_dVol),0)</f>
        <v>0</v>
      </c>
      <c r="V27" s="34" t="n">
        <f aca="false">IF(V$15=1,INDEX(Vol_O,7,V$14)/12*(1+P_dVol),0)</f>
        <v>0</v>
      </c>
      <c r="W27" s="34" t="n">
        <f aca="false">IF(W$15=1,INDEX(Vol_O,7,W$14)/12*(1+P_dVol),0)</f>
        <v>0</v>
      </c>
      <c r="X27" s="34" t="n">
        <f aca="false">IF(X$15=1,INDEX(Vol_O,7,X$14)/12*(1+P_dVol),0)</f>
        <v>0</v>
      </c>
      <c r="Y27" s="34" t="n">
        <f aca="false">IF(Y$15=1,INDEX(Vol_O,7,Y$14)/12*(1+P_dVol),0)</f>
        <v>0</v>
      </c>
      <c r="Z27" s="34" t="n">
        <f aca="false">IF(Z$15=1,INDEX(Vol_O,7,Z$14)/12*(1+P_dVol),0)</f>
        <v>0</v>
      </c>
      <c r="AA27" s="34" t="n">
        <f aca="false">IF(AA$15=1,INDEX(Vol_O,7,AA$14)/12*(1+P_dVol),0)</f>
        <v>0</v>
      </c>
      <c r="AB27" s="34" t="n">
        <f aca="false">IF(AB$15=1,INDEX(Vol_O,7,AB$14)/12*(1+P_dVol),0)</f>
        <v>0</v>
      </c>
      <c r="AC27" s="34" t="n">
        <f aca="false">IF(AC$15=1,INDEX(Vol_O,7,AC$14)/12*(1+P_dVol),0)</f>
        <v>0</v>
      </c>
      <c r="AD27" s="34" t="n">
        <f aca="false">IF(AD$15=1,INDEX(Vol_O,7,AD$14)/12*(1+P_dVol),0)</f>
        <v>0</v>
      </c>
      <c r="AE27" s="34" t="n">
        <f aca="false">IF(AE$15=1,INDEX(Vol_O,7,AE$14)/12*(1+P_dVol),0)</f>
        <v>0</v>
      </c>
      <c r="AF27" s="34" t="n">
        <f aca="false">IF(AF$15=1,INDEX(Vol_O,7,AF$14)/12*(1+P_dVol),0)</f>
        <v>0</v>
      </c>
      <c r="AG27" s="34" t="n">
        <f aca="false">IF(AG$15=1,INDEX(Vol_O,7,AG$14)/12*(1+P_dVol),0)</f>
        <v>0</v>
      </c>
      <c r="AH27" s="34" t="n">
        <f aca="false">IF(AH$15=1,INDEX(Vol_O,7,AH$14)/12*(1+P_dVol),0)</f>
        <v>0</v>
      </c>
      <c r="AI27" s="34" t="n">
        <f aca="false">IF(AI$15=1,INDEX(Vol_O,7,AI$14)/12*(1+P_dVol),0)</f>
        <v>0</v>
      </c>
      <c r="AJ27" s="34" t="n">
        <f aca="false">IF(AJ$15=1,INDEX(Vol_O,7,AJ$14)/12*(1+P_dVol),0)</f>
        <v>0</v>
      </c>
      <c r="AK27" s="34" t="n">
        <f aca="false">IF(AK$15=1,INDEX(Vol_O,7,AK$14)/12*(1+P_dVol),0)</f>
        <v>0</v>
      </c>
      <c r="AL27" s="34" t="n">
        <f aca="false">IF(AL$15=1,INDEX(Vol_O,7,AL$14)/12*(1+P_dVol),0)</f>
        <v>0</v>
      </c>
      <c r="AM27" s="34" t="n">
        <f aca="false">IF(AM$15=1,INDEX(Vol_O,7,AM$14)/12*(1+P_dVol),0)</f>
        <v>0</v>
      </c>
      <c r="AN27" s="34" t="n">
        <f aca="false">IF(AN$15=1,INDEX(Vol_O,7,AN$14)/12*(1+P_dVol),0)</f>
        <v>0</v>
      </c>
      <c r="AO27" s="34" t="n">
        <f aca="false">IF(AO$15=1,INDEX(Vol_O,7,AO$14)/12*(1+P_dVol),0)</f>
        <v>0</v>
      </c>
      <c r="AP27" s="34" t="n">
        <f aca="false">IF(AP$15=1,INDEX(Vol_O,7,AP$14)/12*(1+P_dVol),0)</f>
        <v>0</v>
      </c>
      <c r="AQ27" s="34" t="n">
        <f aca="false">IF(AQ$15=1,INDEX(Vol_O,7,AQ$14)/12*(1+P_dVol),0)</f>
        <v>0</v>
      </c>
      <c r="AR27" s="34" t="n">
        <f aca="false">IF(AR$15=1,INDEX(Vol_O,7,AR$14)/12*(1+P_dVol),0)</f>
        <v>0</v>
      </c>
      <c r="AS27" s="34" t="n">
        <f aca="false">IF(AS$15=1,INDEX(Vol_O,7,AS$14)/12*(1+P_dVol),0)</f>
        <v>0</v>
      </c>
      <c r="AT27" s="34" t="n">
        <f aca="false">IF(AT$15=1,INDEX(Vol_O,7,AT$14)/12*(1+P_dVol),0)</f>
        <v>0</v>
      </c>
      <c r="AU27" s="34" t="n">
        <f aca="false">IF(AU$15=1,INDEX(Vol_O,7,AU$14)/12*(1+P_dVol),0)</f>
        <v>0</v>
      </c>
      <c r="AV27" s="34" t="n">
        <f aca="false">IF(AV$15=1,INDEX(Vol_O,7,AV$14)/12*(1+P_dVol),0)</f>
        <v>0</v>
      </c>
      <c r="AW27" s="34" t="n">
        <f aca="false">IF(AW$15=1,INDEX(Vol_O,7,AW$14)/12*(1+P_dVol),0)</f>
        <v>0</v>
      </c>
      <c r="AX27" s="34" t="n">
        <f aca="false">IF(AX$15=1,INDEX(Vol_O,7,AX$14)/12*(1+P_dVol),0)</f>
        <v>0</v>
      </c>
      <c r="AY27" s="34" t="n">
        <f aca="false">IF(AY$15=1,INDEX(Vol_O,7,AY$14)/12*(1+P_dVol),0)</f>
        <v>0</v>
      </c>
      <c r="AZ27" s="34" t="n">
        <f aca="false">IF(AZ$15=1,INDEX(Vol_O,7,AZ$14)/12*(1+P_dVol),0)</f>
        <v>0</v>
      </c>
      <c r="BA27" s="34" t="n">
        <f aca="false">IF(BA$15=1,INDEX(Vol_O,7,BA$14)/12*(1+P_dVol),0)</f>
        <v>0</v>
      </c>
      <c r="BB27" s="34" t="n">
        <f aca="false">IF(BB$15=1,INDEX(Vol_O,7,BB$14)/12*(1+P_dVol),0)</f>
        <v>0</v>
      </c>
      <c r="BC27" s="34" t="n">
        <f aca="false">IF(BC$15=1,INDEX(Vol_O,7,BC$14)/12*(1+P_dVol),0)</f>
        <v>0</v>
      </c>
      <c r="BD27" s="34" t="n">
        <f aca="false">IF(BD$15=1,INDEX(Vol_O,7,BD$14)/12*(1+P_dVol),0)</f>
        <v>0</v>
      </c>
      <c r="BE27" s="34" t="n">
        <f aca="false">IF(BE$15=1,INDEX(Vol_O,7,BE$14)/12*(1+P_dVol),0)</f>
        <v>0</v>
      </c>
      <c r="BF27" s="34" t="n">
        <f aca="false">IF(BF$15=1,INDEX(Vol_O,7,BF$14)/12*(1+P_dVol),0)</f>
        <v>0</v>
      </c>
      <c r="BG27" s="34" t="n">
        <f aca="false">IF(BG$15=1,INDEX(Vol_O,7,BG$14)/12*(1+P_dVol),0)</f>
        <v>0</v>
      </c>
      <c r="BH27" s="34" t="n">
        <f aca="false">IF(BH$15=1,INDEX(Vol_O,7,BH$14)/12*(1+P_dVol),0)</f>
        <v>0</v>
      </c>
      <c r="BI27" s="34" t="n">
        <f aca="false">IF(BI$15=1,INDEX(Vol_O,7,BI$14)/12*(1+P_dVol),0)</f>
        <v>0</v>
      </c>
      <c r="BJ27" s="34" t="n">
        <f aca="false">IF(BJ$15=1,INDEX(Vol_O,7,BJ$14)/12*(1+P_dVol),0)</f>
        <v>0</v>
      </c>
      <c r="BK27" s="34" t="n">
        <f aca="false">IF(BK$15=1,INDEX(Vol_O,7,BK$14)/12*(1+P_dVol),0)</f>
        <v>0</v>
      </c>
      <c r="BL27" s="34" t="n">
        <f aca="false">IF(BL$15=1,INDEX(Vol_O,7,BL$14)/12*(1+P_dVol),0)</f>
        <v>0</v>
      </c>
      <c r="BM27" s="34" t="n">
        <f aca="false">IF(BM$15=1,INDEX(Vol_O,7,BM$14)/12*(1+P_dVol),0)</f>
        <v>0</v>
      </c>
      <c r="BN27" s="34" t="n">
        <f aca="false">IF(BN$15=1,INDEX(Vol_O,7,BN$14)/12*(1+P_dVol),0)</f>
        <v>0</v>
      </c>
      <c r="BO27" s="34" t="n">
        <f aca="false">IF(BO$15=1,INDEX(Vol_O,7,BO$14)/12*(1+P_dVol),0)</f>
        <v>0</v>
      </c>
      <c r="BP27" s="34" t="n">
        <f aca="false">IF(BP$15=1,INDEX(Vol_O,7,BP$14)/12*(1+P_dVol),0)</f>
        <v>0</v>
      </c>
      <c r="BQ27" s="34" t="n">
        <f aca="false">IF(BQ$15=1,INDEX(Vol_O,7,BQ$14)/12*(1+P_dVol),0)</f>
        <v>0</v>
      </c>
      <c r="BR27" s="34" t="n">
        <f aca="false">IF(BR$15=1,INDEX(Vol_O,7,BR$14)/12*(1+P_dVol),0)</f>
        <v>0</v>
      </c>
      <c r="BS27" s="34" t="n">
        <f aca="false">IF(BS$15=1,INDEX(Vol_O,7,BS$14)/12*(1+P_dVol),0)</f>
        <v>0</v>
      </c>
      <c r="BT27" s="34" t="n">
        <f aca="false">IF(BT$15=1,INDEX(Vol_O,7,BT$14)/12*(1+P_dVol),0)</f>
        <v>0</v>
      </c>
      <c r="BU27" s="34" t="n">
        <f aca="false">IF(BU$15=1,INDEX(Vol_O,7,BU$14)/12*(1+P_dVol),0)</f>
        <v>0</v>
      </c>
      <c r="BV27" s="34" t="n">
        <f aca="false">IF(BV$15=1,INDEX(Vol_O,7,BV$14)/12*(1+P_dVol),0)</f>
        <v>0</v>
      </c>
      <c r="BW27" s="34" t="n">
        <f aca="false">IF(BW$15=1,INDEX(Vol_O,7,BW$14)/12*(1+P_dVol),0)</f>
        <v>0</v>
      </c>
      <c r="BX27" s="34" t="n">
        <f aca="false">IF(BX$15=1,INDEX(Vol_O,7,BX$14)/12*(1+P_dVol),0)</f>
        <v>0</v>
      </c>
      <c r="BY27" s="34" t="n">
        <f aca="false">IF(BY$15=1,INDEX(Vol_O,7,BY$14)/12*(1+P_dVol),0)</f>
        <v>0</v>
      </c>
      <c r="BZ27" s="34" t="n">
        <f aca="false">IF(BZ$15=1,INDEX(Vol_O,7,BZ$14)/12*(1+P_dVol),0)</f>
        <v>0</v>
      </c>
      <c r="CA27" s="34" t="n">
        <f aca="false">IF(CA$15=1,INDEX(Vol_O,7,CA$14)/12*(1+P_dVol),0)</f>
        <v>0</v>
      </c>
      <c r="CB27" s="34" t="n">
        <f aca="false">IF(CB$15=1,INDEX(Vol_O,7,CB$14)/12*(1+P_dVol),0)</f>
        <v>0</v>
      </c>
      <c r="CC27" s="34" t="n">
        <f aca="false">IF(CC$15=1,INDEX(Vol_O,7,CC$14)/12*(1+P_dVol),0)</f>
        <v>0</v>
      </c>
      <c r="CD27" s="34" t="n">
        <f aca="false">IF(CD$15=1,INDEX(Vol_O,7,CD$14)/12*(1+P_dVol),0)</f>
        <v>0</v>
      </c>
      <c r="CE27" s="34" t="n">
        <f aca="false">IF(CE$15=1,INDEX(Vol_O,7,CE$14)/12*(1+P_dVol),0)</f>
        <v>0</v>
      </c>
      <c r="CF27" s="34" t="n">
        <f aca="false">IF(CF$15=1,INDEX(Vol_O,7,CF$14)/12*(1+P_dVol),0)</f>
        <v>0</v>
      </c>
      <c r="CG27" s="34" t="n">
        <f aca="false">IF(CG$15=1,INDEX(Vol_O,7,CG$14)/12*(1+P_dVol),0)</f>
        <v>0</v>
      </c>
      <c r="CH27" s="34" t="n">
        <f aca="false">IF(CH$15=1,INDEX(Vol_O,7,CH$14)/12*(1+P_dVol),0)</f>
        <v>0</v>
      </c>
      <c r="CI27" s="34" t="n">
        <f aca="false">IF(CI$15=1,INDEX(Vol_O,7,CI$14)/12*(1+P_dVol),0)</f>
        <v>0</v>
      </c>
      <c r="CJ27" s="34" t="n">
        <f aca="false">IF(CJ$15=1,INDEX(Vol_O,7,CJ$14)/12*(1+P_dVol),0)</f>
        <v>0</v>
      </c>
      <c r="CK27" s="34" t="n">
        <f aca="false">IF(CK$15=1,INDEX(Vol_O,7,CK$14)/12*(1+P_dVol),0)</f>
        <v>0</v>
      </c>
      <c r="CL27" s="34" t="n">
        <f aca="false">IF(CL$15=1,INDEX(Vol_O,7,CL$14)/12*(1+P_dVol),0)</f>
        <v>0</v>
      </c>
      <c r="CM27" s="34" t="n">
        <f aca="false">IF(CM$15=1,INDEX(Vol_O,7,CM$14)/12*(1+P_dVol),0)</f>
        <v>0</v>
      </c>
      <c r="CN27" s="34" t="n">
        <f aca="false">IF(CN$15=1,INDEX(Vol_O,7,CN$14)/12*(1+P_dVol),0)</f>
        <v>0</v>
      </c>
      <c r="CO27" s="34" t="n">
        <f aca="false">IF(CO$15=1,INDEX(Vol_O,7,CO$14)/12*(1+P_dVol),0)</f>
        <v>0</v>
      </c>
      <c r="CP27" s="34" t="n">
        <f aca="false">IF(CP$15=1,INDEX(Vol_O,7,CP$14)/12*(1+P_dVol),0)</f>
        <v>0</v>
      </c>
      <c r="CQ27" s="34" t="n">
        <f aca="false">IF(CQ$15=1,INDEX(Vol_O,7,CQ$14)/12*(1+P_dVol),0)</f>
        <v>0</v>
      </c>
      <c r="CR27" s="34" t="n">
        <f aca="false">IF(CR$15=1,INDEX(Vol_O,7,CR$14)/12*(1+P_dVol),0)</f>
        <v>0</v>
      </c>
      <c r="CS27" s="34" t="n">
        <f aca="false">IF(CS$15=1,INDEX(Vol_O,7,CS$14)/12*(1+P_dVol),0)</f>
        <v>0</v>
      </c>
      <c r="CT27" s="34" t="n">
        <f aca="false">IF(CT$15=1,INDEX(Vol_O,7,CT$14)/12*(1+P_dVol),0)</f>
        <v>0</v>
      </c>
      <c r="CU27" s="34" t="n">
        <f aca="false">IF(CU$15=1,INDEX(Vol_O,7,CU$14)/12*(1+P_dVol),0)</f>
        <v>0</v>
      </c>
      <c r="CV27" s="34" t="n">
        <f aca="false">IF(CV$15=1,INDEX(Vol_O,7,CV$14)/12*(1+P_dVol),0)</f>
        <v>0</v>
      </c>
      <c r="CW27" s="34" t="n">
        <f aca="false">IF(CW$15=1,INDEX(Vol_O,7,CW$14)/12*(1+P_dVol),0)</f>
        <v>0</v>
      </c>
      <c r="CX27" s="34" t="n">
        <f aca="false">IF(CX$15=1,INDEX(Vol_O,7,CX$14)/12*(1+P_dVol),0)</f>
        <v>0</v>
      </c>
      <c r="CY27" s="34" t="n">
        <f aca="false">IF(CY$15=1,INDEX(Vol_O,7,CY$14)/12*(1+P_dVol),0)</f>
        <v>0</v>
      </c>
      <c r="CZ27" s="34" t="n">
        <f aca="false">IF(CZ$15=1,INDEX(Vol_O,7,CZ$14)/12*(1+P_dVol),0)</f>
        <v>0</v>
      </c>
      <c r="DA27" s="34" t="n">
        <f aca="false">IF(DA$15=1,INDEX(Vol_O,7,DA$14)/12*(1+P_dVol),0)</f>
        <v>0</v>
      </c>
      <c r="DB27" s="34" t="n">
        <f aca="false">IF(DB$15=1,INDEX(Vol_O,7,DB$14)/12*(1+P_dVol),0)</f>
        <v>0</v>
      </c>
      <c r="DC27" s="34" t="n">
        <f aca="false">IF(DC$15=1,INDEX(Vol_O,7,DC$14)/12*(1+P_dVol),0)</f>
        <v>0</v>
      </c>
      <c r="DD27" s="34" t="n">
        <f aca="false">IF(DD$15=1,INDEX(Vol_O,7,DD$14)/12*(1+P_dVol),0)</f>
        <v>0</v>
      </c>
      <c r="DE27" s="34" t="n">
        <f aca="false">IF(DE$15=1,INDEX(Vol_O,7,DE$14)/12*(1+P_dVol),0)</f>
        <v>0</v>
      </c>
      <c r="DF27" s="34" t="n">
        <f aca="false">IF(DF$15=1,INDEX(Vol_O,7,DF$14)/12*(1+P_dVol),0)</f>
        <v>0</v>
      </c>
      <c r="DG27" s="34" t="n">
        <f aca="false">IF(DG$15=1,INDEX(Vol_O,7,DG$14)/12*(1+P_dVol),0)</f>
        <v>0</v>
      </c>
      <c r="DH27" s="34" t="n">
        <f aca="false">IF(DH$15=1,INDEX(Vol_O,7,DH$14)/12*(1+P_dVol),0)</f>
        <v>0</v>
      </c>
      <c r="DI27" s="34" t="n">
        <f aca="false">IF(DI$15=1,INDEX(Vol_O,7,DI$14)/12*(1+P_dVol),0)</f>
        <v>0</v>
      </c>
      <c r="DJ27" s="34" t="n">
        <f aca="false">IF(DJ$15=1,INDEX(Vol_O,7,DJ$14)/12*(1+P_dVol),0)</f>
        <v>0</v>
      </c>
      <c r="DK27" s="34" t="n">
        <f aca="false">IF(DK$15=1,INDEX(Vol_O,7,DK$14)/12*(1+P_dVol),0)</f>
        <v>0</v>
      </c>
      <c r="DL27" s="34" t="n">
        <f aca="false">IF(DL$15=1,INDEX(Vol_O,7,DL$14)/12*(1+P_dVol),0)</f>
        <v>0</v>
      </c>
      <c r="DM27" s="34" t="n">
        <f aca="false">IF(DM$15=1,INDEX(Vol_O,7,DM$14)/12*(1+P_dVol),0)</f>
        <v>0</v>
      </c>
      <c r="DN27" s="34" t="n">
        <f aca="false">IF(DN$15=1,INDEX(Vol_O,7,DN$14)/12*(1+P_dVol),0)</f>
        <v>0</v>
      </c>
      <c r="DO27" s="34" t="n">
        <f aca="false">IF(DO$15=1,INDEX(Vol_O,7,DO$14)/12*(1+P_dVol),0)</f>
        <v>0</v>
      </c>
      <c r="DP27" s="34" t="n">
        <f aca="false">IF(DP$15=1,INDEX(Vol_O,7,DP$14)/12*(1+P_dVol),0)</f>
        <v>0</v>
      </c>
      <c r="DQ27" s="34" t="n">
        <f aca="false">IF(DQ$15=1,INDEX(Vol_O,7,DQ$14)/12*(1+P_dVol),0)</f>
        <v>0</v>
      </c>
      <c r="DR27" s="34" t="n">
        <f aca="false">IF(DR$15=1,INDEX(Vol_O,7,DR$14)/12*(1+P_dVol),0)</f>
        <v>0</v>
      </c>
      <c r="DS27" s="34" t="n">
        <f aca="false">IF(DS$15=1,INDEX(Vol_O,7,DS$14)/12*(1+P_dVol),0)</f>
        <v>0</v>
      </c>
      <c r="DT27" s="34" t="n">
        <f aca="false">IF(DT$15=1,INDEX(Vol_O,7,DT$14)/12*(1+P_dVol),0)</f>
        <v>0</v>
      </c>
      <c r="DU27" s="34" t="n">
        <f aca="false">IF(DU$15=1,INDEX(Vol_O,7,DU$14)/12*(1+P_dVol),0)</f>
        <v>0</v>
      </c>
      <c r="DV27" s="34" t="n">
        <f aca="false">IF(DV$15=1,INDEX(Vol_O,7,DV$14)/12*(1+P_dVol),0)</f>
        <v>0</v>
      </c>
      <c r="DW27" s="34" t="n">
        <f aca="false">IF(DW$15=1,INDEX(Vol_O,7,DW$14)/12*(1+P_dVol),0)</f>
        <v>0</v>
      </c>
      <c r="DX27" s="34" t="n">
        <f aca="false">IF(DX$15=1,INDEX(Vol_O,7,DX$14)/12*(1+P_dVol),0)</f>
        <v>0</v>
      </c>
      <c r="DY27" s="34" t="n">
        <f aca="false">IF(DY$15=1,INDEX(Vol_O,7,DY$14)/12*(1+P_dVol),0)</f>
        <v>0</v>
      </c>
      <c r="DZ27" s="34" t="n">
        <f aca="false">IF(DZ$15=1,INDEX(Vol_O,7,DZ$14)/12*(1+P_dVol),0)</f>
        <v>0</v>
      </c>
      <c r="EA27" s="34" t="n">
        <f aca="false">IF(EA$15=1,INDEX(Vol_O,7,EA$14)/12*(1+P_dVol),0)</f>
        <v>0</v>
      </c>
      <c r="EB27" s="34" t="n">
        <f aca="false">IF(EB$15=1,INDEX(Vol_O,7,EB$14)/12*(1+P_dVol),0)</f>
        <v>0</v>
      </c>
      <c r="EC27" s="34" t="n">
        <f aca="false">IF(EC$15=1,INDEX(Vol_O,7,EC$14)/12*(1+P_dVol),0)</f>
        <v>0</v>
      </c>
      <c r="ED27" s="34" t="n">
        <f aca="false">IF(ED$15=1,INDEX(Vol_O,7,ED$14)/12*(1+P_dVol),0)</f>
        <v>0</v>
      </c>
      <c r="EE27" s="34" t="n">
        <f aca="false">IF(EE$15=1,INDEX(Vol_O,7,EE$14)/12*(1+P_dVol),0)</f>
        <v>0</v>
      </c>
      <c r="EF27" s="34" t="n">
        <f aca="false">IF(EF$15=1,INDEX(Vol_O,7,EF$14)/12*(1+P_dVol),0)</f>
        <v>0</v>
      </c>
      <c r="EG27" s="34" t="n">
        <f aca="false">IF(EG$15=1,INDEX(Vol_O,7,EG$14)/12*(1+P_dVol),0)</f>
        <v>0</v>
      </c>
      <c r="EH27" s="34" t="n">
        <f aca="false">IF(EH$15=1,INDEX(Vol_O,7,EH$14)/12*(1+P_dVol),0)</f>
        <v>0</v>
      </c>
      <c r="EI27" s="34" t="n">
        <f aca="false">IF(EI$15=1,INDEX(Vol_O,7,EI$14)/12*(1+P_dVol),0)</f>
        <v>0</v>
      </c>
      <c r="EJ27" s="34" t="n">
        <f aca="false">IF(EJ$15=1,INDEX(Vol_O,7,EJ$14)/12*(1+P_dVol),0)</f>
        <v>0</v>
      </c>
      <c r="EK27" s="34" t="n">
        <f aca="false">IF(EK$15=1,INDEX(Vol_O,7,EK$14)/12*(1+P_dVol),0)</f>
        <v>0</v>
      </c>
      <c r="EL27" s="34" t="n">
        <f aca="false">IF(EL$15=1,INDEX(Vol_O,7,EL$14)/12*(1+P_dVol),0)</f>
        <v>0</v>
      </c>
      <c r="EM27" s="34" t="n">
        <f aca="false">IF(EM$15=1,INDEX(Vol_O,7,EM$14)/12*(1+P_dVol),0)</f>
        <v>0</v>
      </c>
      <c r="EN27" s="34" t="n">
        <f aca="false">IF(EN$15=1,INDEX(Vol_O,7,EN$14)/12*(1+P_dVol),0)</f>
        <v>0</v>
      </c>
      <c r="EO27" s="34" t="n">
        <f aca="false">IF(EO$15=1,INDEX(Vol_O,7,EO$14)/12*(1+P_dVol),0)</f>
        <v>0</v>
      </c>
      <c r="EP27" s="34" t="n">
        <f aca="false">IF(EP$15=1,INDEX(Vol_O,7,EP$14)/12*(1+P_dVol),0)</f>
        <v>0</v>
      </c>
      <c r="EQ27" s="34" t="n">
        <f aca="false">IF(EQ$15=1,INDEX(Vol_O,7,EQ$14)/12*(1+P_dVol),0)</f>
        <v>0</v>
      </c>
      <c r="ER27" s="34" t="n">
        <f aca="false">IF(ER$15=1,INDEX(Vol_O,7,ER$14)/12*(1+P_dVol),0)</f>
        <v>0</v>
      </c>
      <c r="ES27" s="34" t="n">
        <f aca="false">IF(ES$15=1,INDEX(Vol_O,7,ES$14)/12*(1+P_dVol),0)</f>
        <v>0</v>
      </c>
    </row>
    <row r="28" customFormat="false" ht="15" hidden="false" customHeight="false" outlineLevel="0" collapsed="false">
      <c r="A28" s="2" t="s">
        <v>439</v>
      </c>
      <c r="B28" s="39" t="str">
        <f aca="false">IF(INDEX(Prod_Nombre,8)="","Producto 8",INDEX(Prod_Nombre,8))&amp;" — unidades"</f>
        <v>Producto 8 — unidades</v>
      </c>
      <c r="C28" s="6" t="s">
        <v>337</v>
      </c>
      <c r="E28" s="40" t="n">
        <f aca="false">SUM(F28:ES28)</f>
        <v>0</v>
      </c>
      <c r="F28" s="34" t="n">
        <f aca="false">IF(F$15=1,INDEX(Vol_O,8,F$14)/12*(1+P_dVol),0)</f>
        <v>0</v>
      </c>
      <c r="G28" s="34" t="n">
        <f aca="false">IF(G$15=1,INDEX(Vol_O,8,G$14)/12*(1+P_dVol),0)</f>
        <v>0</v>
      </c>
      <c r="H28" s="34" t="n">
        <f aca="false">IF(H$15=1,INDEX(Vol_O,8,H$14)/12*(1+P_dVol),0)</f>
        <v>0</v>
      </c>
      <c r="I28" s="34" t="n">
        <f aca="false">IF(I$15=1,INDEX(Vol_O,8,I$14)/12*(1+P_dVol),0)</f>
        <v>0</v>
      </c>
      <c r="J28" s="34" t="n">
        <f aca="false">IF(J$15=1,INDEX(Vol_O,8,J$14)/12*(1+P_dVol),0)</f>
        <v>0</v>
      </c>
      <c r="K28" s="34" t="n">
        <f aca="false">IF(K$15=1,INDEX(Vol_O,8,K$14)/12*(1+P_dVol),0)</f>
        <v>0</v>
      </c>
      <c r="L28" s="34" t="n">
        <f aca="false">IF(L$15=1,INDEX(Vol_O,8,L$14)/12*(1+P_dVol),0)</f>
        <v>0</v>
      </c>
      <c r="M28" s="34" t="n">
        <f aca="false">IF(M$15=1,INDEX(Vol_O,8,M$14)/12*(1+P_dVol),0)</f>
        <v>0</v>
      </c>
      <c r="N28" s="34" t="n">
        <f aca="false">IF(N$15=1,INDEX(Vol_O,8,N$14)/12*(1+P_dVol),0)</f>
        <v>0</v>
      </c>
      <c r="O28" s="34" t="n">
        <f aca="false">IF(O$15=1,INDEX(Vol_O,8,O$14)/12*(1+P_dVol),0)</f>
        <v>0</v>
      </c>
      <c r="P28" s="34" t="n">
        <f aca="false">IF(P$15=1,INDEX(Vol_O,8,P$14)/12*(1+P_dVol),0)</f>
        <v>0</v>
      </c>
      <c r="Q28" s="34" t="n">
        <f aca="false">IF(Q$15=1,INDEX(Vol_O,8,Q$14)/12*(1+P_dVol),0)</f>
        <v>0</v>
      </c>
      <c r="R28" s="34" t="n">
        <f aca="false">IF(R$15=1,INDEX(Vol_O,8,R$14)/12*(1+P_dVol),0)</f>
        <v>0</v>
      </c>
      <c r="S28" s="34" t="n">
        <f aca="false">IF(S$15=1,INDEX(Vol_O,8,S$14)/12*(1+P_dVol),0)</f>
        <v>0</v>
      </c>
      <c r="T28" s="34" t="n">
        <f aca="false">IF(T$15=1,INDEX(Vol_O,8,T$14)/12*(1+P_dVol),0)</f>
        <v>0</v>
      </c>
      <c r="U28" s="34" t="n">
        <f aca="false">IF(U$15=1,INDEX(Vol_O,8,U$14)/12*(1+P_dVol),0)</f>
        <v>0</v>
      </c>
      <c r="V28" s="34" t="n">
        <f aca="false">IF(V$15=1,INDEX(Vol_O,8,V$14)/12*(1+P_dVol),0)</f>
        <v>0</v>
      </c>
      <c r="W28" s="34" t="n">
        <f aca="false">IF(W$15=1,INDEX(Vol_O,8,W$14)/12*(1+P_dVol),0)</f>
        <v>0</v>
      </c>
      <c r="X28" s="34" t="n">
        <f aca="false">IF(X$15=1,INDEX(Vol_O,8,X$14)/12*(1+P_dVol),0)</f>
        <v>0</v>
      </c>
      <c r="Y28" s="34" t="n">
        <f aca="false">IF(Y$15=1,INDEX(Vol_O,8,Y$14)/12*(1+P_dVol),0)</f>
        <v>0</v>
      </c>
      <c r="Z28" s="34" t="n">
        <f aca="false">IF(Z$15=1,INDEX(Vol_O,8,Z$14)/12*(1+P_dVol),0)</f>
        <v>0</v>
      </c>
      <c r="AA28" s="34" t="n">
        <f aca="false">IF(AA$15=1,INDEX(Vol_O,8,AA$14)/12*(1+P_dVol),0)</f>
        <v>0</v>
      </c>
      <c r="AB28" s="34" t="n">
        <f aca="false">IF(AB$15=1,INDEX(Vol_O,8,AB$14)/12*(1+P_dVol),0)</f>
        <v>0</v>
      </c>
      <c r="AC28" s="34" t="n">
        <f aca="false">IF(AC$15=1,INDEX(Vol_O,8,AC$14)/12*(1+P_dVol),0)</f>
        <v>0</v>
      </c>
      <c r="AD28" s="34" t="n">
        <f aca="false">IF(AD$15=1,INDEX(Vol_O,8,AD$14)/12*(1+P_dVol),0)</f>
        <v>0</v>
      </c>
      <c r="AE28" s="34" t="n">
        <f aca="false">IF(AE$15=1,INDEX(Vol_O,8,AE$14)/12*(1+P_dVol),0)</f>
        <v>0</v>
      </c>
      <c r="AF28" s="34" t="n">
        <f aca="false">IF(AF$15=1,INDEX(Vol_O,8,AF$14)/12*(1+P_dVol),0)</f>
        <v>0</v>
      </c>
      <c r="AG28" s="34" t="n">
        <f aca="false">IF(AG$15=1,INDEX(Vol_O,8,AG$14)/12*(1+P_dVol),0)</f>
        <v>0</v>
      </c>
      <c r="AH28" s="34" t="n">
        <f aca="false">IF(AH$15=1,INDEX(Vol_O,8,AH$14)/12*(1+P_dVol),0)</f>
        <v>0</v>
      </c>
      <c r="AI28" s="34" t="n">
        <f aca="false">IF(AI$15=1,INDEX(Vol_O,8,AI$14)/12*(1+P_dVol),0)</f>
        <v>0</v>
      </c>
      <c r="AJ28" s="34" t="n">
        <f aca="false">IF(AJ$15=1,INDEX(Vol_O,8,AJ$14)/12*(1+P_dVol),0)</f>
        <v>0</v>
      </c>
      <c r="AK28" s="34" t="n">
        <f aca="false">IF(AK$15=1,INDEX(Vol_O,8,AK$14)/12*(1+P_dVol),0)</f>
        <v>0</v>
      </c>
      <c r="AL28" s="34" t="n">
        <f aca="false">IF(AL$15=1,INDEX(Vol_O,8,AL$14)/12*(1+P_dVol),0)</f>
        <v>0</v>
      </c>
      <c r="AM28" s="34" t="n">
        <f aca="false">IF(AM$15=1,INDEX(Vol_O,8,AM$14)/12*(1+P_dVol),0)</f>
        <v>0</v>
      </c>
      <c r="AN28" s="34" t="n">
        <f aca="false">IF(AN$15=1,INDEX(Vol_O,8,AN$14)/12*(1+P_dVol),0)</f>
        <v>0</v>
      </c>
      <c r="AO28" s="34" t="n">
        <f aca="false">IF(AO$15=1,INDEX(Vol_O,8,AO$14)/12*(1+P_dVol),0)</f>
        <v>0</v>
      </c>
      <c r="AP28" s="34" t="n">
        <f aca="false">IF(AP$15=1,INDEX(Vol_O,8,AP$14)/12*(1+P_dVol),0)</f>
        <v>0</v>
      </c>
      <c r="AQ28" s="34" t="n">
        <f aca="false">IF(AQ$15=1,INDEX(Vol_O,8,AQ$14)/12*(1+P_dVol),0)</f>
        <v>0</v>
      </c>
      <c r="AR28" s="34" t="n">
        <f aca="false">IF(AR$15=1,INDEX(Vol_O,8,AR$14)/12*(1+P_dVol),0)</f>
        <v>0</v>
      </c>
      <c r="AS28" s="34" t="n">
        <f aca="false">IF(AS$15=1,INDEX(Vol_O,8,AS$14)/12*(1+P_dVol),0)</f>
        <v>0</v>
      </c>
      <c r="AT28" s="34" t="n">
        <f aca="false">IF(AT$15=1,INDEX(Vol_O,8,AT$14)/12*(1+P_dVol),0)</f>
        <v>0</v>
      </c>
      <c r="AU28" s="34" t="n">
        <f aca="false">IF(AU$15=1,INDEX(Vol_O,8,AU$14)/12*(1+P_dVol),0)</f>
        <v>0</v>
      </c>
      <c r="AV28" s="34" t="n">
        <f aca="false">IF(AV$15=1,INDEX(Vol_O,8,AV$14)/12*(1+P_dVol),0)</f>
        <v>0</v>
      </c>
      <c r="AW28" s="34" t="n">
        <f aca="false">IF(AW$15=1,INDEX(Vol_O,8,AW$14)/12*(1+P_dVol),0)</f>
        <v>0</v>
      </c>
      <c r="AX28" s="34" t="n">
        <f aca="false">IF(AX$15=1,INDEX(Vol_O,8,AX$14)/12*(1+P_dVol),0)</f>
        <v>0</v>
      </c>
      <c r="AY28" s="34" t="n">
        <f aca="false">IF(AY$15=1,INDEX(Vol_O,8,AY$14)/12*(1+P_dVol),0)</f>
        <v>0</v>
      </c>
      <c r="AZ28" s="34" t="n">
        <f aca="false">IF(AZ$15=1,INDEX(Vol_O,8,AZ$14)/12*(1+P_dVol),0)</f>
        <v>0</v>
      </c>
      <c r="BA28" s="34" t="n">
        <f aca="false">IF(BA$15=1,INDEX(Vol_O,8,BA$14)/12*(1+P_dVol),0)</f>
        <v>0</v>
      </c>
      <c r="BB28" s="34" t="n">
        <f aca="false">IF(BB$15=1,INDEX(Vol_O,8,BB$14)/12*(1+P_dVol),0)</f>
        <v>0</v>
      </c>
      <c r="BC28" s="34" t="n">
        <f aca="false">IF(BC$15=1,INDEX(Vol_O,8,BC$14)/12*(1+P_dVol),0)</f>
        <v>0</v>
      </c>
      <c r="BD28" s="34" t="n">
        <f aca="false">IF(BD$15=1,INDEX(Vol_O,8,BD$14)/12*(1+P_dVol),0)</f>
        <v>0</v>
      </c>
      <c r="BE28" s="34" t="n">
        <f aca="false">IF(BE$15=1,INDEX(Vol_O,8,BE$14)/12*(1+P_dVol),0)</f>
        <v>0</v>
      </c>
      <c r="BF28" s="34" t="n">
        <f aca="false">IF(BF$15=1,INDEX(Vol_O,8,BF$14)/12*(1+P_dVol),0)</f>
        <v>0</v>
      </c>
      <c r="BG28" s="34" t="n">
        <f aca="false">IF(BG$15=1,INDEX(Vol_O,8,BG$14)/12*(1+P_dVol),0)</f>
        <v>0</v>
      </c>
      <c r="BH28" s="34" t="n">
        <f aca="false">IF(BH$15=1,INDEX(Vol_O,8,BH$14)/12*(1+P_dVol),0)</f>
        <v>0</v>
      </c>
      <c r="BI28" s="34" t="n">
        <f aca="false">IF(BI$15=1,INDEX(Vol_O,8,BI$14)/12*(1+P_dVol),0)</f>
        <v>0</v>
      </c>
      <c r="BJ28" s="34" t="n">
        <f aca="false">IF(BJ$15=1,INDEX(Vol_O,8,BJ$14)/12*(1+P_dVol),0)</f>
        <v>0</v>
      </c>
      <c r="BK28" s="34" t="n">
        <f aca="false">IF(BK$15=1,INDEX(Vol_O,8,BK$14)/12*(1+P_dVol),0)</f>
        <v>0</v>
      </c>
      <c r="BL28" s="34" t="n">
        <f aca="false">IF(BL$15=1,INDEX(Vol_O,8,BL$14)/12*(1+P_dVol),0)</f>
        <v>0</v>
      </c>
      <c r="BM28" s="34" t="n">
        <f aca="false">IF(BM$15=1,INDEX(Vol_O,8,BM$14)/12*(1+P_dVol),0)</f>
        <v>0</v>
      </c>
      <c r="BN28" s="34" t="n">
        <f aca="false">IF(BN$15=1,INDEX(Vol_O,8,BN$14)/12*(1+P_dVol),0)</f>
        <v>0</v>
      </c>
      <c r="BO28" s="34" t="n">
        <f aca="false">IF(BO$15=1,INDEX(Vol_O,8,BO$14)/12*(1+P_dVol),0)</f>
        <v>0</v>
      </c>
      <c r="BP28" s="34" t="n">
        <f aca="false">IF(BP$15=1,INDEX(Vol_O,8,BP$14)/12*(1+P_dVol),0)</f>
        <v>0</v>
      </c>
      <c r="BQ28" s="34" t="n">
        <f aca="false">IF(BQ$15=1,INDEX(Vol_O,8,BQ$14)/12*(1+P_dVol),0)</f>
        <v>0</v>
      </c>
      <c r="BR28" s="34" t="n">
        <f aca="false">IF(BR$15=1,INDEX(Vol_O,8,BR$14)/12*(1+P_dVol),0)</f>
        <v>0</v>
      </c>
      <c r="BS28" s="34" t="n">
        <f aca="false">IF(BS$15=1,INDEX(Vol_O,8,BS$14)/12*(1+P_dVol),0)</f>
        <v>0</v>
      </c>
      <c r="BT28" s="34" t="n">
        <f aca="false">IF(BT$15=1,INDEX(Vol_O,8,BT$14)/12*(1+P_dVol),0)</f>
        <v>0</v>
      </c>
      <c r="BU28" s="34" t="n">
        <f aca="false">IF(BU$15=1,INDEX(Vol_O,8,BU$14)/12*(1+P_dVol),0)</f>
        <v>0</v>
      </c>
      <c r="BV28" s="34" t="n">
        <f aca="false">IF(BV$15=1,INDEX(Vol_O,8,BV$14)/12*(1+P_dVol),0)</f>
        <v>0</v>
      </c>
      <c r="BW28" s="34" t="n">
        <f aca="false">IF(BW$15=1,INDEX(Vol_O,8,BW$14)/12*(1+P_dVol),0)</f>
        <v>0</v>
      </c>
      <c r="BX28" s="34" t="n">
        <f aca="false">IF(BX$15=1,INDEX(Vol_O,8,BX$14)/12*(1+P_dVol),0)</f>
        <v>0</v>
      </c>
      <c r="BY28" s="34" t="n">
        <f aca="false">IF(BY$15=1,INDEX(Vol_O,8,BY$14)/12*(1+P_dVol),0)</f>
        <v>0</v>
      </c>
      <c r="BZ28" s="34" t="n">
        <f aca="false">IF(BZ$15=1,INDEX(Vol_O,8,BZ$14)/12*(1+P_dVol),0)</f>
        <v>0</v>
      </c>
      <c r="CA28" s="34" t="n">
        <f aca="false">IF(CA$15=1,INDEX(Vol_O,8,CA$14)/12*(1+P_dVol),0)</f>
        <v>0</v>
      </c>
      <c r="CB28" s="34" t="n">
        <f aca="false">IF(CB$15=1,INDEX(Vol_O,8,CB$14)/12*(1+P_dVol),0)</f>
        <v>0</v>
      </c>
      <c r="CC28" s="34" t="n">
        <f aca="false">IF(CC$15=1,INDEX(Vol_O,8,CC$14)/12*(1+P_dVol),0)</f>
        <v>0</v>
      </c>
      <c r="CD28" s="34" t="n">
        <f aca="false">IF(CD$15=1,INDEX(Vol_O,8,CD$14)/12*(1+P_dVol),0)</f>
        <v>0</v>
      </c>
      <c r="CE28" s="34" t="n">
        <f aca="false">IF(CE$15=1,INDEX(Vol_O,8,CE$14)/12*(1+P_dVol),0)</f>
        <v>0</v>
      </c>
      <c r="CF28" s="34" t="n">
        <f aca="false">IF(CF$15=1,INDEX(Vol_O,8,CF$14)/12*(1+P_dVol),0)</f>
        <v>0</v>
      </c>
      <c r="CG28" s="34" t="n">
        <f aca="false">IF(CG$15=1,INDEX(Vol_O,8,CG$14)/12*(1+P_dVol),0)</f>
        <v>0</v>
      </c>
      <c r="CH28" s="34" t="n">
        <f aca="false">IF(CH$15=1,INDEX(Vol_O,8,CH$14)/12*(1+P_dVol),0)</f>
        <v>0</v>
      </c>
      <c r="CI28" s="34" t="n">
        <f aca="false">IF(CI$15=1,INDEX(Vol_O,8,CI$14)/12*(1+P_dVol),0)</f>
        <v>0</v>
      </c>
      <c r="CJ28" s="34" t="n">
        <f aca="false">IF(CJ$15=1,INDEX(Vol_O,8,CJ$14)/12*(1+P_dVol),0)</f>
        <v>0</v>
      </c>
      <c r="CK28" s="34" t="n">
        <f aca="false">IF(CK$15=1,INDEX(Vol_O,8,CK$14)/12*(1+P_dVol),0)</f>
        <v>0</v>
      </c>
      <c r="CL28" s="34" t="n">
        <f aca="false">IF(CL$15=1,INDEX(Vol_O,8,CL$14)/12*(1+P_dVol),0)</f>
        <v>0</v>
      </c>
      <c r="CM28" s="34" t="n">
        <f aca="false">IF(CM$15=1,INDEX(Vol_O,8,CM$14)/12*(1+P_dVol),0)</f>
        <v>0</v>
      </c>
      <c r="CN28" s="34" t="n">
        <f aca="false">IF(CN$15=1,INDEX(Vol_O,8,CN$14)/12*(1+P_dVol),0)</f>
        <v>0</v>
      </c>
      <c r="CO28" s="34" t="n">
        <f aca="false">IF(CO$15=1,INDEX(Vol_O,8,CO$14)/12*(1+P_dVol),0)</f>
        <v>0</v>
      </c>
      <c r="CP28" s="34" t="n">
        <f aca="false">IF(CP$15=1,INDEX(Vol_O,8,CP$14)/12*(1+P_dVol),0)</f>
        <v>0</v>
      </c>
      <c r="CQ28" s="34" t="n">
        <f aca="false">IF(CQ$15=1,INDEX(Vol_O,8,CQ$14)/12*(1+P_dVol),0)</f>
        <v>0</v>
      </c>
      <c r="CR28" s="34" t="n">
        <f aca="false">IF(CR$15=1,INDEX(Vol_O,8,CR$14)/12*(1+P_dVol),0)</f>
        <v>0</v>
      </c>
      <c r="CS28" s="34" t="n">
        <f aca="false">IF(CS$15=1,INDEX(Vol_O,8,CS$14)/12*(1+P_dVol),0)</f>
        <v>0</v>
      </c>
      <c r="CT28" s="34" t="n">
        <f aca="false">IF(CT$15=1,INDEX(Vol_O,8,CT$14)/12*(1+P_dVol),0)</f>
        <v>0</v>
      </c>
      <c r="CU28" s="34" t="n">
        <f aca="false">IF(CU$15=1,INDEX(Vol_O,8,CU$14)/12*(1+P_dVol),0)</f>
        <v>0</v>
      </c>
      <c r="CV28" s="34" t="n">
        <f aca="false">IF(CV$15=1,INDEX(Vol_O,8,CV$14)/12*(1+P_dVol),0)</f>
        <v>0</v>
      </c>
      <c r="CW28" s="34" t="n">
        <f aca="false">IF(CW$15=1,INDEX(Vol_O,8,CW$14)/12*(1+P_dVol),0)</f>
        <v>0</v>
      </c>
      <c r="CX28" s="34" t="n">
        <f aca="false">IF(CX$15=1,INDEX(Vol_O,8,CX$14)/12*(1+P_dVol),0)</f>
        <v>0</v>
      </c>
      <c r="CY28" s="34" t="n">
        <f aca="false">IF(CY$15=1,INDEX(Vol_O,8,CY$14)/12*(1+P_dVol),0)</f>
        <v>0</v>
      </c>
      <c r="CZ28" s="34" t="n">
        <f aca="false">IF(CZ$15=1,INDEX(Vol_O,8,CZ$14)/12*(1+P_dVol),0)</f>
        <v>0</v>
      </c>
      <c r="DA28" s="34" t="n">
        <f aca="false">IF(DA$15=1,INDEX(Vol_O,8,DA$14)/12*(1+P_dVol),0)</f>
        <v>0</v>
      </c>
      <c r="DB28" s="34" t="n">
        <f aca="false">IF(DB$15=1,INDEX(Vol_O,8,DB$14)/12*(1+P_dVol),0)</f>
        <v>0</v>
      </c>
      <c r="DC28" s="34" t="n">
        <f aca="false">IF(DC$15=1,INDEX(Vol_O,8,DC$14)/12*(1+P_dVol),0)</f>
        <v>0</v>
      </c>
      <c r="DD28" s="34" t="n">
        <f aca="false">IF(DD$15=1,INDEX(Vol_O,8,DD$14)/12*(1+P_dVol),0)</f>
        <v>0</v>
      </c>
      <c r="DE28" s="34" t="n">
        <f aca="false">IF(DE$15=1,INDEX(Vol_O,8,DE$14)/12*(1+P_dVol),0)</f>
        <v>0</v>
      </c>
      <c r="DF28" s="34" t="n">
        <f aca="false">IF(DF$15=1,INDEX(Vol_O,8,DF$14)/12*(1+P_dVol),0)</f>
        <v>0</v>
      </c>
      <c r="DG28" s="34" t="n">
        <f aca="false">IF(DG$15=1,INDEX(Vol_O,8,DG$14)/12*(1+P_dVol),0)</f>
        <v>0</v>
      </c>
      <c r="DH28" s="34" t="n">
        <f aca="false">IF(DH$15=1,INDEX(Vol_O,8,DH$14)/12*(1+P_dVol),0)</f>
        <v>0</v>
      </c>
      <c r="DI28" s="34" t="n">
        <f aca="false">IF(DI$15=1,INDEX(Vol_O,8,DI$14)/12*(1+P_dVol),0)</f>
        <v>0</v>
      </c>
      <c r="DJ28" s="34" t="n">
        <f aca="false">IF(DJ$15=1,INDEX(Vol_O,8,DJ$14)/12*(1+P_dVol),0)</f>
        <v>0</v>
      </c>
      <c r="DK28" s="34" t="n">
        <f aca="false">IF(DK$15=1,INDEX(Vol_O,8,DK$14)/12*(1+P_dVol),0)</f>
        <v>0</v>
      </c>
      <c r="DL28" s="34" t="n">
        <f aca="false">IF(DL$15=1,INDEX(Vol_O,8,DL$14)/12*(1+P_dVol),0)</f>
        <v>0</v>
      </c>
      <c r="DM28" s="34" t="n">
        <f aca="false">IF(DM$15=1,INDEX(Vol_O,8,DM$14)/12*(1+P_dVol),0)</f>
        <v>0</v>
      </c>
      <c r="DN28" s="34" t="n">
        <f aca="false">IF(DN$15=1,INDEX(Vol_O,8,DN$14)/12*(1+P_dVol),0)</f>
        <v>0</v>
      </c>
      <c r="DO28" s="34" t="n">
        <f aca="false">IF(DO$15=1,INDEX(Vol_O,8,DO$14)/12*(1+P_dVol),0)</f>
        <v>0</v>
      </c>
      <c r="DP28" s="34" t="n">
        <f aca="false">IF(DP$15=1,INDEX(Vol_O,8,DP$14)/12*(1+P_dVol),0)</f>
        <v>0</v>
      </c>
      <c r="DQ28" s="34" t="n">
        <f aca="false">IF(DQ$15=1,INDEX(Vol_O,8,DQ$14)/12*(1+P_dVol),0)</f>
        <v>0</v>
      </c>
      <c r="DR28" s="34" t="n">
        <f aca="false">IF(DR$15=1,INDEX(Vol_O,8,DR$14)/12*(1+P_dVol),0)</f>
        <v>0</v>
      </c>
      <c r="DS28" s="34" t="n">
        <f aca="false">IF(DS$15=1,INDEX(Vol_O,8,DS$14)/12*(1+P_dVol),0)</f>
        <v>0</v>
      </c>
      <c r="DT28" s="34" t="n">
        <f aca="false">IF(DT$15=1,INDEX(Vol_O,8,DT$14)/12*(1+P_dVol),0)</f>
        <v>0</v>
      </c>
      <c r="DU28" s="34" t="n">
        <f aca="false">IF(DU$15=1,INDEX(Vol_O,8,DU$14)/12*(1+P_dVol),0)</f>
        <v>0</v>
      </c>
      <c r="DV28" s="34" t="n">
        <f aca="false">IF(DV$15=1,INDEX(Vol_O,8,DV$14)/12*(1+P_dVol),0)</f>
        <v>0</v>
      </c>
      <c r="DW28" s="34" t="n">
        <f aca="false">IF(DW$15=1,INDEX(Vol_O,8,DW$14)/12*(1+P_dVol),0)</f>
        <v>0</v>
      </c>
      <c r="DX28" s="34" t="n">
        <f aca="false">IF(DX$15=1,INDEX(Vol_O,8,DX$14)/12*(1+P_dVol),0)</f>
        <v>0</v>
      </c>
      <c r="DY28" s="34" t="n">
        <f aca="false">IF(DY$15=1,INDEX(Vol_O,8,DY$14)/12*(1+P_dVol),0)</f>
        <v>0</v>
      </c>
      <c r="DZ28" s="34" t="n">
        <f aca="false">IF(DZ$15=1,INDEX(Vol_O,8,DZ$14)/12*(1+P_dVol),0)</f>
        <v>0</v>
      </c>
      <c r="EA28" s="34" t="n">
        <f aca="false">IF(EA$15=1,INDEX(Vol_O,8,EA$14)/12*(1+P_dVol),0)</f>
        <v>0</v>
      </c>
      <c r="EB28" s="34" t="n">
        <f aca="false">IF(EB$15=1,INDEX(Vol_O,8,EB$14)/12*(1+P_dVol),0)</f>
        <v>0</v>
      </c>
      <c r="EC28" s="34" t="n">
        <f aca="false">IF(EC$15=1,INDEX(Vol_O,8,EC$14)/12*(1+P_dVol),0)</f>
        <v>0</v>
      </c>
      <c r="ED28" s="34" t="n">
        <f aca="false">IF(ED$15=1,INDEX(Vol_O,8,ED$14)/12*(1+P_dVol),0)</f>
        <v>0</v>
      </c>
      <c r="EE28" s="34" t="n">
        <f aca="false">IF(EE$15=1,INDEX(Vol_O,8,EE$14)/12*(1+P_dVol),0)</f>
        <v>0</v>
      </c>
      <c r="EF28" s="34" t="n">
        <f aca="false">IF(EF$15=1,INDEX(Vol_O,8,EF$14)/12*(1+P_dVol),0)</f>
        <v>0</v>
      </c>
      <c r="EG28" s="34" t="n">
        <f aca="false">IF(EG$15=1,INDEX(Vol_O,8,EG$14)/12*(1+P_dVol),0)</f>
        <v>0</v>
      </c>
      <c r="EH28" s="34" t="n">
        <f aca="false">IF(EH$15=1,INDEX(Vol_O,8,EH$14)/12*(1+P_dVol),0)</f>
        <v>0</v>
      </c>
      <c r="EI28" s="34" t="n">
        <f aca="false">IF(EI$15=1,INDEX(Vol_O,8,EI$14)/12*(1+P_dVol),0)</f>
        <v>0</v>
      </c>
      <c r="EJ28" s="34" t="n">
        <f aca="false">IF(EJ$15=1,INDEX(Vol_O,8,EJ$14)/12*(1+P_dVol),0)</f>
        <v>0</v>
      </c>
      <c r="EK28" s="34" t="n">
        <f aca="false">IF(EK$15=1,INDEX(Vol_O,8,EK$14)/12*(1+P_dVol),0)</f>
        <v>0</v>
      </c>
      <c r="EL28" s="34" t="n">
        <f aca="false">IF(EL$15=1,INDEX(Vol_O,8,EL$14)/12*(1+P_dVol),0)</f>
        <v>0</v>
      </c>
      <c r="EM28" s="34" t="n">
        <f aca="false">IF(EM$15=1,INDEX(Vol_O,8,EM$14)/12*(1+P_dVol),0)</f>
        <v>0</v>
      </c>
      <c r="EN28" s="34" t="n">
        <f aca="false">IF(EN$15=1,INDEX(Vol_O,8,EN$14)/12*(1+P_dVol),0)</f>
        <v>0</v>
      </c>
      <c r="EO28" s="34" t="n">
        <f aca="false">IF(EO$15=1,INDEX(Vol_O,8,EO$14)/12*(1+P_dVol),0)</f>
        <v>0</v>
      </c>
      <c r="EP28" s="34" t="n">
        <f aca="false">IF(EP$15=1,INDEX(Vol_O,8,EP$14)/12*(1+P_dVol),0)</f>
        <v>0</v>
      </c>
      <c r="EQ28" s="34" t="n">
        <f aca="false">IF(EQ$15=1,INDEX(Vol_O,8,EQ$14)/12*(1+P_dVol),0)</f>
        <v>0</v>
      </c>
      <c r="ER28" s="34" t="n">
        <f aca="false">IF(ER$15=1,INDEX(Vol_O,8,ER$14)/12*(1+P_dVol),0)</f>
        <v>0</v>
      </c>
      <c r="ES28" s="34" t="n">
        <f aca="false">IF(ES$15=1,INDEX(Vol_O,8,ES$14)/12*(1+P_dVol),0)</f>
        <v>0</v>
      </c>
    </row>
    <row r="29" customFormat="false" ht="15" hidden="false" customHeight="false" outlineLevel="0" collapsed="false">
      <c r="A29" s="2" t="s">
        <v>440</v>
      </c>
      <c r="B29" s="39" t="str">
        <f aca="false">IF(INDEX(Prod_Nombre,9)="","Producto 9",INDEX(Prod_Nombre,9))&amp;" — unidades"</f>
        <v>Producto 9 — unidades</v>
      </c>
      <c r="C29" s="6" t="s">
        <v>337</v>
      </c>
      <c r="E29" s="40" t="n">
        <f aca="false">SUM(F29:ES29)</f>
        <v>0</v>
      </c>
      <c r="F29" s="34" t="n">
        <f aca="false">IF(F$15=1,INDEX(Vol_O,9,F$14)/12*(1+P_dVol),0)</f>
        <v>0</v>
      </c>
      <c r="G29" s="34" t="n">
        <f aca="false">IF(G$15=1,INDEX(Vol_O,9,G$14)/12*(1+P_dVol),0)</f>
        <v>0</v>
      </c>
      <c r="H29" s="34" t="n">
        <f aca="false">IF(H$15=1,INDEX(Vol_O,9,H$14)/12*(1+P_dVol),0)</f>
        <v>0</v>
      </c>
      <c r="I29" s="34" t="n">
        <f aca="false">IF(I$15=1,INDEX(Vol_O,9,I$14)/12*(1+P_dVol),0)</f>
        <v>0</v>
      </c>
      <c r="J29" s="34" t="n">
        <f aca="false">IF(J$15=1,INDEX(Vol_O,9,J$14)/12*(1+P_dVol),0)</f>
        <v>0</v>
      </c>
      <c r="K29" s="34" t="n">
        <f aca="false">IF(K$15=1,INDEX(Vol_O,9,K$14)/12*(1+P_dVol),0)</f>
        <v>0</v>
      </c>
      <c r="L29" s="34" t="n">
        <f aca="false">IF(L$15=1,INDEX(Vol_O,9,L$14)/12*(1+P_dVol),0)</f>
        <v>0</v>
      </c>
      <c r="M29" s="34" t="n">
        <f aca="false">IF(M$15=1,INDEX(Vol_O,9,M$14)/12*(1+P_dVol),0)</f>
        <v>0</v>
      </c>
      <c r="N29" s="34" t="n">
        <f aca="false">IF(N$15=1,INDEX(Vol_O,9,N$14)/12*(1+P_dVol),0)</f>
        <v>0</v>
      </c>
      <c r="O29" s="34" t="n">
        <f aca="false">IF(O$15=1,INDEX(Vol_O,9,O$14)/12*(1+P_dVol),0)</f>
        <v>0</v>
      </c>
      <c r="P29" s="34" t="n">
        <f aca="false">IF(P$15=1,INDEX(Vol_O,9,P$14)/12*(1+P_dVol),0)</f>
        <v>0</v>
      </c>
      <c r="Q29" s="34" t="n">
        <f aca="false">IF(Q$15=1,INDEX(Vol_O,9,Q$14)/12*(1+P_dVol),0)</f>
        <v>0</v>
      </c>
      <c r="R29" s="34" t="n">
        <f aca="false">IF(R$15=1,INDEX(Vol_O,9,R$14)/12*(1+P_dVol),0)</f>
        <v>0</v>
      </c>
      <c r="S29" s="34" t="n">
        <f aca="false">IF(S$15=1,INDEX(Vol_O,9,S$14)/12*(1+P_dVol),0)</f>
        <v>0</v>
      </c>
      <c r="T29" s="34" t="n">
        <f aca="false">IF(T$15=1,INDEX(Vol_O,9,T$14)/12*(1+P_dVol),0)</f>
        <v>0</v>
      </c>
      <c r="U29" s="34" t="n">
        <f aca="false">IF(U$15=1,INDEX(Vol_O,9,U$14)/12*(1+P_dVol),0)</f>
        <v>0</v>
      </c>
      <c r="V29" s="34" t="n">
        <f aca="false">IF(V$15=1,INDEX(Vol_O,9,V$14)/12*(1+P_dVol),0)</f>
        <v>0</v>
      </c>
      <c r="W29" s="34" t="n">
        <f aca="false">IF(W$15=1,INDEX(Vol_O,9,W$14)/12*(1+P_dVol),0)</f>
        <v>0</v>
      </c>
      <c r="X29" s="34" t="n">
        <f aca="false">IF(X$15=1,INDEX(Vol_O,9,X$14)/12*(1+P_dVol),0)</f>
        <v>0</v>
      </c>
      <c r="Y29" s="34" t="n">
        <f aca="false">IF(Y$15=1,INDEX(Vol_O,9,Y$14)/12*(1+P_dVol),0)</f>
        <v>0</v>
      </c>
      <c r="Z29" s="34" t="n">
        <f aca="false">IF(Z$15=1,INDEX(Vol_O,9,Z$14)/12*(1+P_dVol),0)</f>
        <v>0</v>
      </c>
      <c r="AA29" s="34" t="n">
        <f aca="false">IF(AA$15=1,INDEX(Vol_O,9,AA$14)/12*(1+P_dVol),0)</f>
        <v>0</v>
      </c>
      <c r="AB29" s="34" t="n">
        <f aca="false">IF(AB$15=1,INDEX(Vol_O,9,AB$14)/12*(1+P_dVol),0)</f>
        <v>0</v>
      </c>
      <c r="AC29" s="34" t="n">
        <f aca="false">IF(AC$15=1,INDEX(Vol_O,9,AC$14)/12*(1+P_dVol),0)</f>
        <v>0</v>
      </c>
      <c r="AD29" s="34" t="n">
        <f aca="false">IF(AD$15=1,INDEX(Vol_O,9,AD$14)/12*(1+P_dVol),0)</f>
        <v>0</v>
      </c>
      <c r="AE29" s="34" t="n">
        <f aca="false">IF(AE$15=1,INDEX(Vol_O,9,AE$14)/12*(1+P_dVol),0)</f>
        <v>0</v>
      </c>
      <c r="AF29" s="34" t="n">
        <f aca="false">IF(AF$15=1,INDEX(Vol_O,9,AF$14)/12*(1+P_dVol),0)</f>
        <v>0</v>
      </c>
      <c r="AG29" s="34" t="n">
        <f aca="false">IF(AG$15=1,INDEX(Vol_O,9,AG$14)/12*(1+P_dVol),0)</f>
        <v>0</v>
      </c>
      <c r="AH29" s="34" t="n">
        <f aca="false">IF(AH$15=1,INDEX(Vol_O,9,AH$14)/12*(1+P_dVol),0)</f>
        <v>0</v>
      </c>
      <c r="AI29" s="34" t="n">
        <f aca="false">IF(AI$15=1,INDEX(Vol_O,9,AI$14)/12*(1+P_dVol),0)</f>
        <v>0</v>
      </c>
      <c r="AJ29" s="34" t="n">
        <f aca="false">IF(AJ$15=1,INDEX(Vol_O,9,AJ$14)/12*(1+P_dVol),0)</f>
        <v>0</v>
      </c>
      <c r="AK29" s="34" t="n">
        <f aca="false">IF(AK$15=1,INDEX(Vol_O,9,AK$14)/12*(1+P_dVol),0)</f>
        <v>0</v>
      </c>
      <c r="AL29" s="34" t="n">
        <f aca="false">IF(AL$15=1,INDEX(Vol_O,9,AL$14)/12*(1+P_dVol),0)</f>
        <v>0</v>
      </c>
      <c r="AM29" s="34" t="n">
        <f aca="false">IF(AM$15=1,INDEX(Vol_O,9,AM$14)/12*(1+P_dVol),0)</f>
        <v>0</v>
      </c>
      <c r="AN29" s="34" t="n">
        <f aca="false">IF(AN$15=1,INDEX(Vol_O,9,AN$14)/12*(1+P_dVol),0)</f>
        <v>0</v>
      </c>
      <c r="AO29" s="34" t="n">
        <f aca="false">IF(AO$15=1,INDEX(Vol_O,9,AO$14)/12*(1+P_dVol),0)</f>
        <v>0</v>
      </c>
      <c r="AP29" s="34" t="n">
        <f aca="false">IF(AP$15=1,INDEX(Vol_O,9,AP$14)/12*(1+P_dVol),0)</f>
        <v>0</v>
      </c>
      <c r="AQ29" s="34" t="n">
        <f aca="false">IF(AQ$15=1,INDEX(Vol_O,9,AQ$14)/12*(1+P_dVol),0)</f>
        <v>0</v>
      </c>
      <c r="AR29" s="34" t="n">
        <f aca="false">IF(AR$15=1,INDEX(Vol_O,9,AR$14)/12*(1+P_dVol),0)</f>
        <v>0</v>
      </c>
      <c r="AS29" s="34" t="n">
        <f aca="false">IF(AS$15=1,INDEX(Vol_O,9,AS$14)/12*(1+P_dVol),0)</f>
        <v>0</v>
      </c>
      <c r="AT29" s="34" t="n">
        <f aca="false">IF(AT$15=1,INDEX(Vol_O,9,AT$14)/12*(1+P_dVol),0)</f>
        <v>0</v>
      </c>
      <c r="AU29" s="34" t="n">
        <f aca="false">IF(AU$15=1,INDEX(Vol_O,9,AU$14)/12*(1+P_dVol),0)</f>
        <v>0</v>
      </c>
      <c r="AV29" s="34" t="n">
        <f aca="false">IF(AV$15=1,INDEX(Vol_O,9,AV$14)/12*(1+P_dVol),0)</f>
        <v>0</v>
      </c>
      <c r="AW29" s="34" t="n">
        <f aca="false">IF(AW$15=1,INDEX(Vol_O,9,AW$14)/12*(1+P_dVol),0)</f>
        <v>0</v>
      </c>
      <c r="AX29" s="34" t="n">
        <f aca="false">IF(AX$15=1,INDEX(Vol_O,9,AX$14)/12*(1+P_dVol),0)</f>
        <v>0</v>
      </c>
      <c r="AY29" s="34" t="n">
        <f aca="false">IF(AY$15=1,INDEX(Vol_O,9,AY$14)/12*(1+P_dVol),0)</f>
        <v>0</v>
      </c>
      <c r="AZ29" s="34" t="n">
        <f aca="false">IF(AZ$15=1,INDEX(Vol_O,9,AZ$14)/12*(1+P_dVol),0)</f>
        <v>0</v>
      </c>
      <c r="BA29" s="34" t="n">
        <f aca="false">IF(BA$15=1,INDEX(Vol_O,9,BA$14)/12*(1+P_dVol),0)</f>
        <v>0</v>
      </c>
      <c r="BB29" s="34" t="n">
        <f aca="false">IF(BB$15=1,INDEX(Vol_O,9,BB$14)/12*(1+P_dVol),0)</f>
        <v>0</v>
      </c>
      <c r="BC29" s="34" t="n">
        <f aca="false">IF(BC$15=1,INDEX(Vol_O,9,BC$14)/12*(1+P_dVol),0)</f>
        <v>0</v>
      </c>
      <c r="BD29" s="34" t="n">
        <f aca="false">IF(BD$15=1,INDEX(Vol_O,9,BD$14)/12*(1+P_dVol),0)</f>
        <v>0</v>
      </c>
      <c r="BE29" s="34" t="n">
        <f aca="false">IF(BE$15=1,INDEX(Vol_O,9,BE$14)/12*(1+P_dVol),0)</f>
        <v>0</v>
      </c>
      <c r="BF29" s="34" t="n">
        <f aca="false">IF(BF$15=1,INDEX(Vol_O,9,BF$14)/12*(1+P_dVol),0)</f>
        <v>0</v>
      </c>
      <c r="BG29" s="34" t="n">
        <f aca="false">IF(BG$15=1,INDEX(Vol_O,9,BG$14)/12*(1+P_dVol),0)</f>
        <v>0</v>
      </c>
      <c r="BH29" s="34" t="n">
        <f aca="false">IF(BH$15=1,INDEX(Vol_O,9,BH$14)/12*(1+P_dVol),0)</f>
        <v>0</v>
      </c>
      <c r="BI29" s="34" t="n">
        <f aca="false">IF(BI$15=1,INDEX(Vol_O,9,BI$14)/12*(1+P_dVol),0)</f>
        <v>0</v>
      </c>
      <c r="BJ29" s="34" t="n">
        <f aca="false">IF(BJ$15=1,INDEX(Vol_O,9,BJ$14)/12*(1+P_dVol),0)</f>
        <v>0</v>
      </c>
      <c r="BK29" s="34" t="n">
        <f aca="false">IF(BK$15=1,INDEX(Vol_O,9,BK$14)/12*(1+P_dVol),0)</f>
        <v>0</v>
      </c>
      <c r="BL29" s="34" t="n">
        <f aca="false">IF(BL$15=1,INDEX(Vol_O,9,BL$14)/12*(1+P_dVol),0)</f>
        <v>0</v>
      </c>
      <c r="BM29" s="34" t="n">
        <f aca="false">IF(BM$15=1,INDEX(Vol_O,9,BM$14)/12*(1+P_dVol),0)</f>
        <v>0</v>
      </c>
      <c r="BN29" s="34" t="n">
        <f aca="false">IF(BN$15=1,INDEX(Vol_O,9,BN$14)/12*(1+P_dVol),0)</f>
        <v>0</v>
      </c>
      <c r="BO29" s="34" t="n">
        <f aca="false">IF(BO$15=1,INDEX(Vol_O,9,BO$14)/12*(1+P_dVol),0)</f>
        <v>0</v>
      </c>
      <c r="BP29" s="34" t="n">
        <f aca="false">IF(BP$15=1,INDEX(Vol_O,9,BP$14)/12*(1+P_dVol),0)</f>
        <v>0</v>
      </c>
      <c r="BQ29" s="34" t="n">
        <f aca="false">IF(BQ$15=1,INDEX(Vol_O,9,BQ$14)/12*(1+P_dVol),0)</f>
        <v>0</v>
      </c>
      <c r="BR29" s="34" t="n">
        <f aca="false">IF(BR$15=1,INDEX(Vol_O,9,BR$14)/12*(1+P_dVol),0)</f>
        <v>0</v>
      </c>
      <c r="BS29" s="34" t="n">
        <f aca="false">IF(BS$15=1,INDEX(Vol_O,9,BS$14)/12*(1+P_dVol),0)</f>
        <v>0</v>
      </c>
      <c r="BT29" s="34" t="n">
        <f aca="false">IF(BT$15=1,INDEX(Vol_O,9,BT$14)/12*(1+P_dVol),0)</f>
        <v>0</v>
      </c>
      <c r="BU29" s="34" t="n">
        <f aca="false">IF(BU$15=1,INDEX(Vol_O,9,BU$14)/12*(1+P_dVol),0)</f>
        <v>0</v>
      </c>
      <c r="BV29" s="34" t="n">
        <f aca="false">IF(BV$15=1,INDEX(Vol_O,9,BV$14)/12*(1+P_dVol),0)</f>
        <v>0</v>
      </c>
      <c r="BW29" s="34" t="n">
        <f aca="false">IF(BW$15=1,INDEX(Vol_O,9,BW$14)/12*(1+P_dVol),0)</f>
        <v>0</v>
      </c>
      <c r="BX29" s="34" t="n">
        <f aca="false">IF(BX$15=1,INDEX(Vol_O,9,BX$14)/12*(1+P_dVol),0)</f>
        <v>0</v>
      </c>
      <c r="BY29" s="34" t="n">
        <f aca="false">IF(BY$15=1,INDEX(Vol_O,9,BY$14)/12*(1+P_dVol),0)</f>
        <v>0</v>
      </c>
      <c r="BZ29" s="34" t="n">
        <f aca="false">IF(BZ$15=1,INDEX(Vol_O,9,BZ$14)/12*(1+P_dVol),0)</f>
        <v>0</v>
      </c>
      <c r="CA29" s="34" t="n">
        <f aca="false">IF(CA$15=1,INDEX(Vol_O,9,CA$14)/12*(1+P_dVol),0)</f>
        <v>0</v>
      </c>
      <c r="CB29" s="34" t="n">
        <f aca="false">IF(CB$15=1,INDEX(Vol_O,9,CB$14)/12*(1+P_dVol),0)</f>
        <v>0</v>
      </c>
      <c r="CC29" s="34" t="n">
        <f aca="false">IF(CC$15=1,INDEX(Vol_O,9,CC$14)/12*(1+P_dVol),0)</f>
        <v>0</v>
      </c>
      <c r="CD29" s="34" t="n">
        <f aca="false">IF(CD$15=1,INDEX(Vol_O,9,CD$14)/12*(1+P_dVol),0)</f>
        <v>0</v>
      </c>
      <c r="CE29" s="34" t="n">
        <f aca="false">IF(CE$15=1,INDEX(Vol_O,9,CE$14)/12*(1+P_dVol),0)</f>
        <v>0</v>
      </c>
      <c r="CF29" s="34" t="n">
        <f aca="false">IF(CF$15=1,INDEX(Vol_O,9,CF$14)/12*(1+P_dVol),0)</f>
        <v>0</v>
      </c>
      <c r="CG29" s="34" t="n">
        <f aca="false">IF(CG$15=1,INDEX(Vol_O,9,CG$14)/12*(1+P_dVol),0)</f>
        <v>0</v>
      </c>
      <c r="CH29" s="34" t="n">
        <f aca="false">IF(CH$15=1,INDEX(Vol_O,9,CH$14)/12*(1+P_dVol),0)</f>
        <v>0</v>
      </c>
      <c r="CI29" s="34" t="n">
        <f aca="false">IF(CI$15=1,INDEX(Vol_O,9,CI$14)/12*(1+P_dVol),0)</f>
        <v>0</v>
      </c>
      <c r="CJ29" s="34" t="n">
        <f aca="false">IF(CJ$15=1,INDEX(Vol_O,9,CJ$14)/12*(1+P_dVol),0)</f>
        <v>0</v>
      </c>
      <c r="CK29" s="34" t="n">
        <f aca="false">IF(CK$15=1,INDEX(Vol_O,9,CK$14)/12*(1+P_dVol),0)</f>
        <v>0</v>
      </c>
      <c r="CL29" s="34" t="n">
        <f aca="false">IF(CL$15=1,INDEX(Vol_O,9,CL$14)/12*(1+P_dVol),0)</f>
        <v>0</v>
      </c>
      <c r="CM29" s="34" t="n">
        <f aca="false">IF(CM$15=1,INDEX(Vol_O,9,CM$14)/12*(1+P_dVol),0)</f>
        <v>0</v>
      </c>
      <c r="CN29" s="34" t="n">
        <f aca="false">IF(CN$15=1,INDEX(Vol_O,9,CN$14)/12*(1+P_dVol),0)</f>
        <v>0</v>
      </c>
      <c r="CO29" s="34" t="n">
        <f aca="false">IF(CO$15=1,INDEX(Vol_O,9,CO$14)/12*(1+P_dVol),0)</f>
        <v>0</v>
      </c>
      <c r="CP29" s="34" t="n">
        <f aca="false">IF(CP$15=1,INDEX(Vol_O,9,CP$14)/12*(1+P_dVol),0)</f>
        <v>0</v>
      </c>
      <c r="CQ29" s="34" t="n">
        <f aca="false">IF(CQ$15=1,INDEX(Vol_O,9,CQ$14)/12*(1+P_dVol),0)</f>
        <v>0</v>
      </c>
      <c r="CR29" s="34" t="n">
        <f aca="false">IF(CR$15=1,INDEX(Vol_O,9,CR$14)/12*(1+P_dVol),0)</f>
        <v>0</v>
      </c>
      <c r="CS29" s="34" t="n">
        <f aca="false">IF(CS$15=1,INDEX(Vol_O,9,CS$14)/12*(1+P_dVol),0)</f>
        <v>0</v>
      </c>
      <c r="CT29" s="34" t="n">
        <f aca="false">IF(CT$15=1,INDEX(Vol_O,9,CT$14)/12*(1+P_dVol),0)</f>
        <v>0</v>
      </c>
      <c r="CU29" s="34" t="n">
        <f aca="false">IF(CU$15=1,INDEX(Vol_O,9,CU$14)/12*(1+P_dVol),0)</f>
        <v>0</v>
      </c>
      <c r="CV29" s="34" t="n">
        <f aca="false">IF(CV$15=1,INDEX(Vol_O,9,CV$14)/12*(1+P_dVol),0)</f>
        <v>0</v>
      </c>
      <c r="CW29" s="34" t="n">
        <f aca="false">IF(CW$15=1,INDEX(Vol_O,9,CW$14)/12*(1+P_dVol),0)</f>
        <v>0</v>
      </c>
      <c r="CX29" s="34" t="n">
        <f aca="false">IF(CX$15=1,INDEX(Vol_O,9,CX$14)/12*(1+P_dVol),0)</f>
        <v>0</v>
      </c>
      <c r="CY29" s="34" t="n">
        <f aca="false">IF(CY$15=1,INDEX(Vol_O,9,CY$14)/12*(1+P_dVol),0)</f>
        <v>0</v>
      </c>
      <c r="CZ29" s="34" t="n">
        <f aca="false">IF(CZ$15=1,INDEX(Vol_O,9,CZ$14)/12*(1+P_dVol),0)</f>
        <v>0</v>
      </c>
      <c r="DA29" s="34" t="n">
        <f aca="false">IF(DA$15=1,INDEX(Vol_O,9,DA$14)/12*(1+P_dVol),0)</f>
        <v>0</v>
      </c>
      <c r="DB29" s="34" t="n">
        <f aca="false">IF(DB$15=1,INDEX(Vol_O,9,DB$14)/12*(1+P_dVol),0)</f>
        <v>0</v>
      </c>
      <c r="DC29" s="34" t="n">
        <f aca="false">IF(DC$15=1,INDEX(Vol_O,9,DC$14)/12*(1+P_dVol),0)</f>
        <v>0</v>
      </c>
      <c r="DD29" s="34" t="n">
        <f aca="false">IF(DD$15=1,INDEX(Vol_O,9,DD$14)/12*(1+P_dVol),0)</f>
        <v>0</v>
      </c>
      <c r="DE29" s="34" t="n">
        <f aca="false">IF(DE$15=1,INDEX(Vol_O,9,DE$14)/12*(1+P_dVol),0)</f>
        <v>0</v>
      </c>
      <c r="DF29" s="34" t="n">
        <f aca="false">IF(DF$15=1,INDEX(Vol_O,9,DF$14)/12*(1+P_dVol),0)</f>
        <v>0</v>
      </c>
      <c r="DG29" s="34" t="n">
        <f aca="false">IF(DG$15=1,INDEX(Vol_O,9,DG$14)/12*(1+P_dVol),0)</f>
        <v>0</v>
      </c>
      <c r="DH29" s="34" t="n">
        <f aca="false">IF(DH$15=1,INDEX(Vol_O,9,DH$14)/12*(1+P_dVol),0)</f>
        <v>0</v>
      </c>
      <c r="DI29" s="34" t="n">
        <f aca="false">IF(DI$15=1,INDEX(Vol_O,9,DI$14)/12*(1+P_dVol),0)</f>
        <v>0</v>
      </c>
      <c r="DJ29" s="34" t="n">
        <f aca="false">IF(DJ$15=1,INDEX(Vol_O,9,DJ$14)/12*(1+P_dVol),0)</f>
        <v>0</v>
      </c>
      <c r="DK29" s="34" t="n">
        <f aca="false">IF(DK$15=1,INDEX(Vol_O,9,DK$14)/12*(1+P_dVol),0)</f>
        <v>0</v>
      </c>
      <c r="DL29" s="34" t="n">
        <f aca="false">IF(DL$15=1,INDEX(Vol_O,9,DL$14)/12*(1+P_dVol),0)</f>
        <v>0</v>
      </c>
      <c r="DM29" s="34" t="n">
        <f aca="false">IF(DM$15=1,INDEX(Vol_O,9,DM$14)/12*(1+P_dVol),0)</f>
        <v>0</v>
      </c>
      <c r="DN29" s="34" t="n">
        <f aca="false">IF(DN$15=1,INDEX(Vol_O,9,DN$14)/12*(1+P_dVol),0)</f>
        <v>0</v>
      </c>
      <c r="DO29" s="34" t="n">
        <f aca="false">IF(DO$15=1,INDEX(Vol_O,9,DO$14)/12*(1+P_dVol),0)</f>
        <v>0</v>
      </c>
      <c r="DP29" s="34" t="n">
        <f aca="false">IF(DP$15=1,INDEX(Vol_O,9,DP$14)/12*(1+P_dVol),0)</f>
        <v>0</v>
      </c>
      <c r="DQ29" s="34" t="n">
        <f aca="false">IF(DQ$15=1,INDEX(Vol_O,9,DQ$14)/12*(1+P_dVol),0)</f>
        <v>0</v>
      </c>
      <c r="DR29" s="34" t="n">
        <f aca="false">IF(DR$15=1,INDEX(Vol_O,9,DR$14)/12*(1+P_dVol),0)</f>
        <v>0</v>
      </c>
      <c r="DS29" s="34" t="n">
        <f aca="false">IF(DS$15=1,INDEX(Vol_O,9,DS$14)/12*(1+P_dVol),0)</f>
        <v>0</v>
      </c>
      <c r="DT29" s="34" t="n">
        <f aca="false">IF(DT$15=1,INDEX(Vol_O,9,DT$14)/12*(1+P_dVol),0)</f>
        <v>0</v>
      </c>
      <c r="DU29" s="34" t="n">
        <f aca="false">IF(DU$15=1,INDEX(Vol_O,9,DU$14)/12*(1+P_dVol),0)</f>
        <v>0</v>
      </c>
      <c r="DV29" s="34" t="n">
        <f aca="false">IF(DV$15=1,INDEX(Vol_O,9,DV$14)/12*(1+P_dVol),0)</f>
        <v>0</v>
      </c>
      <c r="DW29" s="34" t="n">
        <f aca="false">IF(DW$15=1,INDEX(Vol_O,9,DW$14)/12*(1+P_dVol),0)</f>
        <v>0</v>
      </c>
      <c r="DX29" s="34" t="n">
        <f aca="false">IF(DX$15=1,INDEX(Vol_O,9,DX$14)/12*(1+P_dVol),0)</f>
        <v>0</v>
      </c>
      <c r="DY29" s="34" t="n">
        <f aca="false">IF(DY$15=1,INDEX(Vol_O,9,DY$14)/12*(1+P_dVol),0)</f>
        <v>0</v>
      </c>
      <c r="DZ29" s="34" t="n">
        <f aca="false">IF(DZ$15=1,INDEX(Vol_O,9,DZ$14)/12*(1+P_dVol),0)</f>
        <v>0</v>
      </c>
      <c r="EA29" s="34" t="n">
        <f aca="false">IF(EA$15=1,INDEX(Vol_O,9,EA$14)/12*(1+P_dVol),0)</f>
        <v>0</v>
      </c>
      <c r="EB29" s="34" t="n">
        <f aca="false">IF(EB$15=1,INDEX(Vol_O,9,EB$14)/12*(1+P_dVol),0)</f>
        <v>0</v>
      </c>
      <c r="EC29" s="34" t="n">
        <f aca="false">IF(EC$15=1,INDEX(Vol_O,9,EC$14)/12*(1+P_dVol),0)</f>
        <v>0</v>
      </c>
      <c r="ED29" s="34" t="n">
        <f aca="false">IF(ED$15=1,INDEX(Vol_O,9,ED$14)/12*(1+P_dVol),0)</f>
        <v>0</v>
      </c>
      <c r="EE29" s="34" t="n">
        <f aca="false">IF(EE$15=1,INDEX(Vol_O,9,EE$14)/12*(1+P_dVol),0)</f>
        <v>0</v>
      </c>
      <c r="EF29" s="34" t="n">
        <f aca="false">IF(EF$15=1,INDEX(Vol_O,9,EF$14)/12*(1+P_dVol),0)</f>
        <v>0</v>
      </c>
      <c r="EG29" s="34" t="n">
        <f aca="false">IF(EG$15=1,INDEX(Vol_O,9,EG$14)/12*(1+P_dVol),0)</f>
        <v>0</v>
      </c>
      <c r="EH29" s="34" t="n">
        <f aca="false">IF(EH$15=1,INDEX(Vol_O,9,EH$14)/12*(1+P_dVol),0)</f>
        <v>0</v>
      </c>
      <c r="EI29" s="34" t="n">
        <f aca="false">IF(EI$15=1,INDEX(Vol_O,9,EI$14)/12*(1+P_dVol),0)</f>
        <v>0</v>
      </c>
      <c r="EJ29" s="34" t="n">
        <f aca="false">IF(EJ$15=1,INDEX(Vol_O,9,EJ$14)/12*(1+P_dVol),0)</f>
        <v>0</v>
      </c>
      <c r="EK29" s="34" t="n">
        <f aca="false">IF(EK$15=1,INDEX(Vol_O,9,EK$14)/12*(1+P_dVol),0)</f>
        <v>0</v>
      </c>
      <c r="EL29" s="34" t="n">
        <f aca="false">IF(EL$15=1,INDEX(Vol_O,9,EL$14)/12*(1+P_dVol),0)</f>
        <v>0</v>
      </c>
      <c r="EM29" s="34" t="n">
        <f aca="false">IF(EM$15=1,INDEX(Vol_O,9,EM$14)/12*(1+P_dVol),0)</f>
        <v>0</v>
      </c>
      <c r="EN29" s="34" t="n">
        <f aca="false">IF(EN$15=1,INDEX(Vol_O,9,EN$14)/12*(1+P_dVol),0)</f>
        <v>0</v>
      </c>
      <c r="EO29" s="34" t="n">
        <f aca="false">IF(EO$15=1,INDEX(Vol_O,9,EO$14)/12*(1+P_dVol),0)</f>
        <v>0</v>
      </c>
      <c r="EP29" s="34" t="n">
        <f aca="false">IF(EP$15=1,INDEX(Vol_O,9,EP$14)/12*(1+P_dVol),0)</f>
        <v>0</v>
      </c>
      <c r="EQ29" s="34" t="n">
        <f aca="false">IF(EQ$15=1,INDEX(Vol_O,9,EQ$14)/12*(1+P_dVol),0)</f>
        <v>0</v>
      </c>
      <c r="ER29" s="34" t="n">
        <f aca="false">IF(ER$15=1,INDEX(Vol_O,9,ER$14)/12*(1+P_dVol),0)</f>
        <v>0</v>
      </c>
      <c r="ES29" s="34" t="n">
        <f aca="false">IF(ES$15=1,INDEX(Vol_O,9,ES$14)/12*(1+P_dVol),0)</f>
        <v>0</v>
      </c>
    </row>
    <row r="30" customFormat="false" ht="15" hidden="false" customHeight="false" outlineLevel="0" collapsed="false">
      <c r="A30" s="2" t="s">
        <v>441</v>
      </c>
      <c r="B30" s="39" t="str">
        <f aca="false">IF(INDEX(Prod_Nombre,10)="","Producto 10",INDEX(Prod_Nombre,10))&amp;" — unidades"</f>
        <v>Producto 10 — unidades</v>
      </c>
      <c r="C30" s="6" t="s">
        <v>337</v>
      </c>
      <c r="E30" s="40" t="n">
        <f aca="false">SUM(F30:ES30)</f>
        <v>0</v>
      </c>
      <c r="F30" s="34" t="n">
        <f aca="false">IF(F$15=1,INDEX(Vol_O,10,F$14)/12*(1+P_dVol),0)</f>
        <v>0</v>
      </c>
      <c r="G30" s="34" t="n">
        <f aca="false">IF(G$15=1,INDEX(Vol_O,10,G$14)/12*(1+P_dVol),0)</f>
        <v>0</v>
      </c>
      <c r="H30" s="34" t="n">
        <f aca="false">IF(H$15=1,INDEX(Vol_O,10,H$14)/12*(1+P_dVol),0)</f>
        <v>0</v>
      </c>
      <c r="I30" s="34" t="n">
        <f aca="false">IF(I$15=1,INDEX(Vol_O,10,I$14)/12*(1+P_dVol),0)</f>
        <v>0</v>
      </c>
      <c r="J30" s="34" t="n">
        <f aca="false">IF(J$15=1,INDEX(Vol_O,10,J$14)/12*(1+P_dVol),0)</f>
        <v>0</v>
      </c>
      <c r="K30" s="34" t="n">
        <f aca="false">IF(K$15=1,INDEX(Vol_O,10,K$14)/12*(1+P_dVol),0)</f>
        <v>0</v>
      </c>
      <c r="L30" s="34" t="n">
        <f aca="false">IF(L$15=1,INDEX(Vol_O,10,L$14)/12*(1+P_dVol),0)</f>
        <v>0</v>
      </c>
      <c r="M30" s="34" t="n">
        <f aca="false">IF(M$15=1,INDEX(Vol_O,10,M$14)/12*(1+P_dVol),0)</f>
        <v>0</v>
      </c>
      <c r="N30" s="34" t="n">
        <f aca="false">IF(N$15=1,INDEX(Vol_O,10,N$14)/12*(1+P_dVol),0)</f>
        <v>0</v>
      </c>
      <c r="O30" s="34" t="n">
        <f aca="false">IF(O$15=1,INDEX(Vol_O,10,O$14)/12*(1+P_dVol),0)</f>
        <v>0</v>
      </c>
      <c r="P30" s="34" t="n">
        <f aca="false">IF(P$15=1,INDEX(Vol_O,10,P$14)/12*(1+P_dVol),0)</f>
        <v>0</v>
      </c>
      <c r="Q30" s="34" t="n">
        <f aca="false">IF(Q$15=1,INDEX(Vol_O,10,Q$14)/12*(1+P_dVol),0)</f>
        <v>0</v>
      </c>
      <c r="R30" s="34" t="n">
        <f aca="false">IF(R$15=1,INDEX(Vol_O,10,R$14)/12*(1+P_dVol),0)</f>
        <v>0</v>
      </c>
      <c r="S30" s="34" t="n">
        <f aca="false">IF(S$15=1,INDEX(Vol_O,10,S$14)/12*(1+P_dVol),0)</f>
        <v>0</v>
      </c>
      <c r="T30" s="34" t="n">
        <f aca="false">IF(T$15=1,INDEX(Vol_O,10,T$14)/12*(1+P_dVol),0)</f>
        <v>0</v>
      </c>
      <c r="U30" s="34" t="n">
        <f aca="false">IF(U$15=1,INDEX(Vol_O,10,U$14)/12*(1+P_dVol),0)</f>
        <v>0</v>
      </c>
      <c r="V30" s="34" t="n">
        <f aca="false">IF(V$15=1,INDEX(Vol_O,10,V$14)/12*(1+P_dVol),0)</f>
        <v>0</v>
      </c>
      <c r="W30" s="34" t="n">
        <f aca="false">IF(W$15=1,INDEX(Vol_O,10,W$14)/12*(1+P_dVol),0)</f>
        <v>0</v>
      </c>
      <c r="X30" s="34" t="n">
        <f aca="false">IF(X$15=1,INDEX(Vol_O,10,X$14)/12*(1+P_dVol),0)</f>
        <v>0</v>
      </c>
      <c r="Y30" s="34" t="n">
        <f aca="false">IF(Y$15=1,INDEX(Vol_O,10,Y$14)/12*(1+P_dVol),0)</f>
        <v>0</v>
      </c>
      <c r="Z30" s="34" t="n">
        <f aca="false">IF(Z$15=1,INDEX(Vol_O,10,Z$14)/12*(1+P_dVol),0)</f>
        <v>0</v>
      </c>
      <c r="AA30" s="34" t="n">
        <f aca="false">IF(AA$15=1,INDEX(Vol_O,10,AA$14)/12*(1+P_dVol),0)</f>
        <v>0</v>
      </c>
      <c r="AB30" s="34" t="n">
        <f aca="false">IF(AB$15=1,INDEX(Vol_O,10,AB$14)/12*(1+P_dVol),0)</f>
        <v>0</v>
      </c>
      <c r="AC30" s="34" t="n">
        <f aca="false">IF(AC$15=1,INDEX(Vol_O,10,AC$14)/12*(1+P_dVol),0)</f>
        <v>0</v>
      </c>
      <c r="AD30" s="34" t="n">
        <f aca="false">IF(AD$15=1,INDEX(Vol_O,10,AD$14)/12*(1+P_dVol),0)</f>
        <v>0</v>
      </c>
      <c r="AE30" s="34" t="n">
        <f aca="false">IF(AE$15=1,INDEX(Vol_O,10,AE$14)/12*(1+P_dVol),0)</f>
        <v>0</v>
      </c>
      <c r="AF30" s="34" t="n">
        <f aca="false">IF(AF$15=1,INDEX(Vol_O,10,AF$14)/12*(1+P_dVol),0)</f>
        <v>0</v>
      </c>
      <c r="AG30" s="34" t="n">
        <f aca="false">IF(AG$15=1,INDEX(Vol_O,10,AG$14)/12*(1+P_dVol),0)</f>
        <v>0</v>
      </c>
      <c r="AH30" s="34" t="n">
        <f aca="false">IF(AH$15=1,INDEX(Vol_O,10,AH$14)/12*(1+P_dVol),0)</f>
        <v>0</v>
      </c>
      <c r="AI30" s="34" t="n">
        <f aca="false">IF(AI$15=1,INDEX(Vol_O,10,AI$14)/12*(1+P_dVol),0)</f>
        <v>0</v>
      </c>
      <c r="AJ30" s="34" t="n">
        <f aca="false">IF(AJ$15=1,INDEX(Vol_O,10,AJ$14)/12*(1+P_dVol),0)</f>
        <v>0</v>
      </c>
      <c r="AK30" s="34" t="n">
        <f aca="false">IF(AK$15=1,INDEX(Vol_O,10,AK$14)/12*(1+P_dVol),0)</f>
        <v>0</v>
      </c>
      <c r="AL30" s="34" t="n">
        <f aca="false">IF(AL$15=1,INDEX(Vol_O,10,AL$14)/12*(1+P_dVol),0)</f>
        <v>0</v>
      </c>
      <c r="AM30" s="34" t="n">
        <f aca="false">IF(AM$15=1,INDEX(Vol_O,10,AM$14)/12*(1+P_dVol),0)</f>
        <v>0</v>
      </c>
      <c r="AN30" s="34" t="n">
        <f aca="false">IF(AN$15=1,INDEX(Vol_O,10,AN$14)/12*(1+P_dVol),0)</f>
        <v>0</v>
      </c>
      <c r="AO30" s="34" t="n">
        <f aca="false">IF(AO$15=1,INDEX(Vol_O,10,AO$14)/12*(1+P_dVol),0)</f>
        <v>0</v>
      </c>
      <c r="AP30" s="34" t="n">
        <f aca="false">IF(AP$15=1,INDEX(Vol_O,10,AP$14)/12*(1+P_dVol),0)</f>
        <v>0</v>
      </c>
      <c r="AQ30" s="34" t="n">
        <f aca="false">IF(AQ$15=1,INDEX(Vol_O,10,AQ$14)/12*(1+P_dVol),0)</f>
        <v>0</v>
      </c>
      <c r="AR30" s="34" t="n">
        <f aca="false">IF(AR$15=1,INDEX(Vol_O,10,AR$14)/12*(1+P_dVol),0)</f>
        <v>0</v>
      </c>
      <c r="AS30" s="34" t="n">
        <f aca="false">IF(AS$15=1,INDEX(Vol_O,10,AS$14)/12*(1+P_dVol),0)</f>
        <v>0</v>
      </c>
      <c r="AT30" s="34" t="n">
        <f aca="false">IF(AT$15=1,INDEX(Vol_O,10,AT$14)/12*(1+P_dVol),0)</f>
        <v>0</v>
      </c>
      <c r="AU30" s="34" t="n">
        <f aca="false">IF(AU$15=1,INDEX(Vol_O,10,AU$14)/12*(1+P_dVol),0)</f>
        <v>0</v>
      </c>
      <c r="AV30" s="34" t="n">
        <f aca="false">IF(AV$15=1,INDEX(Vol_O,10,AV$14)/12*(1+P_dVol),0)</f>
        <v>0</v>
      </c>
      <c r="AW30" s="34" t="n">
        <f aca="false">IF(AW$15=1,INDEX(Vol_O,10,AW$14)/12*(1+P_dVol),0)</f>
        <v>0</v>
      </c>
      <c r="AX30" s="34" t="n">
        <f aca="false">IF(AX$15=1,INDEX(Vol_O,10,AX$14)/12*(1+P_dVol),0)</f>
        <v>0</v>
      </c>
      <c r="AY30" s="34" t="n">
        <f aca="false">IF(AY$15=1,INDEX(Vol_O,10,AY$14)/12*(1+P_dVol),0)</f>
        <v>0</v>
      </c>
      <c r="AZ30" s="34" t="n">
        <f aca="false">IF(AZ$15=1,INDEX(Vol_O,10,AZ$14)/12*(1+P_dVol),0)</f>
        <v>0</v>
      </c>
      <c r="BA30" s="34" t="n">
        <f aca="false">IF(BA$15=1,INDEX(Vol_O,10,BA$14)/12*(1+P_dVol),0)</f>
        <v>0</v>
      </c>
      <c r="BB30" s="34" t="n">
        <f aca="false">IF(BB$15=1,INDEX(Vol_O,10,BB$14)/12*(1+P_dVol),0)</f>
        <v>0</v>
      </c>
      <c r="BC30" s="34" t="n">
        <f aca="false">IF(BC$15=1,INDEX(Vol_O,10,BC$14)/12*(1+P_dVol),0)</f>
        <v>0</v>
      </c>
      <c r="BD30" s="34" t="n">
        <f aca="false">IF(BD$15=1,INDEX(Vol_O,10,BD$14)/12*(1+P_dVol),0)</f>
        <v>0</v>
      </c>
      <c r="BE30" s="34" t="n">
        <f aca="false">IF(BE$15=1,INDEX(Vol_O,10,BE$14)/12*(1+P_dVol),0)</f>
        <v>0</v>
      </c>
      <c r="BF30" s="34" t="n">
        <f aca="false">IF(BF$15=1,INDEX(Vol_O,10,BF$14)/12*(1+P_dVol),0)</f>
        <v>0</v>
      </c>
      <c r="BG30" s="34" t="n">
        <f aca="false">IF(BG$15=1,INDEX(Vol_O,10,BG$14)/12*(1+P_dVol),0)</f>
        <v>0</v>
      </c>
      <c r="BH30" s="34" t="n">
        <f aca="false">IF(BH$15=1,INDEX(Vol_O,10,BH$14)/12*(1+P_dVol),0)</f>
        <v>0</v>
      </c>
      <c r="BI30" s="34" t="n">
        <f aca="false">IF(BI$15=1,INDEX(Vol_O,10,BI$14)/12*(1+P_dVol),0)</f>
        <v>0</v>
      </c>
      <c r="BJ30" s="34" t="n">
        <f aca="false">IF(BJ$15=1,INDEX(Vol_O,10,BJ$14)/12*(1+P_dVol),0)</f>
        <v>0</v>
      </c>
      <c r="BK30" s="34" t="n">
        <f aca="false">IF(BK$15=1,INDEX(Vol_O,10,BK$14)/12*(1+P_dVol),0)</f>
        <v>0</v>
      </c>
      <c r="BL30" s="34" t="n">
        <f aca="false">IF(BL$15=1,INDEX(Vol_O,10,BL$14)/12*(1+P_dVol),0)</f>
        <v>0</v>
      </c>
      <c r="BM30" s="34" t="n">
        <f aca="false">IF(BM$15=1,INDEX(Vol_O,10,BM$14)/12*(1+P_dVol),0)</f>
        <v>0</v>
      </c>
      <c r="BN30" s="34" t="n">
        <f aca="false">IF(BN$15=1,INDEX(Vol_O,10,BN$14)/12*(1+P_dVol),0)</f>
        <v>0</v>
      </c>
      <c r="BO30" s="34" t="n">
        <f aca="false">IF(BO$15=1,INDEX(Vol_O,10,BO$14)/12*(1+P_dVol),0)</f>
        <v>0</v>
      </c>
      <c r="BP30" s="34" t="n">
        <f aca="false">IF(BP$15=1,INDEX(Vol_O,10,BP$14)/12*(1+P_dVol),0)</f>
        <v>0</v>
      </c>
      <c r="BQ30" s="34" t="n">
        <f aca="false">IF(BQ$15=1,INDEX(Vol_O,10,BQ$14)/12*(1+P_dVol),0)</f>
        <v>0</v>
      </c>
      <c r="BR30" s="34" t="n">
        <f aca="false">IF(BR$15=1,INDEX(Vol_O,10,BR$14)/12*(1+P_dVol),0)</f>
        <v>0</v>
      </c>
      <c r="BS30" s="34" t="n">
        <f aca="false">IF(BS$15=1,INDEX(Vol_O,10,BS$14)/12*(1+P_dVol),0)</f>
        <v>0</v>
      </c>
      <c r="BT30" s="34" t="n">
        <f aca="false">IF(BT$15=1,INDEX(Vol_O,10,BT$14)/12*(1+P_dVol),0)</f>
        <v>0</v>
      </c>
      <c r="BU30" s="34" t="n">
        <f aca="false">IF(BU$15=1,INDEX(Vol_O,10,BU$14)/12*(1+P_dVol),0)</f>
        <v>0</v>
      </c>
      <c r="BV30" s="34" t="n">
        <f aca="false">IF(BV$15=1,INDEX(Vol_O,10,BV$14)/12*(1+P_dVol),0)</f>
        <v>0</v>
      </c>
      <c r="BW30" s="34" t="n">
        <f aca="false">IF(BW$15=1,INDEX(Vol_O,10,BW$14)/12*(1+P_dVol),0)</f>
        <v>0</v>
      </c>
      <c r="BX30" s="34" t="n">
        <f aca="false">IF(BX$15=1,INDEX(Vol_O,10,BX$14)/12*(1+P_dVol),0)</f>
        <v>0</v>
      </c>
      <c r="BY30" s="34" t="n">
        <f aca="false">IF(BY$15=1,INDEX(Vol_O,10,BY$14)/12*(1+P_dVol),0)</f>
        <v>0</v>
      </c>
      <c r="BZ30" s="34" t="n">
        <f aca="false">IF(BZ$15=1,INDEX(Vol_O,10,BZ$14)/12*(1+P_dVol),0)</f>
        <v>0</v>
      </c>
      <c r="CA30" s="34" t="n">
        <f aca="false">IF(CA$15=1,INDEX(Vol_O,10,CA$14)/12*(1+P_dVol),0)</f>
        <v>0</v>
      </c>
      <c r="CB30" s="34" t="n">
        <f aca="false">IF(CB$15=1,INDEX(Vol_O,10,CB$14)/12*(1+P_dVol),0)</f>
        <v>0</v>
      </c>
      <c r="CC30" s="34" t="n">
        <f aca="false">IF(CC$15=1,INDEX(Vol_O,10,CC$14)/12*(1+P_dVol),0)</f>
        <v>0</v>
      </c>
      <c r="CD30" s="34" t="n">
        <f aca="false">IF(CD$15=1,INDEX(Vol_O,10,CD$14)/12*(1+P_dVol),0)</f>
        <v>0</v>
      </c>
      <c r="CE30" s="34" t="n">
        <f aca="false">IF(CE$15=1,INDEX(Vol_O,10,CE$14)/12*(1+P_dVol),0)</f>
        <v>0</v>
      </c>
      <c r="CF30" s="34" t="n">
        <f aca="false">IF(CF$15=1,INDEX(Vol_O,10,CF$14)/12*(1+P_dVol),0)</f>
        <v>0</v>
      </c>
      <c r="CG30" s="34" t="n">
        <f aca="false">IF(CG$15=1,INDEX(Vol_O,10,CG$14)/12*(1+P_dVol),0)</f>
        <v>0</v>
      </c>
      <c r="CH30" s="34" t="n">
        <f aca="false">IF(CH$15=1,INDEX(Vol_O,10,CH$14)/12*(1+P_dVol),0)</f>
        <v>0</v>
      </c>
      <c r="CI30" s="34" t="n">
        <f aca="false">IF(CI$15=1,INDEX(Vol_O,10,CI$14)/12*(1+P_dVol),0)</f>
        <v>0</v>
      </c>
      <c r="CJ30" s="34" t="n">
        <f aca="false">IF(CJ$15=1,INDEX(Vol_O,10,CJ$14)/12*(1+P_dVol),0)</f>
        <v>0</v>
      </c>
      <c r="CK30" s="34" t="n">
        <f aca="false">IF(CK$15=1,INDEX(Vol_O,10,CK$14)/12*(1+P_dVol),0)</f>
        <v>0</v>
      </c>
      <c r="CL30" s="34" t="n">
        <f aca="false">IF(CL$15=1,INDEX(Vol_O,10,CL$14)/12*(1+P_dVol),0)</f>
        <v>0</v>
      </c>
      <c r="CM30" s="34" t="n">
        <f aca="false">IF(CM$15=1,INDEX(Vol_O,10,CM$14)/12*(1+P_dVol),0)</f>
        <v>0</v>
      </c>
      <c r="CN30" s="34" t="n">
        <f aca="false">IF(CN$15=1,INDEX(Vol_O,10,CN$14)/12*(1+P_dVol),0)</f>
        <v>0</v>
      </c>
      <c r="CO30" s="34" t="n">
        <f aca="false">IF(CO$15=1,INDEX(Vol_O,10,CO$14)/12*(1+P_dVol),0)</f>
        <v>0</v>
      </c>
      <c r="CP30" s="34" t="n">
        <f aca="false">IF(CP$15=1,INDEX(Vol_O,10,CP$14)/12*(1+P_dVol),0)</f>
        <v>0</v>
      </c>
      <c r="CQ30" s="34" t="n">
        <f aca="false">IF(CQ$15=1,INDEX(Vol_O,10,CQ$14)/12*(1+P_dVol),0)</f>
        <v>0</v>
      </c>
      <c r="CR30" s="34" t="n">
        <f aca="false">IF(CR$15=1,INDEX(Vol_O,10,CR$14)/12*(1+P_dVol),0)</f>
        <v>0</v>
      </c>
      <c r="CS30" s="34" t="n">
        <f aca="false">IF(CS$15=1,INDEX(Vol_O,10,CS$14)/12*(1+P_dVol),0)</f>
        <v>0</v>
      </c>
      <c r="CT30" s="34" t="n">
        <f aca="false">IF(CT$15=1,INDEX(Vol_O,10,CT$14)/12*(1+P_dVol),0)</f>
        <v>0</v>
      </c>
      <c r="CU30" s="34" t="n">
        <f aca="false">IF(CU$15=1,INDEX(Vol_O,10,CU$14)/12*(1+P_dVol),0)</f>
        <v>0</v>
      </c>
      <c r="CV30" s="34" t="n">
        <f aca="false">IF(CV$15=1,INDEX(Vol_O,10,CV$14)/12*(1+P_dVol),0)</f>
        <v>0</v>
      </c>
      <c r="CW30" s="34" t="n">
        <f aca="false">IF(CW$15=1,INDEX(Vol_O,10,CW$14)/12*(1+P_dVol),0)</f>
        <v>0</v>
      </c>
      <c r="CX30" s="34" t="n">
        <f aca="false">IF(CX$15=1,INDEX(Vol_O,10,CX$14)/12*(1+P_dVol),0)</f>
        <v>0</v>
      </c>
      <c r="CY30" s="34" t="n">
        <f aca="false">IF(CY$15=1,INDEX(Vol_O,10,CY$14)/12*(1+P_dVol),0)</f>
        <v>0</v>
      </c>
      <c r="CZ30" s="34" t="n">
        <f aca="false">IF(CZ$15=1,INDEX(Vol_O,10,CZ$14)/12*(1+P_dVol),0)</f>
        <v>0</v>
      </c>
      <c r="DA30" s="34" t="n">
        <f aca="false">IF(DA$15=1,INDEX(Vol_O,10,DA$14)/12*(1+P_dVol),0)</f>
        <v>0</v>
      </c>
      <c r="DB30" s="34" t="n">
        <f aca="false">IF(DB$15=1,INDEX(Vol_O,10,DB$14)/12*(1+P_dVol),0)</f>
        <v>0</v>
      </c>
      <c r="DC30" s="34" t="n">
        <f aca="false">IF(DC$15=1,INDEX(Vol_O,10,DC$14)/12*(1+P_dVol),0)</f>
        <v>0</v>
      </c>
      <c r="DD30" s="34" t="n">
        <f aca="false">IF(DD$15=1,INDEX(Vol_O,10,DD$14)/12*(1+P_dVol),0)</f>
        <v>0</v>
      </c>
      <c r="DE30" s="34" t="n">
        <f aca="false">IF(DE$15=1,INDEX(Vol_O,10,DE$14)/12*(1+P_dVol),0)</f>
        <v>0</v>
      </c>
      <c r="DF30" s="34" t="n">
        <f aca="false">IF(DF$15=1,INDEX(Vol_O,10,DF$14)/12*(1+P_dVol),0)</f>
        <v>0</v>
      </c>
      <c r="DG30" s="34" t="n">
        <f aca="false">IF(DG$15=1,INDEX(Vol_O,10,DG$14)/12*(1+P_dVol),0)</f>
        <v>0</v>
      </c>
      <c r="DH30" s="34" t="n">
        <f aca="false">IF(DH$15=1,INDEX(Vol_O,10,DH$14)/12*(1+P_dVol),0)</f>
        <v>0</v>
      </c>
      <c r="DI30" s="34" t="n">
        <f aca="false">IF(DI$15=1,INDEX(Vol_O,10,DI$14)/12*(1+P_dVol),0)</f>
        <v>0</v>
      </c>
      <c r="DJ30" s="34" t="n">
        <f aca="false">IF(DJ$15=1,INDEX(Vol_O,10,DJ$14)/12*(1+P_dVol),0)</f>
        <v>0</v>
      </c>
      <c r="DK30" s="34" t="n">
        <f aca="false">IF(DK$15=1,INDEX(Vol_O,10,DK$14)/12*(1+P_dVol),0)</f>
        <v>0</v>
      </c>
      <c r="DL30" s="34" t="n">
        <f aca="false">IF(DL$15=1,INDEX(Vol_O,10,DL$14)/12*(1+P_dVol),0)</f>
        <v>0</v>
      </c>
      <c r="DM30" s="34" t="n">
        <f aca="false">IF(DM$15=1,INDEX(Vol_O,10,DM$14)/12*(1+P_dVol),0)</f>
        <v>0</v>
      </c>
      <c r="DN30" s="34" t="n">
        <f aca="false">IF(DN$15=1,INDEX(Vol_O,10,DN$14)/12*(1+P_dVol),0)</f>
        <v>0</v>
      </c>
      <c r="DO30" s="34" t="n">
        <f aca="false">IF(DO$15=1,INDEX(Vol_O,10,DO$14)/12*(1+P_dVol),0)</f>
        <v>0</v>
      </c>
      <c r="DP30" s="34" t="n">
        <f aca="false">IF(DP$15=1,INDEX(Vol_O,10,DP$14)/12*(1+P_dVol),0)</f>
        <v>0</v>
      </c>
      <c r="DQ30" s="34" t="n">
        <f aca="false">IF(DQ$15=1,INDEX(Vol_O,10,DQ$14)/12*(1+P_dVol),0)</f>
        <v>0</v>
      </c>
      <c r="DR30" s="34" t="n">
        <f aca="false">IF(DR$15=1,INDEX(Vol_O,10,DR$14)/12*(1+P_dVol),0)</f>
        <v>0</v>
      </c>
      <c r="DS30" s="34" t="n">
        <f aca="false">IF(DS$15=1,INDEX(Vol_O,10,DS$14)/12*(1+P_dVol),0)</f>
        <v>0</v>
      </c>
      <c r="DT30" s="34" t="n">
        <f aca="false">IF(DT$15=1,INDEX(Vol_O,10,DT$14)/12*(1+P_dVol),0)</f>
        <v>0</v>
      </c>
      <c r="DU30" s="34" t="n">
        <f aca="false">IF(DU$15=1,INDEX(Vol_O,10,DU$14)/12*(1+P_dVol),0)</f>
        <v>0</v>
      </c>
      <c r="DV30" s="34" t="n">
        <f aca="false">IF(DV$15=1,INDEX(Vol_O,10,DV$14)/12*(1+P_dVol),0)</f>
        <v>0</v>
      </c>
      <c r="DW30" s="34" t="n">
        <f aca="false">IF(DW$15=1,INDEX(Vol_O,10,DW$14)/12*(1+P_dVol),0)</f>
        <v>0</v>
      </c>
      <c r="DX30" s="34" t="n">
        <f aca="false">IF(DX$15=1,INDEX(Vol_O,10,DX$14)/12*(1+P_dVol),0)</f>
        <v>0</v>
      </c>
      <c r="DY30" s="34" t="n">
        <f aca="false">IF(DY$15=1,INDEX(Vol_O,10,DY$14)/12*(1+P_dVol),0)</f>
        <v>0</v>
      </c>
      <c r="DZ30" s="34" t="n">
        <f aca="false">IF(DZ$15=1,INDEX(Vol_O,10,DZ$14)/12*(1+P_dVol),0)</f>
        <v>0</v>
      </c>
      <c r="EA30" s="34" t="n">
        <f aca="false">IF(EA$15=1,INDEX(Vol_O,10,EA$14)/12*(1+P_dVol),0)</f>
        <v>0</v>
      </c>
      <c r="EB30" s="34" t="n">
        <f aca="false">IF(EB$15=1,INDEX(Vol_O,10,EB$14)/12*(1+P_dVol),0)</f>
        <v>0</v>
      </c>
      <c r="EC30" s="34" t="n">
        <f aca="false">IF(EC$15=1,INDEX(Vol_O,10,EC$14)/12*(1+P_dVol),0)</f>
        <v>0</v>
      </c>
      <c r="ED30" s="34" t="n">
        <f aca="false">IF(ED$15=1,INDEX(Vol_O,10,ED$14)/12*(1+P_dVol),0)</f>
        <v>0</v>
      </c>
      <c r="EE30" s="34" t="n">
        <f aca="false">IF(EE$15=1,INDEX(Vol_O,10,EE$14)/12*(1+P_dVol),0)</f>
        <v>0</v>
      </c>
      <c r="EF30" s="34" t="n">
        <f aca="false">IF(EF$15=1,INDEX(Vol_O,10,EF$14)/12*(1+P_dVol),0)</f>
        <v>0</v>
      </c>
      <c r="EG30" s="34" t="n">
        <f aca="false">IF(EG$15=1,INDEX(Vol_O,10,EG$14)/12*(1+P_dVol),0)</f>
        <v>0</v>
      </c>
      <c r="EH30" s="34" t="n">
        <f aca="false">IF(EH$15=1,INDEX(Vol_O,10,EH$14)/12*(1+P_dVol),0)</f>
        <v>0</v>
      </c>
      <c r="EI30" s="34" t="n">
        <f aca="false">IF(EI$15=1,INDEX(Vol_O,10,EI$14)/12*(1+P_dVol),0)</f>
        <v>0</v>
      </c>
      <c r="EJ30" s="34" t="n">
        <f aca="false">IF(EJ$15=1,INDEX(Vol_O,10,EJ$14)/12*(1+P_dVol),0)</f>
        <v>0</v>
      </c>
      <c r="EK30" s="34" t="n">
        <f aca="false">IF(EK$15=1,INDEX(Vol_O,10,EK$14)/12*(1+P_dVol),0)</f>
        <v>0</v>
      </c>
      <c r="EL30" s="34" t="n">
        <f aca="false">IF(EL$15=1,INDEX(Vol_O,10,EL$14)/12*(1+P_dVol),0)</f>
        <v>0</v>
      </c>
      <c r="EM30" s="34" t="n">
        <f aca="false">IF(EM$15=1,INDEX(Vol_O,10,EM$14)/12*(1+P_dVol),0)</f>
        <v>0</v>
      </c>
      <c r="EN30" s="34" t="n">
        <f aca="false">IF(EN$15=1,INDEX(Vol_O,10,EN$14)/12*(1+P_dVol),0)</f>
        <v>0</v>
      </c>
      <c r="EO30" s="34" t="n">
        <f aca="false">IF(EO$15=1,INDEX(Vol_O,10,EO$14)/12*(1+P_dVol),0)</f>
        <v>0</v>
      </c>
      <c r="EP30" s="34" t="n">
        <f aca="false">IF(EP$15=1,INDEX(Vol_O,10,EP$14)/12*(1+P_dVol),0)</f>
        <v>0</v>
      </c>
      <c r="EQ30" s="34" t="n">
        <f aca="false">IF(EQ$15=1,INDEX(Vol_O,10,EQ$14)/12*(1+P_dVol),0)</f>
        <v>0</v>
      </c>
      <c r="ER30" s="34" t="n">
        <f aca="false">IF(ER$15=1,INDEX(Vol_O,10,ER$14)/12*(1+P_dVol),0)</f>
        <v>0</v>
      </c>
      <c r="ES30" s="34" t="n">
        <f aca="false">IF(ES$15=1,INDEX(Vol_O,10,ES$14)/12*(1+P_dVol),0)</f>
        <v>0</v>
      </c>
    </row>
    <row r="31" customFormat="false" ht="15" hidden="false" customHeight="false" outlineLevel="0" collapsed="false">
      <c r="A31" s="2" t="s">
        <v>442</v>
      </c>
      <c r="B31" s="39" t="str">
        <f aca="false">IF(INDEX(Prod_Nombre,11)="","Producto 11",INDEX(Prod_Nombre,11))&amp;" — unidades"</f>
        <v>Producto 11 — unidades</v>
      </c>
      <c r="C31" s="6" t="s">
        <v>337</v>
      </c>
      <c r="E31" s="40" t="n">
        <f aca="false">SUM(F31:ES31)</f>
        <v>0</v>
      </c>
      <c r="F31" s="34" t="n">
        <f aca="false">IF(F$15=1,INDEX(Vol_O,11,F$14)/12*(1+P_dVol),0)</f>
        <v>0</v>
      </c>
      <c r="G31" s="34" t="n">
        <f aca="false">IF(G$15=1,INDEX(Vol_O,11,G$14)/12*(1+P_dVol),0)</f>
        <v>0</v>
      </c>
      <c r="H31" s="34" t="n">
        <f aca="false">IF(H$15=1,INDEX(Vol_O,11,H$14)/12*(1+P_dVol),0)</f>
        <v>0</v>
      </c>
      <c r="I31" s="34" t="n">
        <f aca="false">IF(I$15=1,INDEX(Vol_O,11,I$14)/12*(1+P_dVol),0)</f>
        <v>0</v>
      </c>
      <c r="J31" s="34" t="n">
        <f aca="false">IF(J$15=1,INDEX(Vol_O,11,J$14)/12*(1+P_dVol),0)</f>
        <v>0</v>
      </c>
      <c r="K31" s="34" t="n">
        <f aca="false">IF(K$15=1,INDEX(Vol_O,11,K$14)/12*(1+P_dVol),0)</f>
        <v>0</v>
      </c>
      <c r="L31" s="34" t="n">
        <f aca="false">IF(L$15=1,INDEX(Vol_O,11,L$14)/12*(1+P_dVol),0)</f>
        <v>0</v>
      </c>
      <c r="M31" s="34" t="n">
        <f aca="false">IF(M$15=1,INDEX(Vol_O,11,M$14)/12*(1+P_dVol),0)</f>
        <v>0</v>
      </c>
      <c r="N31" s="34" t="n">
        <f aca="false">IF(N$15=1,INDEX(Vol_O,11,N$14)/12*(1+P_dVol),0)</f>
        <v>0</v>
      </c>
      <c r="O31" s="34" t="n">
        <f aca="false">IF(O$15=1,INDEX(Vol_O,11,O$14)/12*(1+P_dVol),0)</f>
        <v>0</v>
      </c>
      <c r="P31" s="34" t="n">
        <f aca="false">IF(P$15=1,INDEX(Vol_O,11,P$14)/12*(1+P_dVol),0)</f>
        <v>0</v>
      </c>
      <c r="Q31" s="34" t="n">
        <f aca="false">IF(Q$15=1,INDEX(Vol_O,11,Q$14)/12*(1+P_dVol),0)</f>
        <v>0</v>
      </c>
      <c r="R31" s="34" t="n">
        <f aca="false">IF(R$15=1,INDEX(Vol_O,11,R$14)/12*(1+P_dVol),0)</f>
        <v>0</v>
      </c>
      <c r="S31" s="34" t="n">
        <f aca="false">IF(S$15=1,INDEX(Vol_O,11,S$14)/12*(1+P_dVol),0)</f>
        <v>0</v>
      </c>
      <c r="T31" s="34" t="n">
        <f aca="false">IF(T$15=1,INDEX(Vol_O,11,T$14)/12*(1+P_dVol),0)</f>
        <v>0</v>
      </c>
      <c r="U31" s="34" t="n">
        <f aca="false">IF(U$15=1,INDEX(Vol_O,11,U$14)/12*(1+P_dVol),0)</f>
        <v>0</v>
      </c>
      <c r="V31" s="34" t="n">
        <f aca="false">IF(V$15=1,INDEX(Vol_O,11,V$14)/12*(1+P_dVol),0)</f>
        <v>0</v>
      </c>
      <c r="W31" s="34" t="n">
        <f aca="false">IF(W$15=1,INDEX(Vol_O,11,W$14)/12*(1+P_dVol),0)</f>
        <v>0</v>
      </c>
      <c r="X31" s="34" t="n">
        <f aca="false">IF(X$15=1,INDEX(Vol_O,11,X$14)/12*(1+P_dVol),0)</f>
        <v>0</v>
      </c>
      <c r="Y31" s="34" t="n">
        <f aca="false">IF(Y$15=1,INDEX(Vol_O,11,Y$14)/12*(1+P_dVol),0)</f>
        <v>0</v>
      </c>
      <c r="Z31" s="34" t="n">
        <f aca="false">IF(Z$15=1,INDEX(Vol_O,11,Z$14)/12*(1+P_dVol),0)</f>
        <v>0</v>
      </c>
      <c r="AA31" s="34" t="n">
        <f aca="false">IF(AA$15=1,INDEX(Vol_O,11,AA$14)/12*(1+P_dVol),0)</f>
        <v>0</v>
      </c>
      <c r="AB31" s="34" t="n">
        <f aca="false">IF(AB$15=1,INDEX(Vol_O,11,AB$14)/12*(1+P_dVol),0)</f>
        <v>0</v>
      </c>
      <c r="AC31" s="34" t="n">
        <f aca="false">IF(AC$15=1,INDEX(Vol_O,11,AC$14)/12*(1+P_dVol),0)</f>
        <v>0</v>
      </c>
      <c r="AD31" s="34" t="n">
        <f aca="false">IF(AD$15=1,INDEX(Vol_O,11,AD$14)/12*(1+P_dVol),0)</f>
        <v>0</v>
      </c>
      <c r="AE31" s="34" t="n">
        <f aca="false">IF(AE$15=1,INDEX(Vol_O,11,AE$14)/12*(1+P_dVol),0)</f>
        <v>0</v>
      </c>
      <c r="AF31" s="34" t="n">
        <f aca="false">IF(AF$15=1,INDEX(Vol_O,11,AF$14)/12*(1+P_dVol),0)</f>
        <v>0</v>
      </c>
      <c r="AG31" s="34" t="n">
        <f aca="false">IF(AG$15=1,INDEX(Vol_O,11,AG$14)/12*(1+P_dVol),0)</f>
        <v>0</v>
      </c>
      <c r="AH31" s="34" t="n">
        <f aca="false">IF(AH$15=1,INDEX(Vol_O,11,AH$14)/12*(1+P_dVol),0)</f>
        <v>0</v>
      </c>
      <c r="AI31" s="34" t="n">
        <f aca="false">IF(AI$15=1,INDEX(Vol_O,11,AI$14)/12*(1+P_dVol),0)</f>
        <v>0</v>
      </c>
      <c r="AJ31" s="34" t="n">
        <f aca="false">IF(AJ$15=1,INDEX(Vol_O,11,AJ$14)/12*(1+P_dVol),0)</f>
        <v>0</v>
      </c>
      <c r="AK31" s="34" t="n">
        <f aca="false">IF(AK$15=1,INDEX(Vol_O,11,AK$14)/12*(1+P_dVol),0)</f>
        <v>0</v>
      </c>
      <c r="AL31" s="34" t="n">
        <f aca="false">IF(AL$15=1,INDEX(Vol_O,11,AL$14)/12*(1+P_dVol),0)</f>
        <v>0</v>
      </c>
      <c r="AM31" s="34" t="n">
        <f aca="false">IF(AM$15=1,INDEX(Vol_O,11,AM$14)/12*(1+P_dVol),0)</f>
        <v>0</v>
      </c>
      <c r="AN31" s="34" t="n">
        <f aca="false">IF(AN$15=1,INDEX(Vol_O,11,AN$14)/12*(1+P_dVol),0)</f>
        <v>0</v>
      </c>
      <c r="AO31" s="34" t="n">
        <f aca="false">IF(AO$15=1,INDEX(Vol_O,11,AO$14)/12*(1+P_dVol),0)</f>
        <v>0</v>
      </c>
      <c r="AP31" s="34" t="n">
        <f aca="false">IF(AP$15=1,INDEX(Vol_O,11,AP$14)/12*(1+P_dVol),0)</f>
        <v>0</v>
      </c>
      <c r="AQ31" s="34" t="n">
        <f aca="false">IF(AQ$15=1,INDEX(Vol_O,11,AQ$14)/12*(1+P_dVol),0)</f>
        <v>0</v>
      </c>
      <c r="AR31" s="34" t="n">
        <f aca="false">IF(AR$15=1,INDEX(Vol_O,11,AR$14)/12*(1+P_dVol),0)</f>
        <v>0</v>
      </c>
      <c r="AS31" s="34" t="n">
        <f aca="false">IF(AS$15=1,INDEX(Vol_O,11,AS$14)/12*(1+P_dVol),0)</f>
        <v>0</v>
      </c>
      <c r="AT31" s="34" t="n">
        <f aca="false">IF(AT$15=1,INDEX(Vol_O,11,AT$14)/12*(1+P_dVol),0)</f>
        <v>0</v>
      </c>
      <c r="AU31" s="34" t="n">
        <f aca="false">IF(AU$15=1,INDEX(Vol_O,11,AU$14)/12*(1+P_dVol),0)</f>
        <v>0</v>
      </c>
      <c r="AV31" s="34" t="n">
        <f aca="false">IF(AV$15=1,INDEX(Vol_O,11,AV$14)/12*(1+P_dVol),0)</f>
        <v>0</v>
      </c>
      <c r="AW31" s="34" t="n">
        <f aca="false">IF(AW$15=1,INDEX(Vol_O,11,AW$14)/12*(1+P_dVol),0)</f>
        <v>0</v>
      </c>
      <c r="AX31" s="34" t="n">
        <f aca="false">IF(AX$15=1,INDEX(Vol_O,11,AX$14)/12*(1+P_dVol),0)</f>
        <v>0</v>
      </c>
      <c r="AY31" s="34" t="n">
        <f aca="false">IF(AY$15=1,INDEX(Vol_O,11,AY$14)/12*(1+P_dVol),0)</f>
        <v>0</v>
      </c>
      <c r="AZ31" s="34" t="n">
        <f aca="false">IF(AZ$15=1,INDEX(Vol_O,11,AZ$14)/12*(1+P_dVol),0)</f>
        <v>0</v>
      </c>
      <c r="BA31" s="34" t="n">
        <f aca="false">IF(BA$15=1,INDEX(Vol_O,11,BA$14)/12*(1+P_dVol),0)</f>
        <v>0</v>
      </c>
      <c r="BB31" s="34" t="n">
        <f aca="false">IF(BB$15=1,INDEX(Vol_O,11,BB$14)/12*(1+P_dVol),0)</f>
        <v>0</v>
      </c>
      <c r="BC31" s="34" t="n">
        <f aca="false">IF(BC$15=1,INDEX(Vol_O,11,BC$14)/12*(1+P_dVol),0)</f>
        <v>0</v>
      </c>
      <c r="BD31" s="34" t="n">
        <f aca="false">IF(BD$15=1,INDEX(Vol_O,11,BD$14)/12*(1+P_dVol),0)</f>
        <v>0</v>
      </c>
      <c r="BE31" s="34" t="n">
        <f aca="false">IF(BE$15=1,INDEX(Vol_O,11,BE$14)/12*(1+P_dVol),0)</f>
        <v>0</v>
      </c>
      <c r="BF31" s="34" t="n">
        <f aca="false">IF(BF$15=1,INDEX(Vol_O,11,BF$14)/12*(1+P_dVol),0)</f>
        <v>0</v>
      </c>
      <c r="BG31" s="34" t="n">
        <f aca="false">IF(BG$15=1,INDEX(Vol_O,11,BG$14)/12*(1+P_dVol),0)</f>
        <v>0</v>
      </c>
      <c r="BH31" s="34" t="n">
        <f aca="false">IF(BH$15=1,INDEX(Vol_O,11,BH$14)/12*(1+P_dVol),0)</f>
        <v>0</v>
      </c>
      <c r="BI31" s="34" t="n">
        <f aca="false">IF(BI$15=1,INDEX(Vol_O,11,BI$14)/12*(1+P_dVol),0)</f>
        <v>0</v>
      </c>
      <c r="BJ31" s="34" t="n">
        <f aca="false">IF(BJ$15=1,INDEX(Vol_O,11,BJ$14)/12*(1+P_dVol),0)</f>
        <v>0</v>
      </c>
      <c r="BK31" s="34" t="n">
        <f aca="false">IF(BK$15=1,INDEX(Vol_O,11,BK$14)/12*(1+P_dVol),0)</f>
        <v>0</v>
      </c>
      <c r="BL31" s="34" t="n">
        <f aca="false">IF(BL$15=1,INDEX(Vol_O,11,BL$14)/12*(1+P_dVol),0)</f>
        <v>0</v>
      </c>
      <c r="BM31" s="34" t="n">
        <f aca="false">IF(BM$15=1,INDEX(Vol_O,11,BM$14)/12*(1+P_dVol),0)</f>
        <v>0</v>
      </c>
      <c r="BN31" s="34" t="n">
        <f aca="false">IF(BN$15=1,INDEX(Vol_O,11,BN$14)/12*(1+P_dVol),0)</f>
        <v>0</v>
      </c>
      <c r="BO31" s="34" t="n">
        <f aca="false">IF(BO$15=1,INDEX(Vol_O,11,BO$14)/12*(1+P_dVol),0)</f>
        <v>0</v>
      </c>
      <c r="BP31" s="34" t="n">
        <f aca="false">IF(BP$15=1,INDEX(Vol_O,11,BP$14)/12*(1+P_dVol),0)</f>
        <v>0</v>
      </c>
      <c r="BQ31" s="34" t="n">
        <f aca="false">IF(BQ$15=1,INDEX(Vol_O,11,BQ$14)/12*(1+P_dVol),0)</f>
        <v>0</v>
      </c>
      <c r="BR31" s="34" t="n">
        <f aca="false">IF(BR$15=1,INDEX(Vol_O,11,BR$14)/12*(1+P_dVol),0)</f>
        <v>0</v>
      </c>
      <c r="BS31" s="34" t="n">
        <f aca="false">IF(BS$15=1,INDEX(Vol_O,11,BS$14)/12*(1+P_dVol),0)</f>
        <v>0</v>
      </c>
      <c r="BT31" s="34" t="n">
        <f aca="false">IF(BT$15=1,INDEX(Vol_O,11,BT$14)/12*(1+P_dVol),0)</f>
        <v>0</v>
      </c>
      <c r="BU31" s="34" t="n">
        <f aca="false">IF(BU$15=1,INDEX(Vol_O,11,BU$14)/12*(1+P_dVol),0)</f>
        <v>0</v>
      </c>
      <c r="BV31" s="34" t="n">
        <f aca="false">IF(BV$15=1,INDEX(Vol_O,11,BV$14)/12*(1+P_dVol),0)</f>
        <v>0</v>
      </c>
      <c r="BW31" s="34" t="n">
        <f aca="false">IF(BW$15=1,INDEX(Vol_O,11,BW$14)/12*(1+P_dVol),0)</f>
        <v>0</v>
      </c>
      <c r="BX31" s="34" t="n">
        <f aca="false">IF(BX$15=1,INDEX(Vol_O,11,BX$14)/12*(1+P_dVol),0)</f>
        <v>0</v>
      </c>
      <c r="BY31" s="34" t="n">
        <f aca="false">IF(BY$15=1,INDEX(Vol_O,11,BY$14)/12*(1+P_dVol),0)</f>
        <v>0</v>
      </c>
      <c r="BZ31" s="34" t="n">
        <f aca="false">IF(BZ$15=1,INDEX(Vol_O,11,BZ$14)/12*(1+P_dVol),0)</f>
        <v>0</v>
      </c>
      <c r="CA31" s="34" t="n">
        <f aca="false">IF(CA$15=1,INDEX(Vol_O,11,CA$14)/12*(1+P_dVol),0)</f>
        <v>0</v>
      </c>
      <c r="CB31" s="34" t="n">
        <f aca="false">IF(CB$15=1,INDEX(Vol_O,11,CB$14)/12*(1+P_dVol),0)</f>
        <v>0</v>
      </c>
      <c r="CC31" s="34" t="n">
        <f aca="false">IF(CC$15=1,INDEX(Vol_O,11,CC$14)/12*(1+P_dVol),0)</f>
        <v>0</v>
      </c>
      <c r="CD31" s="34" t="n">
        <f aca="false">IF(CD$15=1,INDEX(Vol_O,11,CD$14)/12*(1+P_dVol),0)</f>
        <v>0</v>
      </c>
      <c r="CE31" s="34" t="n">
        <f aca="false">IF(CE$15=1,INDEX(Vol_O,11,CE$14)/12*(1+P_dVol),0)</f>
        <v>0</v>
      </c>
      <c r="CF31" s="34" t="n">
        <f aca="false">IF(CF$15=1,INDEX(Vol_O,11,CF$14)/12*(1+P_dVol),0)</f>
        <v>0</v>
      </c>
      <c r="CG31" s="34" t="n">
        <f aca="false">IF(CG$15=1,INDEX(Vol_O,11,CG$14)/12*(1+P_dVol),0)</f>
        <v>0</v>
      </c>
      <c r="CH31" s="34" t="n">
        <f aca="false">IF(CH$15=1,INDEX(Vol_O,11,CH$14)/12*(1+P_dVol),0)</f>
        <v>0</v>
      </c>
      <c r="CI31" s="34" t="n">
        <f aca="false">IF(CI$15=1,INDEX(Vol_O,11,CI$14)/12*(1+P_dVol),0)</f>
        <v>0</v>
      </c>
      <c r="CJ31" s="34" t="n">
        <f aca="false">IF(CJ$15=1,INDEX(Vol_O,11,CJ$14)/12*(1+P_dVol),0)</f>
        <v>0</v>
      </c>
      <c r="CK31" s="34" t="n">
        <f aca="false">IF(CK$15=1,INDEX(Vol_O,11,CK$14)/12*(1+P_dVol),0)</f>
        <v>0</v>
      </c>
      <c r="CL31" s="34" t="n">
        <f aca="false">IF(CL$15=1,INDEX(Vol_O,11,CL$14)/12*(1+P_dVol),0)</f>
        <v>0</v>
      </c>
      <c r="CM31" s="34" t="n">
        <f aca="false">IF(CM$15=1,INDEX(Vol_O,11,CM$14)/12*(1+P_dVol),0)</f>
        <v>0</v>
      </c>
      <c r="CN31" s="34" t="n">
        <f aca="false">IF(CN$15=1,INDEX(Vol_O,11,CN$14)/12*(1+P_dVol),0)</f>
        <v>0</v>
      </c>
      <c r="CO31" s="34" t="n">
        <f aca="false">IF(CO$15=1,INDEX(Vol_O,11,CO$14)/12*(1+P_dVol),0)</f>
        <v>0</v>
      </c>
      <c r="CP31" s="34" t="n">
        <f aca="false">IF(CP$15=1,INDEX(Vol_O,11,CP$14)/12*(1+P_dVol),0)</f>
        <v>0</v>
      </c>
      <c r="CQ31" s="34" t="n">
        <f aca="false">IF(CQ$15=1,INDEX(Vol_O,11,CQ$14)/12*(1+P_dVol),0)</f>
        <v>0</v>
      </c>
      <c r="CR31" s="34" t="n">
        <f aca="false">IF(CR$15=1,INDEX(Vol_O,11,CR$14)/12*(1+P_dVol),0)</f>
        <v>0</v>
      </c>
      <c r="CS31" s="34" t="n">
        <f aca="false">IF(CS$15=1,INDEX(Vol_O,11,CS$14)/12*(1+P_dVol),0)</f>
        <v>0</v>
      </c>
      <c r="CT31" s="34" t="n">
        <f aca="false">IF(CT$15=1,INDEX(Vol_O,11,CT$14)/12*(1+P_dVol),0)</f>
        <v>0</v>
      </c>
      <c r="CU31" s="34" t="n">
        <f aca="false">IF(CU$15=1,INDEX(Vol_O,11,CU$14)/12*(1+P_dVol),0)</f>
        <v>0</v>
      </c>
      <c r="CV31" s="34" t="n">
        <f aca="false">IF(CV$15=1,INDEX(Vol_O,11,CV$14)/12*(1+P_dVol),0)</f>
        <v>0</v>
      </c>
      <c r="CW31" s="34" t="n">
        <f aca="false">IF(CW$15=1,INDEX(Vol_O,11,CW$14)/12*(1+P_dVol),0)</f>
        <v>0</v>
      </c>
      <c r="CX31" s="34" t="n">
        <f aca="false">IF(CX$15=1,INDEX(Vol_O,11,CX$14)/12*(1+P_dVol),0)</f>
        <v>0</v>
      </c>
      <c r="CY31" s="34" t="n">
        <f aca="false">IF(CY$15=1,INDEX(Vol_O,11,CY$14)/12*(1+P_dVol),0)</f>
        <v>0</v>
      </c>
      <c r="CZ31" s="34" t="n">
        <f aca="false">IF(CZ$15=1,INDEX(Vol_O,11,CZ$14)/12*(1+P_dVol),0)</f>
        <v>0</v>
      </c>
      <c r="DA31" s="34" t="n">
        <f aca="false">IF(DA$15=1,INDEX(Vol_O,11,DA$14)/12*(1+P_dVol),0)</f>
        <v>0</v>
      </c>
      <c r="DB31" s="34" t="n">
        <f aca="false">IF(DB$15=1,INDEX(Vol_O,11,DB$14)/12*(1+P_dVol),0)</f>
        <v>0</v>
      </c>
      <c r="DC31" s="34" t="n">
        <f aca="false">IF(DC$15=1,INDEX(Vol_O,11,DC$14)/12*(1+P_dVol),0)</f>
        <v>0</v>
      </c>
      <c r="DD31" s="34" t="n">
        <f aca="false">IF(DD$15=1,INDEX(Vol_O,11,DD$14)/12*(1+P_dVol),0)</f>
        <v>0</v>
      </c>
      <c r="DE31" s="34" t="n">
        <f aca="false">IF(DE$15=1,INDEX(Vol_O,11,DE$14)/12*(1+P_dVol),0)</f>
        <v>0</v>
      </c>
      <c r="DF31" s="34" t="n">
        <f aca="false">IF(DF$15=1,INDEX(Vol_O,11,DF$14)/12*(1+P_dVol),0)</f>
        <v>0</v>
      </c>
      <c r="DG31" s="34" t="n">
        <f aca="false">IF(DG$15=1,INDEX(Vol_O,11,DG$14)/12*(1+P_dVol),0)</f>
        <v>0</v>
      </c>
      <c r="DH31" s="34" t="n">
        <f aca="false">IF(DH$15=1,INDEX(Vol_O,11,DH$14)/12*(1+P_dVol),0)</f>
        <v>0</v>
      </c>
      <c r="DI31" s="34" t="n">
        <f aca="false">IF(DI$15=1,INDEX(Vol_O,11,DI$14)/12*(1+P_dVol),0)</f>
        <v>0</v>
      </c>
      <c r="DJ31" s="34" t="n">
        <f aca="false">IF(DJ$15=1,INDEX(Vol_O,11,DJ$14)/12*(1+P_dVol),0)</f>
        <v>0</v>
      </c>
      <c r="DK31" s="34" t="n">
        <f aca="false">IF(DK$15=1,INDEX(Vol_O,11,DK$14)/12*(1+P_dVol),0)</f>
        <v>0</v>
      </c>
      <c r="DL31" s="34" t="n">
        <f aca="false">IF(DL$15=1,INDEX(Vol_O,11,DL$14)/12*(1+P_dVol),0)</f>
        <v>0</v>
      </c>
      <c r="DM31" s="34" t="n">
        <f aca="false">IF(DM$15=1,INDEX(Vol_O,11,DM$14)/12*(1+P_dVol),0)</f>
        <v>0</v>
      </c>
      <c r="DN31" s="34" t="n">
        <f aca="false">IF(DN$15=1,INDEX(Vol_O,11,DN$14)/12*(1+P_dVol),0)</f>
        <v>0</v>
      </c>
      <c r="DO31" s="34" t="n">
        <f aca="false">IF(DO$15=1,INDEX(Vol_O,11,DO$14)/12*(1+P_dVol),0)</f>
        <v>0</v>
      </c>
      <c r="DP31" s="34" t="n">
        <f aca="false">IF(DP$15=1,INDEX(Vol_O,11,DP$14)/12*(1+P_dVol),0)</f>
        <v>0</v>
      </c>
      <c r="DQ31" s="34" t="n">
        <f aca="false">IF(DQ$15=1,INDEX(Vol_O,11,DQ$14)/12*(1+P_dVol),0)</f>
        <v>0</v>
      </c>
      <c r="DR31" s="34" t="n">
        <f aca="false">IF(DR$15=1,INDEX(Vol_O,11,DR$14)/12*(1+P_dVol),0)</f>
        <v>0</v>
      </c>
      <c r="DS31" s="34" t="n">
        <f aca="false">IF(DS$15=1,INDEX(Vol_O,11,DS$14)/12*(1+P_dVol),0)</f>
        <v>0</v>
      </c>
      <c r="DT31" s="34" t="n">
        <f aca="false">IF(DT$15=1,INDEX(Vol_O,11,DT$14)/12*(1+P_dVol),0)</f>
        <v>0</v>
      </c>
      <c r="DU31" s="34" t="n">
        <f aca="false">IF(DU$15=1,INDEX(Vol_O,11,DU$14)/12*(1+P_dVol),0)</f>
        <v>0</v>
      </c>
      <c r="DV31" s="34" t="n">
        <f aca="false">IF(DV$15=1,INDEX(Vol_O,11,DV$14)/12*(1+P_dVol),0)</f>
        <v>0</v>
      </c>
      <c r="DW31" s="34" t="n">
        <f aca="false">IF(DW$15=1,INDEX(Vol_O,11,DW$14)/12*(1+P_dVol),0)</f>
        <v>0</v>
      </c>
      <c r="DX31" s="34" t="n">
        <f aca="false">IF(DX$15=1,INDEX(Vol_O,11,DX$14)/12*(1+P_dVol),0)</f>
        <v>0</v>
      </c>
      <c r="DY31" s="34" t="n">
        <f aca="false">IF(DY$15=1,INDEX(Vol_O,11,DY$14)/12*(1+P_dVol),0)</f>
        <v>0</v>
      </c>
      <c r="DZ31" s="34" t="n">
        <f aca="false">IF(DZ$15=1,INDEX(Vol_O,11,DZ$14)/12*(1+P_dVol),0)</f>
        <v>0</v>
      </c>
      <c r="EA31" s="34" t="n">
        <f aca="false">IF(EA$15=1,INDEX(Vol_O,11,EA$14)/12*(1+P_dVol),0)</f>
        <v>0</v>
      </c>
      <c r="EB31" s="34" t="n">
        <f aca="false">IF(EB$15=1,INDEX(Vol_O,11,EB$14)/12*(1+P_dVol),0)</f>
        <v>0</v>
      </c>
      <c r="EC31" s="34" t="n">
        <f aca="false">IF(EC$15=1,INDEX(Vol_O,11,EC$14)/12*(1+P_dVol),0)</f>
        <v>0</v>
      </c>
      <c r="ED31" s="34" t="n">
        <f aca="false">IF(ED$15=1,INDEX(Vol_O,11,ED$14)/12*(1+P_dVol),0)</f>
        <v>0</v>
      </c>
      <c r="EE31" s="34" t="n">
        <f aca="false">IF(EE$15=1,INDEX(Vol_O,11,EE$14)/12*(1+P_dVol),0)</f>
        <v>0</v>
      </c>
      <c r="EF31" s="34" t="n">
        <f aca="false">IF(EF$15=1,INDEX(Vol_O,11,EF$14)/12*(1+P_dVol),0)</f>
        <v>0</v>
      </c>
      <c r="EG31" s="34" t="n">
        <f aca="false">IF(EG$15=1,INDEX(Vol_O,11,EG$14)/12*(1+P_dVol),0)</f>
        <v>0</v>
      </c>
      <c r="EH31" s="34" t="n">
        <f aca="false">IF(EH$15=1,INDEX(Vol_O,11,EH$14)/12*(1+P_dVol),0)</f>
        <v>0</v>
      </c>
      <c r="EI31" s="34" t="n">
        <f aca="false">IF(EI$15=1,INDEX(Vol_O,11,EI$14)/12*(1+P_dVol),0)</f>
        <v>0</v>
      </c>
      <c r="EJ31" s="34" t="n">
        <f aca="false">IF(EJ$15=1,INDEX(Vol_O,11,EJ$14)/12*(1+P_dVol),0)</f>
        <v>0</v>
      </c>
      <c r="EK31" s="34" t="n">
        <f aca="false">IF(EK$15=1,INDEX(Vol_O,11,EK$14)/12*(1+P_dVol),0)</f>
        <v>0</v>
      </c>
      <c r="EL31" s="34" t="n">
        <f aca="false">IF(EL$15=1,INDEX(Vol_O,11,EL$14)/12*(1+P_dVol),0)</f>
        <v>0</v>
      </c>
      <c r="EM31" s="34" t="n">
        <f aca="false">IF(EM$15=1,INDEX(Vol_O,11,EM$14)/12*(1+P_dVol),0)</f>
        <v>0</v>
      </c>
      <c r="EN31" s="34" t="n">
        <f aca="false">IF(EN$15=1,INDEX(Vol_O,11,EN$14)/12*(1+P_dVol),0)</f>
        <v>0</v>
      </c>
      <c r="EO31" s="34" t="n">
        <f aca="false">IF(EO$15=1,INDEX(Vol_O,11,EO$14)/12*(1+P_dVol),0)</f>
        <v>0</v>
      </c>
      <c r="EP31" s="34" t="n">
        <f aca="false">IF(EP$15=1,INDEX(Vol_O,11,EP$14)/12*(1+P_dVol),0)</f>
        <v>0</v>
      </c>
      <c r="EQ31" s="34" t="n">
        <f aca="false">IF(EQ$15=1,INDEX(Vol_O,11,EQ$14)/12*(1+P_dVol),0)</f>
        <v>0</v>
      </c>
      <c r="ER31" s="34" t="n">
        <f aca="false">IF(ER$15=1,INDEX(Vol_O,11,ER$14)/12*(1+P_dVol),0)</f>
        <v>0</v>
      </c>
      <c r="ES31" s="34" t="n">
        <f aca="false">IF(ES$15=1,INDEX(Vol_O,11,ES$14)/12*(1+P_dVol),0)</f>
        <v>0</v>
      </c>
    </row>
    <row r="32" customFormat="false" ht="15" hidden="false" customHeight="false" outlineLevel="0" collapsed="false">
      <c r="A32" s="2" t="s">
        <v>443</v>
      </c>
      <c r="B32" s="39" t="str">
        <f aca="false">IF(INDEX(Prod_Nombre,12)="","Producto 12",INDEX(Prod_Nombre,12))&amp;" — unidades"</f>
        <v>Producto 12 — unidades</v>
      </c>
      <c r="C32" s="6" t="s">
        <v>337</v>
      </c>
      <c r="E32" s="40" t="n">
        <f aca="false">SUM(F32:ES32)</f>
        <v>0</v>
      </c>
      <c r="F32" s="34" t="n">
        <f aca="false">IF(F$15=1,INDEX(Vol_O,12,F$14)/12*(1+P_dVol),0)</f>
        <v>0</v>
      </c>
      <c r="G32" s="34" t="n">
        <f aca="false">IF(G$15=1,INDEX(Vol_O,12,G$14)/12*(1+P_dVol),0)</f>
        <v>0</v>
      </c>
      <c r="H32" s="34" t="n">
        <f aca="false">IF(H$15=1,INDEX(Vol_O,12,H$14)/12*(1+P_dVol),0)</f>
        <v>0</v>
      </c>
      <c r="I32" s="34" t="n">
        <f aca="false">IF(I$15=1,INDEX(Vol_O,12,I$14)/12*(1+P_dVol),0)</f>
        <v>0</v>
      </c>
      <c r="J32" s="34" t="n">
        <f aca="false">IF(J$15=1,INDEX(Vol_O,12,J$14)/12*(1+P_dVol),0)</f>
        <v>0</v>
      </c>
      <c r="K32" s="34" t="n">
        <f aca="false">IF(K$15=1,INDEX(Vol_O,12,K$14)/12*(1+P_dVol),0)</f>
        <v>0</v>
      </c>
      <c r="L32" s="34" t="n">
        <f aca="false">IF(L$15=1,INDEX(Vol_O,12,L$14)/12*(1+P_dVol),0)</f>
        <v>0</v>
      </c>
      <c r="M32" s="34" t="n">
        <f aca="false">IF(M$15=1,INDEX(Vol_O,12,M$14)/12*(1+P_dVol),0)</f>
        <v>0</v>
      </c>
      <c r="N32" s="34" t="n">
        <f aca="false">IF(N$15=1,INDEX(Vol_O,12,N$14)/12*(1+P_dVol),0)</f>
        <v>0</v>
      </c>
      <c r="O32" s="34" t="n">
        <f aca="false">IF(O$15=1,INDEX(Vol_O,12,O$14)/12*(1+P_dVol),0)</f>
        <v>0</v>
      </c>
      <c r="P32" s="34" t="n">
        <f aca="false">IF(P$15=1,INDEX(Vol_O,12,P$14)/12*(1+P_dVol),0)</f>
        <v>0</v>
      </c>
      <c r="Q32" s="34" t="n">
        <f aca="false">IF(Q$15=1,INDEX(Vol_O,12,Q$14)/12*(1+P_dVol),0)</f>
        <v>0</v>
      </c>
      <c r="R32" s="34" t="n">
        <f aca="false">IF(R$15=1,INDEX(Vol_O,12,R$14)/12*(1+P_dVol),0)</f>
        <v>0</v>
      </c>
      <c r="S32" s="34" t="n">
        <f aca="false">IF(S$15=1,INDEX(Vol_O,12,S$14)/12*(1+P_dVol),0)</f>
        <v>0</v>
      </c>
      <c r="T32" s="34" t="n">
        <f aca="false">IF(T$15=1,INDEX(Vol_O,12,T$14)/12*(1+P_dVol),0)</f>
        <v>0</v>
      </c>
      <c r="U32" s="34" t="n">
        <f aca="false">IF(U$15=1,INDEX(Vol_O,12,U$14)/12*(1+P_dVol),0)</f>
        <v>0</v>
      </c>
      <c r="V32" s="34" t="n">
        <f aca="false">IF(V$15=1,INDEX(Vol_O,12,V$14)/12*(1+P_dVol),0)</f>
        <v>0</v>
      </c>
      <c r="W32" s="34" t="n">
        <f aca="false">IF(W$15=1,INDEX(Vol_O,12,W$14)/12*(1+P_dVol),0)</f>
        <v>0</v>
      </c>
      <c r="X32" s="34" t="n">
        <f aca="false">IF(X$15=1,INDEX(Vol_O,12,X$14)/12*(1+P_dVol),0)</f>
        <v>0</v>
      </c>
      <c r="Y32" s="34" t="n">
        <f aca="false">IF(Y$15=1,INDEX(Vol_O,12,Y$14)/12*(1+P_dVol),0)</f>
        <v>0</v>
      </c>
      <c r="Z32" s="34" t="n">
        <f aca="false">IF(Z$15=1,INDEX(Vol_O,12,Z$14)/12*(1+P_dVol),0)</f>
        <v>0</v>
      </c>
      <c r="AA32" s="34" t="n">
        <f aca="false">IF(AA$15=1,INDEX(Vol_O,12,AA$14)/12*(1+P_dVol),0)</f>
        <v>0</v>
      </c>
      <c r="AB32" s="34" t="n">
        <f aca="false">IF(AB$15=1,INDEX(Vol_O,12,AB$14)/12*(1+P_dVol),0)</f>
        <v>0</v>
      </c>
      <c r="AC32" s="34" t="n">
        <f aca="false">IF(AC$15=1,INDEX(Vol_O,12,AC$14)/12*(1+P_dVol),0)</f>
        <v>0</v>
      </c>
      <c r="AD32" s="34" t="n">
        <f aca="false">IF(AD$15=1,INDEX(Vol_O,12,AD$14)/12*(1+P_dVol),0)</f>
        <v>0</v>
      </c>
      <c r="AE32" s="34" t="n">
        <f aca="false">IF(AE$15=1,INDEX(Vol_O,12,AE$14)/12*(1+P_dVol),0)</f>
        <v>0</v>
      </c>
      <c r="AF32" s="34" t="n">
        <f aca="false">IF(AF$15=1,INDEX(Vol_O,12,AF$14)/12*(1+P_dVol),0)</f>
        <v>0</v>
      </c>
      <c r="AG32" s="34" t="n">
        <f aca="false">IF(AG$15=1,INDEX(Vol_O,12,AG$14)/12*(1+P_dVol),0)</f>
        <v>0</v>
      </c>
      <c r="AH32" s="34" t="n">
        <f aca="false">IF(AH$15=1,INDEX(Vol_O,12,AH$14)/12*(1+P_dVol),0)</f>
        <v>0</v>
      </c>
      <c r="AI32" s="34" t="n">
        <f aca="false">IF(AI$15=1,INDEX(Vol_O,12,AI$14)/12*(1+P_dVol),0)</f>
        <v>0</v>
      </c>
      <c r="AJ32" s="34" t="n">
        <f aca="false">IF(AJ$15=1,INDEX(Vol_O,12,AJ$14)/12*(1+P_dVol),0)</f>
        <v>0</v>
      </c>
      <c r="AK32" s="34" t="n">
        <f aca="false">IF(AK$15=1,INDEX(Vol_O,12,AK$14)/12*(1+P_dVol),0)</f>
        <v>0</v>
      </c>
      <c r="AL32" s="34" t="n">
        <f aca="false">IF(AL$15=1,INDEX(Vol_O,12,AL$14)/12*(1+P_dVol),0)</f>
        <v>0</v>
      </c>
      <c r="AM32" s="34" t="n">
        <f aca="false">IF(AM$15=1,INDEX(Vol_O,12,AM$14)/12*(1+P_dVol),0)</f>
        <v>0</v>
      </c>
      <c r="AN32" s="34" t="n">
        <f aca="false">IF(AN$15=1,INDEX(Vol_O,12,AN$14)/12*(1+P_dVol),0)</f>
        <v>0</v>
      </c>
      <c r="AO32" s="34" t="n">
        <f aca="false">IF(AO$15=1,INDEX(Vol_O,12,AO$14)/12*(1+P_dVol),0)</f>
        <v>0</v>
      </c>
      <c r="AP32" s="34" t="n">
        <f aca="false">IF(AP$15=1,INDEX(Vol_O,12,AP$14)/12*(1+P_dVol),0)</f>
        <v>0</v>
      </c>
      <c r="AQ32" s="34" t="n">
        <f aca="false">IF(AQ$15=1,INDEX(Vol_O,12,AQ$14)/12*(1+P_dVol),0)</f>
        <v>0</v>
      </c>
      <c r="AR32" s="34" t="n">
        <f aca="false">IF(AR$15=1,INDEX(Vol_O,12,AR$14)/12*(1+P_dVol),0)</f>
        <v>0</v>
      </c>
      <c r="AS32" s="34" t="n">
        <f aca="false">IF(AS$15=1,INDEX(Vol_O,12,AS$14)/12*(1+P_dVol),0)</f>
        <v>0</v>
      </c>
      <c r="AT32" s="34" t="n">
        <f aca="false">IF(AT$15=1,INDEX(Vol_O,12,AT$14)/12*(1+P_dVol),0)</f>
        <v>0</v>
      </c>
      <c r="AU32" s="34" t="n">
        <f aca="false">IF(AU$15=1,INDEX(Vol_O,12,AU$14)/12*(1+P_dVol),0)</f>
        <v>0</v>
      </c>
      <c r="AV32" s="34" t="n">
        <f aca="false">IF(AV$15=1,INDEX(Vol_O,12,AV$14)/12*(1+P_dVol),0)</f>
        <v>0</v>
      </c>
      <c r="AW32" s="34" t="n">
        <f aca="false">IF(AW$15=1,INDEX(Vol_O,12,AW$14)/12*(1+P_dVol),0)</f>
        <v>0</v>
      </c>
      <c r="AX32" s="34" t="n">
        <f aca="false">IF(AX$15=1,INDEX(Vol_O,12,AX$14)/12*(1+P_dVol),0)</f>
        <v>0</v>
      </c>
      <c r="AY32" s="34" t="n">
        <f aca="false">IF(AY$15=1,INDEX(Vol_O,12,AY$14)/12*(1+P_dVol),0)</f>
        <v>0</v>
      </c>
      <c r="AZ32" s="34" t="n">
        <f aca="false">IF(AZ$15=1,INDEX(Vol_O,12,AZ$14)/12*(1+P_dVol),0)</f>
        <v>0</v>
      </c>
      <c r="BA32" s="34" t="n">
        <f aca="false">IF(BA$15=1,INDEX(Vol_O,12,BA$14)/12*(1+P_dVol),0)</f>
        <v>0</v>
      </c>
      <c r="BB32" s="34" t="n">
        <f aca="false">IF(BB$15=1,INDEX(Vol_O,12,BB$14)/12*(1+P_dVol),0)</f>
        <v>0</v>
      </c>
      <c r="BC32" s="34" t="n">
        <f aca="false">IF(BC$15=1,INDEX(Vol_O,12,BC$14)/12*(1+P_dVol),0)</f>
        <v>0</v>
      </c>
      <c r="BD32" s="34" t="n">
        <f aca="false">IF(BD$15=1,INDEX(Vol_O,12,BD$14)/12*(1+P_dVol),0)</f>
        <v>0</v>
      </c>
      <c r="BE32" s="34" t="n">
        <f aca="false">IF(BE$15=1,INDEX(Vol_O,12,BE$14)/12*(1+P_dVol),0)</f>
        <v>0</v>
      </c>
      <c r="BF32" s="34" t="n">
        <f aca="false">IF(BF$15=1,INDEX(Vol_O,12,BF$14)/12*(1+P_dVol),0)</f>
        <v>0</v>
      </c>
      <c r="BG32" s="34" t="n">
        <f aca="false">IF(BG$15=1,INDEX(Vol_O,12,BG$14)/12*(1+P_dVol),0)</f>
        <v>0</v>
      </c>
      <c r="BH32" s="34" t="n">
        <f aca="false">IF(BH$15=1,INDEX(Vol_O,12,BH$14)/12*(1+P_dVol),0)</f>
        <v>0</v>
      </c>
      <c r="BI32" s="34" t="n">
        <f aca="false">IF(BI$15=1,INDEX(Vol_O,12,BI$14)/12*(1+P_dVol),0)</f>
        <v>0</v>
      </c>
      <c r="BJ32" s="34" t="n">
        <f aca="false">IF(BJ$15=1,INDEX(Vol_O,12,BJ$14)/12*(1+P_dVol),0)</f>
        <v>0</v>
      </c>
      <c r="BK32" s="34" t="n">
        <f aca="false">IF(BK$15=1,INDEX(Vol_O,12,BK$14)/12*(1+P_dVol),0)</f>
        <v>0</v>
      </c>
      <c r="BL32" s="34" t="n">
        <f aca="false">IF(BL$15=1,INDEX(Vol_O,12,BL$14)/12*(1+P_dVol),0)</f>
        <v>0</v>
      </c>
      <c r="BM32" s="34" t="n">
        <f aca="false">IF(BM$15=1,INDEX(Vol_O,12,BM$14)/12*(1+P_dVol),0)</f>
        <v>0</v>
      </c>
      <c r="BN32" s="34" t="n">
        <f aca="false">IF(BN$15=1,INDEX(Vol_O,12,BN$14)/12*(1+P_dVol),0)</f>
        <v>0</v>
      </c>
      <c r="BO32" s="34" t="n">
        <f aca="false">IF(BO$15=1,INDEX(Vol_O,12,BO$14)/12*(1+P_dVol),0)</f>
        <v>0</v>
      </c>
      <c r="BP32" s="34" t="n">
        <f aca="false">IF(BP$15=1,INDEX(Vol_O,12,BP$14)/12*(1+P_dVol),0)</f>
        <v>0</v>
      </c>
      <c r="BQ32" s="34" t="n">
        <f aca="false">IF(BQ$15=1,INDEX(Vol_O,12,BQ$14)/12*(1+P_dVol),0)</f>
        <v>0</v>
      </c>
      <c r="BR32" s="34" t="n">
        <f aca="false">IF(BR$15=1,INDEX(Vol_O,12,BR$14)/12*(1+P_dVol),0)</f>
        <v>0</v>
      </c>
      <c r="BS32" s="34" t="n">
        <f aca="false">IF(BS$15=1,INDEX(Vol_O,12,BS$14)/12*(1+P_dVol),0)</f>
        <v>0</v>
      </c>
      <c r="BT32" s="34" t="n">
        <f aca="false">IF(BT$15=1,INDEX(Vol_O,12,BT$14)/12*(1+P_dVol),0)</f>
        <v>0</v>
      </c>
      <c r="BU32" s="34" t="n">
        <f aca="false">IF(BU$15=1,INDEX(Vol_O,12,BU$14)/12*(1+P_dVol),0)</f>
        <v>0</v>
      </c>
      <c r="BV32" s="34" t="n">
        <f aca="false">IF(BV$15=1,INDEX(Vol_O,12,BV$14)/12*(1+P_dVol),0)</f>
        <v>0</v>
      </c>
      <c r="BW32" s="34" t="n">
        <f aca="false">IF(BW$15=1,INDEX(Vol_O,12,BW$14)/12*(1+P_dVol),0)</f>
        <v>0</v>
      </c>
      <c r="BX32" s="34" t="n">
        <f aca="false">IF(BX$15=1,INDEX(Vol_O,12,BX$14)/12*(1+P_dVol),0)</f>
        <v>0</v>
      </c>
      <c r="BY32" s="34" t="n">
        <f aca="false">IF(BY$15=1,INDEX(Vol_O,12,BY$14)/12*(1+P_dVol),0)</f>
        <v>0</v>
      </c>
      <c r="BZ32" s="34" t="n">
        <f aca="false">IF(BZ$15=1,INDEX(Vol_O,12,BZ$14)/12*(1+P_dVol),0)</f>
        <v>0</v>
      </c>
      <c r="CA32" s="34" t="n">
        <f aca="false">IF(CA$15=1,INDEX(Vol_O,12,CA$14)/12*(1+P_dVol),0)</f>
        <v>0</v>
      </c>
      <c r="CB32" s="34" t="n">
        <f aca="false">IF(CB$15=1,INDEX(Vol_O,12,CB$14)/12*(1+P_dVol),0)</f>
        <v>0</v>
      </c>
      <c r="CC32" s="34" t="n">
        <f aca="false">IF(CC$15=1,INDEX(Vol_O,12,CC$14)/12*(1+P_dVol),0)</f>
        <v>0</v>
      </c>
      <c r="CD32" s="34" t="n">
        <f aca="false">IF(CD$15=1,INDEX(Vol_O,12,CD$14)/12*(1+P_dVol),0)</f>
        <v>0</v>
      </c>
      <c r="CE32" s="34" t="n">
        <f aca="false">IF(CE$15=1,INDEX(Vol_O,12,CE$14)/12*(1+P_dVol),0)</f>
        <v>0</v>
      </c>
      <c r="CF32" s="34" t="n">
        <f aca="false">IF(CF$15=1,INDEX(Vol_O,12,CF$14)/12*(1+P_dVol),0)</f>
        <v>0</v>
      </c>
      <c r="CG32" s="34" t="n">
        <f aca="false">IF(CG$15=1,INDEX(Vol_O,12,CG$14)/12*(1+P_dVol),0)</f>
        <v>0</v>
      </c>
      <c r="CH32" s="34" t="n">
        <f aca="false">IF(CH$15=1,INDEX(Vol_O,12,CH$14)/12*(1+P_dVol),0)</f>
        <v>0</v>
      </c>
      <c r="CI32" s="34" t="n">
        <f aca="false">IF(CI$15=1,INDEX(Vol_O,12,CI$14)/12*(1+P_dVol),0)</f>
        <v>0</v>
      </c>
      <c r="CJ32" s="34" t="n">
        <f aca="false">IF(CJ$15=1,INDEX(Vol_O,12,CJ$14)/12*(1+P_dVol),0)</f>
        <v>0</v>
      </c>
      <c r="CK32" s="34" t="n">
        <f aca="false">IF(CK$15=1,INDEX(Vol_O,12,CK$14)/12*(1+P_dVol),0)</f>
        <v>0</v>
      </c>
      <c r="CL32" s="34" t="n">
        <f aca="false">IF(CL$15=1,INDEX(Vol_O,12,CL$14)/12*(1+P_dVol),0)</f>
        <v>0</v>
      </c>
      <c r="CM32" s="34" t="n">
        <f aca="false">IF(CM$15=1,INDEX(Vol_O,12,CM$14)/12*(1+P_dVol),0)</f>
        <v>0</v>
      </c>
      <c r="CN32" s="34" t="n">
        <f aca="false">IF(CN$15=1,INDEX(Vol_O,12,CN$14)/12*(1+P_dVol),0)</f>
        <v>0</v>
      </c>
      <c r="CO32" s="34" t="n">
        <f aca="false">IF(CO$15=1,INDEX(Vol_O,12,CO$14)/12*(1+P_dVol),0)</f>
        <v>0</v>
      </c>
      <c r="CP32" s="34" t="n">
        <f aca="false">IF(CP$15=1,INDEX(Vol_O,12,CP$14)/12*(1+P_dVol),0)</f>
        <v>0</v>
      </c>
      <c r="CQ32" s="34" t="n">
        <f aca="false">IF(CQ$15=1,INDEX(Vol_O,12,CQ$14)/12*(1+P_dVol),0)</f>
        <v>0</v>
      </c>
      <c r="CR32" s="34" t="n">
        <f aca="false">IF(CR$15=1,INDEX(Vol_O,12,CR$14)/12*(1+P_dVol),0)</f>
        <v>0</v>
      </c>
      <c r="CS32" s="34" t="n">
        <f aca="false">IF(CS$15=1,INDEX(Vol_O,12,CS$14)/12*(1+P_dVol),0)</f>
        <v>0</v>
      </c>
      <c r="CT32" s="34" t="n">
        <f aca="false">IF(CT$15=1,INDEX(Vol_O,12,CT$14)/12*(1+P_dVol),0)</f>
        <v>0</v>
      </c>
      <c r="CU32" s="34" t="n">
        <f aca="false">IF(CU$15=1,INDEX(Vol_O,12,CU$14)/12*(1+P_dVol),0)</f>
        <v>0</v>
      </c>
      <c r="CV32" s="34" t="n">
        <f aca="false">IF(CV$15=1,INDEX(Vol_O,12,CV$14)/12*(1+P_dVol),0)</f>
        <v>0</v>
      </c>
      <c r="CW32" s="34" t="n">
        <f aca="false">IF(CW$15=1,INDEX(Vol_O,12,CW$14)/12*(1+P_dVol),0)</f>
        <v>0</v>
      </c>
      <c r="CX32" s="34" t="n">
        <f aca="false">IF(CX$15=1,INDEX(Vol_O,12,CX$14)/12*(1+P_dVol),0)</f>
        <v>0</v>
      </c>
      <c r="CY32" s="34" t="n">
        <f aca="false">IF(CY$15=1,INDEX(Vol_O,12,CY$14)/12*(1+P_dVol),0)</f>
        <v>0</v>
      </c>
      <c r="CZ32" s="34" t="n">
        <f aca="false">IF(CZ$15=1,INDEX(Vol_O,12,CZ$14)/12*(1+P_dVol),0)</f>
        <v>0</v>
      </c>
      <c r="DA32" s="34" t="n">
        <f aca="false">IF(DA$15=1,INDEX(Vol_O,12,DA$14)/12*(1+P_dVol),0)</f>
        <v>0</v>
      </c>
      <c r="DB32" s="34" t="n">
        <f aca="false">IF(DB$15=1,INDEX(Vol_O,12,DB$14)/12*(1+P_dVol),0)</f>
        <v>0</v>
      </c>
      <c r="DC32" s="34" t="n">
        <f aca="false">IF(DC$15=1,INDEX(Vol_O,12,DC$14)/12*(1+P_dVol),0)</f>
        <v>0</v>
      </c>
      <c r="DD32" s="34" t="n">
        <f aca="false">IF(DD$15=1,INDEX(Vol_O,12,DD$14)/12*(1+P_dVol),0)</f>
        <v>0</v>
      </c>
      <c r="DE32" s="34" t="n">
        <f aca="false">IF(DE$15=1,INDEX(Vol_O,12,DE$14)/12*(1+P_dVol),0)</f>
        <v>0</v>
      </c>
      <c r="DF32" s="34" t="n">
        <f aca="false">IF(DF$15=1,INDEX(Vol_O,12,DF$14)/12*(1+P_dVol),0)</f>
        <v>0</v>
      </c>
      <c r="DG32" s="34" t="n">
        <f aca="false">IF(DG$15=1,INDEX(Vol_O,12,DG$14)/12*(1+P_dVol),0)</f>
        <v>0</v>
      </c>
      <c r="DH32" s="34" t="n">
        <f aca="false">IF(DH$15=1,INDEX(Vol_O,12,DH$14)/12*(1+P_dVol),0)</f>
        <v>0</v>
      </c>
      <c r="DI32" s="34" t="n">
        <f aca="false">IF(DI$15=1,INDEX(Vol_O,12,DI$14)/12*(1+P_dVol),0)</f>
        <v>0</v>
      </c>
      <c r="DJ32" s="34" t="n">
        <f aca="false">IF(DJ$15=1,INDEX(Vol_O,12,DJ$14)/12*(1+P_dVol),0)</f>
        <v>0</v>
      </c>
      <c r="DK32" s="34" t="n">
        <f aca="false">IF(DK$15=1,INDEX(Vol_O,12,DK$14)/12*(1+P_dVol),0)</f>
        <v>0</v>
      </c>
      <c r="DL32" s="34" t="n">
        <f aca="false">IF(DL$15=1,INDEX(Vol_O,12,DL$14)/12*(1+P_dVol),0)</f>
        <v>0</v>
      </c>
      <c r="DM32" s="34" t="n">
        <f aca="false">IF(DM$15=1,INDEX(Vol_O,12,DM$14)/12*(1+P_dVol),0)</f>
        <v>0</v>
      </c>
      <c r="DN32" s="34" t="n">
        <f aca="false">IF(DN$15=1,INDEX(Vol_O,12,DN$14)/12*(1+P_dVol),0)</f>
        <v>0</v>
      </c>
      <c r="DO32" s="34" t="n">
        <f aca="false">IF(DO$15=1,INDEX(Vol_O,12,DO$14)/12*(1+P_dVol),0)</f>
        <v>0</v>
      </c>
      <c r="DP32" s="34" t="n">
        <f aca="false">IF(DP$15=1,INDEX(Vol_O,12,DP$14)/12*(1+P_dVol),0)</f>
        <v>0</v>
      </c>
      <c r="DQ32" s="34" t="n">
        <f aca="false">IF(DQ$15=1,INDEX(Vol_O,12,DQ$14)/12*(1+P_dVol),0)</f>
        <v>0</v>
      </c>
      <c r="DR32" s="34" t="n">
        <f aca="false">IF(DR$15=1,INDEX(Vol_O,12,DR$14)/12*(1+P_dVol),0)</f>
        <v>0</v>
      </c>
      <c r="DS32" s="34" t="n">
        <f aca="false">IF(DS$15=1,INDEX(Vol_O,12,DS$14)/12*(1+P_dVol),0)</f>
        <v>0</v>
      </c>
      <c r="DT32" s="34" t="n">
        <f aca="false">IF(DT$15=1,INDEX(Vol_O,12,DT$14)/12*(1+P_dVol),0)</f>
        <v>0</v>
      </c>
      <c r="DU32" s="34" t="n">
        <f aca="false">IF(DU$15=1,INDEX(Vol_O,12,DU$14)/12*(1+P_dVol),0)</f>
        <v>0</v>
      </c>
      <c r="DV32" s="34" t="n">
        <f aca="false">IF(DV$15=1,INDEX(Vol_O,12,DV$14)/12*(1+P_dVol),0)</f>
        <v>0</v>
      </c>
      <c r="DW32" s="34" t="n">
        <f aca="false">IF(DW$15=1,INDEX(Vol_O,12,DW$14)/12*(1+P_dVol),0)</f>
        <v>0</v>
      </c>
      <c r="DX32" s="34" t="n">
        <f aca="false">IF(DX$15=1,INDEX(Vol_O,12,DX$14)/12*(1+P_dVol),0)</f>
        <v>0</v>
      </c>
      <c r="DY32" s="34" t="n">
        <f aca="false">IF(DY$15=1,INDEX(Vol_O,12,DY$14)/12*(1+P_dVol),0)</f>
        <v>0</v>
      </c>
      <c r="DZ32" s="34" t="n">
        <f aca="false">IF(DZ$15=1,INDEX(Vol_O,12,DZ$14)/12*(1+P_dVol),0)</f>
        <v>0</v>
      </c>
      <c r="EA32" s="34" t="n">
        <f aca="false">IF(EA$15=1,INDEX(Vol_O,12,EA$14)/12*(1+P_dVol),0)</f>
        <v>0</v>
      </c>
      <c r="EB32" s="34" t="n">
        <f aca="false">IF(EB$15=1,INDEX(Vol_O,12,EB$14)/12*(1+P_dVol),0)</f>
        <v>0</v>
      </c>
      <c r="EC32" s="34" t="n">
        <f aca="false">IF(EC$15=1,INDEX(Vol_O,12,EC$14)/12*(1+P_dVol),0)</f>
        <v>0</v>
      </c>
      <c r="ED32" s="34" t="n">
        <f aca="false">IF(ED$15=1,INDEX(Vol_O,12,ED$14)/12*(1+P_dVol),0)</f>
        <v>0</v>
      </c>
      <c r="EE32" s="34" t="n">
        <f aca="false">IF(EE$15=1,INDEX(Vol_O,12,EE$14)/12*(1+P_dVol),0)</f>
        <v>0</v>
      </c>
      <c r="EF32" s="34" t="n">
        <f aca="false">IF(EF$15=1,INDEX(Vol_O,12,EF$14)/12*(1+P_dVol),0)</f>
        <v>0</v>
      </c>
      <c r="EG32" s="34" t="n">
        <f aca="false">IF(EG$15=1,INDEX(Vol_O,12,EG$14)/12*(1+P_dVol),0)</f>
        <v>0</v>
      </c>
      <c r="EH32" s="34" t="n">
        <f aca="false">IF(EH$15=1,INDEX(Vol_O,12,EH$14)/12*(1+P_dVol),0)</f>
        <v>0</v>
      </c>
      <c r="EI32" s="34" t="n">
        <f aca="false">IF(EI$15=1,INDEX(Vol_O,12,EI$14)/12*(1+P_dVol),0)</f>
        <v>0</v>
      </c>
      <c r="EJ32" s="34" t="n">
        <f aca="false">IF(EJ$15=1,INDEX(Vol_O,12,EJ$14)/12*(1+P_dVol),0)</f>
        <v>0</v>
      </c>
      <c r="EK32" s="34" t="n">
        <f aca="false">IF(EK$15=1,INDEX(Vol_O,12,EK$14)/12*(1+P_dVol),0)</f>
        <v>0</v>
      </c>
      <c r="EL32" s="34" t="n">
        <f aca="false">IF(EL$15=1,INDEX(Vol_O,12,EL$14)/12*(1+P_dVol),0)</f>
        <v>0</v>
      </c>
      <c r="EM32" s="34" t="n">
        <f aca="false">IF(EM$15=1,INDEX(Vol_O,12,EM$14)/12*(1+P_dVol),0)</f>
        <v>0</v>
      </c>
      <c r="EN32" s="34" t="n">
        <f aca="false">IF(EN$15=1,INDEX(Vol_O,12,EN$14)/12*(1+P_dVol),0)</f>
        <v>0</v>
      </c>
      <c r="EO32" s="34" t="n">
        <f aca="false">IF(EO$15=1,INDEX(Vol_O,12,EO$14)/12*(1+P_dVol),0)</f>
        <v>0</v>
      </c>
      <c r="EP32" s="34" t="n">
        <f aca="false">IF(EP$15=1,INDEX(Vol_O,12,EP$14)/12*(1+P_dVol),0)</f>
        <v>0</v>
      </c>
      <c r="EQ32" s="34" t="n">
        <f aca="false">IF(EQ$15=1,INDEX(Vol_O,12,EQ$14)/12*(1+P_dVol),0)</f>
        <v>0</v>
      </c>
      <c r="ER32" s="34" t="n">
        <f aca="false">IF(ER$15=1,INDEX(Vol_O,12,ER$14)/12*(1+P_dVol),0)</f>
        <v>0</v>
      </c>
      <c r="ES32" s="34" t="n">
        <f aca="false">IF(ES$15=1,INDEX(Vol_O,12,ES$14)/12*(1+P_dVol),0)</f>
        <v>0</v>
      </c>
    </row>
    <row r="33" customFormat="false" ht="15" hidden="false" customHeight="false" outlineLevel="0" collapsed="false">
      <c r="A33" s="2" t="s">
        <v>444</v>
      </c>
      <c r="B33" s="39" t="str">
        <f aca="false">IF(INDEX(Prod_Nombre,1)="","Producto 1",INDEX(Prod_Nombre,1))&amp;" — ventas USD"</f>
        <v>Producto 1 — ventas USD</v>
      </c>
      <c r="C33" s="6" t="s">
        <v>212</v>
      </c>
      <c r="E33" s="40" t="n">
        <f aca="false">SUM(F33:ES33)</f>
        <v>0</v>
      </c>
      <c r="F33" s="34" t="n">
        <f aca="false">F$21*INDEX(Precio_O,1)*INDEX(IdxPrecio_O,1,MIN(10,F$17))*(1+P_dPrecio)</f>
        <v>0</v>
      </c>
      <c r="G33" s="34" t="n">
        <f aca="false">G$21*INDEX(Precio_O,1)*INDEX(IdxPrecio_O,1,MIN(10,G$17))*(1+P_dPrecio)</f>
        <v>0</v>
      </c>
      <c r="H33" s="34" t="n">
        <f aca="false">H$21*INDEX(Precio_O,1)*INDEX(IdxPrecio_O,1,MIN(10,H$17))*(1+P_dPrecio)</f>
        <v>0</v>
      </c>
      <c r="I33" s="34" t="n">
        <f aca="false">I$21*INDEX(Precio_O,1)*INDEX(IdxPrecio_O,1,MIN(10,I$17))*(1+P_dPrecio)</f>
        <v>0</v>
      </c>
      <c r="J33" s="34" t="n">
        <f aca="false">J$21*INDEX(Precio_O,1)*INDEX(IdxPrecio_O,1,MIN(10,J$17))*(1+P_dPrecio)</f>
        <v>0</v>
      </c>
      <c r="K33" s="34" t="n">
        <f aca="false">K$21*INDEX(Precio_O,1)*INDEX(IdxPrecio_O,1,MIN(10,K$17))*(1+P_dPrecio)</f>
        <v>0</v>
      </c>
      <c r="L33" s="34" t="n">
        <f aca="false">L$21*INDEX(Precio_O,1)*INDEX(IdxPrecio_O,1,MIN(10,L$17))*(1+P_dPrecio)</f>
        <v>0</v>
      </c>
      <c r="M33" s="34" t="n">
        <f aca="false">M$21*INDEX(Precio_O,1)*INDEX(IdxPrecio_O,1,MIN(10,M$17))*(1+P_dPrecio)</f>
        <v>0</v>
      </c>
      <c r="N33" s="34" t="n">
        <f aca="false">N$21*INDEX(Precio_O,1)*INDEX(IdxPrecio_O,1,MIN(10,N$17))*(1+P_dPrecio)</f>
        <v>0</v>
      </c>
      <c r="O33" s="34" t="n">
        <f aca="false">O$21*INDEX(Precio_O,1)*INDEX(IdxPrecio_O,1,MIN(10,O$17))*(1+P_dPrecio)</f>
        <v>0</v>
      </c>
      <c r="P33" s="34" t="n">
        <f aca="false">P$21*INDEX(Precio_O,1)*INDEX(IdxPrecio_O,1,MIN(10,P$17))*(1+P_dPrecio)</f>
        <v>0</v>
      </c>
      <c r="Q33" s="34" t="n">
        <f aca="false">Q$21*INDEX(Precio_O,1)*INDEX(IdxPrecio_O,1,MIN(10,Q$17))*(1+P_dPrecio)</f>
        <v>0</v>
      </c>
      <c r="R33" s="34" t="n">
        <f aca="false">R$21*INDEX(Precio_O,1)*INDEX(IdxPrecio_O,1,MIN(10,R$17))*(1+P_dPrecio)</f>
        <v>0</v>
      </c>
      <c r="S33" s="34" t="n">
        <f aca="false">S$21*INDEX(Precio_O,1)*INDEX(IdxPrecio_O,1,MIN(10,S$17))*(1+P_dPrecio)</f>
        <v>0</v>
      </c>
      <c r="T33" s="34" t="n">
        <f aca="false">T$21*INDEX(Precio_O,1)*INDEX(IdxPrecio_O,1,MIN(10,T$17))*(1+P_dPrecio)</f>
        <v>0</v>
      </c>
      <c r="U33" s="34" t="n">
        <f aca="false">U$21*INDEX(Precio_O,1)*INDEX(IdxPrecio_O,1,MIN(10,U$17))*(1+P_dPrecio)</f>
        <v>0</v>
      </c>
      <c r="V33" s="34" t="n">
        <f aca="false">V$21*INDEX(Precio_O,1)*INDEX(IdxPrecio_O,1,MIN(10,V$17))*(1+P_dPrecio)</f>
        <v>0</v>
      </c>
      <c r="W33" s="34" t="n">
        <f aca="false">W$21*INDEX(Precio_O,1)*INDEX(IdxPrecio_O,1,MIN(10,W$17))*(1+P_dPrecio)</f>
        <v>0</v>
      </c>
      <c r="X33" s="34" t="n">
        <f aca="false">X$21*INDEX(Precio_O,1)*INDEX(IdxPrecio_O,1,MIN(10,X$17))*(1+P_dPrecio)</f>
        <v>0</v>
      </c>
      <c r="Y33" s="34" t="n">
        <f aca="false">Y$21*INDEX(Precio_O,1)*INDEX(IdxPrecio_O,1,MIN(10,Y$17))*(1+P_dPrecio)</f>
        <v>0</v>
      </c>
      <c r="Z33" s="34" t="n">
        <f aca="false">Z$21*INDEX(Precio_O,1)*INDEX(IdxPrecio_O,1,MIN(10,Z$17))*(1+P_dPrecio)</f>
        <v>0</v>
      </c>
      <c r="AA33" s="34" t="n">
        <f aca="false">AA$21*INDEX(Precio_O,1)*INDEX(IdxPrecio_O,1,MIN(10,AA$17))*(1+P_dPrecio)</f>
        <v>0</v>
      </c>
      <c r="AB33" s="34" t="n">
        <f aca="false">AB$21*INDEX(Precio_O,1)*INDEX(IdxPrecio_O,1,MIN(10,AB$17))*(1+P_dPrecio)</f>
        <v>0</v>
      </c>
      <c r="AC33" s="34" t="n">
        <f aca="false">AC$21*INDEX(Precio_O,1)*INDEX(IdxPrecio_O,1,MIN(10,AC$17))*(1+P_dPrecio)</f>
        <v>0</v>
      </c>
      <c r="AD33" s="34" t="n">
        <f aca="false">AD$21*INDEX(Precio_O,1)*INDEX(IdxPrecio_O,1,MIN(10,AD$17))*(1+P_dPrecio)</f>
        <v>0</v>
      </c>
      <c r="AE33" s="34" t="n">
        <f aca="false">AE$21*INDEX(Precio_O,1)*INDEX(IdxPrecio_O,1,MIN(10,AE$17))*(1+P_dPrecio)</f>
        <v>0</v>
      </c>
      <c r="AF33" s="34" t="n">
        <f aca="false">AF$21*INDEX(Precio_O,1)*INDEX(IdxPrecio_O,1,MIN(10,AF$17))*(1+P_dPrecio)</f>
        <v>0</v>
      </c>
      <c r="AG33" s="34" t="n">
        <f aca="false">AG$21*INDEX(Precio_O,1)*INDEX(IdxPrecio_O,1,MIN(10,AG$17))*(1+P_dPrecio)</f>
        <v>0</v>
      </c>
      <c r="AH33" s="34" t="n">
        <f aca="false">AH$21*INDEX(Precio_O,1)*INDEX(IdxPrecio_O,1,MIN(10,AH$17))*(1+P_dPrecio)</f>
        <v>0</v>
      </c>
      <c r="AI33" s="34" t="n">
        <f aca="false">AI$21*INDEX(Precio_O,1)*INDEX(IdxPrecio_O,1,MIN(10,AI$17))*(1+P_dPrecio)</f>
        <v>0</v>
      </c>
      <c r="AJ33" s="34" t="n">
        <f aca="false">AJ$21*INDEX(Precio_O,1)*INDEX(IdxPrecio_O,1,MIN(10,AJ$17))*(1+P_dPrecio)</f>
        <v>0</v>
      </c>
      <c r="AK33" s="34" t="n">
        <f aca="false">AK$21*INDEX(Precio_O,1)*INDEX(IdxPrecio_O,1,MIN(10,AK$17))*(1+P_dPrecio)</f>
        <v>0</v>
      </c>
      <c r="AL33" s="34" t="n">
        <f aca="false">AL$21*INDEX(Precio_O,1)*INDEX(IdxPrecio_O,1,MIN(10,AL$17))*(1+P_dPrecio)</f>
        <v>0</v>
      </c>
      <c r="AM33" s="34" t="n">
        <f aca="false">AM$21*INDEX(Precio_O,1)*INDEX(IdxPrecio_O,1,MIN(10,AM$17))*(1+P_dPrecio)</f>
        <v>0</v>
      </c>
      <c r="AN33" s="34" t="n">
        <f aca="false">AN$21*INDEX(Precio_O,1)*INDEX(IdxPrecio_O,1,MIN(10,AN$17))*(1+P_dPrecio)</f>
        <v>0</v>
      </c>
      <c r="AO33" s="34" t="n">
        <f aca="false">AO$21*INDEX(Precio_O,1)*INDEX(IdxPrecio_O,1,MIN(10,AO$17))*(1+P_dPrecio)</f>
        <v>0</v>
      </c>
      <c r="AP33" s="34" t="n">
        <f aca="false">AP$21*INDEX(Precio_O,1)*INDEX(IdxPrecio_O,1,MIN(10,AP$17))*(1+P_dPrecio)</f>
        <v>0</v>
      </c>
      <c r="AQ33" s="34" t="n">
        <f aca="false">AQ$21*INDEX(Precio_O,1)*INDEX(IdxPrecio_O,1,MIN(10,AQ$17))*(1+P_dPrecio)</f>
        <v>0</v>
      </c>
      <c r="AR33" s="34" t="n">
        <f aca="false">AR$21*INDEX(Precio_O,1)*INDEX(IdxPrecio_O,1,MIN(10,AR$17))*(1+P_dPrecio)</f>
        <v>0</v>
      </c>
      <c r="AS33" s="34" t="n">
        <f aca="false">AS$21*INDEX(Precio_O,1)*INDEX(IdxPrecio_O,1,MIN(10,AS$17))*(1+P_dPrecio)</f>
        <v>0</v>
      </c>
      <c r="AT33" s="34" t="n">
        <f aca="false">AT$21*INDEX(Precio_O,1)*INDEX(IdxPrecio_O,1,MIN(10,AT$17))*(1+P_dPrecio)</f>
        <v>0</v>
      </c>
      <c r="AU33" s="34" t="n">
        <f aca="false">AU$21*INDEX(Precio_O,1)*INDEX(IdxPrecio_O,1,MIN(10,AU$17))*(1+P_dPrecio)</f>
        <v>0</v>
      </c>
      <c r="AV33" s="34" t="n">
        <f aca="false">AV$21*INDEX(Precio_O,1)*INDEX(IdxPrecio_O,1,MIN(10,AV$17))*(1+P_dPrecio)</f>
        <v>0</v>
      </c>
      <c r="AW33" s="34" t="n">
        <f aca="false">AW$21*INDEX(Precio_O,1)*INDEX(IdxPrecio_O,1,MIN(10,AW$17))*(1+P_dPrecio)</f>
        <v>0</v>
      </c>
      <c r="AX33" s="34" t="n">
        <f aca="false">AX$21*INDEX(Precio_O,1)*INDEX(IdxPrecio_O,1,MIN(10,AX$17))*(1+P_dPrecio)</f>
        <v>0</v>
      </c>
      <c r="AY33" s="34" t="n">
        <f aca="false">AY$21*INDEX(Precio_O,1)*INDEX(IdxPrecio_O,1,MIN(10,AY$17))*(1+P_dPrecio)</f>
        <v>0</v>
      </c>
      <c r="AZ33" s="34" t="n">
        <f aca="false">AZ$21*INDEX(Precio_O,1)*INDEX(IdxPrecio_O,1,MIN(10,AZ$17))*(1+P_dPrecio)</f>
        <v>0</v>
      </c>
      <c r="BA33" s="34" t="n">
        <f aca="false">BA$21*INDEX(Precio_O,1)*INDEX(IdxPrecio_O,1,MIN(10,BA$17))*(1+P_dPrecio)</f>
        <v>0</v>
      </c>
      <c r="BB33" s="34" t="n">
        <f aca="false">BB$21*INDEX(Precio_O,1)*INDEX(IdxPrecio_O,1,MIN(10,BB$17))*(1+P_dPrecio)</f>
        <v>0</v>
      </c>
      <c r="BC33" s="34" t="n">
        <f aca="false">BC$21*INDEX(Precio_O,1)*INDEX(IdxPrecio_O,1,MIN(10,BC$17))*(1+P_dPrecio)</f>
        <v>0</v>
      </c>
      <c r="BD33" s="34" t="n">
        <f aca="false">BD$21*INDEX(Precio_O,1)*INDEX(IdxPrecio_O,1,MIN(10,BD$17))*(1+P_dPrecio)</f>
        <v>0</v>
      </c>
      <c r="BE33" s="34" t="n">
        <f aca="false">BE$21*INDEX(Precio_O,1)*INDEX(IdxPrecio_O,1,MIN(10,BE$17))*(1+P_dPrecio)</f>
        <v>0</v>
      </c>
      <c r="BF33" s="34" t="n">
        <f aca="false">BF$21*INDEX(Precio_O,1)*INDEX(IdxPrecio_O,1,MIN(10,BF$17))*(1+P_dPrecio)</f>
        <v>0</v>
      </c>
      <c r="BG33" s="34" t="n">
        <f aca="false">BG$21*INDEX(Precio_O,1)*INDEX(IdxPrecio_O,1,MIN(10,BG$17))*(1+P_dPrecio)</f>
        <v>0</v>
      </c>
      <c r="BH33" s="34" t="n">
        <f aca="false">BH$21*INDEX(Precio_O,1)*INDEX(IdxPrecio_O,1,MIN(10,BH$17))*(1+P_dPrecio)</f>
        <v>0</v>
      </c>
      <c r="BI33" s="34" t="n">
        <f aca="false">BI$21*INDEX(Precio_O,1)*INDEX(IdxPrecio_O,1,MIN(10,BI$17))*(1+P_dPrecio)</f>
        <v>0</v>
      </c>
      <c r="BJ33" s="34" t="n">
        <f aca="false">BJ$21*INDEX(Precio_O,1)*INDEX(IdxPrecio_O,1,MIN(10,BJ$17))*(1+P_dPrecio)</f>
        <v>0</v>
      </c>
      <c r="BK33" s="34" t="n">
        <f aca="false">BK$21*INDEX(Precio_O,1)*INDEX(IdxPrecio_O,1,MIN(10,BK$17))*(1+P_dPrecio)</f>
        <v>0</v>
      </c>
      <c r="BL33" s="34" t="n">
        <f aca="false">BL$21*INDEX(Precio_O,1)*INDEX(IdxPrecio_O,1,MIN(10,BL$17))*(1+P_dPrecio)</f>
        <v>0</v>
      </c>
      <c r="BM33" s="34" t="n">
        <f aca="false">BM$21*INDEX(Precio_O,1)*INDEX(IdxPrecio_O,1,MIN(10,BM$17))*(1+P_dPrecio)</f>
        <v>0</v>
      </c>
      <c r="BN33" s="34" t="n">
        <f aca="false">BN$21*INDEX(Precio_O,1)*INDEX(IdxPrecio_O,1,MIN(10,BN$17))*(1+P_dPrecio)</f>
        <v>0</v>
      </c>
      <c r="BO33" s="34" t="n">
        <f aca="false">BO$21*INDEX(Precio_O,1)*INDEX(IdxPrecio_O,1,MIN(10,BO$17))*(1+P_dPrecio)</f>
        <v>0</v>
      </c>
      <c r="BP33" s="34" t="n">
        <f aca="false">BP$21*INDEX(Precio_O,1)*INDEX(IdxPrecio_O,1,MIN(10,BP$17))*(1+P_dPrecio)</f>
        <v>0</v>
      </c>
      <c r="BQ33" s="34" t="n">
        <f aca="false">BQ$21*INDEX(Precio_O,1)*INDEX(IdxPrecio_O,1,MIN(10,BQ$17))*(1+P_dPrecio)</f>
        <v>0</v>
      </c>
      <c r="BR33" s="34" t="n">
        <f aca="false">BR$21*INDEX(Precio_O,1)*INDEX(IdxPrecio_O,1,MIN(10,BR$17))*(1+P_dPrecio)</f>
        <v>0</v>
      </c>
      <c r="BS33" s="34" t="n">
        <f aca="false">BS$21*INDEX(Precio_O,1)*INDEX(IdxPrecio_O,1,MIN(10,BS$17))*(1+P_dPrecio)</f>
        <v>0</v>
      </c>
      <c r="BT33" s="34" t="n">
        <f aca="false">BT$21*INDEX(Precio_O,1)*INDEX(IdxPrecio_O,1,MIN(10,BT$17))*(1+P_dPrecio)</f>
        <v>0</v>
      </c>
      <c r="BU33" s="34" t="n">
        <f aca="false">BU$21*INDEX(Precio_O,1)*INDEX(IdxPrecio_O,1,MIN(10,BU$17))*(1+P_dPrecio)</f>
        <v>0</v>
      </c>
      <c r="BV33" s="34" t="n">
        <f aca="false">BV$21*INDEX(Precio_O,1)*INDEX(IdxPrecio_O,1,MIN(10,BV$17))*(1+P_dPrecio)</f>
        <v>0</v>
      </c>
      <c r="BW33" s="34" t="n">
        <f aca="false">BW$21*INDEX(Precio_O,1)*INDEX(IdxPrecio_O,1,MIN(10,BW$17))*(1+P_dPrecio)</f>
        <v>0</v>
      </c>
      <c r="BX33" s="34" t="n">
        <f aca="false">BX$21*INDEX(Precio_O,1)*INDEX(IdxPrecio_O,1,MIN(10,BX$17))*(1+P_dPrecio)</f>
        <v>0</v>
      </c>
      <c r="BY33" s="34" t="n">
        <f aca="false">BY$21*INDEX(Precio_O,1)*INDEX(IdxPrecio_O,1,MIN(10,BY$17))*(1+P_dPrecio)</f>
        <v>0</v>
      </c>
      <c r="BZ33" s="34" t="n">
        <f aca="false">BZ$21*INDEX(Precio_O,1)*INDEX(IdxPrecio_O,1,MIN(10,BZ$17))*(1+P_dPrecio)</f>
        <v>0</v>
      </c>
      <c r="CA33" s="34" t="n">
        <f aca="false">CA$21*INDEX(Precio_O,1)*INDEX(IdxPrecio_O,1,MIN(10,CA$17))*(1+P_dPrecio)</f>
        <v>0</v>
      </c>
      <c r="CB33" s="34" t="n">
        <f aca="false">CB$21*INDEX(Precio_O,1)*INDEX(IdxPrecio_O,1,MIN(10,CB$17))*(1+P_dPrecio)</f>
        <v>0</v>
      </c>
      <c r="CC33" s="34" t="n">
        <f aca="false">CC$21*INDEX(Precio_O,1)*INDEX(IdxPrecio_O,1,MIN(10,CC$17))*(1+P_dPrecio)</f>
        <v>0</v>
      </c>
      <c r="CD33" s="34" t="n">
        <f aca="false">CD$21*INDEX(Precio_O,1)*INDEX(IdxPrecio_O,1,MIN(10,CD$17))*(1+P_dPrecio)</f>
        <v>0</v>
      </c>
      <c r="CE33" s="34" t="n">
        <f aca="false">CE$21*INDEX(Precio_O,1)*INDEX(IdxPrecio_O,1,MIN(10,CE$17))*(1+P_dPrecio)</f>
        <v>0</v>
      </c>
      <c r="CF33" s="34" t="n">
        <f aca="false">CF$21*INDEX(Precio_O,1)*INDEX(IdxPrecio_O,1,MIN(10,CF$17))*(1+P_dPrecio)</f>
        <v>0</v>
      </c>
      <c r="CG33" s="34" t="n">
        <f aca="false">CG$21*INDEX(Precio_O,1)*INDEX(IdxPrecio_O,1,MIN(10,CG$17))*(1+P_dPrecio)</f>
        <v>0</v>
      </c>
      <c r="CH33" s="34" t="n">
        <f aca="false">CH$21*INDEX(Precio_O,1)*INDEX(IdxPrecio_O,1,MIN(10,CH$17))*(1+P_dPrecio)</f>
        <v>0</v>
      </c>
      <c r="CI33" s="34" t="n">
        <f aca="false">CI$21*INDEX(Precio_O,1)*INDEX(IdxPrecio_O,1,MIN(10,CI$17))*(1+P_dPrecio)</f>
        <v>0</v>
      </c>
      <c r="CJ33" s="34" t="n">
        <f aca="false">CJ$21*INDEX(Precio_O,1)*INDEX(IdxPrecio_O,1,MIN(10,CJ$17))*(1+P_dPrecio)</f>
        <v>0</v>
      </c>
      <c r="CK33" s="34" t="n">
        <f aca="false">CK$21*INDEX(Precio_O,1)*INDEX(IdxPrecio_O,1,MIN(10,CK$17))*(1+P_dPrecio)</f>
        <v>0</v>
      </c>
      <c r="CL33" s="34" t="n">
        <f aca="false">CL$21*INDEX(Precio_O,1)*INDEX(IdxPrecio_O,1,MIN(10,CL$17))*(1+P_dPrecio)</f>
        <v>0</v>
      </c>
      <c r="CM33" s="34" t="n">
        <f aca="false">CM$21*INDEX(Precio_O,1)*INDEX(IdxPrecio_O,1,MIN(10,CM$17))*(1+P_dPrecio)</f>
        <v>0</v>
      </c>
      <c r="CN33" s="34" t="n">
        <f aca="false">CN$21*INDEX(Precio_O,1)*INDEX(IdxPrecio_O,1,MIN(10,CN$17))*(1+P_dPrecio)</f>
        <v>0</v>
      </c>
      <c r="CO33" s="34" t="n">
        <f aca="false">CO$21*INDEX(Precio_O,1)*INDEX(IdxPrecio_O,1,MIN(10,CO$17))*(1+P_dPrecio)</f>
        <v>0</v>
      </c>
      <c r="CP33" s="34" t="n">
        <f aca="false">CP$21*INDEX(Precio_O,1)*INDEX(IdxPrecio_O,1,MIN(10,CP$17))*(1+P_dPrecio)</f>
        <v>0</v>
      </c>
      <c r="CQ33" s="34" t="n">
        <f aca="false">CQ$21*INDEX(Precio_O,1)*INDEX(IdxPrecio_O,1,MIN(10,CQ$17))*(1+P_dPrecio)</f>
        <v>0</v>
      </c>
      <c r="CR33" s="34" t="n">
        <f aca="false">CR$21*INDEX(Precio_O,1)*INDEX(IdxPrecio_O,1,MIN(10,CR$17))*(1+P_dPrecio)</f>
        <v>0</v>
      </c>
      <c r="CS33" s="34" t="n">
        <f aca="false">CS$21*INDEX(Precio_O,1)*INDEX(IdxPrecio_O,1,MIN(10,CS$17))*(1+P_dPrecio)</f>
        <v>0</v>
      </c>
      <c r="CT33" s="34" t="n">
        <f aca="false">CT$21*INDEX(Precio_O,1)*INDEX(IdxPrecio_O,1,MIN(10,CT$17))*(1+P_dPrecio)</f>
        <v>0</v>
      </c>
      <c r="CU33" s="34" t="n">
        <f aca="false">CU$21*INDEX(Precio_O,1)*INDEX(IdxPrecio_O,1,MIN(10,CU$17))*(1+P_dPrecio)</f>
        <v>0</v>
      </c>
      <c r="CV33" s="34" t="n">
        <f aca="false">CV$21*INDEX(Precio_O,1)*INDEX(IdxPrecio_O,1,MIN(10,CV$17))*(1+P_dPrecio)</f>
        <v>0</v>
      </c>
      <c r="CW33" s="34" t="n">
        <f aca="false">CW$21*INDEX(Precio_O,1)*INDEX(IdxPrecio_O,1,MIN(10,CW$17))*(1+P_dPrecio)</f>
        <v>0</v>
      </c>
      <c r="CX33" s="34" t="n">
        <f aca="false">CX$21*INDEX(Precio_O,1)*INDEX(IdxPrecio_O,1,MIN(10,CX$17))*(1+P_dPrecio)</f>
        <v>0</v>
      </c>
      <c r="CY33" s="34" t="n">
        <f aca="false">CY$21*INDEX(Precio_O,1)*INDEX(IdxPrecio_O,1,MIN(10,CY$17))*(1+P_dPrecio)</f>
        <v>0</v>
      </c>
      <c r="CZ33" s="34" t="n">
        <f aca="false">CZ$21*INDEX(Precio_O,1)*INDEX(IdxPrecio_O,1,MIN(10,CZ$17))*(1+P_dPrecio)</f>
        <v>0</v>
      </c>
      <c r="DA33" s="34" t="n">
        <f aca="false">DA$21*INDEX(Precio_O,1)*INDEX(IdxPrecio_O,1,MIN(10,DA$17))*(1+P_dPrecio)</f>
        <v>0</v>
      </c>
      <c r="DB33" s="34" t="n">
        <f aca="false">DB$21*INDEX(Precio_O,1)*INDEX(IdxPrecio_O,1,MIN(10,DB$17))*(1+P_dPrecio)</f>
        <v>0</v>
      </c>
      <c r="DC33" s="34" t="n">
        <f aca="false">DC$21*INDEX(Precio_O,1)*INDEX(IdxPrecio_O,1,MIN(10,DC$17))*(1+P_dPrecio)</f>
        <v>0</v>
      </c>
      <c r="DD33" s="34" t="n">
        <f aca="false">DD$21*INDEX(Precio_O,1)*INDEX(IdxPrecio_O,1,MIN(10,DD$17))*(1+P_dPrecio)</f>
        <v>0</v>
      </c>
      <c r="DE33" s="34" t="n">
        <f aca="false">DE$21*INDEX(Precio_O,1)*INDEX(IdxPrecio_O,1,MIN(10,DE$17))*(1+P_dPrecio)</f>
        <v>0</v>
      </c>
      <c r="DF33" s="34" t="n">
        <f aca="false">DF$21*INDEX(Precio_O,1)*INDEX(IdxPrecio_O,1,MIN(10,DF$17))*(1+P_dPrecio)</f>
        <v>0</v>
      </c>
      <c r="DG33" s="34" t="n">
        <f aca="false">DG$21*INDEX(Precio_O,1)*INDEX(IdxPrecio_O,1,MIN(10,DG$17))*(1+P_dPrecio)</f>
        <v>0</v>
      </c>
      <c r="DH33" s="34" t="n">
        <f aca="false">DH$21*INDEX(Precio_O,1)*INDEX(IdxPrecio_O,1,MIN(10,DH$17))*(1+P_dPrecio)</f>
        <v>0</v>
      </c>
      <c r="DI33" s="34" t="n">
        <f aca="false">DI$21*INDEX(Precio_O,1)*INDEX(IdxPrecio_O,1,MIN(10,DI$17))*(1+P_dPrecio)</f>
        <v>0</v>
      </c>
      <c r="DJ33" s="34" t="n">
        <f aca="false">DJ$21*INDEX(Precio_O,1)*INDEX(IdxPrecio_O,1,MIN(10,DJ$17))*(1+P_dPrecio)</f>
        <v>0</v>
      </c>
      <c r="DK33" s="34" t="n">
        <f aca="false">DK$21*INDEX(Precio_O,1)*INDEX(IdxPrecio_O,1,MIN(10,DK$17))*(1+P_dPrecio)</f>
        <v>0</v>
      </c>
      <c r="DL33" s="34" t="n">
        <f aca="false">DL$21*INDEX(Precio_O,1)*INDEX(IdxPrecio_O,1,MIN(10,DL$17))*(1+P_dPrecio)</f>
        <v>0</v>
      </c>
      <c r="DM33" s="34" t="n">
        <f aca="false">DM$21*INDEX(Precio_O,1)*INDEX(IdxPrecio_O,1,MIN(10,DM$17))*(1+P_dPrecio)</f>
        <v>0</v>
      </c>
      <c r="DN33" s="34" t="n">
        <f aca="false">DN$21*INDEX(Precio_O,1)*INDEX(IdxPrecio_O,1,MIN(10,DN$17))*(1+P_dPrecio)</f>
        <v>0</v>
      </c>
      <c r="DO33" s="34" t="n">
        <f aca="false">DO$21*INDEX(Precio_O,1)*INDEX(IdxPrecio_O,1,MIN(10,DO$17))*(1+P_dPrecio)</f>
        <v>0</v>
      </c>
      <c r="DP33" s="34" t="n">
        <f aca="false">DP$21*INDEX(Precio_O,1)*INDEX(IdxPrecio_O,1,MIN(10,DP$17))*(1+P_dPrecio)</f>
        <v>0</v>
      </c>
      <c r="DQ33" s="34" t="n">
        <f aca="false">DQ$21*INDEX(Precio_O,1)*INDEX(IdxPrecio_O,1,MIN(10,DQ$17))*(1+P_dPrecio)</f>
        <v>0</v>
      </c>
      <c r="DR33" s="34" t="n">
        <f aca="false">DR$21*INDEX(Precio_O,1)*INDEX(IdxPrecio_O,1,MIN(10,DR$17))*(1+P_dPrecio)</f>
        <v>0</v>
      </c>
      <c r="DS33" s="34" t="n">
        <f aca="false">DS$21*INDEX(Precio_O,1)*INDEX(IdxPrecio_O,1,MIN(10,DS$17))*(1+P_dPrecio)</f>
        <v>0</v>
      </c>
      <c r="DT33" s="34" t="n">
        <f aca="false">DT$21*INDEX(Precio_O,1)*INDEX(IdxPrecio_O,1,MIN(10,DT$17))*(1+P_dPrecio)</f>
        <v>0</v>
      </c>
      <c r="DU33" s="34" t="n">
        <f aca="false">DU$21*INDEX(Precio_O,1)*INDEX(IdxPrecio_O,1,MIN(10,DU$17))*(1+P_dPrecio)</f>
        <v>0</v>
      </c>
      <c r="DV33" s="34" t="n">
        <f aca="false">DV$21*INDEX(Precio_O,1)*INDEX(IdxPrecio_O,1,MIN(10,DV$17))*(1+P_dPrecio)</f>
        <v>0</v>
      </c>
      <c r="DW33" s="34" t="n">
        <f aca="false">DW$21*INDEX(Precio_O,1)*INDEX(IdxPrecio_O,1,MIN(10,DW$17))*(1+P_dPrecio)</f>
        <v>0</v>
      </c>
      <c r="DX33" s="34" t="n">
        <f aca="false">DX$21*INDEX(Precio_O,1)*INDEX(IdxPrecio_O,1,MIN(10,DX$17))*(1+P_dPrecio)</f>
        <v>0</v>
      </c>
      <c r="DY33" s="34" t="n">
        <f aca="false">DY$21*INDEX(Precio_O,1)*INDEX(IdxPrecio_O,1,MIN(10,DY$17))*(1+P_dPrecio)</f>
        <v>0</v>
      </c>
      <c r="DZ33" s="34" t="n">
        <f aca="false">DZ$21*INDEX(Precio_O,1)*INDEX(IdxPrecio_O,1,MIN(10,DZ$17))*(1+P_dPrecio)</f>
        <v>0</v>
      </c>
      <c r="EA33" s="34" t="n">
        <f aca="false">EA$21*INDEX(Precio_O,1)*INDEX(IdxPrecio_O,1,MIN(10,EA$17))*(1+P_dPrecio)</f>
        <v>0</v>
      </c>
      <c r="EB33" s="34" t="n">
        <f aca="false">EB$21*INDEX(Precio_O,1)*INDEX(IdxPrecio_O,1,MIN(10,EB$17))*(1+P_dPrecio)</f>
        <v>0</v>
      </c>
      <c r="EC33" s="34" t="n">
        <f aca="false">EC$21*INDEX(Precio_O,1)*INDEX(IdxPrecio_O,1,MIN(10,EC$17))*(1+P_dPrecio)</f>
        <v>0</v>
      </c>
      <c r="ED33" s="34" t="n">
        <f aca="false">ED$21*INDEX(Precio_O,1)*INDEX(IdxPrecio_O,1,MIN(10,ED$17))*(1+P_dPrecio)</f>
        <v>0</v>
      </c>
      <c r="EE33" s="34" t="n">
        <f aca="false">EE$21*INDEX(Precio_O,1)*INDEX(IdxPrecio_O,1,MIN(10,EE$17))*(1+P_dPrecio)</f>
        <v>0</v>
      </c>
      <c r="EF33" s="34" t="n">
        <f aca="false">EF$21*INDEX(Precio_O,1)*INDEX(IdxPrecio_O,1,MIN(10,EF$17))*(1+P_dPrecio)</f>
        <v>0</v>
      </c>
      <c r="EG33" s="34" t="n">
        <f aca="false">EG$21*INDEX(Precio_O,1)*INDEX(IdxPrecio_O,1,MIN(10,EG$17))*(1+P_dPrecio)</f>
        <v>0</v>
      </c>
      <c r="EH33" s="34" t="n">
        <f aca="false">EH$21*INDEX(Precio_O,1)*INDEX(IdxPrecio_O,1,MIN(10,EH$17))*(1+P_dPrecio)</f>
        <v>0</v>
      </c>
      <c r="EI33" s="34" t="n">
        <f aca="false">EI$21*INDEX(Precio_O,1)*INDEX(IdxPrecio_O,1,MIN(10,EI$17))*(1+P_dPrecio)</f>
        <v>0</v>
      </c>
      <c r="EJ33" s="34" t="n">
        <f aca="false">EJ$21*INDEX(Precio_O,1)*INDEX(IdxPrecio_O,1,MIN(10,EJ$17))*(1+P_dPrecio)</f>
        <v>0</v>
      </c>
      <c r="EK33" s="34" t="n">
        <f aca="false">EK$21*INDEX(Precio_O,1)*INDEX(IdxPrecio_O,1,MIN(10,EK$17))*(1+P_dPrecio)</f>
        <v>0</v>
      </c>
      <c r="EL33" s="34" t="n">
        <f aca="false">EL$21*INDEX(Precio_O,1)*INDEX(IdxPrecio_O,1,MIN(10,EL$17))*(1+P_dPrecio)</f>
        <v>0</v>
      </c>
      <c r="EM33" s="34" t="n">
        <f aca="false">EM$21*INDEX(Precio_O,1)*INDEX(IdxPrecio_O,1,MIN(10,EM$17))*(1+P_dPrecio)</f>
        <v>0</v>
      </c>
      <c r="EN33" s="34" t="n">
        <f aca="false">EN$21*INDEX(Precio_O,1)*INDEX(IdxPrecio_O,1,MIN(10,EN$17))*(1+P_dPrecio)</f>
        <v>0</v>
      </c>
      <c r="EO33" s="34" t="n">
        <f aca="false">EO$21*INDEX(Precio_O,1)*INDEX(IdxPrecio_O,1,MIN(10,EO$17))*(1+P_dPrecio)</f>
        <v>0</v>
      </c>
      <c r="EP33" s="34" t="n">
        <f aca="false">EP$21*INDEX(Precio_O,1)*INDEX(IdxPrecio_O,1,MIN(10,EP$17))*(1+P_dPrecio)</f>
        <v>0</v>
      </c>
      <c r="EQ33" s="34" t="n">
        <f aca="false">EQ$21*INDEX(Precio_O,1)*INDEX(IdxPrecio_O,1,MIN(10,EQ$17))*(1+P_dPrecio)</f>
        <v>0</v>
      </c>
      <c r="ER33" s="34" t="n">
        <f aca="false">ER$21*INDEX(Precio_O,1)*INDEX(IdxPrecio_O,1,MIN(10,ER$17))*(1+P_dPrecio)</f>
        <v>0</v>
      </c>
      <c r="ES33" s="34" t="n">
        <f aca="false">ES$21*INDEX(Precio_O,1)*INDEX(IdxPrecio_O,1,MIN(10,ES$17))*(1+P_dPrecio)</f>
        <v>0</v>
      </c>
    </row>
    <row r="34" customFormat="false" ht="15" hidden="false" customHeight="false" outlineLevel="0" collapsed="false">
      <c r="A34" s="2" t="s">
        <v>445</v>
      </c>
      <c r="B34" s="39" t="str">
        <f aca="false">IF(INDEX(Prod_Nombre,2)="","Producto 2",INDEX(Prod_Nombre,2))&amp;" — ventas USD"</f>
        <v>Producto 2 — ventas USD</v>
      </c>
      <c r="C34" s="6" t="s">
        <v>212</v>
      </c>
      <c r="E34" s="40" t="n">
        <f aca="false">SUM(F34:ES34)</f>
        <v>0</v>
      </c>
      <c r="F34" s="34" t="n">
        <f aca="false">F$22*INDEX(Precio_O,2)*INDEX(IdxPrecio_O,1,MIN(10,F$17))*(1+P_dPrecio)</f>
        <v>0</v>
      </c>
      <c r="G34" s="34" t="n">
        <f aca="false">G$22*INDEX(Precio_O,2)*INDEX(IdxPrecio_O,1,MIN(10,G$17))*(1+P_dPrecio)</f>
        <v>0</v>
      </c>
      <c r="H34" s="34" t="n">
        <f aca="false">H$22*INDEX(Precio_O,2)*INDEX(IdxPrecio_O,1,MIN(10,H$17))*(1+P_dPrecio)</f>
        <v>0</v>
      </c>
      <c r="I34" s="34" t="n">
        <f aca="false">I$22*INDEX(Precio_O,2)*INDEX(IdxPrecio_O,1,MIN(10,I$17))*(1+P_dPrecio)</f>
        <v>0</v>
      </c>
      <c r="J34" s="34" t="n">
        <f aca="false">J$22*INDEX(Precio_O,2)*INDEX(IdxPrecio_O,1,MIN(10,J$17))*(1+P_dPrecio)</f>
        <v>0</v>
      </c>
      <c r="K34" s="34" t="n">
        <f aca="false">K$22*INDEX(Precio_O,2)*INDEX(IdxPrecio_O,1,MIN(10,K$17))*(1+P_dPrecio)</f>
        <v>0</v>
      </c>
      <c r="L34" s="34" t="n">
        <f aca="false">L$22*INDEX(Precio_O,2)*INDEX(IdxPrecio_O,1,MIN(10,L$17))*(1+P_dPrecio)</f>
        <v>0</v>
      </c>
      <c r="M34" s="34" t="n">
        <f aca="false">M$22*INDEX(Precio_O,2)*INDEX(IdxPrecio_O,1,MIN(10,M$17))*(1+P_dPrecio)</f>
        <v>0</v>
      </c>
      <c r="N34" s="34" t="n">
        <f aca="false">N$22*INDEX(Precio_O,2)*INDEX(IdxPrecio_O,1,MIN(10,N$17))*(1+P_dPrecio)</f>
        <v>0</v>
      </c>
      <c r="O34" s="34" t="n">
        <f aca="false">O$22*INDEX(Precio_O,2)*INDEX(IdxPrecio_O,1,MIN(10,O$17))*(1+P_dPrecio)</f>
        <v>0</v>
      </c>
      <c r="P34" s="34" t="n">
        <f aca="false">P$22*INDEX(Precio_O,2)*INDEX(IdxPrecio_O,1,MIN(10,P$17))*(1+P_dPrecio)</f>
        <v>0</v>
      </c>
      <c r="Q34" s="34" t="n">
        <f aca="false">Q$22*INDEX(Precio_O,2)*INDEX(IdxPrecio_O,1,MIN(10,Q$17))*(1+P_dPrecio)</f>
        <v>0</v>
      </c>
      <c r="R34" s="34" t="n">
        <f aca="false">R$22*INDEX(Precio_O,2)*INDEX(IdxPrecio_O,1,MIN(10,R$17))*(1+P_dPrecio)</f>
        <v>0</v>
      </c>
      <c r="S34" s="34" t="n">
        <f aca="false">S$22*INDEX(Precio_O,2)*INDEX(IdxPrecio_O,1,MIN(10,S$17))*(1+P_dPrecio)</f>
        <v>0</v>
      </c>
      <c r="T34" s="34" t="n">
        <f aca="false">T$22*INDEX(Precio_O,2)*INDEX(IdxPrecio_O,1,MIN(10,T$17))*(1+P_dPrecio)</f>
        <v>0</v>
      </c>
      <c r="U34" s="34" t="n">
        <f aca="false">U$22*INDEX(Precio_O,2)*INDEX(IdxPrecio_O,1,MIN(10,U$17))*(1+P_dPrecio)</f>
        <v>0</v>
      </c>
      <c r="V34" s="34" t="n">
        <f aca="false">V$22*INDEX(Precio_O,2)*INDEX(IdxPrecio_O,1,MIN(10,V$17))*(1+P_dPrecio)</f>
        <v>0</v>
      </c>
      <c r="W34" s="34" t="n">
        <f aca="false">W$22*INDEX(Precio_O,2)*INDEX(IdxPrecio_O,1,MIN(10,W$17))*(1+P_dPrecio)</f>
        <v>0</v>
      </c>
      <c r="X34" s="34" t="n">
        <f aca="false">X$22*INDEX(Precio_O,2)*INDEX(IdxPrecio_O,1,MIN(10,X$17))*(1+P_dPrecio)</f>
        <v>0</v>
      </c>
      <c r="Y34" s="34" t="n">
        <f aca="false">Y$22*INDEX(Precio_O,2)*INDEX(IdxPrecio_O,1,MIN(10,Y$17))*(1+P_dPrecio)</f>
        <v>0</v>
      </c>
      <c r="Z34" s="34" t="n">
        <f aca="false">Z$22*INDEX(Precio_O,2)*INDEX(IdxPrecio_O,1,MIN(10,Z$17))*(1+P_dPrecio)</f>
        <v>0</v>
      </c>
      <c r="AA34" s="34" t="n">
        <f aca="false">AA$22*INDEX(Precio_O,2)*INDEX(IdxPrecio_O,1,MIN(10,AA$17))*(1+P_dPrecio)</f>
        <v>0</v>
      </c>
      <c r="AB34" s="34" t="n">
        <f aca="false">AB$22*INDEX(Precio_O,2)*INDEX(IdxPrecio_O,1,MIN(10,AB$17))*(1+P_dPrecio)</f>
        <v>0</v>
      </c>
      <c r="AC34" s="34" t="n">
        <f aca="false">AC$22*INDEX(Precio_O,2)*INDEX(IdxPrecio_O,1,MIN(10,AC$17))*(1+P_dPrecio)</f>
        <v>0</v>
      </c>
      <c r="AD34" s="34" t="n">
        <f aca="false">AD$22*INDEX(Precio_O,2)*INDEX(IdxPrecio_O,1,MIN(10,AD$17))*(1+P_dPrecio)</f>
        <v>0</v>
      </c>
      <c r="AE34" s="34" t="n">
        <f aca="false">AE$22*INDEX(Precio_O,2)*INDEX(IdxPrecio_O,1,MIN(10,AE$17))*(1+P_dPrecio)</f>
        <v>0</v>
      </c>
      <c r="AF34" s="34" t="n">
        <f aca="false">AF$22*INDEX(Precio_O,2)*INDEX(IdxPrecio_O,1,MIN(10,AF$17))*(1+P_dPrecio)</f>
        <v>0</v>
      </c>
      <c r="AG34" s="34" t="n">
        <f aca="false">AG$22*INDEX(Precio_O,2)*INDEX(IdxPrecio_O,1,MIN(10,AG$17))*(1+P_dPrecio)</f>
        <v>0</v>
      </c>
      <c r="AH34" s="34" t="n">
        <f aca="false">AH$22*INDEX(Precio_O,2)*INDEX(IdxPrecio_O,1,MIN(10,AH$17))*(1+P_dPrecio)</f>
        <v>0</v>
      </c>
      <c r="AI34" s="34" t="n">
        <f aca="false">AI$22*INDEX(Precio_O,2)*INDEX(IdxPrecio_O,1,MIN(10,AI$17))*(1+P_dPrecio)</f>
        <v>0</v>
      </c>
      <c r="AJ34" s="34" t="n">
        <f aca="false">AJ$22*INDEX(Precio_O,2)*INDEX(IdxPrecio_O,1,MIN(10,AJ$17))*(1+P_dPrecio)</f>
        <v>0</v>
      </c>
      <c r="AK34" s="34" t="n">
        <f aca="false">AK$22*INDEX(Precio_O,2)*INDEX(IdxPrecio_O,1,MIN(10,AK$17))*(1+P_dPrecio)</f>
        <v>0</v>
      </c>
      <c r="AL34" s="34" t="n">
        <f aca="false">AL$22*INDEX(Precio_O,2)*INDEX(IdxPrecio_O,1,MIN(10,AL$17))*(1+P_dPrecio)</f>
        <v>0</v>
      </c>
      <c r="AM34" s="34" t="n">
        <f aca="false">AM$22*INDEX(Precio_O,2)*INDEX(IdxPrecio_O,1,MIN(10,AM$17))*(1+P_dPrecio)</f>
        <v>0</v>
      </c>
      <c r="AN34" s="34" t="n">
        <f aca="false">AN$22*INDEX(Precio_O,2)*INDEX(IdxPrecio_O,1,MIN(10,AN$17))*(1+P_dPrecio)</f>
        <v>0</v>
      </c>
      <c r="AO34" s="34" t="n">
        <f aca="false">AO$22*INDEX(Precio_O,2)*INDEX(IdxPrecio_O,1,MIN(10,AO$17))*(1+P_dPrecio)</f>
        <v>0</v>
      </c>
      <c r="AP34" s="34" t="n">
        <f aca="false">AP$22*INDEX(Precio_O,2)*INDEX(IdxPrecio_O,1,MIN(10,AP$17))*(1+P_dPrecio)</f>
        <v>0</v>
      </c>
      <c r="AQ34" s="34" t="n">
        <f aca="false">AQ$22*INDEX(Precio_O,2)*INDEX(IdxPrecio_O,1,MIN(10,AQ$17))*(1+P_dPrecio)</f>
        <v>0</v>
      </c>
      <c r="AR34" s="34" t="n">
        <f aca="false">AR$22*INDEX(Precio_O,2)*INDEX(IdxPrecio_O,1,MIN(10,AR$17))*(1+P_dPrecio)</f>
        <v>0</v>
      </c>
      <c r="AS34" s="34" t="n">
        <f aca="false">AS$22*INDEX(Precio_O,2)*INDEX(IdxPrecio_O,1,MIN(10,AS$17))*(1+P_dPrecio)</f>
        <v>0</v>
      </c>
      <c r="AT34" s="34" t="n">
        <f aca="false">AT$22*INDEX(Precio_O,2)*INDEX(IdxPrecio_O,1,MIN(10,AT$17))*(1+P_dPrecio)</f>
        <v>0</v>
      </c>
      <c r="AU34" s="34" t="n">
        <f aca="false">AU$22*INDEX(Precio_O,2)*INDEX(IdxPrecio_O,1,MIN(10,AU$17))*(1+P_dPrecio)</f>
        <v>0</v>
      </c>
      <c r="AV34" s="34" t="n">
        <f aca="false">AV$22*INDEX(Precio_O,2)*INDEX(IdxPrecio_O,1,MIN(10,AV$17))*(1+P_dPrecio)</f>
        <v>0</v>
      </c>
      <c r="AW34" s="34" t="n">
        <f aca="false">AW$22*INDEX(Precio_O,2)*INDEX(IdxPrecio_O,1,MIN(10,AW$17))*(1+P_dPrecio)</f>
        <v>0</v>
      </c>
      <c r="AX34" s="34" t="n">
        <f aca="false">AX$22*INDEX(Precio_O,2)*INDEX(IdxPrecio_O,1,MIN(10,AX$17))*(1+P_dPrecio)</f>
        <v>0</v>
      </c>
      <c r="AY34" s="34" t="n">
        <f aca="false">AY$22*INDEX(Precio_O,2)*INDEX(IdxPrecio_O,1,MIN(10,AY$17))*(1+P_dPrecio)</f>
        <v>0</v>
      </c>
      <c r="AZ34" s="34" t="n">
        <f aca="false">AZ$22*INDEX(Precio_O,2)*INDEX(IdxPrecio_O,1,MIN(10,AZ$17))*(1+P_dPrecio)</f>
        <v>0</v>
      </c>
      <c r="BA34" s="34" t="n">
        <f aca="false">BA$22*INDEX(Precio_O,2)*INDEX(IdxPrecio_O,1,MIN(10,BA$17))*(1+P_dPrecio)</f>
        <v>0</v>
      </c>
      <c r="BB34" s="34" t="n">
        <f aca="false">BB$22*INDEX(Precio_O,2)*INDEX(IdxPrecio_O,1,MIN(10,BB$17))*(1+P_dPrecio)</f>
        <v>0</v>
      </c>
      <c r="BC34" s="34" t="n">
        <f aca="false">BC$22*INDEX(Precio_O,2)*INDEX(IdxPrecio_O,1,MIN(10,BC$17))*(1+P_dPrecio)</f>
        <v>0</v>
      </c>
      <c r="BD34" s="34" t="n">
        <f aca="false">BD$22*INDEX(Precio_O,2)*INDEX(IdxPrecio_O,1,MIN(10,BD$17))*(1+P_dPrecio)</f>
        <v>0</v>
      </c>
      <c r="BE34" s="34" t="n">
        <f aca="false">BE$22*INDEX(Precio_O,2)*INDEX(IdxPrecio_O,1,MIN(10,BE$17))*(1+P_dPrecio)</f>
        <v>0</v>
      </c>
      <c r="BF34" s="34" t="n">
        <f aca="false">BF$22*INDEX(Precio_O,2)*INDEX(IdxPrecio_O,1,MIN(10,BF$17))*(1+P_dPrecio)</f>
        <v>0</v>
      </c>
      <c r="BG34" s="34" t="n">
        <f aca="false">BG$22*INDEX(Precio_O,2)*INDEX(IdxPrecio_O,1,MIN(10,BG$17))*(1+P_dPrecio)</f>
        <v>0</v>
      </c>
      <c r="BH34" s="34" t="n">
        <f aca="false">BH$22*INDEX(Precio_O,2)*INDEX(IdxPrecio_O,1,MIN(10,BH$17))*(1+P_dPrecio)</f>
        <v>0</v>
      </c>
      <c r="BI34" s="34" t="n">
        <f aca="false">BI$22*INDEX(Precio_O,2)*INDEX(IdxPrecio_O,1,MIN(10,BI$17))*(1+P_dPrecio)</f>
        <v>0</v>
      </c>
      <c r="BJ34" s="34" t="n">
        <f aca="false">BJ$22*INDEX(Precio_O,2)*INDEX(IdxPrecio_O,1,MIN(10,BJ$17))*(1+P_dPrecio)</f>
        <v>0</v>
      </c>
      <c r="BK34" s="34" t="n">
        <f aca="false">BK$22*INDEX(Precio_O,2)*INDEX(IdxPrecio_O,1,MIN(10,BK$17))*(1+P_dPrecio)</f>
        <v>0</v>
      </c>
      <c r="BL34" s="34" t="n">
        <f aca="false">BL$22*INDEX(Precio_O,2)*INDEX(IdxPrecio_O,1,MIN(10,BL$17))*(1+P_dPrecio)</f>
        <v>0</v>
      </c>
      <c r="BM34" s="34" t="n">
        <f aca="false">BM$22*INDEX(Precio_O,2)*INDEX(IdxPrecio_O,1,MIN(10,BM$17))*(1+P_dPrecio)</f>
        <v>0</v>
      </c>
      <c r="BN34" s="34" t="n">
        <f aca="false">BN$22*INDEX(Precio_O,2)*INDEX(IdxPrecio_O,1,MIN(10,BN$17))*(1+P_dPrecio)</f>
        <v>0</v>
      </c>
      <c r="BO34" s="34" t="n">
        <f aca="false">BO$22*INDEX(Precio_O,2)*INDEX(IdxPrecio_O,1,MIN(10,BO$17))*(1+P_dPrecio)</f>
        <v>0</v>
      </c>
      <c r="BP34" s="34" t="n">
        <f aca="false">BP$22*INDEX(Precio_O,2)*INDEX(IdxPrecio_O,1,MIN(10,BP$17))*(1+P_dPrecio)</f>
        <v>0</v>
      </c>
      <c r="BQ34" s="34" t="n">
        <f aca="false">BQ$22*INDEX(Precio_O,2)*INDEX(IdxPrecio_O,1,MIN(10,BQ$17))*(1+P_dPrecio)</f>
        <v>0</v>
      </c>
      <c r="BR34" s="34" t="n">
        <f aca="false">BR$22*INDEX(Precio_O,2)*INDEX(IdxPrecio_O,1,MIN(10,BR$17))*(1+P_dPrecio)</f>
        <v>0</v>
      </c>
      <c r="BS34" s="34" t="n">
        <f aca="false">BS$22*INDEX(Precio_O,2)*INDEX(IdxPrecio_O,1,MIN(10,BS$17))*(1+P_dPrecio)</f>
        <v>0</v>
      </c>
      <c r="BT34" s="34" t="n">
        <f aca="false">BT$22*INDEX(Precio_O,2)*INDEX(IdxPrecio_O,1,MIN(10,BT$17))*(1+P_dPrecio)</f>
        <v>0</v>
      </c>
      <c r="BU34" s="34" t="n">
        <f aca="false">BU$22*INDEX(Precio_O,2)*INDEX(IdxPrecio_O,1,MIN(10,BU$17))*(1+P_dPrecio)</f>
        <v>0</v>
      </c>
      <c r="BV34" s="34" t="n">
        <f aca="false">BV$22*INDEX(Precio_O,2)*INDEX(IdxPrecio_O,1,MIN(10,BV$17))*(1+P_dPrecio)</f>
        <v>0</v>
      </c>
      <c r="BW34" s="34" t="n">
        <f aca="false">BW$22*INDEX(Precio_O,2)*INDEX(IdxPrecio_O,1,MIN(10,BW$17))*(1+P_dPrecio)</f>
        <v>0</v>
      </c>
      <c r="BX34" s="34" t="n">
        <f aca="false">BX$22*INDEX(Precio_O,2)*INDEX(IdxPrecio_O,1,MIN(10,BX$17))*(1+P_dPrecio)</f>
        <v>0</v>
      </c>
      <c r="BY34" s="34" t="n">
        <f aca="false">BY$22*INDEX(Precio_O,2)*INDEX(IdxPrecio_O,1,MIN(10,BY$17))*(1+P_dPrecio)</f>
        <v>0</v>
      </c>
      <c r="BZ34" s="34" t="n">
        <f aca="false">BZ$22*INDEX(Precio_O,2)*INDEX(IdxPrecio_O,1,MIN(10,BZ$17))*(1+P_dPrecio)</f>
        <v>0</v>
      </c>
      <c r="CA34" s="34" t="n">
        <f aca="false">CA$22*INDEX(Precio_O,2)*INDEX(IdxPrecio_O,1,MIN(10,CA$17))*(1+P_dPrecio)</f>
        <v>0</v>
      </c>
      <c r="CB34" s="34" t="n">
        <f aca="false">CB$22*INDEX(Precio_O,2)*INDEX(IdxPrecio_O,1,MIN(10,CB$17))*(1+P_dPrecio)</f>
        <v>0</v>
      </c>
      <c r="CC34" s="34" t="n">
        <f aca="false">CC$22*INDEX(Precio_O,2)*INDEX(IdxPrecio_O,1,MIN(10,CC$17))*(1+P_dPrecio)</f>
        <v>0</v>
      </c>
      <c r="CD34" s="34" t="n">
        <f aca="false">CD$22*INDEX(Precio_O,2)*INDEX(IdxPrecio_O,1,MIN(10,CD$17))*(1+P_dPrecio)</f>
        <v>0</v>
      </c>
      <c r="CE34" s="34" t="n">
        <f aca="false">CE$22*INDEX(Precio_O,2)*INDEX(IdxPrecio_O,1,MIN(10,CE$17))*(1+P_dPrecio)</f>
        <v>0</v>
      </c>
      <c r="CF34" s="34" t="n">
        <f aca="false">CF$22*INDEX(Precio_O,2)*INDEX(IdxPrecio_O,1,MIN(10,CF$17))*(1+P_dPrecio)</f>
        <v>0</v>
      </c>
      <c r="CG34" s="34" t="n">
        <f aca="false">CG$22*INDEX(Precio_O,2)*INDEX(IdxPrecio_O,1,MIN(10,CG$17))*(1+P_dPrecio)</f>
        <v>0</v>
      </c>
      <c r="CH34" s="34" t="n">
        <f aca="false">CH$22*INDEX(Precio_O,2)*INDEX(IdxPrecio_O,1,MIN(10,CH$17))*(1+P_dPrecio)</f>
        <v>0</v>
      </c>
      <c r="CI34" s="34" t="n">
        <f aca="false">CI$22*INDEX(Precio_O,2)*INDEX(IdxPrecio_O,1,MIN(10,CI$17))*(1+P_dPrecio)</f>
        <v>0</v>
      </c>
      <c r="CJ34" s="34" t="n">
        <f aca="false">CJ$22*INDEX(Precio_O,2)*INDEX(IdxPrecio_O,1,MIN(10,CJ$17))*(1+P_dPrecio)</f>
        <v>0</v>
      </c>
      <c r="CK34" s="34" t="n">
        <f aca="false">CK$22*INDEX(Precio_O,2)*INDEX(IdxPrecio_O,1,MIN(10,CK$17))*(1+P_dPrecio)</f>
        <v>0</v>
      </c>
      <c r="CL34" s="34" t="n">
        <f aca="false">CL$22*INDEX(Precio_O,2)*INDEX(IdxPrecio_O,1,MIN(10,CL$17))*(1+P_dPrecio)</f>
        <v>0</v>
      </c>
      <c r="CM34" s="34" t="n">
        <f aca="false">CM$22*INDEX(Precio_O,2)*INDEX(IdxPrecio_O,1,MIN(10,CM$17))*(1+P_dPrecio)</f>
        <v>0</v>
      </c>
      <c r="CN34" s="34" t="n">
        <f aca="false">CN$22*INDEX(Precio_O,2)*INDEX(IdxPrecio_O,1,MIN(10,CN$17))*(1+P_dPrecio)</f>
        <v>0</v>
      </c>
      <c r="CO34" s="34" t="n">
        <f aca="false">CO$22*INDEX(Precio_O,2)*INDEX(IdxPrecio_O,1,MIN(10,CO$17))*(1+P_dPrecio)</f>
        <v>0</v>
      </c>
      <c r="CP34" s="34" t="n">
        <f aca="false">CP$22*INDEX(Precio_O,2)*INDEX(IdxPrecio_O,1,MIN(10,CP$17))*(1+P_dPrecio)</f>
        <v>0</v>
      </c>
      <c r="CQ34" s="34" t="n">
        <f aca="false">CQ$22*INDEX(Precio_O,2)*INDEX(IdxPrecio_O,1,MIN(10,CQ$17))*(1+P_dPrecio)</f>
        <v>0</v>
      </c>
      <c r="CR34" s="34" t="n">
        <f aca="false">CR$22*INDEX(Precio_O,2)*INDEX(IdxPrecio_O,1,MIN(10,CR$17))*(1+P_dPrecio)</f>
        <v>0</v>
      </c>
      <c r="CS34" s="34" t="n">
        <f aca="false">CS$22*INDEX(Precio_O,2)*INDEX(IdxPrecio_O,1,MIN(10,CS$17))*(1+P_dPrecio)</f>
        <v>0</v>
      </c>
      <c r="CT34" s="34" t="n">
        <f aca="false">CT$22*INDEX(Precio_O,2)*INDEX(IdxPrecio_O,1,MIN(10,CT$17))*(1+P_dPrecio)</f>
        <v>0</v>
      </c>
      <c r="CU34" s="34" t="n">
        <f aca="false">CU$22*INDEX(Precio_O,2)*INDEX(IdxPrecio_O,1,MIN(10,CU$17))*(1+P_dPrecio)</f>
        <v>0</v>
      </c>
      <c r="CV34" s="34" t="n">
        <f aca="false">CV$22*INDEX(Precio_O,2)*INDEX(IdxPrecio_O,1,MIN(10,CV$17))*(1+P_dPrecio)</f>
        <v>0</v>
      </c>
      <c r="CW34" s="34" t="n">
        <f aca="false">CW$22*INDEX(Precio_O,2)*INDEX(IdxPrecio_O,1,MIN(10,CW$17))*(1+P_dPrecio)</f>
        <v>0</v>
      </c>
      <c r="CX34" s="34" t="n">
        <f aca="false">CX$22*INDEX(Precio_O,2)*INDEX(IdxPrecio_O,1,MIN(10,CX$17))*(1+P_dPrecio)</f>
        <v>0</v>
      </c>
      <c r="CY34" s="34" t="n">
        <f aca="false">CY$22*INDEX(Precio_O,2)*INDEX(IdxPrecio_O,1,MIN(10,CY$17))*(1+P_dPrecio)</f>
        <v>0</v>
      </c>
      <c r="CZ34" s="34" t="n">
        <f aca="false">CZ$22*INDEX(Precio_O,2)*INDEX(IdxPrecio_O,1,MIN(10,CZ$17))*(1+P_dPrecio)</f>
        <v>0</v>
      </c>
      <c r="DA34" s="34" t="n">
        <f aca="false">DA$22*INDEX(Precio_O,2)*INDEX(IdxPrecio_O,1,MIN(10,DA$17))*(1+P_dPrecio)</f>
        <v>0</v>
      </c>
      <c r="DB34" s="34" t="n">
        <f aca="false">DB$22*INDEX(Precio_O,2)*INDEX(IdxPrecio_O,1,MIN(10,DB$17))*(1+P_dPrecio)</f>
        <v>0</v>
      </c>
      <c r="DC34" s="34" t="n">
        <f aca="false">DC$22*INDEX(Precio_O,2)*INDEX(IdxPrecio_O,1,MIN(10,DC$17))*(1+P_dPrecio)</f>
        <v>0</v>
      </c>
      <c r="DD34" s="34" t="n">
        <f aca="false">DD$22*INDEX(Precio_O,2)*INDEX(IdxPrecio_O,1,MIN(10,DD$17))*(1+P_dPrecio)</f>
        <v>0</v>
      </c>
      <c r="DE34" s="34" t="n">
        <f aca="false">DE$22*INDEX(Precio_O,2)*INDEX(IdxPrecio_O,1,MIN(10,DE$17))*(1+P_dPrecio)</f>
        <v>0</v>
      </c>
      <c r="DF34" s="34" t="n">
        <f aca="false">DF$22*INDEX(Precio_O,2)*INDEX(IdxPrecio_O,1,MIN(10,DF$17))*(1+P_dPrecio)</f>
        <v>0</v>
      </c>
      <c r="DG34" s="34" t="n">
        <f aca="false">DG$22*INDEX(Precio_O,2)*INDEX(IdxPrecio_O,1,MIN(10,DG$17))*(1+P_dPrecio)</f>
        <v>0</v>
      </c>
      <c r="DH34" s="34" t="n">
        <f aca="false">DH$22*INDEX(Precio_O,2)*INDEX(IdxPrecio_O,1,MIN(10,DH$17))*(1+P_dPrecio)</f>
        <v>0</v>
      </c>
      <c r="DI34" s="34" t="n">
        <f aca="false">DI$22*INDEX(Precio_O,2)*INDEX(IdxPrecio_O,1,MIN(10,DI$17))*(1+P_dPrecio)</f>
        <v>0</v>
      </c>
      <c r="DJ34" s="34" t="n">
        <f aca="false">DJ$22*INDEX(Precio_O,2)*INDEX(IdxPrecio_O,1,MIN(10,DJ$17))*(1+P_dPrecio)</f>
        <v>0</v>
      </c>
      <c r="DK34" s="34" t="n">
        <f aca="false">DK$22*INDEX(Precio_O,2)*INDEX(IdxPrecio_O,1,MIN(10,DK$17))*(1+P_dPrecio)</f>
        <v>0</v>
      </c>
      <c r="DL34" s="34" t="n">
        <f aca="false">DL$22*INDEX(Precio_O,2)*INDEX(IdxPrecio_O,1,MIN(10,DL$17))*(1+P_dPrecio)</f>
        <v>0</v>
      </c>
      <c r="DM34" s="34" t="n">
        <f aca="false">DM$22*INDEX(Precio_O,2)*INDEX(IdxPrecio_O,1,MIN(10,DM$17))*(1+P_dPrecio)</f>
        <v>0</v>
      </c>
      <c r="DN34" s="34" t="n">
        <f aca="false">DN$22*INDEX(Precio_O,2)*INDEX(IdxPrecio_O,1,MIN(10,DN$17))*(1+P_dPrecio)</f>
        <v>0</v>
      </c>
      <c r="DO34" s="34" t="n">
        <f aca="false">DO$22*INDEX(Precio_O,2)*INDEX(IdxPrecio_O,1,MIN(10,DO$17))*(1+P_dPrecio)</f>
        <v>0</v>
      </c>
      <c r="DP34" s="34" t="n">
        <f aca="false">DP$22*INDEX(Precio_O,2)*INDEX(IdxPrecio_O,1,MIN(10,DP$17))*(1+P_dPrecio)</f>
        <v>0</v>
      </c>
      <c r="DQ34" s="34" t="n">
        <f aca="false">DQ$22*INDEX(Precio_O,2)*INDEX(IdxPrecio_O,1,MIN(10,DQ$17))*(1+P_dPrecio)</f>
        <v>0</v>
      </c>
      <c r="DR34" s="34" t="n">
        <f aca="false">DR$22*INDEX(Precio_O,2)*INDEX(IdxPrecio_O,1,MIN(10,DR$17))*(1+P_dPrecio)</f>
        <v>0</v>
      </c>
      <c r="DS34" s="34" t="n">
        <f aca="false">DS$22*INDEX(Precio_O,2)*INDEX(IdxPrecio_O,1,MIN(10,DS$17))*(1+P_dPrecio)</f>
        <v>0</v>
      </c>
      <c r="DT34" s="34" t="n">
        <f aca="false">DT$22*INDEX(Precio_O,2)*INDEX(IdxPrecio_O,1,MIN(10,DT$17))*(1+P_dPrecio)</f>
        <v>0</v>
      </c>
      <c r="DU34" s="34" t="n">
        <f aca="false">DU$22*INDEX(Precio_O,2)*INDEX(IdxPrecio_O,1,MIN(10,DU$17))*(1+P_dPrecio)</f>
        <v>0</v>
      </c>
      <c r="DV34" s="34" t="n">
        <f aca="false">DV$22*INDEX(Precio_O,2)*INDEX(IdxPrecio_O,1,MIN(10,DV$17))*(1+P_dPrecio)</f>
        <v>0</v>
      </c>
      <c r="DW34" s="34" t="n">
        <f aca="false">DW$22*INDEX(Precio_O,2)*INDEX(IdxPrecio_O,1,MIN(10,DW$17))*(1+P_dPrecio)</f>
        <v>0</v>
      </c>
      <c r="DX34" s="34" t="n">
        <f aca="false">DX$22*INDEX(Precio_O,2)*INDEX(IdxPrecio_O,1,MIN(10,DX$17))*(1+P_dPrecio)</f>
        <v>0</v>
      </c>
      <c r="DY34" s="34" t="n">
        <f aca="false">DY$22*INDEX(Precio_O,2)*INDEX(IdxPrecio_O,1,MIN(10,DY$17))*(1+P_dPrecio)</f>
        <v>0</v>
      </c>
      <c r="DZ34" s="34" t="n">
        <f aca="false">DZ$22*INDEX(Precio_O,2)*INDEX(IdxPrecio_O,1,MIN(10,DZ$17))*(1+P_dPrecio)</f>
        <v>0</v>
      </c>
      <c r="EA34" s="34" t="n">
        <f aca="false">EA$22*INDEX(Precio_O,2)*INDEX(IdxPrecio_O,1,MIN(10,EA$17))*(1+P_dPrecio)</f>
        <v>0</v>
      </c>
      <c r="EB34" s="34" t="n">
        <f aca="false">EB$22*INDEX(Precio_O,2)*INDEX(IdxPrecio_O,1,MIN(10,EB$17))*(1+P_dPrecio)</f>
        <v>0</v>
      </c>
      <c r="EC34" s="34" t="n">
        <f aca="false">EC$22*INDEX(Precio_O,2)*INDEX(IdxPrecio_O,1,MIN(10,EC$17))*(1+P_dPrecio)</f>
        <v>0</v>
      </c>
      <c r="ED34" s="34" t="n">
        <f aca="false">ED$22*INDEX(Precio_O,2)*INDEX(IdxPrecio_O,1,MIN(10,ED$17))*(1+P_dPrecio)</f>
        <v>0</v>
      </c>
      <c r="EE34" s="34" t="n">
        <f aca="false">EE$22*INDEX(Precio_O,2)*INDEX(IdxPrecio_O,1,MIN(10,EE$17))*(1+P_dPrecio)</f>
        <v>0</v>
      </c>
      <c r="EF34" s="34" t="n">
        <f aca="false">EF$22*INDEX(Precio_O,2)*INDEX(IdxPrecio_O,1,MIN(10,EF$17))*(1+P_dPrecio)</f>
        <v>0</v>
      </c>
      <c r="EG34" s="34" t="n">
        <f aca="false">EG$22*INDEX(Precio_O,2)*INDEX(IdxPrecio_O,1,MIN(10,EG$17))*(1+P_dPrecio)</f>
        <v>0</v>
      </c>
      <c r="EH34" s="34" t="n">
        <f aca="false">EH$22*INDEX(Precio_O,2)*INDEX(IdxPrecio_O,1,MIN(10,EH$17))*(1+P_dPrecio)</f>
        <v>0</v>
      </c>
      <c r="EI34" s="34" t="n">
        <f aca="false">EI$22*INDEX(Precio_O,2)*INDEX(IdxPrecio_O,1,MIN(10,EI$17))*(1+P_dPrecio)</f>
        <v>0</v>
      </c>
      <c r="EJ34" s="34" t="n">
        <f aca="false">EJ$22*INDEX(Precio_O,2)*INDEX(IdxPrecio_O,1,MIN(10,EJ$17))*(1+P_dPrecio)</f>
        <v>0</v>
      </c>
      <c r="EK34" s="34" t="n">
        <f aca="false">EK$22*INDEX(Precio_O,2)*INDEX(IdxPrecio_O,1,MIN(10,EK$17))*(1+P_dPrecio)</f>
        <v>0</v>
      </c>
      <c r="EL34" s="34" t="n">
        <f aca="false">EL$22*INDEX(Precio_O,2)*INDEX(IdxPrecio_O,1,MIN(10,EL$17))*(1+P_dPrecio)</f>
        <v>0</v>
      </c>
      <c r="EM34" s="34" t="n">
        <f aca="false">EM$22*INDEX(Precio_O,2)*INDEX(IdxPrecio_O,1,MIN(10,EM$17))*(1+P_dPrecio)</f>
        <v>0</v>
      </c>
      <c r="EN34" s="34" t="n">
        <f aca="false">EN$22*INDEX(Precio_O,2)*INDEX(IdxPrecio_O,1,MIN(10,EN$17))*(1+P_dPrecio)</f>
        <v>0</v>
      </c>
      <c r="EO34" s="34" t="n">
        <f aca="false">EO$22*INDEX(Precio_O,2)*INDEX(IdxPrecio_O,1,MIN(10,EO$17))*(1+P_dPrecio)</f>
        <v>0</v>
      </c>
      <c r="EP34" s="34" t="n">
        <f aca="false">EP$22*INDEX(Precio_O,2)*INDEX(IdxPrecio_O,1,MIN(10,EP$17))*(1+P_dPrecio)</f>
        <v>0</v>
      </c>
      <c r="EQ34" s="34" t="n">
        <f aca="false">EQ$22*INDEX(Precio_O,2)*INDEX(IdxPrecio_O,1,MIN(10,EQ$17))*(1+P_dPrecio)</f>
        <v>0</v>
      </c>
      <c r="ER34" s="34" t="n">
        <f aca="false">ER$22*INDEX(Precio_O,2)*INDEX(IdxPrecio_O,1,MIN(10,ER$17))*(1+P_dPrecio)</f>
        <v>0</v>
      </c>
      <c r="ES34" s="34" t="n">
        <f aca="false">ES$22*INDEX(Precio_O,2)*INDEX(IdxPrecio_O,1,MIN(10,ES$17))*(1+P_dPrecio)</f>
        <v>0</v>
      </c>
    </row>
    <row r="35" customFormat="false" ht="15" hidden="false" customHeight="false" outlineLevel="0" collapsed="false">
      <c r="A35" s="2" t="s">
        <v>446</v>
      </c>
      <c r="B35" s="39" t="str">
        <f aca="false">IF(INDEX(Prod_Nombre,3)="","Producto 3",INDEX(Prod_Nombre,3))&amp;" — ventas USD"</f>
        <v>Producto 3 — ventas USD</v>
      </c>
      <c r="C35" s="6" t="s">
        <v>212</v>
      </c>
      <c r="E35" s="40" t="n">
        <f aca="false">SUM(F35:ES35)</f>
        <v>0</v>
      </c>
      <c r="F35" s="34" t="n">
        <f aca="false">F$23*INDEX(Precio_O,3)*INDEX(IdxPrecio_O,1,MIN(10,F$17))*(1+P_dPrecio)</f>
        <v>0</v>
      </c>
      <c r="G35" s="34" t="n">
        <f aca="false">G$23*INDEX(Precio_O,3)*INDEX(IdxPrecio_O,1,MIN(10,G$17))*(1+P_dPrecio)</f>
        <v>0</v>
      </c>
      <c r="H35" s="34" t="n">
        <f aca="false">H$23*INDEX(Precio_O,3)*INDEX(IdxPrecio_O,1,MIN(10,H$17))*(1+P_dPrecio)</f>
        <v>0</v>
      </c>
      <c r="I35" s="34" t="n">
        <f aca="false">I$23*INDEX(Precio_O,3)*INDEX(IdxPrecio_O,1,MIN(10,I$17))*(1+P_dPrecio)</f>
        <v>0</v>
      </c>
      <c r="J35" s="34" t="n">
        <f aca="false">J$23*INDEX(Precio_O,3)*INDEX(IdxPrecio_O,1,MIN(10,J$17))*(1+P_dPrecio)</f>
        <v>0</v>
      </c>
      <c r="K35" s="34" t="n">
        <f aca="false">K$23*INDEX(Precio_O,3)*INDEX(IdxPrecio_O,1,MIN(10,K$17))*(1+P_dPrecio)</f>
        <v>0</v>
      </c>
      <c r="L35" s="34" t="n">
        <f aca="false">L$23*INDEX(Precio_O,3)*INDEX(IdxPrecio_O,1,MIN(10,L$17))*(1+P_dPrecio)</f>
        <v>0</v>
      </c>
      <c r="M35" s="34" t="n">
        <f aca="false">M$23*INDEX(Precio_O,3)*INDEX(IdxPrecio_O,1,MIN(10,M$17))*(1+P_dPrecio)</f>
        <v>0</v>
      </c>
      <c r="N35" s="34" t="n">
        <f aca="false">N$23*INDEX(Precio_O,3)*INDEX(IdxPrecio_O,1,MIN(10,N$17))*(1+P_dPrecio)</f>
        <v>0</v>
      </c>
      <c r="O35" s="34" t="n">
        <f aca="false">O$23*INDEX(Precio_O,3)*INDEX(IdxPrecio_O,1,MIN(10,O$17))*(1+P_dPrecio)</f>
        <v>0</v>
      </c>
      <c r="P35" s="34" t="n">
        <f aca="false">P$23*INDEX(Precio_O,3)*INDEX(IdxPrecio_O,1,MIN(10,P$17))*(1+P_dPrecio)</f>
        <v>0</v>
      </c>
      <c r="Q35" s="34" t="n">
        <f aca="false">Q$23*INDEX(Precio_O,3)*INDEX(IdxPrecio_O,1,MIN(10,Q$17))*(1+P_dPrecio)</f>
        <v>0</v>
      </c>
      <c r="R35" s="34" t="n">
        <f aca="false">R$23*INDEX(Precio_O,3)*INDEX(IdxPrecio_O,1,MIN(10,R$17))*(1+P_dPrecio)</f>
        <v>0</v>
      </c>
      <c r="S35" s="34" t="n">
        <f aca="false">S$23*INDEX(Precio_O,3)*INDEX(IdxPrecio_O,1,MIN(10,S$17))*(1+P_dPrecio)</f>
        <v>0</v>
      </c>
      <c r="T35" s="34" t="n">
        <f aca="false">T$23*INDEX(Precio_O,3)*INDEX(IdxPrecio_O,1,MIN(10,T$17))*(1+P_dPrecio)</f>
        <v>0</v>
      </c>
      <c r="U35" s="34" t="n">
        <f aca="false">U$23*INDEX(Precio_O,3)*INDEX(IdxPrecio_O,1,MIN(10,U$17))*(1+P_dPrecio)</f>
        <v>0</v>
      </c>
      <c r="V35" s="34" t="n">
        <f aca="false">V$23*INDEX(Precio_O,3)*INDEX(IdxPrecio_O,1,MIN(10,V$17))*(1+P_dPrecio)</f>
        <v>0</v>
      </c>
      <c r="W35" s="34" t="n">
        <f aca="false">W$23*INDEX(Precio_O,3)*INDEX(IdxPrecio_O,1,MIN(10,W$17))*(1+P_dPrecio)</f>
        <v>0</v>
      </c>
      <c r="X35" s="34" t="n">
        <f aca="false">X$23*INDEX(Precio_O,3)*INDEX(IdxPrecio_O,1,MIN(10,X$17))*(1+P_dPrecio)</f>
        <v>0</v>
      </c>
      <c r="Y35" s="34" t="n">
        <f aca="false">Y$23*INDEX(Precio_O,3)*INDEX(IdxPrecio_O,1,MIN(10,Y$17))*(1+P_dPrecio)</f>
        <v>0</v>
      </c>
      <c r="Z35" s="34" t="n">
        <f aca="false">Z$23*INDEX(Precio_O,3)*INDEX(IdxPrecio_O,1,MIN(10,Z$17))*(1+P_dPrecio)</f>
        <v>0</v>
      </c>
      <c r="AA35" s="34" t="n">
        <f aca="false">AA$23*INDEX(Precio_O,3)*INDEX(IdxPrecio_O,1,MIN(10,AA$17))*(1+P_dPrecio)</f>
        <v>0</v>
      </c>
      <c r="AB35" s="34" t="n">
        <f aca="false">AB$23*INDEX(Precio_O,3)*INDEX(IdxPrecio_O,1,MIN(10,AB$17))*(1+P_dPrecio)</f>
        <v>0</v>
      </c>
      <c r="AC35" s="34" t="n">
        <f aca="false">AC$23*INDEX(Precio_O,3)*INDEX(IdxPrecio_O,1,MIN(10,AC$17))*(1+P_dPrecio)</f>
        <v>0</v>
      </c>
      <c r="AD35" s="34" t="n">
        <f aca="false">AD$23*INDEX(Precio_O,3)*INDEX(IdxPrecio_O,1,MIN(10,AD$17))*(1+P_dPrecio)</f>
        <v>0</v>
      </c>
      <c r="AE35" s="34" t="n">
        <f aca="false">AE$23*INDEX(Precio_O,3)*INDEX(IdxPrecio_O,1,MIN(10,AE$17))*(1+P_dPrecio)</f>
        <v>0</v>
      </c>
      <c r="AF35" s="34" t="n">
        <f aca="false">AF$23*INDEX(Precio_O,3)*INDEX(IdxPrecio_O,1,MIN(10,AF$17))*(1+P_dPrecio)</f>
        <v>0</v>
      </c>
      <c r="AG35" s="34" t="n">
        <f aca="false">AG$23*INDEX(Precio_O,3)*INDEX(IdxPrecio_O,1,MIN(10,AG$17))*(1+P_dPrecio)</f>
        <v>0</v>
      </c>
      <c r="AH35" s="34" t="n">
        <f aca="false">AH$23*INDEX(Precio_O,3)*INDEX(IdxPrecio_O,1,MIN(10,AH$17))*(1+P_dPrecio)</f>
        <v>0</v>
      </c>
      <c r="AI35" s="34" t="n">
        <f aca="false">AI$23*INDEX(Precio_O,3)*INDEX(IdxPrecio_O,1,MIN(10,AI$17))*(1+P_dPrecio)</f>
        <v>0</v>
      </c>
      <c r="AJ35" s="34" t="n">
        <f aca="false">AJ$23*INDEX(Precio_O,3)*INDEX(IdxPrecio_O,1,MIN(10,AJ$17))*(1+P_dPrecio)</f>
        <v>0</v>
      </c>
      <c r="AK35" s="34" t="n">
        <f aca="false">AK$23*INDEX(Precio_O,3)*INDEX(IdxPrecio_O,1,MIN(10,AK$17))*(1+P_dPrecio)</f>
        <v>0</v>
      </c>
      <c r="AL35" s="34" t="n">
        <f aca="false">AL$23*INDEX(Precio_O,3)*INDEX(IdxPrecio_O,1,MIN(10,AL$17))*(1+P_dPrecio)</f>
        <v>0</v>
      </c>
      <c r="AM35" s="34" t="n">
        <f aca="false">AM$23*INDEX(Precio_O,3)*INDEX(IdxPrecio_O,1,MIN(10,AM$17))*(1+P_dPrecio)</f>
        <v>0</v>
      </c>
      <c r="AN35" s="34" t="n">
        <f aca="false">AN$23*INDEX(Precio_O,3)*INDEX(IdxPrecio_O,1,MIN(10,AN$17))*(1+P_dPrecio)</f>
        <v>0</v>
      </c>
      <c r="AO35" s="34" t="n">
        <f aca="false">AO$23*INDEX(Precio_O,3)*INDEX(IdxPrecio_O,1,MIN(10,AO$17))*(1+P_dPrecio)</f>
        <v>0</v>
      </c>
      <c r="AP35" s="34" t="n">
        <f aca="false">AP$23*INDEX(Precio_O,3)*INDEX(IdxPrecio_O,1,MIN(10,AP$17))*(1+P_dPrecio)</f>
        <v>0</v>
      </c>
      <c r="AQ35" s="34" t="n">
        <f aca="false">AQ$23*INDEX(Precio_O,3)*INDEX(IdxPrecio_O,1,MIN(10,AQ$17))*(1+P_dPrecio)</f>
        <v>0</v>
      </c>
      <c r="AR35" s="34" t="n">
        <f aca="false">AR$23*INDEX(Precio_O,3)*INDEX(IdxPrecio_O,1,MIN(10,AR$17))*(1+P_dPrecio)</f>
        <v>0</v>
      </c>
      <c r="AS35" s="34" t="n">
        <f aca="false">AS$23*INDEX(Precio_O,3)*INDEX(IdxPrecio_O,1,MIN(10,AS$17))*(1+P_dPrecio)</f>
        <v>0</v>
      </c>
      <c r="AT35" s="34" t="n">
        <f aca="false">AT$23*INDEX(Precio_O,3)*INDEX(IdxPrecio_O,1,MIN(10,AT$17))*(1+P_dPrecio)</f>
        <v>0</v>
      </c>
      <c r="AU35" s="34" t="n">
        <f aca="false">AU$23*INDEX(Precio_O,3)*INDEX(IdxPrecio_O,1,MIN(10,AU$17))*(1+P_dPrecio)</f>
        <v>0</v>
      </c>
      <c r="AV35" s="34" t="n">
        <f aca="false">AV$23*INDEX(Precio_O,3)*INDEX(IdxPrecio_O,1,MIN(10,AV$17))*(1+P_dPrecio)</f>
        <v>0</v>
      </c>
      <c r="AW35" s="34" t="n">
        <f aca="false">AW$23*INDEX(Precio_O,3)*INDEX(IdxPrecio_O,1,MIN(10,AW$17))*(1+P_dPrecio)</f>
        <v>0</v>
      </c>
      <c r="AX35" s="34" t="n">
        <f aca="false">AX$23*INDEX(Precio_O,3)*INDEX(IdxPrecio_O,1,MIN(10,AX$17))*(1+P_dPrecio)</f>
        <v>0</v>
      </c>
      <c r="AY35" s="34" t="n">
        <f aca="false">AY$23*INDEX(Precio_O,3)*INDEX(IdxPrecio_O,1,MIN(10,AY$17))*(1+P_dPrecio)</f>
        <v>0</v>
      </c>
      <c r="AZ35" s="34" t="n">
        <f aca="false">AZ$23*INDEX(Precio_O,3)*INDEX(IdxPrecio_O,1,MIN(10,AZ$17))*(1+P_dPrecio)</f>
        <v>0</v>
      </c>
      <c r="BA35" s="34" t="n">
        <f aca="false">BA$23*INDEX(Precio_O,3)*INDEX(IdxPrecio_O,1,MIN(10,BA$17))*(1+P_dPrecio)</f>
        <v>0</v>
      </c>
      <c r="BB35" s="34" t="n">
        <f aca="false">BB$23*INDEX(Precio_O,3)*INDEX(IdxPrecio_O,1,MIN(10,BB$17))*(1+P_dPrecio)</f>
        <v>0</v>
      </c>
      <c r="BC35" s="34" t="n">
        <f aca="false">BC$23*INDEX(Precio_O,3)*INDEX(IdxPrecio_O,1,MIN(10,BC$17))*(1+P_dPrecio)</f>
        <v>0</v>
      </c>
      <c r="BD35" s="34" t="n">
        <f aca="false">BD$23*INDEX(Precio_O,3)*INDEX(IdxPrecio_O,1,MIN(10,BD$17))*(1+P_dPrecio)</f>
        <v>0</v>
      </c>
      <c r="BE35" s="34" t="n">
        <f aca="false">BE$23*INDEX(Precio_O,3)*INDEX(IdxPrecio_O,1,MIN(10,BE$17))*(1+P_dPrecio)</f>
        <v>0</v>
      </c>
      <c r="BF35" s="34" t="n">
        <f aca="false">BF$23*INDEX(Precio_O,3)*INDEX(IdxPrecio_O,1,MIN(10,BF$17))*(1+P_dPrecio)</f>
        <v>0</v>
      </c>
      <c r="BG35" s="34" t="n">
        <f aca="false">BG$23*INDEX(Precio_O,3)*INDEX(IdxPrecio_O,1,MIN(10,BG$17))*(1+P_dPrecio)</f>
        <v>0</v>
      </c>
      <c r="BH35" s="34" t="n">
        <f aca="false">BH$23*INDEX(Precio_O,3)*INDEX(IdxPrecio_O,1,MIN(10,BH$17))*(1+P_dPrecio)</f>
        <v>0</v>
      </c>
      <c r="BI35" s="34" t="n">
        <f aca="false">BI$23*INDEX(Precio_O,3)*INDEX(IdxPrecio_O,1,MIN(10,BI$17))*(1+P_dPrecio)</f>
        <v>0</v>
      </c>
      <c r="BJ35" s="34" t="n">
        <f aca="false">BJ$23*INDEX(Precio_O,3)*INDEX(IdxPrecio_O,1,MIN(10,BJ$17))*(1+P_dPrecio)</f>
        <v>0</v>
      </c>
      <c r="BK35" s="34" t="n">
        <f aca="false">BK$23*INDEX(Precio_O,3)*INDEX(IdxPrecio_O,1,MIN(10,BK$17))*(1+P_dPrecio)</f>
        <v>0</v>
      </c>
      <c r="BL35" s="34" t="n">
        <f aca="false">BL$23*INDEX(Precio_O,3)*INDEX(IdxPrecio_O,1,MIN(10,BL$17))*(1+P_dPrecio)</f>
        <v>0</v>
      </c>
      <c r="BM35" s="34" t="n">
        <f aca="false">BM$23*INDEX(Precio_O,3)*INDEX(IdxPrecio_O,1,MIN(10,BM$17))*(1+P_dPrecio)</f>
        <v>0</v>
      </c>
      <c r="BN35" s="34" t="n">
        <f aca="false">BN$23*INDEX(Precio_O,3)*INDEX(IdxPrecio_O,1,MIN(10,BN$17))*(1+P_dPrecio)</f>
        <v>0</v>
      </c>
      <c r="BO35" s="34" t="n">
        <f aca="false">BO$23*INDEX(Precio_O,3)*INDEX(IdxPrecio_O,1,MIN(10,BO$17))*(1+P_dPrecio)</f>
        <v>0</v>
      </c>
      <c r="BP35" s="34" t="n">
        <f aca="false">BP$23*INDEX(Precio_O,3)*INDEX(IdxPrecio_O,1,MIN(10,BP$17))*(1+P_dPrecio)</f>
        <v>0</v>
      </c>
      <c r="BQ35" s="34" t="n">
        <f aca="false">BQ$23*INDEX(Precio_O,3)*INDEX(IdxPrecio_O,1,MIN(10,BQ$17))*(1+P_dPrecio)</f>
        <v>0</v>
      </c>
      <c r="BR35" s="34" t="n">
        <f aca="false">BR$23*INDEX(Precio_O,3)*INDEX(IdxPrecio_O,1,MIN(10,BR$17))*(1+P_dPrecio)</f>
        <v>0</v>
      </c>
      <c r="BS35" s="34" t="n">
        <f aca="false">BS$23*INDEX(Precio_O,3)*INDEX(IdxPrecio_O,1,MIN(10,BS$17))*(1+P_dPrecio)</f>
        <v>0</v>
      </c>
      <c r="BT35" s="34" t="n">
        <f aca="false">BT$23*INDEX(Precio_O,3)*INDEX(IdxPrecio_O,1,MIN(10,BT$17))*(1+P_dPrecio)</f>
        <v>0</v>
      </c>
      <c r="BU35" s="34" t="n">
        <f aca="false">BU$23*INDEX(Precio_O,3)*INDEX(IdxPrecio_O,1,MIN(10,BU$17))*(1+P_dPrecio)</f>
        <v>0</v>
      </c>
      <c r="BV35" s="34" t="n">
        <f aca="false">BV$23*INDEX(Precio_O,3)*INDEX(IdxPrecio_O,1,MIN(10,BV$17))*(1+P_dPrecio)</f>
        <v>0</v>
      </c>
      <c r="BW35" s="34" t="n">
        <f aca="false">BW$23*INDEX(Precio_O,3)*INDEX(IdxPrecio_O,1,MIN(10,BW$17))*(1+P_dPrecio)</f>
        <v>0</v>
      </c>
      <c r="BX35" s="34" t="n">
        <f aca="false">BX$23*INDEX(Precio_O,3)*INDEX(IdxPrecio_O,1,MIN(10,BX$17))*(1+P_dPrecio)</f>
        <v>0</v>
      </c>
      <c r="BY35" s="34" t="n">
        <f aca="false">BY$23*INDEX(Precio_O,3)*INDEX(IdxPrecio_O,1,MIN(10,BY$17))*(1+P_dPrecio)</f>
        <v>0</v>
      </c>
      <c r="BZ35" s="34" t="n">
        <f aca="false">BZ$23*INDEX(Precio_O,3)*INDEX(IdxPrecio_O,1,MIN(10,BZ$17))*(1+P_dPrecio)</f>
        <v>0</v>
      </c>
      <c r="CA35" s="34" t="n">
        <f aca="false">CA$23*INDEX(Precio_O,3)*INDEX(IdxPrecio_O,1,MIN(10,CA$17))*(1+P_dPrecio)</f>
        <v>0</v>
      </c>
      <c r="CB35" s="34" t="n">
        <f aca="false">CB$23*INDEX(Precio_O,3)*INDEX(IdxPrecio_O,1,MIN(10,CB$17))*(1+P_dPrecio)</f>
        <v>0</v>
      </c>
      <c r="CC35" s="34" t="n">
        <f aca="false">CC$23*INDEX(Precio_O,3)*INDEX(IdxPrecio_O,1,MIN(10,CC$17))*(1+P_dPrecio)</f>
        <v>0</v>
      </c>
      <c r="CD35" s="34" t="n">
        <f aca="false">CD$23*INDEX(Precio_O,3)*INDEX(IdxPrecio_O,1,MIN(10,CD$17))*(1+P_dPrecio)</f>
        <v>0</v>
      </c>
      <c r="CE35" s="34" t="n">
        <f aca="false">CE$23*INDEX(Precio_O,3)*INDEX(IdxPrecio_O,1,MIN(10,CE$17))*(1+P_dPrecio)</f>
        <v>0</v>
      </c>
      <c r="CF35" s="34" t="n">
        <f aca="false">CF$23*INDEX(Precio_O,3)*INDEX(IdxPrecio_O,1,MIN(10,CF$17))*(1+P_dPrecio)</f>
        <v>0</v>
      </c>
      <c r="CG35" s="34" t="n">
        <f aca="false">CG$23*INDEX(Precio_O,3)*INDEX(IdxPrecio_O,1,MIN(10,CG$17))*(1+P_dPrecio)</f>
        <v>0</v>
      </c>
      <c r="CH35" s="34" t="n">
        <f aca="false">CH$23*INDEX(Precio_O,3)*INDEX(IdxPrecio_O,1,MIN(10,CH$17))*(1+P_dPrecio)</f>
        <v>0</v>
      </c>
      <c r="CI35" s="34" t="n">
        <f aca="false">CI$23*INDEX(Precio_O,3)*INDEX(IdxPrecio_O,1,MIN(10,CI$17))*(1+P_dPrecio)</f>
        <v>0</v>
      </c>
      <c r="CJ35" s="34" t="n">
        <f aca="false">CJ$23*INDEX(Precio_O,3)*INDEX(IdxPrecio_O,1,MIN(10,CJ$17))*(1+P_dPrecio)</f>
        <v>0</v>
      </c>
      <c r="CK35" s="34" t="n">
        <f aca="false">CK$23*INDEX(Precio_O,3)*INDEX(IdxPrecio_O,1,MIN(10,CK$17))*(1+P_dPrecio)</f>
        <v>0</v>
      </c>
      <c r="CL35" s="34" t="n">
        <f aca="false">CL$23*INDEX(Precio_O,3)*INDEX(IdxPrecio_O,1,MIN(10,CL$17))*(1+P_dPrecio)</f>
        <v>0</v>
      </c>
      <c r="CM35" s="34" t="n">
        <f aca="false">CM$23*INDEX(Precio_O,3)*INDEX(IdxPrecio_O,1,MIN(10,CM$17))*(1+P_dPrecio)</f>
        <v>0</v>
      </c>
      <c r="CN35" s="34" t="n">
        <f aca="false">CN$23*INDEX(Precio_O,3)*INDEX(IdxPrecio_O,1,MIN(10,CN$17))*(1+P_dPrecio)</f>
        <v>0</v>
      </c>
      <c r="CO35" s="34" t="n">
        <f aca="false">CO$23*INDEX(Precio_O,3)*INDEX(IdxPrecio_O,1,MIN(10,CO$17))*(1+P_dPrecio)</f>
        <v>0</v>
      </c>
      <c r="CP35" s="34" t="n">
        <f aca="false">CP$23*INDEX(Precio_O,3)*INDEX(IdxPrecio_O,1,MIN(10,CP$17))*(1+P_dPrecio)</f>
        <v>0</v>
      </c>
      <c r="CQ35" s="34" t="n">
        <f aca="false">CQ$23*INDEX(Precio_O,3)*INDEX(IdxPrecio_O,1,MIN(10,CQ$17))*(1+P_dPrecio)</f>
        <v>0</v>
      </c>
      <c r="CR35" s="34" t="n">
        <f aca="false">CR$23*INDEX(Precio_O,3)*INDEX(IdxPrecio_O,1,MIN(10,CR$17))*(1+P_dPrecio)</f>
        <v>0</v>
      </c>
      <c r="CS35" s="34" t="n">
        <f aca="false">CS$23*INDEX(Precio_O,3)*INDEX(IdxPrecio_O,1,MIN(10,CS$17))*(1+P_dPrecio)</f>
        <v>0</v>
      </c>
      <c r="CT35" s="34" t="n">
        <f aca="false">CT$23*INDEX(Precio_O,3)*INDEX(IdxPrecio_O,1,MIN(10,CT$17))*(1+P_dPrecio)</f>
        <v>0</v>
      </c>
      <c r="CU35" s="34" t="n">
        <f aca="false">CU$23*INDEX(Precio_O,3)*INDEX(IdxPrecio_O,1,MIN(10,CU$17))*(1+P_dPrecio)</f>
        <v>0</v>
      </c>
      <c r="CV35" s="34" t="n">
        <f aca="false">CV$23*INDEX(Precio_O,3)*INDEX(IdxPrecio_O,1,MIN(10,CV$17))*(1+P_dPrecio)</f>
        <v>0</v>
      </c>
      <c r="CW35" s="34" t="n">
        <f aca="false">CW$23*INDEX(Precio_O,3)*INDEX(IdxPrecio_O,1,MIN(10,CW$17))*(1+P_dPrecio)</f>
        <v>0</v>
      </c>
      <c r="CX35" s="34" t="n">
        <f aca="false">CX$23*INDEX(Precio_O,3)*INDEX(IdxPrecio_O,1,MIN(10,CX$17))*(1+P_dPrecio)</f>
        <v>0</v>
      </c>
      <c r="CY35" s="34" t="n">
        <f aca="false">CY$23*INDEX(Precio_O,3)*INDEX(IdxPrecio_O,1,MIN(10,CY$17))*(1+P_dPrecio)</f>
        <v>0</v>
      </c>
      <c r="CZ35" s="34" t="n">
        <f aca="false">CZ$23*INDEX(Precio_O,3)*INDEX(IdxPrecio_O,1,MIN(10,CZ$17))*(1+P_dPrecio)</f>
        <v>0</v>
      </c>
      <c r="DA35" s="34" t="n">
        <f aca="false">DA$23*INDEX(Precio_O,3)*INDEX(IdxPrecio_O,1,MIN(10,DA$17))*(1+P_dPrecio)</f>
        <v>0</v>
      </c>
      <c r="DB35" s="34" t="n">
        <f aca="false">DB$23*INDEX(Precio_O,3)*INDEX(IdxPrecio_O,1,MIN(10,DB$17))*(1+P_dPrecio)</f>
        <v>0</v>
      </c>
      <c r="DC35" s="34" t="n">
        <f aca="false">DC$23*INDEX(Precio_O,3)*INDEX(IdxPrecio_O,1,MIN(10,DC$17))*(1+P_dPrecio)</f>
        <v>0</v>
      </c>
      <c r="DD35" s="34" t="n">
        <f aca="false">DD$23*INDEX(Precio_O,3)*INDEX(IdxPrecio_O,1,MIN(10,DD$17))*(1+P_dPrecio)</f>
        <v>0</v>
      </c>
      <c r="DE35" s="34" t="n">
        <f aca="false">DE$23*INDEX(Precio_O,3)*INDEX(IdxPrecio_O,1,MIN(10,DE$17))*(1+P_dPrecio)</f>
        <v>0</v>
      </c>
      <c r="DF35" s="34" t="n">
        <f aca="false">DF$23*INDEX(Precio_O,3)*INDEX(IdxPrecio_O,1,MIN(10,DF$17))*(1+P_dPrecio)</f>
        <v>0</v>
      </c>
      <c r="DG35" s="34" t="n">
        <f aca="false">DG$23*INDEX(Precio_O,3)*INDEX(IdxPrecio_O,1,MIN(10,DG$17))*(1+P_dPrecio)</f>
        <v>0</v>
      </c>
      <c r="DH35" s="34" t="n">
        <f aca="false">DH$23*INDEX(Precio_O,3)*INDEX(IdxPrecio_O,1,MIN(10,DH$17))*(1+P_dPrecio)</f>
        <v>0</v>
      </c>
      <c r="DI35" s="34" t="n">
        <f aca="false">DI$23*INDEX(Precio_O,3)*INDEX(IdxPrecio_O,1,MIN(10,DI$17))*(1+P_dPrecio)</f>
        <v>0</v>
      </c>
      <c r="DJ35" s="34" t="n">
        <f aca="false">DJ$23*INDEX(Precio_O,3)*INDEX(IdxPrecio_O,1,MIN(10,DJ$17))*(1+P_dPrecio)</f>
        <v>0</v>
      </c>
      <c r="DK35" s="34" t="n">
        <f aca="false">DK$23*INDEX(Precio_O,3)*INDEX(IdxPrecio_O,1,MIN(10,DK$17))*(1+P_dPrecio)</f>
        <v>0</v>
      </c>
      <c r="DL35" s="34" t="n">
        <f aca="false">DL$23*INDEX(Precio_O,3)*INDEX(IdxPrecio_O,1,MIN(10,DL$17))*(1+P_dPrecio)</f>
        <v>0</v>
      </c>
      <c r="DM35" s="34" t="n">
        <f aca="false">DM$23*INDEX(Precio_O,3)*INDEX(IdxPrecio_O,1,MIN(10,DM$17))*(1+P_dPrecio)</f>
        <v>0</v>
      </c>
      <c r="DN35" s="34" t="n">
        <f aca="false">DN$23*INDEX(Precio_O,3)*INDEX(IdxPrecio_O,1,MIN(10,DN$17))*(1+P_dPrecio)</f>
        <v>0</v>
      </c>
      <c r="DO35" s="34" t="n">
        <f aca="false">DO$23*INDEX(Precio_O,3)*INDEX(IdxPrecio_O,1,MIN(10,DO$17))*(1+P_dPrecio)</f>
        <v>0</v>
      </c>
      <c r="DP35" s="34" t="n">
        <f aca="false">DP$23*INDEX(Precio_O,3)*INDEX(IdxPrecio_O,1,MIN(10,DP$17))*(1+P_dPrecio)</f>
        <v>0</v>
      </c>
      <c r="DQ35" s="34" t="n">
        <f aca="false">DQ$23*INDEX(Precio_O,3)*INDEX(IdxPrecio_O,1,MIN(10,DQ$17))*(1+P_dPrecio)</f>
        <v>0</v>
      </c>
      <c r="DR35" s="34" t="n">
        <f aca="false">DR$23*INDEX(Precio_O,3)*INDEX(IdxPrecio_O,1,MIN(10,DR$17))*(1+P_dPrecio)</f>
        <v>0</v>
      </c>
      <c r="DS35" s="34" t="n">
        <f aca="false">DS$23*INDEX(Precio_O,3)*INDEX(IdxPrecio_O,1,MIN(10,DS$17))*(1+P_dPrecio)</f>
        <v>0</v>
      </c>
      <c r="DT35" s="34" t="n">
        <f aca="false">DT$23*INDEX(Precio_O,3)*INDEX(IdxPrecio_O,1,MIN(10,DT$17))*(1+P_dPrecio)</f>
        <v>0</v>
      </c>
      <c r="DU35" s="34" t="n">
        <f aca="false">DU$23*INDEX(Precio_O,3)*INDEX(IdxPrecio_O,1,MIN(10,DU$17))*(1+P_dPrecio)</f>
        <v>0</v>
      </c>
      <c r="DV35" s="34" t="n">
        <f aca="false">DV$23*INDEX(Precio_O,3)*INDEX(IdxPrecio_O,1,MIN(10,DV$17))*(1+P_dPrecio)</f>
        <v>0</v>
      </c>
      <c r="DW35" s="34" t="n">
        <f aca="false">DW$23*INDEX(Precio_O,3)*INDEX(IdxPrecio_O,1,MIN(10,DW$17))*(1+P_dPrecio)</f>
        <v>0</v>
      </c>
      <c r="DX35" s="34" t="n">
        <f aca="false">DX$23*INDEX(Precio_O,3)*INDEX(IdxPrecio_O,1,MIN(10,DX$17))*(1+P_dPrecio)</f>
        <v>0</v>
      </c>
      <c r="DY35" s="34" t="n">
        <f aca="false">DY$23*INDEX(Precio_O,3)*INDEX(IdxPrecio_O,1,MIN(10,DY$17))*(1+P_dPrecio)</f>
        <v>0</v>
      </c>
      <c r="DZ35" s="34" t="n">
        <f aca="false">DZ$23*INDEX(Precio_O,3)*INDEX(IdxPrecio_O,1,MIN(10,DZ$17))*(1+P_dPrecio)</f>
        <v>0</v>
      </c>
      <c r="EA35" s="34" t="n">
        <f aca="false">EA$23*INDEX(Precio_O,3)*INDEX(IdxPrecio_O,1,MIN(10,EA$17))*(1+P_dPrecio)</f>
        <v>0</v>
      </c>
      <c r="EB35" s="34" t="n">
        <f aca="false">EB$23*INDEX(Precio_O,3)*INDEX(IdxPrecio_O,1,MIN(10,EB$17))*(1+P_dPrecio)</f>
        <v>0</v>
      </c>
      <c r="EC35" s="34" t="n">
        <f aca="false">EC$23*INDEX(Precio_O,3)*INDEX(IdxPrecio_O,1,MIN(10,EC$17))*(1+P_dPrecio)</f>
        <v>0</v>
      </c>
      <c r="ED35" s="34" t="n">
        <f aca="false">ED$23*INDEX(Precio_O,3)*INDEX(IdxPrecio_O,1,MIN(10,ED$17))*(1+P_dPrecio)</f>
        <v>0</v>
      </c>
      <c r="EE35" s="34" t="n">
        <f aca="false">EE$23*INDEX(Precio_O,3)*INDEX(IdxPrecio_O,1,MIN(10,EE$17))*(1+P_dPrecio)</f>
        <v>0</v>
      </c>
      <c r="EF35" s="34" t="n">
        <f aca="false">EF$23*INDEX(Precio_O,3)*INDEX(IdxPrecio_O,1,MIN(10,EF$17))*(1+P_dPrecio)</f>
        <v>0</v>
      </c>
      <c r="EG35" s="34" t="n">
        <f aca="false">EG$23*INDEX(Precio_O,3)*INDEX(IdxPrecio_O,1,MIN(10,EG$17))*(1+P_dPrecio)</f>
        <v>0</v>
      </c>
      <c r="EH35" s="34" t="n">
        <f aca="false">EH$23*INDEX(Precio_O,3)*INDEX(IdxPrecio_O,1,MIN(10,EH$17))*(1+P_dPrecio)</f>
        <v>0</v>
      </c>
      <c r="EI35" s="34" t="n">
        <f aca="false">EI$23*INDEX(Precio_O,3)*INDEX(IdxPrecio_O,1,MIN(10,EI$17))*(1+P_dPrecio)</f>
        <v>0</v>
      </c>
      <c r="EJ35" s="34" t="n">
        <f aca="false">EJ$23*INDEX(Precio_O,3)*INDEX(IdxPrecio_O,1,MIN(10,EJ$17))*(1+P_dPrecio)</f>
        <v>0</v>
      </c>
      <c r="EK35" s="34" t="n">
        <f aca="false">EK$23*INDEX(Precio_O,3)*INDEX(IdxPrecio_O,1,MIN(10,EK$17))*(1+P_dPrecio)</f>
        <v>0</v>
      </c>
      <c r="EL35" s="34" t="n">
        <f aca="false">EL$23*INDEX(Precio_O,3)*INDEX(IdxPrecio_O,1,MIN(10,EL$17))*(1+P_dPrecio)</f>
        <v>0</v>
      </c>
      <c r="EM35" s="34" t="n">
        <f aca="false">EM$23*INDEX(Precio_O,3)*INDEX(IdxPrecio_O,1,MIN(10,EM$17))*(1+P_dPrecio)</f>
        <v>0</v>
      </c>
      <c r="EN35" s="34" t="n">
        <f aca="false">EN$23*INDEX(Precio_O,3)*INDEX(IdxPrecio_O,1,MIN(10,EN$17))*(1+P_dPrecio)</f>
        <v>0</v>
      </c>
      <c r="EO35" s="34" t="n">
        <f aca="false">EO$23*INDEX(Precio_O,3)*INDEX(IdxPrecio_O,1,MIN(10,EO$17))*(1+P_dPrecio)</f>
        <v>0</v>
      </c>
      <c r="EP35" s="34" t="n">
        <f aca="false">EP$23*INDEX(Precio_O,3)*INDEX(IdxPrecio_O,1,MIN(10,EP$17))*(1+P_dPrecio)</f>
        <v>0</v>
      </c>
      <c r="EQ35" s="34" t="n">
        <f aca="false">EQ$23*INDEX(Precio_O,3)*INDEX(IdxPrecio_O,1,MIN(10,EQ$17))*(1+P_dPrecio)</f>
        <v>0</v>
      </c>
      <c r="ER35" s="34" t="n">
        <f aca="false">ER$23*INDEX(Precio_O,3)*INDEX(IdxPrecio_O,1,MIN(10,ER$17))*(1+P_dPrecio)</f>
        <v>0</v>
      </c>
      <c r="ES35" s="34" t="n">
        <f aca="false">ES$23*INDEX(Precio_O,3)*INDEX(IdxPrecio_O,1,MIN(10,ES$17))*(1+P_dPrecio)</f>
        <v>0</v>
      </c>
    </row>
    <row r="36" customFormat="false" ht="15" hidden="false" customHeight="false" outlineLevel="0" collapsed="false">
      <c r="A36" s="2" t="s">
        <v>447</v>
      </c>
      <c r="B36" s="39" t="str">
        <f aca="false">IF(INDEX(Prod_Nombre,4)="","Producto 4",INDEX(Prod_Nombre,4))&amp;" — ventas USD"</f>
        <v>Producto 4 — ventas USD</v>
      </c>
      <c r="C36" s="6" t="s">
        <v>212</v>
      </c>
      <c r="E36" s="40" t="n">
        <f aca="false">SUM(F36:ES36)</f>
        <v>0</v>
      </c>
      <c r="F36" s="34" t="n">
        <f aca="false">F$24*INDEX(Precio_O,4)*INDEX(IdxPrecio_O,1,MIN(10,F$17))*(1+P_dPrecio)</f>
        <v>0</v>
      </c>
      <c r="G36" s="34" t="n">
        <f aca="false">G$24*INDEX(Precio_O,4)*INDEX(IdxPrecio_O,1,MIN(10,G$17))*(1+P_dPrecio)</f>
        <v>0</v>
      </c>
      <c r="H36" s="34" t="n">
        <f aca="false">H$24*INDEX(Precio_O,4)*INDEX(IdxPrecio_O,1,MIN(10,H$17))*(1+P_dPrecio)</f>
        <v>0</v>
      </c>
      <c r="I36" s="34" t="n">
        <f aca="false">I$24*INDEX(Precio_O,4)*INDEX(IdxPrecio_O,1,MIN(10,I$17))*(1+P_dPrecio)</f>
        <v>0</v>
      </c>
      <c r="J36" s="34" t="n">
        <f aca="false">J$24*INDEX(Precio_O,4)*INDEX(IdxPrecio_O,1,MIN(10,J$17))*(1+P_dPrecio)</f>
        <v>0</v>
      </c>
      <c r="K36" s="34" t="n">
        <f aca="false">K$24*INDEX(Precio_O,4)*INDEX(IdxPrecio_O,1,MIN(10,K$17))*(1+P_dPrecio)</f>
        <v>0</v>
      </c>
      <c r="L36" s="34" t="n">
        <f aca="false">L$24*INDEX(Precio_O,4)*INDEX(IdxPrecio_O,1,MIN(10,L$17))*(1+P_dPrecio)</f>
        <v>0</v>
      </c>
      <c r="M36" s="34" t="n">
        <f aca="false">M$24*INDEX(Precio_O,4)*INDEX(IdxPrecio_O,1,MIN(10,M$17))*(1+P_dPrecio)</f>
        <v>0</v>
      </c>
      <c r="N36" s="34" t="n">
        <f aca="false">N$24*INDEX(Precio_O,4)*INDEX(IdxPrecio_O,1,MIN(10,N$17))*(1+P_dPrecio)</f>
        <v>0</v>
      </c>
      <c r="O36" s="34" t="n">
        <f aca="false">O$24*INDEX(Precio_O,4)*INDEX(IdxPrecio_O,1,MIN(10,O$17))*(1+P_dPrecio)</f>
        <v>0</v>
      </c>
      <c r="P36" s="34" t="n">
        <f aca="false">P$24*INDEX(Precio_O,4)*INDEX(IdxPrecio_O,1,MIN(10,P$17))*(1+P_dPrecio)</f>
        <v>0</v>
      </c>
      <c r="Q36" s="34" t="n">
        <f aca="false">Q$24*INDEX(Precio_O,4)*INDEX(IdxPrecio_O,1,MIN(10,Q$17))*(1+P_dPrecio)</f>
        <v>0</v>
      </c>
      <c r="R36" s="34" t="n">
        <f aca="false">R$24*INDEX(Precio_O,4)*INDEX(IdxPrecio_O,1,MIN(10,R$17))*(1+P_dPrecio)</f>
        <v>0</v>
      </c>
      <c r="S36" s="34" t="n">
        <f aca="false">S$24*INDEX(Precio_O,4)*INDEX(IdxPrecio_O,1,MIN(10,S$17))*(1+P_dPrecio)</f>
        <v>0</v>
      </c>
      <c r="T36" s="34" t="n">
        <f aca="false">T$24*INDEX(Precio_O,4)*INDEX(IdxPrecio_O,1,MIN(10,T$17))*(1+P_dPrecio)</f>
        <v>0</v>
      </c>
      <c r="U36" s="34" t="n">
        <f aca="false">U$24*INDEX(Precio_O,4)*INDEX(IdxPrecio_O,1,MIN(10,U$17))*(1+P_dPrecio)</f>
        <v>0</v>
      </c>
      <c r="V36" s="34" t="n">
        <f aca="false">V$24*INDEX(Precio_O,4)*INDEX(IdxPrecio_O,1,MIN(10,V$17))*(1+P_dPrecio)</f>
        <v>0</v>
      </c>
      <c r="W36" s="34" t="n">
        <f aca="false">W$24*INDEX(Precio_O,4)*INDEX(IdxPrecio_O,1,MIN(10,W$17))*(1+P_dPrecio)</f>
        <v>0</v>
      </c>
      <c r="X36" s="34" t="n">
        <f aca="false">X$24*INDEX(Precio_O,4)*INDEX(IdxPrecio_O,1,MIN(10,X$17))*(1+P_dPrecio)</f>
        <v>0</v>
      </c>
      <c r="Y36" s="34" t="n">
        <f aca="false">Y$24*INDEX(Precio_O,4)*INDEX(IdxPrecio_O,1,MIN(10,Y$17))*(1+P_dPrecio)</f>
        <v>0</v>
      </c>
      <c r="Z36" s="34" t="n">
        <f aca="false">Z$24*INDEX(Precio_O,4)*INDEX(IdxPrecio_O,1,MIN(10,Z$17))*(1+P_dPrecio)</f>
        <v>0</v>
      </c>
      <c r="AA36" s="34" t="n">
        <f aca="false">AA$24*INDEX(Precio_O,4)*INDEX(IdxPrecio_O,1,MIN(10,AA$17))*(1+P_dPrecio)</f>
        <v>0</v>
      </c>
      <c r="AB36" s="34" t="n">
        <f aca="false">AB$24*INDEX(Precio_O,4)*INDEX(IdxPrecio_O,1,MIN(10,AB$17))*(1+P_dPrecio)</f>
        <v>0</v>
      </c>
      <c r="AC36" s="34" t="n">
        <f aca="false">AC$24*INDEX(Precio_O,4)*INDEX(IdxPrecio_O,1,MIN(10,AC$17))*(1+P_dPrecio)</f>
        <v>0</v>
      </c>
      <c r="AD36" s="34" t="n">
        <f aca="false">AD$24*INDEX(Precio_O,4)*INDEX(IdxPrecio_O,1,MIN(10,AD$17))*(1+P_dPrecio)</f>
        <v>0</v>
      </c>
      <c r="AE36" s="34" t="n">
        <f aca="false">AE$24*INDEX(Precio_O,4)*INDEX(IdxPrecio_O,1,MIN(10,AE$17))*(1+P_dPrecio)</f>
        <v>0</v>
      </c>
      <c r="AF36" s="34" t="n">
        <f aca="false">AF$24*INDEX(Precio_O,4)*INDEX(IdxPrecio_O,1,MIN(10,AF$17))*(1+P_dPrecio)</f>
        <v>0</v>
      </c>
      <c r="AG36" s="34" t="n">
        <f aca="false">AG$24*INDEX(Precio_O,4)*INDEX(IdxPrecio_O,1,MIN(10,AG$17))*(1+P_dPrecio)</f>
        <v>0</v>
      </c>
      <c r="AH36" s="34" t="n">
        <f aca="false">AH$24*INDEX(Precio_O,4)*INDEX(IdxPrecio_O,1,MIN(10,AH$17))*(1+P_dPrecio)</f>
        <v>0</v>
      </c>
      <c r="AI36" s="34" t="n">
        <f aca="false">AI$24*INDEX(Precio_O,4)*INDEX(IdxPrecio_O,1,MIN(10,AI$17))*(1+P_dPrecio)</f>
        <v>0</v>
      </c>
      <c r="AJ36" s="34" t="n">
        <f aca="false">AJ$24*INDEX(Precio_O,4)*INDEX(IdxPrecio_O,1,MIN(10,AJ$17))*(1+P_dPrecio)</f>
        <v>0</v>
      </c>
      <c r="AK36" s="34" t="n">
        <f aca="false">AK$24*INDEX(Precio_O,4)*INDEX(IdxPrecio_O,1,MIN(10,AK$17))*(1+P_dPrecio)</f>
        <v>0</v>
      </c>
      <c r="AL36" s="34" t="n">
        <f aca="false">AL$24*INDEX(Precio_O,4)*INDEX(IdxPrecio_O,1,MIN(10,AL$17))*(1+P_dPrecio)</f>
        <v>0</v>
      </c>
      <c r="AM36" s="34" t="n">
        <f aca="false">AM$24*INDEX(Precio_O,4)*INDEX(IdxPrecio_O,1,MIN(10,AM$17))*(1+P_dPrecio)</f>
        <v>0</v>
      </c>
      <c r="AN36" s="34" t="n">
        <f aca="false">AN$24*INDEX(Precio_O,4)*INDEX(IdxPrecio_O,1,MIN(10,AN$17))*(1+P_dPrecio)</f>
        <v>0</v>
      </c>
      <c r="AO36" s="34" t="n">
        <f aca="false">AO$24*INDEX(Precio_O,4)*INDEX(IdxPrecio_O,1,MIN(10,AO$17))*(1+P_dPrecio)</f>
        <v>0</v>
      </c>
      <c r="AP36" s="34" t="n">
        <f aca="false">AP$24*INDEX(Precio_O,4)*INDEX(IdxPrecio_O,1,MIN(10,AP$17))*(1+P_dPrecio)</f>
        <v>0</v>
      </c>
      <c r="AQ36" s="34" t="n">
        <f aca="false">AQ$24*INDEX(Precio_O,4)*INDEX(IdxPrecio_O,1,MIN(10,AQ$17))*(1+P_dPrecio)</f>
        <v>0</v>
      </c>
      <c r="AR36" s="34" t="n">
        <f aca="false">AR$24*INDEX(Precio_O,4)*INDEX(IdxPrecio_O,1,MIN(10,AR$17))*(1+P_dPrecio)</f>
        <v>0</v>
      </c>
      <c r="AS36" s="34" t="n">
        <f aca="false">AS$24*INDEX(Precio_O,4)*INDEX(IdxPrecio_O,1,MIN(10,AS$17))*(1+P_dPrecio)</f>
        <v>0</v>
      </c>
      <c r="AT36" s="34" t="n">
        <f aca="false">AT$24*INDEX(Precio_O,4)*INDEX(IdxPrecio_O,1,MIN(10,AT$17))*(1+P_dPrecio)</f>
        <v>0</v>
      </c>
      <c r="AU36" s="34" t="n">
        <f aca="false">AU$24*INDEX(Precio_O,4)*INDEX(IdxPrecio_O,1,MIN(10,AU$17))*(1+P_dPrecio)</f>
        <v>0</v>
      </c>
      <c r="AV36" s="34" t="n">
        <f aca="false">AV$24*INDEX(Precio_O,4)*INDEX(IdxPrecio_O,1,MIN(10,AV$17))*(1+P_dPrecio)</f>
        <v>0</v>
      </c>
      <c r="AW36" s="34" t="n">
        <f aca="false">AW$24*INDEX(Precio_O,4)*INDEX(IdxPrecio_O,1,MIN(10,AW$17))*(1+P_dPrecio)</f>
        <v>0</v>
      </c>
      <c r="AX36" s="34" t="n">
        <f aca="false">AX$24*INDEX(Precio_O,4)*INDEX(IdxPrecio_O,1,MIN(10,AX$17))*(1+P_dPrecio)</f>
        <v>0</v>
      </c>
      <c r="AY36" s="34" t="n">
        <f aca="false">AY$24*INDEX(Precio_O,4)*INDEX(IdxPrecio_O,1,MIN(10,AY$17))*(1+P_dPrecio)</f>
        <v>0</v>
      </c>
      <c r="AZ36" s="34" t="n">
        <f aca="false">AZ$24*INDEX(Precio_O,4)*INDEX(IdxPrecio_O,1,MIN(10,AZ$17))*(1+P_dPrecio)</f>
        <v>0</v>
      </c>
      <c r="BA36" s="34" t="n">
        <f aca="false">BA$24*INDEX(Precio_O,4)*INDEX(IdxPrecio_O,1,MIN(10,BA$17))*(1+P_dPrecio)</f>
        <v>0</v>
      </c>
      <c r="BB36" s="34" t="n">
        <f aca="false">BB$24*INDEX(Precio_O,4)*INDEX(IdxPrecio_O,1,MIN(10,BB$17))*(1+P_dPrecio)</f>
        <v>0</v>
      </c>
      <c r="BC36" s="34" t="n">
        <f aca="false">BC$24*INDEX(Precio_O,4)*INDEX(IdxPrecio_O,1,MIN(10,BC$17))*(1+P_dPrecio)</f>
        <v>0</v>
      </c>
      <c r="BD36" s="34" t="n">
        <f aca="false">BD$24*INDEX(Precio_O,4)*INDEX(IdxPrecio_O,1,MIN(10,BD$17))*(1+P_dPrecio)</f>
        <v>0</v>
      </c>
      <c r="BE36" s="34" t="n">
        <f aca="false">BE$24*INDEX(Precio_O,4)*INDEX(IdxPrecio_O,1,MIN(10,BE$17))*(1+P_dPrecio)</f>
        <v>0</v>
      </c>
      <c r="BF36" s="34" t="n">
        <f aca="false">BF$24*INDEX(Precio_O,4)*INDEX(IdxPrecio_O,1,MIN(10,BF$17))*(1+P_dPrecio)</f>
        <v>0</v>
      </c>
      <c r="BG36" s="34" t="n">
        <f aca="false">BG$24*INDEX(Precio_O,4)*INDEX(IdxPrecio_O,1,MIN(10,BG$17))*(1+P_dPrecio)</f>
        <v>0</v>
      </c>
      <c r="BH36" s="34" t="n">
        <f aca="false">BH$24*INDEX(Precio_O,4)*INDEX(IdxPrecio_O,1,MIN(10,BH$17))*(1+P_dPrecio)</f>
        <v>0</v>
      </c>
      <c r="BI36" s="34" t="n">
        <f aca="false">BI$24*INDEX(Precio_O,4)*INDEX(IdxPrecio_O,1,MIN(10,BI$17))*(1+P_dPrecio)</f>
        <v>0</v>
      </c>
      <c r="BJ36" s="34" t="n">
        <f aca="false">BJ$24*INDEX(Precio_O,4)*INDEX(IdxPrecio_O,1,MIN(10,BJ$17))*(1+P_dPrecio)</f>
        <v>0</v>
      </c>
      <c r="BK36" s="34" t="n">
        <f aca="false">BK$24*INDEX(Precio_O,4)*INDEX(IdxPrecio_O,1,MIN(10,BK$17))*(1+P_dPrecio)</f>
        <v>0</v>
      </c>
      <c r="BL36" s="34" t="n">
        <f aca="false">BL$24*INDEX(Precio_O,4)*INDEX(IdxPrecio_O,1,MIN(10,BL$17))*(1+P_dPrecio)</f>
        <v>0</v>
      </c>
      <c r="BM36" s="34" t="n">
        <f aca="false">BM$24*INDEX(Precio_O,4)*INDEX(IdxPrecio_O,1,MIN(10,BM$17))*(1+P_dPrecio)</f>
        <v>0</v>
      </c>
      <c r="BN36" s="34" t="n">
        <f aca="false">BN$24*INDEX(Precio_O,4)*INDEX(IdxPrecio_O,1,MIN(10,BN$17))*(1+P_dPrecio)</f>
        <v>0</v>
      </c>
      <c r="BO36" s="34" t="n">
        <f aca="false">BO$24*INDEX(Precio_O,4)*INDEX(IdxPrecio_O,1,MIN(10,BO$17))*(1+P_dPrecio)</f>
        <v>0</v>
      </c>
      <c r="BP36" s="34" t="n">
        <f aca="false">BP$24*INDEX(Precio_O,4)*INDEX(IdxPrecio_O,1,MIN(10,BP$17))*(1+P_dPrecio)</f>
        <v>0</v>
      </c>
      <c r="BQ36" s="34" t="n">
        <f aca="false">BQ$24*INDEX(Precio_O,4)*INDEX(IdxPrecio_O,1,MIN(10,BQ$17))*(1+P_dPrecio)</f>
        <v>0</v>
      </c>
      <c r="BR36" s="34" t="n">
        <f aca="false">BR$24*INDEX(Precio_O,4)*INDEX(IdxPrecio_O,1,MIN(10,BR$17))*(1+P_dPrecio)</f>
        <v>0</v>
      </c>
      <c r="BS36" s="34" t="n">
        <f aca="false">BS$24*INDEX(Precio_O,4)*INDEX(IdxPrecio_O,1,MIN(10,BS$17))*(1+P_dPrecio)</f>
        <v>0</v>
      </c>
      <c r="BT36" s="34" t="n">
        <f aca="false">BT$24*INDEX(Precio_O,4)*INDEX(IdxPrecio_O,1,MIN(10,BT$17))*(1+P_dPrecio)</f>
        <v>0</v>
      </c>
      <c r="BU36" s="34" t="n">
        <f aca="false">BU$24*INDEX(Precio_O,4)*INDEX(IdxPrecio_O,1,MIN(10,BU$17))*(1+P_dPrecio)</f>
        <v>0</v>
      </c>
      <c r="BV36" s="34" t="n">
        <f aca="false">BV$24*INDEX(Precio_O,4)*INDEX(IdxPrecio_O,1,MIN(10,BV$17))*(1+P_dPrecio)</f>
        <v>0</v>
      </c>
      <c r="BW36" s="34" t="n">
        <f aca="false">BW$24*INDEX(Precio_O,4)*INDEX(IdxPrecio_O,1,MIN(10,BW$17))*(1+P_dPrecio)</f>
        <v>0</v>
      </c>
      <c r="BX36" s="34" t="n">
        <f aca="false">BX$24*INDEX(Precio_O,4)*INDEX(IdxPrecio_O,1,MIN(10,BX$17))*(1+P_dPrecio)</f>
        <v>0</v>
      </c>
      <c r="BY36" s="34" t="n">
        <f aca="false">BY$24*INDEX(Precio_O,4)*INDEX(IdxPrecio_O,1,MIN(10,BY$17))*(1+P_dPrecio)</f>
        <v>0</v>
      </c>
      <c r="BZ36" s="34" t="n">
        <f aca="false">BZ$24*INDEX(Precio_O,4)*INDEX(IdxPrecio_O,1,MIN(10,BZ$17))*(1+P_dPrecio)</f>
        <v>0</v>
      </c>
      <c r="CA36" s="34" t="n">
        <f aca="false">CA$24*INDEX(Precio_O,4)*INDEX(IdxPrecio_O,1,MIN(10,CA$17))*(1+P_dPrecio)</f>
        <v>0</v>
      </c>
      <c r="CB36" s="34" t="n">
        <f aca="false">CB$24*INDEX(Precio_O,4)*INDEX(IdxPrecio_O,1,MIN(10,CB$17))*(1+P_dPrecio)</f>
        <v>0</v>
      </c>
      <c r="CC36" s="34" t="n">
        <f aca="false">CC$24*INDEX(Precio_O,4)*INDEX(IdxPrecio_O,1,MIN(10,CC$17))*(1+P_dPrecio)</f>
        <v>0</v>
      </c>
      <c r="CD36" s="34" t="n">
        <f aca="false">CD$24*INDEX(Precio_O,4)*INDEX(IdxPrecio_O,1,MIN(10,CD$17))*(1+P_dPrecio)</f>
        <v>0</v>
      </c>
      <c r="CE36" s="34" t="n">
        <f aca="false">CE$24*INDEX(Precio_O,4)*INDEX(IdxPrecio_O,1,MIN(10,CE$17))*(1+P_dPrecio)</f>
        <v>0</v>
      </c>
      <c r="CF36" s="34" t="n">
        <f aca="false">CF$24*INDEX(Precio_O,4)*INDEX(IdxPrecio_O,1,MIN(10,CF$17))*(1+P_dPrecio)</f>
        <v>0</v>
      </c>
      <c r="CG36" s="34" t="n">
        <f aca="false">CG$24*INDEX(Precio_O,4)*INDEX(IdxPrecio_O,1,MIN(10,CG$17))*(1+P_dPrecio)</f>
        <v>0</v>
      </c>
      <c r="CH36" s="34" t="n">
        <f aca="false">CH$24*INDEX(Precio_O,4)*INDEX(IdxPrecio_O,1,MIN(10,CH$17))*(1+P_dPrecio)</f>
        <v>0</v>
      </c>
      <c r="CI36" s="34" t="n">
        <f aca="false">CI$24*INDEX(Precio_O,4)*INDEX(IdxPrecio_O,1,MIN(10,CI$17))*(1+P_dPrecio)</f>
        <v>0</v>
      </c>
      <c r="CJ36" s="34" t="n">
        <f aca="false">CJ$24*INDEX(Precio_O,4)*INDEX(IdxPrecio_O,1,MIN(10,CJ$17))*(1+P_dPrecio)</f>
        <v>0</v>
      </c>
      <c r="CK36" s="34" t="n">
        <f aca="false">CK$24*INDEX(Precio_O,4)*INDEX(IdxPrecio_O,1,MIN(10,CK$17))*(1+P_dPrecio)</f>
        <v>0</v>
      </c>
      <c r="CL36" s="34" t="n">
        <f aca="false">CL$24*INDEX(Precio_O,4)*INDEX(IdxPrecio_O,1,MIN(10,CL$17))*(1+P_dPrecio)</f>
        <v>0</v>
      </c>
      <c r="CM36" s="34" t="n">
        <f aca="false">CM$24*INDEX(Precio_O,4)*INDEX(IdxPrecio_O,1,MIN(10,CM$17))*(1+P_dPrecio)</f>
        <v>0</v>
      </c>
      <c r="CN36" s="34" t="n">
        <f aca="false">CN$24*INDEX(Precio_O,4)*INDEX(IdxPrecio_O,1,MIN(10,CN$17))*(1+P_dPrecio)</f>
        <v>0</v>
      </c>
      <c r="CO36" s="34" t="n">
        <f aca="false">CO$24*INDEX(Precio_O,4)*INDEX(IdxPrecio_O,1,MIN(10,CO$17))*(1+P_dPrecio)</f>
        <v>0</v>
      </c>
      <c r="CP36" s="34" t="n">
        <f aca="false">CP$24*INDEX(Precio_O,4)*INDEX(IdxPrecio_O,1,MIN(10,CP$17))*(1+P_dPrecio)</f>
        <v>0</v>
      </c>
      <c r="CQ36" s="34" t="n">
        <f aca="false">CQ$24*INDEX(Precio_O,4)*INDEX(IdxPrecio_O,1,MIN(10,CQ$17))*(1+P_dPrecio)</f>
        <v>0</v>
      </c>
      <c r="CR36" s="34" t="n">
        <f aca="false">CR$24*INDEX(Precio_O,4)*INDEX(IdxPrecio_O,1,MIN(10,CR$17))*(1+P_dPrecio)</f>
        <v>0</v>
      </c>
      <c r="CS36" s="34" t="n">
        <f aca="false">CS$24*INDEX(Precio_O,4)*INDEX(IdxPrecio_O,1,MIN(10,CS$17))*(1+P_dPrecio)</f>
        <v>0</v>
      </c>
      <c r="CT36" s="34" t="n">
        <f aca="false">CT$24*INDEX(Precio_O,4)*INDEX(IdxPrecio_O,1,MIN(10,CT$17))*(1+P_dPrecio)</f>
        <v>0</v>
      </c>
      <c r="CU36" s="34" t="n">
        <f aca="false">CU$24*INDEX(Precio_O,4)*INDEX(IdxPrecio_O,1,MIN(10,CU$17))*(1+P_dPrecio)</f>
        <v>0</v>
      </c>
      <c r="CV36" s="34" t="n">
        <f aca="false">CV$24*INDEX(Precio_O,4)*INDEX(IdxPrecio_O,1,MIN(10,CV$17))*(1+P_dPrecio)</f>
        <v>0</v>
      </c>
      <c r="CW36" s="34" t="n">
        <f aca="false">CW$24*INDEX(Precio_O,4)*INDEX(IdxPrecio_O,1,MIN(10,CW$17))*(1+P_dPrecio)</f>
        <v>0</v>
      </c>
      <c r="CX36" s="34" t="n">
        <f aca="false">CX$24*INDEX(Precio_O,4)*INDEX(IdxPrecio_O,1,MIN(10,CX$17))*(1+P_dPrecio)</f>
        <v>0</v>
      </c>
      <c r="CY36" s="34" t="n">
        <f aca="false">CY$24*INDEX(Precio_O,4)*INDEX(IdxPrecio_O,1,MIN(10,CY$17))*(1+P_dPrecio)</f>
        <v>0</v>
      </c>
      <c r="CZ36" s="34" t="n">
        <f aca="false">CZ$24*INDEX(Precio_O,4)*INDEX(IdxPrecio_O,1,MIN(10,CZ$17))*(1+P_dPrecio)</f>
        <v>0</v>
      </c>
      <c r="DA36" s="34" t="n">
        <f aca="false">DA$24*INDEX(Precio_O,4)*INDEX(IdxPrecio_O,1,MIN(10,DA$17))*(1+P_dPrecio)</f>
        <v>0</v>
      </c>
      <c r="DB36" s="34" t="n">
        <f aca="false">DB$24*INDEX(Precio_O,4)*INDEX(IdxPrecio_O,1,MIN(10,DB$17))*(1+P_dPrecio)</f>
        <v>0</v>
      </c>
      <c r="DC36" s="34" t="n">
        <f aca="false">DC$24*INDEX(Precio_O,4)*INDEX(IdxPrecio_O,1,MIN(10,DC$17))*(1+P_dPrecio)</f>
        <v>0</v>
      </c>
      <c r="DD36" s="34" t="n">
        <f aca="false">DD$24*INDEX(Precio_O,4)*INDEX(IdxPrecio_O,1,MIN(10,DD$17))*(1+P_dPrecio)</f>
        <v>0</v>
      </c>
      <c r="DE36" s="34" t="n">
        <f aca="false">DE$24*INDEX(Precio_O,4)*INDEX(IdxPrecio_O,1,MIN(10,DE$17))*(1+P_dPrecio)</f>
        <v>0</v>
      </c>
      <c r="DF36" s="34" t="n">
        <f aca="false">DF$24*INDEX(Precio_O,4)*INDEX(IdxPrecio_O,1,MIN(10,DF$17))*(1+P_dPrecio)</f>
        <v>0</v>
      </c>
      <c r="DG36" s="34" t="n">
        <f aca="false">DG$24*INDEX(Precio_O,4)*INDEX(IdxPrecio_O,1,MIN(10,DG$17))*(1+P_dPrecio)</f>
        <v>0</v>
      </c>
      <c r="DH36" s="34" t="n">
        <f aca="false">DH$24*INDEX(Precio_O,4)*INDEX(IdxPrecio_O,1,MIN(10,DH$17))*(1+P_dPrecio)</f>
        <v>0</v>
      </c>
      <c r="DI36" s="34" t="n">
        <f aca="false">DI$24*INDEX(Precio_O,4)*INDEX(IdxPrecio_O,1,MIN(10,DI$17))*(1+P_dPrecio)</f>
        <v>0</v>
      </c>
      <c r="DJ36" s="34" t="n">
        <f aca="false">DJ$24*INDEX(Precio_O,4)*INDEX(IdxPrecio_O,1,MIN(10,DJ$17))*(1+P_dPrecio)</f>
        <v>0</v>
      </c>
      <c r="DK36" s="34" t="n">
        <f aca="false">DK$24*INDEX(Precio_O,4)*INDEX(IdxPrecio_O,1,MIN(10,DK$17))*(1+P_dPrecio)</f>
        <v>0</v>
      </c>
      <c r="DL36" s="34" t="n">
        <f aca="false">DL$24*INDEX(Precio_O,4)*INDEX(IdxPrecio_O,1,MIN(10,DL$17))*(1+P_dPrecio)</f>
        <v>0</v>
      </c>
      <c r="DM36" s="34" t="n">
        <f aca="false">DM$24*INDEX(Precio_O,4)*INDEX(IdxPrecio_O,1,MIN(10,DM$17))*(1+P_dPrecio)</f>
        <v>0</v>
      </c>
      <c r="DN36" s="34" t="n">
        <f aca="false">DN$24*INDEX(Precio_O,4)*INDEX(IdxPrecio_O,1,MIN(10,DN$17))*(1+P_dPrecio)</f>
        <v>0</v>
      </c>
      <c r="DO36" s="34" t="n">
        <f aca="false">DO$24*INDEX(Precio_O,4)*INDEX(IdxPrecio_O,1,MIN(10,DO$17))*(1+P_dPrecio)</f>
        <v>0</v>
      </c>
      <c r="DP36" s="34" t="n">
        <f aca="false">DP$24*INDEX(Precio_O,4)*INDEX(IdxPrecio_O,1,MIN(10,DP$17))*(1+P_dPrecio)</f>
        <v>0</v>
      </c>
      <c r="DQ36" s="34" t="n">
        <f aca="false">DQ$24*INDEX(Precio_O,4)*INDEX(IdxPrecio_O,1,MIN(10,DQ$17))*(1+P_dPrecio)</f>
        <v>0</v>
      </c>
      <c r="DR36" s="34" t="n">
        <f aca="false">DR$24*INDEX(Precio_O,4)*INDEX(IdxPrecio_O,1,MIN(10,DR$17))*(1+P_dPrecio)</f>
        <v>0</v>
      </c>
      <c r="DS36" s="34" t="n">
        <f aca="false">DS$24*INDEX(Precio_O,4)*INDEX(IdxPrecio_O,1,MIN(10,DS$17))*(1+P_dPrecio)</f>
        <v>0</v>
      </c>
      <c r="DT36" s="34" t="n">
        <f aca="false">DT$24*INDEX(Precio_O,4)*INDEX(IdxPrecio_O,1,MIN(10,DT$17))*(1+P_dPrecio)</f>
        <v>0</v>
      </c>
      <c r="DU36" s="34" t="n">
        <f aca="false">DU$24*INDEX(Precio_O,4)*INDEX(IdxPrecio_O,1,MIN(10,DU$17))*(1+P_dPrecio)</f>
        <v>0</v>
      </c>
      <c r="DV36" s="34" t="n">
        <f aca="false">DV$24*INDEX(Precio_O,4)*INDEX(IdxPrecio_O,1,MIN(10,DV$17))*(1+P_dPrecio)</f>
        <v>0</v>
      </c>
      <c r="DW36" s="34" t="n">
        <f aca="false">DW$24*INDEX(Precio_O,4)*INDEX(IdxPrecio_O,1,MIN(10,DW$17))*(1+P_dPrecio)</f>
        <v>0</v>
      </c>
      <c r="DX36" s="34" t="n">
        <f aca="false">DX$24*INDEX(Precio_O,4)*INDEX(IdxPrecio_O,1,MIN(10,DX$17))*(1+P_dPrecio)</f>
        <v>0</v>
      </c>
      <c r="DY36" s="34" t="n">
        <f aca="false">DY$24*INDEX(Precio_O,4)*INDEX(IdxPrecio_O,1,MIN(10,DY$17))*(1+P_dPrecio)</f>
        <v>0</v>
      </c>
      <c r="DZ36" s="34" t="n">
        <f aca="false">DZ$24*INDEX(Precio_O,4)*INDEX(IdxPrecio_O,1,MIN(10,DZ$17))*(1+P_dPrecio)</f>
        <v>0</v>
      </c>
      <c r="EA36" s="34" t="n">
        <f aca="false">EA$24*INDEX(Precio_O,4)*INDEX(IdxPrecio_O,1,MIN(10,EA$17))*(1+P_dPrecio)</f>
        <v>0</v>
      </c>
      <c r="EB36" s="34" t="n">
        <f aca="false">EB$24*INDEX(Precio_O,4)*INDEX(IdxPrecio_O,1,MIN(10,EB$17))*(1+P_dPrecio)</f>
        <v>0</v>
      </c>
      <c r="EC36" s="34" t="n">
        <f aca="false">EC$24*INDEX(Precio_O,4)*INDEX(IdxPrecio_O,1,MIN(10,EC$17))*(1+P_dPrecio)</f>
        <v>0</v>
      </c>
      <c r="ED36" s="34" t="n">
        <f aca="false">ED$24*INDEX(Precio_O,4)*INDEX(IdxPrecio_O,1,MIN(10,ED$17))*(1+P_dPrecio)</f>
        <v>0</v>
      </c>
      <c r="EE36" s="34" t="n">
        <f aca="false">EE$24*INDEX(Precio_O,4)*INDEX(IdxPrecio_O,1,MIN(10,EE$17))*(1+P_dPrecio)</f>
        <v>0</v>
      </c>
      <c r="EF36" s="34" t="n">
        <f aca="false">EF$24*INDEX(Precio_O,4)*INDEX(IdxPrecio_O,1,MIN(10,EF$17))*(1+P_dPrecio)</f>
        <v>0</v>
      </c>
      <c r="EG36" s="34" t="n">
        <f aca="false">EG$24*INDEX(Precio_O,4)*INDEX(IdxPrecio_O,1,MIN(10,EG$17))*(1+P_dPrecio)</f>
        <v>0</v>
      </c>
      <c r="EH36" s="34" t="n">
        <f aca="false">EH$24*INDEX(Precio_O,4)*INDEX(IdxPrecio_O,1,MIN(10,EH$17))*(1+P_dPrecio)</f>
        <v>0</v>
      </c>
      <c r="EI36" s="34" t="n">
        <f aca="false">EI$24*INDEX(Precio_O,4)*INDEX(IdxPrecio_O,1,MIN(10,EI$17))*(1+P_dPrecio)</f>
        <v>0</v>
      </c>
      <c r="EJ36" s="34" t="n">
        <f aca="false">EJ$24*INDEX(Precio_O,4)*INDEX(IdxPrecio_O,1,MIN(10,EJ$17))*(1+P_dPrecio)</f>
        <v>0</v>
      </c>
      <c r="EK36" s="34" t="n">
        <f aca="false">EK$24*INDEX(Precio_O,4)*INDEX(IdxPrecio_O,1,MIN(10,EK$17))*(1+P_dPrecio)</f>
        <v>0</v>
      </c>
      <c r="EL36" s="34" t="n">
        <f aca="false">EL$24*INDEX(Precio_O,4)*INDEX(IdxPrecio_O,1,MIN(10,EL$17))*(1+P_dPrecio)</f>
        <v>0</v>
      </c>
      <c r="EM36" s="34" t="n">
        <f aca="false">EM$24*INDEX(Precio_O,4)*INDEX(IdxPrecio_O,1,MIN(10,EM$17))*(1+P_dPrecio)</f>
        <v>0</v>
      </c>
      <c r="EN36" s="34" t="n">
        <f aca="false">EN$24*INDEX(Precio_O,4)*INDEX(IdxPrecio_O,1,MIN(10,EN$17))*(1+P_dPrecio)</f>
        <v>0</v>
      </c>
      <c r="EO36" s="34" t="n">
        <f aca="false">EO$24*INDEX(Precio_O,4)*INDEX(IdxPrecio_O,1,MIN(10,EO$17))*(1+P_dPrecio)</f>
        <v>0</v>
      </c>
      <c r="EP36" s="34" t="n">
        <f aca="false">EP$24*INDEX(Precio_O,4)*INDEX(IdxPrecio_O,1,MIN(10,EP$17))*(1+P_dPrecio)</f>
        <v>0</v>
      </c>
      <c r="EQ36" s="34" t="n">
        <f aca="false">EQ$24*INDEX(Precio_O,4)*INDEX(IdxPrecio_O,1,MIN(10,EQ$17))*(1+P_dPrecio)</f>
        <v>0</v>
      </c>
      <c r="ER36" s="34" t="n">
        <f aca="false">ER$24*INDEX(Precio_O,4)*INDEX(IdxPrecio_O,1,MIN(10,ER$17))*(1+P_dPrecio)</f>
        <v>0</v>
      </c>
      <c r="ES36" s="34" t="n">
        <f aca="false">ES$24*INDEX(Precio_O,4)*INDEX(IdxPrecio_O,1,MIN(10,ES$17))*(1+P_dPrecio)</f>
        <v>0</v>
      </c>
    </row>
    <row r="37" customFormat="false" ht="15" hidden="false" customHeight="false" outlineLevel="0" collapsed="false">
      <c r="A37" s="2" t="s">
        <v>448</v>
      </c>
      <c r="B37" s="39" t="str">
        <f aca="false">IF(INDEX(Prod_Nombre,5)="","Producto 5",INDEX(Prod_Nombre,5))&amp;" — ventas USD"</f>
        <v>Producto 5 — ventas USD</v>
      </c>
      <c r="C37" s="6" t="s">
        <v>212</v>
      </c>
      <c r="E37" s="40" t="n">
        <f aca="false">SUM(F37:ES37)</f>
        <v>0</v>
      </c>
      <c r="F37" s="34" t="n">
        <f aca="false">F$25*INDEX(Precio_O,5)*INDEX(IdxPrecio_O,1,MIN(10,F$17))*(1+P_dPrecio)</f>
        <v>0</v>
      </c>
      <c r="G37" s="34" t="n">
        <f aca="false">G$25*INDEX(Precio_O,5)*INDEX(IdxPrecio_O,1,MIN(10,G$17))*(1+P_dPrecio)</f>
        <v>0</v>
      </c>
      <c r="H37" s="34" t="n">
        <f aca="false">H$25*INDEX(Precio_O,5)*INDEX(IdxPrecio_O,1,MIN(10,H$17))*(1+P_dPrecio)</f>
        <v>0</v>
      </c>
      <c r="I37" s="34" t="n">
        <f aca="false">I$25*INDEX(Precio_O,5)*INDEX(IdxPrecio_O,1,MIN(10,I$17))*(1+P_dPrecio)</f>
        <v>0</v>
      </c>
      <c r="J37" s="34" t="n">
        <f aca="false">J$25*INDEX(Precio_O,5)*INDEX(IdxPrecio_O,1,MIN(10,J$17))*(1+P_dPrecio)</f>
        <v>0</v>
      </c>
      <c r="K37" s="34" t="n">
        <f aca="false">K$25*INDEX(Precio_O,5)*INDEX(IdxPrecio_O,1,MIN(10,K$17))*(1+P_dPrecio)</f>
        <v>0</v>
      </c>
      <c r="L37" s="34" t="n">
        <f aca="false">L$25*INDEX(Precio_O,5)*INDEX(IdxPrecio_O,1,MIN(10,L$17))*(1+P_dPrecio)</f>
        <v>0</v>
      </c>
      <c r="M37" s="34" t="n">
        <f aca="false">M$25*INDEX(Precio_O,5)*INDEX(IdxPrecio_O,1,MIN(10,M$17))*(1+P_dPrecio)</f>
        <v>0</v>
      </c>
      <c r="N37" s="34" t="n">
        <f aca="false">N$25*INDEX(Precio_O,5)*INDEX(IdxPrecio_O,1,MIN(10,N$17))*(1+P_dPrecio)</f>
        <v>0</v>
      </c>
      <c r="O37" s="34" t="n">
        <f aca="false">O$25*INDEX(Precio_O,5)*INDEX(IdxPrecio_O,1,MIN(10,O$17))*(1+P_dPrecio)</f>
        <v>0</v>
      </c>
      <c r="P37" s="34" t="n">
        <f aca="false">P$25*INDEX(Precio_O,5)*INDEX(IdxPrecio_O,1,MIN(10,P$17))*(1+P_dPrecio)</f>
        <v>0</v>
      </c>
      <c r="Q37" s="34" t="n">
        <f aca="false">Q$25*INDEX(Precio_O,5)*INDEX(IdxPrecio_O,1,MIN(10,Q$17))*(1+P_dPrecio)</f>
        <v>0</v>
      </c>
      <c r="R37" s="34" t="n">
        <f aca="false">R$25*INDEX(Precio_O,5)*INDEX(IdxPrecio_O,1,MIN(10,R$17))*(1+P_dPrecio)</f>
        <v>0</v>
      </c>
      <c r="S37" s="34" t="n">
        <f aca="false">S$25*INDEX(Precio_O,5)*INDEX(IdxPrecio_O,1,MIN(10,S$17))*(1+P_dPrecio)</f>
        <v>0</v>
      </c>
      <c r="T37" s="34" t="n">
        <f aca="false">T$25*INDEX(Precio_O,5)*INDEX(IdxPrecio_O,1,MIN(10,T$17))*(1+P_dPrecio)</f>
        <v>0</v>
      </c>
      <c r="U37" s="34" t="n">
        <f aca="false">U$25*INDEX(Precio_O,5)*INDEX(IdxPrecio_O,1,MIN(10,U$17))*(1+P_dPrecio)</f>
        <v>0</v>
      </c>
      <c r="V37" s="34" t="n">
        <f aca="false">V$25*INDEX(Precio_O,5)*INDEX(IdxPrecio_O,1,MIN(10,V$17))*(1+P_dPrecio)</f>
        <v>0</v>
      </c>
      <c r="W37" s="34" t="n">
        <f aca="false">W$25*INDEX(Precio_O,5)*INDEX(IdxPrecio_O,1,MIN(10,W$17))*(1+P_dPrecio)</f>
        <v>0</v>
      </c>
      <c r="X37" s="34" t="n">
        <f aca="false">X$25*INDEX(Precio_O,5)*INDEX(IdxPrecio_O,1,MIN(10,X$17))*(1+P_dPrecio)</f>
        <v>0</v>
      </c>
      <c r="Y37" s="34" t="n">
        <f aca="false">Y$25*INDEX(Precio_O,5)*INDEX(IdxPrecio_O,1,MIN(10,Y$17))*(1+P_dPrecio)</f>
        <v>0</v>
      </c>
      <c r="Z37" s="34" t="n">
        <f aca="false">Z$25*INDEX(Precio_O,5)*INDEX(IdxPrecio_O,1,MIN(10,Z$17))*(1+P_dPrecio)</f>
        <v>0</v>
      </c>
      <c r="AA37" s="34" t="n">
        <f aca="false">AA$25*INDEX(Precio_O,5)*INDEX(IdxPrecio_O,1,MIN(10,AA$17))*(1+P_dPrecio)</f>
        <v>0</v>
      </c>
      <c r="AB37" s="34" t="n">
        <f aca="false">AB$25*INDEX(Precio_O,5)*INDEX(IdxPrecio_O,1,MIN(10,AB$17))*(1+P_dPrecio)</f>
        <v>0</v>
      </c>
      <c r="AC37" s="34" t="n">
        <f aca="false">AC$25*INDEX(Precio_O,5)*INDEX(IdxPrecio_O,1,MIN(10,AC$17))*(1+P_dPrecio)</f>
        <v>0</v>
      </c>
      <c r="AD37" s="34" t="n">
        <f aca="false">AD$25*INDEX(Precio_O,5)*INDEX(IdxPrecio_O,1,MIN(10,AD$17))*(1+P_dPrecio)</f>
        <v>0</v>
      </c>
      <c r="AE37" s="34" t="n">
        <f aca="false">AE$25*INDEX(Precio_O,5)*INDEX(IdxPrecio_O,1,MIN(10,AE$17))*(1+P_dPrecio)</f>
        <v>0</v>
      </c>
      <c r="AF37" s="34" t="n">
        <f aca="false">AF$25*INDEX(Precio_O,5)*INDEX(IdxPrecio_O,1,MIN(10,AF$17))*(1+P_dPrecio)</f>
        <v>0</v>
      </c>
      <c r="AG37" s="34" t="n">
        <f aca="false">AG$25*INDEX(Precio_O,5)*INDEX(IdxPrecio_O,1,MIN(10,AG$17))*(1+P_dPrecio)</f>
        <v>0</v>
      </c>
      <c r="AH37" s="34" t="n">
        <f aca="false">AH$25*INDEX(Precio_O,5)*INDEX(IdxPrecio_O,1,MIN(10,AH$17))*(1+P_dPrecio)</f>
        <v>0</v>
      </c>
      <c r="AI37" s="34" t="n">
        <f aca="false">AI$25*INDEX(Precio_O,5)*INDEX(IdxPrecio_O,1,MIN(10,AI$17))*(1+P_dPrecio)</f>
        <v>0</v>
      </c>
      <c r="AJ37" s="34" t="n">
        <f aca="false">AJ$25*INDEX(Precio_O,5)*INDEX(IdxPrecio_O,1,MIN(10,AJ$17))*(1+P_dPrecio)</f>
        <v>0</v>
      </c>
      <c r="AK37" s="34" t="n">
        <f aca="false">AK$25*INDEX(Precio_O,5)*INDEX(IdxPrecio_O,1,MIN(10,AK$17))*(1+P_dPrecio)</f>
        <v>0</v>
      </c>
      <c r="AL37" s="34" t="n">
        <f aca="false">AL$25*INDEX(Precio_O,5)*INDEX(IdxPrecio_O,1,MIN(10,AL$17))*(1+P_dPrecio)</f>
        <v>0</v>
      </c>
      <c r="AM37" s="34" t="n">
        <f aca="false">AM$25*INDEX(Precio_O,5)*INDEX(IdxPrecio_O,1,MIN(10,AM$17))*(1+P_dPrecio)</f>
        <v>0</v>
      </c>
      <c r="AN37" s="34" t="n">
        <f aca="false">AN$25*INDEX(Precio_O,5)*INDEX(IdxPrecio_O,1,MIN(10,AN$17))*(1+P_dPrecio)</f>
        <v>0</v>
      </c>
      <c r="AO37" s="34" t="n">
        <f aca="false">AO$25*INDEX(Precio_O,5)*INDEX(IdxPrecio_O,1,MIN(10,AO$17))*(1+P_dPrecio)</f>
        <v>0</v>
      </c>
      <c r="AP37" s="34" t="n">
        <f aca="false">AP$25*INDEX(Precio_O,5)*INDEX(IdxPrecio_O,1,MIN(10,AP$17))*(1+P_dPrecio)</f>
        <v>0</v>
      </c>
      <c r="AQ37" s="34" t="n">
        <f aca="false">AQ$25*INDEX(Precio_O,5)*INDEX(IdxPrecio_O,1,MIN(10,AQ$17))*(1+P_dPrecio)</f>
        <v>0</v>
      </c>
      <c r="AR37" s="34" t="n">
        <f aca="false">AR$25*INDEX(Precio_O,5)*INDEX(IdxPrecio_O,1,MIN(10,AR$17))*(1+P_dPrecio)</f>
        <v>0</v>
      </c>
      <c r="AS37" s="34" t="n">
        <f aca="false">AS$25*INDEX(Precio_O,5)*INDEX(IdxPrecio_O,1,MIN(10,AS$17))*(1+P_dPrecio)</f>
        <v>0</v>
      </c>
      <c r="AT37" s="34" t="n">
        <f aca="false">AT$25*INDEX(Precio_O,5)*INDEX(IdxPrecio_O,1,MIN(10,AT$17))*(1+P_dPrecio)</f>
        <v>0</v>
      </c>
      <c r="AU37" s="34" t="n">
        <f aca="false">AU$25*INDEX(Precio_O,5)*INDEX(IdxPrecio_O,1,MIN(10,AU$17))*(1+P_dPrecio)</f>
        <v>0</v>
      </c>
      <c r="AV37" s="34" t="n">
        <f aca="false">AV$25*INDEX(Precio_O,5)*INDEX(IdxPrecio_O,1,MIN(10,AV$17))*(1+P_dPrecio)</f>
        <v>0</v>
      </c>
      <c r="AW37" s="34" t="n">
        <f aca="false">AW$25*INDEX(Precio_O,5)*INDEX(IdxPrecio_O,1,MIN(10,AW$17))*(1+P_dPrecio)</f>
        <v>0</v>
      </c>
      <c r="AX37" s="34" t="n">
        <f aca="false">AX$25*INDEX(Precio_O,5)*INDEX(IdxPrecio_O,1,MIN(10,AX$17))*(1+P_dPrecio)</f>
        <v>0</v>
      </c>
      <c r="AY37" s="34" t="n">
        <f aca="false">AY$25*INDEX(Precio_O,5)*INDEX(IdxPrecio_O,1,MIN(10,AY$17))*(1+P_dPrecio)</f>
        <v>0</v>
      </c>
      <c r="AZ37" s="34" t="n">
        <f aca="false">AZ$25*INDEX(Precio_O,5)*INDEX(IdxPrecio_O,1,MIN(10,AZ$17))*(1+P_dPrecio)</f>
        <v>0</v>
      </c>
      <c r="BA37" s="34" t="n">
        <f aca="false">BA$25*INDEX(Precio_O,5)*INDEX(IdxPrecio_O,1,MIN(10,BA$17))*(1+P_dPrecio)</f>
        <v>0</v>
      </c>
      <c r="BB37" s="34" t="n">
        <f aca="false">BB$25*INDEX(Precio_O,5)*INDEX(IdxPrecio_O,1,MIN(10,BB$17))*(1+P_dPrecio)</f>
        <v>0</v>
      </c>
      <c r="BC37" s="34" t="n">
        <f aca="false">BC$25*INDEX(Precio_O,5)*INDEX(IdxPrecio_O,1,MIN(10,BC$17))*(1+P_dPrecio)</f>
        <v>0</v>
      </c>
      <c r="BD37" s="34" t="n">
        <f aca="false">BD$25*INDEX(Precio_O,5)*INDEX(IdxPrecio_O,1,MIN(10,BD$17))*(1+P_dPrecio)</f>
        <v>0</v>
      </c>
      <c r="BE37" s="34" t="n">
        <f aca="false">BE$25*INDEX(Precio_O,5)*INDEX(IdxPrecio_O,1,MIN(10,BE$17))*(1+P_dPrecio)</f>
        <v>0</v>
      </c>
      <c r="BF37" s="34" t="n">
        <f aca="false">BF$25*INDEX(Precio_O,5)*INDEX(IdxPrecio_O,1,MIN(10,BF$17))*(1+P_dPrecio)</f>
        <v>0</v>
      </c>
      <c r="BG37" s="34" t="n">
        <f aca="false">BG$25*INDEX(Precio_O,5)*INDEX(IdxPrecio_O,1,MIN(10,BG$17))*(1+P_dPrecio)</f>
        <v>0</v>
      </c>
      <c r="BH37" s="34" t="n">
        <f aca="false">BH$25*INDEX(Precio_O,5)*INDEX(IdxPrecio_O,1,MIN(10,BH$17))*(1+P_dPrecio)</f>
        <v>0</v>
      </c>
      <c r="BI37" s="34" t="n">
        <f aca="false">BI$25*INDEX(Precio_O,5)*INDEX(IdxPrecio_O,1,MIN(10,BI$17))*(1+P_dPrecio)</f>
        <v>0</v>
      </c>
      <c r="BJ37" s="34" t="n">
        <f aca="false">BJ$25*INDEX(Precio_O,5)*INDEX(IdxPrecio_O,1,MIN(10,BJ$17))*(1+P_dPrecio)</f>
        <v>0</v>
      </c>
      <c r="BK37" s="34" t="n">
        <f aca="false">BK$25*INDEX(Precio_O,5)*INDEX(IdxPrecio_O,1,MIN(10,BK$17))*(1+P_dPrecio)</f>
        <v>0</v>
      </c>
      <c r="BL37" s="34" t="n">
        <f aca="false">BL$25*INDEX(Precio_O,5)*INDEX(IdxPrecio_O,1,MIN(10,BL$17))*(1+P_dPrecio)</f>
        <v>0</v>
      </c>
      <c r="BM37" s="34" t="n">
        <f aca="false">BM$25*INDEX(Precio_O,5)*INDEX(IdxPrecio_O,1,MIN(10,BM$17))*(1+P_dPrecio)</f>
        <v>0</v>
      </c>
      <c r="BN37" s="34" t="n">
        <f aca="false">BN$25*INDEX(Precio_O,5)*INDEX(IdxPrecio_O,1,MIN(10,BN$17))*(1+P_dPrecio)</f>
        <v>0</v>
      </c>
      <c r="BO37" s="34" t="n">
        <f aca="false">BO$25*INDEX(Precio_O,5)*INDEX(IdxPrecio_O,1,MIN(10,BO$17))*(1+P_dPrecio)</f>
        <v>0</v>
      </c>
      <c r="BP37" s="34" t="n">
        <f aca="false">BP$25*INDEX(Precio_O,5)*INDEX(IdxPrecio_O,1,MIN(10,BP$17))*(1+P_dPrecio)</f>
        <v>0</v>
      </c>
      <c r="BQ37" s="34" t="n">
        <f aca="false">BQ$25*INDEX(Precio_O,5)*INDEX(IdxPrecio_O,1,MIN(10,BQ$17))*(1+P_dPrecio)</f>
        <v>0</v>
      </c>
      <c r="BR37" s="34" t="n">
        <f aca="false">BR$25*INDEX(Precio_O,5)*INDEX(IdxPrecio_O,1,MIN(10,BR$17))*(1+P_dPrecio)</f>
        <v>0</v>
      </c>
      <c r="BS37" s="34" t="n">
        <f aca="false">BS$25*INDEX(Precio_O,5)*INDEX(IdxPrecio_O,1,MIN(10,BS$17))*(1+P_dPrecio)</f>
        <v>0</v>
      </c>
      <c r="BT37" s="34" t="n">
        <f aca="false">BT$25*INDEX(Precio_O,5)*INDEX(IdxPrecio_O,1,MIN(10,BT$17))*(1+P_dPrecio)</f>
        <v>0</v>
      </c>
      <c r="BU37" s="34" t="n">
        <f aca="false">BU$25*INDEX(Precio_O,5)*INDEX(IdxPrecio_O,1,MIN(10,BU$17))*(1+P_dPrecio)</f>
        <v>0</v>
      </c>
      <c r="BV37" s="34" t="n">
        <f aca="false">BV$25*INDEX(Precio_O,5)*INDEX(IdxPrecio_O,1,MIN(10,BV$17))*(1+P_dPrecio)</f>
        <v>0</v>
      </c>
      <c r="BW37" s="34" t="n">
        <f aca="false">BW$25*INDEX(Precio_O,5)*INDEX(IdxPrecio_O,1,MIN(10,BW$17))*(1+P_dPrecio)</f>
        <v>0</v>
      </c>
      <c r="BX37" s="34" t="n">
        <f aca="false">BX$25*INDEX(Precio_O,5)*INDEX(IdxPrecio_O,1,MIN(10,BX$17))*(1+P_dPrecio)</f>
        <v>0</v>
      </c>
      <c r="BY37" s="34" t="n">
        <f aca="false">BY$25*INDEX(Precio_O,5)*INDEX(IdxPrecio_O,1,MIN(10,BY$17))*(1+P_dPrecio)</f>
        <v>0</v>
      </c>
      <c r="BZ37" s="34" t="n">
        <f aca="false">BZ$25*INDEX(Precio_O,5)*INDEX(IdxPrecio_O,1,MIN(10,BZ$17))*(1+P_dPrecio)</f>
        <v>0</v>
      </c>
      <c r="CA37" s="34" t="n">
        <f aca="false">CA$25*INDEX(Precio_O,5)*INDEX(IdxPrecio_O,1,MIN(10,CA$17))*(1+P_dPrecio)</f>
        <v>0</v>
      </c>
      <c r="CB37" s="34" t="n">
        <f aca="false">CB$25*INDEX(Precio_O,5)*INDEX(IdxPrecio_O,1,MIN(10,CB$17))*(1+P_dPrecio)</f>
        <v>0</v>
      </c>
      <c r="CC37" s="34" t="n">
        <f aca="false">CC$25*INDEX(Precio_O,5)*INDEX(IdxPrecio_O,1,MIN(10,CC$17))*(1+P_dPrecio)</f>
        <v>0</v>
      </c>
      <c r="CD37" s="34" t="n">
        <f aca="false">CD$25*INDEX(Precio_O,5)*INDEX(IdxPrecio_O,1,MIN(10,CD$17))*(1+P_dPrecio)</f>
        <v>0</v>
      </c>
      <c r="CE37" s="34" t="n">
        <f aca="false">CE$25*INDEX(Precio_O,5)*INDEX(IdxPrecio_O,1,MIN(10,CE$17))*(1+P_dPrecio)</f>
        <v>0</v>
      </c>
      <c r="CF37" s="34" t="n">
        <f aca="false">CF$25*INDEX(Precio_O,5)*INDEX(IdxPrecio_O,1,MIN(10,CF$17))*(1+P_dPrecio)</f>
        <v>0</v>
      </c>
      <c r="CG37" s="34" t="n">
        <f aca="false">CG$25*INDEX(Precio_O,5)*INDEX(IdxPrecio_O,1,MIN(10,CG$17))*(1+P_dPrecio)</f>
        <v>0</v>
      </c>
      <c r="CH37" s="34" t="n">
        <f aca="false">CH$25*INDEX(Precio_O,5)*INDEX(IdxPrecio_O,1,MIN(10,CH$17))*(1+P_dPrecio)</f>
        <v>0</v>
      </c>
      <c r="CI37" s="34" t="n">
        <f aca="false">CI$25*INDEX(Precio_O,5)*INDEX(IdxPrecio_O,1,MIN(10,CI$17))*(1+P_dPrecio)</f>
        <v>0</v>
      </c>
      <c r="CJ37" s="34" t="n">
        <f aca="false">CJ$25*INDEX(Precio_O,5)*INDEX(IdxPrecio_O,1,MIN(10,CJ$17))*(1+P_dPrecio)</f>
        <v>0</v>
      </c>
      <c r="CK37" s="34" t="n">
        <f aca="false">CK$25*INDEX(Precio_O,5)*INDEX(IdxPrecio_O,1,MIN(10,CK$17))*(1+P_dPrecio)</f>
        <v>0</v>
      </c>
      <c r="CL37" s="34" t="n">
        <f aca="false">CL$25*INDEX(Precio_O,5)*INDEX(IdxPrecio_O,1,MIN(10,CL$17))*(1+P_dPrecio)</f>
        <v>0</v>
      </c>
      <c r="CM37" s="34" t="n">
        <f aca="false">CM$25*INDEX(Precio_O,5)*INDEX(IdxPrecio_O,1,MIN(10,CM$17))*(1+P_dPrecio)</f>
        <v>0</v>
      </c>
      <c r="CN37" s="34" t="n">
        <f aca="false">CN$25*INDEX(Precio_O,5)*INDEX(IdxPrecio_O,1,MIN(10,CN$17))*(1+P_dPrecio)</f>
        <v>0</v>
      </c>
      <c r="CO37" s="34" t="n">
        <f aca="false">CO$25*INDEX(Precio_O,5)*INDEX(IdxPrecio_O,1,MIN(10,CO$17))*(1+P_dPrecio)</f>
        <v>0</v>
      </c>
      <c r="CP37" s="34" t="n">
        <f aca="false">CP$25*INDEX(Precio_O,5)*INDEX(IdxPrecio_O,1,MIN(10,CP$17))*(1+P_dPrecio)</f>
        <v>0</v>
      </c>
      <c r="CQ37" s="34" t="n">
        <f aca="false">CQ$25*INDEX(Precio_O,5)*INDEX(IdxPrecio_O,1,MIN(10,CQ$17))*(1+P_dPrecio)</f>
        <v>0</v>
      </c>
      <c r="CR37" s="34" t="n">
        <f aca="false">CR$25*INDEX(Precio_O,5)*INDEX(IdxPrecio_O,1,MIN(10,CR$17))*(1+P_dPrecio)</f>
        <v>0</v>
      </c>
      <c r="CS37" s="34" t="n">
        <f aca="false">CS$25*INDEX(Precio_O,5)*INDEX(IdxPrecio_O,1,MIN(10,CS$17))*(1+P_dPrecio)</f>
        <v>0</v>
      </c>
      <c r="CT37" s="34" t="n">
        <f aca="false">CT$25*INDEX(Precio_O,5)*INDEX(IdxPrecio_O,1,MIN(10,CT$17))*(1+P_dPrecio)</f>
        <v>0</v>
      </c>
      <c r="CU37" s="34" t="n">
        <f aca="false">CU$25*INDEX(Precio_O,5)*INDEX(IdxPrecio_O,1,MIN(10,CU$17))*(1+P_dPrecio)</f>
        <v>0</v>
      </c>
      <c r="CV37" s="34" t="n">
        <f aca="false">CV$25*INDEX(Precio_O,5)*INDEX(IdxPrecio_O,1,MIN(10,CV$17))*(1+P_dPrecio)</f>
        <v>0</v>
      </c>
      <c r="CW37" s="34" t="n">
        <f aca="false">CW$25*INDEX(Precio_O,5)*INDEX(IdxPrecio_O,1,MIN(10,CW$17))*(1+P_dPrecio)</f>
        <v>0</v>
      </c>
      <c r="CX37" s="34" t="n">
        <f aca="false">CX$25*INDEX(Precio_O,5)*INDEX(IdxPrecio_O,1,MIN(10,CX$17))*(1+P_dPrecio)</f>
        <v>0</v>
      </c>
      <c r="CY37" s="34" t="n">
        <f aca="false">CY$25*INDEX(Precio_O,5)*INDEX(IdxPrecio_O,1,MIN(10,CY$17))*(1+P_dPrecio)</f>
        <v>0</v>
      </c>
      <c r="CZ37" s="34" t="n">
        <f aca="false">CZ$25*INDEX(Precio_O,5)*INDEX(IdxPrecio_O,1,MIN(10,CZ$17))*(1+P_dPrecio)</f>
        <v>0</v>
      </c>
      <c r="DA37" s="34" t="n">
        <f aca="false">DA$25*INDEX(Precio_O,5)*INDEX(IdxPrecio_O,1,MIN(10,DA$17))*(1+P_dPrecio)</f>
        <v>0</v>
      </c>
      <c r="DB37" s="34" t="n">
        <f aca="false">DB$25*INDEX(Precio_O,5)*INDEX(IdxPrecio_O,1,MIN(10,DB$17))*(1+P_dPrecio)</f>
        <v>0</v>
      </c>
      <c r="DC37" s="34" t="n">
        <f aca="false">DC$25*INDEX(Precio_O,5)*INDEX(IdxPrecio_O,1,MIN(10,DC$17))*(1+P_dPrecio)</f>
        <v>0</v>
      </c>
      <c r="DD37" s="34" t="n">
        <f aca="false">DD$25*INDEX(Precio_O,5)*INDEX(IdxPrecio_O,1,MIN(10,DD$17))*(1+P_dPrecio)</f>
        <v>0</v>
      </c>
      <c r="DE37" s="34" t="n">
        <f aca="false">DE$25*INDEX(Precio_O,5)*INDEX(IdxPrecio_O,1,MIN(10,DE$17))*(1+P_dPrecio)</f>
        <v>0</v>
      </c>
      <c r="DF37" s="34" t="n">
        <f aca="false">DF$25*INDEX(Precio_O,5)*INDEX(IdxPrecio_O,1,MIN(10,DF$17))*(1+P_dPrecio)</f>
        <v>0</v>
      </c>
      <c r="DG37" s="34" t="n">
        <f aca="false">DG$25*INDEX(Precio_O,5)*INDEX(IdxPrecio_O,1,MIN(10,DG$17))*(1+P_dPrecio)</f>
        <v>0</v>
      </c>
      <c r="DH37" s="34" t="n">
        <f aca="false">DH$25*INDEX(Precio_O,5)*INDEX(IdxPrecio_O,1,MIN(10,DH$17))*(1+P_dPrecio)</f>
        <v>0</v>
      </c>
      <c r="DI37" s="34" t="n">
        <f aca="false">DI$25*INDEX(Precio_O,5)*INDEX(IdxPrecio_O,1,MIN(10,DI$17))*(1+P_dPrecio)</f>
        <v>0</v>
      </c>
      <c r="DJ37" s="34" t="n">
        <f aca="false">DJ$25*INDEX(Precio_O,5)*INDEX(IdxPrecio_O,1,MIN(10,DJ$17))*(1+P_dPrecio)</f>
        <v>0</v>
      </c>
      <c r="DK37" s="34" t="n">
        <f aca="false">DK$25*INDEX(Precio_O,5)*INDEX(IdxPrecio_O,1,MIN(10,DK$17))*(1+P_dPrecio)</f>
        <v>0</v>
      </c>
      <c r="DL37" s="34" t="n">
        <f aca="false">DL$25*INDEX(Precio_O,5)*INDEX(IdxPrecio_O,1,MIN(10,DL$17))*(1+P_dPrecio)</f>
        <v>0</v>
      </c>
      <c r="DM37" s="34" t="n">
        <f aca="false">DM$25*INDEX(Precio_O,5)*INDEX(IdxPrecio_O,1,MIN(10,DM$17))*(1+P_dPrecio)</f>
        <v>0</v>
      </c>
      <c r="DN37" s="34" t="n">
        <f aca="false">DN$25*INDEX(Precio_O,5)*INDEX(IdxPrecio_O,1,MIN(10,DN$17))*(1+P_dPrecio)</f>
        <v>0</v>
      </c>
      <c r="DO37" s="34" t="n">
        <f aca="false">DO$25*INDEX(Precio_O,5)*INDEX(IdxPrecio_O,1,MIN(10,DO$17))*(1+P_dPrecio)</f>
        <v>0</v>
      </c>
      <c r="DP37" s="34" t="n">
        <f aca="false">DP$25*INDEX(Precio_O,5)*INDEX(IdxPrecio_O,1,MIN(10,DP$17))*(1+P_dPrecio)</f>
        <v>0</v>
      </c>
      <c r="DQ37" s="34" t="n">
        <f aca="false">DQ$25*INDEX(Precio_O,5)*INDEX(IdxPrecio_O,1,MIN(10,DQ$17))*(1+P_dPrecio)</f>
        <v>0</v>
      </c>
      <c r="DR37" s="34" t="n">
        <f aca="false">DR$25*INDEX(Precio_O,5)*INDEX(IdxPrecio_O,1,MIN(10,DR$17))*(1+P_dPrecio)</f>
        <v>0</v>
      </c>
      <c r="DS37" s="34" t="n">
        <f aca="false">DS$25*INDEX(Precio_O,5)*INDEX(IdxPrecio_O,1,MIN(10,DS$17))*(1+P_dPrecio)</f>
        <v>0</v>
      </c>
      <c r="DT37" s="34" t="n">
        <f aca="false">DT$25*INDEX(Precio_O,5)*INDEX(IdxPrecio_O,1,MIN(10,DT$17))*(1+P_dPrecio)</f>
        <v>0</v>
      </c>
      <c r="DU37" s="34" t="n">
        <f aca="false">DU$25*INDEX(Precio_O,5)*INDEX(IdxPrecio_O,1,MIN(10,DU$17))*(1+P_dPrecio)</f>
        <v>0</v>
      </c>
      <c r="DV37" s="34" t="n">
        <f aca="false">DV$25*INDEX(Precio_O,5)*INDEX(IdxPrecio_O,1,MIN(10,DV$17))*(1+P_dPrecio)</f>
        <v>0</v>
      </c>
      <c r="DW37" s="34" t="n">
        <f aca="false">DW$25*INDEX(Precio_O,5)*INDEX(IdxPrecio_O,1,MIN(10,DW$17))*(1+P_dPrecio)</f>
        <v>0</v>
      </c>
      <c r="DX37" s="34" t="n">
        <f aca="false">DX$25*INDEX(Precio_O,5)*INDEX(IdxPrecio_O,1,MIN(10,DX$17))*(1+P_dPrecio)</f>
        <v>0</v>
      </c>
      <c r="DY37" s="34" t="n">
        <f aca="false">DY$25*INDEX(Precio_O,5)*INDEX(IdxPrecio_O,1,MIN(10,DY$17))*(1+P_dPrecio)</f>
        <v>0</v>
      </c>
      <c r="DZ37" s="34" t="n">
        <f aca="false">DZ$25*INDEX(Precio_O,5)*INDEX(IdxPrecio_O,1,MIN(10,DZ$17))*(1+P_dPrecio)</f>
        <v>0</v>
      </c>
      <c r="EA37" s="34" t="n">
        <f aca="false">EA$25*INDEX(Precio_O,5)*INDEX(IdxPrecio_O,1,MIN(10,EA$17))*(1+P_dPrecio)</f>
        <v>0</v>
      </c>
      <c r="EB37" s="34" t="n">
        <f aca="false">EB$25*INDEX(Precio_O,5)*INDEX(IdxPrecio_O,1,MIN(10,EB$17))*(1+P_dPrecio)</f>
        <v>0</v>
      </c>
      <c r="EC37" s="34" t="n">
        <f aca="false">EC$25*INDEX(Precio_O,5)*INDEX(IdxPrecio_O,1,MIN(10,EC$17))*(1+P_dPrecio)</f>
        <v>0</v>
      </c>
      <c r="ED37" s="34" t="n">
        <f aca="false">ED$25*INDEX(Precio_O,5)*INDEX(IdxPrecio_O,1,MIN(10,ED$17))*(1+P_dPrecio)</f>
        <v>0</v>
      </c>
      <c r="EE37" s="34" t="n">
        <f aca="false">EE$25*INDEX(Precio_O,5)*INDEX(IdxPrecio_O,1,MIN(10,EE$17))*(1+P_dPrecio)</f>
        <v>0</v>
      </c>
      <c r="EF37" s="34" t="n">
        <f aca="false">EF$25*INDEX(Precio_O,5)*INDEX(IdxPrecio_O,1,MIN(10,EF$17))*(1+P_dPrecio)</f>
        <v>0</v>
      </c>
      <c r="EG37" s="34" t="n">
        <f aca="false">EG$25*INDEX(Precio_O,5)*INDEX(IdxPrecio_O,1,MIN(10,EG$17))*(1+P_dPrecio)</f>
        <v>0</v>
      </c>
      <c r="EH37" s="34" t="n">
        <f aca="false">EH$25*INDEX(Precio_O,5)*INDEX(IdxPrecio_O,1,MIN(10,EH$17))*(1+P_dPrecio)</f>
        <v>0</v>
      </c>
      <c r="EI37" s="34" t="n">
        <f aca="false">EI$25*INDEX(Precio_O,5)*INDEX(IdxPrecio_O,1,MIN(10,EI$17))*(1+P_dPrecio)</f>
        <v>0</v>
      </c>
      <c r="EJ37" s="34" t="n">
        <f aca="false">EJ$25*INDEX(Precio_O,5)*INDEX(IdxPrecio_O,1,MIN(10,EJ$17))*(1+P_dPrecio)</f>
        <v>0</v>
      </c>
      <c r="EK37" s="34" t="n">
        <f aca="false">EK$25*INDEX(Precio_O,5)*INDEX(IdxPrecio_O,1,MIN(10,EK$17))*(1+P_dPrecio)</f>
        <v>0</v>
      </c>
      <c r="EL37" s="34" t="n">
        <f aca="false">EL$25*INDEX(Precio_O,5)*INDEX(IdxPrecio_O,1,MIN(10,EL$17))*(1+P_dPrecio)</f>
        <v>0</v>
      </c>
      <c r="EM37" s="34" t="n">
        <f aca="false">EM$25*INDEX(Precio_O,5)*INDEX(IdxPrecio_O,1,MIN(10,EM$17))*(1+P_dPrecio)</f>
        <v>0</v>
      </c>
      <c r="EN37" s="34" t="n">
        <f aca="false">EN$25*INDEX(Precio_O,5)*INDEX(IdxPrecio_O,1,MIN(10,EN$17))*(1+P_dPrecio)</f>
        <v>0</v>
      </c>
      <c r="EO37" s="34" t="n">
        <f aca="false">EO$25*INDEX(Precio_O,5)*INDEX(IdxPrecio_O,1,MIN(10,EO$17))*(1+P_dPrecio)</f>
        <v>0</v>
      </c>
      <c r="EP37" s="34" t="n">
        <f aca="false">EP$25*INDEX(Precio_O,5)*INDEX(IdxPrecio_O,1,MIN(10,EP$17))*(1+P_dPrecio)</f>
        <v>0</v>
      </c>
      <c r="EQ37" s="34" t="n">
        <f aca="false">EQ$25*INDEX(Precio_O,5)*INDEX(IdxPrecio_O,1,MIN(10,EQ$17))*(1+P_dPrecio)</f>
        <v>0</v>
      </c>
      <c r="ER37" s="34" t="n">
        <f aca="false">ER$25*INDEX(Precio_O,5)*INDEX(IdxPrecio_O,1,MIN(10,ER$17))*(1+P_dPrecio)</f>
        <v>0</v>
      </c>
      <c r="ES37" s="34" t="n">
        <f aca="false">ES$25*INDEX(Precio_O,5)*INDEX(IdxPrecio_O,1,MIN(10,ES$17))*(1+P_dPrecio)</f>
        <v>0</v>
      </c>
    </row>
    <row r="38" customFormat="false" ht="15" hidden="false" customHeight="false" outlineLevel="0" collapsed="false">
      <c r="A38" s="2" t="s">
        <v>449</v>
      </c>
      <c r="B38" s="39" t="str">
        <f aca="false">IF(INDEX(Prod_Nombre,6)="","Producto 6",INDEX(Prod_Nombre,6))&amp;" — ventas USD"</f>
        <v>Producto 6 — ventas USD</v>
      </c>
      <c r="C38" s="6" t="s">
        <v>212</v>
      </c>
      <c r="E38" s="40" t="n">
        <f aca="false">SUM(F38:ES38)</f>
        <v>0</v>
      </c>
      <c r="F38" s="34" t="n">
        <f aca="false">F$26*INDEX(Precio_O,6)*INDEX(IdxPrecio_O,1,MIN(10,F$17))*(1+P_dPrecio)</f>
        <v>0</v>
      </c>
      <c r="G38" s="34" t="n">
        <f aca="false">G$26*INDEX(Precio_O,6)*INDEX(IdxPrecio_O,1,MIN(10,G$17))*(1+P_dPrecio)</f>
        <v>0</v>
      </c>
      <c r="H38" s="34" t="n">
        <f aca="false">H$26*INDEX(Precio_O,6)*INDEX(IdxPrecio_O,1,MIN(10,H$17))*(1+P_dPrecio)</f>
        <v>0</v>
      </c>
      <c r="I38" s="34" t="n">
        <f aca="false">I$26*INDEX(Precio_O,6)*INDEX(IdxPrecio_O,1,MIN(10,I$17))*(1+P_dPrecio)</f>
        <v>0</v>
      </c>
      <c r="J38" s="34" t="n">
        <f aca="false">J$26*INDEX(Precio_O,6)*INDEX(IdxPrecio_O,1,MIN(10,J$17))*(1+P_dPrecio)</f>
        <v>0</v>
      </c>
      <c r="K38" s="34" t="n">
        <f aca="false">K$26*INDEX(Precio_O,6)*INDEX(IdxPrecio_O,1,MIN(10,K$17))*(1+P_dPrecio)</f>
        <v>0</v>
      </c>
      <c r="L38" s="34" t="n">
        <f aca="false">L$26*INDEX(Precio_O,6)*INDEX(IdxPrecio_O,1,MIN(10,L$17))*(1+P_dPrecio)</f>
        <v>0</v>
      </c>
      <c r="M38" s="34" t="n">
        <f aca="false">M$26*INDEX(Precio_O,6)*INDEX(IdxPrecio_O,1,MIN(10,M$17))*(1+P_dPrecio)</f>
        <v>0</v>
      </c>
      <c r="N38" s="34" t="n">
        <f aca="false">N$26*INDEX(Precio_O,6)*INDEX(IdxPrecio_O,1,MIN(10,N$17))*(1+P_dPrecio)</f>
        <v>0</v>
      </c>
      <c r="O38" s="34" t="n">
        <f aca="false">O$26*INDEX(Precio_O,6)*INDEX(IdxPrecio_O,1,MIN(10,O$17))*(1+P_dPrecio)</f>
        <v>0</v>
      </c>
      <c r="P38" s="34" t="n">
        <f aca="false">P$26*INDEX(Precio_O,6)*INDEX(IdxPrecio_O,1,MIN(10,P$17))*(1+P_dPrecio)</f>
        <v>0</v>
      </c>
      <c r="Q38" s="34" t="n">
        <f aca="false">Q$26*INDEX(Precio_O,6)*INDEX(IdxPrecio_O,1,MIN(10,Q$17))*(1+P_dPrecio)</f>
        <v>0</v>
      </c>
      <c r="R38" s="34" t="n">
        <f aca="false">R$26*INDEX(Precio_O,6)*INDEX(IdxPrecio_O,1,MIN(10,R$17))*(1+P_dPrecio)</f>
        <v>0</v>
      </c>
      <c r="S38" s="34" t="n">
        <f aca="false">S$26*INDEX(Precio_O,6)*INDEX(IdxPrecio_O,1,MIN(10,S$17))*(1+P_dPrecio)</f>
        <v>0</v>
      </c>
      <c r="T38" s="34" t="n">
        <f aca="false">T$26*INDEX(Precio_O,6)*INDEX(IdxPrecio_O,1,MIN(10,T$17))*(1+P_dPrecio)</f>
        <v>0</v>
      </c>
      <c r="U38" s="34" t="n">
        <f aca="false">U$26*INDEX(Precio_O,6)*INDEX(IdxPrecio_O,1,MIN(10,U$17))*(1+P_dPrecio)</f>
        <v>0</v>
      </c>
      <c r="V38" s="34" t="n">
        <f aca="false">V$26*INDEX(Precio_O,6)*INDEX(IdxPrecio_O,1,MIN(10,V$17))*(1+P_dPrecio)</f>
        <v>0</v>
      </c>
      <c r="W38" s="34" t="n">
        <f aca="false">W$26*INDEX(Precio_O,6)*INDEX(IdxPrecio_O,1,MIN(10,W$17))*(1+P_dPrecio)</f>
        <v>0</v>
      </c>
      <c r="X38" s="34" t="n">
        <f aca="false">X$26*INDEX(Precio_O,6)*INDEX(IdxPrecio_O,1,MIN(10,X$17))*(1+P_dPrecio)</f>
        <v>0</v>
      </c>
      <c r="Y38" s="34" t="n">
        <f aca="false">Y$26*INDEX(Precio_O,6)*INDEX(IdxPrecio_O,1,MIN(10,Y$17))*(1+P_dPrecio)</f>
        <v>0</v>
      </c>
      <c r="Z38" s="34" t="n">
        <f aca="false">Z$26*INDEX(Precio_O,6)*INDEX(IdxPrecio_O,1,MIN(10,Z$17))*(1+P_dPrecio)</f>
        <v>0</v>
      </c>
      <c r="AA38" s="34" t="n">
        <f aca="false">AA$26*INDEX(Precio_O,6)*INDEX(IdxPrecio_O,1,MIN(10,AA$17))*(1+P_dPrecio)</f>
        <v>0</v>
      </c>
      <c r="AB38" s="34" t="n">
        <f aca="false">AB$26*INDEX(Precio_O,6)*INDEX(IdxPrecio_O,1,MIN(10,AB$17))*(1+P_dPrecio)</f>
        <v>0</v>
      </c>
      <c r="AC38" s="34" t="n">
        <f aca="false">AC$26*INDEX(Precio_O,6)*INDEX(IdxPrecio_O,1,MIN(10,AC$17))*(1+P_dPrecio)</f>
        <v>0</v>
      </c>
      <c r="AD38" s="34" t="n">
        <f aca="false">AD$26*INDEX(Precio_O,6)*INDEX(IdxPrecio_O,1,MIN(10,AD$17))*(1+P_dPrecio)</f>
        <v>0</v>
      </c>
      <c r="AE38" s="34" t="n">
        <f aca="false">AE$26*INDEX(Precio_O,6)*INDEX(IdxPrecio_O,1,MIN(10,AE$17))*(1+P_dPrecio)</f>
        <v>0</v>
      </c>
      <c r="AF38" s="34" t="n">
        <f aca="false">AF$26*INDEX(Precio_O,6)*INDEX(IdxPrecio_O,1,MIN(10,AF$17))*(1+P_dPrecio)</f>
        <v>0</v>
      </c>
      <c r="AG38" s="34" t="n">
        <f aca="false">AG$26*INDEX(Precio_O,6)*INDEX(IdxPrecio_O,1,MIN(10,AG$17))*(1+P_dPrecio)</f>
        <v>0</v>
      </c>
      <c r="AH38" s="34" t="n">
        <f aca="false">AH$26*INDEX(Precio_O,6)*INDEX(IdxPrecio_O,1,MIN(10,AH$17))*(1+P_dPrecio)</f>
        <v>0</v>
      </c>
      <c r="AI38" s="34" t="n">
        <f aca="false">AI$26*INDEX(Precio_O,6)*INDEX(IdxPrecio_O,1,MIN(10,AI$17))*(1+P_dPrecio)</f>
        <v>0</v>
      </c>
      <c r="AJ38" s="34" t="n">
        <f aca="false">AJ$26*INDEX(Precio_O,6)*INDEX(IdxPrecio_O,1,MIN(10,AJ$17))*(1+P_dPrecio)</f>
        <v>0</v>
      </c>
      <c r="AK38" s="34" t="n">
        <f aca="false">AK$26*INDEX(Precio_O,6)*INDEX(IdxPrecio_O,1,MIN(10,AK$17))*(1+P_dPrecio)</f>
        <v>0</v>
      </c>
      <c r="AL38" s="34" t="n">
        <f aca="false">AL$26*INDEX(Precio_O,6)*INDEX(IdxPrecio_O,1,MIN(10,AL$17))*(1+P_dPrecio)</f>
        <v>0</v>
      </c>
      <c r="AM38" s="34" t="n">
        <f aca="false">AM$26*INDEX(Precio_O,6)*INDEX(IdxPrecio_O,1,MIN(10,AM$17))*(1+P_dPrecio)</f>
        <v>0</v>
      </c>
      <c r="AN38" s="34" t="n">
        <f aca="false">AN$26*INDEX(Precio_O,6)*INDEX(IdxPrecio_O,1,MIN(10,AN$17))*(1+P_dPrecio)</f>
        <v>0</v>
      </c>
      <c r="AO38" s="34" t="n">
        <f aca="false">AO$26*INDEX(Precio_O,6)*INDEX(IdxPrecio_O,1,MIN(10,AO$17))*(1+P_dPrecio)</f>
        <v>0</v>
      </c>
      <c r="AP38" s="34" t="n">
        <f aca="false">AP$26*INDEX(Precio_O,6)*INDEX(IdxPrecio_O,1,MIN(10,AP$17))*(1+P_dPrecio)</f>
        <v>0</v>
      </c>
      <c r="AQ38" s="34" t="n">
        <f aca="false">AQ$26*INDEX(Precio_O,6)*INDEX(IdxPrecio_O,1,MIN(10,AQ$17))*(1+P_dPrecio)</f>
        <v>0</v>
      </c>
      <c r="AR38" s="34" t="n">
        <f aca="false">AR$26*INDEX(Precio_O,6)*INDEX(IdxPrecio_O,1,MIN(10,AR$17))*(1+P_dPrecio)</f>
        <v>0</v>
      </c>
      <c r="AS38" s="34" t="n">
        <f aca="false">AS$26*INDEX(Precio_O,6)*INDEX(IdxPrecio_O,1,MIN(10,AS$17))*(1+P_dPrecio)</f>
        <v>0</v>
      </c>
      <c r="AT38" s="34" t="n">
        <f aca="false">AT$26*INDEX(Precio_O,6)*INDEX(IdxPrecio_O,1,MIN(10,AT$17))*(1+P_dPrecio)</f>
        <v>0</v>
      </c>
      <c r="AU38" s="34" t="n">
        <f aca="false">AU$26*INDEX(Precio_O,6)*INDEX(IdxPrecio_O,1,MIN(10,AU$17))*(1+P_dPrecio)</f>
        <v>0</v>
      </c>
      <c r="AV38" s="34" t="n">
        <f aca="false">AV$26*INDEX(Precio_O,6)*INDEX(IdxPrecio_O,1,MIN(10,AV$17))*(1+P_dPrecio)</f>
        <v>0</v>
      </c>
      <c r="AW38" s="34" t="n">
        <f aca="false">AW$26*INDEX(Precio_O,6)*INDEX(IdxPrecio_O,1,MIN(10,AW$17))*(1+P_dPrecio)</f>
        <v>0</v>
      </c>
      <c r="AX38" s="34" t="n">
        <f aca="false">AX$26*INDEX(Precio_O,6)*INDEX(IdxPrecio_O,1,MIN(10,AX$17))*(1+P_dPrecio)</f>
        <v>0</v>
      </c>
      <c r="AY38" s="34" t="n">
        <f aca="false">AY$26*INDEX(Precio_O,6)*INDEX(IdxPrecio_O,1,MIN(10,AY$17))*(1+P_dPrecio)</f>
        <v>0</v>
      </c>
      <c r="AZ38" s="34" t="n">
        <f aca="false">AZ$26*INDEX(Precio_O,6)*INDEX(IdxPrecio_O,1,MIN(10,AZ$17))*(1+P_dPrecio)</f>
        <v>0</v>
      </c>
      <c r="BA38" s="34" t="n">
        <f aca="false">BA$26*INDEX(Precio_O,6)*INDEX(IdxPrecio_O,1,MIN(10,BA$17))*(1+P_dPrecio)</f>
        <v>0</v>
      </c>
      <c r="BB38" s="34" t="n">
        <f aca="false">BB$26*INDEX(Precio_O,6)*INDEX(IdxPrecio_O,1,MIN(10,BB$17))*(1+P_dPrecio)</f>
        <v>0</v>
      </c>
      <c r="BC38" s="34" t="n">
        <f aca="false">BC$26*INDEX(Precio_O,6)*INDEX(IdxPrecio_O,1,MIN(10,BC$17))*(1+P_dPrecio)</f>
        <v>0</v>
      </c>
      <c r="BD38" s="34" t="n">
        <f aca="false">BD$26*INDEX(Precio_O,6)*INDEX(IdxPrecio_O,1,MIN(10,BD$17))*(1+P_dPrecio)</f>
        <v>0</v>
      </c>
      <c r="BE38" s="34" t="n">
        <f aca="false">BE$26*INDEX(Precio_O,6)*INDEX(IdxPrecio_O,1,MIN(10,BE$17))*(1+P_dPrecio)</f>
        <v>0</v>
      </c>
      <c r="BF38" s="34" t="n">
        <f aca="false">BF$26*INDEX(Precio_O,6)*INDEX(IdxPrecio_O,1,MIN(10,BF$17))*(1+P_dPrecio)</f>
        <v>0</v>
      </c>
      <c r="BG38" s="34" t="n">
        <f aca="false">BG$26*INDEX(Precio_O,6)*INDEX(IdxPrecio_O,1,MIN(10,BG$17))*(1+P_dPrecio)</f>
        <v>0</v>
      </c>
      <c r="BH38" s="34" t="n">
        <f aca="false">BH$26*INDEX(Precio_O,6)*INDEX(IdxPrecio_O,1,MIN(10,BH$17))*(1+P_dPrecio)</f>
        <v>0</v>
      </c>
      <c r="BI38" s="34" t="n">
        <f aca="false">BI$26*INDEX(Precio_O,6)*INDEX(IdxPrecio_O,1,MIN(10,BI$17))*(1+P_dPrecio)</f>
        <v>0</v>
      </c>
      <c r="BJ38" s="34" t="n">
        <f aca="false">BJ$26*INDEX(Precio_O,6)*INDEX(IdxPrecio_O,1,MIN(10,BJ$17))*(1+P_dPrecio)</f>
        <v>0</v>
      </c>
      <c r="BK38" s="34" t="n">
        <f aca="false">BK$26*INDEX(Precio_O,6)*INDEX(IdxPrecio_O,1,MIN(10,BK$17))*(1+P_dPrecio)</f>
        <v>0</v>
      </c>
      <c r="BL38" s="34" t="n">
        <f aca="false">BL$26*INDEX(Precio_O,6)*INDEX(IdxPrecio_O,1,MIN(10,BL$17))*(1+P_dPrecio)</f>
        <v>0</v>
      </c>
      <c r="BM38" s="34" t="n">
        <f aca="false">BM$26*INDEX(Precio_O,6)*INDEX(IdxPrecio_O,1,MIN(10,BM$17))*(1+P_dPrecio)</f>
        <v>0</v>
      </c>
      <c r="BN38" s="34" t="n">
        <f aca="false">BN$26*INDEX(Precio_O,6)*INDEX(IdxPrecio_O,1,MIN(10,BN$17))*(1+P_dPrecio)</f>
        <v>0</v>
      </c>
      <c r="BO38" s="34" t="n">
        <f aca="false">BO$26*INDEX(Precio_O,6)*INDEX(IdxPrecio_O,1,MIN(10,BO$17))*(1+P_dPrecio)</f>
        <v>0</v>
      </c>
      <c r="BP38" s="34" t="n">
        <f aca="false">BP$26*INDEX(Precio_O,6)*INDEX(IdxPrecio_O,1,MIN(10,BP$17))*(1+P_dPrecio)</f>
        <v>0</v>
      </c>
      <c r="BQ38" s="34" t="n">
        <f aca="false">BQ$26*INDEX(Precio_O,6)*INDEX(IdxPrecio_O,1,MIN(10,BQ$17))*(1+P_dPrecio)</f>
        <v>0</v>
      </c>
      <c r="BR38" s="34" t="n">
        <f aca="false">BR$26*INDEX(Precio_O,6)*INDEX(IdxPrecio_O,1,MIN(10,BR$17))*(1+P_dPrecio)</f>
        <v>0</v>
      </c>
      <c r="BS38" s="34" t="n">
        <f aca="false">BS$26*INDEX(Precio_O,6)*INDEX(IdxPrecio_O,1,MIN(10,BS$17))*(1+P_dPrecio)</f>
        <v>0</v>
      </c>
      <c r="BT38" s="34" t="n">
        <f aca="false">BT$26*INDEX(Precio_O,6)*INDEX(IdxPrecio_O,1,MIN(10,BT$17))*(1+P_dPrecio)</f>
        <v>0</v>
      </c>
      <c r="BU38" s="34" t="n">
        <f aca="false">BU$26*INDEX(Precio_O,6)*INDEX(IdxPrecio_O,1,MIN(10,BU$17))*(1+P_dPrecio)</f>
        <v>0</v>
      </c>
      <c r="BV38" s="34" t="n">
        <f aca="false">BV$26*INDEX(Precio_O,6)*INDEX(IdxPrecio_O,1,MIN(10,BV$17))*(1+P_dPrecio)</f>
        <v>0</v>
      </c>
      <c r="BW38" s="34" t="n">
        <f aca="false">BW$26*INDEX(Precio_O,6)*INDEX(IdxPrecio_O,1,MIN(10,BW$17))*(1+P_dPrecio)</f>
        <v>0</v>
      </c>
      <c r="BX38" s="34" t="n">
        <f aca="false">BX$26*INDEX(Precio_O,6)*INDEX(IdxPrecio_O,1,MIN(10,BX$17))*(1+P_dPrecio)</f>
        <v>0</v>
      </c>
      <c r="BY38" s="34" t="n">
        <f aca="false">BY$26*INDEX(Precio_O,6)*INDEX(IdxPrecio_O,1,MIN(10,BY$17))*(1+P_dPrecio)</f>
        <v>0</v>
      </c>
      <c r="BZ38" s="34" t="n">
        <f aca="false">BZ$26*INDEX(Precio_O,6)*INDEX(IdxPrecio_O,1,MIN(10,BZ$17))*(1+P_dPrecio)</f>
        <v>0</v>
      </c>
      <c r="CA38" s="34" t="n">
        <f aca="false">CA$26*INDEX(Precio_O,6)*INDEX(IdxPrecio_O,1,MIN(10,CA$17))*(1+P_dPrecio)</f>
        <v>0</v>
      </c>
      <c r="CB38" s="34" t="n">
        <f aca="false">CB$26*INDEX(Precio_O,6)*INDEX(IdxPrecio_O,1,MIN(10,CB$17))*(1+P_dPrecio)</f>
        <v>0</v>
      </c>
      <c r="CC38" s="34" t="n">
        <f aca="false">CC$26*INDEX(Precio_O,6)*INDEX(IdxPrecio_O,1,MIN(10,CC$17))*(1+P_dPrecio)</f>
        <v>0</v>
      </c>
      <c r="CD38" s="34" t="n">
        <f aca="false">CD$26*INDEX(Precio_O,6)*INDEX(IdxPrecio_O,1,MIN(10,CD$17))*(1+P_dPrecio)</f>
        <v>0</v>
      </c>
      <c r="CE38" s="34" t="n">
        <f aca="false">CE$26*INDEX(Precio_O,6)*INDEX(IdxPrecio_O,1,MIN(10,CE$17))*(1+P_dPrecio)</f>
        <v>0</v>
      </c>
      <c r="CF38" s="34" t="n">
        <f aca="false">CF$26*INDEX(Precio_O,6)*INDEX(IdxPrecio_O,1,MIN(10,CF$17))*(1+P_dPrecio)</f>
        <v>0</v>
      </c>
      <c r="CG38" s="34" t="n">
        <f aca="false">CG$26*INDEX(Precio_O,6)*INDEX(IdxPrecio_O,1,MIN(10,CG$17))*(1+P_dPrecio)</f>
        <v>0</v>
      </c>
      <c r="CH38" s="34" t="n">
        <f aca="false">CH$26*INDEX(Precio_O,6)*INDEX(IdxPrecio_O,1,MIN(10,CH$17))*(1+P_dPrecio)</f>
        <v>0</v>
      </c>
      <c r="CI38" s="34" t="n">
        <f aca="false">CI$26*INDEX(Precio_O,6)*INDEX(IdxPrecio_O,1,MIN(10,CI$17))*(1+P_dPrecio)</f>
        <v>0</v>
      </c>
      <c r="CJ38" s="34" t="n">
        <f aca="false">CJ$26*INDEX(Precio_O,6)*INDEX(IdxPrecio_O,1,MIN(10,CJ$17))*(1+P_dPrecio)</f>
        <v>0</v>
      </c>
      <c r="CK38" s="34" t="n">
        <f aca="false">CK$26*INDEX(Precio_O,6)*INDEX(IdxPrecio_O,1,MIN(10,CK$17))*(1+P_dPrecio)</f>
        <v>0</v>
      </c>
      <c r="CL38" s="34" t="n">
        <f aca="false">CL$26*INDEX(Precio_O,6)*INDEX(IdxPrecio_O,1,MIN(10,CL$17))*(1+P_dPrecio)</f>
        <v>0</v>
      </c>
      <c r="CM38" s="34" t="n">
        <f aca="false">CM$26*INDEX(Precio_O,6)*INDEX(IdxPrecio_O,1,MIN(10,CM$17))*(1+P_dPrecio)</f>
        <v>0</v>
      </c>
      <c r="CN38" s="34" t="n">
        <f aca="false">CN$26*INDEX(Precio_O,6)*INDEX(IdxPrecio_O,1,MIN(10,CN$17))*(1+P_dPrecio)</f>
        <v>0</v>
      </c>
      <c r="CO38" s="34" t="n">
        <f aca="false">CO$26*INDEX(Precio_O,6)*INDEX(IdxPrecio_O,1,MIN(10,CO$17))*(1+P_dPrecio)</f>
        <v>0</v>
      </c>
      <c r="CP38" s="34" t="n">
        <f aca="false">CP$26*INDEX(Precio_O,6)*INDEX(IdxPrecio_O,1,MIN(10,CP$17))*(1+P_dPrecio)</f>
        <v>0</v>
      </c>
      <c r="CQ38" s="34" t="n">
        <f aca="false">CQ$26*INDEX(Precio_O,6)*INDEX(IdxPrecio_O,1,MIN(10,CQ$17))*(1+P_dPrecio)</f>
        <v>0</v>
      </c>
      <c r="CR38" s="34" t="n">
        <f aca="false">CR$26*INDEX(Precio_O,6)*INDEX(IdxPrecio_O,1,MIN(10,CR$17))*(1+P_dPrecio)</f>
        <v>0</v>
      </c>
      <c r="CS38" s="34" t="n">
        <f aca="false">CS$26*INDEX(Precio_O,6)*INDEX(IdxPrecio_O,1,MIN(10,CS$17))*(1+P_dPrecio)</f>
        <v>0</v>
      </c>
      <c r="CT38" s="34" t="n">
        <f aca="false">CT$26*INDEX(Precio_O,6)*INDEX(IdxPrecio_O,1,MIN(10,CT$17))*(1+P_dPrecio)</f>
        <v>0</v>
      </c>
      <c r="CU38" s="34" t="n">
        <f aca="false">CU$26*INDEX(Precio_O,6)*INDEX(IdxPrecio_O,1,MIN(10,CU$17))*(1+P_dPrecio)</f>
        <v>0</v>
      </c>
      <c r="CV38" s="34" t="n">
        <f aca="false">CV$26*INDEX(Precio_O,6)*INDEX(IdxPrecio_O,1,MIN(10,CV$17))*(1+P_dPrecio)</f>
        <v>0</v>
      </c>
      <c r="CW38" s="34" t="n">
        <f aca="false">CW$26*INDEX(Precio_O,6)*INDEX(IdxPrecio_O,1,MIN(10,CW$17))*(1+P_dPrecio)</f>
        <v>0</v>
      </c>
      <c r="CX38" s="34" t="n">
        <f aca="false">CX$26*INDEX(Precio_O,6)*INDEX(IdxPrecio_O,1,MIN(10,CX$17))*(1+P_dPrecio)</f>
        <v>0</v>
      </c>
      <c r="CY38" s="34" t="n">
        <f aca="false">CY$26*INDEX(Precio_O,6)*INDEX(IdxPrecio_O,1,MIN(10,CY$17))*(1+P_dPrecio)</f>
        <v>0</v>
      </c>
      <c r="CZ38" s="34" t="n">
        <f aca="false">CZ$26*INDEX(Precio_O,6)*INDEX(IdxPrecio_O,1,MIN(10,CZ$17))*(1+P_dPrecio)</f>
        <v>0</v>
      </c>
      <c r="DA38" s="34" t="n">
        <f aca="false">DA$26*INDEX(Precio_O,6)*INDEX(IdxPrecio_O,1,MIN(10,DA$17))*(1+P_dPrecio)</f>
        <v>0</v>
      </c>
      <c r="DB38" s="34" t="n">
        <f aca="false">DB$26*INDEX(Precio_O,6)*INDEX(IdxPrecio_O,1,MIN(10,DB$17))*(1+P_dPrecio)</f>
        <v>0</v>
      </c>
      <c r="DC38" s="34" t="n">
        <f aca="false">DC$26*INDEX(Precio_O,6)*INDEX(IdxPrecio_O,1,MIN(10,DC$17))*(1+P_dPrecio)</f>
        <v>0</v>
      </c>
      <c r="DD38" s="34" t="n">
        <f aca="false">DD$26*INDEX(Precio_O,6)*INDEX(IdxPrecio_O,1,MIN(10,DD$17))*(1+P_dPrecio)</f>
        <v>0</v>
      </c>
      <c r="DE38" s="34" t="n">
        <f aca="false">DE$26*INDEX(Precio_O,6)*INDEX(IdxPrecio_O,1,MIN(10,DE$17))*(1+P_dPrecio)</f>
        <v>0</v>
      </c>
      <c r="DF38" s="34" t="n">
        <f aca="false">DF$26*INDEX(Precio_O,6)*INDEX(IdxPrecio_O,1,MIN(10,DF$17))*(1+P_dPrecio)</f>
        <v>0</v>
      </c>
      <c r="DG38" s="34" t="n">
        <f aca="false">DG$26*INDEX(Precio_O,6)*INDEX(IdxPrecio_O,1,MIN(10,DG$17))*(1+P_dPrecio)</f>
        <v>0</v>
      </c>
      <c r="DH38" s="34" t="n">
        <f aca="false">DH$26*INDEX(Precio_O,6)*INDEX(IdxPrecio_O,1,MIN(10,DH$17))*(1+P_dPrecio)</f>
        <v>0</v>
      </c>
      <c r="DI38" s="34" t="n">
        <f aca="false">DI$26*INDEX(Precio_O,6)*INDEX(IdxPrecio_O,1,MIN(10,DI$17))*(1+P_dPrecio)</f>
        <v>0</v>
      </c>
      <c r="DJ38" s="34" t="n">
        <f aca="false">DJ$26*INDEX(Precio_O,6)*INDEX(IdxPrecio_O,1,MIN(10,DJ$17))*(1+P_dPrecio)</f>
        <v>0</v>
      </c>
      <c r="DK38" s="34" t="n">
        <f aca="false">DK$26*INDEX(Precio_O,6)*INDEX(IdxPrecio_O,1,MIN(10,DK$17))*(1+P_dPrecio)</f>
        <v>0</v>
      </c>
      <c r="DL38" s="34" t="n">
        <f aca="false">DL$26*INDEX(Precio_O,6)*INDEX(IdxPrecio_O,1,MIN(10,DL$17))*(1+P_dPrecio)</f>
        <v>0</v>
      </c>
      <c r="DM38" s="34" t="n">
        <f aca="false">DM$26*INDEX(Precio_O,6)*INDEX(IdxPrecio_O,1,MIN(10,DM$17))*(1+P_dPrecio)</f>
        <v>0</v>
      </c>
      <c r="DN38" s="34" t="n">
        <f aca="false">DN$26*INDEX(Precio_O,6)*INDEX(IdxPrecio_O,1,MIN(10,DN$17))*(1+P_dPrecio)</f>
        <v>0</v>
      </c>
      <c r="DO38" s="34" t="n">
        <f aca="false">DO$26*INDEX(Precio_O,6)*INDEX(IdxPrecio_O,1,MIN(10,DO$17))*(1+P_dPrecio)</f>
        <v>0</v>
      </c>
      <c r="DP38" s="34" t="n">
        <f aca="false">DP$26*INDEX(Precio_O,6)*INDEX(IdxPrecio_O,1,MIN(10,DP$17))*(1+P_dPrecio)</f>
        <v>0</v>
      </c>
      <c r="DQ38" s="34" t="n">
        <f aca="false">DQ$26*INDEX(Precio_O,6)*INDEX(IdxPrecio_O,1,MIN(10,DQ$17))*(1+P_dPrecio)</f>
        <v>0</v>
      </c>
      <c r="DR38" s="34" t="n">
        <f aca="false">DR$26*INDEX(Precio_O,6)*INDEX(IdxPrecio_O,1,MIN(10,DR$17))*(1+P_dPrecio)</f>
        <v>0</v>
      </c>
      <c r="DS38" s="34" t="n">
        <f aca="false">DS$26*INDEX(Precio_O,6)*INDEX(IdxPrecio_O,1,MIN(10,DS$17))*(1+P_dPrecio)</f>
        <v>0</v>
      </c>
      <c r="DT38" s="34" t="n">
        <f aca="false">DT$26*INDEX(Precio_O,6)*INDEX(IdxPrecio_O,1,MIN(10,DT$17))*(1+P_dPrecio)</f>
        <v>0</v>
      </c>
      <c r="DU38" s="34" t="n">
        <f aca="false">DU$26*INDEX(Precio_O,6)*INDEX(IdxPrecio_O,1,MIN(10,DU$17))*(1+P_dPrecio)</f>
        <v>0</v>
      </c>
      <c r="DV38" s="34" t="n">
        <f aca="false">DV$26*INDEX(Precio_O,6)*INDEX(IdxPrecio_O,1,MIN(10,DV$17))*(1+P_dPrecio)</f>
        <v>0</v>
      </c>
      <c r="DW38" s="34" t="n">
        <f aca="false">DW$26*INDEX(Precio_O,6)*INDEX(IdxPrecio_O,1,MIN(10,DW$17))*(1+P_dPrecio)</f>
        <v>0</v>
      </c>
      <c r="DX38" s="34" t="n">
        <f aca="false">DX$26*INDEX(Precio_O,6)*INDEX(IdxPrecio_O,1,MIN(10,DX$17))*(1+P_dPrecio)</f>
        <v>0</v>
      </c>
      <c r="DY38" s="34" t="n">
        <f aca="false">DY$26*INDEX(Precio_O,6)*INDEX(IdxPrecio_O,1,MIN(10,DY$17))*(1+P_dPrecio)</f>
        <v>0</v>
      </c>
      <c r="DZ38" s="34" t="n">
        <f aca="false">DZ$26*INDEX(Precio_O,6)*INDEX(IdxPrecio_O,1,MIN(10,DZ$17))*(1+P_dPrecio)</f>
        <v>0</v>
      </c>
      <c r="EA38" s="34" t="n">
        <f aca="false">EA$26*INDEX(Precio_O,6)*INDEX(IdxPrecio_O,1,MIN(10,EA$17))*(1+P_dPrecio)</f>
        <v>0</v>
      </c>
      <c r="EB38" s="34" t="n">
        <f aca="false">EB$26*INDEX(Precio_O,6)*INDEX(IdxPrecio_O,1,MIN(10,EB$17))*(1+P_dPrecio)</f>
        <v>0</v>
      </c>
      <c r="EC38" s="34" t="n">
        <f aca="false">EC$26*INDEX(Precio_O,6)*INDEX(IdxPrecio_O,1,MIN(10,EC$17))*(1+P_dPrecio)</f>
        <v>0</v>
      </c>
      <c r="ED38" s="34" t="n">
        <f aca="false">ED$26*INDEX(Precio_O,6)*INDEX(IdxPrecio_O,1,MIN(10,ED$17))*(1+P_dPrecio)</f>
        <v>0</v>
      </c>
      <c r="EE38" s="34" t="n">
        <f aca="false">EE$26*INDEX(Precio_O,6)*INDEX(IdxPrecio_O,1,MIN(10,EE$17))*(1+P_dPrecio)</f>
        <v>0</v>
      </c>
      <c r="EF38" s="34" t="n">
        <f aca="false">EF$26*INDEX(Precio_O,6)*INDEX(IdxPrecio_O,1,MIN(10,EF$17))*(1+P_dPrecio)</f>
        <v>0</v>
      </c>
      <c r="EG38" s="34" t="n">
        <f aca="false">EG$26*INDEX(Precio_O,6)*INDEX(IdxPrecio_O,1,MIN(10,EG$17))*(1+P_dPrecio)</f>
        <v>0</v>
      </c>
      <c r="EH38" s="34" t="n">
        <f aca="false">EH$26*INDEX(Precio_O,6)*INDEX(IdxPrecio_O,1,MIN(10,EH$17))*(1+P_dPrecio)</f>
        <v>0</v>
      </c>
      <c r="EI38" s="34" t="n">
        <f aca="false">EI$26*INDEX(Precio_O,6)*INDEX(IdxPrecio_O,1,MIN(10,EI$17))*(1+P_dPrecio)</f>
        <v>0</v>
      </c>
      <c r="EJ38" s="34" t="n">
        <f aca="false">EJ$26*INDEX(Precio_O,6)*INDEX(IdxPrecio_O,1,MIN(10,EJ$17))*(1+P_dPrecio)</f>
        <v>0</v>
      </c>
      <c r="EK38" s="34" t="n">
        <f aca="false">EK$26*INDEX(Precio_O,6)*INDEX(IdxPrecio_O,1,MIN(10,EK$17))*(1+P_dPrecio)</f>
        <v>0</v>
      </c>
      <c r="EL38" s="34" t="n">
        <f aca="false">EL$26*INDEX(Precio_O,6)*INDEX(IdxPrecio_O,1,MIN(10,EL$17))*(1+P_dPrecio)</f>
        <v>0</v>
      </c>
      <c r="EM38" s="34" t="n">
        <f aca="false">EM$26*INDEX(Precio_O,6)*INDEX(IdxPrecio_O,1,MIN(10,EM$17))*(1+P_dPrecio)</f>
        <v>0</v>
      </c>
      <c r="EN38" s="34" t="n">
        <f aca="false">EN$26*INDEX(Precio_O,6)*INDEX(IdxPrecio_O,1,MIN(10,EN$17))*(1+P_dPrecio)</f>
        <v>0</v>
      </c>
      <c r="EO38" s="34" t="n">
        <f aca="false">EO$26*INDEX(Precio_O,6)*INDEX(IdxPrecio_O,1,MIN(10,EO$17))*(1+P_dPrecio)</f>
        <v>0</v>
      </c>
      <c r="EP38" s="34" t="n">
        <f aca="false">EP$26*INDEX(Precio_O,6)*INDEX(IdxPrecio_O,1,MIN(10,EP$17))*(1+P_dPrecio)</f>
        <v>0</v>
      </c>
      <c r="EQ38" s="34" t="n">
        <f aca="false">EQ$26*INDEX(Precio_O,6)*INDEX(IdxPrecio_O,1,MIN(10,EQ$17))*(1+P_dPrecio)</f>
        <v>0</v>
      </c>
      <c r="ER38" s="34" t="n">
        <f aca="false">ER$26*INDEX(Precio_O,6)*INDEX(IdxPrecio_O,1,MIN(10,ER$17))*(1+P_dPrecio)</f>
        <v>0</v>
      </c>
      <c r="ES38" s="34" t="n">
        <f aca="false">ES$26*INDEX(Precio_O,6)*INDEX(IdxPrecio_O,1,MIN(10,ES$17))*(1+P_dPrecio)</f>
        <v>0</v>
      </c>
    </row>
    <row r="39" customFormat="false" ht="15" hidden="false" customHeight="false" outlineLevel="0" collapsed="false">
      <c r="A39" s="2" t="s">
        <v>450</v>
      </c>
      <c r="B39" s="39" t="str">
        <f aca="false">IF(INDEX(Prod_Nombre,7)="","Producto 7",INDEX(Prod_Nombre,7))&amp;" — ventas USD"</f>
        <v>Producto 7 — ventas USD</v>
      </c>
      <c r="C39" s="6" t="s">
        <v>212</v>
      </c>
      <c r="E39" s="40" t="n">
        <f aca="false">SUM(F39:ES39)</f>
        <v>0</v>
      </c>
      <c r="F39" s="34" t="n">
        <f aca="false">F$27*INDEX(Precio_O,7)*INDEX(IdxPrecio_O,1,MIN(10,F$17))*(1+P_dPrecio)</f>
        <v>0</v>
      </c>
      <c r="G39" s="34" t="n">
        <f aca="false">G$27*INDEX(Precio_O,7)*INDEX(IdxPrecio_O,1,MIN(10,G$17))*(1+P_dPrecio)</f>
        <v>0</v>
      </c>
      <c r="H39" s="34" t="n">
        <f aca="false">H$27*INDEX(Precio_O,7)*INDEX(IdxPrecio_O,1,MIN(10,H$17))*(1+P_dPrecio)</f>
        <v>0</v>
      </c>
      <c r="I39" s="34" t="n">
        <f aca="false">I$27*INDEX(Precio_O,7)*INDEX(IdxPrecio_O,1,MIN(10,I$17))*(1+P_dPrecio)</f>
        <v>0</v>
      </c>
      <c r="J39" s="34" t="n">
        <f aca="false">J$27*INDEX(Precio_O,7)*INDEX(IdxPrecio_O,1,MIN(10,J$17))*(1+P_dPrecio)</f>
        <v>0</v>
      </c>
      <c r="K39" s="34" t="n">
        <f aca="false">K$27*INDEX(Precio_O,7)*INDEX(IdxPrecio_O,1,MIN(10,K$17))*(1+P_dPrecio)</f>
        <v>0</v>
      </c>
      <c r="L39" s="34" t="n">
        <f aca="false">L$27*INDEX(Precio_O,7)*INDEX(IdxPrecio_O,1,MIN(10,L$17))*(1+P_dPrecio)</f>
        <v>0</v>
      </c>
      <c r="M39" s="34" t="n">
        <f aca="false">M$27*INDEX(Precio_O,7)*INDEX(IdxPrecio_O,1,MIN(10,M$17))*(1+P_dPrecio)</f>
        <v>0</v>
      </c>
      <c r="N39" s="34" t="n">
        <f aca="false">N$27*INDEX(Precio_O,7)*INDEX(IdxPrecio_O,1,MIN(10,N$17))*(1+P_dPrecio)</f>
        <v>0</v>
      </c>
      <c r="O39" s="34" t="n">
        <f aca="false">O$27*INDEX(Precio_O,7)*INDEX(IdxPrecio_O,1,MIN(10,O$17))*(1+P_dPrecio)</f>
        <v>0</v>
      </c>
      <c r="P39" s="34" t="n">
        <f aca="false">P$27*INDEX(Precio_O,7)*INDEX(IdxPrecio_O,1,MIN(10,P$17))*(1+P_dPrecio)</f>
        <v>0</v>
      </c>
      <c r="Q39" s="34" t="n">
        <f aca="false">Q$27*INDEX(Precio_O,7)*INDEX(IdxPrecio_O,1,MIN(10,Q$17))*(1+P_dPrecio)</f>
        <v>0</v>
      </c>
      <c r="R39" s="34" t="n">
        <f aca="false">R$27*INDEX(Precio_O,7)*INDEX(IdxPrecio_O,1,MIN(10,R$17))*(1+P_dPrecio)</f>
        <v>0</v>
      </c>
      <c r="S39" s="34" t="n">
        <f aca="false">S$27*INDEX(Precio_O,7)*INDEX(IdxPrecio_O,1,MIN(10,S$17))*(1+P_dPrecio)</f>
        <v>0</v>
      </c>
      <c r="T39" s="34" t="n">
        <f aca="false">T$27*INDEX(Precio_O,7)*INDEX(IdxPrecio_O,1,MIN(10,T$17))*(1+P_dPrecio)</f>
        <v>0</v>
      </c>
      <c r="U39" s="34" t="n">
        <f aca="false">U$27*INDEX(Precio_O,7)*INDEX(IdxPrecio_O,1,MIN(10,U$17))*(1+P_dPrecio)</f>
        <v>0</v>
      </c>
      <c r="V39" s="34" t="n">
        <f aca="false">V$27*INDEX(Precio_O,7)*INDEX(IdxPrecio_O,1,MIN(10,V$17))*(1+P_dPrecio)</f>
        <v>0</v>
      </c>
      <c r="W39" s="34" t="n">
        <f aca="false">W$27*INDEX(Precio_O,7)*INDEX(IdxPrecio_O,1,MIN(10,W$17))*(1+P_dPrecio)</f>
        <v>0</v>
      </c>
      <c r="X39" s="34" t="n">
        <f aca="false">X$27*INDEX(Precio_O,7)*INDEX(IdxPrecio_O,1,MIN(10,X$17))*(1+P_dPrecio)</f>
        <v>0</v>
      </c>
      <c r="Y39" s="34" t="n">
        <f aca="false">Y$27*INDEX(Precio_O,7)*INDEX(IdxPrecio_O,1,MIN(10,Y$17))*(1+P_dPrecio)</f>
        <v>0</v>
      </c>
      <c r="Z39" s="34" t="n">
        <f aca="false">Z$27*INDEX(Precio_O,7)*INDEX(IdxPrecio_O,1,MIN(10,Z$17))*(1+P_dPrecio)</f>
        <v>0</v>
      </c>
      <c r="AA39" s="34" t="n">
        <f aca="false">AA$27*INDEX(Precio_O,7)*INDEX(IdxPrecio_O,1,MIN(10,AA$17))*(1+P_dPrecio)</f>
        <v>0</v>
      </c>
      <c r="AB39" s="34" t="n">
        <f aca="false">AB$27*INDEX(Precio_O,7)*INDEX(IdxPrecio_O,1,MIN(10,AB$17))*(1+P_dPrecio)</f>
        <v>0</v>
      </c>
      <c r="AC39" s="34" t="n">
        <f aca="false">AC$27*INDEX(Precio_O,7)*INDEX(IdxPrecio_O,1,MIN(10,AC$17))*(1+P_dPrecio)</f>
        <v>0</v>
      </c>
      <c r="AD39" s="34" t="n">
        <f aca="false">AD$27*INDEX(Precio_O,7)*INDEX(IdxPrecio_O,1,MIN(10,AD$17))*(1+P_dPrecio)</f>
        <v>0</v>
      </c>
      <c r="AE39" s="34" t="n">
        <f aca="false">AE$27*INDEX(Precio_O,7)*INDEX(IdxPrecio_O,1,MIN(10,AE$17))*(1+P_dPrecio)</f>
        <v>0</v>
      </c>
      <c r="AF39" s="34" t="n">
        <f aca="false">AF$27*INDEX(Precio_O,7)*INDEX(IdxPrecio_O,1,MIN(10,AF$17))*(1+P_dPrecio)</f>
        <v>0</v>
      </c>
      <c r="AG39" s="34" t="n">
        <f aca="false">AG$27*INDEX(Precio_O,7)*INDEX(IdxPrecio_O,1,MIN(10,AG$17))*(1+P_dPrecio)</f>
        <v>0</v>
      </c>
      <c r="AH39" s="34" t="n">
        <f aca="false">AH$27*INDEX(Precio_O,7)*INDEX(IdxPrecio_O,1,MIN(10,AH$17))*(1+P_dPrecio)</f>
        <v>0</v>
      </c>
      <c r="AI39" s="34" t="n">
        <f aca="false">AI$27*INDEX(Precio_O,7)*INDEX(IdxPrecio_O,1,MIN(10,AI$17))*(1+P_dPrecio)</f>
        <v>0</v>
      </c>
      <c r="AJ39" s="34" t="n">
        <f aca="false">AJ$27*INDEX(Precio_O,7)*INDEX(IdxPrecio_O,1,MIN(10,AJ$17))*(1+P_dPrecio)</f>
        <v>0</v>
      </c>
      <c r="AK39" s="34" t="n">
        <f aca="false">AK$27*INDEX(Precio_O,7)*INDEX(IdxPrecio_O,1,MIN(10,AK$17))*(1+P_dPrecio)</f>
        <v>0</v>
      </c>
      <c r="AL39" s="34" t="n">
        <f aca="false">AL$27*INDEX(Precio_O,7)*INDEX(IdxPrecio_O,1,MIN(10,AL$17))*(1+P_dPrecio)</f>
        <v>0</v>
      </c>
      <c r="AM39" s="34" t="n">
        <f aca="false">AM$27*INDEX(Precio_O,7)*INDEX(IdxPrecio_O,1,MIN(10,AM$17))*(1+P_dPrecio)</f>
        <v>0</v>
      </c>
      <c r="AN39" s="34" t="n">
        <f aca="false">AN$27*INDEX(Precio_O,7)*INDEX(IdxPrecio_O,1,MIN(10,AN$17))*(1+P_dPrecio)</f>
        <v>0</v>
      </c>
      <c r="AO39" s="34" t="n">
        <f aca="false">AO$27*INDEX(Precio_O,7)*INDEX(IdxPrecio_O,1,MIN(10,AO$17))*(1+P_dPrecio)</f>
        <v>0</v>
      </c>
      <c r="AP39" s="34" t="n">
        <f aca="false">AP$27*INDEX(Precio_O,7)*INDEX(IdxPrecio_O,1,MIN(10,AP$17))*(1+P_dPrecio)</f>
        <v>0</v>
      </c>
      <c r="AQ39" s="34" t="n">
        <f aca="false">AQ$27*INDEX(Precio_O,7)*INDEX(IdxPrecio_O,1,MIN(10,AQ$17))*(1+P_dPrecio)</f>
        <v>0</v>
      </c>
      <c r="AR39" s="34" t="n">
        <f aca="false">AR$27*INDEX(Precio_O,7)*INDEX(IdxPrecio_O,1,MIN(10,AR$17))*(1+P_dPrecio)</f>
        <v>0</v>
      </c>
      <c r="AS39" s="34" t="n">
        <f aca="false">AS$27*INDEX(Precio_O,7)*INDEX(IdxPrecio_O,1,MIN(10,AS$17))*(1+P_dPrecio)</f>
        <v>0</v>
      </c>
      <c r="AT39" s="34" t="n">
        <f aca="false">AT$27*INDEX(Precio_O,7)*INDEX(IdxPrecio_O,1,MIN(10,AT$17))*(1+P_dPrecio)</f>
        <v>0</v>
      </c>
      <c r="AU39" s="34" t="n">
        <f aca="false">AU$27*INDEX(Precio_O,7)*INDEX(IdxPrecio_O,1,MIN(10,AU$17))*(1+P_dPrecio)</f>
        <v>0</v>
      </c>
      <c r="AV39" s="34" t="n">
        <f aca="false">AV$27*INDEX(Precio_O,7)*INDEX(IdxPrecio_O,1,MIN(10,AV$17))*(1+P_dPrecio)</f>
        <v>0</v>
      </c>
      <c r="AW39" s="34" t="n">
        <f aca="false">AW$27*INDEX(Precio_O,7)*INDEX(IdxPrecio_O,1,MIN(10,AW$17))*(1+P_dPrecio)</f>
        <v>0</v>
      </c>
      <c r="AX39" s="34" t="n">
        <f aca="false">AX$27*INDEX(Precio_O,7)*INDEX(IdxPrecio_O,1,MIN(10,AX$17))*(1+P_dPrecio)</f>
        <v>0</v>
      </c>
      <c r="AY39" s="34" t="n">
        <f aca="false">AY$27*INDEX(Precio_O,7)*INDEX(IdxPrecio_O,1,MIN(10,AY$17))*(1+P_dPrecio)</f>
        <v>0</v>
      </c>
      <c r="AZ39" s="34" t="n">
        <f aca="false">AZ$27*INDEX(Precio_O,7)*INDEX(IdxPrecio_O,1,MIN(10,AZ$17))*(1+P_dPrecio)</f>
        <v>0</v>
      </c>
      <c r="BA39" s="34" t="n">
        <f aca="false">BA$27*INDEX(Precio_O,7)*INDEX(IdxPrecio_O,1,MIN(10,BA$17))*(1+P_dPrecio)</f>
        <v>0</v>
      </c>
      <c r="BB39" s="34" t="n">
        <f aca="false">BB$27*INDEX(Precio_O,7)*INDEX(IdxPrecio_O,1,MIN(10,BB$17))*(1+P_dPrecio)</f>
        <v>0</v>
      </c>
      <c r="BC39" s="34" t="n">
        <f aca="false">BC$27*INDEX(Precio_O,7)*INDEX(IdxPrecio_O,1,MIN(10,BC$17))*(1+P_dPrecio)</f>
        <v>0</v>
      </c>
      <c r="BD39" s="34" t="n">
        <f aca="false">BD$27*INDEX(Precio_O,7)*INDEX(IdxPrecio_O,1,MIN(10,BD$17))*(1+P_dPrecio)</f>
        <v>0</v>
      </c>
      <c r="BE39" s="34" t="n">
        <f aca="false">BE$27*INDEX(Precio_O,7)*INDEX(IdxPrecio_O,1,MIN(10,BE$17))*(1+P_dPrecio)</f>
        <v>0</v>
      </c>
      <c r="BF39" s="34" t="n">
        <f aca="false">BF$27*INDEX(Precio_O,7)*INDEX(IdxPrecio_O,1,MIN(10,BF$17))*(1+P_dPrecio)</f>
        <v>0</v>
      </c>
      <c r="BG39" s="34" t="n">
        <f aca="false">BG$27*INDEX(Precio_O,7)*INDEX(IdxPrecio_O,1,MIN(10,BG$17))*(1+P_dPrecio)</f>
        <v>0</v>
      </c>
      <c r="BH39" s="34" t="n">
        <f aca="false">BH$27*INDEX(Precio_O,7)*INDEX(IdxPrecio_O,1,MIN(10,BH$17))*(1+P_dPrecio)</f>
        <v>0</v>
      </c>
      <c r="BI39" s="34" t="n">
        <f aca="false">BI$27*INDEX(Precio_O,7)*INDEX(IdxPrecio_O,1,MIN(10,BI$17))*(1+P_dPrecio)</f>
        <v>0</v>
      </c>
      <c r="BJ39" s="34" t="n">
        <f aca="false">BJ$27*INDEX(Precio_O,7)*INDEX(IdxPrecio_O,1,MIN(10,BJ$17))*(1+P_dPrecio)</f>
        <v>0</v>
      </c>
      <c r="BK39" s="34" t="n">
        <f aca="false">BK$27*INDEX(Precio_O,7)*INDEX(IdxPrecio_O,1,MIN(10,BK$17))*(1+P_dPrecio)</f>
        <v>0</v>
      </c>
      <c r="BL39" s="34" t="n">
        <f aca="false">BL$27*INDEX(Precio_O,7)*INDEX(IdxPrecio_O,1,MIN(10,BL$17))*(1+P_dPrecio)</f>
        <v>0</v>
      </c>
      <c r="BM39" s="34" t="n">
        <f aca="false">BM$27*INDEX(Precio_O,7)*INDEX(IdxPrecio_O,1,MIN(10,BM$17))*(1+P_dPrecio)</f>
        <v>0</v>
      </c>
      <c r="BN39" s="34" t="n">
        <f aca="false">BN$27*INDEX(Precio_O,7)*INDEX(IdxPrecio_O,1,MIN(10,BN$17))*(1+P_dPrecio)</f>
        <v>0</v>
      </c>
      <c r="BO39" s="34" t="n">
        <f aca="false">BO$27*INDEX(Precio_O,7)*INDEX(IdxPrecio_O,1,MIN(10,BO$17))*(1+P_dPrecio)</f>
        <v>0</v>
      </c>
      <c r="BP39" s="34" t="n">
        <f aca="false">BP$27*INDEX(Precio_O,7)*INDEX(IdxPrecio_O,1,MIN(10,BP$17))*(1+P_dPrecio)</f>
        <v>0</v>
      </c>
      <c r="BQ39" s="34" t="n">
        <f aca="false">BQ$27*INDEX(Precio_O,7)*INDEX(IdxPrecio_O,1,MIN(10,BQ$17))*(1+P_dPrecio)</f>
        <v>0</v>
      </c>
      <c r="BR39" s="34" t="n">
        <f aca="false">BR$27*INDEX(Precio_O,7)*INDEX(IdxPrecio_O,1,MIN(10,BR$17))*(1+P_dPrecio)</f>
        <v>0</v>
      </c>
      <c r="BS39" s="34" t="n">
        <f aca="false">BS$27*INDEX(Precio_O,7)*INDEX(IdxPrecio_O,1,MIN(10,BS$17))*(1+P_dPrecio)</f>
        <v>0</v>
      </c>
      <c r="BT39" s="34" t="n">
        <f aca="false">BT$27*INDEX(Precio_O,7)*INDEX(IdxPrecio_O,1,MIN(10,BT$17))*(1+P_dPrecio)</f>
        <v>0</v>
      </c>
      <c r="BU39" s="34" t="n">
        <f aca="false">BU$27*INDEX(Precio_O,7)*INDEX(IdxPrecio_O,1,MIN(10,BU$17))*(1+P_dPrecio)</f>
        <v>0</v>
      </c>
      <c r="BV39" s="34" t="n">
        <f aca="false">BV$27*INDEX(Precio_O,7)*INDEX(IdxPrecio_O,1,MIN(10,BV$17))*(1+P_dPrecio)</f>
        <v>0</v>
      </c>
      <c r="BW39" s="34" t="n">
        <f aca="false">BW$27*INDEX(Precio_O,7)*INDEX(IdxPrecio_O,1,MIN(10,BW$17))*(1+P_dPrecio)</f>
        <v>0</v>
      </c>
      <c r="BX39" s="34" t="n">
        <f aca="false">BX$27*INDEX(Precio_O,7)*INDEX(IdxPrecio_O,1,MIN(10,BX$17))*(1+P_dPrecio)</f>
        <v>0</v>
      </c>
      <c r="BY39" s="34" t="n">
        <f aca="false">BY$27*INDEX(Precio_O,7)*INDEX(IdxPrecio_O,1,MIN(10,BY$17))*(1+P_dPrecio)</f>
        <v>0</v>
      </c>
      <c r="BZ39" s="34" t="n">
        <f aca="false">BZ$27*INDEX(Precio_O,7)*INDEX(IdxPrecio_O,1,MIN(10,BZ$17))*(1+P_dPrecio)</f>
        <v>0</v>
      </c>
      <c r="CA39" s="34" t="n">
        <f aca="false">CA$27*INDEX(Precio_O,7)*INDEX(IdxPrecio_O,1,MIN(10,CA$17))*(1+P_dPrecio)</f>
        <v>0</v>
      </c>
      <c r="CB39" s="34" t="n">
        <f aca="false">CB$27*INDEX(Precio_O,7)*INDEX(IdxPrecio_O,1,MIN(10,CB$17))*(1+P_dPrecio)</f>
        <v>0</v>
      </c>
      <c r="CC39" s="34" t="n">
        <f aca="false">CC$27*INDEX(Precio_O,7)*INDEX(IdxPrecio_O,1,MIN(10,CC$17))*(1+P_dPrecio)</f>
        <v>0</v>
      </c>
      <c r="CD39" s="34" t="n">
        <f aca="false">CD$27*INDEX(Precio_O,7)*INDEX(IdxPrecio_O,1,MIN(10,CD$17))*(1+P_dPrecio)</f>
        <v>0</v>
      </c>
      <c r="CE39" s="34" t="n">
        <f aca="false">CE$27*INDEX(Precio_O,7)*INDEX(IdxPrecio_O,1,MIN(10,CE$17))*(1+P_dPrecio)</f>
        <v>0</v>
      </c>
      <c r="CF39" s="34" t="n">
        <f aca="false">CF$27*INDEX(Precio_O,7)*INDEX(IdxPrecio_O,1,MIN(10,CF$17))*(1+P_dPrecio)</f>
        <v>0</v>
      </c>
      <c r="CG39" s="34" t="n">
        <f aca="false">CG$27*INDEX(Precio_O,7)*INDEX(IdxPrecio_O,1,MIN(10,CG$17))*(1+P_dPrecio)</f>
        <v>0</v>
      </c>
      <c r="CH39" s="34" t="n">
        <f aca="false">CH$27*INDEX(Precio_O,7)*INDEX(IdxPrecio_O,1,MIN(10,CH$17))*(1+P_dPrecio)</f>
        <v>0</v>
      </c>
      <c r="CI39" s="34" t="n">
        <f aca="false">CI$27*INDEX(Precio_O,7)*INDEX(IdxPrecio_O,1,MIN(10,CI$17))*(1+P_dPrecio)</f>
        <v>0</v>
      </c>
      <c r="CJ39" s="34" t="n">
        <f aca="false">CJ$27*INDEX(Precio_O,7)*INDEX(IdxPrecio_O,1,MIN(10,CJ$17))*(1+P_dPrecio)</f>
        <v>0</v>
      </c>
      <c r="CK39" s="34" t="n">
        <f aca="false">CK$27*INDEX(Precio_O,7)*INDEX(IdxPrecio_O,1,MIN(10,CK$17))*(1+P_dPrecio)</f>
        <v>0</v>
      </c>
      <c r="CL39" s="34" t="n">
        <f aca="false">CL$27*INDEX(Precio_O,7)*INDEX(IdxPrecio_O,1,MIN(10,CL$17))*(1+P_dPrecio)</f>
        <v>0</v>
      </c>
      <c r="CM39" s="34" t="n">
        <f aca="false">CM$27*INDEX(Precio_O,7)*INDEX(IdxPrecio_O,1,MIN(10,CM$17))*(1+P_dPrecio)</f>
        <v>0</v>
      </c>
      <c r="CN39" s="34" t="n">
        <f aca="false">CN$27*INDEX(Precio_O,7)*INDEX(IdxPrecio_O,1,MIN(10,CN$17))*(1+P_dPrecio)</f>
        <v>0</v>
      </c>
      <c r="CO39" s="34" t="n">
        <f aca="false">CO$27*INDEX(Precio_O,7)*INDEX(IdxPrecio_O,1,MIN(10,CO$17))*(1+P_dPrecio)</f>
        <v>0</v>
      </c>
      <c r="CP39" s="34" t="n">
        <f aca="false">CP$27*INDEX(Precio_O,7)*INDEX(IdxPrecio_O,1,MIN(10,CP$17))*(1+P_dPrecio)</f>
        <v>0</v>
      </c>
      <c r="CQ39" s="34" t="n">
        <f aca="false">CQ$27*INDEX(Precio_O,7)*INDEX(IdxPrecio_O,1,MIN(10,CQ$17))*(1+P_dPrecio)</f>
        <v>0</v>
      </c>
      <c r="CR39" s="34" t="n">
        <f aca="false">CR$27*INDEX(Precio_O,7)*INDEX(IdxPrecio_O,1,MIN(10,CR$17))*(1+P_dPrecio)</f>
        <v>0</v>
      </c>
      <c r="CS39" s="34" t="n">
        <f aca="false">CS$27*INDEX(Precio_O,7)*INDEX(IdxPrecio_O,1,MIN(10,CS$17))*(1+P_dPrecio)</f>
        <v>0</v>
      </c>
      <c r="CT39" s="34" t="n">
        <f aca="false">CT$27*INDEX(Precio_O,7)*INDEX(IdxPrecio_O,1,MIN(10,CT$17))*(1+P_dPrecio)</f>
        <v>0</v>
      </c>
      <c r="CU39" s="34" t="n">
        <f aca="false">CU$27*INDEX(Precio_O,7)*INDEX(IdxPrecio_O,1,MIN(10,CU$17))*(1+P_dPrecio)</f>
        <v>0</v>
      </c>
      <c r="CV39" s="34" t="n">
        <f aca="false">CV$27*INDEX(Precio_O,7)*INDEX(IdxPrecio_O,1,MIN(10,CV$17))*(1+P_dPrecio)</f>
        <v>0</v>
      </c>
      <c r="CW39" s="34" t="n">
        <f aca="false">CW$27*INDEX(Precio_O,7)*INDEX(IdxPrecio_O,1,MIN(10,CW$17))*(1+P_dPrecio)</f>
        <v>0</v>
      </c>
      <c r="CX39" s="34" t="n">
        <f aca="false">CX$27*INDEX(Precio_O,7)*INDEX(IdxPrecio_O,1,MIN(10,CX$17))*(1+P_dPrecio)</f>
        <v>0</v>
      </c>
      <c r="CY39" s="34" t="n">
        <f aca="false">CY$27*INDEX(Precio_O,7)*INDEX(IdxPrecio_O,1,MIN(10,CY$17))*(1+P_dPrecio)</f>
        <v>0</v>
      </c>
      <c r="CZ39" s="34" t="n">
        <f aca="false">CZ$27*INDEX(Precio_O,7)*INDEX(IdxPrecio_O,1,MIN(10,CZ$17))*(1+P_dPrecio)</f>
        <v>0</v>
      </c>
      <c r="DA39" s="34" t="n">
        <f aca="false">DA$27*INDEX(Precio_O,7)*INDEX(IdxPrecio_O,1,MIN(10,DA$17))*(1+P_dPrecio)</f>
        <v>0</v>
      </c>
      <c r="DB39" s="34" t="n">
        <f aca="false">DB$27*INDEX(Precio_O,7)*INDEX(IdxPrecio_O,1,MIN(10,DB$17))*(1+P_dPrecio)</f>
        <v>0</v>
      </c>
      <c r="DC39" s="34" t="n">
        <f aca="false">DC$27*INDEX(Precio_O,7)*INDEX(IdxPrecio_O,1,MIN(10,DC$17))*(1+P_dPrecio)</f>
        <v>0</v>
      </c>
      <c r="DD39" s="34" t="n">
        <f aca="false">DD$27*INDEX(Precio_O,7)*INDEX(IdxPrecio_O,1,MIN(10,DD$17))*(1+P_dPrecio)</f>
        <v>0</v>
      </c>
      <c r="DE39" s="34" t="n">
        <f aca="false">DE$27*INDEX(Precio_O,7)*INDEX(IdxPrecio_O,1,MIN(10,DE$17))*(1+P_dPrecio)</f>
        <v>0</v>
      </c>
      <c r="DF39" s="34" t="n">
        <f aca="false">DF$27*INDEX(Precio_O,7)*INDEX(IdxPrecio_O,1,MIN(10,DF$17))*(1+P_dPrecio)</f>
        <v>0</v>
      </c>
      <c r="DG39" s="34" t="n">
        <f aca="false">DG$27*INDEX(Precio_O,7)*INDEX(IdxPrecio_O,1,MIN(10,DG$17))*(1+P_dPrecio)</f>
        <v>0</v>
      </c>
      <c r="DH39" s="34" t="n">
        <f aca="false">DH$27*INDEX(Precio_O,7)*INDEX(IdxPrecio_O,1,MIN(10,DH$17))*(1+P_dPrecio)</f>
        <v>0</v>
      </c>
      <c r="DI39" s="34" t="n">
        <f aca="false">DI$27*INDEX(Precio_O,7)*INDEX(IdxPrecio_O,1,MIN(10,DI$17))*(1+P_dPrecio)</f>
        <v>0</v>
      </c>
      <c r="DJ39" s="34" t="n">
        <f aca="false">DJ$27*INDEX(Precio_O,7)*INDEX(IdxPrecio_O,1,MIN(10,DJ$17))*(1+P_dPrecio)</f>
        <v>0</v>
      </c>
      <c r="DK39" s="34" t="n">
        <f aca="false">DK$27*INDEX(Precio_O,7)*INDEX(IdxPrecio_O,1,MIN(10,DK$17))*(1+P_dPrecio)</f>
        <v>0</v>
      </c>
      <c r="DL39" s="34" t="n">
        <f aca="false">DL$27*INDEX(Precio_O,7)*INDEX(IdxPrecio_O,1,MIN(10,DL$17))*(1+P_dPrecio)</f>
        <v>0</v>
      </c>
      <c r="DM39" s="34" t="n">
        <f aca="false">DM$27*INDEX(Precio_O,7)*INDEX(IdxPrecio_O,1,MIN(10,DM$17))*(1+P_dPrecio)</f>
        <v>0</v>
      </c>
      <c r="DN39" s="34" t="n">
        <f aca="false">DN$27*INDEX(Precio_O,7)*INDEX(IdxPrecio_O,1,MIN(10,DN$17))*(1+P_dPrecio)</f>
        <v>0</v>
      </c>
      <c r="DO39" s="34" t="n">
        <f aca="false">DO$27*INDEX(Precio_O,7)*INDEX(IdxPrecio_O,1,MIN(10,DO$17))*(1+P_dPrecio)</f>
        <v>0</v>
      </c>
      <c r="DP39" s="34" t="n">
        <f aca="false">DP$27*INDEX(Precio_O,7)*INDEX(IdxPrecio_O,1,MIN(10,DP$17))*(1+P_dPrecio)</f>
        <v>0</v>
      </c>
      <c r="DQ39" s="34" t="n">
        <f aca="false">DQ$27*INDEX(Precio_O,7)*INDEX(IdxPrecio_O,1,MIN(10,DQ$17))*(1+P_dPrecio)</f>
        <v>0</v>
      </c>
      <c r="DR39" s="34" t="n">
        <f aca="false">DR$27*INDEX(Precio_O,7)*INDEX(IdxPrecio_O,1,MIN(10,DR$17))*(1+P_dPrecio)</f>
        <v>0</v>
      </c>
      <c r="DS39" s="34" t="n">
        <f aca="false">DS$27*INDEX(Precio_O,7)*INDEX(IdxPrecio_O,1,MIN(10,DS$17))*(1+P_dPrecio)</f>
        <v>0</v>
      </c>
      <c r="DT39" s="34" t="n">
        <f aca="false">DT$27*INDEX(Precio_O,7)*INDEX(IdxPrecio_O,1,MIN(10,DT$17))*(1+P_dPrecio)</f>
        <v>0</v>
      </c>
      <c r="DU39" s="34" t="n">
        <f aca="false">DU$27*INDEX(Precio_O,7)*INDEX(IdxPrecio_O,1,MIN(10,DU$17))*(1+P_dPrecio)</f>
        <v>0</v>
      </c>
      <c r="DV39" s="34" t="n">
        <f aca="false">DV$27*INDEX(Precio_O,7)*INDEX(IdxPrecio_O,1,MIN(10,DV$17))*(1+P_dPrecio)</f>
        <v>0</v>
      </c>
      <c r="DW39" s="34" t="n">
        <f aca="false">DW$27*INDEX(Precio_O,7)*INDEX(IdxPrecio_O,1,MIN(10,DW$17))*(1+P_dPrecio)</f>
        <v>0</v>
      </c>
      <c r="DX39" s="34" t="n">
        <f aca="false">DX$27*INDEX(Precio_O,7)*INDEX(IdxPrecio_O,1,MIN(10,DX$17))*(1+P_dPrecio)</f>
        <v>0</v>
      </c>
      <c r="DY39" s="34" t="n">
        <f aca="false">DY$27*INDEX(Precio_O,7)*INDEX(IdxPrecio_O,1,MIN(10,DY$17))*(1+P_dPrecio)</f>
        <v>0</v>
      </c>
      <c r="DZ39" s="34" t="n">
        <f aca="false">DZ$27*INDEX(Precio_O,7)*INDEX(IdxPrecio_O,1,MIN(10,DZ$17))*(1+P_dPrecio)</f>
        <v>0</v>
      </c>
      <c r="EA39" s="34" t="n">
        <f aca="false">EA$27*INDEX(Precio_O,7)*INDEX(IdxPrecio_O,1,MIN(10,EA$17))*(1+P_dPrecio)</f>
        <v>0</v>
      </c>
      <c r="EB39" s="34" t="n">
        <f aca="false">EB$27*INDEX(Precio_O,7)*INDEX(IdxPrecio_O,1,MIN(10,EB$17))*(1+P_dPrecio)</f>
        <v>0</v>
      </c>
      <c r="EC39" s="34" t="n">
        <f aca="false">EC$27*INDEX(Precio_O,7)*INDEX(IdxPrecio_O,1,MIN(10,EC$17))*(1+P_dPrecio)</f>
        <v>0</v>
      </c>
      <c r="ED39" s="34" t="n">
        <f aca="false">ED$27*INDEX(Precio_O,7)*INDEX(IdxPrecio_O,1,MIN(10,ED$17))*(1+P_dPrecio)</f>
        <v>0</v>
      </c>
      <c r="EE39" s="34" t="n">
        <f aca="false">EE$27*INDEX(Precio_O,7)*INDEX(IdxPrecio_O,1,MIN(10,EE$17))*(1+P_dPrecio)</f>
        <v>0</v>
      </c>
      <c r="EF39" s="34" t="n">
        <f aca="false">EF$27*INDEX(Precio_O,7)*INDEX(IdxPrecio_O,1,MIN(10,EF$17))*(1+P_dPrecio)</f>
        <v>0</v>
      </c>
      <c r="EG39" s="34" t="n">
        <f aca="false">EG$27*INDEX(Precio_O,7)*INDEX(IdxPrecio_O,1,MIN(10,EG$17))*(1+P_dPrecio)</f>
        <v>0</v>
      </c>
      <c r="EH39" s="34" t="n">
        <f aca="false">EH$27*INDEX(Precio_O,7)*INDEX(IdxPrecio_O,1,MIN(10,EH$17))*(1+P_dPrecio)</f>
        <v>0</v>
      </c>
      <c r="EI39" s="34" t="n">
        <f aca="false">EI$27*INDEX(Precio_O,7)*INDEX(IdxPrecio_O,1,MIN(10,EI$17))*(1+P_dPrecio)</f>
        <v>0</v>
      </c>
      <c r="EJ39" s="34" t="n">
        <f aca="false">EJ$27*INDEX(Precio_O,7)*INDEX(IdxPrecio_O,1,MIN(10,EJ$17))*(1+P_dPrecio)</f>
        <v>0</v>
      </c>
      <c r="EK39" s="34" t="n">
        <f aca="false">EK$27*INDEX(Precio_O,7)*INDEX(IdxPrecio_O,1,MIN(10,EK$17))*(1+P_dPrecio)</f>
        <v>0</v>
      </c>
      <c r="EL39" s="34" t="n">
        <f aca="false">EL$27*INDEX(Precio_O,7)*INDEX(IdxPrecio_O,1,MIN(10,EL$17))*(1+P_dPrecio)</f>
        <v>0</v>
      </c>
      <c r="EM39" s="34" t="n">
        <f aca="false">EM$27*INDEX(Precio_O,7)*INDEX(IdxPrecio_O,1,MIN(10,EM$17))*(1+P_dPrecio)</f>
        <v>0</v>
      </c>
      <c r="EN39" s="34" t="n">
        <f aca="false">EN$27*INDEX(Precio_O,7)*INDEX(IdxPrecio_O,1,MIN(10,EN$17))*(1+P_dPrecio)</f>
        <v>0</v>
      </c>
      <c r="EO39" s="34" t="n">
        <f aca="false">EO$27*INDEX(Precio_O,7)*INDEX(IdxPrecio_O,1,MIN(10,EO$17))*(1+P_dPrecio)</f>
        <v>0</v>
      </c>
      <c r="EP39" s="34" t="n">
        <f aca="false">EP$27*INDEX(Precio_O,7)*INDEX(IdxPrecio_O,1,MIN(10,EP$17))*(1+P_dPrecio)</f>
        <v>0</v>
      </c>
      <c r="EQ39" s="34" t="n">
        <f aca="false">EQ$27*INDEX(Precio_O,7)*INDEX(IdxPrecio_O,1,MIN(10,EQ$17))*(1+P_dPrecio)</f>
        <v>0</v>
      </c>
      <c r="ER39" s="34" t="n">
        <f aca="false">ER$27*INDEX(Precio_O,7)*INDEX(IdxPrecio_O,1,MIN(10,ER$17))*(1+P_dPrecio)</f>
        <v>0</v>
      </c>
      <c r="ES39" s="34" t="n">
        <f aca="false">ES$27*INDEX(Precio_O,7)*INDEX(IdxPrecio_O,1,MIN(10,ES$17))*(1+P_dPrecio)</f>
        <v>0</v>
      </c>
    </row>
    <row r="40" customFormat="false" ht="15" hidden="false" customHeight="false" outlineLevel="0" collapsed="false">
      <c r="A40" s="2" t="s">
        <v>451</v>
      </c>
      <c r="B40" s="39" t="str">
        <f aca="false">IF(INDEX(Prod_Nombre,8)="","Producto 8",INDEX(Prod_Nombre,8))&amp;" — ventas USD"</f>
        <v>Producto 8 — ventas USD</v>
      </c>
      <c r="C40" s="6" t="s">
        <v>212</v>
      </c>
      <c r="E40" s="40" t="n">
        <f aca="false">SUM(F40:ES40)</f>
        <v>0</v>
      </c>
      <c r="F40" s="34" t="n">
        <f aca="false">F$28*INDEX(Precio_O,8)*INDEX(IdxPrecio_O,1,MIN(10,F$17))*(1+P_dPrecio)</f>
        <v>0</v>
      </c>
      <c r="G40" s="34" t="n">
        <f aca="false">G$28*INDEX(Precio_O,8)*INDEX(IdxPrecio_O,1,MIN(10,G$17))*(1+P_dPrecio)</f>
        <v>0</v>
      </c>
      <c r="H40" s="34" t="n">
        <f aca="false">H$28*INDEX(Precio_O,8)*INDEX(IdxPrecio_O,1,MIN(10,H$17))*(1+P_dPrecio)</f>
        <v>0</v>
      </c>
      <c r="I40" s="34" t="n">
        <f aca="false">I$28*INDEX(Precio_O,8)*INDEX(IdxPrecio_O,1,MIN(10,I$17))*(1+P_dPrecio)</f>
        <v>0</v>
      </c>
      <c r="J40" s="34" t="n">
        <f aca="false">J$28*INDEX(Precio_O,8)*INDEX(IdxPrecio_O,1,MIN(10,J$17))*(1+P_dPrecio)</f>
        <v>0</v>
      </c>
      <c r="K40" s="34" t="n">
        <f aca="false">K$28*INDEX(Precio_O,8)*INDEX(IdxPrecio_O,1,MIN(10,K$17))*(1+P_dPrecio)</f>
        <v>0</v>
      </c>
      <c r="L40" s="34" t="n">
        <f aca="false">L$28*INDEX(Precio_O,8)*INDEX(IdxPrecio_O,1,MIN(10,L$17))*(1+P_dPrecio)</f>
        <v>0</v>
      </c>
      <c r="M40" s="34" t="n">
        <f aca="false">M$28*INDEX(Precio_O,8)*INDEX(IdxPrecio_O,1,MIN(10,M$17))*(1+P_dPrecio)</f>
        <v>0</v>
      </c>
      <c r="N40" s="34" t="n">
        <f aca="false">N$28*INDEX(Precio_O,8)*INDEX(IdxPrecio_O,1,MIN(10,N$17))*(1+P_dPrecio)</f>
        <v>0</v>
      </c>
      <c r="O40" s="34" t="n">
        <f aca="false">O$28*INDEX(Precio_O,8)*INDEX(IdxPrecio_O,1,MIN(10,O$17))*(1+P_dPrecio)</f>
        <v>0</v>
      </c>
      <c r="P40" s="34" t="n">
        <f aca="false">P$28*INDEX(Precio_O,8)*INDEX(IdxPrecio_O,1,MIN(10,P$17))*(1+P_dPrecio)</f>
        <v>0</v>
      </c>
      <c r="Q40" s="34" t="n">
        <f aca="false">Q$28*INDEX(Precio_O,8)*INDEX(IdxPrecio_O,1,MIN(10,Q$17))*(1+P_dPrecio)</f>
        <v>0</v>
      </c>
      <c r="R40" s="34" t="n">
        <f aca="false">R$28*INDEX(Precio_O,8)*INDEX(IdxPrecio_O,1,MIN(10,R$17))*(1+P_dPrecio)</f>
        <v>0</v>
      </c>
      <c r="S40" s="34" t="n">
        <f aca="false">S$28*INDEX(Precio_O,8)*INDEX(IdxPrecio_O,1,MIN(10,S$17))*(1+P_dPrecio)</f>
        <v>0</v>
      </c>
      <c r="T40" s="34" t="n">
        <f aca="false">T$28*INDEX(Precio_O,8)*INDEX(IdxPrecio_O,1,MIN(10,T$17))*(1+P_dPrecio)</f>
        <v>0</v>
      </c>
      <c r="U40" s="34" t="n">
        <f aca="false">U$28*INDEX(Precio_O,8)*INDEX(IdxPrecio_O,1,MIN(10,U$17))*(1+P_dPrecio)</f>
        <v>0</v>
      </c>
      <c r="V40" s="34" t="n">
        <f aca="false">V$28*INDEX(Precio_O,8)*INDEX(IdxPrecio_O,1,MIN(10,V$17))*(1+P_dPrecio)</f>
        <v>0</v>
      </c>
      <c r="W40" s="34" t="n">
        <f aca="false">W$28*INDEX(Precio_O,8)*INDEX(IdxPrecio_O,1,MIN(10,W$17))*(1+P_dPrecio)</f>
        <v>0</v>
      </c>
      <c r="X40" s="34" t="n">
        <f aca="false">X$28*INDEX(Precio_O,8)*INDEX(IdxPrecio_O,1,MIN(10,X$17))*(1+P_dPrecio)</f>
        <v>0</v>
      </c>
      <c r="Y40" s="34" t="n">
        <f aca="false">Y$28*INDEX(Precio_O,8)*INDEX(IdxPrecio_O,1,MIN(10,Y$17))*(1+P_dPrecio)</f>
        <v>0</v>
      </c>
      <c r="Z40" s="34" t="n">
        <f aca="false">Z$28*INDEX(Precio_O,8)*INDEX(IdxPrecio_O,1,MIN(10,Z$17))*(1+P_dPrecio)</f>
        <v>0</v>
      </c>
      <c r="AA40" s="34" t="n">
        <f aca="false">AA$28*INDEX(Precio_O,8)*INDEX(IdxPrecio_O,1,MIN(10,AA$17))*(1+P_dPrecio)</f>
        <v>0</v>
      </c>
      <c r="AB40" s="34" t="n">
        <f aca="false">AB$28*INDEX(Precio_O,8)*INDEX(IdxPrecio_O,1,MIN(10,AB$17))*(1+P_dPrecio)</f>
        <v>0</v>
      </c>
      <c r="AC40" s="34" t="n">
        <f aca="false">AC$28*INDEX(Precio_O,8)*INDEX(IdxPrecio_O,1,MIN(10,AC$17))*(1+P_dPrecio)</f>
        <v>0</v>
      </c>
      <c r="AD40" s="34" t="n">
        <f aca="false">AD$28*INDEX(Precio_O,8)*INDEX(IdxPrecio_O,1,MIN(10,AD$17))*(1+P_dPrecio)</f>
        <v>0</v>
      </c>
      <c r="AE40" s="34" t="n">
        <f aca="false">AE$28*INDEX(Precio_O,8)*INDEX(IdxPrecio_O,1,MIN(10,AE$17))*(1+P_dPrecio)</f>
        <v>0</v>
      </c>
      <c r="AF40" s="34" t="n">
        <f aca="false">AF$28*INDEX(Precio_O,8)*INDEX(IdxPrecio_O,1,MIN(10,AF$17))*(1+P_dPrecio)</f>
        <v>0</v>
      </c>
      <c r="AG40" s="34" t="n">
        <f aca="false">AG$28*INDEX(Precio_O,8)*INDEX(IdxPrecio_O,1,MIN(10,AG$17))*(1+P_dPrecio)</f>
        <v>0</v>
      </c>
      <c r="AH40" s="34" t="n">
        <f aca="false">AH$28*INDEX(Precio_O,8)*INDEX(IdxPrecio_O,1,MIN(10,AH$17))*(1+P_dPrecio)</f>
        <v>0</v>
      </c>
      <c r="AI40" s="34" t="n">
        <f aca="false">AI$28*INDEX(Precio_O,8)*INDEX(IdxPrecio_O,1,MIN(10,AI$17))*(1+P_dPrecio)</f>
        <v>0</v>
      </c>
      <c r="AJ40" s="34" t="n">
        <f aca="false">AJ$28*INDEX(Precio_O,8)*INDEX(IdxPrecio_O,1,MIN(10,AJ$17))*(1+P_dPrecio)</f>
        <v>0</v>
      </c>
      <c r="AK40" s="34" t="n">
        <f aca="false">AK$28*INDEX(Precio_O,8)*INDEX(IdxPrecio_O,1,MIN(10,AK$17))*(1+P_dPrecio)</f>
        <v>0</v>
      </c>
      <c r="AL40" s="34" t="n">
        <f aca="false">AL$28*INDEX(Precio_O,8)*INDEX(IdxPrecio_O,1,MIN(10,AL$17))*(1+P_dPrecio)</f>
        <v>0</v>
      </c>
      <c r="AM40" s="34" t="n">
        <f aca="false">AM$28*INDEX(Precio_O,8)*INDEX(IdxPrecio_O,1,MIN(10,AM$17))*(1+P_dPrecio)</f>
        <v>0</v>
      </c>
      <c r="AN40" s="34" t="n">
        <f aca="false">AN$28*INDEX(Precio_O,8)*INDEX(IdxPrecio_O,1,MIN(10,AN$17))*(1+P_dPrecio)</f>
        <v>0</v>
      </c>
      <c r="AO40" s="34" t="n">
        <f aca="false">AO$28*INDEX(Precio_O,8)*INDEX(IdxPrecio_O,1,MIN(10,AO$17))*(1+P_dPrecio)</f>
        <v>0</v>
      </c>
      <c r="AP40" s="34" t="n">
        <f aca="false">AP$28*INDEX(Precio_O,8)*INDEX(IdxPrecio_O,1,MIN(10,AP$17))*(1+P_dPrecio)</f>
        <v>0</v>
      </c>
      <c r="AQ40" s="34" t="n">
        <f aca="false">AQ$28*INDEX(Precio_O,8)*INDEX(IdxPrecio_O,1,MIN(10,AQ$17))*(1+P_dPrecio)</f>
        <v>0</v>
      </c>
      <c r="AR40" s="34" t="n">
        <f aca="false">AR$28*INDEX(Precio_O,8)*INDEX(IdxPrecio_O,1,MIN(10,AR$17))*(1+P_dPrecio)</f>
        <v>0</v>
      </c>
      <c r="AS40" s="34" t="n">
        <f aca="false">AS$28*INDEX(Precio_O,8)*INDEX(IdxPrecio_O,1,MIN(10,AS$17))*(1+P_dPrecio)</f>
        <v>0</v>
      </c>
      <c r="AT40" s="34" t="n">
        <f aca="false">AT$28*INDEX(Precio_O,8)*INDEX(IdxPrecio_O,1,MIN(10,AT$17))*(1+P_dPrecio)</f>
        <v>0</v>
      </c>
      <c r="AU40" s="34" t="n">
        <f aca="false">AU$28*INDEX(Precio_O,8)*INDEX(IdxPrecio_O,1,MIN(10,AU$17))*(1+P_dPrecio)</f>
        <v>0</v>
      </c>
      <c r="AV40" s="34" t="n">
        <f aca="false">AV$28*INDEX(Precio_O,8)*INDEX(IdxPrecio_O,1,MIN(10,AV$17))*(1+P_dPrecio)</f>
        <v>0</v>
      </c>
      <c r="AW40" s="34" t="n">
        <f aca="false">AW$28*INDEX(Precio_O,8)*INDEX(IdxPrecio_O,1,MIN(10,AW$17))*(1+P_dPrecio)</f>
        <v>0</v>
      </c>
      <c r="AX40" s="34" t="n">
        <f aca="false">AX$28*INDEX(Precio_O,8)*INDEX(IdxPrecio_O,1,MIN(10,AX$17))*(1+P_dPrecio)</f>
        <v>0</v>
      </c>
      <c r="AY40" s="34" t="n">
        <f aca="false">AY$28*INDEX(Precio_O,8)*INDEX(IdxPrecio_O,1,MIN(10,AY$17))*(1+P_dPrecio)</f>
        <v>0</v>
      </c>
      <c r="AZ40" s="34" t="n">
        <f aca="false">AZ$28*INDEX(Precio_O,8)*INDEX(IdxPrecio_O,1,MIN(10,AZ$17))*(1+P_dPrecio)</f>
        <v>0</v>
      </c>
      <c r="BA40" s="34" t="n">
        <f aca="false">BA$28*INDEX(Precio_O,8)*INDEX(IdxPrecio_O,1,MIN(10,BA$17))*(1+P_dPrecio)</f>
        <v>0</v>
      </c>
      <c r="BB40" s="34" t="n">
        <f aca="false">BB$28*INDEX(Precio_O,8)*INDEX(IdxPrecio_O,1,MIN(10,BB$17))*(1+P_dPrecio)</f>
        <v>0</v>
      </c>
      <c r="BC40" s="34" t="n">
        <f aca="false">BC$28*INDEX(Precio_O,8)*INDEX(IdxPrecio_O,1,MIN(10,BC$17))*(1+P_dPrecio)</f>
        <v>0</v>
      </c>
      <c r="BD40" s="34" t="n">
        <f aca="false">BD$28*INDEX(Precio_O,8)*INDEX(IdxPrecio_O,1,MIN(10,BD$17))*(1+P_dPrecio)</f>
        <v>0</v>
      </c>
      <c r="BE40" s="34" t="n">
        <f aca="false">BE$28*INDEX(Precio_O,8)*INDEX(IdxPrecio_O,1,MIN(10,BE$17))*(1+P_dPrecio)</f>
        <v>0</v>
      </c>
      <c r="BF40" s="34" t="n">
        <f aca="false">BF$28*INDEX(Precio_O,8)*INDEX(IdxPrecio_O,1,MIN(10,BF$17))*(1+P_dPrecio)</f>
        <v>0</v>
      </c>
      <c r="BG40" s="34" t="n">
        <f aca="false">BG$28*INDEX(Precio_O,8)*INDEX(IdxPrecio_O,1,MIN(10,BG$17))*(1+P_dPrecio)</f>
        <v>0</v>
      </c>
      <c r="BH40" s="34" t="n">
        <f aca="false">BH$28*INDEX(Precio_O,8)*INDEX(IdxPrecio_O,1,MIN(10,BH$17))*(1+P_dPrecio)</f>
        <v>0</v>
      </c>
      <c r="BI40" s="34" t="n">
        <f aca="false">BI$28*INDEX(Precio_O,8)*INDEX(IdxPrecio_O,1,MIN(10,BI$17))*(1+P_dPrecio)</f>
        <v>0</v>
      </c>
      <c r="BJ40" s="34" t="n">
        <f aca="false">BJ$28*INDEX(Precio_O,8)*INDEX(IdxPrecio_O,1,MIN(10,BJ$17))*(1+P_dPrecio)</f>
        <v>0</v>
      </c>
      <c r="BK40" s="34" t="n">
        <f aca="false">BK$28*INDEX(Precio_O,8)*INDEX(IdxPrecio_O,1,MIN(10,BK$17))*(1+P_dPrecio)</f>
        <v>0</v>
      </c>
      <c r="BL40" s="34" t="n">
        <f aca="false">BL$28*INDEX(Precio_O,8)*INDEX(IdxPrecio_O,1,MIN(10,BL$17))*(1+P_dPrecio)</f>
        <v>0</v>
      </c>
      <c r="BM40" s="34" t="n">
        <f aca="false">BM$28*INDEX(Precio_O,8)*INDEX(IdxPrecio_O,1,MIN(10,BM$17))*(1+P_dPrecio)</f>
        <v>0</v>
      </c>
      <c r="BN40" s="34" t="n">
        <f aca="false">BN$28*INDEX(Precio_O,8)*INDEX(IdxPrecio_O,1,MIN(10,BN$17))*(1+P_dPrecio)</f>
        <v>0</v>
      </c>
      <c r="BO40" s="34" t="n">
        <f aca="false">BO$28*INDEX(Precio_O,8)*INDEX(IdxPrecio_O,1,MIN(10,BO$17))*(1+P_dPrecio)</f>
        <v>0</v>
      </c>
      <c r="BP40" s="34" t="n">
        <f aca="false">BP$28*INDEX(Precio_O,8)*INDEX(IdxPrecio_O,1,MIN(10,BP$17))*(1+P_dPrecio)</f>
        <v>0</v>
      </c>
      <c r="BQ40" s="34" t="n">
        <f aca="false">BQ$28*INDEX(Precio_O,8)*INDEX(IdxPrecio_O,1,MIN(10,BQ$17))*(1+P_dPrecio)</f>
        <v>0</v>
      </c>
      <c r="BR40" s="34" t="n">
        <f aca="false">BR$28*INDEX(Precio_O,8)*INDEX(IdxPrecio_O,1,MIN(10,BR$17))*(1+P_dPrecio)</f>
        <v>0</v>
      </c>
      <c r="BS40" s="34" t="n">
        <f aca="false">BS$28*INDEX(Precio_O,8)*INDEX(IdxPrecio_O,1,MIN(10,BS$17))*(1+P_dPrecio)</f>
        <v>0</v>
      </c>
      <c r="BT40" s="34" t="n">
        <f aca="false">BT$28*INDEX(Precio_O,8)*INDEX(IdxPrecio_O,1,MIN(10,BT$17))*(1+P_dPrecio)</f>
        <v>0</v>
      </c>
      <c r="BU40" s="34" t="n">
        <f aca="false">BU$28*INDEX(Precio_O,8)*INDEX(IdxPrecio_O,1,MIN(10,BU$17))*(1+P_dPrecio)</f>
        <v>0</v>
      </c>
      <c r="BV40" s="34" t="n">
        <f aca="false">BV$28*INDEX(Precio_O,8)*INDEX(IdxPrecio_O,1,MIN(10,BV$17))*(1+P_dPrecio)</f>
        <v>0</v>
      </c>
      <c r="BW40" s="34" t="n">
        <f aca="false">BW$28*INDEX(Precio_O,8)*INDEX(IdxPrecio_O,1,MIN(10,BW$17))*(1+P_dPrecio)</f>
        <v>0</v>
      </c>
      <c r="BX40" s="34" t="n">
        <f aca="false">BX$28*INDEX(Precio_O,8)*INDEX(IdxPrecio_O,1,MIN(10,BX$17))*(1+P_dPrecio)</f>
        <v>0</v>
      </c>
      <c r="BY40" s="34" t="n">
        <f aca="false">BY$28*INDEX(Precio_O,8)*INDEX(IdxPrecio_O,1,MIN(10,BY$17))*(1+P_dPrecio)</f>
        <v>0</v>
      </c>
      <c r="BZ40" s="34" t="n">
        <f aca="false">BZ$28*INDEX(Precio_O,8)*INDEX(IdxPrecio_O,1,MIN(10,BZ$17))*(1+P_dPrecio)</f>
        <v>0</v>
      </c>
      <c r="CA40" s="34" t="n">
        <f aca="false">CA$28*INDEX(Precio_O,8)*INDEX(IdxPrecio_O,1,MIN(10,CA$17))*(1+P_dPrecio)</f>
        <v>0</v>
      </c>
      <c r="CB40" s="34" t="n">
        <f aca="false">CB$28*INDEX(Precio_O,8)*INDEX(IdxPrecio_O,1,MIN(10,CB$17))*(1+P_dPrecio)</f>
        <v>0</v>
      </c>
      <c r="CC40" s="34" t="n">
        <f aca="false">CC$28*INDEX(Precio_O,8)*INDEX(IdxPrecio_O,1,MIN(10,CC$17))*(1+P_dPrecio)</f>
        <v>0</v>
      </c>
      <c r="CD40" s="34" t="n">
        <f aca="false">CD$28*INDEX(Precio_O,8)*INDEX(IdxPrecio_O,1,MIN(10,CD$17))*(1+P_dPrecio)</f>
        <v>0</v>
      </c>
      <c r="CE40" s="34" t="n">
        <f aca="false">CE$28*INDEX(Precio_O,8)*INDEX(IdxPrecio_O,1,MIN(10,CE$17))*(1+P_dPrecio)</f>
        <v>0</v>
      </c>
      <c r="CF40" s="34" t="n">
        <f aca="false">CF$28*INDEX(Precio_O,8)*INDEX(IdxPrecio_O,1,MIN(10,CF$17))*(1+P_dPrecio)</f>
        <v>0</v>
      </c>
      <c r="CG40" s="34" t="n">
        <f aca="false">CG$28*INDEX(Precio_O,8)*INDEX(IdxPrecio_O,1,MIN(10,CG$17))*(1+P_dPrecio)</f>
        <v>0</v>
      </c>
      <c r="CH40" s="34" t="n">
        <f aca="false">CH$28*INDEX(Precio_O,8)*INDEX(IdxPrecio_O,1,MIN(10,CH$17))*(1+P_dPrecio)</f>
        <v>0</v>
      </c>
      <c r="CI40" s="34" t="n">
        <f aca="false">CI$28*INDEX(Precio_O,8)*INDEX(IdxPrecio_O,1,MIN(10,CI$17))*(1+P_dPrecio)</f>
        <v>0</v>
      </c>
      <c r="CJ40" s="34" t="n">
        <f aca="false">CJ$28*INDEX(Precio_O,8)*INDEX(IdxPrecio_O,1,MIN(10,CJ$17))*(1+P_dPrecio)</f>
        <v>0</v>
      </c>
      <c r="CK40" s="34" t="n">
        <f aca="false">CK$28*INDEX(Precio_O,8)*INDEX(IdxPrecio_O,1,MIN(10,CK$17))*(1+P_dPrecio)</f>
        <v>0</v>
      </c>
      <c r="CL40" s="34" t="n">
        <f aca="false">CL$28*INDEX(Precio_O,8)*INDEX(IdxPrecio_O,1,MIN(10,CL$17))*(1+P_dPrecio)</f>
        <v>0</v>
      </c>
      <c r="CM40" s="34" t="n">
        <f aca="false">CM$28*INDEX(Precio_O,8)*INDEX(IdxPrecio_O,1,MIN(10,CM$17))*(1+P_dPrecio)</f>
        <v>0</v>
      </c>
      <c r="CN40" s="34" t="n">
        <f aca="false">CN$28*INDEX(Precio_O,8)*INDEX(IdxPrecio_O,1,MIN(10,CN$17))*(1+P_dPrecio)</f>
        <v>0</v>
      </c>
      <c r="CO40" s="34" t="n">
        <f aca="false">CO$28*INDEX(Precio_O,8)*INDEX(IdxPrecio_O,1,MIN(10,CO$17))*(1+P_dPrecio)</f>
        <v>0</v>
      </c>
      <c r="CP40" s="34" t="n">
        <f aca="false">CP$28*INDEX(Precio_O,8)*INDEX(IdxPrecio_O,1,MIN(10,CP$17))*(1+P_dPrecio)</f>
        <v>0</v>
      </c>
      <c r="CQ40" s="34" t="n">
        <f aca="false">CQ$28*INDEX(Precio_O,8)*INDEX(IdxPrecio_O,1,MIN(10,CQ$17))*(1+P_dPrecio)</f>
        <v>0</v>
      </c>
      <c r="CR40" s="34" t="n">
        <f aca="false">CR$28*INDEX(Precio_O,8)*INDEX(IdxPrecio_O,1,MIN(10,CR$17))*(1+P_dPrecio)</f>
        <v>0</v>
      </c>
      <c r="CS40" s="34" t="n">
        <f aca="false">CS$28*INDEX(Precio_O,8)*INDEX(IdxPrecio_O,1,MIN(10,CS$17))*(1+P_dPrecio)</f>
        <v>0</v>
      </c>
      <c r="CT40" s="34" t="n">
        <f aca="false">CT$28*INDEX(Precio_O,8)*INDEX(IdxPrecio_O,1,MIN(10,CT$17))*(1+P_dPrecio)</f>
        <v>0</v>
      </c>
      <c r="CU40" s="34" t="n">
        <f aca="false">CU$28*INDEX(Precio_O,8)*INDEX(IdxPrecio_O,1,MIN(10,CU$17))*(1+P_dPrecio)</f>
        <v>0</v>
      </c>
      <c r="CV40" s="34" t="n">
        <f aca="false">CV$28*INDEX(Precio_O,8)*INDEX(IdxPrecio_O,1,MIN(10,CV$17))*(1+P_dPrecio)</f>
        <v>0</v>
      </c>
      <c r="CW40" s="34" t="n">
        <f aca="false">CW$28*INDEX(Precio_O,8)*INDEX(IdxPrecio_O,1,MIN(10,CW$17))*(1+P_dPrecio)</f>
        <v>0</v>
      </c>
      <c r="CX40" s="34" t="n">
        <f aca="false">CX$28*INDEX(Precio_O,8)*INDEX(IdxPrecio_O,1,MIN(10,CX$17))*(1+P_dPrecio)</f>
        <v>0</v>
      </c>
      <c r="CY40" s="34" t="n">
        <f aca="false">CY$28*INDEX(Precio_O,8)*INDEX(IdxPrecio_O,1,MIN(10,CY$17))*(1+P_dPrecio)</f>
        <v>0</v>
      </c>
      <c r="CZ40" s="34" t="n">
        <f aca="false">CZ$28*INDEX(Precio_O,8)*INDEX(IdxPrecio_O,1,MIN(10,CZ$17))*(1+P_dPrecio)</f>
        <v>0</v>
      </c>
      <c r="DA40" s="34" t="n">
        <f aca="false">DA$28*INDEX(Precio_O,8)*INDEX(IdxPrecio_O,1,MIN(10,DA$17))*(1+P_dPrecio)</f>
        <v>0</v>
      </c>
      <c r="DB40" s="34" t="n">
        <f aca="false">DB$28*INDEX(Precio_O,8)*INDEX(IdxPrecio_O,1,MIN(10,DB$17))*(1+P_dPrecio)</f>
        <v>0</v>
      </c>
      <c r="DC40" s="34" t="n">
        <f aca="false">DC$28*INDEX(Precio_O,8)*INDEX(IdxPrecio_O,1,MIN(10,DC$17))*(1+P_dPrecio)</f>
        <v>0</v>
      </c>
      <c r="DD40" s="34" t="n">
        <f aca="false">DD$28*INDEX(Precio_O,8)*INDEX(IdxPrecio_O,1,MIN(10,DD$17))*(1+P_dPrecio)</f>
        <v>0</v>
      </c>
      <c r="DE40" s="34" t="n">
        <f aca="false">DE$28*INDEX(Precio_O,8)*INDEX(IdxPrecio_O,1,MIN(10,DE$17))*(1+P_dPrecio)</f>
        <v>0</v>
      </c>
      <c r="DF40" s="34" t="n">
        <f aca="false">DF$28*INDEX(Precio_O,8)*INDEX(IdxPrecio_O,1,MIN(10,DF$17))*(1+P_dPrecio)</f>
        <v>0</v>
      </c>
      <c r="DG40" s="34" t="n">
        <f aca="false">DG$28*INDEX(Precio_O,8)*INDEX(IdxPrecio_O,1,MIN(10,DG$17))*(1+P_dPrecio)</f>
        <v>0</v>
      </c>
      <c r="DH40" s="34" t="n">
        <f aca="false">DH$28*INDEX(Precio_O,8)*INDEX(IdxPrecio_O,1,MIN(10,DH$17))*(1+P_dPrecio)</f>
        <v>0</v>
      </c>
      <c r="DI40" s="34" t="n">
        <f aca="false">DI$28*INDEX(Precio_O,8)*INDEX(IdxPrecio_O,1,MIN(10,DI$17))*(1+P_dPrecio)</f>
        <v>0</v>
      </c>
      <c r="DJ40" s="34" t="n">
        <f aca="false">DJ$28*INDEX(Precio_O,8)*INDEX(IdxPrecio_O,1,MIN(10,DJ$17))*(1+P_dPrecio)</f>
        <v>0</v>
      </c>
      <c r="DK40" s="34" t="n">
        <f aca="false">DK$28*INDEX(Precio_O,8)*INDEX(IdxPrecio_O,1,MIN(10,DK$17))*(1+P_dPrecio)</f>
        <v>0</v>
      </c>
      <c r="DL40" s="34" t="n">
        <f aca="false">DL$28*INDEX(Precio_O,8)*INDEX(IdxPrecio_O,1,MIN(10,DL$17))*(1+P_dPrecio)</f>
        <v>0</v>
      </c>
      <c r="DM40" s="34" t="n">
        <f aca="false">DM$28*INDEX(Precio_O,8)*INDEX(IdxPrecio_O,1,MIN(10,DM$17))*(1+P_dPrecio)</f>
        <v>0</v>
      </c>
      <c r="DN40" s="34" t="n">
        <f aca="false">DN$28*INDEX(Precio_O,8)*INDEX(IdxPrecio_O,1,MIN(10,DN$17))*(1+P_dPrecio)</f>
        <v>0</v>
      </c>
      <c r="DO40" s="34" t="n">
        <f aca="false">DO$28*INDEX(Precio_O,8)*INDEX(IdxPrecio_O,1,MIN(10,DO$17))*(1+P_dPrecio)</f>
        <v>0</v>
      </c>
      <c r="DP40" s="34" t="n">
        <f aca="false">DP$28*INDEX(Precio_O,8)*INDEX(IdxPrecio_O,1,MIN(10,DP$17))*(1+P_dPrecio)</f>
        <v>0</v>
      </c>
      <c r="DQ40" s="34" t="n">
        <f aca="false">DQ$28*INDEX(Precio_O,8)*INDEX(IdxPrecio_O,1,MIN(10,DQ$17))*(1+P_dPrecio)</f>
        <v>0</v>
      </c>
      <c r="DR40" s="34" t="n">
        <f aca="false">DR$28*INDEX(Precio_O,8)*INDEX(IdxPrecio_O,1,MIN(10,DR$17))*(1+P_dPrecio)</f>
        <v>0</v>
      </c>
      <c r="DS40" s="34" t="n">
        <f aca="false">DS$28*INDEX(Precio_O,8)*INDEX(IdxPrecio_O,1,MIN(10,DS$17))*(1+P_dPrecio)</f>
        <v>0</v>
      </c>
      <c r="DT40" s="34" t="n">
        <f aca="false">DT$28*INDEX(Precio_O,8)*INDEX(IdxPrecio_O,1,MIN(10,DT$17))*(1+P_dPrecio)</f>
        <v>0</v>
      </c>
      <c r="DU40" s="34" t="n">
        <f aca="false">DU$28*INDEX(Precio_O,8)*INDEX(IdxPrecio_O,1,MIN(10,DU$17))*(1+P_dPrecio)</f>
        <v>0</v>
      </c>
      <c r="DV40" s="34" t="n">
        <f aca="false">DV$28*INDEX(Precio_O,8)*INDEX(IdxPrecio_O,1,MIN(10,DV$17))*(1+P_dPrecio)</f>
        <v>0</v>
      </c>
      <c r="DW40" s="34" t="n">
        <f aca="false">DW$28*INDEX(Precio_O,8)*INDEX(IdxPrecio_O,1,MIN(10,DW$17))*(1+P_dPrecio)</f>
        <v>0</v>
      </c>
      <c r="DX40" s="34" t="n">
        <f aca="false">DX$28*INDEX(Precio_O,8)*INDEX(IdxPrecio_O,1,MIN(10,DX$17))*(1+P_dPrecio)</f>
        <v>0</v>
      </c>
      <c r="DY40" s="34" t="n">
        <f aca="false">DY$28*INDEX(Precio_O,8)*INDEX(IdxPrecio_O,1,MIN(10,DY$17))*(1+P_dPrecio)</f>
        <v>0</v>
      </c>
      <c r="DZ40" s="34" t="n">
        <f aca="false">DZ$28*INDEX(Precio_O,8)*INDEX(IdxPrecio_O,1,MIN(10,DZ$17))*(1+P_dPrecio)</f>
        <v>0</v>
      </c>
      <c r="EA40" s="34" t="n">
        <f aca="false">EA$28*INDEX(Precio_O,8)*INDEX(IdxPrecio_O,1,MIN(10,EA$17))*(1+P_dPrecio)</f>
        <v>0</v>
      </c>
      <c r="EB40" s="34" t="n">
        <f aca="false">EB$28*INDEX(Precio_O,8)*INDEX(IdxPrecio_O,1,MIN(10,EB$17))*(1+P_dPrecio)</f>
        <v>0</v>
      </c>
      <c r="EC40" s="34" t="n">
        <f aca="false">EC$28*INDEX(Precio_O,8)*INDEX(IdxPrecio_O,1,MIN(10,EC$17))*(1+P_dPrecio)</f>
        <v>0</v>
      </c>
      <c r="ED40" s="34" t="n">
        <f aca="false">ED$28*INDEX(Precio_O,8)*INDEX(IdxPrecio_O,1,MIN(10,ED$17))*(1+P_dPrecio)</f>
        <v>0</v>
      </c>
      <c r="EE40" s="34" t="n">
        <f aca="false">EE$28*INDEX(Precio_O,8)*INDEX(IdxPrecio_O,1,MIN(10,EE$17))*(1+P_dPrecio)</f>
        <v>0</v>
      </c>
      <c r="EF40" s="34" t="n">
        <f aca="false">EF$28*INDEX(Precio_O,8)*INDEX(IdxPrecio_O,1,MIN(10,EF$17))*(1+P_dPrecio)</f>
        <v>0</v>
      </c>
      <c r="EG40" s="34" t="n">
        <f aca="false">EG$28*INDEX(Precio_O,8)*INDEX(IdxPrecio_O,1,MIN(10,EG$17))*(1+P_dPrecio)</f>
        <v>0</v>
      </c>
      <c r="EH40" s="34" t="n">
        <f aca="false">EH$28*INDEX(Precio_O,8)*INDEX(IdxPrecio_O,1,MIN(10,EH$17))*(1+P_dPrecio)</f>
        <v>0</v>
      </c>
      <c r="EI40" s="34" t="n">
        <f aca="false">EI$28*INDEX(Precio_O,8)*INDEX(IdxPrecio_O,1,MIN(10,EI$17))*(1+P_dPrecio)</f>
        <v>0</v>
      </c>
      <c r="EJ40" s="34" t="n">
        <f aca="false">EJ$28*INDEX(Precio_O,8)*INDEX(IdxPrecio_O,1,MIN(10,EJ$17))*(1+P_dPrecio)</f>
        <v>0</v>
      </c>
      <c r="EK40" s="34" t="n">
        <f aca="false">EK$28*INDEX(Precio_O,8)*INDEX(IdxPrecio_O,1,MIN(10,EK$17))*(1+P_dPrecio)</f>
        <v>0</v>
      </c>
      <c r="EL40" s="34" t="n">
        <f aca="false">EL$28*INDEX(Precio_O,8)*INDEX(IdxPrecio_O,1,MIN(10,EL$17))*(1+P_dPrecio)</f>
        <v>0</v>
      </c>
      <c r="EM40" s="34" t="n">
        <f aca="false">EM$28*INDEX(Precio_O,8)*INDEX(IdxPrecio_O,1,MIN(10,EM$17))*(1+P_dPrecio)</f>
        <v>0</v>
      </c>
      <c r="EN40" s="34" t="n">
        <f aca="false">EN$28*INDEX(Precio_O,8)*INDEX(IdxPrecio_O,1,MIN(10,EN$17))*(1+P_dPrecio)</f>
        <v>0</v>
      </c>
      <c r="EO40" s="34" t="n">
        <f aca="false">EO$28*INDEX(Precio_O,8)*INDEX(IdxPrecio_O,1,MIN(10,EO$17))*(1+P_dPrecio)</f>
        <v>0</v>
      </c>
      <c r="EP40" s="34" t="n">
        <f aca="false">EP$28*INDEX(Precio_O,8)*INDEX(IdxPrecio_O,1,MIN(10,EP$17))*(1+P_dPrecio)</f>
        <v>0</v>
      </c>
      <c r="EQ40" s="34" t="n">
        <f aca="false">EQ$28*INDEX(Precio_O,8)*INDEX(IdxPrecio_O,1,MIN(10,EQ$17))*(1+P_dPrecio)</f>
        <v>0</v>
      </c>
      <c r="ER40" s="34" t="n">
        <f aca="false">ER$28*INDEX(Precio_O,8)*INDEX(IdxPrecio_O,1,MIN(10,ER$17))*(1+P_dPrecio)</f>
        <v>0</v>
      </c>
      <c r="ES40" s="34" t="n">
        <f aca="false">ES$28*INDEX(Precio_O,8)*INDEX(IdxPrecio_O,1,MIN(10,ES$17))*(1+P_dPrecio)</f>
        <v>0</v>
      </c>
    </row>
    <row r="41" customFormat="false" ht="15" hidden="false" customHeight="false" outlineLevel="0" collapsed="false">
      <c r="A41" s="2" t="s">
        <v>452</v>
      </c>
      <c r="B41" s="39" t="str">
        <f aca="false">IF(INDEX(Prod_Nombre,9)="","Producto 9",INDEX(Prod_Nombre,9))&amp;" — ventas USD"</f>
        <v>Producto 9 — ventas USD</v>
      </c>
      <c r="C41" s="6" t="s">
        <v>212</v>
      </c>
      <c r="E41" s="40" t="n">
        <f aca="false">SUM(F41:ES41)</f>
        <v>0</v>
      </c>
      <c r="F41" s="34" t="n">
        <f aca="false">F$29*INDEX(Precio_O,9)*INDEX(IdxPrecio_O,1,MIN(10,F$17))*(1+P_dPrecio)</f>
        <v>0</v>
      </c>
      <c r="G41" s="34" t="n">
        <f aca="false">G$29*INDEX(Precio_O,9)*INDEX(IdxPrecio_O,1,MIN(10,G$17))*(1+P_dPrecio)</f>
        <v>0</v>
      </c>
      <c r="H41" s="34" t="n">
        <f aca="false">H$29*INDEX(Precio_O,9)*INDEX(IdxPrecio_O,1,MIN(10,H$17))*(1+P_dPrecio)</f>
        <v>0</v>
      </c>
      <c r="I41" s="34" t="n">
        <f aca="false">I$29*INDEX(Precio_O,9)*INDEX(IdxPrecio_O,1,MIN(10,I$17))*(1+P_dPrecio)</f>
        <v>0</v>
      </c>
      <c r="J41" s="34" t="n">
        <f aca="false">J$29*INDEX(Precio_O,9)*INDEX(IdxPrecio_O,1,MIN(10,J$17))*(1+P_dPrecio)</f>
        <v>0</v>
      </c>
      <c r="K41" s="34" t="n">
        <f aca="false">K$29*INDEX(Precio_O,9)*INDEX(IdxPrecio_O,1,MIN(10,K$17))*(1+P_dPrecio)</f>
        <v>0</v>
      </c>
      <c r="L41" s="34" t="n">
        <f aca="false">L$29*INDEX(Precio_O,9)*INDEX(IdxPrecio_O,1,MIN(10,L$17))*(1+P_dPrecio)</f>
        <v>0</v>
      </c>
      <c r="M41" s="34" t="n">
        <f aca="false">M$29*INDEX(Precio_O,9)*INDEX(IdxPrecio_O,1,MIN(10,M$17))*(1+P_dPrecio)</f>
        <v>0</v>
      </c>
      <c r="N41" s="34" t="n">
        <f aca="false">N$29*INDEX(Precio_O,9)*INDEX(IdxPrecio_O,1,MIN(10,N$17))*(1+P_dPrecio)</f>
        <v>0</v>
      </c>
      <c r="O41" s="34" t="n">
        <f aca="false">O$29*INDEX(Precio_O,9)*INDEX(IdxPrecio_O,1,MIN(10,O$17))*(1+P_dPrecio)</f>
        <v>0</v>
      </c>
      <c r="P41" s="34" t="n">
        <f aca="false">P$29*INDEX(Precio_O,9)*INDEX(IdxPrecio_O,1,MIN(10,P$17))*(1+P_dPrecio)</f>
        <v>0</v>
      </c>
      <c r="Q41" s="34" t="n">
        <f aca="false">Q$29*INDEX(Precio_O,9)*INDEX(IdxPrecio_O,1,MIN(10,Q$17))*(1+P_dPrecio)</f>
        <v>0</v>
      </c>
      <c r="R41" s="34" t="n">
        <f aca="false">R$29*INDEX(Precio_O,9)*INDEX(IdxPrecio_O,1,MIN(10,R$17))*(1+P_dPrecio)</f>
        <v>0</v>
      </c>
      <c r="S41" s="34" t="n">
        <f aca="false">S$29*INDEX(Precio_O,9)*INDEX(IdxPrecio_O,1,MIN(10,S$17))*(1+P_dPrecio)</f>
        <v>0</v>
      </c>
      <c r="T41" s="34" t="n">
        <f aca="false">T$29*INDEX(Precio_O,9)*INDEX(IdxPrecio_O,1,MIN(10,T$17))*(1+P_dPrecio)</f>
        <v>0</v>
      </c>
      <c r="U41" s="34" t="n">
        <f aca="false">U$29*INDEX(Precio_O,9)*INDEX(IdxPrecio_O,1,MIN(10,U$17))*(1+P_dPrecio)</f>
        <v>0</v>
      </c>
      <c r="V41" s="34" t="n">
        <f aca="false">V$29*INDEX(Precio_O,9)*INDEX(IdxPrecio_O,1,MIN(10,V$17))*(1+P_dPrecio)</f>
        <v>0</v>
      </c>
      <c r="W41" s="34" t="n">
        <f aca="false">W$29*INDEX(Precio_O,9)*INDEX(IdxPrecio_O,1,MIN(10,W$17))*(1+P_dPrecio)</f>
        <v>0</v>
      </c>
      <c r="X41" s="34" t="n">
        <f aca="false">X$29*INDEX(Precio_O,9)*INDEX(IdxPrecio_O,1,MIN(10,X$17))*(1+P_dPrecio)</f>
        <v>0</v>
      </c>
      <c r="Y41" s="34" t="n">
        <f aca="false">Y$29*INDEX(Precio_O,9)*INDEX(IdxPrecio_O,1,MIN(10,Y$17))*(1+P_dPrecio)</f>
        <v>0</v>
      </c>
      <c r="Z41" s="34" t="n">
        <f aca="false">Z$29*INDEX(Precio_O,9)*INDEX(IdxPrecio_O,1,MIN(10,Z$17))*(1+P_dPrecio)</f>
        <v>0</v>
      </c>
      <c r="AA41" s="34" t="n">
        <f aca="false">AA$29*INDEX(Precio_O,9)*INDEX(IdxPrecio_O,1,MIN(10,AA$17))*(1+P_dPrecio)</f>
        <v>0</v>
      </c>
      <c r="AB41" s="34" t="n">
        <f aca="false">AB$29*INDEX(Precio_O,9)*INDEX(IdxPrecio_O,1,MIN(10,AB$17))*(1+P_dPrecio)</f>
        <v>0</v>
      </c>
      <c r="AC41" s="34" t="n">
        <f aca="false">AC$29*INDEX(Precio_O,9)*INDEX(IdxPrecio_O,1,MIN(10,AC$17))*(1+P_dPrecio)</f>
        <v>0</v>
      </c>
      <c r="AD41" s="34" t="n">
        <f aca="false">AD$29*INDEX(Precio_O,9)*INDEX(IdxPrecio_O,1,MIN(10,AD$17))*(1+P_dPrecio)</f>
        <v>0</v>
      </c>
      <c r="AE41" s="34" t="n">
        <f aca="false">AE$29*INDEX(Precio_O,9)*INDEX(IdxPrecio_O,1,MIN(10,AE$17))*(1+P_dPrecio)</f>
        <v>0</v>
      </c>
      <c r="AF41" s="34" t="n">
        <f aca="false">AF$29*INDEX(Precio_O,9)*INDEX(IdxPrecio_O,1,MIN(10,AF$17))*(1+P_dPrecio)</f>
        <v>0</v>
      </c>
      <c r="AG41" s="34" t="n">
        <f aca="false">AG$29*INDEX(Precio_O,9)*INDEX(IdxPrecio_O,1,MIN(10,AG$17))*(1+P_dPrecio)</f>
        <v>0</v>
      </c>
      <c r="AH41" s="34" t="n">
        <f aca="false">AH$29*INDEX(Precio_O,9)*INDEX(IdxPrecio_O,1,MIN(10,AH$17))*(1+P_dPrecio)</f>
        <v>0</v>
      </c>
      <c r="AI41" s="34" t="n">
        <f aca="false">AI$29*INDEX(Precio_O,9)*INDEX(IdxPrecio_O,1,MIN(10,AI$17))*(1+P_dPrecio)</f>
        <v>0</v>
      </c>
      <c r="AJ41" s="34" t="n">
        <f aca="false">AJ$29*INDEX(Precio_O,9)*INDEX(IdxPrecio_O,1,MIN(10,AJ$17))*(1+P_dPrecio)</f>
        <v>0</v>
      </c>
      <c r="AK41" s="34" t="n">
        <f aca="false">AK$29*INDEX(Precio_O,9)*INDEX(IdxPrecio_O,1,MIN(10,AK$17))*(1+P_dPrecio)</f>
        <v>0</v>
      </c>
      <c r="AL41" s="34" t="n">
        <f aca="false">AL$29*INDEX(Precio_O,9)*INDEX(IdxPrecio_O,1,MIN(10,AL$17))*(1+P_dPrecio)</f>
        <v>0</v>
      </c>
      <c r="AM41" s="34" t="n">
        <f aca="false">AM$29*INDEX(Precio_O,9)*INDEX(IdxPrecio_O,1,MIN(10,AM$17))*(1+P_dPrecio)</f>
        <v>0</v>
      </c>
      <c r="AN41" s="34" t="n">
        <f aca="false">AN$29*INDEX(Precio_O,9)*INDEX(IdxPrecio_O,1,MIN(10,AN$17))*(1+P_dPrecio)</f>
        <v>0</v>
      </c>
      <c r="AO41" s="34" t="n">
        <f aca="false">AO$29*INDEX(Precio_O,9)*INDEX(IdxPrecio_O,1,MIN(10,AO$17))*(1+P_dPrecio)</f>
        <v>0</v>
      </c>
      <c r="AP41" s="34" t="n">
        <f aca="false">AP$29*INDEX(Precio_O,9)*INDEX(IdxPrecio_O,1,MIN(10,AP$17))*(1+P_dPrecio)</f>
        <v>0</v>
      </c>
      <c r="AQ41" s="34" t="n">
        <f aca="false">AQ$29*INDEX(Precio_O,9)*INDEX(IdxPrecio_O,1,MIN(10,AQ$17))*(1+P_dPrecio)</f>
        <v>0</v>
      </c>
      <c r="AR41" s="34" t="n">
        <f aca="false">AR$29*INDEX(Precio_O,9)*INDEX(IdxPrecio_O,1,MIN(10,AR$17))*(1+P_dPrecio)</f>
        <v>0</v>
      </c>
      <c r="AS41" s="34" t="n">
        <f aca="false">AS$29*INDEX(Precio_O,9)*INDEX(IdxPrecio_O,1,MIN(10,AS$17))*(1+P_dPrecio)</f>
        <v>0</v>
      </c>
      <c r="AT41" s="34" t="n">
        <f aca="false">AT$29*INDEX(Precio_O,9)*INDEX(IdxPrecio_O,1,MIN(10,AT$17))*(1+P_dPrecio)</f>
        <v>0</v>
      </c>
      <c r="AU41" s="34" t="n">
        <f aca="false">AU$29*INDEX(Precio_O,9)*INDEX(IdxPrecio_O,1,MIN(10,AU$17))*(1+P_dPrecio)</f>
        <v>0</v>
      </c>
      <c r="AV41" s="34" t="n">
        <f aca="false">AV$29*INDEX(Precio_O,9)*INDEX(IdxPrecio_O,1,MIN(10,AV$17))*(1+P_dPrecio)</f>
        <v>0</v>
      </c>
      <c r="AW41" s="34" t="n">
        <f aca="false">AW$29*INDEX(Precio_O,9)*INDEX(IdxPrecio_O,1,MIN(10,AW$17))*(1+P_dPrecio)</f>
        <v>0</v>
      </c>
      <c r="AX41" s="34" t="n">
        <f aca="false">AX$29*INDEX(Precio_O,9)*INDEX(IdxPrecio_O,1,MIN(10,AX$17))*(1+P_dPrecio)</f>
        <v>0</v>
      </c>
      <c r="AY41" s="34" t="n">
        <f aca="false">AY$29*INDEX(Precio_O,9)*INDEX(IdxPrecio_O,1,MIN(10,AY$17))*(1+P_dPrecio)</f>
        <v>0</v>
      </c>
      <c r="AZ41" s="34" t="n">
        <f aca="false">AZ$29*INDEX(Precio_O,9)*INDEX(IdxPrecio_O,1,MIN(10,AZ$17))*(1+P_dPrecio)</f>
        <v>0</v>
      </c>
      <c r="BA41" s="34" t="n">
        <f aca="false">BA$29*INDEX(Precio_O,9)*INDEX(IdxPrecio_O,1,MIN(10,BA$17))*(1+P_dPrecio)</f>
        <v>0</v>
      </c>
      <c r="BB41" s="34" t="n">
        <f aca="false">BB$29*INDEX(Precio_O,9)*INDEX(IdxPrecio_O,1,MIN(10,BB$17))*(1+P_dPrecio)</f>
        <v>0</v>
      </c>
      <c r="BC41" s="34" t="n">
        <f aca="false">BC$29*INDEX(Precio_O,9)*INDEX(IdxPrecio_O,1,MIN(10,BC$17))*(1+P_dPrecio)</f>
        <v>0</v>
      </c>
      <c r="BD41" s="34" t="n">
        <f aca="false">BD$29*INDEX(Precio_O,9)*INDEX(IdxPrecio_O,1,MIN(10,BD$17))*(1+P_dPrecio)</f>
        <v>0</v>
      </c>
      <c r="BE41" s="34" t="n">
        <f aca="false">BE$29*INDEX(Precio_O,9)*INDEX(IdxPrecio_O,1,MIN(10,BE$17))*(1+P_dPrecio)</f>
        <v>0</v>
      </c>
      <c r="BF41" s="34" t="n">
        <f aca="false">BF$29*INDEX(Precio_O,9)*INDEX(IdxPrecio_O,1,MIN(10,BF$17))*(1+P_dPrecio)</f>
        <v>0</v>
      </c>
      <c r="BG41" s="34" t="n">
        <f aca="false">BG$29*INDEX(Precio_O,9)*INDEX(IdxPrecio_O,1,MIN(10,BG$17))*(1+P_dPrecio)</f>
        <v>0</v>
      </c>
      <c r="BH41" s="34" t="n">
        <f aca="false">BH$29*INDEX(Precio_O,9)*INDEX(IdxPrecio_O,1,MIN(10,BH$17))*(1+P_dPrecio)</f>
        <v>0</v>
      </c>
      <c r="BI41" s="34" t="n">
        <f aca="false">BI$29*INDEX(Precio_O,9)*INDEX(IdxPrecio_O,1,MIN(10,BI$17))*(1+P_dPrecio)</f>
        <v>0</v>
      </c>
      <c r="BJ41" s="34" t="n">
        <f aca="false">BJ$29*INDEX(Precio_O,9)*INDEX(IdxPrecio_O,1,MIN(10,BJ$17))*(1+P_dPrecio)</f>
        <v>0</v>
      </c>
      <c r="BK41" s="34" t="n">
        <f aca="false">BK$29*INDEX(Precio_O,9)*INDEX(IdxPrecio_O,1,MIN(10,BK$17))*(1+P_dPrecio)</f>
        <v>0</v>
      </c>
      <c r="BL41" s="34" t="n">
        <f aca="false">BL$29*INDEX(Precio_O,9)*INDEX(IdxPrecio_O,1,MIN(10,BL$17))*(1+P_dPrecio)</f>
        <v>0</v>
      </c>
      <c r="BM41" s="34" t="n">
        <f aca="false">BM$29*INDEX(Precio_O,9)*INDEX(IdxPrecio_O,1,MIN(10,BM$17))*(1+P_dPrecio)</f>
        <v>0</v>
      </c>
      <c r="BN41" s="34" t="n">
        <f aca="false">BN$29*INDEX(Precio_O,9)*INDEX(IdxPrecio_O,1,MIN(10,BN$17))*(1+P_dPrecio)</f>
        <v>0</v>
      </c>
      <c r="BO41" s="34" t="n">
        <f aca="false">BO$29*INDEX(Precio_O,9)*INDEX(IdxPrecio_O,1,MIN(10,BO$17))*(1+P_dPrecio)</f>
        <v>0</v>
      </c>
      <c r="BP41" s="34" t="n">
        <f aca="false">BP$29*INDEX(Precio_O,9)*INDEX(IdxPrecio_O,1,MIN(10,BP$17))*(1+P_dPrecio)</f>
        <v>0</v>
      </c>
      <c r="BQ41" s="34" t="n">
        <f aca="false">BQ$29*INDEX(Precio_O,9)*INDEX(IdxPrecio_O,1,MIN(10,BQ$17))*(1+P_dPrecio)</f>
        <v>0</v>
      </c>
      <c r="BR41" s="34" t="n">
        <f aca="false">BR$29*INDEX(Precio_O,9)*INDEX(IdxPrecio_O,1,MIN(10,BR$17))*(1+P_dPrecio)</f>
        <v>0</v>
      </c>
      <c r="BS41" s="34" t="n">
        <f aca="false">BS$29*INDEX(Precio_O,9)*INDEX(IdxPrecio_O,1,MIN(10,BS$17))*(1+P_dPrecio)</f>
        <v>0</v>
      </c>
      <c r="BT41" s="34" t="n">
        <f aca="false">BT$29*INDEX(Precio_O,9)*INDEX(IdxPrecio_O,1,MIN(10,BT$17))*(1+P_dPrecio)</f>
        <v>0</v>
      </c>
      <c r="BU41" s="34" t="n">
        <f aca="false">BU$29*INDEX(Precio_O,9)*INDEX(IdxPrecio_O,1,MIN(10,BU$17))*(1+P_dPrecio)</f>
        <v>0</v>
      </c>
      <c r="BV41" s="34" t="n">
        <f aca="false">BV$29*INDEX(Precio_O,9)*INDEX(IdxPrecio_O,1,MIN(10,BV$17))*(1+P_dPrecio)</f>
        <v>0</v>
      </c>
      <c r="BW41" s="34" t="n">
        <f aca="false">BW$29*INDEX(Precio_O,9)*INDEX(IdxPrecio_O,1,MIN(10,BW$17))*(1+P_dPrecio)</f>
        <v>0</v>
      </c>
      <c r="BX41" s="34" t="n">
        <f aca="false">BX$29*INDEX(Precio_O,9)*INDEX(IdxPrecio_O,1,MIN(10,BX$17))*(1+P_dPrecio)</f>
        <v>0</v>
      </c>
      <c r="BY41" s="34" t="n">
        <f aca="false">BY$29*INDEX(Precio_O,9)*INDEX(IdxPrecio_O,1,MIN(10,BY$17))*(1+P_dPrecio)</f>
        <v>0</v>
      </c>
      <c r="BZ41" s="34" t="n">
        <f aca="false">BZ$29*INDEX(Precio_O,9)*INDEX(IdxPrecio_O,1,MIN(10,BZ$17))*(1+P_dPrecio)</f>
        <v>0</v>
      </c>
      <c r="CA41" s="34" t="n">
        <f aca="false">CA$29*INDEX(Precio_O,9)*INDEX(IdxPrecio_O,1,MIN(10,CA$17))*(1+P_dPrecio)</f>
        <v>0</v>
      </c>
      <c r="CB41" s="34" t="n">
        <f aca="false">CB$29*INDEX(Precio_O,9)*INDEX(IdxPrecio_O,1,MIN(10,CB$17))*(1+P_dPrecio)</f>
        <v>0</v>
      </c>
      <c r="CC41" s="34" t="n">
        <f aca="false">CC$29*INDEX(Precio_O,9)*INDEX(IdxPrecio_O,1,MIN(10,CC$17))*(1+P_dPrecio)</f>
        <v>0</v>
      </c>
      <c r="CD41" s="34" t="n">
        <f aca="false">CD$29*INDEX(Precio_O,9)*INDEX(IdxPrecio_O,1,MIN(10,CD$17))*(1+P_dPrecio)</f>
        <v>0</v>
      </c>
      <c r="CE41" s="34" t="n">
        <f aca="false">CE$29*INDEX(Precio_O,9)*INDEX(IdxPrecio_O,1,MIN(10,CE$17))*(1+P_dPrecio)</f>
        <v>0</v>
      </c>
      <c r="CF41" s="34" t="n">
        <f aca="false">CF$29*INDEX(Precio_O,9)*INDEX(IdxPrecio_O,1,MIN(10,CF$17))*(1+P_dPrecio)</f>
        <v>0</v>
      </c>
      <c r="CG41" s="34" t="n">
        <f aca="false">CG$29*INDEX(Precio_O,9)*INDEX(IdxPrecio_O,1,MIN(10,CG$17))*(1+P_dPrecio)</f>
        <v>0</v>
      </c>
      <c r="CH41" s="34" t="n">
        <f aca="false">CH$29*INDEX(Precio_O,9)*INDEX(IdxPrecio_O,1,MIN(10,CH$17))*(1+P_dPrecio)</f>
        <v>0</v>
      </c>
      <c r="CI41" s="34" t="n">
        <f aca="false">CI$29*INDEX(Precio_O,9)*INDEX(IdxPrecio_O,1,MIN(10,CI$17))*(1+P_dPrecio)</f>
        <v>0</v>
      </c>
      <c r="CJ41" s="34" t="n">
        <f aca="false">CJ$29*INDEX(Precio_O,9)*INDEX(IdxPrecio_O,1,MIN(10,CJ$17))*(1+P_dPrecio)</f>
        <v>0</v>
      </c>
      <c r="CK41" s="34" t="n">
        <f aca="false">CK$29*INDEX(Precio_O,9)*INDEX(IdxPrecio_O,1,MIN(10,CK$17))*(1+P_dPrecio)</f>
        <v>0</v>
      </c>
      <c r="CL41" s="34" t="n">
        <f aca="false">CL$29*INDEX(Precio_O,9)*INDEX(IdxPrecio_O,1,MIN(10,CL$17))*(1+P_dPrecio)</f>
        <v>0</v>
      </c>
      <c r="CM41" s="34" t="n">
        <f aca="false">CM$29*INDEX(Precio_O,9)*INDEX(IdxPrecio_O,1,MIN(10,CM$17))*(1+P_dPrecio)</f>
        <v>0</v>
      </c>
      <c r="CN41" s="34" t="n">
        <f aca="false">CN$29*INDEX(Precio_O,9)*INDEX(IdxPrecio_O,1,MIN(10,CN$17))*(1+P_dPrecio)</f>
        <v>0</v>
      </c>
      <c r="CO41" s="34" t="n">
        <f aca="false">CO$29*INDEX(Precio_O,9)*INDEX(IdxPrecio_O,1,MIN(10,CO$17))*(1+P_dPrecio)</f>
        <v>0</v>
      </c>
      <c r="CP41" s="34" t="n">
        <f aca="false">CP$29*INDEX(Precio_O,9)*INDEX(IdxPrecio_O,1,MIN(10,CP$17))*(1+P_dPrecio)</f>
        <v>0</v>
      </c>
      <c r="CQ41" s="34" t="n">
        <f aca="false">CQ$29*INDEX(Precio_O,9)*INDEX(IdxPrecio_O,1,MIN(10,CQ$17))*(1+P_dPrecio)</f>
        <v>0</v>
      </c>
      <c r="CR41" s="34" t="n">
        <f aca="false">CR$29*INDEX(Precio_O,9)*INDEX(IdxPrecio_O,1,MIN(10,CR$17))*(1+P_dPrecio)</f>
        <v>0</v>
      </c>
      <c r="CS41" s="34" t="n">
        <f aca="false">CS$29*INDEX(Precio_O,9)*INDEX(IdxPrecio_O,1,MIN(10,CS$17))*(1+P_dPrecio)</f>
        <v>0</v>
      </c>
      <c r="CT41" s="34" t="n">
        <f aca="false">CT$29*INDEX(Precio_O,9)*INDEX(IdxPrecio_O,1,MIN(10,CT$17))*(1+P_dPrecio)</f>
        <v>0</v>
      </c>
      <c r="CU41" s="34" t="n">
        <f aca="false">CU$29*INDEX(Precio_O,9)*INDEX(IdxPrecio_O,1,MIN(10,CU$17))*(1+P_dPrecio)</f>
        <v>0</v>
      </c>
      <c r="CV41" s="34" t="n">
        <f aca="false">CV$29*INDEX(Precio_O,9)*INDEX(IdxPrecio_O,1,MIN(10,CV$17))*(1+P_dPrecio)</f>
        <v>0</v>
      </c>
      <c r="CW41" s="34" t="n">
        <f aca="false">CW$29*INDEX(Precio_O,9)*INDEX(IdxPrecio_O,1,MIN(10,CW$17))*(1+P_dPrecio)</f>
        <v>0</v>
      </c>
      <c r="CX41" s="34" t="n">
        <f aca="false">CX$29*INDEX(Precio_O,9)*INDEX(IdxPrecio_O,1,MIN(10,CX$17))*(1+P_dPrecio)</f>
        <v>0</v>
      </c>
      <c r="CY41" s="34" t="n">
        <f aca="false">CY$29*INDEX(Precio_O,9)*INDEX(IdxPrecio_O,1,MIN(10,CY$17))*(1+P_dPrecio)</f>
        <v>0</v>
      </c>
      <c r="CZ41" s="34" t="n">
        <f aca="false">CZ$29*INDEX(Precio_O,9)*INDEX(IdxPrecio_O,1,MIN(10,CZ$17))*(1+P_dPrecio)</f>
        <v>0</v>
      </c>
      <c r="DA41" s="34" t="n">
        <f aca="false">DA$29*INDEX(Precio_O,9)*INDEX(IdxPrecio_O,1,MIN(10,DA$17))*(1+P_dPrecio)</f>
        <v>0</v>
      </c>
      <c r="DB41" s="34" t="n">
        <f aca="false">DB$29*INDEX(Precio_O,9)*INDEX(IdxPrecio_O,1,MIN(10,DB$17))*(1+P_dPrecio)</f>
        <v>0</v>
      </c>
      <c r="DC41" s="34" t="n">
        <f aca="false">DC$29*INDEX(Precio_O,9)*INDEX(IdxPrecio_O,1,MIN(10,DC$17))*(1+P_dPrecio)</f>
        <v>0</v>
      </c>
      <c r="DD41" s="34" t="n">
        <f aca="false">DD$29*INDEX(Precio_O,9)*INDEX(IdxPrecio_O,1,MIN(10,DD$17))*(1+P_dPrecio)</f>
        <v>0</v>
      </c>
      <c r="DE41" s="34" t="n">
        <f aca="false">DE$29*INDEX(Precio_O,9)*INDEX(IdxPrecio_O,1,MIN(10,DE$17))*(1+P_dPrecio)</f>
        <v>0</v>
      </c>
      <c r="DF41" s="34" t="n">
        <f aca="false">DF$29*INDEX(Precio_O,9)*INDEX(IdxPrecio_O,1,MIN(10,DF$17))*(1+P_dPrecio)</f>
        <v>0</v>
      </c>
      <c r="DG41" s="34" t="n">
        <f aca="false">DG$29*INDEX(Precio_O,9)*INDEX(IdxPrecio_O,1,MIN(10,DG$17))*(1+P_dPrecio)</f>
        <v>0</v>
      </c>
      <c r="DH41" s="34" t="n">
        <f aca="false">DH$29*INDEX(Precio_O,9)*INDEX(IdxPrecio_O,1,MIN(10,DH$17))*(1+P_dPrecio)</f>
        <v>0</v>
      </c>
      <c r="DI41" s="34" t="n">
        <f aca="false">DI$29*INDEX(Precio_O,9)*INDEX(IdxPrecio_O,1,MIN(10,DI$17))*(1+P_dPrecio)</f>
        <v>0</v>
      </c>
      <c r="DJ41" s="34" t="n">
        <f aca="false">DJ$29*INDEX(Precio_O,9)*INDEX(IdxPrecio_O,1,MIN(10,DJ$17))*(1+P_dPrecio)</f>
        <v>0</v>
      </c>
      <c r="DK41" s="34" t="n">
        <f aca="false">DK$29*INDEX(Precio_O,9)*INDEX(IdxPrecio_O,1,MIN(10,DK$17))*(1+P_dPrecio)</f>
        <v>0</v>
      </c>
      <c r="DL41" s="34" t="n">
        <f aca="false">DL$29*INDEX(Precio_O,9)*INDEX(IdxPrecio_O,1,MIN(10,DL$17))*(1+P_dPrecio)</f>
        <v>0</v>
      </c>
      <c r="DM41" s="34" t="n">
        <f aca="false">DM$29*INDEX(Precio_O,9)*INDEX(IdxPrecio_O,1,MIN(10,DM$17))*(1+P_dPrecio)</f>
        <v>0</v>
      </c>
      <c r="DN41" s="34" t="n">
        <f aca="false">DN$29*INDEX(Precio_O,9)*INDEX(IdxPrecio_O,1,MIN(10,DN$17))*(1+P_dPrecio)</f>
        <v>0</v>
      </c>
      <c r="DO41" s="34" t="n">
        <f aca="false">DO$29*INDEX(Precio_O,9)*INDEX(IdxPrecio_O,1,MIN(10,DO$17))*(1+P_dPrecio)</f>
        <v>0</v>
      </c>
      <c r="DP41" s="34" t="n">
        <f aca="false">DP$29*INDEX(Precio_O,9)*INDEX(IdxPrecio_O,1,MIN(10,DP$17))*(1+P_dPrecio)</f>
        <v>0</v>
      </c>
      <c r="DQ41" s="34" t="n">
        <f aca="false">DQ$29*INDEX(Precio_O,9)*INDEX(IdxPrecio_O,1,MIN(10,DQ$17))*(1+P_dPrecio)</f>
        <v>0</v>
      </c>
      <c r="DR41" s="34" t="n">
        <f aca="false">DR$29*INDEX(Precio_O,9)*INDEX(IdxPrecio_O,1,MIN(10,DR$17))*(1+P_dPrecio)</f>
        <v>0</v>
      </c>
      <c r="DS41" s="34" t="n">
        <f aca="false">DS$29*INDEX(Precio_O,9)*INDEX(IdxPrecio_O,1,MIN(10,DS$17))*(1+P_dPrecio)</f>
        <v>0</v>
      </c>
      <c r="DT41" s="34" t="n">
        <f aca="false">DT$29*INDEX(Precio_O,9)*INDEX(IdxPrecio_O,1,MIN(10,DT$17))*(1+P_dPrecio)</f>
        <v>0</v>
      </c>
      <c r="DU41" s="34" t="n">
        <f aca="false">DU$29*INDEX(Precio_O,9)*INDEX(IdxPrecio_O,1,MIN(10,DU$17))*(1+P_dPrecio)</f>
        <v>0</v>
      </c>
      <c r="DV41" s="34" t="n">
        <f aca="false">DV$29*INDEX(Precio_O,9)*INDEX(IdxPrecio_O,1,MIN(10,DV$17))*(1+P_dPrecio)</f>
        <v>0</v>
      </c>
      <c r="DW41" s="34" t="n">
        <f aca="false">DW$29*INDEX(Precio_O,9)*INDEX(IdxPrecio_O,1,MIN(10,DW$17))*(1+P_dPrecio)</f>
        <v>0</v>
      </c>
      <c r="DX41" s="34" t="n">
        <f aca="false">DX$29*INDEX(Precio_O,9)*INDEX(IdxPrecio_O,1,MIN(10,DX$17))*(1+P_dPrecio)</f>
        <v>0</v>
      </c>
      <c r="DY41" s="34" t="n">
        <f aca="false">DY$29*INDEX(Precio_O,9)*INDEX(IdxPrecio_O,1,MIN(10,DY$17))*(1+P_dPrecio)</f>
        <v>0</v>
      </c>
      <c r="DZ41" s="34" t="n">
        <f aca="false">DZ$29*INDEX(Precio_O,9)*INDEX(IdxPrecio_O,1,MIN(10,DZ$17))*(1+P_dPrecio)</f>
        <v>0</v>
      </c>
      <c r="EA41" s="34" t="n">
        <f aca="false">EA$29*INDEX(Precio_O,9)*INDEX(IdxPrecio_O,1,MIN(10,EA$17))*(1+P_dPrecio)</f>
        <v>0</v>
      </c>
      <c r="EB41" s="34" t="n">
        <f aca="false">EB$29*INDEX(Precio_O,9)*INDEX(IdxPrecio_O,1,MIN(10,EB$17))*(1+P_dPrecio)</f>
        <v>0</v>
      </c>
      <c r="EC41" s="34" t="n">
        <f aca="false">EC$29*INDEX(Precio_O,9)*INDEX(IdxPrecio_O,1,MIN(10,EC$17))*(1+P_dPrecio)</f>
        <v>0</v>
      </c>
      <c r="ED41" s="34" t="n">
        <f aca="false">ED$29*INDEX(Precio_O,9)*INDEX(IdxPrecio_O,1,MIN(10,ED$17))*(1+P_dPrecio)</f>
        <v>0</v>
      </c>
      <c r="EE41" s="34" t="n">
        <f aca="false">EE$29*INDEX(Precio_O,9)*INDEX(IdxPrecio_O,1,MIN(10,EE$17))*(1+P_dPrecio)</f>
        <v>0</v>
      </c>
      <c r="EF41" s="34" t="n">
        <f aca="false">EF$29*INDEX(Precio_O,9)*INDEX(IdxPrecio_O,1,MIN(10,EF$17))*(1+P_dPrecio)</f>
        <v>0</v>
      </c>
      <c r="EG41" s="34" t="n">
        <f aca="false">EG$29*INDEX(Precio_O,9)*INDEX(IdxPrecio_O,1,MIN(10,EG$17))*(1+P_dPrecio)</f>
        <v>0</v>
      </c>
      <c r="EH41" s="34" t="n">
        <f aca="false">EH$29*INDEX(Precio_O,9)*INDEX(IdxPrecio_O,1,MIN(10,EH$17))*(1+P_dPrecio)</f>
        <v>0</v>
      </c>
      <c r="EI41" s="34" t="n">
        <f aca="false">EI$29*INDEX(Precio_O,9)*INDEX(IdxPrecio_O,1,MIN(10,EI$17))*(1+P_dPrecio)</f>
        <v>0</v>
      </c>
      <c r="EJ41" s="34" t="n">
        <f aca="false">EJ$29*INDEX(Precio_O,9)*INDEX(IdxPrecio_O,1,MIN(10,EJ$17))*(1+P_dPrecio)</f>
        <v>0</v>
      </c>
      <c r="EK41" s="34" t="n">
        <f aca="false">EK$29*INDEX(Precio_O,9)*INDEX(IdxPrecio_O,1,MIN(10,EK$17))*(1+P_dPrecio)</f>
        <v>0</v>
      </c>
      <c r="EL41" s="34" t="n">
        <f aca="false">EL$29*INDEX(Precio_O,9)*INDEX(IdxPrecio_O,1,MIN(10,EL$17))*(1+P_dPrecio)</f>
        <v>0</v>
      </c>
      <c r="EM41" s="34" t="n">
        <f aca="false">EM$29*INDEX(Precio_O,9)*INDEX(IdxPrecio_O,1,MIN(10,EM$17))*(1+P_dPrecio)</f>
        <v>0</v>
      </c>
      <c r="EN41" s="34" t="n">
        <f aca="false">EN$29*INDEX(Precio_O,9)*INDEX(IdxPrecio_O,1,MIN(10,EN$17))*(1+P_dPrecio)</f>
        <v>0</v>
      </c>
      <c r="EO41" s="34" t="n">
        <f aca="false">EO$29*INDEX(Precio_O,9)*INDEX(IdxPrecio_O,1,MIN(10,EO$17))*(1+P_dPrecio)</f>
        <v>0</v>
      </c>
      <c r="EP41" s="34" t="n">
        <f aca="false">EP$29*INDEX(Precio_O,9)*INDEX(IdxPrecio_O,1,MIN(10,EP$17))*(1+P_dPrecio)</f>
        <v>0</v>
      </c>
      <c r="EQ41" s="34" t="n">
        <f aca="false">EQ$29*INDEX(Precio_O,9)*INDEX(IdxPrecio_O,1,MIN(10,EQ$17))*(1+P_dPrecio)</f>
        <v>0</v>
      </c>
      <c r="ER41" s="34" t="n">
        <f aca="false">ER$29*INDEX(Precio_O,9)*INDEX(IdxPrecio_O,1,MIN(10,ER$17))*(1+P_dPrecio)</f>
        <v>0</v>
      </c>
      <c r="ES41" s="34" t="n">
        <f aca="false">ES$29*INDEX(Precio_O,9)*INDEX(IdxPrecio_O,1,MIN(10,ES$17))*(1+P_dPrecio)</f>
        <v>0</v>
      </c>
    </row>
    <row r="42" customFormat="false" ht="15" hidden="false" customHeight="false" outlineLevel="0" collapsed="false">
      <c r="A42" s="2" t="s">
        <v>453</v>
      </c>
      <c r="B42" s="39" t="str">
        <f aca="false">IF(INDEX(Prod_Nombre,10)="","Producto 10",INDEX(Prod_Nombre,10))&amp;" — ventas USD"</f>
        <v>Producto 10 — ventas USD</v>
      </c>
      <c r="C42" s="6" t="s">
        <v>212</v>
      </c>
      <c r="E42" s="40" t="n">
        <f aca="false">SUM(F42:ES42)</f>
        <v>0</v>
      </c>
      <c r="F42" s="34" t="n">
        <f aca="false">F$30*INDEX(Precio_O,10)*INDEX(IdxPrecio_O,1,MIN(10,F$17))*(1+P_dPrecio)</f>
        <v>0</v>
      </c>
      <c r="G42" s="34" t="n">
        <f aca="false">G$30*INDEX(Precio_O,10)*INDEX(IdxPrecio_O,1,MIN(10,G$17))*(1+P_dPrecio)</f>
        <v>0</v>
      </c>
      <c r="H42" s="34" t="n">
        <f aca="false">H$30*INDEX(Precio_O,10)*INDEX(IdxPrecio_O,1,MIN(10,H$17))*(1+P_dPrecio)</f>
        <v>0</v>
      </c>
      <c r="I42" s="34" t="n">
        <f aca="false">I$30*INDEX(Precio_O,10)*INDEX(IdxPrecio_O,1,MIN(10,I$17))*(1+P_dPrecio)</f>
        <v>0</v>
      </c>
      <c r="J42" s="34" t="n">
        <f aca="false">J$30*INDEX(Precio_O,10)*INDEX(IdxPrecio_O,1,MIN(10,J$17))*(1+P_dPrecio)</f>
        <v>0</v>
      </c>
      <c r="K42" s="34" t="n">
        <f aca="false">K$30*INDEX(Precio_O,10)*INDEX(IdxPrecio_O,1,MIN(10,K$17))*(1+P_dPrecio)</f>
        <v>0</v>
      </c>
      <c r="L42" s="34" t="n">
        <f aca="false">L$30*INDEX(Precio_O,10)*INDEX(IdxPrecio_O,1,MIN(10,L$17))*(1+P_dPrecio)</f>
        <v>0</v>
      </c>
      <c r="M42" s="34" t="n">
        <f aca="false">M$30*INDEX(Precio_O,10)*INDEX(IdxPrecio_O,1,MIN(10,M$17))*(1+P_dPrecio)</f>
        <v>0</v>
      </c>
      <c r="N42" s="34" t="n">
        <f aca="false">N$30*INDEX(Precio_O,10)*INDEX(IdxPrecio_O,1,MIN(10,N$17))*(1+P_dPrecio)</f>
        <v>0</v>
      </c>
      <c r="O42" s="34" t="n">
        <f aca="false">O$30*INDEX(Precio_O,10)*INDEX(IdxPrecio_O,1,MIN(10,O$17))*(1+P_dPrecio)</f>
        <v>0</v>
      </c>
      <c r="P42" s="34" t="n">
        <f aca="false">P$30*INDEX(Precio_O,10)*INDEX(IdxPrecio_O,1,MIN(10,P$17))*(1+P_dPrecio)</f>
        <v>0</v>
      </c>
      <c r="Q42" s="34" t="n">
        <f aca="false">Q$30*INDEX(Precio_O,10)*INDEX(IdxPrecio_O,1,MIN(10,Q$17))*(1+P_dPrecio)</f>
        <v>0</v>
      </c>
      <c r="R42" s="34" t="n">
        <f aca="false">R$30*INDEX(Precio_O,10)*INDEX(IdxPrecio_O,1,MIN(10,R$17))*(1+P_dPrecio)</f>
        <v>0</v>
      </c>
      <c r="S42" s="34" t="n">
        <f aca="false">S$30*INDEX(Precio_O,10)*INDEX(IdxPrecio_O,1,MIN(10,S$17))*(1+P_dPrecio)</f>
        <v>0</v>
      </c>
      <c r="T42" s="34" t="n">
        <f aca="false">T$30*INDEX(Precio_O,10)*INDEX(IdxPrecio_O,1,MIN(10,T$17))*(1+P_dPrecio)</f>
        <v>0</v>
      </c>
      <c r="U42" s="34" t="n">
        <f aca="false">U$30*INDEX(Precio_O,10)*INDEX(IdxPrecio_O,1,MIN(10,U$17))*(1+P_dPrecio)</f>
        <v>0</v>
      </c>
      <c r="V42" s="34" t="n">
        <f aca="false">V$30*INDEX(Precio_O,10)*INDEX(IdxPrecio_O,1,MIN(10,V$17))*(1+P_dPrecio)</f>
        <v>0</v>
      </c>
      <c r="W42" s="34" t="n">
        <f aca="false">W$30*INDEX(Precio_O,10)*INDEX(IdxPrecio_O,1,MIN(10,W$17))*(1+P_dPrecio)</f>
        <v>0</v>
      </c>
      <c r="X42" s="34" t="n">
        <f aca="false">X$30*INDEX(Precio_O,10)*INDEX(IdxPrecio_O,1,MIN(10,X$17))*(1+P_dPrecio)</f>
        <v>0</v>
      </c>
      <c r="Y42" s="34" t="n">
        <f aca="false">Y$30*INDEX(Precio_O,10)*INDEX(IdxPrecio_O,1,MIN(10,Y$17))*(1+P_dPrecio)</f>
        <v>0</v>
      </c>
      <c r="Z42" s="34" t="n">
        <f aca="false">Z$30*INDEX(Precio_O,10)*INDEX(IdxPrecio_O,1,MIN(10,Z$17))*(1+P_dPrecio)</f>
        <v>0</v>
      </c>
      <c r="AA42" s="34" t="n">
        <f aca="false">AA$30*INDEX(Precio_O,10)*INDEX(IdxPrecio_O,1,MIN(10,AA$17))*(1+P_dPrecio)</f>
        <v>0</v>
      </c>
      <c r="AB42" s="34" t="n">
        <f aca="false">AB$30*INDEX(Precio_O,10)*INDEX(IdxPrecio_O,1,MIN(10,AB$17))*(1+P_dPrecio)</f>
        <v>0</v>
      </c>
      <c r="AC42" s="34" t="n">
        <f aca="false">AC$30*INDEX(Precio_O,10)*INDEX(IdxPrecio_O,1,MIN(10,AC$17))*(1+P_dPrecio)</f>
        <v>0</v>
      </c>
      <c r="AD42" s="34" t="n">
        <f aca="false">AD$30*INDEX(Precio_O,10)*INDEX(IdxPrecio_O,1,MIN(10,AD$17))*(1+P_dPrecio)</f>
        <v>0</v>
      </c>
      <c r="AE42" s="34" t="n">
        <f aca="false">AE$30*INDEX(Precio_O,10)*INDEX(IdxPrecio_O,1,MIN(10,AE$17))*(1+P_dPrecio)</f>
        <v>0</v>
      </c>
      <c r="AF42" s="34" t="n">
        <f aca="false">AF$30*INDEX(Precio_O,10)*INDEX(IdxPrecio_O,1,MIN(10,AF$17))*(1+P_dPrecio)</f>
        <v>0</v>
      </c>
      <c r="AG42" s="34" t="n">
        <f aca="false">AG$30*INDEX(Precio_O,10)*INDEX(IdxPrecio_O,1,MIN(10,AG$17))*(1+P_dPrecio)</f>
        <v>0</v>
      </c>
      <c r="AH42" s="34" t="n">
        <f aca="false">AH$30*INDEX(Precio_O,10)*INDEX(IdxPrecio_O,1,MIN(10,AH$17))*(1+P_dPrecio)</f>
        <v>0</v>
      </c>
      <c r="AI42" s="34" t="n">
        <f aca="false">AI$30*INDEX(Precio_O,10)*INDEX(IdxPrecio_O,1,MIN(10,AI$17))*(1+P_dPrecio)</f>
        <v>0</v>
      </c>
      <c r="AJ42" s="34" t="n">
        <f aca="false">AJ$30*INDEX(Precio_O,10)*INDEX(IdxPrecio_O,1,MIN(10,AJ$17))*(1+P_dPrecio)</f>
        <v>0</v>
      </c>
      <c r="AK42" s="34" t="n">
        <f aca="false">AK$30*INDEX(Precio_O,10)*INDEX(IdxPrecio_O,1,MIN(10,AK$17))*(1+P_dPrecio)</f>
        <v>0</v>
      </c>
      <c r="AL42" s="34" t="n">
        <f aca="false">AL$30*INDEX(Precio_O,10)*INDEX(IdxPrecio_O,1,MIN(10,AL$17))*(1+P_dPrecio)</f>
        <v>0</v>
      </c>
      <c r="AM42" s="34" t="n">
        <f aca="false">AM$30*INDEX(Precio_O,10)*INDEX(IdxPrecio_O,1,MIN(10,AM$17))*(1+P_dPrecio)</f>
        <v>0</v>
      </c>
      <c r="AN42" s="34" t="n">
        <f aca="false">AN$30*INDEX(Precio_O,10)*INDEX(IdxPrecio_O,1,MIN(10,AN$17))*(1+P_dPrecio)</f>
        <v>0</v>
      </c>
      <c r="AO42" s="34" t="n">
        <f aca="false">AO$30*INDEX(Precio_O,10)*INDEX(IdxPrecio_O,1,MIN(10,AO$17))*(1+P_dPrecio)</f>
        <v>0</v>
      </c>
      <c r="AP42" s="34" t="n">
        <f aca="false">AP$30*INDEX(Precio_O,10)*INDEX(IdxPrecio_O,1,MIN(10,AP$17))*(1+P_dPrecio)</f>
        <v>0</v>
      </c>
      <c r="AQ42" s="34" t="n">
        <f aca="false">AQ$30*INDEX(Precio_O,10)*INDEX(IdxPrecio_O,1,MIN(10,AQ$17))*(1+P_dPrecio)</f>
        <v>0</v>
      </c>
      <c r="AR42" s="34" t="n">
        <f aca="false">AR$30*INDEX(Precio_O,10)*INDEX(IdxPrecio_O,1,MIN(10,AR$17))*(1+P_dPrecio)</f>
        <v>0</v>
      </c>
      <c r="AS42" s="34" t="n">
        <f aca="false">AS$30*INDEX(Precio_O,10)*INDEX(IdxPrecio_O,1,MIN(10,AS$17))*(1+P_dPrecio)</f>
        <v>0</v>
      </c>
      <c r="AT42" s="34" t="n">
        <f aca="false">AT$30*INDEX(Precio_O,10)*INDEX(IdxPrecio_O,1,MIN(10,AT$17))*(1+P_dPrecio)</f>
        <v>0</v>
      </c>
      <c r="AU42" s="34" t="n">
        <f aca="false">AU$30*INDEX(Precio_O,10)*INDEX(IdxPrecio_O,1,MIN(10,AU$17))*(1+P_dPrecio)</f>
        <v>0</v>
      </c>
      <c r="AV42" s="34" t="n">
        <f aca="false">AV$30*INDEX(Precio_O,10)*INDEX(IdxPrecio_O,1,MIN(10,AV$17))*(1+P_dPrecio)</f>
        <v>0</v>
      </c>
      <c r="AW42" s="34" t="n">
        <f aca="false">AW$30*INDEX(Precio_O,10)*INDEX(IdxPrecio_O,1,MIN(10,AW$17))*(1+P_dPrecio)</f>
        <v>0</v>
      </c>
      <c r="AX42" s="34" t="n">
        <f aca="false">AX$30*INDEX(Precio_O,10)*INDEX(IdxPrecio_O,1,MIN(10,AX$17))*(1+P_dPrecio)</f>
        <v>0</v>
      </c>
      <c r="AY42" s="34" t="n">
        <f aca="false">AY$30*INDEX(Precio_O,10)*INDEX(IdxPrecio_O,1,MIN(10,AY$17))*(1+P_dPrecio)</f>
        <v>0</v>
      </c>
      <c r="AZ42" s="34" t="n">
        <f aca="false">AZ$30*INDEX(Precio_O,10)*INDEX(IdxPrecio_O,1,MIN(10,AZ$17))*(1+P_dPrecio)</f>
        <v>0</v>
      </c>
      <c r="BA42" s="34" t="n">
        <f aca="false">BA$30*INDEX(Precio_O,10)*INDEX(IdxPrecio_O,1,MIN(10,BA$17))*(1+P_dPrecio)</f>
        <v>0</v>
      </c>
      <c r="BB42" s="34" t="n">
        <f aca="false">BB$30*INDEX(Precio_O,10)*INDEX(IdxPrecio_O,1,MIN(10,BB$17))*(1+P_dPrecio)</f>
        <v>0</v>
      </c>
      <c r="BC42" s="34" t="n">
        <f aca="false">BC$30*INDEX(Precio_O,10)*INDEX(IdxPrecio_O,1,MIN(10,BC$17))*(1+P_dPrecio)</f>
        <v>0</v>
      </c>
      <c r="BD42" s="34" t="n">
        <f aca="false">BD$30*INDEX(Precio_O,10)*INDEX(IdxPrecio_O,1,MIN(10,BD$17))*(1+P_dPrecio)</f>
        <v>0</v>
      </c>
      <c r="BE42" s="34" t="n">
        <f aca="false">BE$30*INDEX(Precio_O,10)*INDEX(IdxPrecio_O,1,MIN(10,BE$17))*(1+P_dPrecio)</f>
        <v>0</v>
      </c>
      <c r="BF42" s="34" t="n">
        <f aca="false">BF$30*INDEX(Precio_O,10)*INDEX(IdxPrecio_O,1,MIN(10,BF$17))*(1+P_dPrecio)</f>
        <v>0</v>
      </c>
      <c r="BG42" s="34" t="n">
        <f aca="false">BG$30*INDEX(Precio_O,10)*INDEX(IdxPrecio_O,1,MIN(10,BG$17))*(1+P_dPrecio)</f>
        <v>0</v>
      </c>
      <c r="BH42" s="34" t="n">
        <f aca="false">BH$30*INDEX(Precio_O,10)*INDEX(IdxPrecio_O,1,MIN(10,BH$17))*(1+P_dPrecio)</f>
        <v>0</v>
      </c>
      <c r="BI42" s="34" t="n">
        <f aca="false">BI$30*INDEX(Precio_O,10)*INDEX(IdxPrecio_O,1,MIN(10,BI$17))*(1+P_dPrecio)</f>
        <v>0</v>
      </c>
      <c r="BJ42" s="34" t="n">
        <f aca="false">BJ$30*INDEX(Precio_O,10)*INDEX(IdxPrecio_O,1,MIN(10,BJ$17))*(1+P_dPrecio)</f>
        <v>0</v>
      </c>
      <c r="BK42" s="34" t="n">
        <f aca="false">BK$30*INDEX(Precio_O,10)*INDEX(IdxPrecio_O,1,MIN(10,BK$17))*(1+P_dPrecio)</f>
        <v>0</v>
      </c>
      <c r="BL42" s="34" t="n">
        <f aca="false">BL$30*INDEX(Precio_O,10)*INDEX(IdxPrecio_O,1,MIN(10,BL$17))*(1+P_dPrecio)</f>
        <v>0</v>
      </c>
      <c r="BM42" s="34" t="n">
        <f aca="false">BM$30*INDEX(Precio_O,10)*INDEX(IdxPrecio_O,1,MIN(10,BM$17))*(1+P_dPrecio)</f>
        <v>0</v>
      </c>
      <c r="BN42" s="34" t="n">
        <f aca="false">BN$30*INDEX(Precio_O,10)*INDEX(IdxPrecio_O,1,MIN(10,BN$17))*(1+P_dPrecio)</f>
        <v>0</v>
      </c>
      <c r="BO42" s="34" t="n">
        <f aca="false">BO$30*INDEX(Precio_O,10)*INDEX(IdxPrecio_O,1,MIN(10,BO$17))*(1+P_dPrecio)</f>
        <v>0</v>
      </c>
      <c r="BP42" s="34" t="n">
        <f aca="false">BP$30*INDEX(Precio_O,10)*INDEX(IdxPrecio_O,1,MIN(10,BP$17))*(1+P_dPrecio)</f>
        <v>0</v>
      </c>
      <c r="BQ42" s="34" t="n">
        <f aca="false">BQ$30*INDEX(Precio_O,10)*INDEX(IdxPrecio_O,1,MIN(10,BQ$17))*(1+P_dPrecio)</f>
        <v>0</v>
      </c>
      <c r="BR42" s="34" t="n">
        <f aca="false">BR$30*INDEX(Precio_O,10)*INDEX(IdxPrecio_O,1,MIN(10,BR$17))*(1+P_dPrecio)</f>
        <v>0</v>
      </c>
      <c r="BS42" s="34" t="n">
        <f aca="false">BS$30*INDEX(Precio_O,10)*INDEX(IdxPrecio_O,1,MIN(10,BS$17))*(1+P_dPrecio)</f>
        <v>0</v>
      </c>
      <c r="BT42" s="34" t="n">
        <f aca="false">BT$30*INDEX(Precio_O,10)*INDEX(IdxPrecio_O,1,MIN(10,BT$17))*(1+P_dPrecio)</f>
        <v>0</v>
      </c>
      <c r="BU42" s="34" t="n">
        <f aca="false">BU$30*INDEX(Precio_O,10)*INDEX(IdxPrecio_O,1,MIN(10,BU$17))*(1+P_dPrecio)</f>
        <v>0</v>
      </c>
      <c r="BV42" s="34" t="n">
        <f aca="false">BV$30*INDEX(Precio_O,10)*INDEX(IdxPrecio_O,1,MIN(10,BV$17))*(1+P_dPrecio)</f>
        <v>0</v>
      </c>
      <c r="BW42" s="34" t="n">
        <f aca="false">BW$30*INDEX(Precio_O,10)*INDEX(IdxPrecio_O,1,MIN(10,BW$17))*(1+P_dPrecio)</f>
        <v>0</v>
      </c>
      <c r="BX42" s="34" t="n">
        <f aca="false">BX$30*INDEX(Precio_O,10)*INDEX(IdxPrecio_O,1,MIN(10,BX$17))*(1+P_dPrecio)</f>
        <v>0</v>
      </c>
      <c r="BY42" s="34" t="n">
        <f aca="false">BY$30*INDEX(Precio_O,10)*INDEX(IdxPrecio_O,1,MIN(10,BY$17))*(1+P_dPrecio)</f>
        <v>0</v>
      </c>
      <c r="BZ42" s="34" t="n">
        <f aca="false">BZ$30*INDEX(Precio_O,10)*INDEX(IdxPrecio_O,1,MIN(10,BZ$17))*(1+P_dPrecio)</f>
        <v>0</v>
      </c>
      <c r="CA42" s="34" t="n">
        <f aca="false">CA$30*INDEX(Precio_O,10)*INDEX(IdxPrecio_O,1,MIN(10,CA$17))*(1+P_dPrecio)</f>
        <v>0</v>
      </c>
      <c r="CB42" s="34" t="n">
        <f aca="false">CB$30*INDEX(Precio_O,10)*INDEX(IdxPrecio_O,1,MIN(10,CB$17))*(1+P_dPrecio)</f>
        <v>0</v>
      </c>
      <c r="CC42" s="34" t="n">
        <f aca="false">CC$30*INDEX(Precio_O,10)*INDEX(IdxPrecio_O,1,MIN(10,CC$17))*(1+P_dPrecio)</f>
        <v>0</v>
      </c>
      <c r="CD42" s="34" t="n">
        <f aca="false">CD$30*INDEX(Precio_O,10)*INDEX(IdxPrecio_O,1,MIN(10,CD$17))*(1+P_dPrecio)</f>
        <v>0</v>
      </c>
      <c r="CE42" s="34" t="n">
        <f aca="false">CE$30*INDEX(Precio_O,10)*INDEX(IdxPrecio_O,1,MIN(10,CE$17))*(1+P_dPrecio)</f>
        <v>0</v>
      </c>
      <c r="CF42" s="34" t="n">
        <f aca="false">CF$30*INDEX(Precio_O,10)*INDEX(IdxPrecio_O,1,MIN(10,CF$17))*(1+P_dPrecio)</f>
        <v>0</v>
      </c>
      <c r="CG42" s="34" t="n">
        <f aca="false">CG$30*INDEX(Precio_O,10)*INDEX(IdxPrecio_O,1,MIN(10,CG$17))*(1+P_dPrecio)</f>
        <v>0</v>
      </c>
      <c r="CH42" s="34" t="n">
        <f aca="false">CH$30*INDEX(Precio_O,10)*INDEX(IdxPrecio_O,1,MIN(10,CH$17))*(1+P_dPrecio)</f>
        <v>0</v>
      </c>
      <c r="CI42" s="34" t="n">
        <f aca="false">CI$30*INDEX(Precio_O,10)*INDEX(IdxPrecio_O,1,MIN(10,CI$17))*(1+P_dPrecio)</f>
        <v>0</v>
      </c>
      <c r="CJ42" s="34" t="n">
        <f aca="false">CJ$30*INDEX(Precio_O,10)*INDEX(IdxPrecio_O,1,MIN(10,CJ$17))*(1+P_dPrecio)</f>
        <v>0</v>
      </c>
      <c r="CK42" s="34" t="n">
        <f aca="false">CK$30*INDEX(Precio_O,10)*INDEX(IdxPrecio_O,1,MIN(10,CK$17))*(1+P_dPrecio)</f>
        <v>0</v>
      </c>
      <c r="CL42" s="34" t="n">
        <f aca="false">CL$30*INDEX(Precio_O,10)*INDEX(IdxPrecio_O,1,MIN(10,CL$17))*(1+P_dPrecio)</f>
        <v>0</v>
      </c>
      <c r="CM42" s="34" t="n">
        <f aca="false">CM$30*INDEX(Precio_O,10)*INDEX(IdxPrecio_O,1,MIN(10,CM$17))*(1+P_dPrecio)</f>
        <v>0</v>
      </c>
      <c r="CN42" s="34" t="n">
        <f aca="false">CN$30*INDEX(Precio_O,10)*INDEX(IdxPrecio_O,1,MIN(10,CN$17))*(1+P_dPrecio)</f>
        <v>0</v>
      </c>
      <c r="CO42" s="34" t="n">
        <f aca="false">CO$30*INDEX(Precio_O,10)*INDEX(IdxPrecio_O,1,MIN(10,CO$17))*(1+P_dPrecio)</f>
        <v>0</v>
      </c>
      <c r="CP42" s="34" t="n">
        <f aca="false">CP$30*INDEX(Precio_O,10)*INDEX(IdxPrecio_O,1,MIN(10,CP$17))*(1+P_dPrecio)</f>
        <v>0</v>
      </c>
      <c r="CQ42" s="34" t="n">
        <f aca="false">CQ$30*INDEX(Precio_O,10)*INDEX(IdxPrecio_O,1,MIN(10,CQ$17))*(1+P_dPrecio)</f>
        <v>0</v>
      </c>
      <c r="CR42" s="34" t="n">
        <f aca="false">CR$30*INDEX(Precio_O,10)*INDEX(IdxPrecio_O,1,MIN(10,CR$17))*(1+P_dPrecio)</f>
        <v>0</v>
      </c>
      <c r="CS42" s="34" t="n">
        <f aca="false">CS$30*INDEX(Precio_O,10)*INDEX(IdxPrecio_O,1,MIN(10,CS$17))*(1+P_dPrecio)</f>
        <v>0</v>
      </c>
      <c r="CT42" s="34" t="n">
        <f aca="false">CT$30*INDEX(Precio_O,10)*INDEX(IdxPrecio_O,1,MIN(10,CT$17))*(1+P_dPrecio)</f>
        <v>0</v>
      </c>
      <c r="CU42" s="34" t="n">
        <f aca="false">CU$30*INDEX(Precio_O,10)*INDEX(IdxPrecio_O,1,MIN(10,CU$17))*(1+P_dPrecio)</f>
        <v>0</v>
      </c>
      <c r="CV42" s="34" t="n">
        <f aca="false">CV$30*INDEX(Precio_O,10)*INDEX(IdxPrecio_O,1,MIN(10,CV$17))*(1+P_dPrecio)</f>
        <v>0</v>
      </c>
      <c r="CW42" s="34" t="n">
        <f aca="false">CW$30*INDEX(Precio_O,10)*INDEX(IdxPrecio_O,1,MIN(10,CW$17))*(1+P_dPrecio)</f>
        <v>0</v>
      </c>
      <c r="CX42" s="34" t="n">
        <f aca="false">CX$30*INDEX(Precio_O,10)*INDEX(IdxPrecio_O,1,MIN(10,CX$17))*(1+P_dPrecio)</f>
        <v>0</v>
      </c>
      <c r="CY42" s="34" t="n">
        <f aca="false">CY$30*INDEX(Precio_O,10)*INDEX(IdxPrecio_O,1,MIN(10,CY$17))*(1+P_dPrecio)</f>
        <v>0</v>
      </c>
      <c r="CZ42" s="34" t="n">
        <f aca="false">CZ$30*INDEX(Precio_O,10)*INDEX(IdxPrecio_O,1,MIN(10,CZ$17))*(1+P_dPrecio)</f>
        <v>0</v>
      </c>
      <c r="DA42" s="34" t="n">
        <f aca="false">DA$30*INDEX(Precio_O,10)*INDEX(IdxPrecio_O,1,MIN(10,DA$17))*(1+P_dPrecio)</f>
        <v>0</v>
      </c>
      <c r="DB42" s="34" t="n">
        <f aca="false">DB$30*INDEX(Precio_O,10)*INDEX(IdxPrecio_O,1,MIN(10,DB$17))*(1+P_dPrecio)</f>
        <v>0</v>
      </c>
      <c r="DC42" s="34" t="n">
        <f aca="false">DC$30*INDEX(Precio_O,10)*INDEX(IdxPrecio_O,1,MIN(10,DC$17))*(1+P_dPrecio)</f>
        <v>0</v>
      </c>
      <c r="DD42" s="34" t="n">
        <f aca="false">DD$30*INDEX(Precio_O,10)*INDEX(IdxPrecio_O,1,MIN(10,DD$17))*(1+P_dPrecio)</f>
        <v>0</v>
      </c>
      <c r="DE42" s="34" t="n">
        <f aca="false">DE$30*INDEX(Precio_O,10)*INDEX(IdxPrecio_O,1,MIN(10,DE$17))*(1+P_dPrecio)</f>
        <v>0</v>
      </c>
      <c r="DF42" s="34" t="n">
        <f aca="false">DF$30*INDEX(Precio_O,10)*INDEX(IdxPrecio_O,1,MIN(10,DF$17))*(1+P_dPrecio)</f>
        <v>0</v>
      </c>
      <c r="DG42" s="34" t="n">
        <f aca="false">DG$30*INDEX(Precio_O,10)*INDEX(IdxPrecio_O,1,MIN(10,DG$17))*(1+P_dPrecio)</f>
        <v>0</v>
      </c>
      <c r="DH42" s="34" t="n">
        <f aca="false">DH$30*INDEX(Precio_O,10)*INDEX(IdxPrecio_O,1,MIN(10,DH$17))*(1+P_dPrecio)</f>
        <v>0</v>
      </c>
      <c r="DI42" s="34" t="n">
        <f aca="false">DI$30*INDEX(Precio_O,10)*INDEX(IdxPrecio_O,1,MIN(10,DI$17))*(1+P_dPrecio)</f>
        <v>0</v>
      </c>
      <c r="DJ42" s="34" t="n">
        <f aca="false">DJ$30*INDEX(Precio_O,10)*INDEX(IdxPrecio_O,1,MIN(10,DJ$17))*(1+P_dPrecio)</f>
        <v>0</v>
      </c>
      <c r="DK42" s="34" t="n">
        <f aca="false">DK$30*INDEX(Precio_O,10)*INDEX(IdxPrecio_O,1,MIN(10,DK$17))*(1+P_dPrecio)</f>
        <v>0</v>
      </c>
      <c r="DL42" s="34" t="n">
        <f aca="false">DL$30*INDEX(Precio_O,10)*INDEX(IdxPrecio_O,1,MIN(10,DL$17))*(1+P_dPrecio)</f>
        <v>0</v>
      </c>
      <c r="DM42" s="34" t="n">
        <f aca="false">DM$30*INDEX(Precio_O,10)*INDEX(IdxPrecio_O,1,MIN(10,DM$17))*(1+P_dPrecio)</f>
        <v>0</v>
      </c>
      <c r="DN42" s="34" t="n">
        <f aca="false">DN$30*INDEX(Precio_O,10)*INDEX(IdxPrecio_O,1,MIN(10,DN$17))*(1+P_dPrecio)</f>
        <v>0</v>
      </c>
      <c r="DO42" s="34" t="n">
        <f aca="false">DO$30*INDEX(Precio_O,10)*INDEX(IdxPrecio_O,1,MIN(10,DO$17))*(1+P_dPrecio)</f>
        <v>0</v>
      </c>
      <c r="DP42" s="34" t="n">
        <f aca="false">DP$30*INDEX(Precio_O,10)*INDEX(IdxPrecio_O,1,MIN(10,DP$17))*(1+P_dPrecio)</f>
        <v>0</v>
      </c>
      <c r="DQ42" s="34" t="n">
        <f aca="false">DQ$30*INDEX(Precio_O,10)*INDEX(IdxPrecio_O,1,MIN(10,DQ$17))*(1+P_dPrecio)</f>
        <v>0</v>
      </c>
      <c r="DR42" s="34" t="n">
        <f aca="false">DR$30*INDEX(Precio_O,10)*INDEX(IdxPrecio_O,1,MIN(10,DR$17))*(1+P_dPrecio)</f>
        <v>0</v>
      </c>
      <c r="DS42" s="34" t="n">
        <f aca="false">DS$30*INDEX(Precio_O,10)*INDEX(IdxPrecio_O,1,MIN(10,DS$17))*(1+P_dPrecio)</f>
        <v>0</v>
      </c>
      <c r="DT42" s="34" t="n">
        <f aca="false">DT$30*INDEX(Precio_O,10)*INDEX(IdxPrecio_O,1,MIN(10,DT$17))*(1+P_dPrecio)</f>
        <v>0</v>
      </c>
      <c r="DU42" s="34" t="n">
        <f aca="false">DU$30*INDEX(Precio_O,10)*INDEX(IdxPrecio_O,1,MIN(10,DU$17))*(1+P_dPrecio)</f>
        <v>0</v>
      </c>
      <c r="DV42" s="34" t="n">
        <f aca="false">DV$30*INDEX(Precio_O,10)*INDEX(IdxPrecio_O,1,MIN(10,DV$17))*(1+P_dPrecio)</f>
        <v>0</v>
      </c>
      <c r="DW42" s="34" t="n">
        <f aca="false">DW$30*INDEX(Precio_O,10)*INDEX(IdxPrecio_O,1,MIN(10,DW$17))*(1+P_dPrecio)</f>
        <v>0</v>
      </c>
      <c r="DX42" s="34" t="n">
        <f aca="false">DX$30*INDEX(Precio_O,10)*INDEX(IdxPrecio_O,1,MIN(10,DX$17))*(1+P_dPrecio)</f>
        <v>0</v>
      </c>
      <c r="DY42" s="34" t="n">
        <f aca="false">DY$30*INDEX(Precio_O,10)*INDEX(IdxPrecio_O,1,MIN(10,DY$17))*(1+P_dPrecio)</f>
        <v>0</v>
      </c>
      <c r="DZ42" s="34" t="n">
        <f aca="false">DZ$30*INDEX(Precio_O,10)*INDEX(IdxPrecio_O,1,MIN(10,DZ$17))*(1+P_dPrecio)</f>
        <v>0</v>
      </c>
      <c r="EA42" s="34" t="n">
        <f aca="false">EA$30*INDEX(Precio_O,10)*INDEX(IdxPrecio_O,1,MIN(10,EA$17))*(1+P_dPrecio)</f>
        <v>0</v>
      </c>
      <c r="EB42" s="34" t="n">
        <f aca="false">EB$30*INDEX(Precio_O,10)*INDEX(IdxPrecio_O,1,MIN(10,EB$17))*(1+P_dPrecio)</f>
        <v>0</v>
      </c>
      <c r="EC42" s="34" t="n">
        <f aca="false">EC$30*INDEX(Precio_O,10)*INDEX(IdxPrecio_O,1,MIN(10,EC$17))*(1+P_dPrecio)</f>
        <v>0</v>
      </c>
      <c r="ED42" s="34" t="n">
        <f aca="false">ED$30*INDEX(Precio_O,10)*INDEX(IdxPrecio_O,1,MIN(10,ED$17))*(1+P_dPrecio)</f>
        <v>0</v>
      </c>
      <c r="EE42" s="34" t="n">
        <f aca="false">EE$30*INDEX(Precio_O,10)*INDEX(IdxPrecio_O,1,MIN(10,EE$17))*(1+P_dPrecio)</f>
        <v>0</v>
      </c>
      <c r="EF42" s="34" t="n">
        <f aca="false">EF$30*INDEX(Precio_O,10)*INDEX(IdxPrecio_O,1,MIN(10,EF$17))*(1+P_dPrecio)</f>
        <v>0</v>
      </c>
      <c r="EG42" s="34" t="n">
        <f aca="false">EG$30*INDEX(Precio_O,10)*INDEX(IdxPrecio_O,1,MIN(10,EG$17))*(1+P_dPrecio)</f>
        <v>0</v>
      </c>
      <c r="EH42" s="34" t="n">
        <f aca="false">EH$30*INDEX(Precio_O,10)*INDEX(IdxPrecio_O,1,MIN(10,EH$17))*(1+P_dPrecio)</f>
        <v>0</v>
      </c>
      <c r="EI42" s="34" t="n">
        <f aca="false">EI$30*INDEX(Precio_O,10)*INDEX(IdxPrecio_O,1,MIN(10,EI$17))*(1+P_dPrecio)</f>
        <v>0</v>
      </c>
      <c r="EJ42" s="34" t="n">
        <f aca="false">EJ$30*INDEX(Precio_O,10)*INDEX(IdxPrecio_O,1,MIN(10,EJ$17))*(1+P_dPrecio)</f>
        <v>0</v>
      </c>
      <c r="EK42" s="34" t="n">
        <f aca="false">EK$30*INDEX(Precio_O,10)*INDEX(IdxPrecio_O,1,MIN(10,EK$17))*(1+P_dPrecio)</f>
        <v>0</v>
      </c>
      <c r="EL42" s="34" t="n">
        <f aca="false">EL$30*INDEX(Precio_O,10)*INDEX(IdxPrecio_O,1,MIN(10,EL$17))*(1+P_dPrecio)</f>
        <v>0</v>
      </c>
      <c r="EM42" s="34" t="n">
        <f aca="false">EM$30*INDEX(Precio_O,10)*INDEX(IdxPrecio_O,1,MIN(10,EM$17))*(1+P_dPrecio)</f>
        <v>0</v>
      </c>
      <c r="EN42" s="34" t="n">
        <f aca="false">EN$30*INDEX(Precio_O,10)*INDEX(IdxPrecio_O,1,MIN(10,EN$17))*(1+P_dPrecio)</f>
        <v>0</v>
      </c>
      <c r="EO42" s="34" t="n">
        <f aca="false">EO$30*INDEX(Precio_O,10)*INDEX(IdxPrecio_O,1,MIN(10,EO$17))*(1+P_dPrecio)</f>
        <v>0</v>
      </c>
      <c r="EP42" s="34" t="n">
        <f aca="false">EP$30*INDEX(Precio_O,10)*INDEX(IdxPrecio_O,1,MIN(10,EP$17))*(1+P_dPrecio)</f>
        <v>0</v>
      </c>
      <c r="EQ42" s="34" t="n">
        <f aca="false">EQ$30*INDEX(Precio_O,10)*INDEX(IdxPrecio_O,1,MIN(10,EQ$17))*(1+P_dPrecio)</f>
        <v>0</v>
      </c>
      <c r="ER42" s="34" t="n">
        <f aca="false">ER$30*INDEX(Precio_O,10)*INDEX(IdxPrecio_O,1,MIN(10,ER$17))*(1+P_dPrecio)</f>
        <v>0</v>
      </c>
      <c r="ES42" s="34" t="n">
        <f aca="false">ES$30*INDEX(Precio_O,10)*INDEX(IdxPrecio_O,1,MIN(10,ES$17))*(1+P_dPrecio)</f>
        <v>0</v>
      </c>
    </row>
    <row r="43" customFormat="false" ht="15" hidden="false" customHeight="false" outlineLevel="0" collapsed="false">
      <c r="A43" s="2" t="s">
        <v>454</v>
      </c>
      <c r="B43" s="39" t="str">
        <f aca="false">IF(INDEX(Prod_Nombre,11)="","Producto 11",INDEX(Prod_Nombre,11))&amp;" — ventas USD"</f>
        <v>Producto 11 — ventas USD</v>
      </c>
      <c r="C43" s="6" t="s">
        <v>212</v>
      </c>
      <c r="E43" s="40" t="n">
        <f aca="false">SUM(F43:ES43)</f>
        <v>0</v>
      </c>
      <c r="F43" s="34" t="n">
        <f aca="false">F$31*INDEX(Precio_O,11)*INDEX(IdxPrecio_O,1,MIN(10,F$17))*(1+P_dPrecio)</f>
        <v>0</v>
      </c>
      <c r="G43" s="34" t="n">
        <f aca="false">G$31*INDEX(Precio_O,11)*INDEX(IdxPrecio_O,1,MIN(10,G$17))*(1+P_dPrecio)</f>
        <v>0</v>
      </c>
      <c r="H43" s="34" t="n">
        <f aca="false">H$31*INDEX(Precio_O,11)*INDEX(IdxPrecio_O,1,MIN(10,H$17))*(1+P_dPrecio)</f>
        <v>0</v>
      </c>
      <c r="I43" s="34" t="n">
        <f aca="false">I$31*INDEX(Precio_O,11)*INDEX(IdxPrecio_O,1,MIN(10,I$17))*(1+P_dPrecio)</f>
        <v>0</v>
      </c>
      <c r="J43" s="34" t="n">
        <f aca="false">J$31*INDEX(Precio_O,11)*INDEX(IdxPrecio_O,1,MIN(10,J$17))*(1+P_dPrecio)</f>
        <v>0</v>
      </c>
      <c r="K43" s="34" t="n">
        <f aca="false">K$31*INDEX(Precio_O,11)*INDEX(IdxPrecio_O,1,MIN(10,K$17))*(1+P_dPrecio)</f>
        <v>0</v>
      </c>
      <c r="L43" s="34" t="n">
        <f aca="false">L$31*INDEX(Precio_O,11)*INDEX(IdxPrecio_O,1,MIN(10,L$17))*(1+P_dPrecio)</f>
        <v>0</v>
      </c>
      <c r="M43" s="34" t="n">
        <f aca="false">M$31*INDEX(Precio_O,11)*INDEX(IdxPrecio_O,1,MIN(10,M$17))*(1+P_dPrecio)</f>
        <v>0</v>
      </c>
      <c r="N43" s="34" t="n">
        <f aca="false">N$31*INDEX(Precio_O,11)*INDEX(IdxPrecio_O,1,MIN(10,N$17))*(1+P_dPrecio)</f>
        <v>0</v>
      </c>
      <c r="O43" s="34" t="n">
        <f aca="false">O$31*INDEX(Precio_O,11)*INDEX(IdxPrecio_O,1,MIN(10,O$17))*(1+P_dPrecio)</f>
        <v>0</v>
      </c>
      <c r="P43" s="34" t="n">
        <f aca="false">P$31*INDEX(Precio_O,11)*INDEX(IdxPrecio_O,1,MIN(10,P$17))*(1+P_dPrecio)</f>
        <v>0</v>
      </c>
      <c r="Q43" s="34" t="n">
        <f aca="false">Q$31*INDEX(Precio_O,11)*INDEX(IdxPrecio_O,1,MIN(10,Q$17))*(1+P_dPrecio)</f>
        <v>0</v>
      </c>
      <c r="R43" s="34" t="n">
        <f aca="false">R$31*INDEX(Precio_O,11)*INDEX(IdxPrecio_O,1,MIN(10,R$17))*(1+P_dPrecio)</f>
        <v>0</v>
      </c>
      <c r="S43" s="34" t="n">
        <f aca="false">S$31*INDEX(Precio_O,11)*INDEX(IdxPrecio_O,1,MIN(10,S$17))*(1+P_dPrecio)</f>
        <v>0</v>
      </c>
      <c r="T43" s="34" t="n">
        <f aca="false">T$31*INDEX(Precio_O,11)*INDEX(IdxPrecio_O,1,MIN(10,T$17))*(1+P_dPrecio)</f>
        <v>0</v>
      </c>
      <c r="U43" s="34" t="n">
        <f aca="false">U$31*INDEX(Precio_O,11)*INDEX(IdxPrecio_O,1,MIN(10,U$17))*(1+P_dPrecio)</f>
        <v>0</v>
      </c>
      <c r="V43" s="34" t="n">
        <f aca="false">V$31*INDEX(Precio_O,11)*INDEX(IdxPrecio_O,1,MIN(10,V$17))*(1+P_dPrecio)</f>
        <v>0</v>
      </c>
      <c r="W43" s="34" t="n">
        <f aca="false">W$31*INDEX(Precio_O,11)*INDEX(IdxPrecio_O,1,MIN(10,W$17))*(1+P_dPrecio)</f>
        <v>0</v>
      </c>
      <c r="X43" s="34" t="n">
        <f aca="false">X$31*INDEX(Precio_O,11)*INDEX(IdxPrecio_O,1,MIN(10,X$17))*(1+P_dPrecio)</f>
        <v>0</v>
      </c>
      <c r="Y43" s="34" t="n">
        <f aca="false">Y$31*INDEX(Precio_O,11)*INDEX(IdxPrecio_O,1,MIN(10,Y$17))*(1+P_dPrecio)</f>
        <v>0</v>
      </c>
      <c r="Z43" s="34" t="n">
        <f aca="false">Z$31*INDEX(Precio_O,11)*INDEX(IdxPrecio_O,1,MIN(10,Z$17))*(1+P_dPrecio)</f>
        <v>0</v>
      </c>
      <c r="AA43" s="34" t="n">
        <f aca="false">AA$31*INDEX(Precio_O,11)*INDEX(IdxPrecio_O,1,MIN(10,AA$17))*(1+P_dPrecio)</f>
        <v>0</v>
      </c>
      <c r="AB43" s="34" t="n">
        <f aca="false">AB$31*INDEX(Precio_O,11)*INDEX(IdxPrecio_O,1,MIN(10,AB$17))*(1+P_dPrecio)</f>
        <v>0</v>
      </c>
      <c r="AC43" s="34" t="n">
        <f aca="false">AC$31*INDEX(Precio_O,11)*INDEX(IdxPrecio_O,1,MIN(10,AC$17))*(1+P_dPrecio)</f>
        <v>0</v>
      </c>
      <c r="AD43" s="34" t="n">
        <f aca="false">AD$31*INDEX(Precio_O,11)*INDEX(IdxPrecio_O,1,MIN(10,AD$17))*(1+P_dPrecio)</f>
        <v>0</v>
      </c>
      <c r="AE43" s="34" t="n">
        <f aca="false">AE$31*INDEX(Precio_O,11)*INDEX(IdxPrecio_O,1,MIN(10,AE$17))*(1+P_dPrecio)</f>
        <v>0</v>
      </c>
      <c r="AF43" s="34" t="n">
        <f aca="false">AF$31*INDEX(Precio_O,11)*INDEX(IdxPrecio_O,1,MIN(10,AF$17))*(1+P_dPrecio)</f>
        <v>0</v>
      </c>
      <c r="AG43" s="34" t="n">
        <f aca="false">AG$31*INDEX(Precio_O,11)*INDEX(IdxPrecio_O,1,MIN(10,AG$17))*(1+P_dPrecio)</f>
        <v>0</v>
      </c>
      <c r="AH43" s="34" t="n">
        <f aca="false">AH$31*INDEX(Precio_O,11)*INDEX(IdxPrecio_O,1,MIN(10,AH$17))*(1+P_dPrecio)</f>
        <v>0</v>
      </c>
      <c r="AI43" s="34" t="n">
        <f aca="false">AI$31*INDEX(Precio_O,11)*INDEX(IdxPrecio_O,1,MIN(10,AI$17))*(1+P_dPrecio)</f>
        <v>0</v>
      </c>
      <c r="AJ43" s="34" t="n">
        <f aca="false">AJ$31*INDEX(Precio_O,11)*INDEX(IdxPrecio_O,1,MIN(10,AJ$17))*(1+P_dPrecio)</f>
        <v>0</v>
      </c>
      <c r="AK43" s="34" t="n">
        <f aca="false">AK$31*INDEX(Precio_O,11)*INDEX(IdxPrecio_O,1,MIN(10,AK$17))*(1+P_dPrecio)</f>
        <v>0</v>
      </c>
      <c r="AL43" s="34" t="n">
        <f aca="false">AL$31*INDEX(Precio_O,11)*INDEX(IdxPrecio_O,1,MIN(10,AL$17))*(1+P_dPrecio)</f>
        <v>0</v>
      </c>
      <c r="AM43" s="34" t="n">
        <f aca="false">AM$31*INDEX(Precio_O,11)*INDEX(IdxPrecio_O,1,MIN(10,AM$17))*(1+P_dPrecio)</f>
        <v>0</v>
      </c>
      <c r="AN43" s="34" t="n">
        <f aca="false">AN$31*INDEX(Precio_O,11)*INDEX(IdxPrecio_O,1,MIN(10,AN$17))*(1+P_dPrecio)</f>
        <v>0</v>
      </c>
      <c r="AO43" s="34" t="n">
        <f aca="false">AO$31*INDEX(Precio_O,11)*INDEX(IdxPrecio_O,1,MIN(10,AO$17))*(1+P_dPrecio)</f>
        <v>0</v>
      </c>
      <c r="AP43" s="34" t="n">
        <f aca="false">AP$31*INDEX(Precio_O,11)*INDEX(IdxPrecio_O,1,MIN(10,AP$17))*(1+P_dPrecio)</f>
        <v>0</v>
      </c>
      <c r="AQ43" s="34" t="n">
        <f aca="false">AQ$31*INDEX(Precio_O,11)*INDEX(IdxPrecio_O,1,MIN(10,AQ$17))*(1+P_dPrecio)</f>
        <v>0</v>
      </c>
      <c r="AR43" s="34" t="n">
        <f aca="false">AR$31*INDEX(Precio_O,11)*INDEX(IdxPrecio_O,1,MIN(10,AR$17))*(1+P_dPrecio)</f>
        <v>0</v>
      </c>
      <c r="AS43" s="34" t="n">
        <f aca="false">AS$31*INDEX(Precio_O,11)*INDEX(IdxPrecio_O,1,MIN(10,AS$17))*(1+P_dPrecio)</f>
        <v>0</v>
      </c>
      <c r="AT43" s="34" t="n">
        <f aca="false">AT$31*INDEX(Precio_O,11)*INDEX(IdxPrecio_O,1,MIN(10,AT$17))*(1+P_dPrecio)</f>
        <v>0</v>
      </c>
      <c r="AU43" s="34" t="n">
        <f aca="false">AU$31*INDEX(Precio_O,11)*INDEX(IdxPrecio_O,1,MIN(10,AU$17))*(1+P_dPrecio)</f>
        <v>0</v>
      </c>
      <c r="AV43" s="34" t="n">
        <f aca="false">AV$31*INDEX(Precio_O,11)*INDEX(IdxPrecio_O,1,MIN(10,AV$17))*(1+P_dPrecio)</f>
        <v>0</v>
      </c>
      <c r="AW43" s="34" t="n">
        <f aca="false">AW$31*INDEX(Precio_O,11)*INDEX(IdxPrecio_O,1,MIN(10,AW$17))*(1+P_dPrecio)</f>
        <v>0</v>
      </c>
      <c r="AX43" s="34" t="n">
        <f aca="false">AX$31*INDEX(Precio_O,11)*INDEX(IdxPrecio_O,1,MIN(10,AX$17))*(1+P_dPrecio)</f>
        <v>0</v>
      </c>
      <c r="AY43" s="34" t="n">
        <f aca="false">AY$31*INDEX(Precio_O,11)*INDEX(IdxPrecio_O,1,MIN(10,AY$17))*(1+P_dPrecio)</f>
        <v>0</v>
      </c>
      <c r="AZ43" s="34" t="n">
        <f aca="false">AZ$31*INDEX(Precio_O,11)*INDEX(IdxPrecio_O,1,MIN(10,AZ$17))*(1+P_dPrecio)</f>
        <v>0</v>
      </c>
      <c r="BA43" s="34" t="n">
        <f aca="false">BA$31*INDEX(Precio_O,11)*INDEX(IdxPrecio_O,1,MIN(10,BA$17))*(1+P_dPrecio)</f>
        <v>0</v>
      </c>
      <c r="BB43" s="34" t="n">
        <f aca="false">BB$31*INDEX(Precio_O,11)*INDEX(IdxPrecio_O,1,MIN(10,BB$17))*(1+P_dPrecio)</f>
        <v>0</v>
      </c>
      <c r="BC43" s="34" t="n">
        <f aca="false">BC$31*INDEX(Precio_O,11)*INDEX(IdxPrecio_O,1,MIN(10,BC$17))*(1+P_dPrecio)</f>
        <v>0</v>
      </c>
      <c r="BD43" s="34" t="n">
        <f aca="false">BD$31*INDEX(Precio_O,11)*INDEX(IdxPrecio_O,1,MIN(10,BD$17))*(1+P_dPrecio)</f>
        <v>0</v>
      </c>
      <c r="BE43" s="34" t="n">
        <f aca="false">BE$31*INDEX(Precio_O,11)*INDEX(IdxPrecio_O,1,MIN(10,BE$17))*(1+P_dPrecio)</f>
        <v>0</v>
      </c>
      <c r="BF43" s="34" t="n">
        <f aca="false">BF$31*INDEX(Precio_O,11)*INDEX(IdxPrecio_O,1,MIN(10,BF$17))*(1+P_dPrecio)</f>
        <v>0</v>
      </c>
      <c r="BG43" s="34" t="n">
        <f aca="false">BG$31*INDEX(Precio_O,11)*INDEX(IdxPrecio_O,1,MIN(10,BG$17))*(1+P_dPrecio)</f>
        <v>0</v>
      </c>
      <c r="BH43" s="34" t="n">
        <f aca="false">BH$31*INDEX(Precio_O,11)*INDEX(IdxPrecio_O,1,MIN(10,BH$17))*(1+P_dPrecio)</f>
        <v>0</v>
      </c>
      <c r="BI43" s="34" t="n">
        <f aca="false">BI$31*INDEX(Precio_O,11)*INDEX(IdxPrecio_O,1,MIN(10,BI$17))*(1+P_dPrecio)</f>
        <v>0</v>
      </c>
      <c r="BJ43" s="34" t="n">
        <f aca="false">BJ$31*INDEX(Precio_O,11)*INDEX(IdxPrecio_O,1,MIN(10,BJ$17))*(1+P_dPrecio)</f>
        <v>0</v>
      </c>
      <c r="BK43" s="34" t="n">
        <f aca="false">BK$31*INDEX(Precio_O,11)*INDEX(IdxPrecio_O,1,MIN(10,BK$17))*(1+P_dPrecio)</f>
        <v>0</v>
      </c>
      <c r="BL43" s="34" t="n">
        <f aca="false">BL$31*INDEX(Precio_O,11)*INDEX(IdxPrecio_O,1,MIN(10,BL$17))*(1+P_dPrecio)</f>
        <v>0</v>
      </c>
      <c r="BM43" s="34" t="n">
        <f aca="false">BM$31*INDEX(Precio_O,11)*INDEX(IdxPrecio_O,1,MIN(10,BM$17))*(1+P_dPrecio)</f>
        <v>0</v>
      </c>
      <c r="BN43" s="34" t="n">
        <f aca="false">BN$31*INDEX(Precio_O,11)*INDEX(IdxPrecio_O,1,MIN(10,BN$17))*(1+P_dPrecio)</f>
        <v>0</v>
      </c>
      <c r="BO43" s="34" t="n">
        <f aca="false">BO$31*INDEX(Precio_O,11)*INDEX(IdxPrecio_O,1,MIN(10,BO$17))*(1+P_dPrecio)</f>
        <v>0</v>
      </c>
      <c r="BP43" s="34" t="n">
        <f aca="false">BP$31*INDEX(Precio_O,11)*INDEX(IdxPrecio_O,1,MIN(10,BP$17))*(1+P_dPrecio)</f>
        <v>0</v>
      </c>
      <c r="BQ43" s="34" t="n">
        <f aca="false">BQ$31*INDEX(Precio_O,11)*INDEX(IdxPrecio_O,1,MIN(10,BQ$17))*(1+P_dPrecio)</f>
        <v>0</v>
      </c>
      <c r="BR43" s="34" t="n">
        <f aca="false">BR$31*INDEX(Precio_O,11)*INDEX(IdxPrecio_O,1,MIN(10,BR$17))*(1+P_dPrecio)</f>
        <v>0</v>
      </c>
      <c r="BS43" s="34" t="n">
        <f aca="false">BS$31*INDEX(Precio_O,11)*INDEX(IdxPrecio_O,1,MIN(10,BS$17))*(1+P_dPrecio)</f>
        <v>0</v>
      </c>
      <c r="BT43" s="34" t="n">
        <f aca="false">BT$31*INDEX(Precio_O,11)*INDEX(IdxPrecio_O,1,MIN(10,BT$17))*(1+P_dPrecio)</f>
        <v>0</v>
      </c>
      <c r="BU43" s="34" t="n">
        <f aca="false">BU$31*INDEX(Precio_O,11)*INDEX(IdxPrecio_O,1,MIN(10,BU$17))*(1+P_dPrecio)</f>
        <v>0</v>
      </c>
      <c r="BV43" s="34" t="n">
        <f aca="false">BV$31*INDEX(Precio_O,11)*INDEX(IdxPrecio_O,1,MIN(10,BV$17))*(1+P_dPrecio)</f>
        <v>0</v>
      </c>
      <c r="BW43" s="34" t="n">
        <f aca="false">BW$31*INDEX(Precio_O,11)*INDEX(IdxPrecio_O,1,MIN(10,BW$17))*(1+P_dPrecio)</f>
        <v>0</v>
      </c>
      <c r="BX43" s="34" t="n">
        <f aca="false">BX$31*INDEX(Precio_O,11)*INDEX(IdxPrecio_O,1,MIN(10,BX$17))*(1+P_dPrecio)</f>
        <v>0</v>
      </c>
      <c r="BY43" s="34" t="n">
        <f aca="false">BY$31*INDEX(Precio_O,11)*INDEX(IdxPrecio_O,1,MIN(10,BY$17))*(1+P_dPrecio)</f>
        <v>0</v>
      </c>
      <c r="BZ43" s="34" t="n">
        <f aca="false">BZ$31*INDEX(Precio_O,11)*INDEX(IdxPrecio_O,1,MIN(10,BZ$17))*(1+P_dPrecio)</f>
        <v>0</v>
      </c>
      <c r="CA43" s="34" t="n">
        <f aca="false">CA$31*INDEX(Precio_O,11)*INDEX(IdxPrecio_O,1,MIN(10,CA$17))*(1+P_dPrecio)</f>
        <v>0</v>
      </c>
      <c r="CB43" s="34" t="n">
        <f aca="false">CB$31*INDEX(Precio_O,11)*INDEX(IdxPrecio_O,1,MIN(10,CB$17))*(1+P_dPrecio)</f>
        <v>0</v>
      </c>
      <c r="CC43" s="34" t="n">
        <f aca="false">CC$31*INDEX(Precio_O,11)*INDEX(IdxPrecio_O,1,MIN(10,CC$17))*(1+P_dPrecio)</f>
        <v>0</v>
      </c>
      <c r="CD43" s="34" t="n">
        <f aca="false">CD$31*INDEX(Precio_O,11)*INDEX(IdxPrecio_O,1,MIN(10,CD$17))*(1+P_dPrecio)</f>
        <v>0</v>
      </c>
      <c r="CE43" s="34" t="n">
        <f aca="false">CE$31*INDEX(Precio_O,11)*INDEX(IdxPrecio_O,1,MIN(10,CE$17))*(1+P_dPrecio)</f>
        <v>0</v>
      </c>
      <c r="CF43" s="34" t="n">
        <f aca="false">CF$31*INDEX(Precio_O,11)*INDEX(IdxPrecio_O,1,MIN(10,CF$17))*(1+P_dPrecio)</f>
        <v>0</v>
      </c>
      <c r="CG43" s="34" t="n">
        <f aca="false">CG$31*INDEX(Precio_O,11)*INDEX(IdxPrecio_O,1,MIN(10,CG$17))*(1+P_dPrecio)</f>
        <v>0</v>
      </c>
      <c r="CH43" s="34" t="n">
        <f aca="false">CH$31*INDEX(Precio_O,11)*INDEX(IdxPrecio_O,1,MIN(10,CH$17))*(1+P_dPrecio)</f>
        <v>0</v>
      </c>
      <c r="CI43" s="34" t="n">
        <f aca="false">CI$31*INDEX(Precio_O,11)*INDEX(IdxPrecio_O,1,MIN(10,CI$17))*(1+P_dPrecio)</f>
        <v>0</v>
      </c>
      <c r="CJ43" s="34" t="n">
        <f aca="false">CJ$31*INDEX(Precio_O,11)*INDEX(IdxPrecio_O,1,MIN(10,CJ$17))*(1+P_dPrecio)</f>
        <v>0</v>
      </c>
      <c r="CK43" s="34" t="n">
        <f aca="false">CK$31*INDEX(Precio_O,11)*INDEX(IdxPrecio_O,1,MIN(10,CK$17))*(1+P_dPrecio)</f>
        <v>0</v>
      </c>
      <c r="CL43" s="34" t="n">
        <f aca="false">CL$31*INDEX(Precio_O,11)*INDEX(IdxPrecio_O,1,MIN(10,CL$17))*(1+P_dPrecio)</f>
        <v>0</v>
      </c>
      <c r="CM43" s="34" t="n">
        <f aca="false">CM$31*INDEX(Precio_O,11)*INDEX(IdxPrecio_O,1,MIN(10,CM$17))*(1+P_dPrecio)</f>
        <v>0</v>
      </c>
      <c r="CN43" s="34" t="n">
        <f aca="false">CN$31*INDEX(Precio_O,11)*INDEX(IdxPrecio_O,1,MIN(10,CN$17))*(1+P_dPrecio)</f>
        <v>0</v>
      </c>
      <c r="CO43" s="34" t="n">
        <f aca="false">CO$31*INDEX(Precio_O,11)*INDEX(IdxPrecio_O,1,MIN(10,CO$17))*(1+P_dPrecio)</f>
        <v>0</v>
      </c>
      <c r="CP43" s="34" t="n">
        <f aca="false">CP$31*INDEX(Precio_O,11)*INDEX(IdxPrecio_O,1,MIN(10,CP$17))*(1+P_dPrecio)</f>
        <v>0</v>
      </c>
      <c r="CQ43" s="34" t="n">
        <f aca="false">CQ$31*INDEX(Precio_O,11)*INDEX(IdxPrecio_O,1,MIN(10,CQ$17))*(1+P_dPrecio)</f>
        <v>0</v>
      </c>
      <c r="CR43" s="34" t="n">
        <f aca="false">CR$31*INDEX(Precio_O,11)*INDEX(IdxPrecio_O,1,MIN(10,CR$17))*(1+P_dPrecio)</f>
        <v>0</v>
      </c>
      <c r="CS43" s="34" t="n">
        <f aca="false">CS$31*INDEX(Precio_O,11)*INDEX(IdxPrecio_O,1,MIN(10,CS$17))*(1+P_dPrecio)</f>
        <v>0</v>
      </c>
      <c r="CT43" s="34" t="n">
        <f aca="false">CT$31*INDEX(Precio_O,11)*INDEX(IdxPrecio_O,1,MIN(10,CT$17))*(1+P_dPrecio)</f>
        <v>0</v>
      </c>
      <c r="CU43" s="34" t="n">
        <f aca="false">CU$31*INDEX(Precio_O,11)*INDEX(IdxPrecio_O,1,MIN(10,CU$17))*(1+P_dPrecio)</f>
        <v>0</v>
      </c>
      <c r="CV43" s="34" t="n">
        <f aca="false">CV$31*INDEX(Precio_O,11)*INDEX(IdxPrecio_O,1,MIN(10,CV$17))*(1+P_dPrecio)</f>
        <v>0</v>
      </c>
      <c r="CW43" s="34" t="n">
        <f aca="false">CW$31*INDEX(Precio_O,11)*INDEX(IdxPrecio_O,1,MIN(10,CW$17))*(1+P_dPrecio)</f>
        <v>0</v>
      </c>
      <c r="CX43" s="34" t="n">
        <f aca="false">CX$31*INDEX(Precio_O,11)*INDEX(IdxPrecio_O,1,MIN(10,CX$17))*(1+P_dPrecio)</f>
        <v>0</v>
      </c>
      <c r="CY43" s="34" t="n">
        <f aca="false">CY$31*INDEX(Precio_O,11)*INDEX(IdxPrecio_O,1,MIN(10,CY$17))*(1+P_dPrecio)</f>
        <v>0</v>
      </c>
      <c r="CZ43" s="34" t="n">
        <f aca="false">CZ$31*INDEX(Precio_O,11)*INDEX(IdxPrecio_O,1,MIN(10,CZ$17))*(1+P_dPrecio)</f>
        <v>0</v>
      </c>
      <c r="DA43" s="34" t="n">
        <f aca="false">DA$31*INDEX(Precio_O,11)*INDEX(IdxPrecio_O,1,MIN(10,DA$17))*(1+P_dPrecio)</f>
        <v>0</v>
      </c>
      <c r="DB43" s="34" t="n">
        <f aca="false">DB$31*INDEX(Precio_O,11)*INDEX(IdxPrecio_O,1,MIN(10,DB$17))*(1+P_dPrecio)</f>
        <v>0</v>
      </c>
      <c r="DC43" s="34" t="n">
        <f aca="false">DC$31*INDEX(Precio_O,11)*INDEX(IdxPrecio_O,1,MIN(10,DC$17))*(1+P_dPrecio)</f>
        <v>0</v>
      </c>
      <c r="DD43" s="34" t="n">
        <f aca="false">DD$31*INDEX(Precio_O,11)*INDEX(IdxPrecio_O,1,MIN(10,DD$17))*(1+P_dPrecio)</f>
        <v>0</v>
      </c>
      <c r="DE43" s="34" t="n">
        <f aca="false">DE$31*INDEX(Precio_O,11)*INDEX(IdxPrecio_O,1,MIN(10,DE$17))*(1+P_dPrecio)</f>
        <v>0</v>
      </c>
      <c r="DF43" s="34" t="n">
        <f aca="false">DF$31*INDEX(Precio_O,11)*INDEX(IdxPrecio_O,1,MIN(10,DF$17))*(1+P_dPrecio)</f>
        <v>0</v>
      </c>
      <c r="DG43" s="34" t="n">
        <f aca="false">DG$31*INDEX(Precio_O,11)*INDEX(IdxPrecio_O,1,MIN(10,DG$17))*(1+P_dPrecio)</f>
        <v>0</v>
      </c>
      <c r="DH43" s="34" t="n">
        <f aca="false">DH$31*INDEX(Precio_O,11)*INDEX(IdxPrecio_O,1,MIN(10,DH$17))*(1+P_dPrecio)</f>
        <v>0</v>
      </c>
      <c r="DI43" s="34" t="n">
        <f aca="false">DI$31*INDEX(Precio_O,11)*INDEX(IdxPrecio_O,1,MIN(10,DI$17))*(1+P_dPrecio)</f>
        <v>0</v>
      </c>
      <c r="DJ43" s="34" t="n">
        <f aca="false">DJ$31*INDEX(Precio_O,11)*INDEX(IdxPrecio_O,1,MIN(10,DJ$17))*(1+P_dPrecio)</f>
        <v>0</v>
      </c>
      <c r="DK43" s="34" t="n">
        <f aca="false">DK$31*INDEX(Precio_O,11)*INDEX(IdxPrecio_O,1,MIN(10,DK$17))*(1+P_dPrecio)</f>
        <v>0</v>
      </c>
      <c r="DL43" s="34" t="n">
        <f aca="false">DL$31*INDEX(Precio_O,11)*INDEX(IdxPrecio_O,1,MIN(10,DL$17))*(1+P_dPrecio)</f>
        <v>0</v>
      </c>
      <c r="DM43" s="34" t="n">
        <f aca="false">DM$31*INDEX(Precio_O,11)*INDEX(IdxPrecio_O,1,MIN(10,DM$17))*(1+P_dPrecio)</f>
        <v>0</v>
      </c>
      <c r="DN43" s="34" t="n">
        <f aca="false">DN$31*INDEX(Precio_O,11)*INDEX(IdxPrecio_O,1,MIN(10,DN$17))*(1+P_dPrecio)</f>
        <v>0</v>
      </c>
      <c r="DO43" s="34" t="n">
        <f aca="false">DO$31*INDEX(Precio_O,11)*INDEX(IdxPrecio_O,1,MIN(10,DO$17))*(1+P_dPrecio)</f>
        <v>0</v>
      </c>
      <c r="DP43" s="34" t="n">
        <f aca="false">DP$31*INDEX(Precio_O,11)*INDEX(IdxPrecio_O,1,MIN(10,DP$17))*(1+P_dPrecio)</f>
        <v>0</v>
      </c>
      <c r="DQ43" s="34" t="n">
        <f aca="false">DQ$31*INDEX(Precio_O,11)*INDEX(IdxPrecio_O,1,MIN(10,DQ$17))*(1+P_dPrecio)</f>
        <v>0</v>
      </c>
      <c r="DR43" s="34" t="n">
        <f aca="false">DR$31*INDEX(Precio_O,11)*INDEX(IdxPrecio_O,1,MIN(10,DR$17))*(1+P_dPrecio)</f>
        <v>0</v>
      </c>
      <c r="DS43" s="34" t="n">
        <f aca="false">DS$31*INDEX(Precio_O,11)*INDEX(IdxPrecio_O,1,MIN(10,DS$17))*(1+P_dPrecio)</f>
        <v>0</v>
      </c>
      <c r="DT43" s="34" t="n">
        <f aca="false">DT$31*INDEX(Precio_O,11)*INDEX(IdxPrecio_O,1,MIN(10,DT$17))*(1+P_dPrecio)</f>
        <v>0</v>
      </c>
      <c r="DU43" s="34" t="n">
        <f aca="false">DU$31*INDEX(Precio_O,11)*INDEX(IdxPrecio_O,1,MIN(10,DU$17))*(1+P_dPrecio)</f>
        <v>0</v>
      </c>
      <c r="DV43" s="34" t="n">
        <f aca="false">DV$31*INDEX(Precio_O,11)*INDEX(IdxPrecio_O,1,MIN(10,DV$17))*(1+P_dPrecio)</f>
        <v>0</v>
      </c>
      <c r="DW43" s="34" t="n">
        <f aca="false">DW$31*INDEX(Precio_O,11)*INDEX(IdxPrecio_O,1,MIN(10,DW$17))*(1+P_dPrecio)</f>
        <v>0</v>
      </c>
      <c r="DX43" s="34" t="n">
        <f aca="false">DX$31*INDEX(Precio_O,11)*INDEX(IdxPrecio_O,1,MIN(10,DX$17))*(1+P_dPrecio)</f>
        <v>0</v>
      </c>
      <c r="DY43" s="34" t="n">
        <f aca="false">DY$31*INDEX(Precio_O,11)*INDEX(IdxPrecio_O,1,MIN(10,DY$17))*(1+P_dPrecio)</f>
        <v>0</v>
      </c>
      <c r="DZ43" s="34" t="n">
        <f aca="false">DZ$31*INDEX(Precio_O,11)*INDEX(IdxPrecio_O,1,MIN(10,DZ$17))*(1+P_dPrecio)</f>
        <v>0</v>
      </c>
      <c r="EA43" s="34" t="n">
        <f aca="false">EA$31*INDEX(Precio_O,11)*INDEX(IdxPrecio_O,1,MIN(10,EA$17))*(1+P_dPrecio)</f>
        <v>0</v>
      </c>
      <c r="EB43" s="34" t="n">
        <f aca="false">EB$31*INDEX(Precio_O,11)*INDEX(IdxPrecio_O,1,MIN(10,EB$17))*(1+P_dPrecio)</f>
        <v>0</v>
      </c>
      <c r="EC43" s="34" t="n">
        <f aca="false">EC$31*INDEX(Precio_O,11)*INDEX(IdxPrecio_O,1,MIN(10,EC$17))*(1+P_dPrecio)</f>
        <v>0</v>
      </c>
      <c r="ED43" s="34" t="n">
        <f aca="false">ED$31*INDEX(Precio_O,11)*INDEX(IdxPrecio_O,1,MIN(10,ED$17))*(1+P_dPrecio)</f>
        <v>0</v>
      </c>
      <c r="EE43" s="34" t="n">
        <f aca="false">EE$31*INDEX(Precio_O,11)*INDEX(IdxPrecio_O,1,MIN(10,EE$17))*(1+P_dPrecio)</f>
        <v>0</v>
      </c>
      <c r="EF43" s="34" t="n">
        <f aca="false">EF$31*INDEX(Precio_O,11)*INDEX(IdxPrecio_O,1,MIN(10,EF$17))*(1+P_dPrecio)</f>
        <v>0</v>
      </c>
      <c r="EG43" s="34" t="n">
        <f aca="false">EG$31*INDEX(Precio_O,11)*INDEX(IdxPrecio_O,1,MIN(10,EG$17))*(1+P_dPrecio)</f>
        <v>0</v>
      </c>
      <c r="EH43" s="34" t="n">
        <f aca="false">EH$31*INDEX(Precio_O,11)*INDEX(IdxPrecio_O,1,MIN(10,EH$17))*(1+P_dPrecio)</f>
        <v>0</v>
      </c>
      <c r="EI43" s="34" t="n">
        <f aca="false">EI$31*INDEX(Precio_O,11)*INDEX(IdxPrecio_O,1,MIN(10,EI$17))*(1+P_dPrecio)</f>
        <v>0</v>
      </c>
      <c r="EJ43" s="34" t="n">
        <f aca="false">EJ$31*INDEX(Precio_O,11)*INDEX(IdxPrecio_O,1,MIN(10,EJ$17))*(1+P_dPrecio)</f>
        <v>0</v>
      </c>
      <c r="EK43" s="34" t="n">
        <f aca="false">EK$31*INDEX(Precio_O,11)*INDEX(IdxPrecio_O,1,MIN(10,EK$17))*(1+P_dPrecio)</f>
        <v>0</v>
      </c>
      <c r="EL43" s="34" t="n">
        <f aca="false">EL$31*INDEX(Precio_O,11)*INDEX(IdxPrecio_O,1,MIN(10,EL$17))*(1+P_dPrecio)</f>
        <v>0</v>
      </c>
      <c r="EM43" s="34" t="n">
        <f aca="false">EM$31*INDEX(Precio_O,11)*INDEX(IdxPrecio_O,1,MIN(10,EM$17))*(1+P_dPrecio)</f>
        <v>0</v>
      </c>
      <c r="EN43" s="34" t="n">
        <f aca="false">EN$31*INDEX(Precio_O,11)*INDEX(IdxPrecio_O,1,MIN(10,EN$17))*(1+P_dPrecio)</f>
        <v>0</v>
      </c>
      <c r="EO43" s="34" t="n">
        <f aca="false">EO$31*INDEX(Precio_O,11)*INDEX(IdxPrecio_O,1,MIN(10,EO$17))*(1+P_dPrecio)</f>
        <v>0</v>
      </c>
      <c r="EP43" s="34" t="n">
        <f aca="false">EP$31*INDEX(Precio_O,11)*INDEX(IdxPrecio_O,1,MIN(10,EP$17))*(1+P_dPrecio)</f>
        <v>0</v>
      </c>
      <c r="EQ43" s="34" t="n">
        <f aca="false">EQ$31*INDEX(Precio_O,11)*INDEX(IdxPrecio_O,1,MIN(10,EQ$17))*(1+P_dPrecio)</f>
        <v>0</v>
      </c>
      <c r="ER43" s="34" t="n">
        <f aca="false">ER$31*INDEX(Precio_O,11)*INDEX(IdxPrecio_O,1,MIN(10,ER$17))*(1+P_dPrecio)</f>
        <v>0</v>
      </c>
      <c r="ES43" s="34" t="n">
        <f aca="false">ES$31*INDEX(Precio_O,11)*INDEX(IdxPrecio_O,1,MIN(10,ES$17))*(1+P_dPrecio)</f>
        <v>0</v>
      </c>
    </row>
    <row r="44" customFormat="false" ht="15" hidden="false" customHeight="false" outlineLevel="0" collapsed="false">
      <c r="A44" s="2" t="s">
        <v>455</v>
      </c>
      <c r="B44" s="39" t="str">
        <f aca="false">IF(INDEX(Prod_Nombre,12)="","Producto 12",INDEX(Prod_Nombre,12))&amp;" — ventas USD"</f>
        <v>Producto 12 — ventas USD</v>
      </c>
      <c r="C44" s="6" t="s">
        <v>212</v>
      </c>
      <c r="E44" s="40" t="n">
        <f aca="false">SUM(F44:ES44)</f>
        <v>0</v>
      </c>
      <c r="F44" s="34" t="n">
        <f aca="false">F$32*INDEX(Precio_O,12)*INDEX(IdxPrecio_O,1,MIN(10,F$17))*(1+P_dPrecio)</f>
        <v>0</v>
      </c>
      <c r="G44" s="34" t="n">
        <f aca="false">G$32*INDEX(Precio_O,12)*INDEX(IdxPrecio_O,1,MIN(10,G$17))*(1+P_dPrecio)</f>
        <v>0</v>
      </c>
      <c r="H44" s="34" t="n">
        <f aca="false">H$32*INDEX(Precio_O,12)*INDEX(IdxPrecio_O,1,MIN(10,H$17))*(1+P_dPrecio)</f>
        <v>0</v>
      </c>
      <c r="I44" s="34" t="n">
        <f aca="false">I$32*INDEX(Precio_O,12)*INDEX(IdxPrecio_O,1,MIN(10,I$17))*(1+P_dPrecio)</f>
        <v>0</v>
      </c>
      <c r="J44" s="34" t="n">
        <f aca="false">J$32*INDEX(Precio_O,12)*INDEX(IdxPrecio_O,1,MIN(10,J$17))*(1+P_dPrecio)</f>
        <v>0</v>
      </c>
      <c r="K44" s="34" t="n">
        <f aca="false">K$32*INDEX(Precio_O,12)*INDEX(IdxPrecio_O,1,MIN(10,K$17))*(1+P_dPrecio)</f>
        <v>0</v>
      </c>
      <c r="L44" s="34" t="n">
        <f aca="false">L$32*INDEX(Precio_O,12)*INDEX(IdxPrecio_O,1,MIN(10,L$17))*(1+P_dPrecio)</f>
        <v>0</v>
      </c>
      <c r="M44" s="34" t="n">
        <f aca="false">M$32*INDEX(Precio_O,12)*INDEX(IdxPrecio_O,1,MIN(10,M$17))*(1+P_dPrecio)</f>
        <v>0</v>
      </c>
      <c r="N44" s="34" t="n">
        <f aca="false">N$32*INDEX(Precio_O,12)*INDEX(IdxPrecio_O,1,MIN(10,N$17))*(1+P_dPrecio)</f>
        <v>0</v>
      </c>
      <c r="O44" s="34" t="n">
        <f aca="false">O$32*INDEX(Precio_O,12)*INDEX(IdxPrecio_O,1,MIN(10,O$17))*(1+P_dPrecio)</f>
        <v>0</v>
      </c>
      <c r="P44" s="34" t="n">
        <f aca="false">P$32*INDEX(Precio_O,12)*INDEX(IdxPrecio_O,1,MIN(10,P$17))*(1+P_dPrecio)</f>
        <v>0</v>
      </c>
      <c r="Q44" s="34" t="n">
        <f aca="false">Q$32*INDEX(Precio_O,12)*INDEX(IdxPrecio_O,1,MIN(10,Q$17))*(1+P_dPrecio)</f>
        <v>0</v>
      </c>
      <c r="R44" s="34" t="n">
        <f aca="false">R$32*INDEX(Precio_O,12)*INDEX(IdxPrecio_O,1,MIN(10,R$17))*(1+P_dPrecio)</f>
        <v>0</v>
      </c>
      <c r="S44" s="34" t="n">
        <f aca="false">S$32*INDEX(Precio_O,12)*INDEX(IdxPrecio_O,1,MIN(10,S$17))*(1+P_dPrecio)</f>
        <v>0</v>
      </c>
      <c r="T44" s="34" t="n">
        <f aca="false">T$32*INDEX(Precio_O,12)*INDEX(IdxPrecio_O,1,MIN(10,T$17))*(1+P_dPrecio)</f>
        <v>0</v>
      </c>
      <c r="U44" s="34" t="n">
        <f aca="false">U$32*INDEX(Precio_O,12)*INDEX(IdxPrecio_O,1,MIN(10,U$17))*(1+P_dPrecio)</f>
        <v>0</v>
      </c>
      <c r="V44" s="34" t="n">
        <f aca="false">V$32*INDEX(Precio_O,12)*INDEX(IdxPrecio_O,1,MIN(10,V$17))*(1+P_dPrecio)</f>
        <v>0</v>
      </c>
      <c r="W44" s="34" t="n">
        <f aca="false">W$32*INDEX(Precio_O,12)*INDEX(IdxPrecio_O,1,MIN(10,W$17))*(1+P_dPrecio)</f>
        <v>0</v>
      </c>
      <c r="X44" s="34" t="n">
        <f aca="false">X$32*INDEX(Precio_O,12)*INDEX(IdxPrecio_O,1,MIN(10,X$17))*(1+P_dPrecio)</f>
        <v>0</v>
      </c>
      <c r="Y44" s="34" t="n">
        <f aca="false">Y$32*INDEX(Precio_O,12)*INDEX(IdxPrecio_O,1,MIN(10,Y$17))*(1+P_dPrecio)</f>
        <v>0</v>
      </c>
      <c r="Z44" s="34" t="n">
        <f aca="false">Z$32*INDEX(Precio_O,12)*INDEX(IdxPrecio_O,1,MIN(10,Z$17))*(1+P_dPrecio)</f>
        <v>0</v>
      </c>
      <c r="AA44" s="34" t="n">
        <f aca="false">AA$32*INDEX(Precio_O,12)*INDEX(IdxPrecio_O,1,MIN(10,AA$17))*(1+P_dPrecio)</f>
        <v>0</v>
      </c>
      <c r="AB44" s="34" t="n">
        <f aca="false">AB$32*INDEX(Precio_O,12)*INDEX(IdxPrecio_O,1,MIN(10,AB$17))*(1+P_dPrecio)</f>
        <v>0</v>
      </c>
      <c r="AC44" s="34" t="n">
        <f aca="false">AC$32*INDEX(Precio_O,12)*INDEX(IdxPrecio_O,1,MIN(10,AC$17))*(1+P_dPrecio)</f>
        <v>0</v>
      </c>
      <c r="AD44" s="34" t="n">
        <f aca="false">AD$32*INDEX(Precio_O,12)*INDEX(IdxPrecio_O,1,MIN(10,AD$17))*(1+P_dPrecio)</f>
        <v>0</v>
      </c>
      <c r="AE44" s="34" t="n">
        <f aca="false">AE$32*INDEX(Precio_O,12)*INDEX(IdxPrecio_O,1,MIN(10,AE$17))*(1+P_dPrecio)</f>
        <v>0</v>
      </c>
      <c r="AF44" s="34" t="n">
        <f aca="false">AF$32*INDEX(Precio_O,12)*INDEX(IdxPrecio_O,1,MIN(10,AF$17))*(1+P_dPrecio)</f>
        <v>0</v>
      </c>
      <c r="AG44" s="34" t="n">
        <f aca="false">AG$32*INDEX(Precio_O,12)*INDEX(IdxPrecio_O,1,MIN(10,AG$17))*(1+P_dPrecio)</f>
        <v>0</v>
      </c>
      <c r="AH44" s="34" t="n">
        <f aca="false">AH$32*INDEX(Precio_O,12)*INDEX(IdxPrecio_O,1,MIN(10,AH$17))*(1+P_dPrecio)</f>
        <v>0</v>
      </c>
      <c r="AI44" s="34" t="n">
        <f aca="false">AI$32*INDEX(Precio_O,12)*INDEX(IdxPrecio_O,1,MIN(10,AI$17))*(1+P_dPrecio)</f>
        <v>0</v>
      </c>
      <c r="AJ44" s="34" t="n">
        <f aca="false">AJ$32*INDEX(Precio_O,12)*INDEX(IdxPrecio_O,1,MIN(10,AJ$17))*(1+P_dPrecio)</f>
        <v>0</v>
      </c>
      <c r="AK44" s="34" t="n">
        <f aca="false">AK$32*INDEX(Precio_O,12)*INDEX(IdxPrecio_O,1,MIN(10,AK$17))*(1+P_dPrecio)</f>
        <v>0</v>
      </c>
      <c r="AL44" s="34" t="n">
        <f aca="false">AL$32*INDEX(Precio_O,12)*INDEX(IdxPrecio_O,1,MIN(10,AL$17))*(1+P_dPrecio)</f>
        <v>0</v>
      </c>
      <c r="AM44" s="34" t="n">
        <f aca="false">AM$32*INDEX(Precio_O,12)*INDEX(IdxPrecio_O,1,MIN(10,AM$17))*(1+P_dPrecio)</f>
        <v>0</v>
      </c>
      <c r="AN44" s="34" t="n">
        <f aca="false">AN$32*INDEX(Precio_O,12)*INDEX(IdxPrecio_O,1,MIN(10,AN$17))*(1+P_dPrecio)</f>
        <v>0</v>
      </c>
      <c r="AO44" s="34" t="n">
        <f aca="false">AO$32*INDEX(Precio_O,12)*INDEX(IdxPrecio_O,1,MIN(10,AO$17))*(1+P_dPrecio)</f>
        <v>0</v>
      </c>
      <c r="AP44" s="34" t="n">
        <f aca="false">AP$32*INDEX(Precio_O,12)*INDEX(IdxPrecio_O,1,MIN(10,AP$17))*(1+P_dPrecio)</f>
        <v>0</v>
      </c>
      <c r="AQ44" s="34" t="n">
        <f aca="false">AQ$32*INDEX(Precio_O,12)*INDEX(IdxPrecio_O,1,MIN(10,AQ$17))*(1+P_dPrecio)</f>
        <v>0</v>
      </c>
      <c r="AR44" s="34" t="n">
        <f aca="false">AR$32*INDEX(Precio_O,12)*INDEX(IdxPrecio_O,1,MIN(10,AR$17))*(1+P_dPrecio)</f>
        <v>0</v>
      </c>
      <c r="AS44" s="34" t="n">
        <f aca="false">AS$32*INDEX(Precio_O,12)*INDEX(IdxPrecio_O,1,MIN(10,AS$17))*(1+P_dPrecio)</f>
        <v>0</v>
      </c>
      <c r="AT44" s="34" t="n">
        <f aca="false">AT$32*INDEX(Precio_O,12)*INDEX(IdxPrecio_O,1,MIN(10,AT$17))*(1+P_dPrecio)</f>
        <v>0</v>
      </c>
      <c r="AU44" s="34" t="n">
        <f aca="false">AU$32*INDEX(Precio_O,12)*INDEX(IdxPrecio_O,1,MIN(10,AU$17))*(1+P_dPrecio)</f>
        <v>0</v>
      </c>
      <c r="AV44" s="34" t="n">
        <f aca="false">AV$32*INDEX(Precio_O,12)*INDEX(IdxPrecio_O,1,MIN(10,AV$17))*(1+P_dPrecio)</f>
        <v>0</v>
      </c>
      <c r="AW44" s="34" t="n">
        <f aca="false">AW$32*INDEX(Precio_O,12)*INDEX(IdxPrecio_O,1,MIN(10,AW$17))*(1+P_dPrecio)</f>
        <v>0</v>
      </c>
      <c r="AX44" s="34" t="n">
        <f aca="false">AX$32*INDEX(Precio_O,12)*INDEX(IdxPrecio_O,1,MIN(10,AX$17))*(1+P_dPrecio)</f>
        <v>0</v>
      </c>
      <c r="AY44" s="34" t="n">
        <f aca="false">AY$32*INDEX(Precio_O,12)*INDEX(IdxPrecio_O,1,MIN(10,AY$17))*(1+P_dPrecio)</f>
        <v>0</v>
      </c>
      <c r="AZ44" s="34" t="n">
        <f aca="false">AZ$32*INDEX(Precio_O,12)*INDEX(IdxPrecio_O,1,MIN(10,AZ$17))*(1+P_dPrecio)</f>
        <v>0</v>
      </c>
      <c r="BA44" s="34" t="n">
        <f aca="false">BA$32*INDEX(Precio_O,12)*INDEX(IdxPrecio_O,1,MIN(10,BA$17))*(1+P_dPrecio)</f>
        <v>0</v>
      </c>
      <c r="BB44" s="34" t="n">
        <f aca="false">BB$32*INDEX(Precio_O,12)*INDEX(IdxPrecio_O,1,MIN(10,BB$17))*(1+P_dPrecio)</f>
        <v>0</v>
      </c>
      <c r="BC44" s="34" t="n">
        <f aca="false">BC$32*INDEX(Precio_O,12)*INDEX(IdxPrecio_O,1,MIN(10,BC$17))*(1+P_dPrecio)</f>
        <v>0</v>
      </c>
      <c r="BD44" s="34" t="n">
        <f aca="false">BD$32*INDEX(Precio_O,12)*INDEX(IdxPrecio_O,1,MIN(10,BD$17))*(1+P_dPrecio)</f>
        <v>0</v>
      </c>
      <c r="BE44" s="34" t="n">
        <f aca="false">BE$32*INDEX(Precio_O,12)*INDEX(IdxPrecio_O,1,MIN(10,BE$17))*(1+P_dPrecio)</f>
        <v>0</v>
      </c>
      <c r="BF44" s="34" t="n">
        <f aca="false">BF$32*INDEX(Precio_O,12)*INDEX(IdxPrecio_O,1,MIN(10,BF$17))*(1+P_dPrecio)</f>
        <v>0</v>
      </c>
      <c r="BG44" s="34" t="n">
        <f aca="false">BG$32*INDEX(Precio_O,12)*INDEX(IdxPrecio_O,1,MIN(10,BG$17))*(1+P_dPrecio)</f>
        <v>0</v>
      </c>
      <c r="BH44" s="34" t="n">
        <f aca="false">BH$32*INDEX(Precio_O,12)*INDEX(IdxPrecio_O,1,MIN(10,BH$17))*(1+P_dPrecio)</f>
        <v>0</v>
      </c>
      <c r="BI44" s="34" t="n">
        <f aca="false">BI$32*INDEX(Precio_O,12)*INDEX(IdxPrecio_O,1,MIN(10,BI$17))*(1+P_dPrecio)</f>
        <v>0</v>
      </c>
      <c r="BJ44" s="34" t="n">
        <f aca="false">BJ$32*INDEX(Precio_O,12)*INDEX(IdxPrecio_O,1,MIN(10,BJ$17))*(1+P_dPrecio)</f>
        <v>0</v>
      </c>
      <c r="BK44" s="34" t="n">
        <f aca="false">BK$32*INDEX(Precio_O,12)*INDEX(IdxPrecio_O,1,MIN(10,BK$17))*(1+P_dPrecio)</f>
        <v>0</v>
      </c>
      <c r="BL44" s="34" t="n">
        <f aca="false">BL$32*INDEX(Precio_O,12)*INDEX(IdxPrecio_O,1,MIN(10,BL$17))*(1+P_dPrecio)</f>
        <v>0</v>
      </c>
      <c r="BM44" s="34" t="n">
        <f aca="false">BM$32*INDEX(Precio_O,12)*INDEX(IdxPrecio_O,1,MIN(10,BM$17))*(1+P_dPrecio)</f>
        <v>0</v>
      </c>
      <c r="BN44" s="34" t="n">
        <f aca="false">BN$32*INDEX(Precio_O,12)*INDEX(IdxPrecio_O,1,MIN(10,BN$17))*(1+P_dPrecio)</f>
        <v>0</v>
      </c>
      <c r="BO44" s="34" t="n">
        <f aca="false">BO$32*INDEX(Precio_O,12)*INDEX(IdxPrecio_O,1,MIN(10,BO$17))*(1+P_dPrecio)</f>
        <v>0</v>
      </c>
      <c r="BP44" s="34" t="n">
        <f aca="false">BP$32*INDEX(Precio_O,12)*INDEX(IdxPrecio_O,1,MIN(10,BP$17))*(1+P_dPrecio)</f>
        <v>0</v>
      </c>
      <c r="BQ44" s="34" t="n">
        <f aca="false">BQ$32*INDEX(Precio_O,12)*INDEX(IdxPrecio_O,1,MIN(10,BQ$17))*(1+P_dPrecio)</f>
        <v>0</v>
      </c>
      <c r="BR44" s="34" t="n">
        <f aca="false">BR$32*INDEX(Precio_O,12)*INDEX(IdxPrecio_O,1,MIN(10,BR$17))*(1+P_dPrecio)</f>
        <v>0</v>
      </c>
      <c r="BS44" s="34" t="n">
        <f aca="false">BS$32*INDEX(Precio_O,12)*INDEX(IdxPrecio_O,1,MIN(10,BS$17))*(1+P_dPrecio)</f>
        <v>0</v>
      </c>
      <c r="BT44" s="34" t="n">
        <f aca="false">BT$32*INDEX(Precio_O,12)*INDEX(IdxPrecio_O,1,MIN(10,BT$17))*(1+P_dPrecio)</f>
        <v>0</v>
      </c>
      <c r="BU44" s="34" t="n">
        <f aca="false">BU$32*INDEX(Precio_O,12)*INDEX(IdxPrecio_O,1,MIN(10,BU$17))*(1+P_dPrecio)</f>
        <v>0</v>
      </c>
      <c r="BV44" s="34" t="n">
        <f aca="false">BV$32*INDEX(Precio_O,12)*INDEX(IdxPrecio_O,1,MIN(10,BV$17))*(1+P_dPrecio)</f>
        <v>0</v>
      </c>
      <c r="BW44" s="34" t="n">
        <f aca="false">BW$32*INDEX(Precio_O,12)*INDEX(IdxPrecio_O,1,MIN(10,BW$17))*(1+P_dPrecio)</f>
        <v>0</v>
      </c>
      <c r="BX44" s="34" t="n">
        <f aca="false">BX$32*INDEX(Precio_O,12)*INDEX(IdxPrecio_O,1,MIN(10,BX$17))*(1+P_dPrecio)</f>
        <v>0</v>
      </c>
      <c r="BY44" s="34" t="n">
        <f aca="false">BY$32*INDEX(Precio_O,12)*INDEX(IdxPrecio_O,1,MIN(10,BY$17))*(1+P_dPrecio)</f>
        <v>0</v>
      </c>
      <c r="BZ44" s="34" t="n">
        <f aca="false">BZ$32*INDEX(Precio_O,12)*INDEX(IdxPrecio_O,1,MIN(10,BZ$17))*(1+P_dPrecio)</f>
        <v>0</v>
      </c>
      <c r="CA44" s="34" t="n">
        <f aca="false">CA$32*INDEX(Precio_O,12)*INDEX(IdxPrecio_O,1,MIN(10,CA$17))*(1+P_dPrecio)</f>
        <v>0</v>
      </c>
      <c r="CB44" s="34" t="n">
        <f aca="false">CB$32*INDEX(Precio_O,12)*INDEX(IdxPrecio_O,1,MIN(10,CB$17))*(1+P_dPrecio)</f>
        <v>0</v>
      </c>
      <c r="CC44" s="34" t="n">
        <f aca="false">CC$32*INDEX(Precio_O,12)*INDEX(IdxPrecio_O,1,MIN(10,CC$17))*(1+P_dPrecio)</f>
        <v>0</v>
      </c>
      <c r="CD44" s="34" t="n">
        <f aca="false">CD$32*INDEX(Precio_O,12)*INDEX(IdxPrecio_O,1,MIN(10,CD$17))*(1+P_dPrecio)</f>
        <v>0</v>
      </c>
      <c r="CE44" s="34" t="n">
        <f aca="false">CE$32*INDEX(Precio_O,12)*INDEX(IdxPrecio_O,1,MIN(10,CE$17))*(1+P_dPrecio)</f>
        <v>0</v>
      </c>
      <c r="CF44" s="34" t="n">
        <f aca="false">CF$32*INDEX(Precio_O,12)*INDEX(IdxPrecio_O,1,MIN(10,CF$17))*(1+P_dPrecio)</f>
        <v>0</v>
      </c>
      <c r="CG44" s="34" t="n">
        <f aca="false">CG$32*INDEX(Precio_O,12)*INDEX(IdxPrecio_O,1,MIN(10,CG$17))*(1+P_dPrecio)</f>
        <v>0</v>
      </c>
      <c r="CH44" s="34" t="n">
        <f aca="false">CH$32*INDEX(Precio_O,12)*INDEX(IdxPrecio_O,1,MIN(10,CH$17))*(1+P_dPrecio)</f>
        <v>0</v>
      </c>
      <c r="CI44" s="34" t="n">
        <f aca="false">CI$32*INDEX(Precio_O,12)*INDEX(IdxPrecio_O,1,MIN(10,CI$17))*(1+P_dPrecio)</f>
        <v>0</v>
      </c>
      <c r="CJ44" s="34" t="n">
        <f aca="false">CJ$32*INDEX(Precio_O,12)*INDEX(IdxPrecio_O,1,MIN(10,CJ$17))*(1+P_dPrecio)</f>
        <v>0</v>
      </c>
      <c r="CK44" s="34" t="n">
        <f aca="false">CK$32*INDEX(Precio_O,12)*INDEX(IdxPrecio_O,1,MIN(10,CK$17))*(1+P_dPrecio)</f>
        <v>0</v>
      </c>
      <c r="CL44" s="34" t="n">
        <f aca="false">CL$32*INDEX(Precio_O,12)*INDEX(IdxPrecio_O,1,MIN(10,CL$17))*(1+P_dPrecio)</f>
        <v>0</v>
      </c>
      <c r="CM44" s="34" t="n">
        <f aca="false">CM$32*INDEX(Precio_O,12)*INDEX(IdxPrecio_O,1,MIN(10,CM$17))*(1+P_dPrecio)</f>
        <v>0</v>
      </c>
      <c r="CN44" s="34" t="n">
        <f aca="false">CN$32*INDEX(Precio_O,12)*INDEX(IdxPrecio_O,1,MIN(10,CN$17))*(1+P_dPrecio)</f>
        <v>0</v>
      </c>
      <c r="CO44" s="34" t="n">
        <f aca="false">CO$32*INDEX(Precio_O,12)*INDEX(IdxPrecio_O,1,MIN(10,CO$17))*(1+P_dPrecio)</f>
        <v>0</v>
      </c>
      <c r="CP44" s="34" t="n">
        <f aca="false">CP$32*INDEX(Precio_O,12)*INDEX(IdxPrecio_O,1,MIN(10,CP$17))*(1+P_dPrecio)</f>
        <v>0</v>
      </c>
      <c r="CQ44" s="34" t="n">
        <f aca="false">CQ$32*INDEX(Precio_O,12)*INDEX(IdxPrecio_O,1,MIN(10,CQ$17))*(1+P_dPrecio)</f>
        <v>0</v>
      </c>
      <c r="CR44" s="34" t="n">
        <f aca="false">CR$32*INDEX(Precio_O,12)*INDEX(IdxPrecio_O,1,MIN(10,CR$17))*(1+P_dPrecio)</f>
        <v>0</v>
      </c>
      <c r="CS44" s="34" t="n">
        <f aca="false">CS$32*INDEX(Precio_O,12)*INDEX(IdxPrecio_O,1,MIN(10,CS$17))*(1+P_dPrecio)</f>
        <v>0</v>
      </c>
      <c r="CT44" s="34" t="n">
        <f aca="false">CT$32*INDEX(Precio_O,12)*INDEX(IdxPrecio_O,1,MIN(10,CT$17))*(1+P_dPrecio)</f>
        <v>0</v>
      </c>
      <c r="CU44" s="34" t="n">
        <f aca="false">CU$32*INDEX(Precio_O,12)*INDEX(IdxPrecio_O,1,MIN(10,CU$17))*(1+P_dPrecio)</f>
        <v>0</v>
      </c>
      <c r="CV44" s="34" t="n">
        <f aca="false">CV$32*INDEX(Precio_O,12)*INDEX(IdxPrecio_O,1,MIN(10,CV$17))*(1+P_dPrecio)</f>
        <v>0</v>
      </c>
      <c r="CW44" s="34" t="n">
        <f aca="false">CW$32*INDEX(Precio_O,12)*INDEX(IdxPrecio_O,1,MIN(10,CW$17))*(1+P_dPrecio)</f>
        <v>0</v>
      </c>
      <c r="CX44" s="34" t="n">
        <f aca="false">CX$32*INDEX(Precio_O,12)*INDEX(IdxPrecio_O,1,MIN(10,CX$17))*(1+P_dPrecio)</f>
        <v>0</v>
      </c>
      <c r="CY44" s="34" t="n">
        <f aca="false">CY$32*INDEX(Precio_O,12)*INDEX(IdxPrecio_O,1,MIN(10,CY$17))*(1+P_dPrecio)</f>
        <v>0</v>
      </c>
      <c r="CZ44" s="34" t="n">
        <f aca="false">CZ$32*INDEX(Precio_O,12)*INDEX(IdxPrecio_O,1,MIN(10,CZ$17))*(1+P_dPrecio)</f>
        <v>0</v>
      </c>
      <c r="DA44" s="34" t="n">
        <f aca="false">DA$32*INDEX(Precio_O,12)*INDEX(IdxPrecio_O,1,MIN(10,DA$17))*(1+P_dPrecio)</f>
        <v>0</v>
      </c>
      <c r="DB44" s="34" t="n">
        <f aca="false">DB$32*INDEX(Precio_O,12)*INDEX(IdxPrecio_O,1,MIN(10,DB$17))*(1+P_dPrecio)</f>
        <v>0</v>
      </c>
      <c r="DC44" s="34" t="n">
        <f aca="false">DC$32*INDEX(Precio_O,12)*INDEX(IdxPrecio_O,1,MIN(10,DC$17))*(1+P_dPrecio)</f>
        <v>0</v>
      </c>
      <c r="DD44" s="34" t="n">
        <f aca="false">DD$32*INDEX(Precio_O,12)*INDEX(IdxPrecio_O,1,MIN(10,DD$17))*(1+P_dPrecio)</f>
        <v>0</v>
      </c>
      <c r="DE44" s="34" t="n">
        <f aca="false">DE$32*INDEX(Precio_O,12)*INDEX(IdxPrecio_O,1,MIN(10,DE$17))*(1+P_dPrecio)</f>
        <v>0</v>
      </c>
      <c r="DF44" s="34" t="n">
        <f aca="false">DF$32*INDEX(Precio_O,12)*INDEX(IdxPrecio_O,1,MIN(10,DF$17))*(1+P_dPrecio)</f>
        <v>0</v>
      </c>
      <c r="DG44" s="34" t="n">
        <f aca="false">DG$32*INDEX(Precio_O,12)*INDEX(IdxPrecio_O,1,MIN(10,DG$17))*(1+P_dPrecio)</f>
        <v>0</v>
      </c>
      <c r="DH44" s="34" t="n">
        <f aca="false">DH$32*INDEX(Precio_O,12)*INDEX(IdxPrecio_O,1,MIN(10,DH$17))*(1+P_dPrecio)</f>
        <v>0</v>
      </c>
      <c r="DI44" s="34" t="n">
        <f aca="false">DI$32*INDEX(Precio_O,12)*INDEX(IdxPrecio_O,1,MIN(10,DI$17))*(1+P_dPrecio)</f>
        <v>0</v>
      </c>
      <c r="DJ44" s="34" t="n">
        <f aca="false">DJ$32*INDEX(Precio_O,12)*INDEX(IdxPrecio_O,1,MIN(10,DJ$17))*(1+P_dPrecio)</f>
        <v>0</v>
      </c>
      <c r="DK44" s="34" t="n">
        <f aca="false">DK$32*INDEX(Precio_O,12)*INDEX(IdxPrecio_O,1,MIN(10,DK$17))*(1+P_dPrecio)</f>
        <v>0</v>
      </c>
      <c r="DL44" s="34" t="n">
        <f aca="false">DL$32*INDEX(Precio_O,12)*INDEX(IdxPrecio_O,1,MIN(10,DL$17))*(1+P_dPrecio)</f>
        <v>0</v>
      </c>
      <c r="DM44" s="34" t="n">
        <f aca="false">DM$32*INDEX(Precio_O,12)*INDEX(IdxPrecio_O,1,MIN(10,DM$17))*(1+P_dPrecio)</f>
        <v>0</v>
      </c>
      <c r="DN44" s="34" t="n">
        <f aca="false">DN$32*INDEX(Precio_O,12)*INDEX(IdxPrecio_O,1,MIN(10,DN$17))*(1+P_dPrecio)</f>
        <v>0</v>
      </c>
      <c r="DO44" s="34" t="n">
        <f aca="false">DO$32*INDEX(Precio_O,12)*INDEX(IdxPrecio_O,1,MIN(10,DO$17))*(1+P_dPrecio)</f>
        <v>0</v>
      </c>
      <c r="DP44" s="34" t="n">
        <f aca="false">DP$32*INDEX(Precio_O,12)*INDEX(IdxPrecio_O,1,MIN(10,DP$17))*(1+P_dPrecio)</f>
        <v>0</v>
      </c>
      <c r="DQ44" s="34" t="n">
        <f aca="false">DQ$32*INDEX(Precio_O,12)*INDEX(IdxPrecio_O,1,MIN(10,DQ$17))*(1+P_dPrecio)</f>
        <v>0</v>
      </c>
      <c r="DR44" s="34" t="n">
        <f aca="false">DR$32*INDEX(Precio_O,12)*INDEX(IdxPrecio_O,1,MIN(10,DR$17))*(1+P_dPrecio)</f>
        <v>0</v>
      </c>
      <c r="DS44" s="34" t="n">
        <f aca="false">DS$32*INDEX(Precio_O,12)*INDEX(IdxPrecio_O,1,MIN(10,DS$17))*(1+P_dPrecio)</f>
        <v>0</v>
      </c>
      <c r="DT44" s="34" t="n">
        <f aca="false">DT$32*INDEX(Precio_O,12)*INDEX(IdxPrecio_O,1,MIN(10,DT$17))*(1+P_dPrecio)</f>
        <v>0</v>
      </c>
      <c r="DU44" s="34" t="n">
        <f aca="false">DU$32*INDEX(Precio_O,12)*INDEX(IdxPrecio_O,1,MIN(10,DU$17))*(1+P_dPrecio)</f>
        <v>0</v>
      </c>
      <c r="DV44" s="34" t="n">
        <f aca="false">DV$32*INDEX(Precio_O,12)*INDEX(IdxPrecio_O,1,MIN(10,DV$17))*(1+P_dPrecio)</f>
        <v>0</v>
      </c>
      <c r="DW44" s="34" t="n">
        <f aca="false">DW$32*INDEX(Precio_O,12)*INDEX(IdxPrecio_O,1,MIN(10,DW$17))*(1+P_dPrecio)</f>
        <v>0</v>
      </c>
      <c r="DX44" s="34" t="n">
        <f aca="false">DX$32*INDEX(Precio_O,12)*INDEX(IdxPrecio_O,1,MIN(10,DX$17))*(1+P_dPrecio)</f>
        <v>0</v>
      </c>
      <c r="DY44" s="34" t="n">
        <f aca="false">DY$32*INDEX(Precio_O,12)*INDEX(IdxPrecio_O,1,MIN(10,DY$17))*(1+P_dPrecio)</f>
        <v>0</v>
      </c>
      <c r="DZ44" s="34" t="n">
        <f aca="false">DZ$32*INDEX(Precio_O,12)*INDEX(IdxPrecio_O,1,MIN(10,DZ$17))*(1+P_dPrecio)</f>
        <v>0</v>
      </c>
      <c r="EA44" s="34" t="n">
        <f aca="false">EA$32*INDEX(Precio_O,12)*INDEX(IdxPrecio_O,1,MIN(10,EA$17))*(1+P_dPrecio)</f>
        <v>0</v>
      </c>
      <c r="EB44" s="34" t="n">
        <f aca="false">EB$32*INDEX(Precio_O,12)*INDEX(IdxPrecio_O,1,MIN(10,EB$17))*(1+P_dPrecio)</f>
        <v>0</v>
      </c>
      <c r="EC44" s="34" t="n">
        <f aca="false">EC$32*INDEX(Precio_O,12)*INDEX(IdxPrecio_O,1,MIN(10,EC$17))*(1+P_dPrecio)</f>
        <v>0</v>
      </c>
      <c r="ED44" s="34" t="n">
        <f aca="false">ED$32*INDEX(Precio_O,12)*INDEX(IdxPrecio_O,1,MIN(10,ED$17))*(1+P_dPrecio)</f>
        <v>0</v>
      </c>
      <c r="EE44" s="34" t="n">
        <f aca="false">EE$32*INDEX(Precio_O,12)*INDEX(IdxPrecio_O,1,MIN(10,EE$17))*(1+P_dPrecio)</f>
        <v>0</v>
      </c>
      <c r="EF44" s="34" t="n">
        <f aca="false">EF$32*INDEX(Precio_O,12)*INDEX(IdxPrecio_O,1,MIN(10,EF$17))*(1+P_dPrecio)</f>
        <v>0</v>
      </c>
      <c r="EG44" s="34" t="n">
        <f aca="false">EG$32*INDEX(Precio_O,12)*INDEX(IdxPrecio_O,1,MIN(10,EG$17))*(1+P_dPrecio)</f>
        <v>0</v>
      </c>
      <c r="EH44" s="34" t="n">
        <f aca="false">EH$32*INDEX(Precio_O,12)*INDEX(IdxPrecio_O,1,MIN(10,EH$17))*(1+P_dPrecio)</f>
        <v>0</v>
      </c>
      <c r="EI44" s="34" t="n">
        <f aca="false">EI$32*INDEX(Precio_O,12)*INDEX(IdxPrecio_O,1,MIN(10,EI$17))*(1+P_dPrecio)</f>
        <v>0</v>
      </c>
      <c r="EJ44" s="34" t="n">
        <f aca="false">EJ$32*INDEX(Precio_O,12)*INDEX(IdxPrecio_O,1,MIN(10,EJ$17))*(1+P_dPrecio)</f>
        <v>0</v>
      </c>
      <c r="EK44" s="34" t="n">
        <f aca="false">EK$32*INDEX(Precio_O,12)*INDEX(IdxPrecio_O,1,MIN(10,EK$17))*(1+P_dPrecio)</f>
        <v>0</v>
      </c>
      <c r="EL44" s="34" t="n">
        <f aca="false">EL$32*INDEX(Precio_O,12)*INDEX(IdxPrecio_O,1,MIN(10,EL$17))*(1+P_dPrecio)</f>
        <v>0</v>
      </c>
      <c r="EM44" s="34" t="n">
        <f aca="false">EM$32*INDEX(Precio_O,12)*INDEX(IdxPrecio_O,1,MIN(10,EM$17))*(1+P_dPrecio)</f>
        <v>0</v>
      </c>
      <c r="EN44" s="34" t="n">
        <f aca="false">EN$32*INDEX(Precio_O,12)*INDEX(IdxPrecio_O,1,MIN(10,EN$17))*(1+P_dPrecio)</f>
        <v>0</v>
      </c>
      <c r="EO44" s="34" t="n">
        <f aca="false">EO$32*INDEX(Precio_O,12)*INDEX(IdxPrecio_O,1,MIN(10,EO$17))*(1+P_dPrecio)</f>
        <v>0</v>
      </c>
      <c r="EP44" s="34" t="n">
        <f aca="false">EP$32*INDEX(Precio_O,12)*INDEX(IdxPrecio_O,1,MIN(10,EP$17))*(1+P_dPrecio)</f>
        <v>0</v>
      </c>
      <c r="EQ44" s="34" t="n">
        <f aca="false">EQ$32*INDEX(Precio_O,12)*INDEX(IdxPrecio_O,1,MIN(10,EQ$17))*(1+P_dPrecio)</f>
        <v>0</v>
      </c>
      <c r="ER44" s="34" t="n">
        <f aca="false">ER$32*INDEX(Precio_O,12)*INDEX(IdxPrecio_O,1,MIN(10,ER$17))*(1+P_dPrecio)</f>
        <v>0</v>
      </c>
      <c r="ES44" s="34" t="n">
        <f aca="false">ES$32*INDEX(Precio_O,12)*INDEX(IdxPrecio_O,1,MIN(10,ES$17))*(1+P_dPrecio)</f>
        <v>0</v>
      </c>
    </row>
    <row r="45" customFormat="false" ht="15" hidden="false" customHeight="false" outlineLevel="0" collapsed="false">
      <c r="A45" s="2" t="s">
        <v>456</v>
      </c>
      <c r="B45" s="52" t="s">
        <v>457</v>
      </c>
      <c r="C45" s="6" t="s">
        <v>212</v>
      </c>
      <c r="E45" s="40" t="n">
        <f aca="false">SUM(F45:ES45)</f>
        <v>0</v>
      </c>
      <c r="F45" s="10" t="n">
        <f aca="false">F$33+F$34+F$35+F$36+F$37+F$38+F$39+F$40+F$41+F$42+F$43+F$44</f>
        <v>0</v>
      </c>
      <c r="G45" s="10" t="n">
        <f aca="false">G$33+G$34+G$35+G$36+G$37+G$38+G$39+G$40+G$41+G$42+G$43+G$44</f>
        <v>0</v>
      </c>
      <c r="H45" s="10" t="n">
        <f aca="false">H$33+H$34+H$35+H$36+H$37+H$38+H$39+H$40+H$41+H$42+H$43+H$44</f>
        <v>0</v>
      </c>
      <c r="I45" s="10" t="n">
        <f aca="false">I$33+I$34+I$35+I$36+I$37+I$38+I$39+I$40+I$41+I$42+I$43+I$44</f>
        <v>0</v>
      </c>
      <c r="J45" s="10" t="n">
        <f aca="false">J$33+J$34+J$35+J$36+J$37+J$38+J$39+J$40+J$41+J$42+J$43+J$44</f>
        <v>0</v>
      </c>
      <c r="K45" s="10" t="n">
        <f aca="false">K$33+K$34+K$35+K$36+K$37+K$38+K$39+K$40+K$41+K$42+K$43+K$44</f>
        <v>0</v>
      </c>
      <c r="L45" s="10" t="n">
        <f aca="false">L$33+L$34+L$35+L$36+L$37+L$38+L$39+L$40+L$41+L$42+L$43+L$44</f>
        <v>0</v>
      </c>
      <c r="M45" s="10" t="n">
        <f aca="false">M$33+M$34+M$35+M$36+M$37+M$38+M$39+M$40+M$41+M$42+M$43+M$44</f>
        <v>0</v>
      </c>
      <c r="N45" s="10" t="n">
        <f aca="false">N$33+N$34+N$35+N$36+N$37+N$38+N$39+N$40+N$41+N$42+N$43+N$44</f>
        <v>0</v>
      </c>
      <c r="O45" s="10" t="n">
        <f aca="false">O$33+O$34+O$35+O$36+O$37+O$38+O$39+O$40+O$41+O$42+O$43+O$44</f>
        <v>0</v>
      </c>
      <c r="P45" s="10" t="n">
        <f aca="false">P$33+P$34+P$35+P$36+P$37+P$38+P$39+P$40+P$41+P$42+P$43+P$44</f>
        <v>0</v>
      </c>
      <c r="Q45" s="10" t="n">
        <f aca="false">Q$33+Q$34+Q$35+Q$36+Q$37+Q$38+Q$39+Q$40+Q$41+Q$42+Q$43+Q$44</f>
        <v>0</v>
      </c>
      <c r="R45" s="10" t="n">
        <f aca="false">R$33+R$34+R$35+R$36+R$37+R$38+R$39+R$40+R$41+R$42+R$43+R$44</f>
        <v>0</v>
      </c>
      <c r="S45" s="10" t="n">
        <f aca="false">S$33+S$34+S$35+S$36+S$37+S$38+S$39+S$40+S$41+S$42+S$43+S$44</f>
        <v>0</v>
      </c>
      <c r="T45" s="10" t="n">
        <f aca="false">T$33+T$34+T$35+T$36+T$37+T$38+T$39+T$40+T$41+T$42+T$43+T$44</f>
        <v>0</v>
      </c>
      <c r="U45" s="10" t="n">
        <f aca="false">U$33+U$34+U$35+U$36+U$37+U$38+U$39+U$40+U$41+U$42+U$43+U$44</f>
        <v>0</v>
      </c>
      <c r="V45" s="10" t="n">
        <f aca="false">V$33+V$34+V$35+V$36+V$37+V$38+V$39+V$40+V$41+V$42+V$43+V$44</f>
        <v>0</v>
      </c>
      <c r="W45" s="10" t="n">
        <f aca="false">W$33+W$34+W$35+W$36+W$37+W$38+W$39+W$40+W$41+W$42+W$43+W$44</f>
        <v>0</v>
      </c>
      <c r="X45" s="10" t="n">
        <f aca="false">X$33+X$34+X$35+X$36+X$37+X$38+X$39+X$40+X$41+X$42+X$43+X$44</f>
        <v>0</v>
      </c>
      <c r="Y45" s="10" t="n">
        <f aca="false">Y$33+Y$34+Y$35+Y$36+Y$37+Y$38+Y$39+Y$40+Y$41+Y$42+Y$43+Y$44</f>
        <v>0</v>
      </c>
      <c r="Z45" s="10" t="n">
        <f aca="false">Z$33+Z$34+Z$35+Z$36+Z$37+Z$38+Z$39+Z$40+Z$41+Z$42+Z$43+Z$44</f>
        <v>0</v>
      </c>
      <c r="AA45" s="10" t="n">
        <f aca="false">AA$33+AA$34+AA$35+AA$36+AA$37+AA$38+AA$39+AA$40+AA$41+AA$42+AA$43+AA$44</f>
        <v>0</v>
      </c>
      <c r="AB45" s="10" t="n">
        <f aca="false">AB$33+AB$34+AB$35+AB$36+AB$37+AB$38+AB$39+AB$40+AB$41+AB$42+AB$43+AB$44</f>
        <v>0</v>
      </c>
      <c r="AC45" s="10" t="n">
        <f aca="false">AC$33+AC$34+AC$35+AC$36+AC$37+AC$38+AC$39+AC$40+AC$41+AC$42+AC$43+AC$44</f>
        <v>0</v>
      </c>
      <c r="AD45" s="10" t="n">
        <f aca="false">AD$33+AD$34+AD$35+AD$36+AD$37+AD$38+AD$39+AD$40+AD$41+AD$42+AD$43+AD$44</f>
        <v>0</v>
      </c>
      <c r="AE45" s="10" t="n">
        <f aca="false">AE$33+AE$34+AE$35+AE$36+AE$37+AE$38+AE$39+AE$40+AE$41+AE$42+AE$43+AE$44</f>
        <v>0</v>
      </c>
      <c r="AF45" s="10" t="n">
        <f aca="false">AF$33+AF$34+AF$35+AF$36+AF$37+AF$38+AF$39+AF$40+AF$41+AF$42+AF$43+AF$44</f>
        <v>0</v>
      </c>
      <c r="AG45" s="10" t="n">
        <f aca="false">AG$33+AG$34+AG$35+AG$36+AG$37+AG$38+AG$39+AG$40+AG$41+AG$42+AG$43+AG$44</f>
        <v>0</v>
      </c>
      <c r="AH45" s="10" t="n">
        <f aca="false">AH$33+AH$34+AH$35+AH$36+AH$37+AH$38+AH$39+AH$40+AH$41+AH$42+AH$43+AH$44</f>
        <v>0</v>
      </c>
      <c r="AI45" s="10" t="n">
        <f aca="false">AI$33+AI$34+AI$35+AI$36+AI$37+AI$38+AI$39+AI$40+AI$41+AI$42+AI$43+AI$44</f>
        <v>0</v>
      </c>
      <c r="AJ45" s="10" t="n">
        <f aca="false">AJ$33+AJ$34+AJ$35+AJ$36+AJ$37+AJ$38+AJ$39+AJ$40+AJ$41+AJ$42+AJ$43+AJ$44</f>
        <v>0</v>
      </c>
      <c r="AK45" s="10" t="n">
        <f aca="false">AK$33+AK$34+AK$35+AK$36+AK$37+AK$38+AK$39+AK$40+AK$41+AK$42+AK$43+AK$44</f>
        <v>0</v>
      </c>
      <c r="AL45" s="10" t="n">
        <f aca="false">AL$33+AL$34+AL$35+AL$36+AL$37+AL$38+AL$39+AL$40+AL$41+AL$42+AL$43+AL$44</f>
        <v>0</v>
      </c>
      <c r="AM45" s="10" t="n">
        <f aca="false">AM$33+AM$34+AM$35+AM$36+AM$37+AM$38+AM$39+AM$40+AM$41+AM$42+AM$43+AM$44</f>
        <v>0</v>
      </c>
      <c r="AN45" s="10" t="n">
        <f aca="false">AN$33+AN$34+AN$35+AN$36+AN$37+AN$38+AN$39+AN$40+AN$41+AN$42+AN$43+AN$44</f>
        <v>0</v>
      </c>
      <c r="AO45" s="10" t="n">
        <f aca="false">AO$33+AO$34+AO$35+AO$36+AO$37+AO$38+AO$39+AO$40+AO$41+AO$42+AO$43+AO$44</f>
        <v>0</v>
      </c>
      <c r="AP45" s="10" t="n">
        <f aca="false">AP$33+AP$34+AP$35+AP$36+AP$37+AP$38+AP$39+AP$40+AP$41+AP$42+AP$43+AP$44</f>
        <v>0</v>
      </c>
      <c r="AQ45" s="10" t="n">
        <f aca="false">AQ$33+AQ$34+AQ$35+AQ$36+AQ$37+AQ$38+AQ$39+AQ$40+AQ$41+AQ$42+AQ$43+AQ$44</f>
        <v>0</v>
      </c>
      <c r="AR45" s="10" t="n">
        <f aca="false">AR$33+AR$34+AR$35+AR$36+AR$37+AR$38+AR$39+AR$40+AR$41+AR$42+AR$43+AR$44</f>
        <v>0</v>
      </c>
      <c r="AS45" s="10" t="n">
        <f aca="false">AS$33+AS$34+AS$35+AS$36+AS$37+AS$38+AS$39+AS$40+AS$41+AS$42+AS$43+AS$44</f>
        <v>0</v>
      </c>
      <c r="AT45" s="10" t="n">
        <f aca="false">AT$33+AT$34+AT$35+AT$36+AT$37+AT$38+AT$39+AT$40+AT$41+AT$42+AT$43+AT$44</f>
        <v>0</v>
      </c>
      <c r="AU45" s="10" t="n">
        <f aca="false">AU$33+AU$34+AU$35+AU$36+AU$37+AU$38+AU$39+AU$40+AU$41+AU$42+AU$43+AU$44</f>
        <v>0</v>
      </c>
      <c r="AV45" s="10" t="n">
        <f aca="false">AV$33+AV$34+AV$35+AV$36+AV$37+AV$38+AV$39+AV$40+AV$41+AV$42+AV$43+AV$44</f>
        <v>0</v>
      </c>
      <c r="AW45" s="10" t="n">
        <f aca="false">AW$33+AW$34+AW$35+AW$36+AW$37+AW$38+AW$39+AW$40+AW$41+AW$42+AW$43+AW$44</f>
        <v>0</v>
      </c>
      <c r="AX45" s="10" t="n">
        <f aca="false">AX$33+AX$34+AX$35+AX$36+AX$37+AX$38+AX$39+AX$40+AX$41+AX$42+AX$43+AX$44</f>
        <v>0</v>
      </c>
      <c r="AY45" s="10" t="n">
        <f aca="false">AY$33+AY$34+AY$35+AY$36+AY$37+AY$38+AY$39+AY$40+AY$41+AY$42+AY$43+AY$44</f>
        <v>0</v>
      </c>
      <c r="AZ45" s="10" t="n">
        <f aca="false">AZ$33+AZ$34+AZ$35+AZ$36+AZ$37+AZ$38+AZ$39+AZ$40+AZ$41+AZ$42+AZ$43+AZ$44</f>
        <v>0</v>
      </c>
      <c r="BA45" s="10" t="n">
        <f aca="false">BA$33+BA$34+BA$35+BA$36+BA$37+BA$38+BA$39+BA$40+BA$41+BA$42+BA$43+BA$44</f>
        <v>0</v>
      </c>
      <c r="BB45" s="10" t="n">
        <f aca="false">BB$33+BB$34+BB$35+BB$36+BB$37+BB$38+BB$39+BB$40+BB$41+BB$42+BB$43+BB$44</f>
        <v>0</v>
      </c>
      <c r="BC45" s="10" t="n">
        <f aca="false">BC$33+BC$34+BC$35+BC$36+BC$37+BC$38+BC$39+BC$40+BC$41+BC$42+BC$43+BC$44</f>
        <v>0</v>
      </c>
      <c r="BD45" s="10" t="n">
        <f aca="false">BD$33+BD$34+BD$35+BD$36+BD$37+BD$38+BD$39+BD$40+BD$41+BD$42+BD$43+BD$44</f>
        <v>0</v>
      </c>
      <c r="BE45" s="10" t="n">
        <f aca="false">BE$33+BE$34+BE$35+BE$36+BE$37+BE$38+BE$39+BE$40+BE$41+BE$42+BE$43+BE$44</f>
        <v>0</v>
      </c>
      <c r="BF45" s="10" t="n">
        <f aca="false">BF$33+BF$34+BF$35+BF$36+BF$37+BF$38+BF$39+BF$40+BF$41+BF$42+BF$43+BF$44</f>
        <v>0</v>
      </c>
      <c r="BG45" s="10" t="n">
        <f aca="false">BG$33+BG$34+BG$35+BG$36+BG$37+BG$38+BG$39+BG$40+BG$41+BG$42+BG$43+BG$44</f>
        <v>0</v>
      </c>
      <c r="BH45" s="10" t="n">
        <f aca="false">BH$33+BH$34+BH$35+BH$36+BH$37+BH$38+BH$39+BH$40+BH$41+BH$42+BH$43+BH$44</f>
        <v>0</v>
      </c>
      <c r="BI45" s="10" t="n">
        <f aca="false">BI$33+BI$34+BI$35+BI$36+BI$37+BI$38+BI$39+BI$40+BI$41+BI$42+BI$43+BI$44</f>
        <v>0</v>
      </c>
      <c r="BJ45" s="10" t="n">
        <f aca="false">BJ$33+BJ$34+BJ$35+BJ$36+BJ$37+BJ$38+BJ$39+BJ$40+BJ$41+BJ$42+BJ$43+BJ$44</f>
        <v>0</v>
      </c>
      <c r="BK45" s="10" t="n">
        <f aca="false">BK$33+BK$34+BK$35+BK$36+BK$37+BK$38+BK$39+BK$40+BK$41+BK$42+BK$43+BK$44</f>
        <v>0</v>
      </c>
      <c r="BL45" s="10" t="n">
        <f aca="false">BL$33+BL$34+BL$35+BL$36+BL$37+BL$38+BL$39+BL$40+BL$41+BL$42+BL$43+BL$44</f>
        <v>0</v>
      </c>
      <c r="BM45" s="10" t="n">
        <f aca="false">BM$33+BM$34+BM$35+BM$36+BM$37+BM$38+BM$39+BM$40+BM$41+BM$42+BM$43+BM$44</f>
        <v>0</v>
      </c>
      <c r="BN45" s="10" t="n">
        <f aca="false">BN$33+BN$34+BN$35+BN$36+BN$37+BN$38+BN$39+BN$40+BN$41+BN$42+BN$43+BN$44</f>
        <v>0</v>
      </c>
      <c r="BO45" s="10" t="n">
        <f aca="false">BO$33+BO$34+BO$35+BO$36+BO$37+BO$38+BO$39+BO$40+BO$41+BO$42+BO$43+BO$44</f>
        <v>0</v>
      </c>
      <c r="BP45" s="10" t="n">
        <f aca="false">BP$33+BP$34+BP$35+BP$36+BP$37+BP$38+BP$39+BP$40+BP$41+BP$42+BP$43+BP$44</f>
        <v>0</v>
      </c>
      <c r="BQ45" s="10" t="n">
        <f aca="false">BQ$33+BQ$34+BQ$35+BQ$36+BQ$37+BQ$38+BQ$39+BQ$40+BQ$41+BQ$42+BQ$43+BQ$44</f>
        <v>0</v>
      </c>
      <c r="BR45" s="10" t="n">
        <f aca="false">BR$33+BR$34+BR$35+BR$36+BR$37+BR$38+BR$39+BR$40+BR$41+BR$42+BR$43+BR$44</f>
        <v>0</v>
      </c>
      <c r="BS45" s="10" t="n">
        <f aca="false">BS$33+BS$34+BS$35+BS$36+BS$37+BS$38+BS$39+BS$40+BS$41+BS$42+BS$43+BS$44</f>
        <v>0</v>
      </c>
      <c r="BT45" s="10" t="n">
        <f aca="false">BT$33+BT$34+BT$35+BT$36+BT$37+BT$38+BT$39+BT$40+BT$41+BT$42+BT$43+BT$44</f>
        <v>0</v>
      </c>
      <c r="BU45" s="10" t="n">
        <f aca="false">BU$33+BU$34+BU$35+BU$36+BU$37+BU$38+BU$39+BU$40+BU$41+BU$42+BU$43+BU$44</f>
        <v>0</v>
      </c>
      <c r="BV45" s="10" t="n">
        <f aca="false">BV$33+BV$34+BV$35+BV$36+BV$37+BV$38+BV$39+BV$40+BV$41+BV$42+BV$43+BV$44</f>
        <v>0</v>
      </c>
      <c r="BW45" s="10" t="n">
        <f aca="false">BW$33+BW$34+BW$35+BW$36+BW$37+BW$38+BW$39+BW$40+BW$41+BW$42+BW$43+BW$44</f>
        <v>0</v>
      </c>
      <c r="BX45" s="10" t="n">
        <f aca="false">BX$33+BX$34+BX$35+BX$36+BX$37+BX$38+BX$39+BX$40+BX$41+BX$42+BX$43+BX$44</f>
        <v>0</v>
      </c>
      <c r="BY45" s="10" t="n">
        <f aca="false">BY$33+BY$34+BY$35+BY$36+BY$37+BY$38+BY$39+BY$40+BY$41+BY$42+BY$43+BY$44</f>
        <v>0</v>
      </c>
      <c r="BZ45" s="10" t="n">
        <f aca="false">BZ$33+BZ$34+BZ$35+BZ$36+BZ$37+BZ$38+BZ$39+BZ$40+BZ$41+BZ$42+BZ$43+BZ$44</f>
        <v>0</v>
      </c>
      <c r="CA45" s="10" t="n">
        <f aca="false">CA$33+CA$34+CA$35+CA$36+CA$37+CA$38+CA$39+CA$40+CA$41+CA$42+CA$43+CA$44</f>
        <v>0</v>
      </c>
      <c r="CB45" s="10" t="n">
        <f aca="false">CB$33+CB$34+CB$35+CB$36+CB$37+CB$38+CB$39+CB$40+CB$41+CB$42+CB$43+CB$44</f>
        <v>0</v>
      </c>
      <c r="CC45" s="10" t="n">
        <f aca="false">CC$33+CC$34+CC$35+CC$36+CC$37+CC$38+CC$39+CC$40+CC$41+CC$42+CC$43+CC$44</f>
        <v>0</v>
      </c>
      <c r="CD45" s="10" t="n">
        <f aca="false">CD$33+CD$34+CD$35+CD$36+CD$37+CD$38+CD$39+CD$40+CD$41+CD$42+CD$43+CD$44</f>
        <v>0</v>
      </c>
      <c r="CE45" s="10" t="n">
        <f aca="false">CE$33+CE$34+CE$35+CE$36+CE$37+CE$38+CE$39+CE$40+CE$41+CE$42+CE$43+CE$44</f>
        <v>0</v>
      </c>
      <c r="CF45" s="10" t="n">
        <f aca="false">CF$33+CF$34+CF$35+CF$36+CF$37+CF$38+CF$39+CF$40+CF$41+CF$42+CF$43+CF$44</f>
        <v>0</v>
      </c>
      <c r="CG45" s="10" t="n">
        <f aca="false">CG$33+CG$34+CG$35+CG$36+CG$37+CG$38+CG$39+CG$40+CG$41+CG$42+CG$43+CG$44</f>
        <v>0</v>
      </c>
      <c r="CH45" s="10" t="n">
        <f aca="false">CH$33+CH$34+CH$35+CH$36+CH$37+CH$38+CH$39+CH$40+CH$41+CH$42+CH$43+CH$44</f>
        <v>0</v>
      </c>
      <c r="CI45" s="10" t="n">
        <f aca="false">CI$33+CI$34+CI$35+CI$36+CI$37+CI$38+CI$39+CI$40+CI$41+CI$42+CI$43+CI$44</f>
        <v>0</v>
      </c>
      <c r="CJ45" s="10" t="n">
        <f aca="false">CJ$33+CJ$34+CJ$35+CJ$36+CJ$37+CJ$38+CJ$39+CJ$40+CJ$41+CJ$42+CJ$43+CJ$44</f>
        <v>0</v>
      </c>
      <c r="CK45" s="10" t="n">
        <f aca="false">CK$33+CK$34+CK$35+CK$36+CK$37+CK$38+CK$39+CK$40+CK$41+CK$42+CK$43+CK$44</f>
        <v>0</v>
      </c>
      <c r="CL45" s="10" t="n">
        <f aca="false">CL$33+CL$34+CL$35+CL$36+CL$37+CL$38+CL$39+CL$40+CL$41+CL$42+CL$43+CL$44</f>
        <v>0</v>
      </c>
      <c r="CM45" s="10" t="n">
        <f aca="false">CM$33+CM$34+CM$35+CM$36+CM$37+CM$38+CM$39+CM$40+CM$41+CM$42+CM$43+CM$44</f>
        <v>0</v>
      </c>
      <c r="CN45" s="10" t="n">
        <f aca="false">CN$33+CN$34+CN$35+CN$36+CN$37+CN$38+CN$39+CN$40+CN$41+CN$42+CN$43+CN$44</f>
        <v>0</v>
      </c>
      <c r="CO45" s="10" t="n">
        <f aca="false">CO$33+CO$34+CO$35+CO$36+CO$37+CO$38+CO$39+CO$40+CO$41+CO$42+CO$43+CO$44</f>
        <v>0</v>
      </c>
      <c r="CP45" s="10" t="n">
        <f aca="false">CP$33+CP$34+CP$35+CP$36+CP$37+CP$38+CP$39+CP$40+CP$41+CP$42+CP$43+CP$44</f>
        <v>0</v>
      </c>
      <c r="CQ45" s="10" t="n">
        <f aca="false">CQ$33+CQ$34+CQ$35+CQ$36+CQ$37+CQ$38+CQ$39+CQ$40+CQ$41+CQ$42+CQ$43+CQ$44</f>
        <v>0</v>
      </c>
      <c r="CR45" s="10" t="n">
        <f aca="false">CR$33+CR$34+CR$35+CR$36+CR$37+CR$38+CR$39+CR$40+CR$41+CR$42+CR$43+CR$44</f>
        <v>0</v>
      </c>
      <c r="CS45" s="10" t="n">
        <f aca="false">CS$33+CS$34+CS$35+CS$36+CS$37+CS$38+CS$39+CS$40+CS$41+CS$42+CS$43+CS$44</f>
        <v>0</v>
      </c>
      <c r="CT45" s="10" t="n">
        <f aca="false">CT$33+CT$34+CT$35+CT$36+CT$37+CT$38+CT$39+CT$40+CT$41+CT$42+CT$43+CT$44</f>
        <v>0</v>
      </c>
      <c r="CU45" s="10" t="n">
        <f aca="false">CU$33+CU$34+CU$35+CU$36+CU$37+CU$38+CU$39+CU$40+CU$41+CU$42+CU$43+CU$44</f>
        <v>0</v>
      </c>
      <c r="CV45" s="10" t="n">
        <f aca="false">CV$33+CV$34+CV$35+CV$36+CV$37+CV$38+CV$39+CV$40+CV$41+CV$42+CV$43+CV$44</f>
        <v>0</v>
      </c>
      <c r="CW45" s="10" t="n">
        <f aca="false">CW$33+CW$34+CW$35+CW$36+CW$37+CW$38+CW$39+CW$40+CW$41+CW$42+CW$43+CW$44</f>
        <v>0</v>
      </c>
      <c r="CX45" s="10" t="n">
        <f aca="false">CX$33+CX$34+CX$35+CX$36+CX$37+CX$38+CX$39+CX$40+CX$41+CX$42+CX$43+CX$44</f>
        <v>0</v>
      </c>
      <c r="CY45" s="10" t="n">
        <f aca="false">CY$33+CY$34+CY$35+CY$36+CY$37+CY$38+CY$39+CY$40+CY$41+CY$42+CY$43+CY$44</f>
        <v>0</v>
      </c>
      <c r="CZ45" s="10" t="n">
        <f aca="false">CZ$33+CZ$34+CZ$35+CZ$36+CZ$37+CZ$38+CZ$39+CZ$40+CZ$41+CZ$42+CZ$43+CZ$44</f>
        <v>0</v>
      </c>
      <c r="DA45" s="10" t="n">
        <f aca="false">DA$33+DA$34+DA$35+DA$36+DA$37+DA$38+DA$39+DA$40+DA$41+DA$42+DA$43+DA$44</f>
        <v>0</v>
      </c>
      <c r="DB45" s="10" t="n">
        <f aca="false">DB$33+DB$34+DB$35+DB$36+DB$37+DB$38+DB$39+DB$40+DB$41+DB$42+DB$43+DB$44</f>
        <v>0</v>
      </c>
      <c r="DC45" s="10" t="n">
        <f aca="false">DC$33+DC$34+DC$35+DC$36+DC$37+DC$38+DC$39+DC$40+DC$41+DC$42+DC$43+DC$44</f>
        <v>0</v>
      </c>
      <c r="DD45" s="10" t="n">
        <f aca="false">DD$33+DD$34+DD$35+DD$36+DD$37+DD$38+DD$39+DD$40+DD$41+DD$42+DD$43+DD$44</f>
        <v>0</v>
      </c>
      <c r="DE45" s="10" t="n">
        <f aca="false">DE$33+DE$34+DE$35+DE$36+DE$37+DE$38+DE$39+DE$40+DE$41+DE$42+DE$43+DE$44</f>
        <v>0</v>
      </c>
      <c r="DF45" s="10" t="n">
        <f aca="false">DF$33+DF$34+DF$35+DF$36+DF$37+DF$38+DF$39+DF$40+DF$41+DF$42+DF$43+DF$44</f>
        <v>0</v>
      </c>
      <c r="DG45" s="10" t="n">
        <f aca="false">DG$33+DG$34+DG$35+DG$36+DG$37+DG$38+DG$39+DG$40+DG$41+DG$42+DG$43+DG$44</f>
        <v>0</v>
      </c>
      <c r="DH45" s="10" t="n">
        <f aca="false">DH$33+DH$34+DH$35+DH$36+DH$37+DH$38+DH$39+DH$40+DH$41+DH$42+DH$43+DH$44</f>
        <v>0</v>
      </c>
      <c r="DI45" s="10" t="n">
        <f aca="false">DI$33+DI$34+DI$35+DI$36+DI$37+DI$38+DI$39+DI$40+DI$41+DI$42+DI$43+DI$44</f>
        <v>0</v>
      </c>
      <c r="DJ45" s="10" t="n">
        <f aca="false">DJ$33+DJ$34+DJ$35+DJ$36+DJ$37+DJ$38+DJ$39+DJ$40+DJ$41+DJ$42+DJ$43+DJ$44</f>
        <v>0</v>
      </c>
      <c r="DK45" s="10" t="n">
        <f aca="false">DK$33+DK$34+DK$35+DK$36+DK$37+DK$38+DK$39+DK$40+DK$41+DK$42+DK$43+DK$44</f>
        <v>0</v>
      </c>
      <c r="DL45" s="10" t="n">
        <f aca="false">DL$33+DL$34+DL$35+DL$36+DL$37+DL$38+DL$39+DL$40+DL$41+DL$42+DL$43+DL$44</f>
        <v>0</v>
      </c>
      <c r="DM45" s="10" t="n">
        <f aca="false">DM$33+DM$34+DM$35+DM$36+DM$37+DM$38+DM$39+DM$40+DM$41+DM$42+DM$43+DM$44</f>
        <v>0</v>
      </c>
      <c r="DN45" s="10" t="n">
        <f aca="false">DN$33+DN$34+DN$35+DN$36+DN$37+DN$38+DN$39+DN$40+DN$41+DN$42+DN$43+DN$44</f>
        <v>0</v>
      </c>
      <c r="DO45" s="10" t="n">
        <f aca="false">DO$33+DO$34+DO$35+DO$36+DO$37+DO$38+DO$39+DO$40+DO$41+DO$42+DO$43+DO$44</f>
        <v>0</v>
      </c>
      <c r="DP45" s="10" t="n">
        <f aca="false">DP$33+DP$34+DP$35+DP$36+DP$37+DP$38+DP$39+DP$40+DP$41+DP$42+DP$43+DP$44</f>
        <v>0</v>
      </c>
      <c r="DQ45" s="10" t="n">
        <f aca="false">DQ$33+DQ$34+DQ$35+DQ$36+DQ$37+DQ$38+DQ$39+DQ$40+DQ$41+DQ$42+DQ$43+DQ$44</f>
        <v>0</v>
      </c>
      <c r="DR45" s="10" t="n">
        <f aca="false">DR$33+DR$34+DR$35+DR$36+DR$37+DR$38+DR$39+DR$40+DR$41+DR$42+DR$43+DR$44</f>
        <v>0</v>
      </c>
      <c r="DS45" s="10" t="n">
        <f aca="false">DS$33+DS$34+DS$35+DS$36+DS$37+DS$38+DS$39+DS$40+DS$41+DS$42+DS$43+DS$44</f>
        <v>0</v>
      </c>
      <c r="DT45" s="10" t="n">
        <f aca="false">DT$33+DT$34+DT$35+DT$36+DT$37+DT$38+DT$39+DT$40+DT$41+DT$42+DT$43+DT$44</f>
        <v>0</v>
      </c>
      <c r="DU45" s="10" t="n">
        <f aca="false">DU$33+DU$34+DU$35+DU$36+DU$37+DU$38+DU$39+DU$40+DU$41+DU$42+DU$43+DU$44</f>
        <v>0</v>
      </c>
      <c r="DV45" s="10" t="n">
        <f aca="false">DV$33+DV$34+DV$35+DV$36+DV$37+DV$38+DV$39+DV$40+DV$41+DV$42+DV$43+DV$44</f>
        <v>0</v>
      </c>
      <c r="DW45" s="10" t="n">
        <f aca="false">DW$33+DW$34+DW$35+DW$36+DW$37+DW$38+DW$39+DW$40+DW$41+DW$42+DW$43+DW$44</f>
        <v>0</v>
      </c>
      <c r="DX45" s="10" t="n">
        <f aca="false">DX$33+DX$34+DX$35+DX$36+DX$37+DX$38+DX$39+DX$40+DX$41+DX$42+DX$43+DX$44</f>
        <v>0</v>
      </c>
      <c r="DY45" s="10" t="n">
        <f aca="false">DY$33+DY$34+DY$35+DY$36+DY$37+DY$38+DY$39+DY$40+DY$41+DY$42+DY$43+DY$44</f>
        <v>0</v>
      </c>
      <c r="DZ45" s="10" t="n">
        <f aca="false">DZ$33+DZ$34+DZ$35+DZ$36+DZ$37+DZ$38+DZ$39+DZ$40+DZ$41+DZ$42+DZ$43+DZ$44</f>
        <v>0</v>
      </c>
      <c r="EA45" s="10" t="n">
        <f aca="false">EA$33+EA$34+EA$35+EA$36+EA$37+EA$38+EA$39+EA$40+EA$41+EA$42+EA$43+EA$44</f>
        <v>0</v>
      </c>
      <c r="EB45" s="10" t="n">
        <f aca="false">EB$33+EB$34+EB$35+EB$36+EB$37+EB$38+EB$39+EB$40+EB$41+EB$42+EB$43+EB$44</f>
        <v>0</v>
      </c>
      <c r="EC45" s="10" t="n">
        <f aca="false">EC$33+EC$34+EC$35+EC$36+EC$37+EC$38+EC$39+EC$40+EC$41+EC$42+EC$43+EC$44</f>
        <v>0</v>
      </c>
      <c r="ED45" s="10" t="n">
        <f aca="false">ED$33+ED$34+ED$35+ED$36+ED$37+ED$38+ED$39+ED$40+ED$41+ED$42+ED$43+ED$44</f>
        <v>0</v>
      </c>
      <c r="EE45" s="10" t="n">
        <f aca="false">EE$33+EE$34+EE$35+EE$36+EE$37+EE$38+EE$39+EE$40+EE$41+EE$42+EE$43+EE$44</f>
        <v>0</v>
      </c>
      <c r="EF45" s="10" t="n">
        <f aca="false">EF$33+EF$34+EF$35+EF$36+EF$37+EF$38+EF$39+EF$40+EF$41+EF$42+EF$43+EF$44</f>
        <v>0</v>
      </c>
      <c r="EG45" s="10" t="n">
        <f aca="false">EG$33+EG$34+EG$35+EG$36+EG$37+EG$38+EG$39+EG$40+EG$41+EG$42+EG$43+EG$44</f>
        <v>0</v>
      </c>
      <c r="EH45" s="10" t="n">
        <f aca="false">EH$33+EH$34+EH$35+EH$36+EH$37+EH$38+EH$39+EH$40+EH$41+EH$42+EH$43+EH$44</f>
        <v>0</v>
      </c>
      <c r="EI45" s="10" t="n">
        <f aca="false">EI$33+EI$34+EI$35+EI$36+EI$37+EI$38+EI$39+EI$40+EI$41+EI$42+EI$43+EI$44</f>
        <v>0</v>
      </c>
      <c r="EJ45" s="10" t="n">
        <f aca="false">EJ$33+EJ$34+EJ$35+EJ$36+EJ$37+EJ$38+EJ$39+EJ$40+EJ$41+EJ$42+EJ$43+EJ$44</f>
        <v>0</v>
      </c>
      <c r="EK45" s="10" t="n">
        <f aca="false">EK$33+EK$34+EK$35+EK$36+EK$37+EK$38+EK$39+EK$40+EK$41+EK$42+EK$43+EK$44</f>
        <v>0</v>
      </c>
      <c r="EL45" s="10" t="n">
        <f aca="false">EL$33+EL$34+EL$35+EL$36+EL$37+EL$38+EL$39+EL$40+EL$41+EL$42+EL$43+EL$44</f>
        <v>0</v>
      </c>
      <c r="EM45" s="10" t="n">
        <f aca="false">EM$33+EM$34+EM$35+EM$36+EM$37+EM$38+EM$39+EM$40+EM$41+EM$42+EM$43+EM$44</f>
        <v>0</v>
      </c>
      <c r="EN45" s="10" t="n">
        <f aca="false">EN$33+EN$34+EN$35+EN$36+EN$37+EN$38+EN$39+EN$40+EN$41+EN$42+EN$43+EN$44</f>
        <v>0</v>
      </c>
      <c r="EO45" s="10" t="n">
        <f aca="false">EO$33+EO$34+EO$35+EO$36+EO$37+EO$38+EO$39+EO$40+EO$41+EO$42+EO$43+EO$44</f>
        <v>0</v>
      </c>
      <c r="EP45" s="10" t="n">
        <f aca="false">EP$33+EP$34+EP$35+EP$36+EP$37+EP$38+EP$39+EP$40+EP$41+EP$42+EP$43+EP$44</f>
        <v>0</v>
      </c>
      <c r="EQ45" s="10" t="n">
        <f aca="false">EQ$33+EQ$34+EQ$35+EQ$36+EQ$37+EQ$38+EQ$39+EQ$40+EQ$41+EQ$42+EQ$43+EQ$44</f>
        <v>0</v>
      </c>
      <c r="ER45" s="10" t="n">
        <f aca="false">ER$33+ER$34+ER$35+ER$36+ER$37+ER$38+ER$39+ER$40+ER$41+ER$42+ER$43+ER$44</f>
        <v>0</v>
      </c>
      <c r="ES45" s="10" t="n">
        <f aca="false">ES$33+ES$34+ES$35+ES$36+ES$37+ES$38+ES$39+ES$40+ES$41+ES$42+ES$43+ES$44</f>
        <v>0</v>
      </c>
    </row>
    <row r="46" customFormat="false" ht="15" hidden="false" customHeight="false" outlineLevel="0" collapsed="false">
      <c r="A46" s="4"/>
      <c r="B46" s="3" t="s">
        <v>458</v>
      </c>
      <c r="C46" s="4"/>
      <c r="D46" s="4"/>
      <c r="E46" s="4"/>
    </row>
    <row r="47" customFormat="false" ht="15" hidden="false" customHeight="false" outlineLevel="0" collapsed="false">
      <c r="A47" s="2" t="s">
        <v>459</v>
      </c>
      <c r="B47" s="6" t="s">
        <v>460</v>
      </c>
      <c r="C47" s="6" t="s">
        <v>212</v>
      </c>
      <c r="E47" s="40" t="n">
        <f aca="false">SUM(F47:ES47)</f>
        <v>0</v>
      </c>
      <c r="F47" s="34" t="n">
        <f aca="false">SUMPRODUCT(F21:F32,MP_O)*INDEX(IdxMP_O,1,MIN(10,F$17))*(1+P_dMat)/(1-P_Merma)</f>
        <v>0</v>
      </c>
      <c r="G47" s="34" t="n">
        <f aca="false">SUMPRODUCT(G21:G32,MP_O)*INDEX(IdxMP_O,1,MIN(10,G$17))*(1+P_dMat)/(1-P_Merma)</f>
        <v>0</v>
      </c>
      <c r="H47" s="34" t="n">
        <f aca="false">SUMPRODUCT(H21:H32,MP_O)*INDEX(IdxMP_O,1,MIN(10,H$17))*(1+P_dMat)/(1-P_Merma)</f>
        <v>0</v>
      </c>
      <c r="I47" s="34" t="n">
        <f aca="false">SUMPRODUCT(I21:I32,MP_O)*INDEX(IdxMP_O,1,MIN(10,I$17))*(1+P_dMat)/(1-P_Merma)</f>
        <v>0</v>
      </c>
      <c r="J47" s="34" t="n">
        <f aca="false">SUMPRODUCT(J21:J32,MP_O)*INDEX(IdxMP_O,1,MIN(10,J$17))*(1+P_dMat)/(1-P_Merma)</f>
        <v>0</v>
      </c>
      <c r="K47" s="34" t="n">
        <f aca="false">SUMPRODUCT(K21:K32,MP_O)*INDEX(IdxMP_O,1,MIN(10,K$17))*(1+P_dMat)/(1-P_Merma)</f>
        <v>0</v>
      </c>
      <c r="L47" s="34" t="n">
        <f aca="false">SUMPRODUCT(L21:L32,MP_O)*INDEX(IdxMP_O,1,MIN(10,L$17))*(1+P_dMat)/(1-P_Merma)</f>
        <v>0</v>
      </c>
      <c r="M47" s="34" t="n">
        <f aca="false">SUMPRODUCT(M21:M32,MP_O)*INDEX(IdxMP_O,1,MIN(10,M$17))*(1+P_dMat)/(1-P_Merma)</f>
        <v>0</v>
      </c>
      <c r="N47" s="34" t="n">
        <f aca="false">SUMPRODUCT(N21:N32,MP_O)*INDEX(IdxMP_O,1,MIN(10,N$17))*(1+P_dMat)/(1-P_Merma)</f>
        <v>0</v>
      </c>
      <c r="O47" s="34" t="n">
        <f aca="false">SUMPRODUCT(O21:O32,MP_O)*INDEX(IdxMP_O,1,MIN(10,O$17))*(1+P_dMat)/(1-P_Merma)</f>
        <v>0</v>
      </c>
      <c r="P47" s="34" t="n">
        <f aca="false">SUMPRODUCT(P21:P32,MP_O)*INDEX(IdxMP_O,1,MIN(10,P$17))*(1+P_dMat)/(1-P_Merma)</f>
        <v>0</v>
      </c>
      <c r="Q47" s="34" t="n">
        <f aca="false">SUMPRODUCT(Q21:Q32,MP_O)*INDEX(IdxMP_O,1,MIN(10,Q$17))*(1+P_dMat)/(1-P_Merma)</f>
        <v>0</v>
      </c>
      <c r="R47" s="34" t="n">
        <f aca="false">SUMPRODUCT(R21:R32,MP_O)*INDEX(IdxMP_O,1,MIN(10,R$17))*(1+P_dMat)/(1-P_Merma)</f>
        <v>0</v>
      </c>
      <c r="S47" s="34" t="n">
        <f aca="false">SUMPRODUCT(S21:S32,MP_O)*INDEX(IdxMP_O,1,MIN(10,S$17))*(1+P_dMat)/(1-P_Merma)</f>
        <v>0</v>
      </c>
      <c r="T47" s="34" t="n">
        <f aca="false">SUMPRODUCT(T21:T32,MP_O)*INDEX(IdxMP_O,1,MIN(10,T$17))*(1+P_dMat)/(1-P_Merma)</f>
        <v>0</v>
      </c>
      <c r="U47" s="34" t="n">
        <f aca="false">SUMPRODUCT(U21:U32,MP_O)*INDEX(IdxMP_O,1,MIN(10,U$17))*(1+P_dMat)/(1-P_Merma)</f>
        <v>0</v>
      </c>
      <c r="V47" s="34" t="n">
        <f aca="false">SUMPRODUCT(V21:V32,MP_O)*INDEX(IdxMP_O,1,MIN(10,V$17))*(1+P_dMat)/(1-P_Merma)</f>
        <v>0</v>
      </c>
      <c r="W47" s="34" t="n">
        <f aca="false">SUMPRODUCT(W21:W32,MP_O)*INDEX(IdxMP_O,1,MIN(10,W$17))*(1+P_dMat)/(1-P_Merma)</f>
        <v>0</v>
      </c>
      <c r="X47" s="34" t="n">
        <f aca="false">SUMPRODUCT(X21:X32,MP_O)*INDEX(IdxMP_O,1,MIN(10,X$17))*(1+P_dMat)/(1-P_Merma)</f>
        <v>0</v>
      </c>
      <c r="Y47" s="34" t="n">
        <f aca="false">SUMPRODUCT(Y21:Y32,MP_O)*INDEX(IdxMP_O,1,MIN(10,Y$17))*(1+P_dMat)/(1-P_Merma)</f>
        <v>0</v>
      </c>
      <c r="Z47" s="34" t="n">
        <f aca="false">SUMPRODUCT(Z21:Z32,MP_O)*INDEX(IdxMP_O,1,MIN(10,Z$17))*(1+P_dMat)/(1-P_Merma)</f>
        <v>0</v>
      </c>
      <c r="AA47" s="34" t="n">
        <f aca="false">SUMPRODUCT(AA21:AA32,MP_O)*INDEX(IdxMP_O,1,MIN(10,AA$17))*(1+P_dMat)/(1-P_Merma)</f>
        <v>0</v>
      </c>
      <c r="AB47" s="34" t="n">
        <f aca="false">SUMPRODUCT(AB21:AB32,MP_O)*INDEX(IdxMP_O,1,MIN(10,AB$17))*(1+P_dMat)/(1-P_Merma)</f>
        <v>0</v>
      </c>
      <c r="AC47" s="34" t="n">
        <f aca="false">SUMPRODUCT(AC21:AC32,MP_O)*INDEX(IdxMP_O,1,MIN(10,AC$17))*(1+P_dMat)/(1-P_Merma)</f>
        <v>0</v>
      </c>
      <c r="AD47" s="34" t="n">
        <f aca="false">SUMPRODUCT(AD21:AD32,MP_O)*INDEX(IdxMP_O,1,MIN(10,AD$17))*(1+P_dMat)/(1-P_Merma)</f>
        <v>0</v>
      </c>
      <c r="AE47" s="34" t="n">
        <f aca="false">SUMPRODUCT(AE21:AE32,MP_O)*INDEX(IdxMP_O,1,MIN(10,AE$17))*(1+P_dMat)/(1-P_Merma)</f>
        <v>0</v>
      </c>
      <c r="AF47" s="34" t="n">
        <f aca="false">SUMPRODUCT(AF21:AF32,MP_O)*INDEX(IdxMP_O,1,MIN(10,AF$17))*(1+P_dMat)/(1-P_Merma)</f>
        <v>0</v>
      </c>
      <c r="AG47" s="34" t="n">
        <f aca="false">SUMPRODUCT(AG21:AG32,MP_O)*INDEX(IdxMP_O,1,MIN(10,AG$17))*(1+P_dMat)/(1-P_Merma)</f>
        <v>0</v>
      </c>
      <c r="AH47" s="34" t="n">
        <f aca="false">SUMPRODUCT(AH21:AH32,MP_O)*INDEX(IdxMP_O,1,MIN(10,AH$17))*(1+P_dMat)/(1-P_Merma)</f>
        <v>0</v>
      </c>
      <c r="AI47" s="34" t="n">
        <f aca="false">SUMPRODUCT(AI21:AI32,MP_O)*INDEX(IdxMP_O,1,MIN(10,AI$17))*(1+P_dMat)/(1-P_Merma)</f>
        <v>0</v>
      </c>
      <c r="AJ47" s="34" t="n">
        <f aca="false">SUMPRODUCT(AJ21:AJ32,MP_O)*INDEX(IdxMP_O,1,MIN(10,AJ$17))*(1+P_dMat)/(1-P_Merma)</f>
        <v>0</v>
      </c>
      <c r="AK47" s="34" t="n">
        <f aca="false">SUMPRODUCT(AK21:AK32,MP_O)*INDEX(IdxMP_O,1,MIN(10,AK$17))*(1+P_dMat)/(1-P_Merma)</f>
        <v>0</v>
      </c>
      <c r="AL47" s="34" t="n">
        <f aca="false">SUMPRODUCT(AL21:AL32,MP_O)*INDEX(IdxMP_O,1,MIN(10,AL$17))*(1+P_dMat)/(1-P_Merma)</f>
        <v>0</v>
      </c>
      <c r="AM47" s="34" t="n">
        <f aca="false">SUMPRODUCT(AM21:AM32,MP_O)*INDEX(IdxMP_O,1,MIN(10,AM$17))*(1+P_dMat)/(1-P_Merma)</f>
        <v>0</v>
      </c>
      <c r="AN47" s="34" t="n">
        <f aca="false">SUMPRODUCT(AN21:AN32,MP_O)*INDEX(IdxMP_O,1,MIN(10,AN$17))*(1+P_dMat)/(1-P_Merma)</f>
        <v>0</v>
      </c>
      <c r="AO47" s="34" t="n">
        <f aca="false">SUMPRODUCT(AO21:AO32,MP_O)*INDEX(IdxMP_O,1,MIN(10,AO$17))*(1+P_dMat)/(1-P_Merma)</f>
        <v>0</v>
      </c>
      <c r="AP47" s="34" t="n">
        <f aca="false">SUMPRODUCT(AP21:AP32,MP_O)*INDEX(IdxMP_O,1,MIN(10,AP$17))*(1+P_dMat)/(1-P_Merma)</f>
        <v>0</v>
      </c>
      <c r="AQ47" s="34" t="n">
        <f aca="false">SUMPRODUCT(AQ21:AQ32,MP_O)*INDEX(IdxMP_O,1,MIN(10,AQ$17))*(1+P_dMat)/(1-P_Merma)</f>
        <v>0</v>
      </c>
      <c r="AR47" s="34" t="n">
        <f aca="false">SUMPRODUCT(AR21:AR32,MP_O)*INDEX(IdxMP_O,1,MIN(10,AR$17))*(1+P_dMat)/(1-P_Merma)</f>
        <v>0</v>
      </c>
      <c r="AS47" s="34" t="n">
        <f aca="false">SUMPRODUCT(AS21:AS32,MP_O)*INDEX(IdxMP_O,1,MIN(10,AS$17))*(1+P_dMat)/(1-P_Merma)</f>
        <v>0</v>
      </c>
      <c r="AT47" s="34" t="n">
        <f aca="false">SUMPRODUCT(AT21:AT32,MP_O)*INDEX(IdxMP_O,1,MIN(10,AT$17))*(1+P_dMat)/(1-P_Merma)</f>
        <v>0</v>
      </c>
      <c r="AU47" s="34" t="n">
        <f aca="false">SUMPRODUCT(AU21:AU32,MP_O)*INDEX(IdxMP_O,1,MIN(10,AU$17))*(1+P_dMat)/(1-P_Merma)</f>
        <v>0</v>
      </c>
      <c r="AV47" s="34" t="n">
        <f aca="false">SUMPRODUCT(AV21:AV32,MP_O)*INDEX(IdxMP_O,1,MIN(10,AV$17))*(1+P_dMat)/(1-P_Merma)</f>
        <v>0</v>
      </c>
      <c r="AW47" s="34" t="n">
        <f aca="false">SUMPRODUCT(AW21:AW32,MP_O)*INDEX(IdxMP_O,1,MIN(10,AW$17))*(1+P_dMat)/(1-P_Merma)</f>
        <v>0</v>
      </c>
      <c r="AX47" s="34" t="n">
        <f aca="false">SUMPRODUCT(AX21:AX32,MP_O)*INDEX(IdxMP_O,1,MIN(10,AX$17))*(1+P_dMat)/(1-P_Merma)</f>
        <v>0</v>
      </c>
      <c r="AY47" s="34" t="n">
        <f aca="false">SUMPRODUCT(AY21:AY32,MP_O)*INDEX(IdxMP_O,1,MIN(10,AY$17))*(1+P_dMat)/(1-P_Merma)</f>
        <v>0</v>
      </c>
      <c r="AZ47" s="34" t="n">
        <f aca="false">SUMPRODUCT(AZ21:AZ32,MP_O)*INDEX(IdxMP_O,1,MIN(10,AZ$17))*(1+P_dMat)/(1-P_Merma)</f>
        <v>0</v>
      </c>
      <c r="BA47" s="34" t="n">
        <f aca="false">SUMPRODUCT(BA21:BA32,MP_O)*INDEX(IdxMP_O,1,MIN(10,BA$17))*(1+P_dMat)/(1-P_Merma)</f>
        <v>0</v>
      </c>
      <c r="BB47" s="34" t="n">
        <f aca="false">SUMPRODUCT(BB21:BB32,MP_O)*INDEX(IdxMP_O,1,MIN(10,BB$17))*(1+P_dMat)/(1-P_Merma)</f>
        <v>0</v>
      </c>
      <c r="BC47" s="34" t="n">
        <f aca="false">SUMPRODUCT(BC21:BC32,MP_O)*INDEX(IdxMP_O,1,MIN(10,BC$17))*(1+P_dMat)/(1-P_Merma)</f>
        <v>0</v>
      </c>
      <c r="BD47" s="34" t="n">
        <f aca="false">SUMPRODUCT(BD21:BD32,MP_O)*INDEX(IdxMP_O,1,MIN(10,BD$17))*(1+P_dMat)/(1-P_Merma)</f>
        <v>0</v>
      </c>
      <c r="BE47" s="34" t="n">
        <f aca="false">SUMPRODUCT(BE21:BE32,MP_O)*INDEX(IdxMP_O,1,MIN(10,BE$17))*(1+P_dMat)/(1-P_Merma)</f>
        <v>0</v>
      </c>
      <c r="BF47" s="34" t="n">
        <f aca="false">SUMPRODUCT(BF21:BF32,MP_O)*INDEX(IdxMP_O,1,MIN(10,BF$17))*(1+P_dMat)/(1-P_Merma)</f>
        <v>0</v>
      </c>
      <c r="BG47" s="34" t="n">
        <f aca="false">SUMPRODUCT(BG21:BG32,MP_O)*INDEX(IdxMP_O,1,MIN(10,BG$17))*(1+P_dMat)/(1-P_Merma)</f>
        <v>0</v>
      </c>
      <c r="BH47" s="34" t="n">
        <f aca="false">SUMPRODUCT(BH21:BH32,MP_O)*INDEX(IdxMP_O,1,MIN(10,BH$17))*(1+P_dMat)/(1-P_Merma)</f>
        <v>0</v>
      </c>
      <c r="BI47" s="34" t="n">
        <f aca="false">SUMPRODUCT(BI21:BI32,MP_O)*INDEX(IdxMP_O,1,MIN(10,BI$17))*(1+P_dMat)/(1-P_Merma)</f>
        <v>0</v>
      </c>
      <c r="BJ47" s="34" t="n">
        <f aca="false">SUMPRODUCT(BJ21:BJ32,MP_O)*INDEX(IdxMP_O,1,MIN(10,BJ$17))*(1+P_dMat)/(1-P_Merma)</f>
        <v>0</v>
      </c>
      <c r="BK47" s="34" t="n">
        <f aca="false">SUMPRODUCT(BK21:BK32,MP_O)*INDEX(IdxMP_O,1,MIN(10,BK$17))*(1+P_dMat)/(1-P_Merma)</f>
        <v>0</v>
      </c>
      <c r="BL47" s="34" t="n">
        <f aca="false">SUMPRODUCT(BL21:BL32,MP_O)*INDEX(IdxMP_O,1,MIN(10,BL$17))*(1+P_dMat)/(1-P_Merma)</f>
        <v>0</v>
      </c>
      <c r="BM47" s="34" t="n">
        <f aca="false">SUMPRODUCT(BM21:BM32,MP_O)*INDEX(IdxMP_O,1,MIN(10,BM$17))*(1+P_dMat)/(1-P_Merma)</f>
        <v>0</v>
      </c>
      <c r="BN47" s="34" t="n">
        <f aca="false">SUMPRODUCT(BN21:BN32,MP_O)*INDEX(IdxMP_O,1,MIN(10,BN$17))*(1+P_dMat)/(1-P_Merma)</f>
        <v>0</v>
      </c>
      <c r="BO47" s="34" t="n">
        <f aca="false">SUMPRODUCT(BO21:BO32,MP_O)*INDEX(IdxMP_O,1,MIN(10,BO$17))*(1+P_dMat)/(1-P_Merma)</f>
        <v>0</v>
      </c>
      <c r="BP47" s="34" t="n">
        <f aca="false">SUMPRODUCT(BP21:BP32,MP_O)*INDEX(IdxMP_O,1,MIN(10,BP$17))*(1+P_dMat)/(1-P_Merma)</f>
        <v>0</v>
      </c>
      <c r="BQ47" s="34" t="n">
        <f aca="false">SUMPRODUCT(BQ21:BQ32,MP_O)*INDEX(IdxMP_O,1,MIN(10,BQ$17))*(1+P_dMat)/(1-P_Merma)</f>
        <v>0</v>
      </c>
      <c r="BR47" s="34" t="n">
        <f aca="false">SUMPRODUCT(BR21:BR32,MP_O)*INDEX(IdxMP_O,1,MIN(10,BR$17))*(1+P_dMat)/(1-P_Merma)</f>
        <v>0</v>
      </c>
      <c r="BS47" s="34" t="n">
        <f aca="false">SUMPRODUCT(BS21:BS32,MP_O)*INDEX(IdxMP_O,1,MIN(10,BS$17))*(1+P_dMat)/(1-P_Merma)</f>
        <v>0</v>
      </c>
      <c r="BT47" s="34" t="n">
        <f aca="false">SUMPRODUCT(BT21:BT32,MP_O)*INDEX(IdxMP_O,1,MIN(10,BT$17))*(1+P_dMat)/(1-P_Merma)</f>
        <v>0</v>
      </c>
      <c r="BU47" s="34" t="n">
        <f aca="false">SUMPRODUCT(BU21:BU32,MP_O)*INDEX(IdxMP_O,1,MIN(10,BU$17))*(1+P_dMat)/(1-P_Merma)</f>
        <v>0</v>
      </c>
      <c r="BV47" s="34" t="n">
        <f aca="false">SUMPRODUCT(BV21:BV32,MP_O)*INDEX(IdxMP_O,1,MIN(10,BV$17))*(1+P_dMat)/(1-P_Merma)</f>
        <v>0</v>
      </c>
      <c r="BW47" s="34" t="n">
        <f aca="false">SUMPRODUCT(BW21:BW32,MP_O)*INDEX(IdxMP_O,1,MIN(10,BW$17))*(1+P_dMat)/(1-P_Merma)</f>
        <v>0</v>
      </c>
      <c r="BX47" s="34" t="n">
        <f aca="false">SUMPRODUCT(BX21:BX32,MP_O)*INDEX(IdxMP_O,1,MIN(10,BX$17))*(1+P_dMat)/(1-P_Merma)</f>
        <v>0</v>
      </c>
      <c r="BY47" s="34" t="n">
        <f aca="false">SUMPRODUCT(BY21:BY32,MP_O)*INDEX(IdxMP_O,1,MIN(10,BY$17))*(1+P_dMat)/(1-P_Merma)</f>
        <v>0</v>
      </c>
      <c r="BZ47" s="34" t="n">
        <f aca="false">SUMPRODUCT(BZ21:BZ32,MP_O)*INDEX(IdxMP_O,1,MIN(10,BZ$17))*(1+P_dMat)/(1-P_Merma)</f>
        <v>0</v>
      </c>
      <c r="CA47" s="34" t="n">
        <f aca="false">SUMPRODUCT(CA21:CA32,MP_O)*INDEX(IdxMP_O,1,MIN(10,CA$17))*(1+P_dMat)/(1-P_Merma)</f>
        <v>0</v>
      </c>
      <c r="CB47" s="34" t="n">
        <f aca="false">SUMPRODUCT(CB21:CB32,MP_O)*INDEX(IdxMP_O,1,MIN(10,CB$17))*(1+P_dMat)/(1-P_Merma)</f>
        <v>0</v>
      </c>
      <c r="CC47" s="34" t="n">
        <f aca="false">SUMPRODUCT(CC21:CC32,MP_O)*INDEX(IdxMP_O,1,MIN(10,CC$17))*(1+P_dMat)/(1-P_Merma)</f>
        <v>0</v>
      </c>
      <c r="CD47" s="34" t="n">
        <f aca="false">SUMPRODUCT(CD21:CD32,MP_O)*INDEX(IdxMP_O,1,MIN(10,CD$17))*(1+P_dMat)/(1-P_Merma)</f>
        <v>0</v>
      </c>
      <c r="CE47" s="34" t="n">
        <f aca="false">SUMPRODUCT(CE21:CE32,MP_O)*INDEX(IdxMP_O,1,MIN(10,CE$17))*(1+P_dMat)/(1-P_Merma)</f>
        <v>0</v>
      </c>
      <c r="CF47" s="34" t="n">
        <f aca="false">SUMPRODUCT(CF21:CF32,MP_O)*INDEX(IdxMP_O,1,MIN(10,CF$17))*(1+P_dMat)/(1-P_Merma)</f>
        <v>0</v>
      </c>
      <c r="CG47" s="34" t="n">
        <f aca="false">SUMPRODUCT(CG21:CG32,MP_O)*INDEX(IdxMP_O,1,MIN(10,CG$17))*(1+P_dMat)/(1-P_Merma)</f>
        <v>0</v>
      </c>
      <c r="CH47" s="34" t="n">
        <f aca="false">SUMPRODUCT(CH21:CH32,MP_O)*INDEX(IdxMP_O,1,MIN(10,CH$17))*(1+P_dMat)/(1-P_Merma)</f>
        <v>0</v>
      </c>
      <c r="CI47" s="34" t="n">
        <f aca="false">SUMPRODUCT(CI21:CI32,MP_O)*INDEX(IdxMP_O,1,MIN(10,CI$17))*(1+P_dMat)/(1-P_Merma)</f>
        <v>0</v>
      </c>
      <c r="CJ47" s="34" t="n">
        <f aca="false">SUMPRODUCT(CJ21:CJ32,MP_O)*INDEX(IdxMP_O,1,MIN(10,CJ$17))*(1+P_dMat)/(1-P_Merma)</f>
        <v>0</v>
      </c>
      <c r="CK47" s="34" t="n">
        <f aca="false">SUMPRODUCT(CK21:CK32,MP_O)*INDEX(IdxMP_O,1,MIN(10,CK$17))*(1+P_dMat)/(1-P_Merma)</f>
        <v>0</v>
      </c>
      <c r="CL47" s="34" t="n">
        <f aca="false">SUMPRODUCT(CL21:CL32,MP_O)*INDEX(IdxMP_O,1,MIN(10,CL$17))*(1+P_dMat)/(1-P_Merma)</f>
        <v>0</v>
      </c>
      <c r="CM47" s="34" t="n">
        <f aca="false">SUMPRODUCT(CM21:CM32,MP_O)*INDEX(IdxMP_O,1,MIN(10,CM$17))*(1+P_dMat)/(1-P_Merma)</f>
        <v>0</v>
      </c>
      <c r="CN47" s="34" t="n">
        <f aca="false">SUMPRODUCT(CN21:CN32,MP_O)*INDEX(IdxMP_O,1,MIN(10,CN$17))*(1+P_dMat)/(1-P_Merma)</f>
        <v>0</v>
      </c>
      <c r="CO47" s="34" t="n">
        <f aca="false">SUMPRODUCT(CO21:CO32,MP_O)*INDEX(IdxMP_O,1,MIN(10,CO$17))*(1+P_dMat)/(1-P_Merma)</f>
        <v>0</v>
      </c>
      <c r="CP47" s="34" t="n">
        <f aca="false">SUMPRODUCT(CP21:CP32,MP_O)*INDEX(IdxMP_O,1,MIN(10,CP$17))*(1+P_dMat)/(1-P_Merma)</f>
        <v>0</v>
      </c>
      <c r="CQ47" s="34" t="n">
        <f aca="false">SUMPRODUCT(CQ21:CQ32,MP_O)*INDEX(IdxMP_O,1,MIN(10,CQ$17))*(1+P_dMat)/(1-P_Merma)</f>
        <v>0</v>
      </c>
      <c r="CR47" s="34" t="n">
        <f aca="false">SUMPRODUCT(CR21:CR32,MP_O)*INDEX(IdxMP_O,1,MIN(10,CR$17))*(1+P_dMat)/(1-P_Merma)</f>
        <v>0</v>
      </c>
      <c r="CS47" s="34" t="n">
        <f aca="false">SUMPRODUCT(CS21:CS32,MP_O)*INDEX(IdxMP_O,1,MIN(10,CS$17))*(1+P_dMat)/(1-P_Merma)</f>
        <v>0</v>
      </c>
      <c r="CT47" s="34" t="n">
        <f aca="false">SUMPRODUCT(CT21:CT32,MP_O)*INDEX(IdxMP_O,1,MIN(10,CT$17))*(1+P_dMat)/(1-P_Merma)</f>
        <v>0</v>
      </c>
      <c r="CU47" s="34" t="n">
        <f aca="false">SUMPRODUCT(CU21:CU32,MP_O)*INDEX(IdxMP_O,1,MIN(10,CU$17))*(1+P_dMat)/(1-P_Merma)</f>
        <v>0</v>
      </c>
      <c r="CV47" s="34" t="n">
        <f aca="false">SUMPRODUCT(CV21:CV32,MP_O)*INDEX(IdxMP_O,1,MIN(10,CV$17))*(1+P_dMat)/(1-P_Merma)</f>
        <v>0</v>
      </c>
      <c r="CW47" s="34" t="n">
        <f aca="false">SUMPRODUCT(CW21:CW32,MP_O)*INDEX(IdxMP_O,1,MIN(10,CW$17))*(1+P_dMat)/(1-P_Merma)</f>
        <v>0</v>
      </c>
      <c r="CX47" s="34" t="n">
        <f aca="false">SUMPRODUCT(CX21:CX32,MP_O)*INDEX(IdxMP_O,1,MIN(10,CX$17))*(1+P_dMat)/(1-P_Merma)</f>
        <v>0</v>
      </c>
      <c r="CY47" s="34" t="n">
        <f aca="false">SUMPRODUCT(CY21:CY32,MP_O)*INDEX(IdxMP_O,1,MIN(10,CY$17))*(1+P_dMat)/(1-P_Merma)</f>
        <v>0</v>
      </c>
      <c r="CZ47" s="34" t="n">
        <f aca="false">SUMPRODUCT(CZ21:CZ32,MP_O)*INDEX(IdxMP_O,1,MIN(10,CZ$17))*(1+P_dMat)/(1-P_Merma)</f>
        <v>0</v>
      </c>
      <c r="DA47" s="34" t="n">
        <f aca="false">SUMPRODUCT(DA21:DA32,MP_O)*INDEX(IdxMP_O,1,MIN(10,DA$17))*(1+P_dMat)/(1-P_Merma)</f>
        <v>0</v>
      </c>
      <c r="DB47" s="34" t="n">
        <f aca="false">SUMPRODUCT(DB21:DB32,MP_O)*INDEX(IdxMP_O,1,MIN(10,DB$17))*(1+P_dMat)/(1-P_Merma)</f>
        <v>0</v>
      </c>
      <c r="DC47" s="34" t="n">
        <f aca="false">SUMPRODUCT(DC21:DC32,MP_O)*INDEX(IdxMP_O,1,MIN(10,DC$17))*(1+P_dMat)/(1-P_Merma)</f>
        <v>0</v>
      </c>
      <c r="DD47" s="34" t="n">
        <f aca="false">SUMPRODUCT(DD21:DD32,MP_O)*INDEX(IdxMP_O,1,MIN(10,DD$17))*(1+P_dMat)/(1-P_Merma)</f>
        <v>0</v>
      </c>
      <c r="DE47" s="34" t="n">
        <f aca="false">SUMPRODUCT(DE21:DE32,MP_O)*INDEX(IdxMP_O,1,MIN(10,DE$17))*(1+P_dMat)/(1-P_Merma)</f>
        <v>0</v>
      </c>
      <c r="DF47" s="34" t="n">
        <f aca="false">SUMPRODUCT(DF21:DF32,MP_O)*INDEX(IdxMP_O,1,MIN(10,DF$17))*(1+P_dMat)/(1-P_Merma)</f>
        <v>0</v>
      </c>
      <c r="DG47" s="34" t="n">
        <f aca="false">SUMPRODUCT(DG21:DG32,MP_O)*INDEX(IdxMP_O,1,MIN(10,DG$17))*(1+P_dMat)/(1-P_Merma)</f>
        <v>0</v>
      </c>
      <c r="DH47" s="34" t="n">
        <f aca="false">SUMPRODUCT(DH21:DH32,MP_O)*INDEX(IdxMP_O,1,MIN(10,DH$17))*(1+P_dMat)/(1-P_Merma)</f>
        <v>0</v>
      </c>
      <c r="DI47" s="34" t="n">
        <f aca="false">SUMPRODUCT(DI21:DI32,MP_O)*INDEX(IdxMP_O,1,MIN(10,DI$17))*(1+P_dMat)/(1-P_Merma)</f>
        <v>0</v>
      </c>
      <c r="DJ47" s="34" t="n">
        <f aca="false">SUMPRODUCT(DJ21:DJ32,MP_O)*INDEX(IdxMP_O,1,MIN(10,DJ$17))*(1+P_dMat)/(1-P_Merma)</f>
        <v>0</v>
      </c>
      <c r="DK47" s="34" t="n">
        <f aca="false">SUMPRODUCT(DK21:DK32,MP_O)*INDEX(IdxMP_O,1,MIN(10,DK$17))*(1+P_dMat)/(1-P_Merma)</f>
        <v>0</v>
      </c>
      <c r="DL47" s="34" t="n">
        <f aca="false">SUMPRODUCT(DL21:DL32,MP_O)*INDEX(IdxMP_O,1,MIN(10,DL$17))*(1+P_dMat)/(1-P_Merma)</f>
        <v>0</v>
      </c>
      <c r="DM47" s="34" t="n">
        <f aca="false">SUMPRODUCT(DM21:DM32,MP_O)*INDEX(IdxMP_O,1,MIN(10,DM$17))*(1+P_dMat)/(1-P_Merma)</f>
        <v>0</v>
      </c>
      <c r="DN47" s="34" t="n">
        <f aca="false">SUMPRODUCT(DN21:DN32,MP_O)*INDEX(IdxMP_O,1,MIN(10,DN$17))*(1+P_dMat)/(1-P_Merma)</f>
        <v>0</v>
      </c>
      <c r="DO47" s="34" t="n">
        <f aca="false">SUMPRODUCT(DO21:DO32,MP_O)*INDEX(IdxMP_O,1,MIN(10,DO$17))*(1+P_dMat)/(1-P_Merma)</f>
        <v>0</v>
      </c>
      <c r="DP47" s="34" t="n">
        <f aca="false">SUMPRODUCT(DP21:DP32,MP_O)*INDEX(IdxMP_O,1,MIN(10,DP$17))*(1+P_dMat)/(1-P_Merma)</f>
        <v>0</v>
      </c>
      <c r="DQ47" s="34" t="n">
        <f aca="false">SUMPRODUCT(DQ21:DQ32,MP_O)*INDEX(IdxMP_O,1,MIN(10,DQ$17))*(1+P_dMat)/(1-P_Merma)</f>
        <v>0</v>
      </c>
      <c r="DR47" s="34" t="n">
        <f aca="false">SUMPRODUCT(DR21:DR32,MP_O)*INDEX(IdxMP_O,1,MIN(10,DR$17))*(1+P_dMat)/(1-P_Merma)</f>
        <v>0</v>
      </c>
      <c r="DS47" s="34" t="n">
        <f aca="false">SUMPRODUCT(DS21:DS32,MP_O)*INDEX(IdxMP_O,1,MIN(10,DS$17))*(1+P_dMat)/(1-P_Merma)</f>
        <v>0</v>
      </c>
      <c r="DT47" s="34" t="n">
        <f aca="false">SUMPRODUCT(DT21:DT32,MP_O)*INDEX(IdxMP_O,1,MIN(10,DT$17))*(1+P_dMat)/(1-P_Merma)</f>
        <v>0</v>
      </c>
      <c r="DU47" s="34" t="n">
        <f aca="false">SUMPRODUCT(DU21:DU32,MP_O)*INDEX(IdxMP_O,1,MIN(10,DU$17))*(1+P_dMat)/(1-P_Merma)</f>
        <v>0</v>
      </c>
      <c r="DV47" s="34" t="n">
        <f aca="false">SUMPRODUCT(DV21:DV32,MP_O)*INDEX(IdxMP_O,1,MIN(10,DV$17))*(1+P_dMat)/(1-P_Merma)</f>
        <v>0</v>
      </c>
      <c r="DW47" s="34" t="n">
        <f aca="false">SUMPRODUCT(DW21:DW32,MP_O)*INDEX(IdxMP_O,1,MIN(10,DW$17))*(1+P_dMat)/(1-P_Merma)</f>
        <v>0</v>
      </c>
      <c r="DX47" s="34" t="n">
        <f aca="false">SUMPRODUCT(DX21:DX32,MP_O)*INDEX(IdxMP_O,1,MIN(10,DX$17))*(1+P_dMat)/(1-P_Merma)</f>
        <v>0</v>
      </c>
      <c r="DY47" s="34" t="n">
        <f aca="false">SUMPRODUCT(DY21:DY32,MP_O)*INDEX(IdxMP_O,1,MIN(10,DY$17))*(1+P_dMat)/(1-P_Merma)</f>
        <v>0</v>
      </c>
      <c r="DZ47" s="34" t="n">
        <f aca="false">SUMPRODUCT(DZ21:DZ32,MP_O)*INDEX(IdxMP_O,1,MIN(10,DZ$17))*(1+P_dMat)/(1-P_Merma)</f>
        <v>0</v>
      </c>
      <c r="EA47" s="34" t="n">
        <f aca="false">SUMPRODUCT(EA21:EA32,MP_O)*INDEX(IdxMP_O,1,MIN(10,EA$17))*(1+P_dMat)/(1-P_Merma)</f>
        <v>0</v>
      </c>
      <c r="EB47" s="34" t="n">
        <f aca="false">SUMPRODUCT(EB21:EB32,MP_O)*INDEX(IdxMP_O,1,MIN(10,EB$17))*(1+P_dMat)/(1-P_Merma)</f>
        <v>0</v>
      </c>
      <c r="EC47" s="34" t="n">
        <f aca="false">SUMPRODUCT(EC21:EC32,MP_O)*INDEX(IdxMP_O,1,MIN(10,EC$17))*(1+P_dMat)/(1-P_Merma)</f>
        <v>0</v>
      </c>
      <c r="ED47" s="34" t="n">
        <f aca="false">SUMPRODUCT(ED21:ED32,MP_O)*INDEX(IdxMP_O,1,MIN(10,ED$17))*(1+P_dMat)/(1-P_Merma)</f>
        <v>0</v>
      </c>
      <c r="EE47" s="34" t="n">
        <f aca="false">SUMPRODUCT(EE21:EE32,MP_O)*INDEX(IdxMP_O,1,MIN(10,EE$17))*(1+P_dMat)/(1-P_Merma)</f>
        <v>0</v>
      </c>
      <c r="EF47" s="34" t="n">
        <f aca="false">SUMPRODUCT(EF21:EF32,MP_O)*INDEX(IdxMP_O,1,MIN(10,EF$17))*(1+P_dMat)/(1-P_Merma)</f>
        <v>0</v>
      </c>
      <c r="EG47" s="34" t="n">
        <f aca="false">SUMPRODUCT(EG21:EG32,MP_O)*INDEX(IdxMP_O,1,MIN(10,EG$17))*(1+P_dMat)/(1-P_Merma)</f>
        <v>0</v>
      </c>
      <c r="EH47" s="34" t="n">
        <f aca="false">SUMPRODUCT(EH21:EH32,MP_O)*INDEX(IdxMP_O,1,MIN(10,EH$17))*(1+P_dMat)/(1-P_Merma)</f>
        <v>0</v>
      </c>
      <c r="EI47" s="34" t="n">
        <f aca="false">SUMPRODUCT(EI21:EI32,MP_O)*INDEX(IdxMP_O,1,MIN(10,EI$17))*(1+P_dMat)/(1-P_Merma)</f>
        <v>0</v>
      </c>
      <c r="EJ47" s="34" t="n">
        <f aca="false">SUMPRODUCT(EJ21:EJ32,MP_O)*INDEX(IdxMP_O,1,MIN(10,EJ$17))*(1+P_dMat)/(1-P_Merma)</f>
        <v>0</v>
      </c>
      <c r="EK47" s="34" t="n">
        <f aca="false">SUMPRODUCT(EK21:EK32,MP_O)*INDEX(IdxMP_O,1,MIN(10,EK$17))*(1+P_dMat)/(1-P_Merma)</f>
        <v>0</v>
      </c>
      <c r="EL47" s="34" t="n">
        <f aca="false">SUMPRODUCT(EL21:EL32,MP_O)*INDEX(IdxMP_O,1,MIN(10,EL$17))*(1+P_dMat)/(1-P_Merma)</f>
        <v>0</v>
      </c>
      <c r="EM47" s="34" t="n">
        <f aca="false">SUMPRODUCT(EM21:EM32,MP_O)*INDEX(IdxMP_O,1,MIN(10,EM$17))*(1+P_dMat)/(1-P_Merma)</f>
        <v>0</v>
      </c>
      <c r="EN47" s="34" t="n">
        <f aca="false">SUMPRODUCT(EN21:EN32,MP_O)*INDEX(IdxMP_O,1,MIN(10,EN$17))*(1+P_dMat)/(1-P_Merma)</f>
        <v>0</v>
      </c>
      <c r="EO47" s="34" t="n">
        <f aca="false">SUMPRODUCT(EO21:EO32,MP_O)*INDEX(IdxMP_O,1,MIN(10,EO$17))*(1+P_dMat)/(1-P_Merma)</f>
        <v>0</v>
      </c>
      <c r="EP47" s="34" t="n">
        <f aca="false">SUMPRODUCT(EP21:EP32,MP_O)*INDEX(IdxMP_O,1,MIN(10,EP$17))*(1+P_dMat)/(1-P_Merma)</f>
        <v>0</v>
      </c>
      <c r="EQ47" s="34" t="n">
        <f aca="false">SUMPRODUCT(EQ21:EQ32,MP_O)*INDEX(IdxMP_O,1,MIN(10,EQ$17))*(1+P_dMat)/(1-P_Merma)</f>
        <v>0</v>
      </c>
      <c r="ER47" s="34" t="n">
        <f aca="false">SUMPRODUCT(ER21:ER32,MP_O)*INDEX(IdxMP_O,1,MIN(10,ER$17))*(1+P_dMat)/(1-P_Merma)</f>
        <v>0</v>
      </c>
      <c r="ES47" s="34" t="n">
        <f aca="false">SUMPRODUCT(ES21:ES32,MP_O)*INDEX(IdxMP_O,1,MIN(10,ES$17))*(1+P_dMat)/(1-P_Merma)</f>
        <v>0</v>
      </c>
    </row>
    <row r="48" customFormat="false" ht="15" hidden="false" customHeight="false" outlineLevel="0" collapsed="false">
      <c r="A48" s="2" t="s">
        <v>461</v>
      </c>
      <c r="B48" s="6" t="s">
        <v>462</v>
      </c>
      <c r="C48" s="6" t="s">
        <v>212</v>
      </c>
      <c r="E48" s="40" t="n">
        <f aca="false">SUM(F48:ES48)</f>
        <v>0</v>
      </c>
      <c r="F48" s="34" t="n">
        <f aca="false">SUMPRODUCT(F21:F32,INS_O)*INDEX(IdxOV_O,1,MIN(10,F$17))*(1+P_dMat)/(1-P_Merma)</f>
        <v>0</v>
      </c>
      <c r="G48" s="34" t="n">
        <f aca="false">SUMPRODUCT(G21:G32,INS_O)*INDEX(IdxOV_O,1,MIN(10,G$17))*(1+P_dMat)/(1-P_Merma)</f>
        <v>0</v>
      </c>
      <c r="H48" s="34" t="n">
        <f aca="false">SUMPRODUCT(H21:H32,INS_O)*INDEX(IdxOV_O,1,MIN(10,H$17))*(1+P_dMat)/(1-P_Merma)</f>
        <v>0</v>
      </c>
      <c r="I48" s="34" t="n">
        <f aca="false">SUMPRODUCT(I21:I32,INS_O)*INDEX(IdxOV_O,1,MIN(10,I$17))*(1+P_dMat)/(1-P_Merma)</f>
        <v>0</v>
      </c>
      <c r="J48" s="34" t="n">
        <f aca="false">SUMPRODUCT(J21:J32,INS_O)*INDEX(IdxOV_O,1,MIN(10,J$17))*(1+P_dMat)/(1-P_Merma)</f>
        <v>0</v>
      </c>
      <c r="K48" s="34" t="n">
        <f aca="false">SUMPRODUCT(K21:K32,INS_O)*INDEX(IdxOV_O,1,MIN(10,K$17))*(1+P_dMat)/(1-P_Merma)</f>
        <v>0</v>
      </c>
      <c r="L48" s="34" t="n">
        <f aca="false">SUMPRODUCT(L21:L32,INS_O)*INDEX(IdxOV_O,1,MIN(10,L$17))*(1+P_dMat)/(1-P_Merma)</f>
        <v>0</v>
      </c>
      <c r="M48" s="34" t="n">
        <f aca="false">SUMPRODUCT(M21:M32,INS_O)*INDEX(IdxOV_O,1,MIN(10,M$17))*(1+P_dMat)/(1-P_Merma)</f>
        <v>0</v>
      </c>
      <c r="N48" s="34" t="n">
        <f aca="false">SUMPRODUCT(N21:N32,INS_O)*INDEX(IdxOV_O,1,MIN(10,N$17))*(1+P_dMat)/(1-P_Merma)</f>
        <v>0</v>
      </c>
      <c r="O48" s="34" t="n">
        <f aca="false">SUMPRODUCT(O21:O32,INS_O)*INDEX(IdxOV_O,1,MIN(10,O$17))*(1+P_dMat)/(1-P_Merma)</f>
        <v>0</v>
      </c>
      <c r="P48" s="34" t="n">
        <f aca="false">SUMPRODUCT(P21:P32,INS_O)*INDEX(IdxOV_O,1,MIN(10,P$17))*(1+P_dMat)/(1-P_Merma)</f>
        <v>0</v>
      </c>
      <c r="Q48" s="34" t="n">
        <f aca="false">SUMPRODUCT(Q21:Q32,INS_O)*INDEX(IdxOV_O,1,MIN(10,Q$17))*(1+P_dMat)/(1-P_Merma)</f>
        <v>0</v>
      </c>
      <c r="R48" s="34" t="n">
        <f aca="false">SUMPRODUCT(R21:R32,INS_O)*INDEX(IdxOV_O,1,MIN(10,R$17))*(1+P_dMat)/(1-P_Merma)</f>
        <v>0</v>
      </c>
      <c r="S48" s="34" t="n">
        <f aca="false">SUMPRODUCT(S21:S32,INS_O)*INDEX(IdxOV_O,1,MIN(10,S$17))*(1+P_dMat)/(1-P_Merma)</f>
        <v>0</v>
      </c>
      <c r="T48" s="34" t="n">
        <f aca="false">SUMPRODUCT(T21:T32,INS_O)*INDEX(IdxOV_O,1,MIN(10,T$17))*(1+P_dMat)/(1-P_Merma)</f>
        <v>0</v>
      </c>
      <c r="U48" s="34" t="n">
        <f aca="false">SUMPRODUCT(U21:U32,INS_O)*INDEX(IdxOV_O,1,MIN(10,U$17))*(1+P_dMat)/(1-P_Merma)</f>
        <v>0</v>
      </c>
      <c r="V48" s="34" t="n">
        <f aca="false">SUMPRODUCT(V21:V32,INS_O)*INDEX(IdxOV_O,1,MIN(10,V$17))*(1+P_dMat)/(1-P_Merma)</f>
        <v>0</v>
      </c>
      <c r="W48" s="34" t="n">
        <f aca="false">SUMPRODUCT(W21:W32,INS_O)*INDEX(IdxOV_O,1,MIN(10,W$17))*(1+P_dMat)/(1-P_Merma)</f>
        <v>0</v>
      </c>
      <c r="X48" s="34" t="n">
        <f aca="false">SUMPRODUCT(X21:X32,INS_O)*INDEX(IdxOV_O,1,MIN(10,X$17))*(1+P_dMat)/(1-P_Merma)</f>
        <v>0</v>
      </c>
      <c r="Y48" s="34" t="n">
        <f aca="false">SUMPRODUCT(Y21:Y32,INS_O)*INDEX(IdxOV_O,1,MIN(10,Y$17))*(1+P_dMat)/(1-P_Merma)</f>
        <v>0</v>
      </c>
      <c r="Z48" s="34" t="n">
        <f aca="false">SUMPRODUCT(Z21:Z32,INS_O)*INDEX(IdxOV_O,1,MIN(10,Z$17))*(1+P_dMat)/(1-P_Merma)</f>
        <v>0</v>
      </c>
      <c r="AA48" s="34" t="n">
        <f aca="false">SUMPRODUCT(AA21:AA32,INS_O)*INDEX(IdxOV_O,1,MIN(10,AA$17))*(1+P_dMat)/(1-P_Merma)</f>
        <v>0</v>
      </c>
      <c r="AB48" s="34" t="n">
        <f aca="false">SUMPRODUCT(AB21:AB32,INS_O)*INDEX(IdxOV_O,1,MIN(10,AB$17))*(1+P_dMat)/(1-P_Merma)</f>
        <v>0</v>
      </c>
      <c r="AC48" s="34" t="n">
        <f aca="false">SUMPRODUCT(AC21:AC32,INS_O)*INDEX(IdxOV_O,1,MIN(10,AC$17))*(1+P_dMat)/(1-P_Merma)</f>
        <v>0</v>
      </c>
      <c r="AD48" s="34" t="n">
        <f aca="false">SUMPRODUCT(AD21:AD32,INS_O)*INDEX(IdxOV_O,1,MIN(10,AD$17))*(1+P_dMat)/(1-P_Merma)</f>
        <v>0</v>
      </c>
      <c r="AE48" s="34" t="n">
        <f aca="false">SUMPRODUCT(AE21:AE32,INS_O)*INDEX(IdxOV_O,1,MIN(10,AE$17))*(1+P_dMat)/(1-P_Merma)</f>
        <v>0</v>
      </c>
      <c r="AF48" s="34" t="n">
        <f aca="false">SUMPRODUCT(AF21:AF32,INS_O)*INDEX(IdxOV_O,1,MIN(10,AF$17))*(1+P_dMat)/(1-P_Merma)</f>
        <v>0</v>
      </c>
      <c r="AG48" s="34" t="n">
        <f aca="false">SUMPRODUCT(AG21:AG32,INS_O)*INDEX(IdxOV_O,1,MIN(10,AG$17))*(1+P_dMat)/(1-P_Merma)</f>
        <v>0</v>
      </c>
      <c r="AH48" s="34" t="n">
        <f aca="false">SUMPRODUCT(AH21:AH32,INS_O)*INDEX(IdxOV_O,1,MIN(10,AH$17))*(1+P_dMat)/(1-P_Merma)</f>
        <v>0</v>
      </c>
      <c r="AI48" s="34" t="n">
        <f aca="false">SUMPRODUCT(AI21:AI32,INS_O)*INDEX(IdxOV_O,1,MIN(10,AI$17))*(1+P_dMat)/(1-P_Merma)</f>
        <v>0</v>
      </c>
      <c r="AJ48" s="34" t="n">
        <f aca="false">SUMPRODUCT(AJ21:AJ32,INS_O)*INDEX(IdxOV_O,1,MIN(10,AJ$17))*(1+P_dMat)/(1-P_Merma)</f>
        <v>0</v>
      </c>
      <c r="AK48" s="34" t="n">
        <f aca="false">SUMPRODUCT(AK21:AK32,INS_O)*INDEX(IdxOV_O,1,MIN(10,AK$17))*(1+P_dMat)/(1-P_Merma)</f>
        <v>0</v>
      </c>
      <c r="AL48" s="34" t="n">
        <f aca="false">SUMPRODUCT(AL21:AL32,INS_O)*INDEX(IdxOV_O,1,MIN(10,AL$17))*(1+P_dMat)/(1-P_Merma)</f>
        <v>0</v>
      </c>
      <c r="AM48" s="34" t="n">
        <f aca="false">SUMPRODUCT(AM21:AM32,INS_O)*INDEX(IdxOV_O,1,MIN(10,AM$17))*(1+P_dMat)/(1-P_Merma)</f>
        <v>0</v>
      </c>
      <c r="AN48" s="34" t="n">
        <f aca="false">SUMPRODUCT(AN21:AN32,INS_O)*INDEX(IdxOV_O,1,MIN(10,AN$17))*(1+P_dMat)/(1-P_Merma)</f>
        <v>0</v>
      </c>
      <c r="AO48" s="34" t="n">
        <f aca="false">SUMPRODUCT(AO21:AO32,INS_O)*INDEX(IdxOV_O,1,MIN(10,AO$17))*(1+P_dMat)/(1-P_Merma)</f>
        <v>0</v>
      </c>
      <c r="AP48" s="34" t="n">
        <f aca="false">SUMPRODUCT(AP21:AP32,INS_O)*INDEX(IdxOV_O,1,MIN(10,AP$17))*(1+P_dMat)/(1-P_Merma)</f>
        <v>0</v>
      </c>
      <c r="AQ48" s="34" t="n">
        <f aca="false">SUMPRODUCT(AQ21:AQ32,INS_O)*INDEX(IdxOV_O,1,MIN(10,AQ$17))*(1+P_dMat)/(1-P_Merma)</f>
        <v>0</v>
      </c>
      <c r="AR48" s="34" t="n">
        <f aca="false">SUMPRODUCT(AR21:AR32,INS_O)*INDEX(IdxOV_O,1,MIN(10,AR$17))*(1+P_dMat)/(1-P_Merma)</f>
        <v>0</v>
      </c>
      <c r="AS48" s="34" t="n">
        <f aca="false">SUMPRODUCT(AS21:AS32,INS_O)*INDEX(IdxOV_O,1,MIN(10,AS$17))*(1+P_dMat)/(1-P_Merma)</f>
        <v>0</v>
      </c>
      <c r="AT48" s="34" t="n">
        <f aca="false">SUMPRODUCT(AT21:AT32,INS_O)*INDEX(IdxOV_O,1,MIN(10,AT$17))*(1+P_dMat)/(1-P_Merma)</f>
        <v>0</v>
      </c>
      <c r="AU48" s="34" t="n">
        <f aca="false">SUMPRODUCT(AU21:AU32,INS_O)*INDEX(IdxOV_O,1,MIN(10,AU$17))*(1+P_dMat)/(1-P_Merma)</f>
        <v>0</v>
      </c>
      <c r="AV48" s="34" t="n">
        <f aca="false">SUMPRODUCT(AV21:AV32,INS_O)*INDEX(IdxOV_O,1,MIN(10,AV$17))*(1+P_dMat)/(1-P_Merma)</f>
        <v>0</v>
      </c>
      <c r="AW48" s="34" t="n">
        <f aca="false">SUMPRODUCT(AW21:AW32,INS_O)*INDEX(IdxOV_O,1,MIN(10,AW$17))*(1+P_dMat)/(1-P_Merma)</f>
        <v>0</v>
      </c>
      <c r="AX48" s="34" t="n">
        <f aca="false">SUMPRODUCT(AX21:AX32,INS_O)*INDEX(IdxOV_O,1,MIN(10,AX$17))*(1+P_dMat)/(1-P_Merma)</f>
        <v>0</v>
      </c>
      <c r="AY48" s="34" t="n">
        <f aca="false">SUMPRODUCT(AY21:AY32,INS_O)*INDEX(IdxOV_O,1,MIN(10,AY$17))*(1+P_dMat)/(1-P_Merma)</f>
        <v>0</v>
      </c>
      <c r="AZ48" s="34" t="n">
        <f aca="false">SUMPRODUCT(AZ21:AZ32,INS_O)*INDEX(IdxOV_O,1,MIN(10,AZ$17))*(1+P_dMat)/(1-P_Merma)</f>
        <v>0</v>
      </c>
      <c r="BA48" s="34" t="n">
        <f aca="false">SUMPRODUCT(BA21:BA32,INS_O)*INDEX(IdxOV_O,1,MIN(10,BA$17))*(1+P_dMat)/(1-P_Merma)</f>
        <v>0</v>
      </c>
      <c r="BB48" s="34" t="n">
        <f aca="false">SUMPRODUCT(BB21:BB32,INS_O)*INDEX(IdxOV_O,1,MIN(10,BB$17))*(1+P_dMat)/(1-P_Merma)</f>
        <v>0</v>
      </c>
      <c r="BC48" s="34" t="n">
        <f aca="false">SUMPRODUCT(BC21:BC32,INS_O)*INDEX(IdxOV_O,1,MIN(10,BC$17))*(1+P_dMat)/(1-P_Merma)</f>
        <v>0</v>
      </c>
      <c r="BD48" s="34" t="n">
        <f aca="false">SUMPRODUCT(BD21:BD32,INS_O)*INDEX(IdxOV_O,1,MIN(10,BD$17))*(1+P_dMat)/(1-P_Merma)</f>
        <v>0</v>
      </c>
      <c r="BE48" s="34" t="n">
        <f aca="false">SUMPRODUCT(BE21:BE32,INS_O)*INDEX(IdxOV_O,1,MIN(10,BE$17))*(1+P_dMat)/(1-P_Merma)</f>
        <v>0</v>
      </c>
      <c r="BF48" s="34" t="n">
        <f aca="false">SUMPRODUCT(BF21:BF32,INS_O)*INDEX(IdxOV_O,1,MIN(10,BF$17))*(1+P_dMat)/(1-P_Merma)</f>
        <v>0</v>
      </c>
      <c r="BG48" s="34" t="n">
        <f aca="false">SUMPRODUCT(BG21:BG32,INS_O)*INDEX(IdxOV_O,1,MIN(10,BG$17))*(1+P_dMat)/(1-P_Merma)</f>
        <v>0</v>
      </c>
      <c r="BH48" s="34" t="n">
        <f aca="false">SUMPRODUCT(BH21:BH32,INS_O)*INDEX(IdxOV_O,1,MIN(10,BH$17))*(1+P_dMat)/(1-P_Merma)</f>
        <v>0</v>
      </c>
      <c r="BI48" s="34" t="n">
        <f aca="false">SUMPRODUCT(BI21:BI32,INS_O)*INDEX(IdxOV_O,1,MIN(10,BI$17))*(1+P_dMat)/(1-P_Merma)</f>
        <v>0</v>
      </c>
      <c r="BJ48" s="34" t="n">
        <f aca="false">SUMPRODUCT(BJ21:BJ32,INS_O)*INDEX(IdxOV_O,1,MIN(10,BJ$17))*(1+P_dMat)/(1-P_Merma)</f>
        <v>0</v>
      </c>
      <c r="BK48" s="34" t="n">
        <f aca="false">SUMPRODUCT(BK21:BK32,INS_O)*INDEX(IdxOV_O,1,MIN(10,BK$17))*(1+P_dMat)/(1-P_Merma)</f>
        <v>0</v>
      </c>
      <c r="BL48" s="34" t="n">
        <f aca="false">SUMPRODUCT(BL21:BL32,INS_O)*INDEX(IdxOV_O,1,MIN(10,BL$17))*(1+P_dMat)/(1-P_Merma)</f>
        <v>0</v>
      </c>
      <c r="BM48" s="34" t="n">
        <f aca="false">SUMPRODUCT(BM21:BM32,INS_O)*INDEX(IdxOV_O,1,MIN(10,BM$17))*(1+P_dMat)/(1-P_Merma)</f>
        <v>0</v>
      </c>
      <c r="BN48" s="34" t="n">
        <f aca="false">SUMPRODUCT(BN21:BN32,INS_O)*INDEX(IdxOV_O,1,MIN(10,BN$17))*(1+P_dMat)/(1-P_Merma)</f>
        <v>0</v>
      </c>
      <c r="BO48" s="34" t="n">
        <f aca="false">SUMPRODUCT(BO21:BO32,INS_O)*INDEX(IdxOV_O,1,MIN(10,BO$17))*(1+P_dMat)/(1-P_Merma)</f>
        <v>0</v>
      </c>
      <c r="BP48" s="34" t="n">
        <f aca="false">SUMPRODUCT(BP21:BP32,INS_O)*INDEX(IdxOV_O,1,MIN(10,BP$17))*(1+P_dMat)/(1-P_Merma)</f>
        <v>0</v>
      </c>
      <c r="BQ48" s="34" t="n">
        <f aca="false">SUMPRODUCT(BQ21:BQ32,INS_O)*INDEX(IdxOV_O,1,MIN(10,BQ$17))*(1+P_dMat)/(1-P_Merma)</f>
        <v>0</v>
      </c>
      <c r="BR48" s="34" t="n">
        <f aca="false">SUMPRODUCT(BR21:BR32,INS_O)*INDEX(IdxOV_O,1,MIN(10,BR$17))*(1+P_dMat)/(1-P_Merma)</f>
        <v>0</v>
      </c>
      <c r="BS48" s="34" t="n">
        <f aca="false">SUMPRODUCT(BS21:BS32,INS_O)*INDEX(IdxOV_O,1,MIN(10,BS$17))*(1+P_dMat)/(1-P_Merma)</f>
        <v>0</v>
      </c>
      <c r="BT48" s="34" t="n">
        <f aca="false">SUMPRODUCT(BT21:BT32,INS_O)*INDEX(IdxOV_O,1,MIN(10,BT$17))*(1+P_dMat)/(1-P_Merma)</f>
        <v>0</v>
      </c>
      <c r="BU48" s="34" t="n">
        <f aca="false">SUMPRODUCT(BU21:BU32,INS_O)*INDEX(IdxOV_O,1,MIN(10,BU$17))*(1+P_dMat)/(1-P_Merma)</f>
        <v>0</v>
      </c>
      <c r="BV48" s="34" t="n">
        <f aca="false">SUMPRODUCT(BV21:BV32,INS_O)*INDEX(IdxOV_O,1,MIN(10,BV$17))*(1+P_dMat)/(1-P_Merma)</f>
        <v>0</v>
      </c>
      <c r="BW48" s="34" t="n">
        <f aca="false">SUMPRODUCT(BW21:BW32,INS_O)*INDEX(IdxOV_O,1,MIN(10,BW$17))*(1+P_dMat)/(1-P_Merma)</f>
        <v>0</v>
      </c>
      <c r="BX48" s="34" t="n">
        <f aca="false">SUMPRODUCT(BX21:BX32,INS_O)*INDEX(IdxOV_O,1,MIN(10,BX$17))*(1+P_dMat)/(1-P_Merma)</f>
        <v>0</v>
      </c>
      <c r="BY48" s="34" t="n">
        <f aca="false">SUMPRODUCT(BY21:BY32,INS_O)*INDEX(IdxOV_O,1,MIN(10,BY$17))*(1+P_dMat)/(1-P_Merma)</f>
        <v>0</v>
      </c>
      <c r="BZ48" s="34" t="n">
        <f aca="false">SUMPRODUCT(BZ21:BZ32,INS_O)*INDEX(IdxOV_O,1,MIN(10,BZ$17))*(1+P_dMat)/(1-P_Merma)</f>
        <v>0</v>
      </c>
      <c r="CA48" s="34" t="n">
        <f aca="false">SUMPRODUCT(CA21:CA32,INS_O)*INDEX(IdxOV_O,1,MIN(10,CA$17))*(1+P_dMat)/(1-P_Merma)</f>
        <v>0</v>
      </c>
      <c r="CB48" s="34" t="n">
        <f aca="false">SUMPRODUCT(CB21:CB32,INS_O)*INDEX(IdxOV_O,1,MIN(10,CB$17))*(1+P_dMat)/(1-P_Merma)</f>
        <v>0</v>
      </c>
      <c r="CC48" s="34" t="n">
        <f aca="false">SUMPRODUCT(CC21:CC32,INS_O)*INDEX(IdxOV_O,1,MIN(10,CC$17))*(1+P_dMat)/(1-P_Merma)</f>
        <v>0</v>
      </c>
      <c r="CD48" s="34" t="n">
        <f aca="false">SUMPRODUCT(CD21:CD32,INS_O)*INDEX(IdxOV_O,1,MIN(10,CD$17))*(1+P_dMat)/(1-P_Merma)</f>
        <v>0</v>
      </c>
      <c r="CE48" s="34" t="n">
        <f aca="false">SUMPRODUCT(CE21:CE32,INS_O)*INDEX(IdxOV_O,1,MIN(10,CE$17))*(1+P_dMat)/(1-P_Merma)</f>
        <v>0</v>
      </c>
      <c r="CF48" s="34" t="n">
        <f aca="false">SUMPRODUCT(CF21:CF32,INS_O)*INDEX(IdxOV_O,1,MIN(10,CF$17))*(1+P_dMat)/(1-P_Merma)</f>
        <v>0</v>
      </c>
      <c r="CG48" s="34" t="n">
        <f aca="false">SUMPRODUCT(CG21:CG32,INS_O)*INDEX(IdxOV_O,1,MIN(10,CG$17))*(1+P_dMat)/(1-P_Merma)</f>
        <v>0</v>
      </c>
      <c r="CH48" s="34" t="n">
        <f aca="false">SUMPRODUCT(CH21:CH32,INS_O)*INDEX(IdxOV_O,1,MIN(10,CH$17))*(1+P_dMat)/(1-P_Merma)</f>
        <v>0</v>
      </c>
      <c r="CI48" s="34" t="n">
        <f aca="false">SUMPRODUCT(CI21:CI32,INS_O)*INDEX(IdxOV_O,1,MIN(10,CI$17))*(1+P_dMat)/(1-P_Merma)</f>
        <v>0</v>
      </c>
      <c r="CJ48" s="34" t="n">
        <f aca="false">SUMPRODUCT(CJ21:CJ32,INS_O)*INDEX(IdxOV_O,1,MIN(10,CJ$17))*(1+P_dMat)/(1-P_Merma)</f>
        <v>0</v>
      </c>
      <c r="CK48" s="34" t="n">
        <f aca="false">SUMPRODUCT(CK21:CK32,INS_O)*INDEX(IdxOV_O,1,MIN(10,CK$17))*(1+P_dMat)/(1-P_Merma)</f>
        <v>0</v>
      </c>
      <c r="CL48" s="34" t="n">
        <f aca="false">SUMPRODUCT(CL21:CL32,INS_O)*INDEX(IdxOV_O,1,MIN(10,CL$17))*(1+P_dMat)/(1-P_Merma)</f>
        <v>0</v>
      </c>
      <c r="CM48" s="34" t="n">
        <f aca="false">SUMPRODUCT(CM21:CM32,INS_O)*INDEX(IdxOV_O,1,MIN(10,CM$17))*(1+P_dMat)/(1-P_Merma)</f>
        <v>0</v>
      </c>
      <c r="CN48" s="34" t="n">
        <f aca="false">SUMPRODUCT(CN21:CN32,INS_O)*INDEX(IdxOV_O,1,MIN(10,CN$17))*(1+P_dMat)/(1-P_Merma)</f>
        <v>0</v>
      </c>
      <c r="CO48" s="34" t="n">
        <f aca="false">SUMPRODUCT(CO21:CO32,INS_O)*INDEX(IdxOV_O,1,MIN(10,CO$17))*(1+P_dMat)/(1-P_Merma)</f>
        <v>0</v>
      </c>
      <c r="CP48" s="34" t="n">
        <f aca="false">SUMPRODUCT(CP21:CP32,INS_O)*INDEX(IdxOV_O,1,MIN(10,CP$17))*(1+P_dMat)/(1-P_Merma)</f>
        <v>0</v>
      </c>
      <c r="CQ48" s="34" t="n">
        <f aca="false">SUMPRODUCT(CQ21:CQ32,INS_O)*INDEX(IdxOV_O,1,MIN(10,CQ$17))*(1+P_dMat)/(1-P_Merma)</f>
        <v>0</v>
      </c>
      <c r="CR48" s="34" t="n">
        <f aca="false">SUMPRODUCT(CR21:CR32,INS_O)*INDEX(IdxOV_O,1,MIN(10,CR$17))*(1+P_dMat)/(1-P_Merma)</f>
        <v>0</v>
      </c>
      <c r="CS48" s="34" t="n">
        <f aca="false">SUMPRODUCT(CS21:CS32,INS_O)*INDEX(IdxOV_O,1,MIN(10,CS$17))*(1+P_dMat)/(1-P_Merma)</f>
        <v>0</v>
      </c>
      <c r="CT48" s="34" t="n">
        <f aca="false">SUMPRODUCT(CT21:CT32,INS_O)*INDEX(IdxOV_O,1,MIN(10,CT$17))*(1+P_dMat)/(1-P_Merma)</f>
        <v>0</v>
      </c>
      <c r="CU48" s="34" t="n">
        <f aca="false">SUMPRODUCT(CU21:CU32,INS_O)*INDEX(IdxOV_O,1,MIN(10,CU$17))*(1+P_dMat)/(1-P_Merma)</f>
        <v>0</v>
      </c>
      <c r="CV48" s="34" t="n">
        <f aca="false">SUMPRODUCT(CV21:CV32,INS_O)*INDEX(IdxOV_O,1,MIN(10,CV$17))*(1+P_dMat)/(1-P_Merma)</f>
        <v>0</v>
      </c>
      <c r="CW48" s="34" t="n">
        <f aca="false">SUMPRODUCT(CW21:CW32,INS_O)*INDEX(IdxOV_O,1,MIN(10,CW$17))*(1+P_dMat)/(1-P_Merma)</f>
        <v>0</v>
      </c>
      <c r="CX48" s="34" t="n">
        <f aca="false">SUMPRODUCT(CX21:CX32,INS_O)*INDEX(IdxOV_O,1,MIN(10,CX$17))*(1+P_dMat)/(1-P_Merma)</f>
        <v>0</v>
      </c>
      <c r="CY48" s="34" t="n">
        <f aca="false">SUMPRODUCT(CY21:CY32,INS_O)*INDEX(IdxOV_O,1,MIN(10,CY$17))*(1+P_dMat)/(1-P_Merma)</f>
        <v>0</v>
      </c>
      <c r="CZ48" s="34" t="n">
        <f aca="false">SUMPRODUCT(CZ21:CZ32,INS_O)*INDEX(IdxOV_O,1,MIN(10,CZ$17))*(1+P_dMat)/(1-P_Merma)</f>
        <v>0</v>
      </c>
      <c r="DA48" s="34" t="n">
        <f aca="false">SUMPRODUCT(DA21:DA32,INS_O)*INDEX(IdxOV_O,1,MIN(10,DA$17))*(1+P_dMat)/(1-P_Merma)</f>
        <v>0</v>
      </c>
      <c r="DB48" s="34" t="n">
        <f aca="false">SUMPRODUCT(DB21:DB32,INS_O)*INDEX(IdxOV_O,1,MIN(10,DB$17))*(1+P_dMat)/(1-P_Merma)</f>
        <v>0</v>
      </c>
      <c r="DC48" s="34" t="n">
        <f aca="false">SUMPRODUCT(DC21:DC32,INS_O)*INDEX(IdxOV_O,1,MIN(10,DC$17))*(1+P_dMat)/(1-P_Merma)</f>
        <v>0</v>
      </c>
      <c r="DD48" s="34" t="n">
        <f aca="false">SUMPRODUCT(DD21:DD32,INS_O)*INDEX(IdxOV_O,1,MIN(10,DD$17))*(1+P_dMat)/(1-P_Merma)</f>
        <v>0</v>
      </c>
      <c r="DE48" s="34" t="n">
        <f aca="false">SUMPRODUCT(DE21:DE32,INS_O)*INDEX(IdxOV_O,1,MIN(10,DE$17))*(1+P_dMat)/(1-P_Merma)</f>
        <v>0</v>
      </c>
      <c r="DF48" s="34" t="n">
        <f aca="false">SUMPRODUCT(DF21:DF32,INS_O)*INDEX(IdxOV_O,1,MIN(10,DF$17))*(1+P_dMat)/(1-P_Merma)</f>
        <v>0</v>
      </c>
      <c r="DG48" s="34" t="n">
        <f aca="false">SUMPRODUCT(DG21:DG32,INS_O)*INDEX(IdxOV_O,1,MIN(10,DG$17))*(1+P_dMat)/(1-P_Merma)</f>
        <v>0</v>
      </c>
      <c r="DH48" s="34" t="n">
        <f aca="false">SUMPRODUCT(DH21:DH32,INS_O)*INDEX(IdxOV_O,1,MIN(10,DH$17))*(1+P_dMat)/(1-P_Merma)</f>
        <v>0</v>
      </c>
      <c r="DI48" s="34" t="n">
        <f aca="false">SUMPRODUCT(DI21:DI32,INS_O)*INDEX(IdxOV_O,1,MIN(10,DI$17))*(1+P_dMat)/(1-P_Merma)</f>
        <v>0</v>
      </c>
      <c r="DJ48" s="34" t="n">
        <f aca="false">SUMPRODUCT(DJ21:DJ32,INS_O)*INDEX(IdxOV_O,1,MIN(10,DJ$17))*(1+P_dMat)/(1-P_Merma)</f>
        <v>0</v>
      </c>
      <c r="DK48" s="34" t="n">
        <f aca="false">SUMPRODUCT(DK21:DK32,INS_O)*INDEX(IdxOV_O,1,MIN(10,DK$17))*(1+P_dMat)/(1-P_Merma)</f>
        <v>0</v>
      </c>
      <c r="DL48" s="34" t="n">
        <f aca="false">SUMPRODUCT(DL21:DL32,INS_O)*INDEX(IdxOV_O,1,MIN(10,DL$17))*(1+P_dMat)/(1-P_Merma)</f>
        <v>0</v>
      </c>
      <c r="DM48" s="34" t="n">
        <f aca="false">SUMPRODUCT(DM21:DM32,INS_O)*INDEX(IdxOV_O,1,MIN(10,DM$17))*(1+P_dMat)/(1-P_Merma)</f>
        <v>0</v>
      </c>
      <c r="DN48" s="34" t="n">
        <f aca="false">SUMPRODUCT(DN21:DN32,INS_O)*INDEX(IdxOV_O,1,MIN(10,DN$17))*(1+P_dMat)/(1-P_Merma)</f>
        <v>0</v>
      </c>
      <c r="DO48" s="34" t="n">
        <f aca="false">SUMPRODUCT(DO21:DO32,INS_O)*INDEX(IdxOV_O,1,MIN(10,DO$17))*(1+P_dMat)/(1-P_Merma)</f>
        <v>0</v>
      </c>
      <c r="DP48" s="34" t="n">
        <f aca="false">SUMPRODUCT(DP21:DP32,INS_O)*INDEX(IdxOV_O,1,MIN(10,DP$17))*(1+P_dMat)/(1-P_Merma)</f>
        <v>0</v>
      </c>
      <c r="DQ48" s="34" t="n">
        <f aca="false">SUMPRODUCT(DQ21:DQ32,INS_O)*INDEX(IdxOV_O,1,MIN(10,DQ$17))*(1+P_dMat)/(1-P_Merma)</f>
        <v>0</v>
      </c>
      <c r="DR48" s="34" t="n">
        <f aca="false">SUMPRODUCT(DR21:DR32,INS_O)*INDEX(IdxOV_O,1,MIN(10,DR$17))*(1+P_dMat)/(1-P_Merma)</f>
        <v>0</v>
      </c>
      <c r="DS48" s="34" t="n">
        <f aca="false">SUMPRODUCT(DS21:DS32,INS_O)*INDEX(IdxOV_O,1,MIN(10,DS$17))*(1+P_dMat)/(1-P_Merma)</f>
        <v>0</v>
      </c>
      <c r="DT48" s="34" t="n">
        <f aca="false">SUMPRODUCT(DT21:DT32,INS_O)*INDEX(IdxOV_O,1,MIN(10,DT$17))*(1+P_dMat)/(1-P_Merma)</f>
        <v>0</v>
      </c>
      <c r="DU48" s="34" t="n">
        <f aca="false">SUMPRODUCT(DU21:DU32,INS_O)*INDEX(IdxOV_O,1,MIN(10,DU$17))*(1+P_dMat)/(1-P_Merma)</f>
        <v>0</v>
      </c>
      <c r="DV48" s="34" t="n">
        <f aca="false">SUMPRODUCT(DV21:DV32,INS_O)*INDEX(IdxOV_O,1,MIN(10,DV$17))*(1+P_dMat)/(1-P_Merma)</f>
        <v>0</v>
      </c>
      <c r="DW48" s="34" t="n">
        <f aca="false">SUMPRODUCT(DW21:DW32,INS_O)*INDEX(IdxOV_O,1,MIN(10,DW$17))*(1+P_dMat)/(1-P_Merma)</f>
        <v>0</v>
      </c>
      <c r="DX48" s="34" t="n">
        <f aca="false">SUMPRODUCT(DX21:DX32,INS_O)*INDEX(IdxOV_O,1,MIN(10,DX$17))*(1+P_dMat)/(1-P_Merma)</f>
        <v>0</v>
      </c>
      <c r="DY48" s="34" t="n">
        <f aca="false">SUMPRODUCT(DY21:DY32,INS_O)*INDEX(IdxOV_O,1,MIN(10,DY$17))*(1+P_dMat)/(1-P_Merma)</f>
        <v>0</v>
      </c>
      <c r="DZ48" s="34" t="n">
        <f aca="false">SUMPRODUCT(DZ21:DZ32,INS_O)*INDEX(IdxOV_O,1,MIN(10,DZ$17))*(1+P_dMat)/(1-P_Merma)</f>
        <v>0</v>
      </c>
      <c r="EA48" s="34" t="n">
        <f aca="false">SUMPRODUCT(EA21:EA32,INS_O)*INDEX(IdxOV_O,1,MIN(10,EA$17))*(1+P_dMat)/(1-P_Merma)</f>
        <v>0</v>
      </c>
      <c r="EB48" s="34" t="n">
        <f aca="false">SUMPRODUCT(EB21:EB32,INS_O)*INDEX(IdxOV_O,1,MIN(10,EB$17))*(1+P_dMat)/(1-P_Merma)</f>
        <v>0</v>
      </c>
      <c r="EC48" s="34" t="n">
        <f aca="false">SUMPRODUCT(EC21:EC32,INS_O)*INDEX(IdxOV_O,1,MIN(10,EC$17))*(1+P_dMat)/(1-P_Merma)</f>
        <v>0</v>
      </c>
      <c r="ED48" s="34" t="n">
        <f aca="false">SUMPRODUCT(ED21:ED32,INS_O)*INDEX(IdxOV_O,1,MIN(10,ED$17))*(1+P_dMat)/(1-P_Merma)</f>
        <v>0</v>
      </c>
      <c r="EE48" s="34" t="n">
        <f aca="false">SUMPRODUCT(EE21:EE32,INS_O)*INDEX(IdxOV_O,1,MIN(10,EE$17))*(1+P_dMat)/(1-P_Merma)</f>
        <v>0</v>
      </c>
      <c r="EF48" s="34" t="n">
        <f aca="false">SUMPRODUCT(EF21:EF32,INS_O)*INDEX(IdxOV_O,1,MIN(10,EF$17))*(1+P_dMat)/(1-P_Merma)</f>
        <v>0</v>
      </c>
      <c r="EG48" s="34" t="n">
        <f aca="false">SUMPRODUCT(EG21:EG32,INS_O)*INDEX(IdxOV_O,1,MIN(10,EG$17))*(1+P_dMat)/(1-P_Merma)</f>
        <v>0</v>
      </c>
      <c r="EH48" s="34" t="n">
        <f aca="false">SUMPRODUCT(EH21:EH32,INS_O)*INDEX(IdxOV_O,1,MIN(10,EH$17))*(1+P_dMat)/(1-P_Merma)</f>
        <v>0</v>
      </c>
      <c r="EI48" s="34" t="n">
        <f aca="false">SUMPRODUCT(EI21:EI32,INS_O)*INDEX(IdxOV_O,1,MIN(10,EI$17))*(1+P_dMat)/(1-P_Merma)</f>
        <v>0</v>
      </c>
      <c r="EJ48" s="34" t="n">
        <f aca="false">SUMPRODUCT(EJ21:EJ32,INS_O)*INDEX(IdxOV_O,1,MIN(10,EJ$17))*(1+P_dMat)/(1-P_Merma)</f>
        <v>0</v>
      </c>
      <c r="EK48" s="34" t="n">
        <f aca="false">SUMPRODUCT(EK21:EK32,INS_O)*INDEX(IdxOV_O,1,MIN(10,EK$17))*(1+P_dMat)/(1-P_Merma)</f>
        <v>0</v>
      </c>
      <c r="EL48" s="34" t="n">
        <f aca="false">SUMPRODUCT(EL21:EL32,INS_O)*INDEX(IdxOV_O,1,MIN(10,EL$17))*(1+P_dMat)/(1-P_Merma)</f>
        <v>0</v>
      </c>
      <c r="EM48" s="34" t="n">
        <f aca="false">SUMPRODUCT(EM21:EM32,INS_O)*INDEX(IdxOV_O,1,MIN(10,EM$17))*(1+P_dMat)/(1-P_Merma)</f>
        <v>0</v>
      </c>
      <c r="EN48" s="34" t="n">
        <f aca="false">SUMPRODUCT(EN21:EN32,INS_O)*INDEX(IdxOV_O,1,MIN(10,EN$17))*(1+P_dMat)/(1-P_Merma)</f>
        <v>0</v>
      </c>
      <c r="EO48" s="34" t="n">
        <f aca="false">SUMPRODUCT(EO21:EO32,INS_O)*INDEX(IdxOV_O,1,MIN(10,EO$17))*(1+P_dMat)/(1-P_Merma)</f>
        <v>0</v>
      </c>
      <c r="EP48" s="34" t="n">
        <f aca="false">SUMPRODUCT(EP21:EP32,INS_O)*INDEX(IdxOV_O,1,MIN(10,EP$17))*(1+P_dMat)/(1-P_Merma)</f>
        <v>0</v>
      </c>
      <c r="EQ48" s="34" t="n">
        <f aca="false">SUMPRODUCT(EQ21:EQ32,INS_O)*INDEX(IdxOV_O,1,MIN(10,EQ$17))*(1+P_dMat)/(1-P_Merma)</f>
        <v>0</v>
      </c>
      <c r="ER48" s="34" t="n">
        <f aca="false">SUMPRODUCT(ER21:ER32,INS_O)*INDEX(IdxOV_O,1,MIN(10,ER$17))*(1+P_dMat)/(1-P_Merma)</f>
        <v>0</v>
      </c>
      <c r="ES48" s="34" t="n">
        <f aca="false">SUMPRODUCT(ES21:ES32,INS_O)*INDEX(IdxOV_O,1,MIN(10,ES$17))*(1+P_dMat)/(1-P_Merma)</f>
        <v>0</v>
      </c>
    </row>
    <row r="49" customFormat="false" ht="15" hidden="false" customHeight="false" outlineLevel="0" collapsed="false">
      <c r="A49" s="2" t="s">
        <v>463</v>
      </c>
      <c r="B49" s="6" t="s">
        <v>464</v>
      </c>
      <c r="C49" s="6" t="s">
        <v>212</v>
      </c>
      <c r="E49" s="40" t="n">
        <f aca="false">SUM(F49:ES49)</f>
        <v>0</v>
      </c>
      <c r="F49" s="34" t="n">
        <f aca="false">SUMPRODUCT(F21:F32,OV_O)*INDEX(IdxOV_O,1,MIN(10,F$17))*(1+P_dMat)/(1-P_Merma)</f>
        <v>0</v>
      </c>
      <c r="G49" s="34" t="n">
        <f aca="false">SUMPRODUCT(G21:G32,OV_O)*INDEX(IdxOV_O,1,MIN(10,G$17))*(1+P_dMat)/(1-P_Merma)</f>
        <v>0</v>
      </c>
      <c r="H49" s="34" t="n">
        <f aca="false">SUMPRODUCT(H21:H32,OV_O)*INDEX(IdxOV_O,1,MIN(10,H$17))*(1+P_dMat)/(1-P_Merma)</f>
        <v>0</v>
      </c>
      <c r="I49" s="34" t="n">
        <f aca="false">SUMPRODUCT(I21:I32,OV_O)*INDEX(IdxOV_O,1,MIN(10,I$17))*(1+P_dMat)/(1-P_Merma)</f>
        <v>0</v>
      </c>
      <c r="J49" s="34" t="n">
        <f aca="false">SUMPRODUCT(J21:J32,OV_O)*INDEX(IdxOV_O,1,MIN(10,J$17))*(1+P_dMat)/(1-P_Merma)</f>
        <v>0</v>
      </c>
      <c r="K49" s="34" t="n">
        <f aca="false">SUMPRODUCT(K21:K32,OV_O)*INDEX(IdxOV_O,1,MIN(10,K$17))*(1+P_dMat)/(1-P_Merma)</f>
        <v>0</v>
      </c>
      <c r="L49" s="34" t="n">
        <f aca="false">SUMPRODUCT(L21:L32,OV_O)*INDEX(IdxOV_O,1,MIN(10,L$17))*(1+P_dMat)/(1-P_Merma)</f>
        <v>0</v>
      </c>
      <c r="M49" s="34" t="n">
        <f aca="false">SUMPRODUCT(M21:M32,OV_O)*INDEX(IdxOV_O,1,MIN(10,M$17))*(1+P_dMat)/(1-P_Merma)</f>
        <v>0</v>
      </c>
      <c r="N49" s="34" t="n">
        <f aca="false">SUMPRODUCT(N21:N32,OV_O)*INDEX(IdxOV_O,1,MIN(10,N$17))*(1+P_dMat)/(1-P_Merma)</f>
        <v>0</v>
      </c>
      <c r="O49" s="34" t="n">
        <f aca="false">SUMPRODUCT(O21:O32,OV_O)*INDEX(IdxOV_O,1,MIN(10,O$17))*(1+P_dMat)/(1-P_Merma)</f>
        <v>0</v>
      </c>
      <c r="P49" s="34" t="n">
        <f aca="false">SUMPRODUCT(P21:P32,OV_O)*INDEX(IdxOV_O,1,MIN(10,P$17))*(1+P_dMat)/(1-P_Merma)</f>
        <v>0</v>
      </c>
      <c r="Q49" s="34" t="n">
        <f aca="false">SUMPRODUCT(Q21:Q32,OV_O)*INDEX(IdxOV_O,1,MIN(10,Q$17))*(1+P_dMat)/(1-P_Merma)</f>
        <v>0</v>
      </c>
      <c r="R49" s="34" t="n">
        <f aca="false">SUMPRODUCT(R21:R32,OV_O)*INDEX(IdxOV_O,1,MIN(10,R$17))*(1+P_dMat)/(1-P_Merma)</f>
        <v>0</v>
      </c>
      <c r="S49" s="34" t="n">
        <f aca="false">SUMPRODUCT(S21:S32,OV_O)*INDEX(IdxOV_O,1,MIN(10,S$17))*(1+P_dMat)/(1-P_Merma)</f>
        <v>0</v>
      </c>
      <c r="T49" s="34" t="n">
        <f aca="false">SUMPRODUCT(T21:T32,OV_O)*INDEX(IdxOV_O,1,MIN(10,T$17))*(1+P_dMat)/(1-P_Merma)</f>
        <v>0</v>
      </c>
      <c r="U49" s="34" t="n">
        <f aca="false">SUMPRODUCT(U21:U32,OV_O)*INDEX(IdxOV_O,1,MIN(10,U$17))*(1+P_dMat)/(1-P_Merma)</f>
        <v>0</v>
      </c>
      <c r="V49" s="34" t="n">
        <f aca="false">SUMPRODUCT(V21:V32,OV_O)*INDEX(IdxOV_O,1,MIN(10,V$17))*(1+P_dMat)/(1-P_Merma)</f>
        <v>0</v>
      </c>
      <c r="W49" s="34" t="n">
        <f aca="false">SUMPRODUCT(W21:W32,OV_O)*INDEX(IdxOV_O,1,MIN(10,W$17))*(1+P_dMat)/(1-P_Merma)</f>
        <v>0</v>
      </c>
      <c r="X49" s="34" t="n">
        <f aca="false">SUMPRODUCT(X21:X32,OV_O)*INDEX(IdxOV_O,1,MIN(10,X$17))*(1+P_dMat)/(1-P_Merma)</f>
        <v>0</v>
      </c>
      <c r="Y49" s="34" t="n">
        <f aca="false">SUMPRODUCT(Y21:Y32,OV_O)*INDEX(IdxOV_O,1,MIN(10,Y$17))*(1+P_dMat)/(1-P_Merma)</f>
        <v>0</v>
      </c>
      <c r="Z49" s="34" t="n">
        <f aca="false">SUMPRODUCT(Z21:Z32,OV_O)*INDEX(IdxOV_O,1,MIN(10,Z$17))*(1+P_dMat)/(1-P_Merma)</f>
        <v>0</v>
      </c>
      <c r="AA49" s="34" t="n">
        <f aca="false">SUMPRODUCT(AA21:AA32,OV_O)*INDEX(IdxOV_O,1,MIN(10,AA$17))*(1+P_dMat)/(1-P_Merma)</f>
        <v>0</v>
      </c>
      <c r="AB49" s="34" t="n">
        <f aca="false">SUMPRODUCT(AB21:AB32,OV_O)*INDEX(IdxOV_O,1,MIN(10,AB$17))*(1+P_dMat)/(1-P_Merma)</f>
        <v>0</v>
      </c>
      <c r="AC49" s="34" t="n">
        <f aca="false">SUMPRODUCT(AC21:AC32,OV_O)*INDEX(IdxOV_O,1,MIN(10,AC$17))*(1+P_dMat)/(1-P_Merma)</f>
        <v>0</v>
      </c>
      <c r="AD49" s="34" t="n">
        <f aca="false">SUMPRODUCT(AD21:AD32,OV_O)*INDEX(IdxOV_O,1,MIN(10,AD$17))*(1+P_dMat)/(1-P_Merma)</f>
        <v>0</v>
      </c>
      <c r="AE49" s="34" t="n">
        <f aca="false">SUMPRODUCT(AE21:AE32,OV_O)*INDEX(IdxOV_O,1,MIN(10,AE$17))*(1+P_dMat)/(1-P_Merma)</f>
        <v>0</v>
      </c>
      <c r="AF49" s="34" t="n">
        <f aca="false">SUMPRODUCT(AF21:AF32,OV_O)*INDEX(IdxOV_O,1,MIN(10,AF$17))*(1+P_dMat)/(1-P_Merma)</f>
        <v>0</v>
      </c>
      <c r="AG49" s="34" t="n">
        <f aca="false">SUMPRODUCT(AG21:AG32,OV_O)*INDEX(IdxOV_O,1,MIN(10,AG$17))*(1+P_dMat)/(1-P_Merma)</f>
        <v>0</v>
      </c>
      <c r="AH49" s="34" t="n">
        <f aca="false">SUMPRODUCT(AH21:AH32,OV_O)*INDEX(IdxOV_O,1,MIN(10,AH$17))*(1+P_dMat)/(1-P_Merma)</f>
        <v>0</v>
      </c>
      <c r="AI49" s="34" t="n">
        <f aca="false">SUMPRODUCT(AI21:AI32,OV_O)*INDEX(IdxOV_O,1,MIN(10,AI$17))*(1+P_dMat)/(1-P_Merma)</f>
        <v>0</v>
      </c>
      <c r="AJ49" s="34" t="n">
        <f aca="false">SUMPRODUCT(AJ21:AJ32,OV_O)*INDEX(IdxOV_O,1,MIN(10,AJ$17))*(1+P_dMat)/(1-P_Merma)</f>
        <v>0</v>
      </c>
      <c r="AK49" s="34" t="n">
        <f aca="false">SUMPRODUCT(AK21:AK32,OV_O)*INDEX(IdxOV_O,1,MIN(10,AK$17))*(1+P_dMat)/(1-P_Merma)</f>
        <v>0</v>
      </c>
      <c r="AL49" s="34" t="n">
        <f aca="false">SUMPRODUCT(AL21:AL32,OV_O)*INDEX(IdxOV_O,1,MIN(10,AL$17))*(1+P_dMat)/(1-P_Merma)</f>
        <v>0</v>
      </c>
      <c r="AM49" s="34" t="n">
        <f aca="false">SUMPRODUCT(AM21:AM32,OV_O)*INDEX(IdxOV_O,1,MIN(10,AM$17))*(1+P_dMat)/(1-P_Merma)</f>
        <v>0</v>
      </c>
      <c r="AN49" s="34" t="n">
        <f aca="false">SUMPRODUCT(AN21:AN32,OV_O)*INDEX(IdxOV_O,1,MIN(10,AN$17))*(1+P_dMat)/(1-P_Merma)</f>
        <v>0</v>
      </c>
      <c r="AO49" s="34" t="n">
        <f aca="false">SUMPRODUCT(AO21:AO32,OV_O)*INDEX(IdxOV_O,1,MIN(10,AO$17))*(1+P_dMat)/(1-P_Merma)</f>
        <v>0</v>
      </c>
      <c r="AP49" s="34" t="n">
        <f aca="false">SUMPRODUCT(AP21:AP32,OV_O)*INDEX(IdxOV_O,1,MIN(10,AP$17))*(1+P_dMat)/(1-P_Merma)</f>
        <v>0</v>
      </c>
      <c r="AQ49" s="34" t="n">
        <f aca="false">SUMPRODUCT(AQ21:AQ32,OV_O)*INDEX(IdxOV_O,1,MIN(10,AQ$17))*(1+P_dMat)/(1-P_Merma)</f>
        <v>0</v>
      </c>
      <c r="AR49" s="34" t="n">
        <f aca="false">SUMPRODUCT(AR21:AR32,OV_O)*INDEX(IdxOV_O,1,MIN(10,AR$17))*(1+P_dMat)/(1-P_Merma)</f>
        <v>0</v>
      </c>
      <c r="AS49" s="34" t="n">
        <f aca="false">SUMPRODUCT(AS21:AS32,OV_O)*INDEX(IdxOV_O,1,MIN(10,AS$17))*(1+P_dMat)/(1-P_Merma)</f>
        <v>0</v>
      </c>
      <c r="AT49" s="34" t="n">
        <f aca="false">SUMPRODUCT(AT21:AT32,OV_O)*INDEX(IdxOV_O,1,MIN(10,AT$17))*(1+P_dMat)/(1-P_Merma)</f>
        <v>0</v>
      </c>
      <c r="AU49" s="34" t="n">
        <f aca="false">SUMPRODUCT(AU21:AU32,OV_O)*INDEX(IdxOV_O,1,MIN(10,AU$17))*(1+P_dMat)/(1-P_Merma)</f>
        <v>0</v>
      </c>
      <c r="AV49" s="34" t="n">
        <f aca="false">SUMPRODUCT(AV21:AV32,OV_O)*INDEX(IdxOV_O,1,MIN(10,AV$17))*(1+P_dMat)/(1-P_Merma)</f>
        <v>0</v>
      </c>
      <c r="AW49" s="34" t="n">
        <f aca="false">SUMPRODUCT(AW21:AW32,OV_O)*INDEX(IdxOV_O,1,MIN(10,AW$17))*(1+P_dMat)/(1-P_Merma)</f>
        <v>0</v>
      </c>
      <c r="AX49" s="34" t="n">
        <f aca="false">SUMPRODUCT(AX21:AX32,OV_O)*INDEX(IdxOV_O,1,MIN(10,AX$17))*(1+P_dMat)/(1-P_Merma)</f>
        <v>0</v>
      </c>
      <c r="AY49" s="34" t="n">
        <f aca="false">SUMPRODUCT(AY21:AY32,OV_O)*INDEX(IdxOV_O,1,MIN(10,AY$17))*(1+P_dMat)/(1-P_Merma)</f>
        <v>0</v>
      </c>
      <c r="AZ49" s="34" t="n">
        <f aca="false">SUMPRODUCT(AZ21:AZ32,OV_O)*INDEX(IdxOV_O,1,MIN(10,AZ$17))*(1+P_dMat)/(1-P_Merma)</f>
        <v>0</v>
      </c>
      <c r="BA49" s="34" t="n">
        <f aca="false">SUMPRODUCT(BA21:BA32,OV_O)*INDEX(IdxOV_O,1,MIN(10,BA$17))*(1+P_dMat)/(1-P_Merma)</f>
        <v>0</v>
      </c>
      <c r="BB49" s="34" t="n">
        <f aca="false">SUMPRODUCT(BB21:BB32,OV_O)*INDEX(IdxOV_O,1,MIN(10,BB$17))*(1+P_dMat)/(1-P_Merma)</f>
        <v>0</v>
      </c>
      <c r="BC49" s="34" t="n">
        <f aca="false">SUMPRODUCT(BC21:BC32,OV_O)*INDEX(IdxOV_O,1,MIN(10,BC$17))*(1+P_dMat)/(1-P_Merma)</f>
        <v>0</v>
      </c>
      <c r="BD49" s="34" t="n">
        <f aca="false">SUMPRODUCT(BD21:BD32,OV_O)*INDEX(IdxOV_O,1,MIN(10,BD$17))*(1+P_dMat)/(1-P_Merma)</f>
        <v>0</v>
      </c>
      <c r="BE49" s="34" t="n">
        <f aca="false">SUMPRODUCT(BE21:BE32,OV_O)*INDEX(IdxOV_O,1,MIN(10,BE$17))*(1+P_dMat)/(1-P_Merma)</f>
        <v>0</v>
      </c>
      <c r="BF49" s="34" t="n">
        <f aca="false">SUMPRODUCT(BF21:BF32,OV_O)*INDEX(IdxOV_O,1,MIN(10,BF$17))*(1+P_dMat)/(1-P_Merma)</f>
        <v>0</v>
      </c>
      <c r="BG49" s="34" t="n">
        <f aca="false">SUMPRODUCT(BG21:BG32,OV_O)*INDEX(IdxOV_O,1,MIN(10,BG$17))*(1+P_dMat)/(1-P_Merma)</f>
        <v>0</v>
      </c>
      <c r="BH49" s="34" t="n">
        <f aca="false">SUMPRODUCT(BH21:BH32,OV_O)*INDEX(IdxOV_O,1,MIN(10,BH$17))*(1+P_dMat)/(1-P_Merma)</f>
        <v>0</v>
      </c>
      <c r="BI49" s="34" t="n">
        <f aca="false">SUMPRODUCT(BI21:BI32,OV_O)*INDEX(IdxOV_O,1,MIN(10,BI$17))*(1+P_dMat)/(1-P_Merma)</f>
        <v>0</v>
      </c>
      <c r="BJ49" s="34" t="n">
        <f aca="false">SUMPRODUCT(BJ21:BJ32,OV_O)*INDEX(IdxOV_O,1,MIN(10,BJ$17))*(1+P_dMat)/(1-P_Merma)</f>
        <v>0</v>
      </c>
      <c r="BK49" s="34" t="n">
        <f aca="false">SUMPRODUCT(BK21:BK32,OV_O)*INDEX(IdxOV_O,1,MIN(10,BK$17))*(1+P_dMat)/(1-P_Merma)</f>
        <v>0</v>
      </c>
      <c r="BL49" s="34" t="n">
        <f aca="false">SUMPRODUCT(BL21:BL32,OV_O)*INDEX(IdxOV_O,1,MIN(10,BL$17))*(1+P_dMat)/(1-P_Merma)</f>
        <v>0</v>
      </c>
      <c r="BM49" s="34" t="n">
        <f aca="false">SUMPRODUCT(BM21:BM32,OV_O)*INDEX(IdxOV_O,1,MIN(10,BM$17))*(1+P_dMat)/(1-P_Merma)</f>
        <v>0</v>
      </c>
      <c r="BN49" s="34" t="n">
        <f aca="false">SUMPRODUCT(BN21:BN32,OV_O)*INDEX(IdxOV_O,1,MIN(10,BN$17))*(1+P_dMat)/(1-P_Merma)</f>
        <v>0</v>
      </c>
      <c r="BO49" s="34" t="n">
        <f aca="false">SUMPRODUCT(BO21:BO32,OV_O)*INDEX(IdxOV_O,1,MIN(10,BO$17))*(1+P_dMat)/(1-P_Merma)</f>
        <v>0</v>
      </c>
      <c r="BP49" s="34" t="n">
        <f aca="false">SUMPRODUCT(BP21:BP32,OV_O)*INDEX(IdxOV_O,1,MIN(10,BP$17))*(1+P_dMat)/(1-P_Merma)</f>
        <v>0</v>
      </c>
      <c r="BQ49" s="34" t="n">
        <f aca="false">SUMPRODUCT(BQ21:BQ32,OV_O)*INDEX(IdxOV_O,1,MIN(10,BQ$17))*(1+P_dMat)/(1-P_Merma)</f>
        <v>0</v>
      </c>
      <c r="BR49" s="34" t="n">
        <f aca="false">SUMPRODUCT(BR21:BR32,OV_O)*INDEX(IdxOV_O,1,MIN(10,BR$17))*(1+P_dMat)/(1-P_Merma)</f>
        <v>0</v>
      </c>
      <c r="BS49" s="34" t="n">
        <f aca="false">SUMPRODUCT(BS21:BS32,OV_O)*INDEX(IdxOV_O,1,MIN(10,BS$17))*(1+P_dMat)/(1-P_Merma)</f>
        <v>0</v>
      </c>
      <c r="BT49" s="34" t="n">
        <f aca="false">SUMPRODUCT(BT21:BT32,OV_O)*INDEX(IdxOV_O,1,MIN(10,BT$17))*(1+P_dMat)/(1-P_Merma)</f>
        <v>0</v>
      </c>
      <c r="BU49" s="34" t="n">
        <f aca="false">SUMPRODUCT(BU21:BU32,OV_O)*INDEX(IdxOV_O,1,MIN(10,BU$17))*(1+P_dMat)/(1-P_Merma)</f>
        <v>0</v>
      </c>
      <c r="BV49" s="34" t="n">
        <f aca="false">SUMPRODUCT(BV21:BV32,OV_O)*INDEX(IdxOV_O,1,MIN(10,BV$17))*(1+P_dMat)/(1-P_Merma)</f>
        <v>0</v>
      </c>
      <c r="BW49" s="34" t="n">
        <f aca="false">SUMPRODUCT(BW21:BW32,OV_O)*INDEX(IdxOV_O,1,MIN(10,BW$17))*(1+P_dMat)/(1-P_Merma)</f>
        <v>0</v>
      </c>
      <c r="BX49" s="34" t="n">
        <f aca="false">SUMPRODUCT(BX21:BX32,OV_O)*INDEX(IdxOV_O,1,MIN(10,BX$17))*(1+P_dMat)/(1-P_Merma)</f>
        <v>0</v>
      </c>
      <c r="BY49" s="34" t="n">
        <f aca="false">SUMPRODUCT(BY21:BY32,OV_O)*INDEX(IdxOV_O,1,MIN(10,BY$17))*(1+P_dMat)/(1-P_Merma)</f>
        <v>0</v>
      </c>
      <c r="BZ49" s="34" t="n">
        <f aca="false">SUMPRODUCT(BZ21:BZ32,OV_O)*INDEX(IdxOV_O,1,MIN(10,BZ$17))*(1+P_dMat)/(1-P_Merma)</f>
        <v>0</v>
      </c>
      <c r="CA49" s="34" t="n">
        <f aca="false">SUMPRODUCT(CA21:CA32,OV_O)*INDEX(IdxOV_O,1,MIN(10,CA$17))*(1+P_dMat)/(1-P_Merma)</f>
        <v>0</v>
      </c>
      <c r="CB49" s="34" t="n">
        <f aca="false">SUMPRODUCT(CB21:CB32,OV_O)*INDEX(IdxOV_O,1,MIN(10,CB$17))*(1+P_dMat)/(1-P_Merma)</f>
        <v>0</v>
      </c>
      <c r="CC49" s="34" t="n">
        <f aca="false">SUMPRODUCT(CC21:CC32,OV_O)*INDEX(IdxOV_O,1,MIN(10,CC$17))*(1+P_dMat)/(1-P_Merma)</f>
        <v>0</v>
      </c>
      <c r="CD49" s="34" t="n">
        <f aca="false">SUMPRODUCT(CD21:CD32,OV_O)*INDEX(IdxOV_O,1,MIN(10,CD$17))*(1+P_dMat)/(1-P_Merma)</f>
        <v>0</v>
      </c>
      <c r="CE49" s="34" t="n">
        <f aca="false">SUMPRODUCT(CE21:CE32,OV_O)*INDEX(IdxOV_O,1,MIN(10,CE$17))*(1+P_dMat)/(1-P_Merma)</f>
        <v>0</v>
      </c>
      <c r="CF49" s="34" t="n">
        <f aca="false">SUMPRODUCT(CF21:CF32,OV_O)*INDEX(IdxOV_O,1,MIN(10,CF$17))*(1+P_dMat)/(1-P_Merma)</f>
        <v>0</v>
      </c>
      <c r="CG49" s="34" t="n">
        <f aca="false">SUMPRODUCT(CG21:CG32,OV_O)*INDEX(IdxOV_O,1,MIN(10,CG$17))*(1+P_dMat)/(1-P_Merma)</f>
        <v>0</v>
      </c>
      <c r="CH49" s="34" t="n">
        <f aca="false">SUMPRODUCT(CH21:CH32,OV_O)*INDEX(IdxOV_O,1,MIN(10,CH$17))*(1+P_dMat)/(1-P_Merma)</f>
        <v>0</v>
      </c>
      <c r="CI49" s="34" t="n">
        <f aca="false">SUMPRODUCT(CI21:CI32,OV_O)*INDEX(IdxOV_O,1,MIN(10,CI$17))*(1+P_dMat)/(1-P_Merma)</f>
        <v>0</v>
      </c>
      <c r="CJ49" s="34" t="n">
        <f aca="false">SUMPRODUCT(CJ21:CJ32,OV_O)*INDEX(IdxOV_O,1,MIN(10,CJ$17))*(1+P_dMat)/(1-P_Merma)</f>
        <v>0</v>
      </c>
      <c r="CK49" s="34" t="n">
        <f aca="false">SUMPRODUCT(CK21:CK32,OV_O)*INDEX(IdxOV_O,1,MIN(10,CK$17))*(1+P_dMat)/(1-P_Merma)</f>
        <v>0</v>
      </c>
      <c r="CL49" s="34" t="n">
        <f aca="false">SUMPRODUCT(CL21:CL32,OV_O)*INDEX(IdxOV_O,1,MIN(10,CL$17))*(1+P_dMat)/(1-P_Merma)</f>
        <v>0</v>
      </c>
      <c r="CM49" s="34" t="n">
        <f aca="false">SUMPRODUCT(CM21:CM32,OV_O)*INDEX(IdxOV_O,1,MIN(10,CM$17))*(1+P_dMat)/(1-P_Merma)</f>
        <v>0</v>
      </c>
      <c r="CN49" s="34" t="n">
        <f aca="false">SUMPRODUCT(CN21:CN32,OV_O)*INDEX(IdxOV_O,1,MIN(10,CN$17))*(1+P_dMat)/(1-P_Merma)</f>
        <v>0</v>
      </c>
      <c r="CO49" s="34" t="n">
        <f aca="false">SUMPRODUCT(CO21:CO32,OV_O)*INDEX(IdxOV_O,1,MIN(10,CO$17))*(1+P_dMat)/(1-P_Merma)</f>
        <v>0</v>
      </c>
      <c r="CP49" s="34" t="n">
        <f aca="false">SUMPRODUCT(CP21:CP32,OV_O)*INDEX(IdxOV_O,1,MIN(10,CP$17))*(1+P_dMat)/(1-P_Merma)</f>
        <v>0</v>
      </c>
      <c r="CQ49" s="34" t="n">
        <f aca="false">SUMPRODUCT(CQ21:CQ32,OV_O)*INDEX(IdxOV_O,1,MIN(10,CQ$17))*(1+P_dMat)/(1-P_Merma)</f>
        <v>0</v>
      </c>
      <c r="CR49" s="34" t="n">
        <f aca="false">SUMPRODUCT(CR21:CR32,OV_O)*INDEX(IdxOV_O,1,MIN(10,CR$17))*(1+P_dMat)/(1-P_Merma)</f>
        <v>0</v>
      </c>
      <c r="CS49" s="34" t="n">
        <f aca="false">SUMPRODUCT(CS21:CS32,OV_O)*INDEX(IdxOV_O,1,MIN(10,CS$17))*(1+P_dMat)/(1-P_Merma)</f>
        <v>0</v>
      </c>
      <c r="CT49" s="34" t="n">
        <f aca="false">SUMPRODUCT(CT21:CT32,OV_O)*INDEX(IdxOV_O,1,MIN(10,CT$17))*(1+P_dMat)/(1-P_Merma)</f>
        <v>0</v>
      </c>
      <c r="CU49" s="34" t="n">
        <f aca="false">SUMPRODUCT(CU21:CU32,OV_O)*INDEX(IdxOV_O,1,MIN(10,CU$17))*(1+P_dMat)/(1-P_Merma)</f>
        <v>0</v>
      </c>
      <c r="CV49" s="34" t="n">
        <f aca="false">SUMPRODUCT(CV21:CV32,OV_O)*INDEX(IdxOV_O,1,MIN(10,CV$17))*(1+P_dMat)/(1-P_Merma)</f>
        <v>0</v>
      </c>
      <c r="CW49" s="34" t="n">
        <f aca="false">SUMPRODUCT(CW21:CW32,OV_O)*INDEX(IdxOV_O,1,MIN(10,CW$17))*(1+P_dMat)/(1-P_Merma)</f>
        <v>0</v>
      </c>
      <c r="CX49" s="34" t="n">
        <f aca="false">SUMPRODUCT(CX21:CX32,OV_O)*INDEX(IdxOV_O,1,MIN(10,CX$17))*(1+P_dMat)/(1-P_Merma)</f>
        <v>0</v>
      </c>
      <c r="CY49" s="34" t="n">
        <f aca="false">SUMPRODUCT(CY21:CY32,OV_O)*INDEX(IdxOV_O,1,MIN(10,CY$17))*(1+P_dMat)/(1-P_Merma)</f>
        <v>0</v>
      </c>
      <c r="CZ49" s="34" t="n">
        <f aca="false">SUMPRODUCT(CZ21:CZ32,OV_O)*INDEX(IdxOV_O,1,MIN(10,CZ$17))*(1+P_dMat)/(1-P_Merma)</f>
        <v>0</v>
      </c>
      <c r="DA49" s="34" t="n">
        <f aca="false">SUMPRODUCT(DA21:DA32,OV_O)*INDEX(IdxOV_O,1,MIN(10,DA$17))*(1+P_dMat)/(1-P_Merma)</f>
        <v>0</v>
      </c>
      <c r="DB49" s="34" t="n">
        <f aca="false">SUMPRODUCT(DB21:DB32,OV_O)*INDEX(IdxOV_O,1,MIN(10,DB$17))*(1+P_dMat)/(1-P_Merma)</f>
        <v>0</v>
      </c>
      <c r="DC49" s="34" t="n">
        <f aca="false">SUMPRODUCT(DC21:DC32,OV_O)*INDEX(IdxOV_O,1,MIN(10,DC$17))*(1+P_dMat)/(1-P_Merma)</f>
        <v>0</v>
      </c>
      <c r="DD49" s="34" t="n">
        <f aca="false">SUMPRODUCT(DD21:DD32,OV_O)*INDEX(IdxOV_O,1,MIN(10,DD$17))*(1+P_dMat)/(1-P_Merma)</f>
        <v>0</v>
      </c>
      <c r="DE49" s="34" t="n">
        <f aca="false">SUMPRODUCT(DE21:DE32,OV_O)*INDEX(IdxOV_O,1,MIN(10,DE$17))*(1+P_dMat)/(1-P_Merma)</f>
        <v>0</v>
      </c>
      <c r="DF49" s="34" t="n">
        <f aca="false">SUMPRODUCT(DF21:DF32,OV_O)*INDEX(IdxOV_O,1,MIN(10,DF$17))*(1+P_dMat)/(1-P_Merma)</f>
        <v>0</v>
      </c>
      <c r="DG49" s="34" t="n">
        <f aca="false">SUMPRODUCT(DG21:DG32,OV_O)*INDEX(IdxOV_O,1,MIN(10,DG$17))*(1+P_dMat)/(1-P_Merma)</f>
        <v>0</v>
      </c>
      <c r="DH49" s="34" t="n">
        <f aca="false">SUMPRODUCT(DH21:DH32,OV_O)*INDEX(IdxOV_O,1,MIN(10,DH$17))*(1+P_dMat)/(1-P_Merma)</f>
        <v>0</v>
      </c>
      <c r="DI49" s="34" t="n">
        <f aca="false">SUMPRODUCT(DI21:DI32,OV_O)*INDEX(IdxOV_O,1,MIN(10,DI$17))*(1+P_dMat)/(1-P_Merma)</f>
        <v>0</v>
      </c>
      <c r="DJ49" s="34" t="n">
        <f aca="false">SUMPRODUCT(DJ21:DJ32,OV_O)*INDEX(IdxOV_O,1,MIN(10,DJ$17))*(1+P_dMat)/(1-P_Merma)</f>
        <v>0</v>
      </c>
      <c r="DK49" s="34" t="n">
        <f aca="false">SUMPRODUCT(DK21:DK32,OV_O)*INDEX(IdxOV_O,1,MIN(10,DK$17))*(1+P_dMat)/(1-P_Merma)</f>
        <v>0</v>
      </c>
      <c r="DL49" s="34" t="n">
        <f aca="false">SUMPRODUCT(DL21:DL32,OV_O)*INDEX(IdxOV_O,1,MIN(10,DL$17))*(1+P_dMat)/(1-P_Merma)</f>
        <v>0</v>
      </c>
      <c r="DM49" s="34" t="n">
        <f aca="false">SUMPRODUCT(DM21:DM32,OV_O)*INDEX(IdxOV_O,1,MIN(10,DM$17))*(1+P_dMat)/(1-P_Merma)</f>
        <v>0</v>
      </c>
      <c r="DN49" s="34" t="n">
        <f aca="false">SUMPRODUCT(DN21:DN32,OV_O)*INDEX(IdxOV_O,1,MIN(10,DN$17))*(1+P_dMat)/(1-P_Merma)</f>
        <v>0</v>
      </c>
      <c r="DO49" s="34" t="n">
        <f aca="false">SUMPRODUCT(DO21:DO32,OV_O)*INDEX(IdxOV_O,1,MIN(10,DO$17))*(1+P_dMat)/(1-P_Merma)</f>
        <v>0</v>
      </c>
      <c r="DP49" s="34" t="n">
        <f aca="false">SUMPRODUCT(DP21:DP32,OV_O)*INDEX(IdxOV_O,1,MIN(10,DP$17))*(1+P_dMat)/(1-P_Merma)</f>
        <v>0</v>
      </c>
      <c r="DQ49" s="34" t="n">
        <f aca="false">SUMPRODUCT(DQ21:DQ32,OV_O)*INDEX(IdxOV_O,1,MIN(10,DQ$17))*(1+P_dMat)/(1-P_Merma)</f>
        <v>0</v>
      </c>
      <c r="DR49" s="34" t="n">
        <f aca="false">SUMPRODUCT(DR21:DR32,OV_O)*INDEX(IdxOV_O,1,MIN(10,DR$17))*(1+P_dMat)/(1-P_Merma)</f>
        <v>0</v>
      </c>
      <c r="DS49" s="34" t="n">
        <f aca="false">SUMPRODUCT(DS21:DS32,OV_O)*INDEX(IdxOV_O,1,MIN(10,DS$17))*(1+P_dMat)/(1-P_Merma)</f>
        <v>0</v>
      </c>
      <c r="DT49" s="34" t="n">
        <f aca="false">SUMPRODUCT(DT21:DT32,OV_O)*INDEX(IdxOV_O,1,MIN(10,DT$17))*(1+P_dMat)/(1-P_Merma)</f>
        <v>0</v>
      </c>
      <c r="DU49" s="34" t="n">
        <f aca="false">SUMPRODUCT(DU21:DU32,OV_O)*INDEX(IdxOV_O,1,MIN(10,DU$17))*(1+P_dMat)/(1-P_Merma)</f>
        <v>0</v>
      </c>
      <c r="DV49" s="34" t="n">
        <f aca="false">SUMPRODUCT(DV21:DV32,OV_O)*INDEX(IdxOV_O,1,MIN(10,DV$17))*(1+P_dMat)/(1-P_Merma)</f>
        <v>0</v>
      </c>
      <c r="DW49" s="34" t="n">
        <f aca="false">SUMPRODUCT(DW21:DW32,OV_O)*INDEX(IdxOV_O,1,MIN(10,DW$17))*(1+P_dMat)/(1-P_Merma)</f>
        <v>0</v>
      </c>
      <c r="DX49" s="34" t="n">
        <f aca="false">SUMPRODUCT(DX21:DX32,OV_O)*INDEX(IdxOV_O,1,MIN(10,DX$17))*(1+P_dMat)/(1-P_Merma)</f>
        <v>0</v>
      </c>
      <c r="DY49" s="34" t="n">
        <f aca="false">SUMPRODUCT(DY21:DY32,OV_O)*INDEX(IdxOV_O,1,MIN(10,DY$17))*(1+P_dMat)/(1-P_Merma)</f>
        <v>0</v>
      </c>
      <c r="DZ49" s="34" t="n">
        <f aca="false">SUMPRODUCT(DZ21:DZ32,OV_O)*INDEX(IdxOV_O,1,MIN(10,DZ$17))*(1+P_dMat)/(1-P_Merma)</f>
        <v>0</v>
      </c>
      <c r="EA49" s="34" t="n">
        <f aca="false">SUMPRODUCT(EA21:EA32,OV_O)*INDEX(IdxOV_O,1,MIN(10,EA$17))*(1+P_dMat)/(1-P_Merma)</f>
        <v>0</v>
      </c>
      <c r="EB49" s="34" t="n">
        <f aca="false">SUMPRODUCT(EB21:EB32,OV_O)*INDEX(IdxOV_O,1,MIN(10,EB$17))*(1+P_dMat)/(1-P_Merma)</f>
        <v>0</v>
      </c>
      <c r="EC49" s="34" t="n">
        <f aca="false">SUMPRODUCT(EC21:EC32,OV_O)*INDEX(IdxOV_O,1,MIN(10,EC$17))*(1+P_dMat)/(1-P_Merma)</f>
        <v>0</v>
      </c>
      <c r="ED49" s="34" t="n">
        <f aca="false">SUMPRODUCT(ED21:ED32,OV_O)*INDEX(IdxOV_O,1,MIN(10,ED$17))*(1+P_dMat)/(1-P_Merma)</f>
        <v>0</v>
      </c>
      <c r="EE49" s="34" t="n">
        <f aca="false">SUMPRODUCT(EE21:EE32,OV_O)*INDEX(IdxOV_O,1,MIN(10,EE$17))*(1+P_dMat)/(1-P_Merma)</f>
        <v>0</v>
      </c>
      <c r="EF49" s="34" t="n">
        <f aca="false">SUMPRODUCT(EF21:EF32,OV_O)*INDEX(IdxOV_O,1,MIN(10,EF$17))*(1+P_dMat)/(1-P_Merma)</f>
        <v>0</v>
      </c>
      <c r="EG49" s="34" t="n">
        <f aca="false">SUMPRODUCT(EG21:EG32,OV_O)*INDEX(IdxOV_O,1,MIN(10,EG$17))*(1+P_dMat)/(1-P_Merma)</f>
        <v>0</v>
      </c>
      <c r="EH49" s="34" t="n">
        <f aca="false">SUMPRODUCT(EH21:EH32,OV_O)*INDEX(IdxOV_O,1,MIN(10,EH$17))*(1+P_dMat)/(1-P_Merma)</f>
        <v>0</v>
      </c>
      <c r="EI49" s="34" t="n">
        <f aca="false">SUMPRODUCT(EI21:EI32,OV_O)*INDEX(IdxOV_O,1,MIN(10,EI$17))*(1+P_dMat)/(1-P_Merma)</f>
        <v>0</v>
      </c>
      <c r="EJ49" s="34" t="n">
        <f aca="false">SUMPRODUCT(EJ21:EJ32,OV_O)*INDEX(IdxOV_O,1,MIN(10,EJ$17))*(1+P_dMat)/(1-P_Merma)</f>
        <v>0</v>
      </c>
      <c r="EK49" s="34" t="n">
        <f aca="false">SUMPRODUCT(EK21:EK32,OV_O)*INDEX(IdxOV_O,1,MIN(10,EK$17))*(1+P_dMat)/(1-P_Merma)</f>
        <v>0</v>
      </c>
      <c r="EL49" s="34" t="n">
        <f aca="false">SUMPRODUCT(EL21:EL32,OV_O)*INDEX(IdxOV_O,1,MIN(10,EL$17))*(1+P_dMat)/(1-P_Merma)</f>
        <v>0</v>
      </c>
      <c r="EM49" s="34" t="n">
        <f aca="false">SUMPRODUCT(EM21:EM32,OV_O)*INDEX(IdxOV_O,1,MIN(10,EM$17))*(1+P_dMat)/(1-P_Merma)</f>
        <v>0</v>
      </c>
      <c r="EN49" s="34" t="n">
        <f aca="false">SUMPRODUCT(EN21:EN32,OV_O)*INDEX(IdxOV_O,1,MIN(10,EN$17))*(1+P_dMat)/(1-P_Merma)</f>
        <v>0</v>
      </c>
      <c r="EO49" s="34" t="n">
        <f aca="false">SUMPRODUCT(EO21:EO32,OV_O)*INDEX(IdxOV_O,1,MIN(10,EO$17))*(1+P_dMat)/(1-P_Merma)</f>
        <v>0</v>
      </c>
      <c r="EP49" s="34" t="n">
        <f aca="false">SUMPRODUCT(EP21:EP32,OV_O)*INDEX(IdxOV_O,1,MIN(10,EP$17))*(1+P_dMat)/(1-P_Merma)</f>
        <v>0</v>
      </c>
      <c r="EQ49" s="34" t="n">
        <f aca="false">SUMPRODUCT(EQ21:EQ32,OV_O)*INDEX(IdxOV_O,1,MIN(10,EQ$17))*(1+P_dMat)/(1-P_Merma)</f>
        <v>0</v>
      </c>
      <c r="ER49" s="34" t="n">
        <f aca="false">SUMPRODUCT(ER21:ER32,OV_O)*INDEX(IdxOV_O,1,MIN(10,ER$17))*(1+P_dMat)/(1-P_Merma)</f>
        <v>0</v>
      </c>
      <c r="ES49" s="34" t="n">
        <f aca="false">SUMPRODUCT(ES21:ES32,OV_O)*INDEX(IdxOV_O,1,MIN(10,ES$17))*(1+P_dMat)/(1-P_Merma)</f>
        <v>0</v>
      </c>
    </row>
    <row r="50" customFormat="false" ht="15" hidden="false" customHeight="false" outlineLevel="0" collapsed="false">
      <c r="A50" s="2" t="s">
        <v>465</v>
      </c>
      <c r="B50" s="6" t="s">
        <v>466</v>
      </c>
      <c r="C50" s="6" t="s">
        <v>212</v>
      </c>
      <c r="E50" s="40" t="n">
        <f aca="false">SUM(F50:ES50)</f>
        <v>0</v>
      </c>
      <c r="F50" s="34" t="n">
        <f aca="false">P_Desp*(F$47+F$48)</f>
        <v>0</v>
      </c>
      <c r="G50" s="34" t="n">
        <f aca="false">P_Desp*(G$47+G$48)</f>
        <v>0</v>
      </c>
      <c r="H50" s="34" t="n">
        <f aca="false">P_Desp*(H$47+H$48)</f>
        <v>0</v>
      </c>
      <c r="I50" s="34" t="n">
        <f aca="false">P_Desp*(I$47+I$48)</f>
        <v>0</v>
      </c>
      <c r="J50" s="34" t="n">
        <f aca="false">P_Desp*(J$47+J$48)</f>
        <v>0</v>
      </c>
      <c r="K50" s="34" t="n">
        <f aca="false">P_Desp*(K$47+K$48)</f>
        <v>0</v>
      </c>
      <c r="L50" s="34" t="n">
        <f aca="false">P_Desp*(L$47+L$48)</f>
        <v>0</v>
      </c>
      <c r="M50" s="34" t="n">
        <f aca="false">P_Desp*(M$47+M$48)</f>
        <v>0</v>
      </c>
      <c r="N50" s="34" t="n">
        <f aca="false">P_Desp*(N$47+N$48)</f>
        <v>0</v>
      </c>
      <c r="O50" s="34" t="n">
        <f aca="false">P_Desp*(O$47+O$48)</f>
        <v>0</v>
      </c>
      <c r="P50" s="34" t="n">
        <f aca="false">P_Desp*(P$47+P$48)</f>
        <v>0</v>
      </c>
      <c r="Q50" s="34" t="n">
        <f aca="false">P_Desp*(Q$47+Q$48)</f>
        <v>0</v>
      </c>
      <c r="R50" s="34" t="n">
        <f aca="false">P_Desp*(R$47+R$48)</f>
        <v>0</v>
      </c>
      <c r="S50" s="34" t="n">
        <f aca="false">P_Desp*(S$47+S$48)</f>
        <v>0</v>
      </c>
      <c r="T50" s="34" t="n">
        <f aca="false">P_Desp*(T$47+T$48)</f>
        <v>0</v>
      </c>
      <c r="U50" s="34" t="n">
        <f aca="false">P_Desp*(U$47+U$48)</f>
        <v>0</v>
      </c>
      <c r="V50" s="34" t="n">
        <f aca="false">P_Desp*(V$47+V$48)</f>
        <v>0</v>
      </c>
      <c r="W50" s="34" t="n">
        <f aca="false">P_Desp*(W$47+W$48)</f>
        <v>0</v>
      </c>
      <c r="X50" s="34" t="n">
        <f aca="false">P_Desp*(X$47+X$48)</f>
        <v>0</v>
      </c>
      <c r="Y50" s="34" t="n">
        <f aca="false">P_Desp*(Y$47+Y$48)</f>
        <v>0</v>
      </c>
      <c r="Z50" s="34" t="n">
        <f aca="false">P_Desp*(Z$47+Z$48)</f>
        <v>0</v>
      </c>
      <c r="AA50" s="34" t="n">
        <f aca="false">P_Desp*(AA$47+AA$48)</f>
        <v>0</v>
      </c>
      <c r="AB50" s="34" t="n">
        <f aca="false">P_Desp*(AB$47+AB$48)</f>
        <v>0</v>
      </c>
      <c r="AC50" s="34" t="n">
        <f aca="false">P_Desp*(AC$47+AC$48)</f>
        <v>0</v>
      </c>
      <c r="AD50" s="34" t="n">
        <f aca="false">P_Desp*(AD$47+AD$48)</f>
        <v>0</v>
      </c>
      <c r="AE50" s="34" t="n">
        <f aca="false">P_Desp*(AE$47+AE$48)</f>
        <v>0</v>
      </c>
      <c r="AF50" s="34" t="n">
        <f aca="false">P_Desp*(AF$47+AF$48)</f>
        <v>0</v>
      </c>
      <c r="AG50" s="34" t="n">
        <f aca="false">P_Desp*(AG$47+AG$48)</f>
        <v>0</v>
      </c>
      <c r="AH50" s="34" t="n">
        <f aca="false">P_Desp*(AH$47+AH$48)</f>
        <v>0</v>
      </c>
      <c r="AI50" s="34" t="n">
        <f aca="false">P_Desp*(AI$47+AI$48)</f>
        <v>0</v>
      </c>
      <c r="AJ50" s="34" t="n">
        <f aca="false">P_Desp*(AJ$47+AJ$48)</f>
        <v>0</v>
      </c>
      <c r="AK50" s="34" t="n">
        <f aca="false">P_Desp*(AK$47+AK$48)</f>
        <v>0</v>
      </c>
      <c r="AL50" s="34" t="n">
        <f aca="false">P_Desp*(AL$47+AL$48)</f>
        <v>0</v>
      </c>
      <c r="AM50" s="34" t="n">
        <f aca="false">P_Desp*(AM$47+AM$48)</f>
        <v>0</v>
      </c>
      <c r="AN50" s="34" t="n">
        <f aca="false">P_Desp*(AN$47+AN$48)</f>
        <v>0</v>
      </c>
      <c r="AO50" s="34" t="n">
        <f aca="false">P_Desp*(AO$47+AO$48)</f>
        <v>0</v>
      </c>
      <c r="AP50" s="34" t="n">
        <f aca="false">P_Desp*(AP$47+AP$48)</f>
        <v>0</v>
      </c>
      <c r="AQ50" s="34" t="n">
        <f aca="false">P_Desp*(AQ$47+AQ$48)</f>
        <v>0</v>
      </c>
      <c r="AR50" s="34" t="n">
        <f aca="false">P_Desp*(AR$47+AR$48)</f>
        <v>0</v>
      </c>
      <c r="AS50" s="34" t="n">
        <f aca="false">P_Desp*(AS$47+AS$48)</f>
        <v>0</v>
      </c>
      <c r="AT50" s="34" t="n">
        <f aca="false">P_Desp*(AT$47+AT$48)</f>
        <v>0</v>
      </c>
      <c r="AU50" s="34" t="n">
        <f aca="false">P_Desp*(AU$47+AU$48)</f>
        <v>0</v>
      </c>
      <c r="AV50" s="34" t="n">
        <f aca="false">P_Desp*(AV$47+AV$48)</f>
        <v>0</v>
      </c>
      <c r="AW50" s="34" t="n">
        <f aca="false">P_Desp*(AW$47+AW$48)</f>
        <v>0</v>
      </c>
      <c r="AX50" s="34" t="n">
        <f aca="false">P_Desp*(AX$47+AX$48)</f>
        <v>0</v>
      </c>
      <c r="AY50" s="34" t="n">
        <f aca="false">P_Desp*(AY$47+AY$48)</f>
        <v>0</v>
      </c>
      <c r="AZ50" s="34" t="n">
        <f aca="false">P_Desp*(AZ$47+AZ$48)</f>
        <v>0</v>
      </c>
      <c r="BA50" s="34" t="n">
        <f aca="false">P_Desp*(BA$47+BA$48)</f>
        <v>0</v>
      </c>
      <c r="BB50" s="34" t="n">
        <f aca="false">P_Desp*(BB$47+BB$48)</f>
        <v>0</v>
      </c>
      <c r="BC50" s="34" t="n">
        <f aca="false">P_Desp*(BC$47+BC$48)</f>
        <v>0</v>
      </c>
      <c r="BD50" s="34" t="n">
        <f aca="false">P_Desp*(BD$47+BD$48)</f>
        <v>0</v>
      </c>
      <c r="BE50" s="34" t="n">
        <f aca="false">P_Desp*(BE$47+BE$48)</f>
        <v>0</v>
      </c>
      <c r="BF50" s="34" t="n">
        <f aca="false">P_Desp*(BF$47+BF$48)</f>
        <v>0</v>
      </c>
      <c r="BG50" s="34" t="n">
        <f aca="false">P_Desp*(BG$47+BG$48)</f>
        <v>0</v>
      </c>
      <c r="BH50" s="34" t="n">
        <f aca="false">P_Desp*(BH$47+BH$48)</f>
        <v>0</v>
      </c>
      <c r="BI50" s="34" t="n">
        <f aca="false">P_Desp*(BI$47+BI$48)</f>
        <v>0</v>
      </c>
      <c r="BJ50" s="34" t="n">
        <f aca="false">P_Desp*(BJ$47+BJ$48)</f>
        <v>0</v>
      </c>
      <c r="BK50" s="34" t="n">
        <f aca="false">P_Desp*(BK$47+BK$48)</f>
        <v>0</v>
      </c>
      <c r="BL50" s="34" t="n">
        <f aca="false">P_Desp*(BL$47+BL$48)</f>
        <v>0</v>
      </c>
      <c r="BM50" s="34" t="n">
        <f aca="false">P_Desp*(BM$47+BM$48)</f>
        <v>0</v>
      </c>
      <c r="BN50" s="34" t="n">
        <f aca="false">P_Desp*(BN$47+BN$48)</f>
        <v>0</v>
      </c>
      <c r="BO50" s="34" t="n">
        <f aca="false">P_Desp*(BO$47+BO$48)</f>
        <v>0</v>
      </c>
      <c r="BP50" s="34" t="n">
        <f aca="false">P_Desp*(BP$47+BP$48)</f>
        <v>0</v>
      </c>
      <c r="BQ50" s="34" t="n">
        <f aca="false">P_Desp*(BQ$47+BQ$48)</f>
        <v>0</v>
      </c>
      <c r="BR50" s="34" t="n">
        <f aca="false">P_Desp*(BR$47+BR$48)</f>
        <v>0</v>
      </c>
      <c r="BS50" s="34" t="n">
        <f aca="false">P_Desp*(BS$47+BS$48)</f>
        <v>0</v>
      </c>
      <c r="BT50" s="34" t="n">
        <f aca="false">P_Desp*(BT$47+BT$48)</f>
        <v>0</v>
      </c>
      <c r="BU50" s="34" t="n">
        <f aca="false">P_Desp*(BU$47+BU$48)</f>
        <v>0</v>
      </c>
      <c r="BV50" s="34" t="n">
        <f aca="false">P_Desp*(BV$47+BV$48)</f>
        <v>0</v>
      </c>
      <c r="BW50" s="34" t="n">
        <f aca="false">P_Desp*(BW$47+BW$48)</f>
        <v>0</v>
      </c>
      <c r="BX50" s="34" t="n">
        <f aca="false">P_Desp*(BX$47+BX$48)</f>
        <v>0</v>
      </c>
      <c r="BY50" s="34" t="n">
        <f aca="false">P_Desp*(BY$47+BY$48)</f>
        <v>0</v>
      </c>
      <c r="BZ50" s="34" t="n">
        <f aca="false">P_Desp*(BZ$47+BZ$48)</f>
        <v>0</v>
      </c>
      <c r="CA50" s="34" t="n">
        <f aca="false">P_Desp*(CA$47+CA$48)</f>
        <v>0</v>
      </c>
      <c r="CB50" s="34" t="n">
        <f aca="false">P_Desp*(CB$47+CB$48)</f>
        <v>0</v>
      </c>
      <c r="CC50" s="34" t="n">
        <f aca="false">P_Desp*(CC$47+CC$48)</f>
        <v>0</v>
      </c>
      <c r="CD50" s="34" t="n">
        <f aca="false">P_Desp*(CD$47+CD$48)</f>
        <v>0</v>
      </c>
      <c r="CE50" s="34" t="n">
        <f aca="false">P_Desp*(CE$47+CE$48)</f>
        <v>0</v>
      </c>
      <c r="CF50" s="34" t="n">
        <f aca="false">P_Desp*(CF$47+CF$48)</f>
        <v>0</v>
      </c>
      <c r="CG50" s="34" t="n">
        <f aca="false">P_Desp*(CG$47+CG$48)</f>
        <v>0</v>
      </c>
      <c r="CH50" s="34" t="n">
        <f aca="false">P_Desp*(CH$47+CH$48)</f>
        <v>0</v>
      </c>
      <c r="CI50" s="34" t="n">
        <f aca="false">P_Desp*(CI$47+CI$48)</f>
        <v>0</v>
      </c>
      <c r="CJ50" s="34" t="n">
        <f aca="false">P_Desp*(CJ$47+CJ$48)</f>
        <v>0</v>
      </c>
      <c r="CK50" s="34" t="n">
        <f aca="false">P_Desp*(CK$47+CK$48)</f>
        <v>0</v>
      </c>
      <c r="CL50" s="34" t="n">
        <f aca="false">P_Desp*(CL$47+CL$48)</f>
        <v>0</v>
      </c>
      <c r="CM50" s="34" t="n">
        <f aca="false">P_Desp*(CM$47+CM$48)</f>
        <v>0</v>
      </c>
      <c r="CN50" s="34" t="n">
        <f aca="false">P_Desp*(CN$47+CN$48)</f>
        <v>0</v>
      </c>
      <c r="CO50" s="34" t="n">
        <f aca="false">P_Desp*(CO$47+CO$48)</f>
        <v>0</v>
      </c>
      <c r="CP50" s="34" t="n">
        <f aca="false">P_Desp*(CP$47+CP$48)</f>
        <v>0</v>
      </c>
      <c r="CQ50" s="34" t="n">
        <f aca="false">P_Desp*(CQ$47+CQ$48)</f>
        <v>0</v>
      </c>
      <c r="CR50" s="34" t="n">
        <f aca="false">P_Desp*(CR$47+CR$48)</f>
        <v>0</v>
      </c>
      <c r="CS50" s="34" t="n">
        <f aca="false">P_Desp*(CS$47+CS$48)</f>
        <v>0</v>
      </c>
      <c r="CT50" s="34" t="n">
        <f aca="false">P_Desp*(CT$47+CT$48)</f>
        <v>0</v>
      </c>
      <c r="CU50" s="34" t="n">
        <f aca="false">P_Desp*(CU$47+CU$48)</f>
        <v>0</v>
      </c>
      <c r="CV50" s="34" t="n">
        <f aca="false">P_Desp*(CV$47+CV$48)</f>
        <v>0</v>
      </c>
      <c r="CW50" s="34" t="n">
        <f aca="false">P_Desp*(CW$47+CW$48)</f>
        <v>0</v>
      </c>
      <c r="CX50" s="34" t="n">
        <f aca="false">P_Desp*(CX$47+CX$48)</f>
        <v>0</v>
      </c>
      <c r="CY50" s="34" t="n">
        <f aca="false">P_Desp*(CY$47+CY$48)</f>
        <v>0</v>
      </c>
      <c r="CZ50" s="34" t="n">
        <f aca="false">P_Desp*(CZ$47+CZ$48)</f>
        <v>0</v>
      </c>
      <c r="DA50" s="34" t="n">
        <f aca="false">P_Desp*(DA$47+DA$48)</f>
        <v>0</v>
      </c>
      <c r="DB50" s="34" t="n">
        <f aca="false">P_Desp*(DB$47+DB$48)</f>
        <v>0</v>
      </c>
      <c r="DC50" s="34" t="n">
        <f aca="false">P_Desp*(DC$47+DC$48)</f>
        <v>0</v>
      </c>
      <c r="DD50" s="34" t="n">
        <f aca="false">P_Desp*(DD$47+DD$48)</f>
        <v>0</v>
      </c>
      <c r="DE50" s="34" t="n">
        <f aca="false">P_Desp*(DE$47+DE$48)</f>
        <v>0</v>
      </c>
      <c r="DF50" s="34" t="n">
        <f aca="false">P_Desp*(DF$47+DF$48)</f>
        <v>0</v>
      </c>
      <c r="DG50" s="34" t="n">
        <f aca="false">P_Desp*(DG$47+DG$48)</f>
        <v>0</v>
      </c>
      <c r="DH50" s="34" t="n">
        <f aca="false">P_Desp*(DH$47+DH$48)</f>
        <v>0</v>
      </c>
      <c r="DI50" s="34" t="n">
        <f aca="false">P_Desp*(DI$47+DI$48)</f>
        <v>0</v>
      </c>
      <c r="DJ50" s="34" t="n">
        <f aca="false">P_Desp*(DJ$47+DJ$48)</f>
        <v>0</v>
      </c>
      <c r="DK50" s="34" t="n">
        <f aca="false">P_Desp*(DK$47+DK$48)</f>
        <v>0</v>
      </c>
      <c r="DL50" s="34" t="n">
        <f aca="false">P_Desp*(DL$47+DL$48)</f>
        <v>0</v>
      </c>
      <c r="DM50" s="34" t="n">
        <f aca="false">P_Desp*(DM$47+DM$48)</f>
        <v>0</v>
      </c>
      <c r="DN50" s="34" t="n">
        <f aca="false">P_Desp*(DN$47+DN$48)</f>
        <v>0</v>
      </c>
      <c r="DO50" s="34" t="n">
        <f aca="false">P_Desp*(DO$47+DO$48)</f>
        <v>0</v>
      </c>
      <c r="DP50" s="34" t="n">
        <f aca="false">P_Desp*(DP$47+DP$48)</f>
        <v>0</v>
      </c>
      <c r="DQ50" s="34" t="n">
        <f aca="false">P_Desp*(DQ$47+DQ$48)</f>
        <v>0</v>
      </c>
      <c r="DR50" s="34" t="n">
        <f aca="false">P_Desp*(DR$47+DR$48)</f>
        <v>0</v>
      </c>
      <c r="DS50" s="34" t="n">
        <f aca="false">P_Desp*(DS$47+DS$48)</f>
        <v>0</v>
      </c>
      <c r="DT50" s="34" t="n">
        <f aca="false">P_Desp*(DT$47+DT$48)</f>
        <v>0</v>
      </c>
      <c r="DU50" s="34" t="n">
        <f aca="false">P_Desp*(DU$47+DU$48)</f>
        <v>0</v>
      </c>
      <c r="DV50" s="34" t="n">
        <f aca="false">P_Desp*(DV$47+DV$48)</f>
        <v>0</v>
      </c>
      <c r="DW50" s="34" t="n">
        <f aca="false">P_Desp*(DW$47+DW$48)</f>
        <v>0</v>
      </c>
      <c r="DX50" s="34" t="n">
        <f aca="false">P_Desp*(DX$47+DX$48)</f>
        <v>0</v>
      </c>
      <c r="DY50" s="34" t="n">
        <f aca="false">P_Desp*(DY$47+DY$48)</f>
        <v>0</v>
      </c>
      <c r="DZ50" s="34" t="n">
        <f aca="false">P_Desp*(DZ$47+DZ$48)</f>
        <v>0</v>
      </c>
      <c r="EA50" s="34" t="n">
        <f aca="false">P_Desp*(EA$47+EA$48)</f>
        <v>0</v>
      </c>
      <c r="EB50" s="34" t="n">
        <f aca="false">P_Desp*(EB$47+EB$48)</f>
        <v>0</v>
      </c>
      <c r="EC50" s="34" t="n">
        <f aca="false">P_Desp*(EC$47+EC$48)</f>
        <v>0</v>
      </c>
      <c r="ED50" s="34" t="n">
        <f aca="false">P_Desp*(ED$47+ED$48)</f>
        <v>0</v>
      </c>
      <c r="EE50" s="34" t="n">
        <f aca="false">P_Desp*(EE$47+EE$48)</f>
        <v>0</v>
      </c>
      <c r="EF50" s="34" t="n">
        <f aca="false">P_Desp*(EF$47+EF$48)</f>
        <v>0</v>
      </c>
      <c r="EG50" s="34" t="n">
        <f aca="false">P_Desp*(EG$47+EG$48)</f>
        <v>0</v>
      </c>
      <c r="EH50" s="34" t="n">
        <f aca="false">P_Desp*(EH$47+EH$48)</f>
        <v>0</v>
      </c>
      <c r="EI50" s="34" t="n">
        <f aca="false">P_Desp*(EI$47+EI$48)</f>
        <v>0</v>
      </c>
      <c r="EJ50" s="34" t="n">
        <f aca="false">P_Desp*(EJ$47+EJ$48)</f>
        <v>0</v>
      </c>
      <c r="EK50" s="34" t="n">
        <f aca="false">P_Desp*(EK$47+EK$48)</f>
        <v>0</v>
      </c>
      <c r="EL50" s="34" t="n">
        <f aca="false">P_Desp*(EL$47+EL$48)</f>
        <v>0</v>
      </c>
      <c r="EM50" s="34" t="n">
        <f aca="false">P_Desp*(EM$47+EM$48)</f>
        <v>0</v>
      </c>
      <c r="EN50" s="34" t="n">
        <f aca="false">P_Desp*(EN$47+EN$48)</f>
        <v>0</v>
      </c>
      <c r="EO50" s="34" t="n">
        <f aca="false">P_Desp*(EO$47+EO$48)</f>
        <v>0</v>
      </c>
      <c r="EP50" s="34" t="n">
        <f aca="false">P_Desp*(EP$47+EP$48)</f>
        <v>0</v>
      </c>
      <c r="EQ50" s="34" t="n">
        <f aca="false">P_Desp*(EQ$47+EQ$48)</f>
        <v>0</v>
      </c>
      <c r="ER50" s="34" t="n">
        <f aca="false">P_Desp*(ER$47+ER$48)</f>
        <v>0</v>
      </c>
      <c r="ES50" s="34" t="n">
        <f aca="false">P_Desp*(ES$47+ES$48)</f>
        <v>0</v>
      </c>
    </row>
    <row r="51" customFormat="false" ht="15" hidden="false" customHeight="false" outlineLevel="0" collapsed="false">
      <c r="A51" s="2" t="s">
        <v>467</v>
      </c>
      <c r="B51" s="6" t="s">
        <v>468</v>
      </c>
      <c r="C51" s="6" t="s">
        <v>469</v>
      </c>
      <c r="F51" s="36" t="n">
        <f aca="false">SUMPRODUCT((Per_Clase="Directo")*INDEX(Dot_O,0,MIN(10,F$17)))*(F$15+F$16*P_PreDir)</f>
        <v>0</v>
      </c>
      <c r="G51" s="36" t="n">
        <f aca="false">SUMPRODUCT((Per_Clase="Directo")*INDEX(Dot_O,0,MIN(10,G$17)))*(G$15+G$16*P_PreDir)</f>
        <v>0</v>
      </c>
      <c r="H51" s="36" t="n">
        <f aca="false">SUMPRODUCT((Per_Clase="Directo")*INDEX(Dot_O,0,MIN(10,H$17)))*(H$15+H$16*P_PreDir)</f>
        <v>0</v>
      </c>
      <c r="I51" s="36" t="n">
        <f aca="false">SUMPRODUCT((Per_Clase="Directo")*INDEX(Dot_O,0,MIN(10,I$17)))*(I$15+I$16*P_PreDir)</f>
        <v>0</v>
      </c>
      <c r="J51" s="36" t="n">
        <f aca="false">SUMPRODUCT((Per_Clase="Directo")*INDEX(Dot_O,0,MIN(10,J$17)))*(J$15+J$16*P_PreDir)</f>
        <v>0</v>
      </c>
      <c r="K51" s="36" t="n">
        <f aca="false">SUMPRODUCT((Per_Clase="Directo")*INDEX(Dot_O,0,MIN(10,K$17)))*(K$15+K$16*P_PreDir)</f>
        <v>0</v>
      </c>
      <c r="L51" s="36" t="n">
        <f aca="false">SUMPRODUCT((Per_Clase="Directo")*INDEX(Dot_O,0,MIN(10,L$17)))*(L$15+L$16*P_PreDir)</f>
        <v>0</v>
      </c>
      <c r="M51" s="36" t="n">
        <f aca="false">SUMPRODUCT((Per_Clase="Directo")*INDEX(Dot_O,0,MIN(10,M$17)))*(M$15+M$16*P_PreDir)</f>
        <v>0</v>
      </c>
      <c r="N51" s="36" t="n">
        <f aca="false">SUMPRODUCT((Per_Clase="Directo")*INDEX(Dot_O,0,MIN(10,N$17)))*(N$15+N$16*P_PreDir)</f>
        <v>0</v>
      </c>
      <c r="O51" s="36" t="n">
        <f aca="false">SUMPRODUCT((Per_Clase="Directo")*INDEX(Dot_O,0,MIN(10,O$17)))*(O$15+O$16*P_PreDir)</f>
        <v>0</v>
      </c>
      <c r="P51" s="36" t="n">
        <f aca="false">SUMPRODUCT((Per_Clase="Directo")*INDEX(Dot_O,0,MIN(10,P$17)))*(P$15+P$16*P_PreDir)</f>
        <v>0</v>
      </c>
      <c r="Q51" s="36" t="n">
        <f aca="false">SUMPRODUCT((Per_Clase="Directo")*INDEX(Dot_O,0,MIN(10,Q$17)))*(Q$15+Q$16*P_PreDir)</f>
        <v>0</v>
      </c>
      <c r="R51" s="36" t="n">
        <f aca="false">SUMPRODUCT((Per_Clase="Directo")*INDEX(Dot_O,0,MIN(10,R$17)))*(R$15+R$16*P_PreDir)</f>
        <v>0</v>
      </c>
      <c r="S51" s="36" t="n">
        <f aca="false">SUMPRODUCT((Per_Clase="Directo")*INDEX(Dot_O,0,MIN(10,S$17)))*(S$15+S$16*P_PreDir)</f>
        <v>0</v>
      </c>
      <c r="T51" s="36" t="n">
        <f aca="false">SUMPRODUCT((Per_Clase="Directo")*INDEX(Dot_O,0,MIN(10,T$17)))*(T$15+T$16*P_PreDir)</f>
        <v>0</v>
      </c>
      <c r="U51" s="36" t="n">
        <f aca="false">SUMPRODUCT((Per_Clase="Directo")*INDEX(Dot_O,0,MIN(10,U$17)))*(U$15+U$16*P_PreDir)</f>
        <v>0</v>
      </c>
      <c r="V51" s="36" t="n">
        <f aca="false">SUMPRODUCT((Per_Clase="Directo")*INDEX(Dot_O,0,MIN(10,V$17)))*(V$15+V$16*P_PreDir)</f>
        <v>0</v>
      </c>
      <c r="W51" s="36" t="n">
        <f aca="false">SUMPRODUCT((Per_Clase="Directo")*INDEX(Dot_O,0,MIN(10,W$17)))*(W$15+W$16*P_PreDir)</f>
        <v>0</v>
      </c>
      <c r="X51" s="36" t="n">
        <f aca="false">SUMPRODUCT((Per_Clase="Directo")*INDEX(Dot_O,0,MIN(10,X$17)))*(X$15+X$16*P_PreDir)</f>
        <v>0</v>
      </c>
      <c r="Y51" s="36" t="n">
        <f aca="false">SUMPRODUCT((Per_Clase="Directo")*INDEX(Dot_O,0,MIN(10,Y$17)))*(Y$15+Y$16*P_PreDir)</f>
        <v>0</v>
      </c>
      <c r="Z51" s="36" t="n">
        <f aca="false">SUMPRODUCT((Per_Clase="Directo")*INDEX(Dot_O,0,MIN(10,Z$17)))*(Z$15+Z$16*P_PreDir)</f>
        <v>0</v>
      </c>
      <c r="AA51" s="36" t="n">
        <f aca="false">SUMPRODUCT((Per_Clase="Directo")*INDEX(Dot_O,0,MIN(10,AA$17)))*(AA$15+AA$16*P_PreDir)</f>
        <v>0</v>
      </c>
      <c r="AB51" s="36" t="n">
        <f aca="false">SUMPRODUCT((Per_Clase="Directo")*INDEX(Dot_O,0,MIN(10,AB$17)))*(AB$15+AB$16*P_PreDir)</f>
        <v>0</v>
      </c>
      <c r="AC51" s="36" t="n">
        <f aca="false">SUMPRODUCT((Per_Clase="Directo")*INDEX(Dot_O,0,MIN(10,AC$17)))*(AC$15+AC$16*P_PreDir)</f>
        <v>0</v>
      </c>
      <c r="AD51" s="36" t="n">
        <f aca="false">SUMPRODUCT((Per_Clase="Directo")*INDEX(Dot_O,0,MIN(10,AD$17)))*(AD$15+AD$16*P_PreDir)</f>
        <v>0</v>
      </c>
      <c r="AE51" s="36" t="n">
        <f aca="false">SUMPRODUCT((Per_Clase="Directo")*INDEX(Dot_O,0,MIN(10,AE$17)))*(AE$15+AE$16*P_PreDir)</f>
        <v>0</v>
      </c>
      <c r="AF51" s="36" t="n">
        <f aca="false">SUMPRODUCT((Per_Clase="Directo")*INDEX(Dot_O,0,MIN(10,AF$17)))*(AF$15+AF$16*P_PreDir)</f>
        <v>0</v>
      </c>
      <c r="AG51" s="36" t="n">
        <f aca="false">SUMPRODUCT((Per_Clase="Directo")*INDEX(Dot_O,0,MIN(10,AG$17)))*(AG$15+AG$16*P_PreDir)</f>
        <v>0</v>
      </c>
      <c r="AH51" s="36" t="n">
        <f aca="false">SUMPRODUCT((Per_Clase="Directo")*INDEX(Dot_O,0,MIN(10,AH$17)))*(AH$15+AH$16*P_PreDir)</f>
        <v>0</v>
      </c>
      <c r="AI51" s="36" t="n">
        <f aca="false">SUMPRODUCT((Per_Clase="Directo")*INDEX(Dot_O,0,MIN(10,AI$17)))*(AI$15+AI$16*P_PreDir)</f>
        <v>0</v>
      </c>
      <c r="AJ51" s="36" t="n">
        <f aca="false">SUMPRODUCT((Per_Clase="Directo")*INDEX(Dot_O,0,MIN(10,AJ$17)))*(AJ$15+AJ$16*P_PreDir)</f>
        <v>0</v>
      </c>
      <c r="AK51" s="36" t="n">
        <f aca="false">SUMPRODUCT((Per_Clase="Directo")*INDEX(Dot_O,0,MIN(10,AK$17)))*(AK$15+AK$16*P_PreDir)</f>
        <v>0</v>
      </c>
      <c r="AL51" s="36" t="n">
        <f aca="false">SUMPRODUCT((Per_Clase="Directo")*INDEX(Dot_O,0,MIN(10,AL$17)))*(AL$15+AL$16*P_PreDir)</f>
        <v>0</v>
      </c>
      <c r="AM51" s="36" t="n">
        <f aca="false">SUMPRODUCT((Per_Clase="Directo")*INDEX(Dot_O,0,MIN(10,AM$17)))*(AM$15+AM$16*P_PreDir)</f>
        <v>0</v>
      </c>
      <c r="AN51" s="36" t="n">
        <f aca="false">SUMPRODUCT((Per_Clase="Directo")*INDEX(Dot_O,0,MIN(10,AN$17)))*(AN$15+AN$16*P_PreDir)</f>
        <v>0</v>
      </c>
      <c r="AO51" s="36" t="n">
        <f aca="false">SUMPRODUCT((Per_Clase="Directo")*INDEX(Dot_O,0,MIN(10,AO$17)))*(AO$15+AO$16*P_PreDir)</f>
        <v>0</v>
      </c>
      <c r="AP51" s="36" t="n">
        <f aca="false">SUMPRODUCT((Per_Clase="Directo")*INDEX(Dot_O,0,MIN(10,AP$17)))*(AP$15+AP$16*P_PreDir)</f>
        <v>0</v>
      </c>
      <c r="AQ51" s="36" t="n">
        <f aca="false">SUMPRODUCT((Per_Clase="Directo")*INDEX(Dot_O,0,MIN(10,AQ$17)))*(AQ$15+AQ$16*P_PreDir)</f>
        <v>0</v>
      </c>
      <c r="AR51" s="36" t="n">
        <f aca="false">SUMPRODUCT((Per_Clase="Directo")*INDEX(Dot_O,0,MIN(10,AR$17)))*(AR$15+AR$16*P_PreDir)</f>
        <v>0</v>
      </c>
      <c r="AS51" s="36" t="n">
        <f aca="false">SUMPRODUCT((Per_Clase="Directo")*INDEX(Dot_O,0,MIN(10,AS$17)))*(AS$15+AS$16*P_PreDir)</f>
        <v>0</v>
      </c>
      <c r="AT51" s="36" t="n">
        <f aca="false">SUMPRODUCT((Per_Clase="Directo")*INDEX(Dot_O,0,MIN(10,AT$17)))*(AT$15+AT$16*P_PreDir)</f>
        <v>0</v>
      </c>
      <c r="AU51" s="36" t="n">
        <f aca="false">SUMPRODUCT((Per_Clase="Directo")*INDEX(Dot_O,0,MIN(10,AU$17)))*(AU$15+AU$16*P_PreDir)</f>
        <v>0</v>
      </c>
      <c r="AV51" s="36" t="n">
        <f aca="false">SUMPRODUCT((Per_Clase="Directo")*INDEX(Dot_O,0,MIN(10,AV$17)))*(AV$15+AV$16*P_PreDir)</f>
        <v>0</v>
      </c>
      <c r="AW51" s="36" t="n">
        <f aca="false">SUMPRODUCT((Per_Clase="Directo")*INDEX(Dot_O,0,MIN(10,AW$17)))*(AW$15+AW$16*P_PreDir)</f>
        <v>0</v>
      </c>
      <c r="AX51" s="36" t="n">
        <f aca="false">SUMPRODUCT((Per_Clase="Directo")*INDEX(Dot_O,0,MIN(10,AX$17)))*(AX$15+AX$16*P_PreDir)</f>
        <v>0</v>
      </c>
      <c r="AY51" s="36" t="n">
        <f aca="false">SUMPRODUCT((Per_Clase="Directo")*INDEX(Dot_O,0,MIN(10,AY$17)))*(AY$15+AY$16*P_PreDir)</f>
        <v>0</v>
      </c>
      <c r="AZ51" s="36" t="n">
        <f aca="false">SUMPRODUCT((Per_Clase="Directo")*INDEX(Dot_O,0,MIN(10,AZ$17)))*(AZ$15+AZ$16*P_PreDir)</f>
        <v>0</v>
      </c>
      <c r="BA51" s="36" t="n">
        <f aca="false">SUMPRODUCT((Per_Clase="Directo")*INDEX(Dot_O,0,MIN(10,BA$17)))*(BA$15+BA$16*P_PreDir)</f>
        <v>0</v>
      </c>
      <c r="BB51" s="36" t="n">
        <f aca="false">SUMPRODUCT((Per_Clase="Directo")*INDEX(Dot_O,0,MIN(10,BB$17)))*(BB$15+BB$16*P_PreDir)</f>
        <v>0</v>
      </c>
      <c r="BC51" s="36" t="n">
        <f aca="false">SUMPRODUCT((Per_Clase="Directo")*INDEX(Dot_O,0,MIN(10,BC$17)))*(BC$15+BC$16*P_PreDir)</f>
        <v>0</v>
      </c>
      <c r="BD51" s="36" t="n">
        <f aca="false">SUMPRODUCT((Per_Clase="Directo")*INDEX(Dot_O,0,MIN(10,BD$17)))*(BD$15+BD$16*P_PreDir)</f>
        <v>0</v>
      </c>
      <c r="BE51" s="36" t="n">
        <f aca="false">SUMPRODUCT((Per_Clase="Directo")*INDEX(Dot_O,0,MIN(10,BE$17)))*(BE$15+BE$16*P_PreDir)</f>
        <v>0</v>
      </c>
      <c r="BF51" s="36" t="n">
        <f aca="false">SUMPRODUCT((Per_Clase="Directo")*INDEX(Dot_O,0,MIN(10,BF$17)))*(BF$15+BF$16*P_PreDir)</f>
        <v>0</v>
      </c>
      <c r="BG51" s="36" t="n">
        <f aca="false">SUMPRODUCT((Per_Clase="Directo")*INDEX(Dot_O,0,MIN(10,BG$17)))*(BG$15+BG$16*P_PreDir)</f>
        <v>0</v>
      </c>
      <c r="BH51" s="36" t="n">
        <f aca="false">SUMPRODUCT((Per_Clase="Directo")*INDEX(Dot_O,0,MIN(10,BH$17)))*(BH$15+BH$16*P_PreDir)</f>
        <v>0</v>
      </c>
      <c r="BI51" s="36" t="n">
        <f aca="false">SUMPRODUCT((Per_Clase="Directo")*INDEX(Dot_O,0,MIN(10,BI$17)))*(BI$15+BI$16*P_PreDir)</f>
        <v>0</v>
      </c>
      <c r="BJ51" s="36" t="n">
        <f aca="false">SUMPRODUCT((Per_Clase="Directo")*INDEX(Dot_O,0,MIN(10,BJ$17)))*(BJ$15+BJ$16*P_PreDir)</f>
        <v>0</v>
      </c>
      <c r="BK51" s="36" t="n">
        <f aca="false">SUMPRODUCT((Per_Clase="Directo")*INDEX(Dot_O,0,MIN(10,BK$17)))*(BK$15+BK$16*P_PreDir)</f>
        <v>0</v>
      </c>
      <c r="BL51" s="36" t="n">
        <f aca="false">SUMPRODUCT((Per_Clase="Directo")*INDEX(Dot_O,0,MIN(10,BL$17)))*(BL$15+BL$16*P_PreDir)</f>
        <v>0</v>
      </c>
      <c r="BM51" s="36" t="n">
        <f aca="false">SUMPRODUCT((Per_Clase="Directo")*INDEX(Dot_O,0,MIN(10,BM$17)))*(BM$15+BM$16*P_PreDir)</f>
        <v>0</v>
      </c>
      <c r="BN51" s="36" t="n">
        <f aca="false">SUMPRODUCT((Per_Clase="Directo")*INDEX(Dot_O,0,MIN(10,BN$17)))*(BN$15+BN$16*P_PreDir)</f>
        <v>0</v>
      </c>
      <c r="BO51" s="36" t="n">
        <f aca="false">SUMPRODUCT((Per_Clase="Directo")*INDEX(Dot_O,0,MIN(10,BO$17)))*(BO$15+BO$16*P_PreDir)</f>
        <v>0</v>
      </c>
      <c r="BP51" s="36" t="n">
        <f aca="false">SUMPRODUCT((Per_Clase="Directo")*INDEX(Dot_O,0,MIN(10,BP$17)))*(BP$15+BP$16*P_PreDir)</f>
        <v>0</v>
      </c>
      <c r="BQ51" s="36" t="n">
        <f aca="false">SUMPRODUCT((Per_Clase="Directo")*INDEX(Dot_O,0,MIN(10,BQ$17)))*(BQ$15+BQ$16*P_PreDir)</f>
        <v>0</v>
      </c>
      <c r="BR51" s="36" t="n">
        <f aca="false">SUMPRODUCT((Per_Clase="Directo")*INDEX(Dot_O,0,MIN(10,BR$17)))*(BR$15+BR$16*P_PreDir)</f>
        <v>0</v>
      </c>
      <c r="BS51" s="36" t="n">
        <f aca="false">SUMPRODUCT((Per_Clase="Directo")*INDEX(Dot_O,0,MIN(10,BS$17)))*(BS$15+BS$16*P_PreDir)</f>
        <v>0</v>
      </c>
      <c r="BT51" s="36" t="n">
        <f aca="false">SUMPRODUCT((Per_Clase="Directo")*INDEX(Dot_O,0,MIN(10,BT$17)))*(BT$15+BT$16*P_PreDir)</f>
        <v>0</v>
      </c>
      <c r="BU51" s="36" t="n">
        <f aca="false">SUMPRODUCT((Per_Clase="Directo")*INDEX(Dot_O,0,MIN(10,BU$17)))*(BU$15+BU$16*P_PreDir)</f>
        <v>0</v>
      </c>
      <c r="BV51" s="36" t="n">
        <f aca="false">SUMPRODUCT((Per_Clase="Directo")*INDEX(Dot_O,0,MIN(10,BV$17)))*(BV$15+BV$16*P_PreDir)</f>
        <v>0</v>
      </c>
      <c r="BW51" s="36" t="n">
        <f aca="false">SUMPRODUCT((Per_Clase="Directo")*INDEX(Dot_O,0,MIN(10,BW$17)))*(BW$15+BW$16*P_PreDir)</f>
        <v>0</v>
      </c>
      <c r="BX51" s="36" t="n">
        <f aca="false">SUMPRODUCT((Per_Clase="Directo")*INDEX(Dot_O,0,MIN(10,BX$17)))*(BX$15+BX$16*P_PreDir)</f>
        <v>0</v>
      </c>
      <c r="BY51" s="36" t="n">
        <f aca="false">SUMPRODUCT((Per_Clase="Directo")*INDEX(Dot_O,0,MIN(10,BY$17)))*(BY$15+BY$16*P_PreDir)</f>
        <v>0</v>
      </c>
      <c r="BZ51" s="36" t="n">
        <f aca="false">SUMPRODUCT((Per_Clase="Directo")*INDEX(Dot_O,0,MIN(10,BZ$17)))*(BZ$15+BZ$16*P_PreDir)</f>
        <v>0</v>
      </c>
      <c r="CA51" s="36" t="n">
        <f aca="false">SUMPRODUCT((Per_Clase="Directo")*INDEX(Dot_O,0,MIN(10,CA$17)))*(CA$15+CA$16*P_PreDir)</f>
        <v>0</v>
      </c>
      <c r="CB51" s="36" t="n">
        <f aca="false">SUMPRODUCT((Per_Clase="Directo")*INDEX(Dot_O,0,MIN(10,CB$17)))*(CB$15+CB$16*P_PreDir)</f>
        <v>0</v>
      </c>
      <c r="CC51" s="36" t="n">
        <f aca="false">SUMPRODUCT((Per_Clase="Directo")*INDEX(Dot_O,0,MIN(10,CC$17)))*(CC$15+CC$16*P_PreDir)</f>
        <v>0</v>
      </c>
      <c r="CD51" s="36" t="n">
        <f aca="false">SUMPRODUCT((Per_Clase="Directo")*INDEX(Dot_O,0,MIN(10,CD$17)))*(CD$15+CD$16*P_PreDir)</f>
        <v>0</v>
      </c>
      <c r="CE51" s="36" t="n">
        <f aca="false">SUMPRODUCT((Per_Clase="Directo")*INDEX(Dot_O,0,MIN(10,CE$17)))*(CE$15+CE$16*P_PreDir)</f>
        <v>0</v>
      </c>
      <c r="CF51" s="36" t="n">
        <f aca="false">SUMPRODUCT((Per_Clase="Directo")*INDEX(Dot_O,0,MIN(10,CF$17)))*(CF$15+CF$16*P_PreDir)</f>
        <v>0</v>
      </c>
      <c r="CG51" s="36" t="n">
        <f aca="false">SUMPRODUCT((Per_Clase="Directo")*INDEX(Dot_O,0,MIN(10,CG$17)))*(CG$15+CG$16*P_PreDir)</f>
        <v>0</v>
      </c>
      <c r="CH51" s="36" t="n">
        <f aca="false">SUMPRODUCT((Per_Clase="Directo")*INDEX(Dot_O,0,MIN(10,CH$17)))*(CH$15+CH$16*P_PreDir)</f>
        <v>0</v>
      </c>
      <c r="CI51" s="36" t="n">
        <f aca="false">SUMPRODUCT((Per_Clase="Directo")*INDEX(Dot_O,0,MIN(10,CI$17)))*(CI$15+CI$16*P_PreDir)</f>
        <v>0</v>
      </c>
      <c r="CJ51" s="36" t="n">
        <f aca="false">SUMPRODUCT((Per_Clase="Directo")*INDEX(Dot_O,0,MIN(10,CJ$17)))*(CJ$15+CJ$16*P_PreDir)</f>
        <v>0</v>
      </c>
      <c r="CK51" s="36" t="n">
        <f aca="false">SUMPRODUCT((Per_Clase="Directo")*INDEX(Dot_O,0,MIN(10,CK$17)))*(CK$15+CK$16*P_PreDir)</f>
        <v>0</v>
      </c>
      <c r="CL51" s="36" t="n">
        <f aca="false">SUMPRODUCT((Per_Clase="Directo")*INDEX(Dot_O,0,MIN(10,CL$17)))*(CL$15+CL$16*P_PreDir)</f>
        <v>0</v>
      </c>
      <c r="CM51" s="36" t="n">
        <f aca="false">SUMPRODUCT((Per_Clase="Directo")*INDEX(Dot_O,0,MIN(10,CM$17)))*(CM$15+CM$16*P_PreDir)</f>
        <v>0</v>
      </c>
      <c r="CN51" s="36" t="n">
        <f aca="false">SUMPRODUCT((Per_Clase="Directo")*INDEX(Dot_O,0,MIN(10,CN$17)))*(CN$15+CN$16*P_PreDir)</f>
        <v>0</v>
      </c>
      <c r="CO51" s="36" t="n">
        <f aca="false">SUMPRODUCT((Per_Clase="Directo")*INDEX(Dot_O,0,MIN(10,CO$17)))*(CO$15+CO$16*P_PreDir)</f>
        <v>0</v>
      </c>
      <c r="CP51" s="36" t="n">
        <f aca="false">SUMPRODUCT((Per_Clase="Directo")*INDEX(Dot_O,0,MIN(10,CP$17)))*(CP$15+CP$16*P_PreDir)</f>
        <v>0</v>
      </c>
      <c r="CQ51" s="36" t="n">
        <f aca="false">SUMPRODUCT((Per_Clase="Directo")*INDEX(Dot_O,0,MIN(10,CQ$17)))*(CQ$15+CQ$16*P_PreDir)</f>
        <v>0</v>
      </c>
      <c r="CR51" s="36" t="n">
        <f aca="false">SUMPRODUCT((Per_Clase="Directo")*INDEX(Dot_O,0,MIN(10,CR$17)))*(CR$15+CR$16*P_PreDir)</f>
        <v>0</v>
      </c>
      <c r="CS51" s="36" t="n">
        <f aca="false">SUMPRODUCT((Per_Clase="Directo")*INDEX(Dot_O,0,MIN(10,CS$17)))*(CS$15+CS$16*P_PreDir)</f>
        <v>0</v>
      </c>
      <c r="CT51" s="36" t="n">
        <f aca="false">SUMPRODUCT((Per_Clase="Directo")*INDEX(Dot_O,0,MIN(10,CT$17)))*(CT$15+CT$16*P_PreDir)</f>
        <v>0</v>
      </c>
      <c r="CU51" s="36" t="n">
        <f aca="false">SUMPRODUCT((Per_Clase="Directo")*INDEX(Dot_O,0,MIN(10,CU$17)))*(CU$15+CU$16*P_PreDir)</f>
        <v>0</v>
      </c>
      <c r="CV51" s="36" t="n">
        <f aca="false">SUMPRODUCT((Per_Clase="Directo")*INDEX(Dot_O,0,MIN(10,CV$17)))*(CV$15+CV$16*P_PreDir)</f>
        <v>0</v>
      </c>
      <c r="CW51" s="36" t="n">
        <f aca="false">SUMPRODUCT((Per_Clase="Directo")*INDEX(Dot_O,0,MIN(10,CW$17)))*(CW$15+CW$16*P_PreDir)</f>
        <v>0</v>
      </c>
      <c r="CX51" s="36" t="n">
        <f aca="false">SUMPRODUCT((Per_Clase="Directo")*INDEX(Dot_O,0,MIN(10,CX$17)))*(CX$15+CX$16*P_PreDir)</f>
        <v>0</v>
      </c>
      <c r="CY51" s="36" t="n">
        <f aca="false">SUMPRODUCT((Per_Clase="Directo")*INDEX(Dot_O,0,MIN(10,CY$17)))*(CY$15+CY$16*P_PreDir)</f>
        <v>0</v>
      </c>
      <c r="CZ51" s="36" t="n">
        <f aca="false">SUMPRODUCT((Per_Clase="Directo")*INDEX(Dot_O,0,MIN(10,CZ$17)))*(CZ$15+CZ$16*P_PreDir)</f>
        <v>0</v>
      </c>
      <c r="DA51" s="36" t="n">
        <f aca="false">SUMPRODUCT((Per_Clase="Directo")*INDEX(Dot_O,0,MIN(10,DA$17)))*(DA$15+DA$16*P_PreDir)</f>
        <v>0</v>
      </c>
      <c r="DB51" s="36" t="n">
        <f aca="false">SUMPRODUCT((Per_Clase="Directo")*INDEX(Dot_O,0,MIN(10,DB$17)))*(DB$15+DB$16*P_PreDir)</f>
        <v>0</v>
      </c>
      <c r="DC51" s="36" t="n">
        <f aca="false">SUMPRODUCT((Per_Clase="Directo")*INDEX(Dot_O,0,MIN(10,DC$17)))*(DC$15+DC$16*P_PreDir)</f>
        <v>0</v>
      </c>
      <c r="DD51" s="36" t="n">
        <f aca="false">SUMPRODUCT((Per_Clase="Directo")*INDEX(Dot_O,0,MIN(10,DD$17)))*(DD$15+DD$16*P_PreDir)</f>
        <v>0</v>
      </c>
      <c r="DE51" s="36" t="n">
        <f aca="false">SUMPRODUCT((Per_Clase="Directo")*INDEX(Dot_O,0,MIN(10,DE$17)))*(DE$15+DE$16*P_PreDir)</f>
        <v>0</v>
      </c>
      <c r="DF51" s="36" t="n">
        <f aca="false">SUMPRODUCT((Per_Clase="Directo")*INDEX(Dot_O,0,MIN(10,DF$17)))*(DF$15+DF$16*P_PreDir)</f>
        <v>0</v>
      </c>
      <c r="DG51" s="36" t="n">
        <f aca="false">SUMPRODUCT((Per_Clase="Directo")*INDEX(Dot_O,0,MIN(10,DG$17)))*(DG$15+DG$16*P_PreDir)</f>
        <v>0</v>
      </c>
      <c r="DH51" s="36" t="n">
        <f aca="false">SUMPRODUCT((Per_Clase="Directo")*INDEX(Dot_O,0,MIN(10,DH$17)))*(DH$15+DH$16*P_PreDir)</f>
        <v>0</v>
      </c>
      <c r="DI51" s="36" t="n">
        <f aca="false">SUMPRODUCT((Per_Clase="Directo")*INDEX(Dot_O,0,MIN(10,DI$17)))*(DI$15+DI$16*P_PreDir)</f>
        <v>0</v>
      </c>
      <c r="DJ51" s="36" t="n">
        <f aca="false">SUMPRODUCT((Per_Clase="Directo")*INDEX(Dot_O,0,MIN(10,DJ$17)))*(DJ$15+DJ$16*P_PreDir)</f>
        <v>0</v>
      </c>
      <c r="DK51" s="36" t="n">
        <f aca="false">SUMPRODUCT((Per_Clase="Directo")*INDEX(Dot_O,0,MIN(10,DK$17)))*(DK$15+DK$16*P_PreDir)</f>
        <v>0</v>
      </c>
      <c r="DL51" s="36" t="n">
        <f aca="false">SUMPRODUCT((Per_Clase="Directo")*INDEX(Dot_O,0,MIN(10,DL$17)))*(DL$15+DL$16*P_PreDir)</f>
        <v>0</v>
      </c>
      <c r="DM51" s="36" t="n">
        <f aca="false">SUMPRODUCT((Per_Clase="Directo")*INDEX(Dot_O,0,MIN(10,DM$17)))*(DM$15+DM$16*P_PreDir)</f>
        <v>0</v>
      </c>
      <c r="DN51" s="36" t="n">
        <f aca="false">SUMPRODUCT((Per_Clase="Directo")*INDEX(Dot_O,0,MIN(10,DN$17)))*(DN$15+DN$16*P_PreDir)</f>
        <v>0</v>
      </c>
      <c r="DO51" s="36" t="n">
        <f aca="false">SUMPRODUCT((Per_Clase="Directo")*INDEX(Dot_O,0,MIN(10,DO$17)))*(DO$15+DO$16*P_PreDir)</f>
        <v>0</v>
      </c>
      <c r="DP51" s="36" t="n">
        <f aca="false">SUMPRODUCT((Per_Clase="Directo")*INDEX(Dot_O,0,MIN(10,DP$17)))*(DP$15+DP$16*P_PreDir)</f>
        <v>0</v>
      </c>
      <c r="DQ51" s="36" t="n">
        <f aca="false">SUMPRODUCT((Per_Clase="Directo")*INDEX(Dot_O,0,MIN(10,DQ$17)))*(DQ$15+DQ$16*P_PreDir)</f>
        <v>0</v>
      </c>
      <c r="DR51" s="36" t="n">
        <f aca="false">SUMPRODUCT((Per_Clase="Directo")*INDEX(Dot_O,0,MIN(10,DR$17)))*(DR$15+DR$16*P_PreDir)</f>
        <v>0</v>
      </c>
      <c r="DS51" s="36" t="n">
        <f aca="false">SUMPRODUCT((Per_Clase="Directo")*INDEX(Dot_O,0,MIN(10,DS$17)))*(DS$15+DS$16*P_PreDir)</f>
        <v>0</v>
      </c>
      <c r="DT51" s="36" t="n">
        <f aca="false">SUMPRODUCT((Per_Clase="Directo")*INDEX(Dot_O,0,MIN(10,DT$17)))*(DT$15+DT$16*P_PreDir)</f>
        <v>0</v>
      </c>
      <c r="DU51" s="36" t="n">
        <f aca="false">SUMPRODUCT((Per_Clase="Directo")*INDEX(Dot_O,0,MIN(10,DU$17)))*(DU$15+DU$16*P_PreDir)</f>
        <v>0</v>
      </c>
      <c r="DV51" s="36" t="n">
        <f aca="false">SUMPRODUCT((Per_Clase="Directo")*INDEX(Dot_O,0,MIN(10,DV$17)))*(DV$15+DV$16*P_PreDir)</f>
        <v>0</v>
      </c>
      <c r="DW51" s="36" t="n">
        <f aca="false">SUMPRODUCT((Per_Clase="Directo")*INDEX(Dot_O,0,MIN(10,DW$17)))*(DW$15+DW$16*P_PreDir)</f>
        <v>0</v>
      </c>
      <c r="DX51" s="36" t="n">
        <f aca="false">SUMPRODUCT((Per_Clase="Directo")*INDEX(Dot_O,0,MIN(10,DX$17)))*(DX$15+DX$16*P_PreDir)</f>
        <v>0</v>
      </c>
      <c r="DY51" s="36" t="n">
        <f aca="false">SUMPRODUCT((Per_Clase="Directo")*INDEX(Dot_O,0,MIN(10,DY$17)))*(DY$15+DY$16*P_PreDir)</f>
        <v>0</v>
      </c>
      <c r="DZ51" s="36" t="n">
        <f aca="false">SUMPRODUCT((Per_Clase="Directo")*INDEX(Dot_O,0,MIN(10,DZ$17)))*(DZ$15+DZ$16*P_PreDir)</f>
        <v>0</v>
      </c>
      <c r="EA51" s="36" t="n">
        <f aca="false">SUMPRODUCT((Per_Clase="Directo")*INDEX(Dot_O,0,MIN(10,EA$17)))*(EA$15+EA$16*P_PreDir)</f>
        <v>0</v>
      </c>
      <c r="EB51" s="36" t="n">
        <f aca="false">SUMPRODUCT((Per_Clase="Directo")*INDEX(Dot_O,0,MIN(10,EB$17)))*(EB$15+EB$16*P_PreDir)</f>
        <v>0</v>
      </c>
      <c r="EC51" s="36" t="n">
        <f aca="false">SUMPRODUCT((Per_Clase="Directo")*INDEX(Dot_O,0,MIN(10,EC$17)))*(EC$15+EC$16*P_PreDir)</f>
        <v>0</v>
      </c>
      <c r="ED51" s="36" t="n">
        <f aca="false">SUMPRODUCT((Per_Clase="Directo")*INDEX(Dot_O,0,MIN(10,ED$17)))*(ED$15+ED$16*P_PreDir)</f>
        <v>0</v>
      </c>
      <c r="EE51" s="36" t="n">
        <f aca="false">SUMPRODUCT((Per_Clase="Directo")*INDEX(Dot_O,0,MIN(10,EE$17)))*(EE$15+EE$16*P_PreDir)</f>
        <v>0</v>
      </c>
      <c r="EF51" s="36" t="n">
        <f aca="false">SUMPRODUCT((Per_Clase="Directo")*INDEX(Dot_O,0,MIN(10,EF$17)))*(EF$15+EF$16*P_PreDir)</f>
        <v>0</v>
      </c>
      <c r="EG51" s="36" t="n">
        <f aca="false">SUMPRODUCT((Per_Clase="Directo")*INDEX(Dot_O,0,MIN(10,EG$17)))*(EG$15+EG$16*P_PreDir)</f>
        <v>0</v>
      </c>
      <c r="EH51" s="36" t="n">
        <f aca="false">SUMPRODUCT((Per_Clase="Directo")*INDEX(Dot_O,0,MIN(10,EH$17)))*(EH$15+EH$16*P_PreDir)</f>
        <v>0</v>
      </c>
      <c r="EI51" s="36" t="n">
        <f aca="false">SUMPRODUCT((Per_Clase="Directo")*INDEX(Dot_O,0,MIN(10,EI$17)))*(EI$15+EI$16*P_PreDir)</f>
        <v>0</v>
      </c>
      <c r="EJ51" s="36" t="n">
        <f aca="false">SUMPRODUCT((Per_Clase="Directo")*INDEX(Dot_O,0,MIN(10,EJ$17)))*(EJ$15+EJ$16*P_PreDir)</f>
        <v>0</v>
      </c>
      <c r="EK51" s="36" t="n">
        <f aca="false">SUMPRODUCT((Per_Clase="Directo")*INDEX(Dot_O,0,MIN(10,EK$17)))*(EK$15+EK$16*P_PreDir)</f>
        <v>0</v>
      </c>
      <c r="EL51" s="36" t="n">
        <f aca="false">SUMPRODUCT((Per_Clase="Directo")*INDEX(Dot_O,0,MIN(10,EL$17)))*(EL$15+EL$16*P_PreDir)</f>
        <v>0</v>
      </c>
      <c r="EM51" s="36" t="n">
        <f aca="false">SUMPRODUCT((Per_Clase="Directo")*INDEX(Dot_O,0,MIN(10,EM$17)))*(EM$15+EM$16*P_PreDir)</f>
        <v>0</v>
      </c>
      <c r="EN51" s="36" t="n">
        <f aca="false">SUMPRODUCT((Per_Clase="Directo")*INDEX(Dot_O,0,MIN(10,EN$17)))*(EN$15+EN$16*P_PreDir)</f>
        <v>0</v>
      </c>
      <c r="EO51" s="36" t="n">
        <f aca="false">SUMPRODUCT((Per_Clase="Directo")*INDEX(Dot_O,0,MIN(10,EO$17)))*(EO$15+EO$16*P_PreDir)</f>
        <v>0</v>
      </c>
      <c r="EP51" s="36" t="n">
        <f aca="false">SUMPRODUCT((Per_Clase="Directo")*INDEX(Dot_O,0,MIN(10,EP$17)))*(EP$15+EP$16*P_PreDir)</f>
        <v>0</v>
      </c>
      <c r="EQ51" s="36" t="n">
        <f aca="false">SUMPRODUCT((Per_Clase="Directo")*INDEX(Dot_O,0,MIN(10,EQ$17)))*(EQ$15+EQ$16*P_PreDir)</f>
        <v>0</v>
      </c>
      <c r="ER51" s="36" t="n">
        <f aca="false">SUMPRODUCT((Per_Clase="Directo")*INDEX(Dot_O,0,MIN(10,ER$17)))*(ER$15+ER$16*P_PreDir)</f>
        <v>0</v>
      </c>
      <c r="ES51" s="36" t="n">
        <f aca="false">SUMPRODUCT((Per_Clase="Directo")*INDEX(Dot_O,0,MIN(10,ES$17)))*(ES$15+ES$16*P_PreDir)</f>
        <v>0</v>
      </c>
    </row>
    <row r="52" customFormat="false" ht="15" hidden="false" customHeight="false" outlineLevel="0" collapsed="false">
      <c r="A52" s="2" t="s">
        <v>470</v>
      </c>
      <c r="B52" s="6" t="s">
        <v>471</v>
      </c>
      <c r="C52" s="6" t="s">
        <v>212</v>
      </c>
      <c r="E52" s="40" t="n">
        <f aca="false">SUM(F52:ES52)</f>
        <v>0</v>
      </c>
      <c r="F52" s="34" t="n">
        <f aca="false">SUMPRODUCT((Per_Clase="Directo")*Sal_O*INDEX(Dot_O,0,MIN(10,F$17))*((Per_Mon="PYG")*F$19+(Per_Mon&lt;&gt;"PYG")))*(F$15+F$16*P_PreDir)*INDEX(IdxSal_O,1,MIN(10,F$17))*(1+P_Cargas)+F$51*P_Alim*F$19</f>
        <v>0</v>
      </c>
      <c r="G52" s="34" t="n">
        <f aca="false">SUMPRODUCT((Per_Clase="Directo")*Sal_O*INDEX(Dot_O,0,MIN(10,G$17))*((Per_Mon="PYG")*G$19+(Per_Mon&lt;&gt;"PYG")))*(G$15+G$16*P_PreDir)*INDEX(IdxSal_O,1,MIN(10,G$17))*(1+P_Cargas)+G$51*P_Alim*G$19</f>
        <v>0</v>
      </c>
      <c r="H52" s="34" t="n">
        <f aca="false">SUMPRODUCT((Per_Clase="Directo")*Sal_O*INDEX(Dot_O,0,MIN(10,H$17))*((Per_Mon="PYG")*H$19+(Per_Mon&lt;&gt;"PYG")))*(H$15+H$16*P_PreDir)*INDEX(IdxSal_O,1,MIN(10,H$17))*(1+P_Cargas)+H$51*P_Alim*H$19</f>
        <v>0</v>
      </c>
      <c r="I52" s="34" t="n">
        <f aca="false">SUMPRODUCT((Per_Clase="Directo")*Sal_O*INDEX(Dot_O,0,MIN(10,I$17))*((Per_Mon="PYG")*I$19+(Per_Mon&lt;&gt;"PYG")))*(I$15+I$16*P_PreDir)*INDEX(IdxSal_O,1,MIN(10,I$17))*(1+P_Cargas)+I$51*P_Alim*I$19</f>
        <v>0</v>
      </c>
      <c r="J52" s="34" t="n">
        <f aca="false">SUMPRODUCT((Per_Clase="Directo")*Sal_O*INDEX(Dot_O,0,MIN(10,J$17))*((Per_Mon="PYG")*J$19+(Per_Mon&lt;&gt;"PYG")))*(J$15+J$16*P_PreDir)*INDEX(IdxSal_O,1,MIN(10,J$17))*(1+P_Cargas)+J$51*P_Alim*J$19</f>
        <v>0</v>
      </c>
      <c r="K52" s="34" t="n">
        <f aca="false">SUMPRODUCT((Per_Clase="Directo")*Sal_O*INDEX(Dot_O,0,MIN(10,K$17))*((Per_Mon="PYG")*K$19+(Per_Mon&lt;&gt;"PYG")))*(K$15+K$16*P_PreDir)*INDEX(IdxSal_O,1,MIN(10,K$17))*(1+P_Cargas)+K$51*P_Alim*K$19</f>
        <v>0</v>
      </c>
      <c r="L52" s="34" t="n">
        <f aca="false">SUMPRODUCT((Per_Clase="Directo")*Sal_O*INDEX(Dot_O,0,MIN(10,L$17))*((Per_Mon="PYG")*L$19+(Per_Mon&lt;&gt;"PYG")))*(L$15+L$16*P_PreDir)*INDEX(IdxSal_O,1,MIN(10,L$17))*(1+P_Cargas)+L$51*P_Alim*L$19</f>
        <v>0</v>
      </c>
      <c r="M52" s="34" t="n">
        <f aca="false">SUMPRODUCT((Per_Clase="Directo")*Sal_O*INDEX(Dot_O,0,MIN(10,M$17))*((Per_Mon="PYG")*M$19+(Per_Mon&lt;&gt;"PYG")))*(M$15+M$16*P_PreDir)*INDEX(IdxSal_O,1,MIN(10,M$17))*(1+P_Cargas)+M$51*P_Alim*M$19</f>
        <v>0</v>
      </c>
      <c r="N52" s="34" t="n">
        <f aca="false">SUMPRODUCT((Per_Clase="Directo")*Sal_O*INDEX(Dot_O,0,MIN(10,N$17))*((Per_Mon="PYG")*N$19+(Per_Mon&lt;&gt;"PYG")))*(N$15+N$16*P_PreDir)*INDEX(IdxSal_O,1,MIN(10,N$17))*(1+P_Cargas)+N$51*P_Alim*N$19</f>
        <v>0</v>
      </c>
      <c r="O52" s="34" t="n">
        <f aca="false">SUMPRODUCT((Per_Clase="Directo")*Sal_O*INDEX(Dot_O,0,MIN(10,O$17))*((Per_Mon="PYG")*O$19+(Per_Mon&lt;&gt;"PYG")))*(O$15+O$16*P_PreDir)*INDEX(IdxSal_O,1,MIN(10,O$17))*(1+P_Cargas)+O$51*P_Alim*O$19</f>
        <v>0</v>
      </c>
      <c r="P52" s="34" t="n">
        <f aca="false">SUMPRODUCT((Per_Clase="Directo")*Sal_O*INDEX(Dot_O,0,MIN(10,P$17))*((Per_Mon="PYG")*P$19+(Per_Mon&lt;&gt;"PYG")))*(P$15+P$16*P_PreDir)*INDEX(IdxSal_O,1,MIN(10,P$17))*(1+P_Cargas)+P$51*P_Alim*P$19</f>
        <v>0</v>
      </c>
      <c r="Q52" s="34" t="n">
        <f aca="false">SUMPRODUCT((Per_Clase="Directo")*Sal_O*INDEX(Dot_O,0,MIN(10,Q$17))*((Per_Mon="PYG")*Q$19+(Per_Mon&lt;&gt;"PYG")))*(Q$15+Q$16*P_PreDir)*INDEX(IdxSal_O,1,MIN(10,Q$17))*(1+P_Cargas)+Q$51*P_Alim*Q$19</f>
        <v>0</v>
      </c>
      <c r="R52" s="34" t="n">
        <f aca="false">SUMPRODUCT((Per_Clase="Directo")*Sal_O*INDEX(Dot_O,0,MIN(10,R$17))*((Per_Mon="PYG")*R$19+(Per_Mon&lt;&gt;"PYG")))*(R$15+R$16*P_PreDir)*INDEX(IdxSal_O,1,MIN(10,R$17))*(1+P_Cargas)+R$51*P_Alim*R$19</f>
        <v>0</v>
      </c>
      <c r="S52" s="34" t="n">
        <f aca="false">SUMPRODUCT((Per_Clase="Directo")*Sal_O*INDEX(Dot_O,0,MIN(10,S$17))*((Per_Mon="PYG")*S$19+(Per_Mon&lt;&gt;"PYG")))*(S$15+S$16*P_PreDir)*INDEX(IdxSal_O,1,MIN(10,S$17))*(1+P_Cargas)+S$51*P_Alim*S$19</f>
        <v>0</v>
      </c>
      <c r="T52" s="34" t="n">
        <f aca="false">SUMPRODUCT((Per_Clase="Directo")*Sal_O*INDEX(Dot_O,0,MIN(10,T$17))*((Per_Mon="PYG")*T$19+(Per_Mon&lt;&gt;"PYG")))*(T$15+T$16*P_PreDir)*INDEX(IdxSal_O,1,MIN(10,T$17))*(1+P_Cargas)+T$51*P_Alim*T$19</f>
        <v>0</v>
      </c>
      <c r="U52" s="34" t="n">
        <f aca="false">SUMPRODUCT((Per_Clase="Directo")*Sal_O*INDEX(Dot_O,0,MIN(10,U$17))*((Per_Mon="PYG")*U$19+(Per_Mon&lt;&gt;"PYG")))*(U$15+U$16*P_PreDir)*INDEX(IdxSal_O,1,MIN(10,U$17))*(1+P_Cargas)+U$51*P_Alim*U$19</f>
        <v>0</v>
      </c>
      <c r="V52" s="34" t="n">
        <f aca="false">SUMPRODUCT((Per_Clase="Directo")*Sal_O*INDEX(Dot_O,0,MIN(10,V$17))*((Per_Mon="PYG")*V$19+(Per_Mon&lt;&gt;"PYG")))*(V$15+V$16*P_PreDir)*INDEX(IdxSal_O,1,MIN(10,V$17))*(1+P_Cargas)+V$51*P_Alim*V$19</f>
        <v>0</v>
      </c>
      <c r="W52" s="34" t="n">
        <f aca="false">SUMPRODUCT((Per_Clase="Directo")*Sal_O*INDEX(Dot_O,0,MIN(10,W$17))*((Per_Mon="PYG")*W$19+(Per_Mon&lt;&gt;"PYG")))*(W$15+W$16*P_PreDir)*INDEX(IdxSal_O,1,MIN(10,W$17))*(1+P_Cargas)+W$51*P_Alim*W$19</f>
        <v>0</v>
      </c>
      <c r="X52" s="34" t="n">
        <f aca="false">SUMPRODUCT((Per_Clase="Directo")*Sal_O*INDEX(Dot_O,0,MIN(10,X$17))*((Per_Mon="PYG")*X$19+(Per_Mon&lt;&gt;"PYG")))*(X$15+X$16*P_PreDir)*INDEX(IdxSal_O,1,MIN(10,X$17))*(1+P_Cargas)+X$51*P_Alim*X$19</f>
        <v>0</v>
      </c>
      <c r="Y52" s="34" t="n">
        <f aca="false">SUMPRODUCT((Per_Clase="Directo")*Sal_O*INDEX(Dot_O,0,MIN(10,Y$17))*((Per_Mon="PYG")*Y$19+(Per_Mon&lt;&gt;"PYG")))*(Y$15+Y$16*P_PreDir)*INDEX(IdxSal_O,1,MIN(10,Y$17))*(1+P_Cargas)+Y$51*P_Alim*Y$19</f>
        <v>0</v>
      </c>
      <c r="Z52" s="34" t="n">
        <f aca="false">SUMPRODUCT((Per_Clase="Directo")*Sal_O*INDEX(Dot_O,0,MIN(10,Z$17))*((Per_Mon="PYG")*Z$19+(Per_Mon&lt;&gt;"PYG")))*(Z$15+Z$16*P_PreDir)*INDEX(IdxSal_O,1,MIN(10,Z$17))*(1+P_Cargas)+Z$51*P_Alim*Z$19</f>
        <v>0</v>
      </c>
      <c r="AA52" s="34" t="n">
        <f aca="false">SUMPRODUCT((Per_Clase="Directo")*Sal_O*INDEX(Dot_O,0,MIN(10,AA$17))*((Per_Mon="PYG")*AA$19+(Per_Mon&lt;&gt;"PYG")))*(AA$15+AA$16*P_PreDir)*INDEX(IdxSal_O,1,MIN(10,AA$17))*(1+P_Cargas)+AA$51*P_Alim*AA$19</f>
        <v>0</v>
      </c>
      <c r="AB52" s="34" t="n">
        <f aca="false">SUMPRODUCT((Per_Clase="Directo")*Sal_O*INDEX(Dot_O,0,MIN(10,AB$17))*((Per_Mon="PYG")*AB$19+(Per_Mon&lt;&gt;"PYG")))*(AB$15+AB$16*P_PreDir)*INDEX(IdxSal_O,1,MIN(10,AB$17))*(1+P_Cargas)+AB$51*P_Alim*AB$19</f>
        <v>0</v>
      </c>
      <c r="AC52" s="34" t="n">
        <f aca="false">SUMPRODUCT((Per_Clase="Directo")*Sal_O*INDEX(Dot_O,0,MIN(10,AC$17))*((Per_Mon="PYG")*AC$19+(Per_Mon&lt;&gt;"PYG")))*(AC$15+AC$16*P_PreDir)*INDEX(IdxSal_O,1,MIN(10,AC$17))*(1+P_Cargas)+AC$51*P_Alim*AC$19</f>
        <v>0</v>
      </c>
      <c r="AD52" s="34" t="n">
        <f aca="false">SUMPRODUCT((Per_Clase="Directo")*Sal_O*INDEX(Dot_O,0,MIN(10,AD$17))*((Per_Mon="PYG")*AD$19+(Per_Mon&lt;&gt;"PYG")))*(AD$15+AD$16*P_PreDir)*INDEX(IdxSal_O,1,MIN(10,AD$17))*(1+P_Cargas)+AD$51*P_Alim*AD$19</f>
        <v>0</v>
      </c>
      <c r="AE52" s="34" t="n">
        <f aca="false">SUMPRODUCT((Per_Clase="Directo")*Sal_O*INDEX(Dot_O,0,MIN(10,AE$17))*((Per_Mon="PYG")*AE$19+(Per_Mon&lt;&gt;"PYG")))*(AE$15+AE$16*P_PreDir)*INDEX(IdxSal_O,1,MIN(10,AE$17))*(1+P_Cargas)+AE$51*P_Alim*AE$19</f>
        <v>0</v>
      </c>
      <c r="AF52" s="34" t="n">
        <f aca="false">SUMPRODUCT((Per_Clase="Directo")*Sal_O*INDEX(Dot_O,0,MIN(10,AF$17))*((Per_Mon="PYG")*AF$19+(Per_Mon&lt;&gt;"PYG")))*(AF$15+AF$16*P_PreDir)*INDEX(IdxSal_O,1,MIN(10,AF$17))*(1+P_Cargas)+AF$51*P_Alim*AF$19</f>
        <v>0</v>
      </c>
      <c r="AG52" s="34" t="n">
        <f aca="false">SUMPRODUCT((Per_Clase="Directo")*Sal_O*INDEX(Dot_O,0,MIN(10,AG$17))*((Per_Mon="PYG")*AG$19+(Per_Mon&lt;&gt;"PYG")))*(AG$15+AG$16*P_PreDir)*INDEX(IdxSal_O,1,MIN(10,AG$17))*(1+P_Cargas)+AG$51*P_Alim*AG$19</f>
        <v>0</v>
      </c>
      <c r="AH52" s="34" t="n">
        <f aca="false">SUMPRODUCT((Per_Clase="Directo")*Sal_O*INDEX(Dot_O,0,MIN(10,AH$17))*((Per_Mon="PYG")*AH$19+(Per_Mon&lt;&gt;"PYG")))*(AH$15+AH$16*P_PreDir)*INDEX(IdxSal_O,1,MIN(10,AH$17))*(1+P_Cargas)+AH$51*P_Alim*AH$19</f>
        <v>0</v>
      </c>
      <c r="AI52" s="34" t="n">
        <f aca="false">SUMPRODUCT((Per_Clase="Directo")*Sal_O*INDEX(Dot_O,0,MIN(10,AI$17))*((Per_Mon="PYG")*AI$19+(Per_Mon&lt;&gt;"PYG")))*(AI$15+AI$16*P_PreDir)*INDEX(IdxSal_O,1,MIN(10,AI$17))*(1+P_Cargas)+AI$51*P_Alim*AI$19</f>
        <v>0</v>
      </c>
      <c r="AJ52" s="34" t="n">
        <f aca="false">SUMPRODUCT((Per_Clase="Directo")*Sal_O*INDEX(Dot_O,0,MIN(10,AJ$17))*((Per_Mon="PYG")*AJ$19+(Per_Mon&lt;&gt;"PYG")))*(AJ$15+AJ$16*P_PreDir)*INDEX(IdxSal_O,1,MIN(10,AJ$17))*(1+P_Cargas)+AJ$51*P_Alim*AJ$19</f>
        <v>0</v>
      </c>
      <c r="AK52" s="34" t="n">
        <f aca="false">SUMPRODUCT((Per_Clase="Directo")*Sal_O*INDEX(Dot_O,0,MIN(10,AK$17))*((Per_Mon="PYG")*AK$19+(Per_Mon&lt;&gt;"PYG")))*(AK$15+AK$16*P_PreDir)*INDEX(IdxSal_O,1,MIN(10,AK$17))*(1+P_Cargas)+AK$51*P_Alim*AK$19</f>
        <v>0</v>
      </c>
      <c r="AL52" s="34" t="n">
        <f aca="false">SUMPRODUCT((Per_Clase="Directo")*Sal_O*INDEX(Dot_O,0,MIN(10,AL$17))*((Per_Mon="PYG")*AL$19+(Per_Mon&lt;&gt;"PYG")))*(AL$15+AL$16*P_PreDir)*INDEX(IdxSal_O,1,MIN(10,AL$17))*(1+P_Cargas)+AL$51*P_Alim*AL$19</f>
        <v>0</v>
      </c>
      <c r="AM52" s="34" t="n">
        <f aca="false">SUMPRODUCT((Per_Clase="Directo")*Sal_O*INDEX(Dot_O,0,MIN(10,AM$17))*((Per_Mon="PYG")*AM$19+(Per_Mon&lt;&gt;"PYG")))*(AM$15+AM$16*P_PreDir)*INDEX(IdxSal_O,1,MIN(10,AM$17))*(1+P_Cargas)+AM$51*P_Alim*AM$19</f>
        <v>0</v>
      </c>
      <c r="AN52" s="34" t="n">
        <f aca="false">SUMPRODUCT((Per_Clase="Directo")*Sal_O*INDEX(Dot_O,0,MIN(10,AN$17))*((Per_Mon="PYG")*AN$19+(Per_Mon&lt;&gt;"PYG")))*(AN$15+AN$16*P_PreDir)*INDEX(IdxSal_O,1,MIN(10,AN$17))*(1+P_Cargas)+AN$51*P_Alim*AN$19</f>
        <v>0</v>
      </c>
      <c r="AO52" s="34" t="n">
        <f aca="false">SUMPRODUCT((Per_Clase="Directo")*Sal_O*INDEX(Dot_O,0,MIN(10,AO$17))*((Per_Mon="PYG")*AO$19+(Per_Mon&lt;&gt;"PYG")))*(AO$15+AO$16*P_PreDir)*INDEX(IdxSal_O,1,MIN(10,AO$17))*(1+P_Cargas)+AO$51*P_Alim*AO$19</f>
        <v>0</v>
      </c>
      <c r="AP52" s="34" t="n">
        <f aca="false">SUMPRODUCT((Per_Clase="Directo")*Sal_O*INDEX(Dot_O,0,MIN(10,AP$17))*((Per_Mon="PYG")*AP$19+(Per_Mon&lt;&gt;"PYG")))*(AP$15+AP$16*P_PreDir)*INDEX(IdxSal_O,1,MIN(10,AP$17))*(1+P_Cargas)+AP$51*P_Alim*AP$19</f>
        <v>0</v>
      </c>
      <c r="AQ52" s="34" t="n">
        <f aca="false">SUMPRODUCT((Per_Clase="Directo")*Sal_O*INDEX(Dot_O,0,MIN(10,AQ$17))*((Per_Mon="PYG")*AQ$19+(Per_Mon&lt;&gt;"PYG")))*(AQ$15+AQ$16*P_PreDir)*INDEX(IdxSal_O,1,MIN(10,AQ$17))*(1+P_Cargas)+AQ$51*P_Alim*AQ$19</f>
        <v>0</v>
      </c>
      <c r="AR52" s="34" t="n">
        <f aca="false">SUMPRODUCT((Per_Clase="Directo")*Sal_O*INDEX(Dot_O,0,MIN(10,AR$17))*((Per_Mon="PYG")*AR$19+(Per_Mon&lt;&gt;"PYG")))*(AR$15+AR$16*P_PreDir)*INDEX(IdxSal_O,1,MIN(10,AR$17))*(1+P_Cargas)+AR$51*P_Alim*AR$19</f>
        <v>0</v>
      </c>
      <c r="AS52" s="34" t="n">
        <f aca="false">SUMPRODUCT((Per_Clase="Directo")*Sal_O*INDEX(Dot_O,0,MIN(10,AS$17))*((Per_Mon="PYG")*AS$19+(Per_Mon&lt;&gt;"PYG")))*(AS$15+AS$16*P_PreDir)*INDEX(IdxSal_O,1,MIN(10,AS$17))*(1+P_Cargas)+AS$51*P_Alim*AS$19</f>
        <v>0</v>
      </c>
      <c r="AT52" s="34" t="n">
        <f aca="false">SUMPRODUCT((Per_Clase="Directo")*Sal_O*INDEX(Dot_O,0,MIN(10,AT$17))*((Per_Mon="PYG")*AT$19+(Per_Mon&lt;&gt;"PYG")))*(AT$15+AT$16*P_PreDir)*INDEX(IdxSal_O,1,MIN(10,AT$17))*(1+P_Cargas)+AT$51*P_Alim*AT$19</f>
        <v>0</v>
      </c>
      <c r="AU52" s="34" t="n">
        <f aca="false">SUMPRODUCT((Per_Clase="Directo")*Sal_O*INDEX(Dot_O,0,MIN(10,AU$17))*((Per_Mon="PYG")*AU$19+(Per_Mon&lt;&gt;"PYG")))*(AU$15+AU$16*P_PreDir)*INDEX(IdxSal_O,1,MIN(10,AU$17))*(1+P_Cargas)+AU$51*P_Alim*AU$19</f>
        <v>0</v>
      </c>
      <c r="AV52" s="34" t="n">
        <f aca="false">SUMPRODUCT((Per_Clase="Directo")*Sal_O*INDEX(Dot_O,0,MIN(10,AV$17))*((Per_Mon="PYG")*AV$19+(Per_Mon&lt;&gt;"PYG")))*(AV$15+AV$16*P_PreDir)*INDEX(IdxSal_O,1,MIN(10,AV$17))*(1+P_Cargas)+AV$51*P_Alim*AV$19</f>
        <v>0</v>
      </c>
      <c r="AW52" s="34" t="n">
        <f aca="false">SUMPRODUCT((Per_Clase="Directo")*Sal_O*INDEX(Dot_O,0,MIN(10,AW$17))*((Per_Mon="PYG")*AW$19+(Per_Mon&lt;&gt;"PYG")))*(AW$15+AW$16*P_PreDir)*INDEX(IdxSal_O,1,MIN(10,AW$17))*(1+P_Cargas)+AW$51*P_Alim*AW$19</f>
        <v>0</v>
      </c>
      <c r="AX52" s="34" t="n">
        <f aca="false">SUMPRODUCT((Per_Clase="Directo")*Sal_O*INDEX(Dot_O,0,MIN(10,AX$17))*((Per_Mon="PYG")*AX$19+(Per_Mon&lt;&gt;"PYG")))*(AX$15+AX$16*P_PreDir)*INDEX(IdxSal_O,1,MIN(10,AX$17))*(1+P_Cargas)+AX$51*P_Alim*AX$19</f>
        <v>0</v>
      </c>
      <c r="AY52" s="34" t="n">
        <f aca="false">SUMPRODUCT((Per_Clase="Directo")*Sal_O*INDEX(Dot_O,0,MIN(10,AY$17))*((Per_Mon="PYG")*AY$19+(Per_Mon&lt;&gt;"PYG")))*(AY$15+AY$16*P_PreDir)*INDEX(IdxSal_O,1,MIN(10,AY$17))*(1+P_Cargas)+AY$51*P_Alim*AY$19</f>
        <v>0</v>
      </c>
      <c r="AZ52" s="34" t="n">
        <f aca="false">SUMPRODUCT((Per_Clase="Directo")*Sal_O*INDEX(Dot_O,0,MIN(10,AZ$17))*((Per_Mon="PYG")*AZ$19+(Per_Mon&lt;&gt;"PYG")))*(AZ$15+AZ$16*P_PreDir)*INDEX(IdxSal_O,1,MIN(10,AZ$17))*(1+P_Cargas)+AZ$51*P_Alim*AZ$19</f>
        <v>0</v>
      </c>
      <c r="BA52" s="34" t="n">
        <f aca="false">SUMPRODUCT((Per_Clase="Directo")*Sal_O*INDEX(Dot_O,0,MIN(10,BA$17))*((Per_Mon="PYG")*BA$19+(Per_Mon&lt;&gt;"PYG")))*(BA$15+BA$16*P_PreDir)*INDEX(IdxSal_O,1,MIN(10,BA$17))*(1+P_Cargas)+BA$51*P_Alim*BA$19</f>
        <v>0</v>
      </c>
      <c r="BB52" s="34" t="n">
        <f aca="false">SUMPRODUCT((Per_Clase="Directo")*Sal_O*INDEX(Dot_O,0,MIN(10,BB$17))*((Per_Mon="PYG")*BB$19+(Per_Mon&lt;&gt;"PYG")))*(BB$15+BB$16*P_PreDir)*INDEX(IdxSal_O,1,MIN(10,BB$17))*(1+P_Cargas)+BB$51*P_Alim*BB$19</f>
        <v>0</v>
      </c>
      <c r="BC52" s="34" t="n">
        <f aca="false">SUMPRODUCT((Per_Clase="Directo")*Sal_O*INDEX(Dot_O,0,MIN(10,BC$17))*((Per_Mon="PYG")*BC$19+(Per_Mon&lt;&gt;"PYG")))*(BC$15+BC$16*P_PreDir)*INDEX(IdxSal_O,1,MIN(10,BC$17))*(1+P_Cargas)+BC$51*P_Alim*BC$19</f>
        <v>0</v>
      </c>
      <c r="BD52" s="34" t="n">
        <f aca="false">SUMPRODUCT((Per_Clase="Directo")*Sal_O*INDEX(Dot_O,0,MIN(10,BD$17))*((Per_Mon="PYG")*BD$19+(Per_Mon&lt;&gt;"PYG")))*(BD$15+BD$16*P_PreDir)*INDEX(IdxSal_O,1,MIN(10,BD$17))*(1+P_Cargas)+BD$51*P_Alim*BD$19</f>
        <v>0</v>
      </c>
      <c r="BE52" s="34" t="n">
        <f aca="false">SUMPRODUCT((Per_Clase="Directo")*Sal_O*INDEX(Dot_O,0,MIN(10,BE$17))*((Per_Mon="PYG")*BE$19+(Per_Mon&lt;&gt;"PYG")))*(BE$15+BE$16*P_PreDir)*INDEX(IdxSal_O,1,MIN(10,BE$17))*(1+P_Cargas)+BE$51*P_Alim*BE$19</f>
        <v>0</v>
      </c>
      <c r="BF52" s="34" t="n">
        <f aca="false">SUMPRODUCT((Per_Clase="Directo")*Sal_O*INDEX(Dot_O,0,MIN(10,BF$17))*((Per_Mon="PYG")*BF$19+(Per_Mon&lt;&gt;"PYG")))*(BF$15+BF$16*P_PreDir)*INDEX(IdxSal_O,1,MIN(10,BF$17))*(1+P_Cargas)+BF$51*P_Alim*BF$19</f>
        <v>0</v>
      </c>
      <c r="BG52" s="34" t="n">
        <f aca="false">SUMPRODUCT((Per_Clase="Directo")*Sal_O*INDEX(Dot_O,0,MIN(10,BG$17))*((Per_Mon="PYG")*BG$19+(Per_Mon&lt;&gt;"PYG")))*(BG$15+BG$16*P_PreDir)*INDEX(IdxSal_O,1,MIN(10,BG$17))*(1+P_Cargas)+BG$51*P_Alim*BG$19</f>
        <v>0</v>
      </c>
      <c r="BH52" s="34" t="n">
        <f aca="false">SUMPRODUCT((Per_Clase="Directo")*Sal_O*INDEX(Dot_O,0,MIN(10,BH$17))*((Per_Mon="PYG")*BH$19+(Per_Mon&lt;&gt;"PYG")))*(BH$15+BH$16*P_PreDir)*INDEX(IdxSal_O,1,MIN(10,BH$17))*(1+P_Cargas)+BH$51*P_Alim*BH$19</f>
        <v>0</v>
      </c>
      <c r="BI52" s="34" t="n">
        <f aca="false">SUMPRODUCT((Per_Clase="Directo")*Sal_O*INDEX(Dot_O,0,MIN(10,BI$17))*((Per_Mon="PYG")*BI$19+(Per_Mon&lt;&gt;"PYG")))*(BI$15+BI$16*P_PreDir)*INDEX(IdxSal_O,1,MIN(10,BI$17))*(1+P_Cargas)+BI$51*P_Alim*BI$19</f>
        <v>0</v>
      </c>
      <c r="BJ52" s="34" t="n">
        <f aca="false">SUMPRODUCT((Per_Clase="Directo")*Sal_O*INDEX(Dot_O,0,MIN(10,BJ$17))*((Per_Mon="PYG")*BJ$19+(Per_Mon&lt;&gt;"PYG")))*(BJ$15+BJ$16*P_PreDir)*INDEX(IdxSal_O,1,MIN(10,BJ$17))*(1+P_Cargas)+BJ$51*P_Alim*BJ$19</f>
        <v>0</v>
      </c>
      <c r="BK52" s="34" t="n">
        <f aca="false">SUMPRODUCT((Per_Clase="Directo")*Sal_O*INDEX(Dot_O,0,MIN(10,BK$17))*((Per_Mon="PYG")*BK$19+(Per_Mon&lt;&gt;"PYG")))*(BK$15+BK$16*P_PreDir)*INDEX(IdxSal_O,1,MIN(10,BK$17))*(1+P_Cargas)+BK$51*P_Alim*BK$19</f>
        <v>0</v>
      </c>
      <c r="BL52" s="34" t="n">
        <f aca="false">SUMPRODUCT((Per_Clase="Directo")*Sal_O*INDEX(Dot_O,0,MIN(10,BL$17))*((Per_Mon="PYG")*BL$19+(Per_Mon&lt;&gt;"PYG")))*(BL$15+BL$16*P_PreDir)*INDEX(IdxSal_O,1,MIN(10,BL$17))*(1+P_Cargas)+BL$51*P_Alim*BL$19</f>
        <v>0</v>
      </c>
      <c r="BM52" s="34" t="n">
        <f aca="false">SUMPRODUCT((Per_Clase="Directo")*Sal_O*INDEX(Dot_O,0,MIN(10,BM$17))*((Per_Mon="PYG")*BM$19+(Per_Mon&lt;&gt;"PYG")))*(BM$15+BM$16*P_PreDir)*INDEX(IdxSal_O,1,MIN(10,BM$17))*(1+P_Cargas)+BM$51*P_Alim*BM$19</f>
        <v>0</v>
      </c>
      <c r="BN52" s="34" t="n">
        <f aca="false">SUMPRODUCT((Per_Clase="Directo")*Sal_O*INDEX(Dot_O,0,MIN(10,BN$17))*((Per_Mon="PYG")*BN$19+(Per_Mon&lt;&gt;"PYG")))*(BN$15+BN$16*P_PreDir)*INDEX(IdxSal_O,1,MIN(10,BN$17))*(1+P_Cargas)+BN$51*P_Alim*BN$19</f>
        <v>0</v>
      </c>
      <c r="BO52" s="34" t="n">
        <f aca="false">SUMPRODUCT((Per_Clase="Directo")*Sal_O*INDEX(Dot_O,0,MIN(10,BO$17))*((Per_Mon="PYG")*BO$19+(Per_Mon&lt;&gt;"PYG")))*(BO$15+BO$16*P_PreDir)*INDEX(IdxSal_O,1,MIN(10,BO$17))*(1+P_Cargas)+BO$51*P_Alim*BO$19</f>
        <v>0</v>
      </c>
      <c r="BP52" s="34" t="n">
        <f aca="false">SUMPRODUCT((Per_Clase="Directo")*Sal_O*INDEX(Dot_O,0,MIN(10,BP$17))*((Per_Mon="PYG")*BP$19+(Per_Mon&lt;&gt;"PYG")))*(BP$15+BP$16*P_PreDir)*INDEX(IdxSal_O,1,MIN(10,BP$17))*(1+P_Cargas)+BP$51*P_Alim*BP$19</f>
        <v>0</v>
      </c>
      <c r="BQ52" s="34" t="n">
        <f aca="false">SUMPRODUCT((Per_Clase="Directo")*Sal_O*INDEX(Dot_O,0,MIN(10,BQ$17))*((Per_Mon="PYG")*BQ$19+(Per_Mon&lt;&gt;"PYG")))*(BQ$15+BQ$16*P_PreDir)*INDEX(IdxSal_O,1,MIN(10,BQ$17))*(1+P_Cargas)+BQ$51*P_Alim*BQ$19</f>
        <v>0</v>
      </c>
      <c r="BR52" s="34" t="n">
        <f aca="false">SUMPRODUCT((Per_Clase="Directo")*Sal_O*INDEX(Dot_O,0,MIN(10,BR$17))*((Per_Mon="PYG")*BR$19+(Per_Mon&lt;&gt;"PYG")))*(BR$15+BR$16*P_PreDir)*INDEX(IdxSal_O,1,MIN(10,BR$17))*(1+P_Cargas)+BR$51*P_Alim*BR$19</f>
        <v>0</v>
      </c>
      <c r="BS52" s="34" t="n">
        <f aca="false">SUMPRODUCT((Per_Clase="Directo")*Sal_O*INDEX(Dot_O,0,MIN(10,BS$17))*((Per_Mon="PYG")*BS$19+(Per_Mon&lt;&gt;"PYG")))*(BS$15+BS$16*P_PreDir)*INDEX(IdxSal_O,1,MIN(10,BS$17))*(1+P_Cargas)+BS$51*P_Alim*BS$19</f>
        <v>0</v>
      </c>
      <c r="BT52" s="34" t="n">
        <f aca="false">SUMPRODUCT((Per_Clase="Directo")*Sal_O*INDEX(Dot_O,0,MIN(10,BT$17))*((Per_Mon="PYG")*BT$19+(Per_Mon&lt;&gt;"PYG")))*(BT$15+BT$16*P_PreDir)*INDEX(IdxSal_O,1,MIN(10,BT$17))*(1+P_Cargas)+BT$51*P_Alim*BT$19</f>
        <v>0</v>
      </c>
      <c r="BU52" s="34" t="n">
        <f aca="false">SUMPRODUCT((Per_Clase="Directo")*Sal_O*INDEX(Dot_O,0,MIN(10,BU$17))*((Per_Mon="PYG")*BU$19+(Per_Mon&lt;&gt;"PYG")))*(BU$15+BU$16*P_PreDir)*INDEX(IdxSal_O,1,MIN(10,BU$17))*(1+P_Cargas)+BU$51*P_Alim*BU$19</f>
        <v>0</v>
      </c>
      <c r="BV52" s="34" t="n">
        <f aca="false">SUMPRODUCT((Per_Clase="Directo")*Sal_O*INDEX(Dot_O,0,MIN(10,BV$17))*((Per_Mon="PYG")*BV$19+(Per_Mon&lt;&gt;"PYG")))*(BV$15+BV$16*P_PreDir)*INDEX(IdxSal_O,1,MIN(10,BV$17))*(1+P_Cargas)+BV$51*P_Alim*BV$19</f>
        <v>0</v>
      </c>
      <c r="BW52" s="34" t="n">
        <f aca="false">SUMPRODUCT((Per_Clase="Directo")*Sal_O*INDEX(Dot_O,0,MIN(10,BW$17))*((Per_Mon="PYG")*BW$19+(Per_Mon&lt;&gt;"PYG")))*(BW$15+BW$16*P_PreDir)*INDEX(IdxSal_O,1,MIN(10,BW$17))*(1+P_Cargas)+BW$51*P_Alim*BW$19</f>
        <v>0</v>
      </c>
      <c r="BX52" s="34" t="n">
        <f aca="false">SUMPRODUCT((Per_Clase="Directo")*Sal_O*INDEX(Dot_O,0,MIN(10,BX$17))*((Per_Mon="PYG")*BX$19+(Per_Mon&lt;&gt;"PYG")))*(BX$15+BX$16*P_PreDir)*INDEX(IdxSal_O,1,MIN(10,BX$17))*(1+P_Cargas)+BX$51*P_Alim*BX$19</f>
        <v>0</v>
      </c>
      <c r="BY52" s="34" t="n">
        <f aca="false">SUMPRODUCT((Per_Clase="Directo")*Sal_O*INDEX(Dot_O,0,MIN(10,BY$17))*((Per_Mon="PYG")*BY$19+(Per_Mon&lt;&gt;"PYG")))*(BY$15+BY$16*P_PreDir)*INDEX(IdxSal_O,1,MIN(10,BY$17))*(1+P_Cargas)+BY$51*P_Alim*BY$19</f>
        <v>0</v>
      </c>
      <c r="BZ52" s="34" t="n">
        <f aca="false">SUMPRODUCT((Per_Clase="Directo")*Sal_O*INDEX(Dot_O,0,MIN(10,BZ$17))*((Per_Mon="PYG")*BZ$19+(Per_Mon&lt;&gt;"PYG")))*(BZ$15+BZ$16*P_PreDir)*INDEX(IdxSal_O,1,MIN(10,BZ$17))*(1+P_Cargas)+BZ$51*P_Alim*BZ$19</f>
        <v>0</v>
      </c>
      <c r="CA52" s="34" t="n">
        <f aca="false">SUMPRODUCT((Per_Clase="Directo")*Sal_O*INDEX(Dot_O,0,MIN(10,CA$17))*((Per_Mon="PYG")*CA$19+(Per_Mon&lt;&gt;"PYG")))*(CA$15+CA$16*P_PreDir)*INDEX(IdxSal_O,1,MIN(10,CA$17))*(1+P_Cargas)+CA$51*P_Alim*CA$19</f>
        <v>0</v>
      </c>
      <c r="CB52" s="34" t="n">
        <f aca="false">SUMPRODUCT((Per_Clase="Directo")*Sal_O*INDEX(Dot_O,0,MIN(10,CB$17))*((Per_Mon="PYG")*CB$19+(Per_Mon&lt;&gt;"PYG")))*(CB$15+CB$16*P_PreDir)*INDEX(IdxSal_O,1,MIN(10,CB$17))*(1+P_Cargas)+CB$51*P_Alim*CB$19</f>
        <v>0</v>
      </c>
      <c r="CC52" s="34" t="n">
        <f aca="false">SUMPRODUCT((Per_Clase="Directo")*Sal_O*INDEX(Dot_O,0,MIN(10,CC$17))*((Per_Mon="PYG")*CC$19+(Per_Mon&lt;&gt;"PYG")))*(CC$15+CC$16*P_PreDir)*INDEX(IdxSal_O,1,MIN(10,CC$17))*(1+P_Cargas)+CC$51*P_Alim*CC$19</f>
        <v>0</v>
      </c>
      <c r="CD52" s="34" t="n">
        <f aca="false">SUMPRODUCT((Per_Clase="Directo")*Sal_O*INDEX(Dot_O,0,MIN(10,CD$17))*((Per_Mon="PYG")*CD$19+(Per_Mon&lt;&gt;"PYG")))*(CD$15+CD$16*P_PreDir)*INDEX(IdxSal_O,1,MIN(10,CD$17))*(1+P_Cargas)+CD$51*P_Alim*CD$19</f>
        <v>0</v>
      </c>
      <c r="CE52" s="34" t="n">
        <f aca="false">SUMPRODUCT((Per_Clase="Directo")*Sal_O*INDEX(Dot_O,0,MIN(10,CE$17))*((Per_Mon="PYG")*CE$19+(Per_Mon&lt;&gt;"PYG")))*(CE$15+CE$16*P_PreDir)*INDEX(IdxSal_O,1,MIN(10,CE$17))*(1+P_Cargas)+CE$51*P_Alim*CE$19</f>
        <v>0</v>
      </c>
      <c r="CF52" s="34" t="n">
        <f aca="false">SUMPRODUCT((Per_Clase="Directo")*Sal_O*INDEX(Dot_O,0,MIN(10,CF$17))*((Per_Mon="PYG")*CF$19+(Per_Mon&lt;&gt;"PYG")))*(CF$15+CF$16*P_PreDir)*INDEX(IdxSal_O,1,MIN(10,CF$17))*(1+P_Cargas)+CF$51*P_Alim*CF$19</f>
        <v>0</v>
      </c>
      <c r="CG52" s="34" t="n">
        <f aca="false">SUMPRODUCT((Per_Clase="Directo")*Sal_O*INDEX(Dot_O,0,MIN(10,CG$17))*((Per_Mon="PYG")*CG$19+(Per_Mon&lt;&gt;"PYG")))*(CG$15+CG$16*P_PreDir)*INDEX(IdxSal_O,1,MIN(10,CG$17))*(1+P_Cargas)+CG$51*P_Alim*CG$19</f>
        <v>0</v>
      </c>
      <c r="CH52" s="34" t="n">
        <f aca="false">SUMPRODUCT((Per_Clase="Directo")*Sal_O*INDEX(Dot_O,0,MIN(10,CH$17))*((Per_Mon="PYG")*CH$19+(Per_Mon&lt;&gt;"PYG")))*(CH$15+CH$16*P_PreDir)*INDEX(IdxSal_O,1,MIN(10,CH$17))*(1+P_Cargas)+CH$51*P_Alim*CH$19</f>
        <v>0</v>
      </c>
      <c r="CI52" s="34" t="n">
        <f aca="false">SUMPRODUCT((Per_Clase="Directo")*Sal_O*INDEX(Dot_O,0,MIN(10,CI$17))*((Per_Mon="PYG")*CI$19+(Per_Mon&lt;&gt;"PYG")))*(CI$15+CI$16*P_PreDir)*INDEX(IdxSal_O,1,MIN(10,CI$17))*(1+P_Cargas)+CI$51*P_Alim*CI$19</f>
        <v>0</v>
      </c>
      <c r="CJ52" s="34" t="n">
        <f aca="false">SUMPRODUCT((Per_Clase="Directo")*Sal_O*INDEX(Dot_O,0,MIN(10,CJ$17))*((Per_Mon="PYG")*CJ$19+(Per_Mon&lt;&gt;"PYG")))*(CJ$15+CJ$16*P_PreDir)*INDEX(IdxSal_O,1,MIN(10,CJ$17))*(1+P_Cargas)+CJ$51*P_Alim*CJ$19</f>
        <v>0</v>
      </c>
      <c r="CK52" s="34" t="n">
        <f aca="false">SUMPRODUCT((Per_Clase="Directo")*Sal_O*INDEX(Dot_O,0,MIN(10,CK$17))*((Per_Mon="PYG")*CK$19+(Per_Mon&lt;&gt;"PYG")))*(CK$15+CK$16*P_PreDir)*INDEX(IdxSal_O,1,MIN(10,CK$17))*(1+P_Cargas)+CK$51*P_Alim*CK$19</f>
        <v>0</v>
      </c>
      <c r="CL52" s="34" t="n">
        <f aca="false">SUMPRODUCT((Per_Clase="Directo")*Sal_O*INDEX(Dot_O,0,MIN(10,CL$17))*((Per_Mon="PYG")*CL$19+(Per_Mon&lt;&gt;"PYG")))*(CL$15+CL$16*P_PreDir)*INDEX(IdxSal_O,1,MIN(10,CL$17))*(1+P_Cargas)+CL$51*P_Alim*CL$19</f>
        <v>0</v>
      </c>
      <c r="CM52" s="34" t="n">
        <f aca="false">SUMPRODUCT((Per_Clase="Directo")*Sal_O*INDEX(Dot_O,0,MIN(10,CM$17))*((Per_Mon="PYG")*CM$19+(Per_Mon&lt;&gt;"PYG")))*(CM$15+CM$16*P_PreDir)*INDEX(IdxSal_O,1,MIN(10,CM$17))*(1+P_Cargas)+CM$51*P_Alim*CM$19</f>
        <v>0</v>
      </c>
      <c r="CN52" s="34" t="n">
        <f aca="false">SUMPRODUCT((Per_Clase="Directo")*Sal_O*INDEX(Dot_O,0,MIN(10,CN$17))*((Per_Mon="PYG")*CN$19+(Per_Mon&lt;&gt;"PYG")))*(CN$15+CN$16*P_PreDir)*INDEX(IdxSal_O,1,MIN(10,CN$17))*(1+P_Cargas)+CN$51*P_Alim*CN$19</f>
        <v>0</v>
      </c>
      <c r="CO52" s="34" t="n">
        <f aca="false">SUMPRODUCT((Per_Clase="Directo")*Sal_O*INDEX(Dot_O,0,MIN(10,CO$17))*((Per_Mon="PYG")*CO$19+(Per_Mon&lt;&gt;"PYG")))*(CO$15+CO$16*P_PreDir)*INDEX(IdxSal_O,1,MIN(10,CO$17))*(1+P_Cargas)+CO$51*P_Alim*CO$19</f>
        <v>0</v>
      </c>
      <c r="CP52" s="34" t="n">
        <f aca="false">SUMPRODUCT((Per_Clase="Directo")*Sal_O*INDEX(Dot_O,0,MIN(10,CP$17))*((Per_Mon="PYG")*CP$19+(Per_Mon&lt;&gt;"PYG")))*(CP$15+CP$16*P_PreDir)*INDEX(IdxSal_O,1,MIN(10,CP$17))*(1+P_Cargas)+CP$51*P_Alim*CP$19</f>
        <v>0</v>
      </c>
      <c r="CQ52" s="34" t="n">
        <f aca="false">SUMPRODUCT((Per_Clase="Directo")*Sal_O*INDEX(Dot_O,0,MIN(10,CQ$17))*((Per_Mon="PYG")*CQ$19+(Per_Mon&lt;&gt;"PYG")))*(CQ$15+CQ$16*P_PreDir)*INDEX(IdxSal_O,1,MIN(10,CQ$17))*(1+P_Cargas)+CQ$51*P_Alim*CQ$19</f>
        <v>0</v>
      </c>
      <c r="CR52" s="34" t="n">
        <f aca="false">SUMPRODUCT((Per_Clase="Directo")*Sal_O*INDEX(Dot_O,0,MIN(10,CR$17))*((Per_Mon="PYG")*CR$19+(Per_Mon&lt;&gt;"PYG")))*(CR$15+CR$16*P_PreDir)*INDEX(IdxSal_O,1,MIN(10,CR$17))*(1+P_Cargas)+CR$51*P_Alim*CR$19</f>
        <v>0</v>
      </c>
      <c r="CS52" s="34" t="n">
        <f aca="false">SUMPRODUCT((Per_Clase="Directo")*Sal_O*INDEX(Dot_O,0,MIN(10,CS$17))*((Per_Mon="PYG")*CS$19+(Per_Mon&lt;&gt;"PYG")))*(CS$15+CS$16*P_PreDir)*INDEX(IdxSal_O,1,MIN(10,CS$17))*(1+P_Cargas)+CS$51*P_Alim*CS$19</f>
        <v>0</v>
      </c>
      <c r="CT52" s="34" t="n">
        <f aca="false">SUMPRODUCT((Per_Clase="Directo")*Sal_O*INDEX(Dot_O,0,MIN(10,CT$17))*((Per_Mon="PYG")*CT$19+(Per_Mon&lt;&gt;"PYG")))*(CT$15+CT$16*P_PreDir)*INDEX(IdxSal_O,1,MIN(10,CT$17))*(1+P_Cargas)+CT$51*P_Alim*CT$19</f>
        <v>0</v>
      </c>
      <c r="CU52" s="34" t="n">
        <f aca="false">SUMPRODUCT((Per_Clase="Directo")*Sal_O*INDEX(Dot_O,0,MIN(10,CU$17))*((Per_Mon="PYG")*CU$19+(Per_Mon&lt;&gt;"PYG")))*(CU$15+CU$16*P_PreDir)*INDEX(IdxSal_O,1,MIN(10,CU$17))*(1+P_Cargas)+CU$51*P_Alim*CU$19</f>
        <v>0</v>
      </c>
      <c r="CV52" s="34" t="n">
        <f aca="false">SUMPRODUCT((Per_Clase="Directo")*Sal_O*INDEX(Dot_O,0,MIN(10,CV$17))*((Per_Mon="PYG")*CV$19+(Per_Mon&lt;&gt;"PYG")))*(CV$15+CV$16*P_PreDir)*INDEX(IdxSal_O,1,MIN(10,CV$17))*(1+P_Cargas)+CV$51*P_Alim*CV$19</f>
        <v>0</v>
      </c>
      <c r="CW52" s="34" t="n">
        <f aca="false">SUMPRODUCT((Per_Clase="Directo")*Sal_O*INDEX(Dot_O,0,MIN(10,CW$17))*((Per_Mon="PYG")*CW$19+(Per_Mon&lt;&gt;"PYG")))*(CW$15+CW$16*P_PreDir)*INDEX(IdxSal_O,1,MIN(10,CW$17))*(1+P_Cargas)+CW$51*P_Alim*CW$19</f>
        <v>0</v>
      </c>
      <c r="CX52" s="34" t="n">
        <f aca="false">SUMPRODUCT((Per_Clase="Directo")*Sal_O*INDEX(Dot_O,0,MIN(10,CX$17))*((Per_Mon="PYG")*CX$19+(Per_Mon&lt;&gt;"PYG")))*(CX$15+CX$16*P_PreDir)*INDEX(IdxSal_O,1,MIN(10,CX$17))*(1+P_Cargas)+CX$51*P_Alim*CX$19</f>
        <v>0</v>
      </c>
      <c r="CY52" s="34" t="n">
        <f aca="false">SUMPRODUCT((Per_Clase="Directo")*Sal_O*INDEX(Dot_O,0,MIN(10,CY$17))*((Per_Mon="PYG")*CY$19+(Per_Mon&lt;&gt;"PYG")))*(CY$15+CY$16*P_PreDir)*INDEX(IdxSal_O,1,MIN(10,CY$17))*(1+P_Cargas)+CY$51*P_Alim*CY$19</f>
        <v>0</v>
      </c>
      <c r="CZ52" s="34" t="n">
        <f aca="false">SUMPRODUCT((Per_Clase="Directo")*Sal_O*INDEX(Dot_O,0,MIN(10,CZ$17))*((Per_Mon="PYG")*CZ$19+(Per_Mon&lt;&gt;"PYG")))*(CZ$15+CZ$16*P_PreDir)*INDEX(IdxSal_O,1,MIN(10,CZ$17))*(1+P_Cargas)+CZ$51*P_Alim*CZ$19</f>
        <v>0</v>
      </c>
      <c r="DA52" s="34" t="n">
        <f aca="false">SUMPRODUCT((Per_Clase="Directo")*Sal_O*INDEX(Dot_O,0,MIN(10,DA$17))*((Per_Mon="PYG")*DA$19+(Per_Mon&lt;&gt;"PYG")))*(DA$15+DA$16*P_PreDir)*INDEX(IdxSal_O,1,MIN(10,DA$17))*(1+P_Cargas)+DA$51*P_Alim*DA$19</f>
        <v>0</v>
      </c>
      <c r="DB52" s="34" t="n">
        <f aca="false">SUMPRODUCT((Per_Clase="Directo")*Sal_O*INDEX(Dot_O,0,MIN(10,DB$17))*((Per_Mon="PYG")*DB$19+(Per_Mon&lt;&gt;"PYG")))*(DB$15+DB$16*P_PreDir)*INDEX(IdxSal_O,1,MIN(10,DB$17))*(1+P_Cargas)+DB$51*P_Alim*DB$19</f>
        <v>0</v>
      </c>
      <c r="DC52" s="34" t="n">
        <f aca="false">SUMPRODUCT((Per_Clase="Directo")*Sal_O*INDEX(Dot_O,0,MIN(10,DC$17))*((Per_Mon="PYG")*DC$19+(Per_Mon&lt;&gt;"PYG")))*(DC$15+DC$16*P_PreDir)*INDEX(IdxSal_O,1,MIN(10,DC$17))*(1+P_Cargas)+DC$51*P_Alim*DC$19</f>
        <v>0</v>
      </c>
      <c r="DD52" s="34" t="n">
        <f aca="false">SUMPRODUCT((Per_Clase="Directo")*Sal_O*INDEX(Dot_O,0,MIN(10,DD$17))*((Per_Mon="PYG")*DD$19+(Per_Mon&lt;&gt;"PYG")))*(DD$15+DD$16*P_PreDir)*INDEX(IdxSal_O,1,MIN(10,DD$17))*(1+P_Cargas)+DD$51*P_Alim*DD$19</f>
        <v>0</v>
      </c>
      <c r="DE52" s="34" t="n">
        <f aca="false">SUMPRODUCT((Per_Clase="Directo")*Sal_O*INDEX(Dot_O,0,MIN(10,DE$17))*((Per_Mon="PYG")*DE$19+(Per_Mon&lt;&gt;"PYG")))*(DE$15+DE$16*P_PreDir)*INDEX(IdxSal_O,1,MIN(10,DE$17))*(1+P_Cargas)+DE$51*P_Alim*DE$19</f>
        <v>0</v>
      </c>
      <c r="DF52" s="34" t="n">
        <f aca="false">SUMPRODUCT((Per_Clase="Directo")*Sal_O*INDEX(Dot_O,0,MIN(10,DF$17))*((Per_Mon="PYG")*DF$19+(Per_Mon&lt;&gt;"PYG")))*(DF$15+DF$16*P_PreDir)*INDEX(IdxSal_O,1,MIN(10,DF$17))*(1+P_Cargas)+DF$51*P_Alim*DF$19</f>
        <v>0</v>
      </c>
      <c r="DG52" s="34" t="n">
        <f aca="false">SUMPRODUCT((Per_Clase="Directo")*Sal_O*INDEX(Dot_O,0,MIN(10,DG$17))*((Per_Mon="PYG")*DG$19+(Per_Mon&lt;&gt;"PYG")))*(DG$15+DG$16*P_PreDir)*INDEX(IdxSal_O,1,MIN(10,DG$17))*(1+P_Cargas)+DG$51*P_Alim*DG$19</f>
        <v>0</v>
      </c>
      <c r="DH52" s="34" t="n">
        <f aca="false">SUMPRODUCT((Per_Clase="Directo")*Sal_O*INDEX(Dot_O,0,MIN(10,DH$17))*((Per_Mon="PYG")*DH$19+(Per_Mon&lt;&gt;"PYG")))*(DH$15+DH$16*P_PreDir)*INDEX(IdxSal_O,1,MIN(10,DH$17))*(1+P_Cargas)+DH$51*P_Alim*DH$19</f>
        <v>0</v>
      </c>
      <c r="DI52" s="34" t="n">
        <f aca="false">SUMPRODUCT((Per_Clase="Directo")*Sal_O*INDEX(Dot_O,0,MIN(10,DI$17))*((Per_Mon="PYG")*DI$19+(Per_Mon&lt;&gt;"PYG")))*(DI$15+DI$16*P_PreDir)*INDEX(IdxSal_O,1,MIN(10,DI$17))*(1+P_Cargas)+DI$51*P_Alim*DI$19</f>
        <v>0</v>
      </c>
      <c r="DJ52" s="34" t="n">
        <f aca="false">SUMPRODUCT((Per_Clase="Directo")*Sal_O*INDEX(Dot_O,0,MIN(10,DJ$17))*((Per_Mon="PYG")*DJ$19+(Per_Mon&lt;&gt;"PYG")))*(DJ$15+DJ$16*P_PreDir)*INDEX(IdxSal_O,1,MIN(10,DJ$17))*(1+P_Cargas)+DJ$51*P_Alim*DJ$19</f>
        <v>0</v>
      </c>
      <c r="DK52" s="34" t="n">
        <f aca="false">SUMPRODUCT((Per_Clase="Directo")*Sal_O*INDEX(Dot_O,0,MIN(10,DK$17))*((Per_Mon="PYG")*DK$19+(Per_Mon&lt;&gt;"PYG")))*(DK$15+DK$16*P_PreDir)*INDEX(IdxSal_O,1,MIN(10,DK$17))*(1+P_Cargas)+DK$51*P_Alim*DK$19</f>
        <v>0</v>
      </c>
      <c r="DL52" s="34" t="n">
        <f aca="false">SUMPRODUCT((Per_Clase="Directo")*Sal_O*INDEX(Dot_O,0,MIN(10,DL$17))*((Per_Mon="PYG")*DL$19+(Per_Mon&lt;&gt;"PYG")))*(DL$15+DL$16*P_PreDir)*INDEX(IdxSal_O,1,MIN(10,DL$17))*(1+P_Cargas)+DL$51*P_Alim*DL$19</f>
        <v>0</v>
      </c>
      <c r="DM52" s="34" t="n">
        <f aca="false">SUMPRODUCT((Per_Clase="Directo")*Sal_O*INDEX(Dot_O,0,MIN(10,DM$17))*((Per_Mon="PYG")*DM$19+(Per_Mon&lt;&gt;"PYG")))*(DM$15+DM$16*P_PreDir)*INDEX(IdxSal_O,1,MIN(10,DM$17))*(1+P_Cargas)+DM$51*P_Alim*DM$19</f>
        <v>0</v>
      </c>
      <c r="DN52" s="34" t="n">
        <f aca="false">SUMPRODUCT((Per_Clase="Directo")*Sal_O*INDEX(Dot_O,0,MIN(10,DN$17))*((Per_Mon="PYG")*DN$19+(Per_Mon&lt;&gt;"PYG")))*(DN$15+DN$16*P_PreDir)*INDEX(IdxSal_O,1,MIN(10,DN$17))*(1+P_Cargas)+DN$51*P_Alim*DN$19</f>
        <v>0</v>
      </c>
      <c r="DO52" s="34" t="n">
        <f aca="false">SUMPRODUCT((Per_Clase="Directo")*Sal_O*INDEX(Dot_O,0,MIN(10,DO$17))*((Per_Mon="PYG")*DO$19+(Per_Mon&lt;&gt;"PYG")))*(DO$15+DO$16*P_PreDir)*INDEX(IdxSal_O,1,MIN(10,DO$17))*(1+P_Cargas)+DO$51*P_Alim*DO$19</f>
        <v>0</v>
      </c>
      <c r="DP52" s="34" t="n">
        <f aca="false">SUMPRODUCT((Per_Clase="Directo")*Sal_O*INDEX(Dot_O,0,MIN(10,DP$17))*((Per_Mon="PYG")*DP$19+(Per_Mon&lt;&gt;"PYG")))*(DP$15+DP$16*P_PreDir)*INDEX(IdxSal_O,1,MIN(10,DP$17))*(1+P_Cargas)+DP$51*P_Alim*DP$19</f>
        <v>0</v>
      </c>
      <c r="DQ52" s="34" t="n">
        <f aca="false">SUMPRODUCT((Per_Clase="Directo")*Sal_O*INDEX(Dot_O,0,MIN(10,DQ$17))*((Per_Mon="PYG")*DQ$19+(Per_Mon&lt;&gt;"PYG")))*(DQ$15+DQ$16*P_PreDir)*INDEX(IdxSal_O,1,MIN(10,DQ$17))*(1+P_Cargas)+DQ$51*P_Alim*DQ$19</f>
        <v>0</v>
      </c>
      <c r="DR52" s="34" t="n">
        <f aca="false">SUMPRODUCT((Per_Clase="Directo")*Sal_O*INDEX(Dot_O,0,MIN(10,DR$17))*((Per_Mon="PYG")*DR$19+(Per_Mon&lt;&gt;"PYG")))*(DR$15+DR$16*P_PreDir)*INDEX(IdxSal_O,1,MIN(10,DR$17))*(1+P_Cargas)+DR$51*P_Alim*DR$19</f>
        <v>0</v>
      </c>
      <c r="DS52" s="34" t="n">
        <f aca="false">SUMPRODUCT((Per_Clase="Directo")*Sal_O*INDEX(Dot_O,0,MIN(10,DS$17))*((Per_Mon="PYG")*DS$19+(Per_Mon&lt;&gt;"PYG")))*(DS$15+DS$16*P_PreDir)*INDEX(IdxSal_O,1,MIN(10,DS$17))*(1+P_Cargas)+DS$51*P_Alim*DS$19</f>
        <v>0</v>
      </c>
      <c r="DT52" s="34" t="n">
        <f aca="false">SUMPRODUCT((Per_Clase="Directo")*Sal_O*INDEX(Dot_O,0,MIN(10,DT$17))*((Per_Mon="PYG")*DT$19+(Per_Mon&lt;&gt;"PYG")))*(DT$15+DT$16*P_PreDir)*INDEX(IdxSal_O,1,MIN(10,DT$17))*(1+P_Cargas)+DT$51*P_Alim*DT$19</f>
        <v>0</v>
      </c>
      <c r="DU52" s="34" t="n">
        <f aca="false">SUMPRODUCT((Per_Clase="Directo")*Sal_O*INDEX(Dot_O,0,MIN(10,DU$17))*((Per_Mon="PYG")*DU$19+(Per_Mon&lt;&gt;"PYG")))*(DU$15+DU$16*P_PreDir)*INDEX(IdxSal_O,1,MIN(10,DU$17))*(1+P_Cargas)+DU$51*P_Alim*DU$19</f>
        <v>0</v>
      </c>
      <c r="DV52" s="34" t="n">
        <f aca="false">SUMPRODUCT((Per_Clase="Directo")*Sal_O*INDEX(Dot_O,0,MIN(10,DV$17))*((Per_Mon="PYG")*DV$19+(Per_Mon&lt;&gt;"PYG")))*(DV$15+DV$16*P_PreDir)*INDEX(IdxSal_O,1,MIN(10,DV$17))*(1+P_Cargas)+DV$51*P_Alim*DV$19</f>
        <v>0</v>
      </c>
      <c r="DW52" s="34" t="n">
        <f aca="false">SUMPRODUCT((Per_Clase="Directo")*Sal_O*INDEX(Dot_O,0,MIN(10,DW$17))*((Per_Mon="PYG")*DW$19+(Per_Mon&lt;&gt;"PYG")))*(DW$15+DW$16*P_PreDir)*INDEX(IdxSal_O,1,MIN(10,DW$17))*(1+P_Cargas)+DW$51*P_Alim*DW$19</f>
        <v>0</v>
      </c>
      <c r="DX52" s="34" t="n">
        <f aca="false">SUMPRODUCT((Per_Clase="Directo")*Sal_O*INDEX(Dot_O,0,MIN(10,DX$17))*((Per_Mon="PYG")*DX$19+(Per_Mon&lt;&gt;"PYG")))*(DX$15+DX$16*P_PreDir)*INDEX(IdxSal_O,1,MIN(10,DX$17))*(1+P_Cargas)+DX$51*P_Alim*DX$19</f>
        <v>0</v>
      </c>
      <c r="DY52" s="34" t="n">
        <f aca="false">SUMPRODUCT((Per_Clase="Directo")*Sal_O*INDEX(Dot_O,0,MIN(10,DY$17))*((Per_Mon="PYG")*DY$19+(Per_Mon&lt;&gt;"PYG")))*(DY$15+DY$16*P_PreDir)*INDEX(IdxSal_O,1,MIN(10,DY$17))*(1+P_Cargas)+DY$51*P_Alim*DY$19</f>
        <v>0</v>
      </c>
      <c r="DZ52" s="34" t="n">
        <f aca="false">SUMPRODUCT((Per_Clase="Directo")*Sal_O*INDEX(Dot_O,0,MIN(10,DZ$17))*((Per_Mon="PYG")*DZ$19+(Per_Mon&lt;&gt;"PYG")))*(DZ$15+DZ$16*P_PreDir)*INDEX(IdxSal_O,1,MIN(10,DZ$17))*(1+P_Cargas)+DZ$51*P_Alim*DZ$19</f>
        <v>0</v>
      </c>
      <c r="EA52" s="34" t="n">
        <f aca="false">SUMPRODUCT((Per_Clase="Directo")*Sal_O*INDEX(Dot_O,0,MIN(10,EA$17))*((Per_Mon="PYG")*EA$19+(Per_Mon&lt;&gt;"PYG")))*(EA$15+EA$16*P_PreDir)*INDEX(IdxSal_O,1,MIN(10,EA$17))*(1+P_Cargas)+EA$51*P_Alim*EA$19</f>
        <v>0</v>
      </c>
      <c r="EB52" s="34" t="n">
        <f aca="false">SUMPRODUCT((Per_Clase="Directo")*Sal_O*INDEX(Dot_O,0,MIN(10,EB$17))*((Per_Mon="PYG")*EB$19+(Per_Mon&lt;&gt;"PYG")))*(EB$15+EB$16*P_PreDir)*INDEX(IdxSal_O,1,MIN(10,EB$17))*(1+P_Cargas)+EB$51*P_Alim*EB$19</f>
        <v>0</v>
      </c>
      <c r="EC52" s="34" t="n">
        <f aca="false">SUMPRODUCT((Per_Clase="Directo")*Sal_O*INDEX(Dot_O,0,MIN(10,EC$17))*((Per_Mon="PYG")*EC$19+(Per_Mon&lt;&gt;"PYG")))*(EC$15+EC$16*P_PreDir)*INDEX(IdxSal_O,1,MIN(10,EC$17))*(1+P_Cargas)+EC$51*P_Alim*EC$19</f>
        <v>0</v>
      </c>
      <c r="ED52" s="34" t="n">
        <f aca="false">SUMPRODUCT((Per_Clase="Directo")*Sal_O*INDEX(Dot_O,0,MIN(10,ED$17))*((Per_Mon="PYG")*ED$19+(Per_Mon&lt;&gt;"PYG")))*(ED$15+ED$16*P_PreDir)*INDEX(IdxSal_O,1,MIN(10,ED$17))*(1+P_Cargas)+ED$51*P_Alim*ED$19</f>
        <v>0</v>
      </c>
      <c r="EE52" s="34" t="n">
        <f aca="false">SUMPRODUCT((Per_Clase="Directo")*Sal_O*INDEX(Dot_O,0,MIN(10,EE$17))*((Per_Mon="PYG")*EE$19+(Per_Mon&lt;&gt;"PYG")))*(EE$15+EE$16*P_PreDir)*INDEX(IdxSal_O,1,MIN(10,EE$17))*(1+P_Cargas)+EE$51*P_Alim*EE$19</f>
        <v>0</v>
      </c>
      <c r="EF52" s="34" t="n">
        <f aca="false">SUMPRODUCT((Per_Clase="Directo")*Sal_O*INDEX(Dot_O,0,MIN(10,EF$17))*((Per_Mon="PYG")*EF$19+(Per_Mon&lt;&gt;"PYG")))*(EF$15+EF$16*P_PreDir)*INDEX(IdxSal_O,1,MIN(10,EF$17))*(1+P_Cargas)+EF$51*P_Alim*EF$19</f>
        <v>0</v>
      </c>
      <c r="EG52" s="34" t="n">
        <f aca="false">SUMPRODUCT((Per_Clase="Directo")*Sal_O*INDEX(Dot_O,0,MIN(10,EG$17))*((Per_Mon="PYG")*EG$19+(Per_Mon&lt;&gt;"PYG")))*(EG$15+EG$16*P_PreDir)*INDEX(IdxSal_O,1,MIN(10,EG$17))*(1+P_Cargas)+EG$51*P_Alim*EG$19</f>
        <v>0</v>
      </c>
      <c r="EH52" s="34" t="n">
        <f aca="false">SUMPRODUCT((Per_Clase="Directo")*Sal_O*INDEX(Dot_O,0,MIN(10,EH$17))*((Per_Mon="PYG")*EH$19+(Per_Mon&lt;&gt;"PYG")))*(EH$15+EH$16*P_PreDir)*INDEX(IdxSal_O,1,MIN(10,EH$17))*(1+P_Cargas)+EH$51*P_Alim*EH$19</f>
        <v>0</v>
      </c>
      <c r="EI52" s="34" t="n">
        <f aca="false">SUMPRODUCT((Per_Clase="Directo")*Sal_O*INDEX(Dot_O,0,MIN(10,EI$17))*((Per_Mon="PYG")*EI$19+(Per_Mon&lt;&gt;"PYG")))*(EI$15+EI$16*P_PreDir)*INDEX(IdxSal_O,1,MIN(10,EI$17))*(1+P_Cargas)+EI$51*P_Alim*EI$19</f>
        <v>0</v>
      </c>
      <c r="EJ52" s="34" t="n">
        <f aca="false">SUMPRODUCT((Per_Clase="Directo")*Sal_O*INDEX(Dot_O,0,MIN(10,EJ$17))*((Per_Mon="PYG")*EJ$19+(Per_Mon&lt;&gt;"PYG")))*(EJ$15+EJ$16*P_PreDir)*INDEX(IdxSal_O,1,MIN(10,EJ$17))*(1+P_Cargas)+EJ$51*P_Alim*EJ$19</f>
        <v>0</v>
      </c>
      <c r="EK52" s="34" t="n">
        <f aca="false">SUMPRODUCT((Per_Clase="Directo")*Sal_O*INDEX(Dot_O,0,MIN(10,EK$17))*((Per_Mon="PYG")*EK$19+(Per_Mon&lt;&gt;"PYG")))*(EK$15+EK$16*P_PreDir)*INDEX(IdxSal_O,1,MIN(10,EK$17))*(1+P_Cargas)+EK$51*P_Alim*EK$19</f>
        <v>0</v>
      </c>
      <c r="EL52" s="34" t="n">
        <f aca="false">SUMPRODUCT((Per_Clase="Directo")*Sal_O*INDEX(Dot_O,0,MIN(10,EL$17))*((Per_Mon="PYG")*EL$19+(Per_Mon&lt;&gt;"PYG")))*(EL$15+EL$16*P_PreDir)*INDEX(IdxSal_O,1,MIN(10,EL$17))*(1+P_Cargas)+EL$51*P_Alim*EL$19</f>
        <v>0</v>
      </c>
      <c r="EM52" s="34" t="n">
        <f aca="false">SUMPRODUCT((Per_Clase="Directo")*Sal_O*INDEX(Dot_O,0,MIN(10,EM$17))*((Per_Mon="PYG")*EM$19+(Per_Mon&lt;&gt;"PYG")))*(EM$15+EM$16*P_PreDir)*INDEX(IdxSal_O,1,MIN(10,EM$17))*(1+P_Cargas)+EM$51*P_Alim*EM$19</f>
        <v>0</v>
      </c>
      <c r="EN52" s="34" t="n">
        <f aca="false">SUMPRODUCT((Per_Clase="Directo")*Sal_O*INDEX(Dot_O,0,MIN(10,EN$17))*((Per_Mon="PYG")*EN$19+(Per_Mon&lt;&gt;"PYG")))*(EN$15+EN$16*P_PreDir)*INDEX(IdxSal_O,1,MIN(10,EN$17))*(1+P_Cargas)+EN$51*P_Alim*EN$19</f>
        <v>0</v>
      </c>
      <c r="EO52" s="34" t="n">
        <f aca="false">SUMPRODUCT((Per_Clase="Directo")*Sal_O*INDEX(Dot_O,0,MIN(10,EO$17))*((Per_Mon="PYG")*EO$19+(Per_Mon&lt;&gt;"PYG")))*(EO$15+EO$16*P_PreDir)*INDEX(IdxSal_O,1,MIN(10,EO$17))*(1+P_Cargas)+EO$51*P_Alim*EO$19</f>
        <v>0</v>
      </c>
      <c r="EP52" s="34" t="n">
        <f aca="false">SUMPRODUCT((Per_Clase="Directo")*Sal_O*INDEX(Dot_O,0,MIN(10,EP$17))*((Per_Mon="PYG")*EP$19+(Per_Mon&lt;&gt;"PYG")))*(EP$15+EP$16*P_PreDir)*INDEX(IdxSal_O,1,MIN(10,EP$17))*(1+P_Cargas)+EP$51*P_Alim*EP$19</f>
        <v>0</v>
      </c>
      <c r="EQ52" s="34" t="n">
        <f aca="false">SUMPRODUCT((Per_Clase="Directo")*Sal_O*INDEX(Dot_O,0,MIN(10,EQ$17))*((Per_Mon="PYG")*EQ$19+(Per_Mon&lt;&gt;"PYG")))*(EQ$15+EQ$16*P_PreDir)*INDEX(IdxSal_O,1,MIN(10,EQ$17))*(1+P_Cargas)+EQ$51*P_Alim*EQ$19</f>
        <v>0</v>
      </c>
      <c r="ER52" s="34" t="n">
        <f aca="false">SUMPRODUCT((Per_Clase="Directo")*Sal_O*INDEX(Dot_O,0,MIN(10,ER$17))*((Per_Mon="PYG")*ER$19+(Per_Mon&lt;&gt;"PYG")))*(ER$15+ER$16*P_PreDir)*INDEX(IdxSal_O,1,MIN(10,ER$17))*(1+P_Cargas)+ER$51*P_Alim*ER$19</f>
        <v>0</v>
      </c>
      <c r="ES52" s="34" t="n">
        <f aca="false">SUMPRODUCT((Per_Clase="Directo")*Sal_O*INDEX(Dot_O,0,MIN(10,ES$17))*((Per_Mon="PYG")*ES$19+(Per_Mon&lt;&gt;"PYG")))*(ES$15+ES$16*P_PreDir)*INDEX(IdxSal_O,1,MIN(10,ES$17))*(1+P_Cargas)+ES$51*P_Alim*ES$19</f>
        <v>0</v>
      </c>
    </row>
    <row r="53" customFormat="false" ht="15" hidden="false" customHeight="false" outlineLevel="0" collapsed="false">
      <c r="A53" s="2" t="s">
        <v>472</v>
      </c>
      <c r="B53" s="6" t="s">
        <v>473</v>
      </c>
      <c r="C53" s="6" t="s">
        <v>469</v>
      </c>
      <c r="F53" s="36" t="n">
        <f aca="false">SUMPRODUCT((Per_Clase="Indirecto")*INDEX(Dot_O,0,MIN(10,F$17)))*(F$15+F$16*P_PreInd)</f>
        <v>0</v>
      </c>
      <c r="G53" s="36" t="n">
        <f aca="false">SUMPRODUCT((Per_Clase="Indirecto")*INDEX(Dot_O,0,MIN(10,G$17)))*(G$15+G$16*P_PreInd)</f>
        <v>0</v>
      </c>
      <c r="H53" s="36" t="n">
        <f aca="false">SUMPRODUCT((Per_Clase="Indirecto")*INDEX(Dot_O,0,MIN(10,H$17)))*(H$15+H$16*P_PreInd)</f>
        <v>0</v>
      </c>
      <c r="I53" s="36" t="n">
        <f aca="false">SUMPRODUCT((Per_Clase="Indirecto")*INDEX(Dot_O,0,MIN(10,I$17)))*(I$15+I$16*P_PreInd)</f>
        <v>0</v>
      </c>
      <c r="J53" s="36" t="n">
        <f aca="false">SUMPRODUCT((Per_Clase="Indirecto")*INDEX(Dot_O,0,MIN(10,J$17)))*(J$15+J$16*P_PreInd)</f>
        <v>0</v>
      </c>
      <c r="K53" s="36" t="n">
        <f aca="false">SUMPRODUCT((Per_Clase="Indirecto")*INDEX(Dot_O,0,MIN(10,K$17)))*(K$15+K$16*P_PreInd)</f>
        <v>0</v>
      </c>
      <c r="L53" s="36" t="n">
        <f aca="false">SUMPRODUCT((Per_Clase="Indirecto")*INDEX(Dot_O,0,MIN(10,L$17)))*(L$15+L$16*P_PreInd)</f>
        <v>0</v>
      </c>
      <c r="M53" s="36" t="n">
        <f aca="false">SUMPRODUCT((Per_Clase="Indirecto")*INDEX(Dot_O,0,MIN(10,M$17)))*(M$15+M$16*P_PreInd)</f>
        <v>0</v>
      </c>
      <c r="N53" s="36" t="n">
        <f aca="false">SUMPRODUCT((Per_Clase="Indirecto")*INDEX(Dot_O,0,MIN(10,N$17)))*(N$15+N$16*P_PreInd)</f>
        <v>0</v>
      </c>
      <c r="O53" s="36" t="n">
        <f aca="false">SUMPRODUCT((Per_Clase="Indirecto")*INDEX(Dot_O,0,MIN(10,O$17)))*(O$15+O$16*P_PreInd)</f>
        <v>0</v>
      </c>
      <c r="P53" s="36" t="n">
        <f aca="false">SUMPRODUCT((Per_Clase="Indirecto")*INDEX(Dot_O,0,MIN(10,P$17)))*(P$15+P$16*P_PreInd)</f>
        <v>0</v>
      </c>
      <c r="Q53" s="36" t="n">
        <f aca="false">SUMPRODUCT((Per_Clase="Indirecto")*INDEX(Dot_O,0,MIN(10,Q$17)))*(Q$15+Q$16*P_PreInd)</f>
        <v>0</v>
      </c>
      <c r="R53" s="36" t="n">
        <f aca="false">SUMPRODUCT((Per_Clase="Indirecto")*INDEX(Dot_O,0,MIN(10,R$17)))*(R$15+R$16*P_PreInd)</f>
        <v>0</v>
      </c>
      <c r="S53" s="36" t="n">
        <f aca="false">SUMPRODUCT((Per_Clase="Indirecto")*INDEX(Dot_O,0,MIN(10,S$17)))*(S$15+S$16*P_PreInd)</f>
        <v>0</v>
      </c>
      <c r="T53" s="36" t="n">
        <f aca="false">SUMPRODUCT((Per_Clase="Indirecto")*INDEX(Dot_O,0,MIN(10,T$17)))*(T$15+T$16*P_PreInd)</f>
        <v>0</v>
      </c>
      <c r="U53" s="36" t="n">
        <f aca="false">SUMPRODUCT((Per_Clase="Indirecto")*INDEX(Dot_O,0,MIN(10,U$17)))*(U$15+U$16*P_PreInd)</f>
        <v>0</v>
      </c>
      <c r="V53" s="36" t="n">
        <f aca="false">SUMPRODUCT((Per_Clase="Indirecto")*INDEX(Dot_O,0,MIN(10,V$17)))*(V$15+V$16*P_PreInd)</f>
        <v>0</v>
      </c>
      <c r="W53" s="36" t="n">
        <f aca="false">SUMPRODUCT((Per_Clase="Indirecto")*INDEX(Dot_O,0,MIN(10,W$17)))*(W$15+W$16*P_PreInd)</f>
        <v>0</v>
      </c>
      <c r="X53" s="36" t="n">
        <f aca="false">SUMPRODUCT((Per_Clase="Indirecto")*INDEX(Dot_O,0,MIN(10,X$17)))*(X$15+X$16*P_PreInd)</f>
        <v>0</v>
      </c>
      <c r="Y53" s="36" t="n">
        <f aca="false">SUMPRODUCT((Per_Clase="Indirecto")*INDEX(Dot_O,0,MIN(10,Y$17)))*(Y$15+Y$16*P_PreInd)</f>
        <v>0</v>
      </c>
      <c r="Z53" s="36" t="n">
        <f aca="false">SUMPRODUCT((Per_Clase="Indirecto")*INDEX(Dot_O,0,MIN(10,Z$17)))*(Z$15+Z$16*P_PreInd)</f>
        <v>0</v>
      </c>
      <c r="AA53" s="36" t="n">
        <f aca="false">SUMPRODUCT((Per_Clase="Indirecto")*INDEX(Dot_O,0,MIN(10,AA$17)))*(AA$15+AA$16*P_PreInd)</f>
        <v>0</v>
      </c>
      <c r="AB53" s="36" t="n">
        <f aca="false">SUMPRODUCT((Per_Clase="Indirecto")*INDEX(Dot_O,0,MIN(10,AB$17)))*(AB$15+AB$16*P_PreInd)</f>
        <v>0</v>
      </c>
      <c r="AC53" s="36" t="n">
        <f aca="false">SUMPRODUCT((Per_Clase="Indirecto")*INDEX(Dot_O,0,MIN(10,AC$17)))*(AC$15+AC$16*P_PreInd)</f>
        <v>0</v>
      </c>
      <c r="AD53" s="36" t="n">
        <f aca="false">SUMPRODUCT((Per_Clase="Indirecto")*INDEX(Dot_O,0,MIN(10,AD$17)))*(AD$15+AD$16*P_PreInd)</f>
        <v>0</v>
      </c>
      <c r="AE53" s="36" t="n">
        <f aca="false">SUMPRODUCT((Per_Clase="Indirecto")*INDEX(Dot_O,0,MIN(10,AE$17)))*(AE$15+AE$16*P_PreInd)</f>
        <v>0</v>
      </c>
      <c r="AF53" s="36" t="n">
        <f aca="false">SUMPRODUCT((Per_Clase="Indirecto")*INDEX(Dot_O,0,MIN(10,AF$17)))*(AF$15+AF$16*P_PreInd)</f>
        <v>0</v>
      </c>
      <c r="AG53" s="36" t="n">
        <f aca="false">SUMPRODUCT((Per_Clase="Indirecto")*INDEX(Dot_O,0,MIN(10,AG$17)))*(AG$15+AG$16*P_PreInd)</f>
        <v>0</v>
      </c>
      <c r="AH53" s="36" t="n">
        <f aca="false">SUMPRODUCT((Per_Clase="Indirecto")*INDEX(Dot_O,0,MIN(10,AH$17)))*(AH$15+AH$16*P_PreInd)</f>
        <v>0</v>
      </c>
      <c r="AI53" s="36" t="n">
        <f aca="false">SUMPRODUCT((Per_Clase="Indirecto")*INDEX(Dot_O,0,MIN(10,AI$17)))*(AI$15+AI$16*P_PreInd)</f>
        <v>0</v>
      </c>
      <c r="AJ53" s="36" t="n">
        <f aca="false">SUMPRODUCT((Per_Clase="Indirecto")*INDEX(Dot_O,0,MIN(10,AJ$17)))*(AJ$15+AJ$16*P_PreInd)</f>
        <v>0</v>
      </c>
      <c r="AK53" s="36" t="n">
        <f aca="false">SUMPRODUCT((Per_Clase="Indirecto")*INDEX(Dot_O,0,MIN(10,AK$17)))*(AK$15+AK$16*P_PreInd)</f>
        <v>0</v>
      </c>
      <c r="AL53" s="36" t="n">
        <f aca="false">SUMPRODUCT((Per_Clase="Indirecto")*INDEX(Dot_O,0,MIN(10,AL$17)))*(AL$15+AL$16*P_PreInd)</f>
        <v>0</v>
      </c>
      <c r="AM53" s="36" t="n">
        <f aca="false">SUMPRODUCT((Per_Clase="Indirecto")*INDEX(Dot_O,0,MIN(10,AM$17)))*(AM$15+AM$16*P_PreInd)</f>
        <v>0</v>
      </c>
      <c r="AN53" s="36" t="n">
        <f aca="false">SUMPRODUCT((Per_Clase="Indirecto")*INDEX(Dot_O,0,MIN(10,AN$17)))*(AN$15+AN$16*P_PreInd)</f>
        <v>0</v>
      </c>
      <c r="AO53" s="36" t="n">
        <f aca="false">SUMPRODUCT((Per_Clase="Indirecto")*INDEX(Dot_O,0,MIN(10,AO$17)))*(AO$15+AO$16*P_PreInd)</f>
        <v>0</v>
      </c>
      <c r="AP53" s="36" t="n">
        <f aca="false">SUMPRODUCT((Per_Clase="Indirecto")*INDEX(Dot_O,0,MIN(10,AP$17)))*(AP$15+AP$16*P_PreInd)</f>
        <v>0</v>
      </c>
      <c r="AQ53" s="36" t="n">
        <f aca="false">SUMPRODUCT((Per_Clase="Indirecto")*INDEX(Dot_O,0,MIN(10,AQ$17)))*(AQ$15+AQ$16*P_PreInd)</f>
        <v>0</v>
      </c>
      <c r="AR53" s="36" t="n">
        <f aca="false">SUMPRODUCT((Per_Clase="Indirecto")*INDEX(Dot_O,0,MIN(10,AR$17)))*(AR$15+AR$16*P_PreInd)</f>
        <v>0</v>
      </c>
      <c r="AS53" s="36" t="n">
        <f aca="false">SUMPRODUCT((Per_Clase="Indirecto")*INDEX(Dot_O,0,MIN(10,AS$17)))*(AS$15+AS$16*P_PreInd)</f>
        <v>0</v>
      </c>
      <c r="AT53" s="36" t="n">
        <f aca="false">SUMPRODUCT((Per_Clase="Indirecto")*INDEX(Dot_O,0,MIN(10,AT$17)))*(AT$15+AT$16*P_PreInd)</f>
        <v>0</v>
      </c>
      <c r="AU53" s="36" t="n">
        <f aca="false">SUMPRODUCT((Per_Clase="Indirecto")*INDEX(Dot_O,0,MIN(10,AU$17)))*(AU$15+AU$16*P_PreInd)</f>
        <v>0</v>
      </c>
      <c r="AV53" s="36" t="n">
        <f aca="false">SUMPRODUCT((Per_Clase="Indirecto")*INDEX(Dot_O,0,MIN(10,AV$17)))*(AV$15+AV$16*P_PreInd)</f>
        <v>0</v>
      </c>
      <c r="AW53" s="36" t="n">
        <f aca="false">SUMPRODUCT((Per_Clase="Indirecto")*INDEX(Dot_O,0,MIN(10,AW$17)))*(AW$15+AW$16*P_PreInd)</f>
        <v>0</v>
      </c>
      <c r="AX53" s="36" t="n">
        <f aca="false">SUMPRODUCT((Per_Clase="Indirecto")*INDEX(Dot_O,0,MIN(10,AX$17)))*(AX$15+AX$16*P_PreInd)</f>
        <v>0</v>
      </c>
      <c r="AY53" s="36" t="n">
        <f aca="false">SUMPRODUCT((Per_Clase="Indirecto")*INDEX(Dot_O,0,MIN(10,AY$17)))*(AY$15+AY$16*P_PreInd)</f>
        <v>0</v>
      </c>
      <c r="AZ53" s="36" t="n">
        <f aca="false">SUMPRODUCT((Per_Clase="Indirecto")*INDEX(Dot_O,0,MIN(10,AZ$17)))*(AZ$15+AZ$16*P_PreInd)</f>
        <v>0</v>
      </c>
      <c r="BA53" s="36" t="n">
        <f aca="false">SUMPRODUCT((Per_Clase="Indirecto")*INDEX(Dot_O,0,MIN(10,BA$17)))*(BA$15+BA$16*P_PreInd)</f>
        <v>0</v>
      </c>
      <c r="BB53" s="36" t="n">
        <f aca="false">SUMPRODUCT((Per_Clase="Indirecto")*INDEX(Dot_O,0,MIN(10,BB$17)))*(BB$15+BB$16*P_PreInd)</f>
        <v>0</v>
      </c>
      <c r="BC53" s="36" t="n">
        <f aca="false">SUMPRODUCT((Per_Clase="Indirecto")*INDEX(Dot_O,0,MIN(10,BC$17)))*(BC$15+BC$16*P_PreInd)</f>
        <v>0</v>
      </c>
      <c r="BD53" s="36" t="n">
        <f aca="false">SUMPRODUCT((Per_Clase="Indirecto")*INDEX(Dot_O,0,MIN(10,BD$17)))*(BD$15+BD$16*P_PreInd)</f>
        <v>0</v>
      </c>
      <c r="BE53" s="36" t="n">
        <f aca="false">SUMPRODUCT((Per_Clase="Indirecto")*INDEX(Dot_O,0,MIN(10,BE$17)))*(BE$15+BE$16*P_PreInd)</f>
        <v>0</v>
      </c>
      <c r="BF53" s="36" t="n">
        <f aca="false">SUMPRODUCT((Per_Clase="Indirecto")*INDEX(Dot_O,0,MIN(10,BF$17)))*(BF$15+BF$16*P_PreInd)</f>
        <v>0</v>
      </c>
      <c r="BG53" s="36" t="n">
        <f aca="false">SUMPRODUCT((Per_Clase="Indirecto")*INDEX(Dot_O,0,MIN(10,BG$17)))*(BG$15+BG$16*P_PreInd)</f>
        <v>0</v>
      </c>
      <c r="BH53" s="36" t="n">
        <f aca="false">SUMPRODUCT((Per_Clase="Indirecto")*INDEX(Dot_O,0,MIN(10,BH$17)))*(BH$15+BH$16*P_PreInd)</f>
        <v>0</v>
      </c>
      <c r="BI53" s="36" t="n">
        <f aca="false">SUMPRODUCT((Per_Clase="Indirecto")*INDEX(Dot_O,0,MIN(10,BI$17)))*(BI$15+BI$16*P_PreInd)</f>
        <v>0</v>
      </c>
      <c r="BJ53" s="36" t="n">
        <f aca="false">SUMPRODUCT((Per_Clase="Indirecto")*INDEX(Dot_O,0,MIN(10,BJ$17)))*(BJ$15+BJ$16*P_PreInd)</f>
        <v>0</v>
      </c>
      <c r="BK53" s="36" t="n">
        <f aca="false">SUMPRODUCT((Per_Clase="Indirecto")*INDEX(Dot_O,0,MIN(10,BK$17)))*(BK$15+BK$16*P_PreInd)</f>
        <v>0</v>
      </c>
      <c r="BL53" s="36" t="n">
        <f aca="false">SUMPRODUCT((Per_Clase="Indirecto")*INDEX(Dot_O,0,MIN(10,BL$17)))*(BL$15+BL$16*P_PreInd)</f>
        <v>0</v>
      </c>
      <c r="BM53" s="36" t="n">
        <f aca="false">SUMPRODUCT((Per_Clase="Indirecto")*INDEX(Dot_O,0,MIN(10,BM$17)))*(BM$15+BM$16*P_PreInd)</f>
        <v>0</v>
      </c>
      <c r="BN53" s="36" t="n">
        <f aca="false">SUMPRODUCT((Per_Clase="Indirecto")*INDEX(Dot_O,0,MIN(10,BN$17)))*(BN$15+BN$16*P_PreInd)</f>
        <v>0</v>
      </c>
      <c r="BO53" s="36" t="n">
        <f aca="false">SUMPRODUCT((Per_Clase="Indirecto")*INDEX(Dot_O,0,MIN(10,BO$17)))*(BO$15+BO$16*P_PreInd)</f>
        <v>0</v>
      </c>
      <c r="BP53" s="36" t="n">
        <f aca="false">SUMPRODUCT((Per_Clase="Indirecto")*INDEX(Dot_O,0,MIN(10,BP$17)))*(BP$15+BP$16*P_PreInd)</f>
        <v>0</v>
      </c>
      <c r="BQ53" s="36" t="n">
        <f aca="false">SUMPRODUCT((Per_Clase="Indirecto")*INDEX(Dot_O,0,MIN(10,BQ$17)))*(BQ$15+BQ$16*P_PreInd)</f>
        <v>0</v>
      </c>
      <c r="BR53" s="36" t="n">
        <f aca="false">SUMPRODUCT((Per_Clase="Indirecto")*INDEX(Dot_O,0,MIN(10,BR$17)))*(BR$15+BR$16*P_PreInd)</f>
        <v>0</v>
      </c>
      <c r="BS53" s="36" t="n">
        <f aca="false">SUMPRODUCT((Per_Clase="Indirecto")*INDEX(Dot_O,0,MIN(10,BS$17)))*(BS$15+BS$16*P_PreInd)</f>
        <v>0</v>
      </c>
      <c r="BT53" s="36" t="n">
        <f aca="false">SUMPRODUCT((Per_Clase="Indirecto")*INDEX(Dot_O,0,MIN(10,BT$17)))*(BT$15+BT$16*P_PreInd)</f>
        <v>0</v>
      </c>
      <c r="BU53" s="36" t="n">
        <f aca="false">SUMPRODUCT((Per_Clase="Indirecto")*INDEX(Dot_O,0,MIN(10,BU$17)))*(BU$15+BU$16*P_PreInd)</f>
        <v>0</v>
      </c>
      <c r="BV53" s="36" t="n">
        <f aca="false">SUMPRODUCT((Per_Clase="Indirecto")*INDEX(Dot_O,0,MIN(10,BV$17)))*(BV$15+BV$16*P_PreInd)</f>
        <v>0</v>
      </c>
      <c r="BW53" s="36" t="n">
        <f aca="false">SUMPRODUCT((Per_Clase="Indirecto")*INDEX(Dot_O,0,MIN(10,BW$17)))*(BW$15+BW$16*P_PreInd)</f>
        <v>0</v>
      </c>
      <c r="BX53" s="36" t="n">
        <f aca="false">SUMPRODUCT((Per_Clase="Indirecto")*INDEX(Dot_O,0,MIN(10,BX$17)))*(BX$15+BX$16*P_PreInd)</f>
        <v>0</v>
      </c>
      <c r="BY53" s="36" t="n">
        <f aca="false">SUMPRODUCT((Per_Clase="Indirecto")*INDEX(Dot_O,0,MIN(10,BY$17)))*(BY$15+BY$16*P_PreInd)</f>
        <v>0</v>
      </c>
      <c r="BZ53" s="36" t="n">
        <f aca="false">SUMPRODUCT((Per_Clase="Indirecto")*INDEX(Dot_O,0,MIN(10,BZ$17)))*(BZ$15+BZ$16*P_PreInd)</f>
        <v>0</v>
      </c>
      <c r="CA53" s="36" t="n">
        <f aca="false">SUMPRODUCT((Per_Clase="Indirecto")*INDEX(Dot_O,0,MIN(10,CA$17)))*(CA$15+CA$16*P_PreInd)</f>
        <v>0</v>
      </c>
      <c r="CB53" s="36" t="n">
        <f aca="false">SUMPRODUCT((Per_Clase="Indirecto")*INDEX(Dot_O,0,MIN(10,CB$17)))*(CB$15+CB$16*P_PreInd)</f>
        <v>0</v>
      </c>
      <c r="CC53" s="36" t="n">
        <f aca="false">SUMPRODUCT((Per_Clase="Indirecto")*INDEX(Dot_O,0,MIN(10,CC$17)))*(CC$15+CC$16*P_PreInd)</f>
        <v>0</v>
      </c>
      <c r="CD53" s="36" t="n">
        <f aca="false">SUMPRODUCT((Per_Clase="Indirecto")*INDEX(Dot_O,0,MIN(10,CD$17)))*(CD$15+CD$16*P_PreInd)</f>
        <v>0</v>
      </c>
      <c r="CE53" s="36" t="n">
        <f aca="false">SUMPRODUCT((Per_Clase="Indirecto")*INDEX(Dot_O,0,MIN(10,CE$17)))*(CE$15+CE$16*P_PreInd)</f>
        <v>0</v>
      </c>
      <c r="CF53" s="36" t="n">
        <f aca="false">SUMPRODUCT((Per_Clase="Indirecto")*INDEX(Dot_O,0,MIN(10,CF$17)))*(CF$15+CF$16*P_PreInd)</f>
        <v>0</v>
      </c>
      <c r="CG53" s="36" t="n">
        <f aca="false">SUMPRODUCT((Per_Clase="Indirecto")*INDEX(Dot_O,0,MIN(10,CG$17)))*(CG$15+CG$16*P_PreInd)</f>
        <v>0</v>
      </c>
      <c r="CH53" s="36" t="n">
        <f aca="false">SUMPRODUCT((Per_Clase="Indirecto")*INDEX(Dot_O,0,MIN(10,CH$17)))*(CH$15+CH$16*P_PreInd)</f>
        <v>0</v>
      </c>
      <c r="CI53" s="36" t="n">
        <f aca="false">SUMPRODUCT((Per_Clase="Indirecto")*INDEX(Dot_O,0,MIN(10,CI$17)))*(CI$15+CI$16*P_PreInd)</f>
        <v>0</v>
      </c>
      <c r="CJ53" s="36" t="n">
        <f aca="false">SUMPRODUCT((Per_Clase="Indirecto")*INDEX(Dot_O,0,MIN(10,CJ$17)))*(CJ$15+CJ$16*P_PreInd)</f>
        <v>0</v>
      </c>
      <c r="CK53" s="36" t="n">
        <f aca="false">SUMPRODUCT((Per_Clase="Indirecto")*INDEX(Dot_O,0,MIN(10,CK$17)))*(CK$15+CK$16*P_PreInd)</f>
        <v>0</v>
      </c>
      <c r="CL53" s="36" t="n">
        <f aca="false">SUMPRODUCT((Per_Clase="Indirecto")*INDEX(Dot_O,0,MIN(10,CL$17)))*(CL$15+CL$16*P_PreInd)</f>
        <v>0</v>
      </c>
      <c r="CM53" s="36" t="n">
        <f aca="false">SUMPRODUCT((Per_Clase="Indirecto")*INDEX(Dot_O,0,MIN(10,CM$17)))*(CM$15+CM$16*P_PreInd)</f>
        <v>0</v>
      </c>
      <c r="CN53" s="36" t="n">
        <f aca="false">SUMPRODUCT((Per_Clase="Indirecto")*INDEX(Dot_O,0,MIN(10,CN$17)))*(CN$15+CN$16*P_PreInd)</f>
        <v>0</v>
      </c>
      <c r="CO53" s="36" t="n">
        <f aca="false">SUMPRODUCT((Per_Clase="Indirecto")*INDEX(Dot_O,0,MIN(10,CO$17)))*(CO$15+CO$16*P_PreInd)</f>
        <v>0</v>
      </c>
      <c r="CP53" s="36" t="n">
        <f aca="false">SUMPRODUCT((Per_Clase="Indirecto")*INDEX(Dot_O,0,MIN(10,CP$17)))*(CP$15+CP$16*P_PreInd)</f>
        <v>0</v>
      </c>
      <c r="CQ53" s="36" t="n">
        <f aca="false">SUMPRODUCT((Per_Clase="Indirecto")*INDEX(Dot_O,0,MIN(10,CQ$17)))*(CQ$15+CQ$16*P_PreInd)</f>
        <v>0</v>
      </c>
      <c r="CR53" s="36" t="n">
        <f aca="false">SUMPRODUCT((Per_Clase="Indirecto")*INDEX(Dot_O,0,MIN(10,CR$17)))*(CR$15+CR$16*P_PreInd)</f>
        <v>0</v>
      </c>
      <c r="CS53" s="36" t="n">
        <f aca="false">SUMPRODUCT((Per_Clase="Indirecto")*INDEX(Dot_O,0,MIN(10,CS$17)))*(CS$15+CS$16*P_PreInd)</f>
        <v>0</v>
      </c>
      <c r="CT53" s="36" t="n">
        <f aca="false">SUMPRODUCT((Per_Clase="Indirecto")*INDEX(Dot_O,0,MIN(10,CT$17)))*(CT$15+CT$16*P_PreInd)</f>
        <v>0</v>
      </c>
      <c r="CU53" s="36" t="n">
        <f aca="false">SUMPRODUCT((Per_Clase="Indirecto")*INDEX(Dot_O,0,MIN(10,CU$17)))*(CU$15+CU$16*P_PreInd)</f>
        <v>0</v>
      </c>
      <c r="CV53" s="36" t="n">
        <f aca="false">SUMPRODUCT((Per_Clase="Indirecto")*INDEX(Dot_O,0,MIN(10,CV$17)))*(CV$15+CV$16*P_PreInd)</f>
        <v>0</v>
      </c>
      <c r="CW53" s="36" t="n">
        <f aca="false">SUMPRODUCT((Per_Clase="Indirecto")*INDEX(Dot_O,0,MIN(10,CW$17)))*(CW$15+CW$16*P_PreInd)</f>
        <v>0</v>
      </c>
      <c r="CX53" s="36" t="n">
        <f aca="false">SUMPRODUCT((Per_Clase="Indirecto")*INDEX(Dot_O,0,MIN(10,CX$17)))*(CX$15+CX$16*P_PreInd)</f>
        <v>0</v>
      </c>
      <c r="CY53" s="36" t="n">
        <f aca="false">SUMPRODUCT((Per_Clase="Indirecto")*INDEX(Dot_O,0,MIN(10,CY$17)))*(CY$15+CY$16*P_PreInd)</f>
        <v>0</v>
      </c>
      <c r="CZ53" s="36" t="n">
        <f aca="false">SUMPRODUCT((Per_Clase="Indirecto")*INDEX(Dot_O,0,MIN(10,CZ$17)))*(CZ$15+CZ$16*P_PreInd)</f>
        <v>0</v>
      </c>
      <c r="DA53" s="36" t="n">
        <f aca="false">SUMPRODUCT((Per_Clase="Indirecto")*INDEX(Dot_O,0,MIN(10,DA$17)))*(DA$15+DA$16*P_PreInd)</f>
        <v>0</v>
      </c>
      <c r="DB53" s="36" t="n">
        <f aca="false">SUMPRODUCT((Per_Clase="Indirecto")*INDEX(Dot_O,0,MIN(10,DB$17)))*(DB$15+DB$16*P_PreInd)</f>
        <v>0</v>
      </c>
      <c r="DC53" s="36" t="n">
        <f aca="false">SUMPRODUCT((Per_Clase="Indirecto")*INDEX(Dot_O,0,MIN(10,DC$17)))*(DC$15+DC$16*P_PreInd)</f>
        <v>0</v>
      </c>
      <c r="DD53" s="36" t="n">
        <f aca="false">SUMPRODUCT((Per_Clase="Indirecto")*INDEX(Dot_O,0,MIN(10,DD$17)))*(DD$15+DD$16*P_PreInd)</f>
        <v>0</v>
      </c>
      <c r="DE53" s="36" t="n">
        <f aca="false">SUMPRODUCT((Per_Clase="Indirecto")*INDEX(Dot_O,0,MIN(10,DE$17)))*(DE$15+DE$16*P_PreInd)</f>
        <v>0</v>
      </c>
      <c r="DF53" s="36" t="n">
        <f aca="false">SUMPRODUCT((Per_Clase="Indirecto")*INDEX(Dot_O,0,MIN(10,DF$17)))*(DF$15+DF$16*P_PreInd)</f>
        <v>0</v>
      </c>
      <c r="DG53" s="36" t="n">
        <f aca="false">SUMPRODUCT((Per_Clase="Indirecto")*INDEX(Dot_O,0,MIN(10,DG$17)))*(DG$15+DG$16*P_PreInd)</f>
        <v>0</v>
      </c>
      <c r="DH53" s="36" t="n">
        <f aca="false">SUMPRODUCT((Per_Clase="Indirecto")*INDEX(Dot_O,0,MIN(10,DH$17)))*(DH$15+DH$16*P_PreInd)</f>
        <v>0</v>
      </c>
      <c r="DI53" s="36" t="n">
        <f aca="false">SUMPRODUCT((Per_Clase="Indirecto")*INDEX(Dot_O,0,MIN(10,DI$17)))*(DI$15+DI$16*P_PreInd)</f>
        <v>0</v>
      </c>
      <c r="DJ53" s="36" t="n">
        <f aca="false">SUMPRODUCT((Per_Clase="Indirecto")*INDEX(Dot_O,0,MIN(10,DJ$17)))*(DJ$15+DJ$16*P_PreInd)</f>
        <v>0</v>
      </c>
      <c r="DK53" s="36" t="n">
        <f aca="false">SUMPRODUCT((Per_Clase="Indirecto")*INDEX(Dot_O,0,MIN(10,DK$17)))*(DK$15+DK$16*P_PreInd)</f>
        <v>0</v>
      </c>
      <c r="DL53" s="36" t="n">
        <f aca="false">SUMPRODUCT((Per_Clase="Indirecto")*INDEX(Dot_O,0,MIN(10,DL$17)))*(DL$15+DL$16*P_PreInd)</f>
        <v>0</v>
      </c>
      <c r="DM53" s="36" t="n">
        <f aca="false">SUMPRODUCT((Per_Clase="Indirecto")*INDEX(Dot_O,0,MIN(10,DM$17)))*(DM$15+DM$16*P_PreInd)</f>
        <v>0</v>
      </c>
      <c r="DN53" s="36" t="n">
        <f aca="false">SUMPRODUCT((Per_Clase="Indirecto")*INDEX(Dot_O,0,MIN(10,DN$17)))*(DN$15+DN$16*P_PreInd)</f>
        <v>0</v>
      </c>
      <c r="DO53" s="36" t="n">
        <f aca="false">SUMPRODUCT((Per_Clase="Indirecto")*INDEX(Dot_O,0,MIN(10,DO$17)))*(DO$15+DO$16*P_PreInd)</f>
        <v>0</v>
      </c>
      <c r="DP53" s="36" t="n">
        <f aca="false">SUMPRODUCT((Per_Clase="Indirecto")*INDEX(Dot_O,0,MIN(10,DP$17)))*(DP$15+DP$16*P_PreInd)</f>
        <v>0</v>
      </c>
      <c r="DQ53" s="36" t="n">
        <f aca="false">SUMPRODUCT((Per_Clase="Indirecto")*INDEX(Dot_O,0,MIN(10,DQ$17)))*(DQ$15+DQ$16*P_PreInd)</f>
        <v>0</v>
      </c>
      <c r="DR53" s="36" t="n">
        <f aca="false">SUMPRODUCT((Per_Clase="Indirecto")*INDEX(Dot_O,0,MIN(10,DR$17)))*(DR$15+DR$16*P_PreInd)</f>
        <v>0</v>
      </c>
      <c r="DS53" s="36" t="n">
        <f aca="false">SUMPRODUCT((Per_Clase="Indirecto")*INDEX(Dot_O,0,MIN(10,DS$17)))*(DS$15+DS$16*P_PreInd)</f>
        <v>0</v>
      </c>
      <c r="DT53" s="36" t="n">
        <f aca="false">SUMPRODUCT((Per_Clase="Indirecto")*INDEX(Dot_O,0,MIN(10,DT$17)))*(DT$15+DT$16*P_PreInd)</f>
        <v>0</v>
      </c>
      <c r="DU53" s="36" t="n">
        <f aca="false">SUMPRODUCT((Per_Clase="Indirecto")*INDEX(Dot_O,0,MIN(10,DU$17)))*(DU$15+DU$16*P_PreInd)</f>
        <v>0</v>
      </c>
      <c r="DV53" s="36" t="n">
        <f aca="false">SUMPRODUCT((Per_Clase="Indirecto")*INDEX(Dot_O,0,MIN(10,DV$17)))*(DV$15+DV$16*P_PreInd)</f>
        <v>0</v>
      </c>
      <c r="DW53" s="36" t="n">
        <f aca="false">SUMPRODUCT((Per_Clase="Indirecto")*INDEX(Dot_O,0,MIN(10,DW$17)))*(DW$15+DW$16*P_PreInd)</f>
        <v>0</v>
      </c>
      <c r="DX53" s="36" t="n">
        <f aca="false">SUMPRODUCT((Per_Clase="Indirecto")*INDEX(Dot_O,0,MIN(10,DX$17)))*(DX$15+DX$16*P_PreInd)</f>
        <v>0</v>
      </c>
      <c r="DY53" s="36" t="n">
        <f aca="false">SUMPRODUCT((Per_Clase="Indirecto")*INDEX(Dot_O,0,MIN(10,DY$17)))*(DY$15+DY$16*P_PreInd)</f>
        <v>0</v>
      </c>
      <c r="DZ53" s="36" t="n">
        <f aca="false">SUMPRODUCT((Per_Clase="Indirecto")*INDEX(Dot_O,0,MIN(10,DZ$17)))*(DZ$15+DZ$16*P_PreInd)</f>
        <v>0</v>
      </c>
      <c r="EA53" s="36" t="n">
        <f aca="false">SUMPRODUCT((Per_Clase="Indirecto")*INDEX(Dot_O,0,MIN(10,EA$17)))*(EA$15+EA$16*P_PreInd)</f>
        <v>0</v>
      </c>
      <c r="EB53" s="36" t="n">
        <f aca="false">SUMPRODUCT((Per_Clase="Indirecto")*INDEX(Dot_O,0,MIN(10,EB$17)))*(EB$15+EB$16*P_PreInd)</f>
        <v>0</v>
      </c>
      <c r="EC53" s="36" t="n">
        <f aca="false">SUMPRODUCT((Per_Clase="Indirecto")*INDEX(Dot_O,0,MIN(10,EC$17)))*(EC$15+EC$16*P_PreInd)</f>
        <v>0</v>
      </c>
      <c r="ED53" s="36" t="n">
        <f aca="false">SUMPRODUCT((Per_Clase="Indirecto")*INDEX(Dot_O,0,MIN(10,ED$17)))*(ED$15+ED$16*P_PreInd)</f>
        <v>0</v>
      </c>
      <c r="EE53" s="36" t="n">
        <f aca="false">SUMPRODUCT((Per_Clase="Indirecto")*INDEX(Dot_O,0,MIN(10,EE$17)))*(EE$15+EE$16*P_PreInd)</f>
        <v>0</v>
      </c>
      <c r="EF53" s="36" t="n">
        <f aca="false">SUMPRODUCT((Per_Clase="Indirecto")*INDEX(Dot_O,0,MIN(10,EF$17)))*(EF$15+EF$16*P_PreInd)</f>
        <v>0</v>
      </c>
      <c r="EG53" s="36" t="n">
        <f aca="false">SUMPRODUCT((Per_Clase="Indirecto")*INDEX(Dot_O,0,MIN(10,EG$17)))*(EG$15+EG$16*P_PreInd)</f>
        <v>0</v>
      </c>
      <c r="EH53" s="36" t="n">
        <f aca="false">SUMPRODUCT((Per_Clase="Indirecto")*INDEX(Dot_O,0,MIN(10,EH$17)))*(EH$15+EH$16*P_PreInd)</f>
        <v>0</v>
      </c>
      <c r="EI53" s="36" t="n">
        <f aca="false">SUMPRODUCT((Per_Clase="Indirecto")*INDEX(Dot_O,0,MIN(10,EI$17)))*(EI$15+EI$16*P_PreInd)</f>
        <v>0</v>
      </c>
      <c r="EJ53" s="36" t="n">
        <f aca="false">SUMPRODUCT((Per_Clase="Indirecto")*INDEX(Dot_O,0,MIN(10,EJ$17)))*(EJ$15+EJ$16*P_PreInd)</f>
        <v>0</v>
      </c>
      <c r="EK53" s="36" t="n">
        <f aca="false">SUMPRODUCT((Per_Clase="Indirecto")*INDEX(Dot_O,0,MIN(10,EK$17)))*(EK$15+EK$16*P_PreInd)</f>
        <v>0</v>
      </c>
      <c r="EL53" s="36" t="n">
        <f aca="false">SUMPRODUCT((Per_Clase="Indirecto")*INDEX(Dot_O,0,MIN(10,EL$17)))*(EL$15+EL$16*P_PreInd)</f>
        <v>0</v>
      </c>
      <c r="EM53" s="36" t="n">
        <f aca="false">SUMPRODUCT((Per_Clase="Indirecto")*INDEX(Dot_O,0,MIN(10,EM$17)))*(EM$15+EM$16*P_PreInd)</f>
        <v>0</v>
      </c>
      <c r="EN53" s="36" t="n">
        <f aca="false">SUMPRODUCT((Per_Clase="Indirecto")*INDEX(Dot_O,0,MIN(10,EN$17)))*(EN$15+EN$16*P_PreInd)</f>
        <v>0</v>
      </c>
      <c r="EO53" s="36" t="n">
        <f aca="false">SUMPRODUCT((Per_Clase="Indirecto")*INDEX(Dot_O,0,MIN(10,EO$17)))*(EO$15+EO$16*P_PreInd)</f>
        <v>0</v>
      </c>
      <c r="EP53" s="36" t="n">
        <f aca="false">SUMPRODUCT((Per_Clase="Indirecto")*INDEX(Dot_O,0,MIN(10,EP$17)))*(EP$15+EP$16*P_PreInd)</f>
        <v>0</v>
      </c>
      <c r="EQ53" s="36" t="n">
        <f aca="false">SUMPRODUCT((Per_Clase="Indirecto")*INDEX(Dot_O,0,MIN(10,EQ$17)))*(EQ$15+EQ$16*P_PreInd)</f>
        <v>0</v>
      </c>
      <c r="ER53" s="36" t="n">
        <f aca="false">SUMPRODUCT((Per_Clase="Indirecto")*INDEX(Dot_O,0,MIN(10,ER$17)))*(ER$15+ER$16*P_PreInd)</f>
        <v>0</v>
      </c>
      <c r="ES53" s="36" t="n">
        <f aca="false">SUMPRODUCT((Per_Clase="Indirecto")*INDEX(Dot_O,0,MIN(10,ES$17)))*(ES$15+ES$16*P_PreInd)</f>
        <v>0</v>
      </c>
    </row>
    <row r="54" customFormat="false" ht="15" hidden="false" customHeight="false" outlineLevel="0" collapsed="false">
      <c r="A54" s="2" t="s">
        <v>474</v>
      </c>
      <c r="B54" s="6" t="s">
        <v>475</v>
      </c>
      <c r="C54" s="6" t="s">
        <v>212</v>
      </c>
      <c r="E54" s="40" t="n">
        <f aca="false">SUM(F54:ES54)</f>
        <v>0</v>
      </c>
      <c r="F54" s="34" t="n">
        <f aca="false">SUMPRODUCT((Per_Clase="Indirecto")*Sal_O*INDEX(Dot_O,0,MIN(10,F$17))*((Per_Mon="PYG")*F$19+(Per_Mon&lt;&gt;"PYG")))*(F$15+F$16*P_PreInd)*INDEX(IdxSal_O,1,MIN(10,F$17))*(1+P_Cargas)+F$53*P_Alim*F$19</f>
        <v>0</v>
      </c>
      <c r="G54" s="34" t="n">
        <f aca="false">SUMPRODUCT((Per_Clase="Indirecto")*Sal_O*INDEX(Dot_O,0,MIN(10,G$17))*((Per_Mon="PYG")*G$19+(Per_Mon&lt;&gt;"PYG")))*(G$15+G$16*P_PreInd)*INDEX(IdxSal_O,1,MIN(10,G$17))*(1+P_Cargas)+G$53*P_Alim*G$19</f>
        <v>0</v>
      </c>
      <c r="H54" s="34" t="n">
        <f aca="false">SUMPRODUCT((Per_Clase="Indirecto")*Sal_O*INDEX(Dot_O,0,MIN(10,H$17))*((Per_Mon="PYG")*H$19+(Per_Mon&lt;&gt;"PYG")))*(H$15+H$16*P_PreInd)*INDEX(IdxSal_O,1,MIN(10,H$17))*(1+P_Cargas)+H$53*P_Alim*H$19</f>
        <v>0</v>
      </c>
      <c r="I54" s="34" t="n">
        <f aca="false">SUMPRODUCT((Per_Clase="Indirecto")*Sal_O*INDEX(Dot_O,0,MIN(10,I$17))*((Per_Mon="PYG")*I$19+(Per_Mon&lt;&gt;"PYG")))*(I$15+I$16*P_PreInd)*INDEX(IdxSal_O,1,MIN(10,I$17))*(1+P_Cargas)+I$53*P_Alim*I$19</f>
        <v>0</v>
      </c>
      <c r="J54" s="34" t="n">
        <f aca="false">SUMPRODUCT((Per_Clase="Indirecto")*Sal_O*INDEX(Dot_O,0,MIN(10,J$17))*((Per_Mon="PYG")*J$19+(Per_Mon&lt;&gt;"PYG")))*(J$15+J$16*P_PreInd)*INDEX(IdxSal_O,1,MIN(10,J$17))*(1+P_Cargas)+J$53*P_Alim*J$19</f>
        <v>0</v>
      </c>
      <c r="K54" s="34" t="n">
        <f aca="false">SUMPRODUCT((Per_Clase="Indirecto")*Sal_O*INDEX(Dot_O,0,MIN(10,K$17))*((Per_Mon="PYG")*K$19+(Per_Mon&lt;&gt;"PYG")))*(K$15+K$16*P_PreInd)*INDEX(IdxSal_O,1,MIN(10,K$17))*(1+P_Cargas)+K$53*P_Alim*K$19</f>
        <v>0</v>
      </c>
      <c r="L54" s="34" t="n">
        <f aca="false">SUMPRODUCT((Per_Clase="Indirecto")*Sal_O*INDEX(Dot_O,0,MIN(10,L$17))*((Per_Mon="PYG")*L$19+(Per_Mon&lt;&gt;"PYG")))*(L$15+L$16*P_PreInd)*INDEX(IdxSal_O,1,MIN(10,L$17))*(1+P_Cargas)+L$53*P_Alim*L$19</f>
        <v>0</v>
      </c>
      <c r="M54" s="34" t="n">
        <f aca="false">SUMPRODUCT((Per_Clase="Indirecto")*Sal_O*INDEX(Dot_O,0,MIN(10,M$17))*((Per_Mon="PYG")*M$19+(Per_Mon&lt;&gt;"PYG")))*(M$15+M$16*P_PreInd)*INDEX(IdxSal_O,1,MIN(10,M$17))*(1+P_Cargas)+M$53*P_Alim*M$19</f>
        <v>0</v>
      </c>
      <c r="N54" s="34" t="n">
        <f aca="false">SUMPRODUCT((Per_Clase="Indirecto")*Sal_O*INDEX(Dot_O,0,MIN(10,N$17))*((Per_Mon="PYG")*N$19+(Per_Mon&lt;&gt;"PYG")))*(N$15+N$16*P_PreInd)*INDEX(IdxSal_O,1,MIN(10,N$17))*(1+P_Cargas)+N$53*P_Alim*N$19</f>
        <v>0</v>
      </c>
      <c r="O54" s="34" t="n">
        <f aca="false">SUMPRODUCT((Per_Clase="Indirecto")*Sal_O*INDEX(Dot_O,0,MIN(10,O$17))*((Per_Mon="PYG")*O$19+(Per_Mon&lt;&gt;"PYG")))*(O$15+O$16*P_PreInd)*INDEX(IdxSal_O,1,MIN(10,O$17))*(1+P_Cargas)+O$53*P_Alim*O$19</f>
        <v>0</v>
      </c>
      <c r="P54" s="34" t="n">
        <f aca="false">SUMPRODUCT((Per_Clase="Indirecto")*Sal_O*INDEX(Dot_O,0,MIN(10,P$17))*((Per_Mon="PYG")*P$19+(Per_Mon&lt;&gt;"PYG")))*(P$15+P$16*P_PreInd)*INDEX(IdxSal_O,1,MIN(10,P$17))*(1+P_Cargas)+P$53*P_Alim*P$19</f>
        <v>0</v>
      </c>
      <c r="Q54" s="34" t="n">
        <f aca="false">SUMPRODUCT((Per_Clase="Indirecto")*Sal_O*INDEX(Dot_O,0,MIN(10,Q$17))*((Per_Mon="PYG")*Q$19+(Per_Mon&lt;&gt;"PYG")))*(Q$15+Q$16*P_PreInd)*INDEX(IdxSal_O,1,MIN(10,Q$17))*(1+P_Cargas)+Q$53*P_Alim*Q$19</f>
        <v>0</v>
      </c>
      <c r="R54" s="34" t="n">
        <f aca="false">SUMPRODUCT((Per_Clase="Indirecto")*Sal_O*INDEX(Dot_O,0,MIN(10,R$17))*((Per_Mon="PYG")*R$19+(Per_Mon&lt;&gt;"PYG")))*(R$15+R$16*P_PreInd)*INDEX(IdxSal_O,1,MIN(10,R$17))*(1+P_Cargas)+R$53*P_Alim*R$19</f>
        <v>0</v>
      </c>
      <c r="S54" s="34" t="n">
        <f aca="false">SUMPRODUCT((Per_Clase="Indirecto")*Sal_O*INDEX(Dot_O,0,MIN(10,S$17))*((Per_Mon="PYG")*S$19+(Per_Mon&lt;&gt;"PYG")))*(S$15+S$16*P_PreInd)*INDEX(IdxSal_O,1,MIN(10,S$17))*(1+P_Cargas)+S$53*P_Alim*S$19</f>
        <v>0</v>
      </c>
      <c r="T54" s="34" t="n">
        <f aca="false">SUMPRODUCT((Per_Clase="Indirecto")*Sal_O*INDEX(Dot_O,0,MIN(10,T$17))*((Per_Mon="PYG")*T$19+(Per_Mon&lt;&gt;"PYG")))*(T$15+T$16*P_PreInd)*INDEX(IdxSal_O,1,MIN(10,T$17))*(1+P_Cargas)+T$53*P_Alim*T$19</f>
        <v>0</v>
      </c>
      <c r="U54" s="34" t="n">
        <f aca="false">SUMPRODUCT((Per_Clase="Indirecto")*Sal_O*INDEX(Dot_O,0,MIN(10,U$17))*((Per_Mon="PYG")*U$19+(Per_Mon&lt;&gt;"PYG")))*(U$15+U$16*P_PreInd)*INDEX(IdxSal_O,1,MIN(10,U$17))*(1+P_Cargas)+U$53*P_Alim*U$19</f>
        <v>0</v>
      </c>
      <c r="V54" s="34" t="n">
        <f aca="false">SUMPRODUCT((Per_Clase="Indirecto")*Sal_O*INDEX(Dot_O,0,MIN(10,V$17))*((Per_Mon="PYG")*V$19+(Per_Mon&lt;&gt;"PYG")))*(V$15+V$16*P_PreInd)*INDEX(IdxSal_O,1,MIN(10,V$17))*(1+P_Cargas)+V$53*P_Alim*V$19</f>
        <v>0</v>
      </c>
      <c r="W54" s="34" t="n">
        <f aca="false">SUMPRODUCT((Per_Clase="Indirecto")*Sal_O*INDEX(Dot_O,0,MIN(10,W$17))*((Per_Mon="PYG")*W$19+(Per_Mon&lt;&gt;"PYG")))*(W$15+W$16*P_PreInd)*INDEX(IdxSal_O,1,MIN(10,W$17))*(1+P_Cargas)+W$53*P_Alim*W$19</f>
        <v>0</v>
      </c>
      <c r="X54" s="34" t="n">
        <f aca="false">SUMPRODUCT((Per_Clase="Indirecto")*Sal_O*INDEX(Dot_O,0,MIN(10,X$17))*((Per_Mon="PYG")*X$19+(Per_Mon&lt;&gt;"PYG")))*(X$15+X$16*P_PreInd)*INDEX(IdxSal_O,1,MIN(10,X$17))*(1+P_Cargas)+X$53*P_Alim*X$19</f>
        <v>0</v>
      </c>
      <c r="Y54" s="34" t="n">
        <f aca="false">SUMPRODUCT((Per_Clase="Indirecto")*Sal_O*INDEX(Dot_O,0,MIN(10,Y$17))*((Per_Mon="PYG")*Y$19+(Per_Mon&lt;&gt;"PYG")))*(Y$15+Y$16*P_PreInd)*INDEX(IdxSal_O,1,MIN(10,Y$17))*(1+P_Cargas)+Y$53*P_Alim*Y$19</f>
        <v>0</v>
      </c>
      <c r="Z54" s="34" t="n">
        <f aca="false">SUMPRODUCT((Per_Clase="Indirecto")*Sal_O*INDEX(Dot_O,0,MIN(10,Z$17))*((Per_Mon="PYG")*Z$19+(Per_Mon&lt;&gt;"PYG")))*(Z$15+Z$16*P_PreInd)*INDEX(IdxSal_O,1,MIN(10,Z$17))*(1+P_Cargas)+Z$53*P_Alim*Z$19</f>
        <v>0</v>
      </c>
      <c r="AA54" s="34" t="n">
        <f aca="false">SUMPRODUCT((Per_Clase="Indirecto")*Sal_O*INDEX(Dot_O,0,MIN(10,AA$17))*((Per_Mon="PYG")*AA$19+(Per_Mon&lt;&gt;"PYG")))*(AA$15+AA$16*P_PreInd)*INDEX(IdxSal_O,1,MIN(10,AA$17))*(1+P_Cargas)+AA$53*P_Alim*AA$19</f>
        <v>0</v>
      </c>
      <c r="AB54" s="34" t="n">
        <f aca="false">SUMPRODUCT((Per_Clase="Indirecto")*Sal_O*INDEX(Dot_O,0,MIN(10,AB$17))*((Per_Mon="PYG")*AB$19+(Per_Mon&lt;&gt;"PYG")))*(AB$15+AB$16*P_PreInd)*INDEX(IdxSal_O,1,MIN(10,AB$17))*(1+P_Cargas)+AB$53*P_Alim*AB$19</f>
        <v>0</v>
      </c>
      <c r="AC54" s="34" t="n">
        <f aca="false">SUMPRODUCT((Per_Clase="Indirecto")*Sal_O*INDEX(Dot_O,0,MIN(10,AC$17))*((Per_Mon="PYG")*AC$19+(Per_Mon&lt;&gt;"PYG")))*(AC$15+AC$16*P_PreInd)*INDEX(IdxSal_O,1,MIN(10,AC$17))*(1+P_Cargas)+AC$53*P_Alim*AC$19</f>
        <v>0</v>
      </c>
      <c r="AD54" s="34" t="n">
        <f aca="false">SUMPRODUCT((Per_Clase="Indirecto")*Sal_O*INDEX(Dot_O,0,MIN(10,AD$17))*((Per_Mon="PYG")*AD$19+(Per_Mon&lt;&gt;"PYG")))*(AD$15+AD$16*P_PreInd)*INDEX(IdxSal_O,1,MIN(10,AD$17))*(1+P_Cargas)+AD$53*P_Alim*AD$19</f>
        <v>0</v>
      </c>
      <c r="AE54" s="34" t="n">
        <f aca="false">SUMPRODUCT((Per_Clase="Indirecto")*Sal_O*INDEX(Dot_O,0,MIN(10,AE$17))*((Per_Mon="PYG")*AE$19+(Per_Mon&lt;&gt;"PYG")))*(AE$15+AE$16*P_PreInd)*INDEX(IdxSal_O,1,MIN(10,AE$17))*(1+P_Cargas)+AE$53*P_Alim*AE$19</f>
        <v>0</v>
      </c>
      <c r="AF54" s="34" t="n">
        <f aca="false">SUMPRODUCT((Per_Clase="Indirecto")*Sal_O*INDEX(Dot_O,0,MIN(10,AF$17))*((Per_Mon="PYG")*AF$19+(Per_Mon&lt;&gt;"PYG")))*(AF$15+AF$16*P_PreInd)*INDEX(IdxSal_O,1,MIN(10,AF$17))*(1+P_Cargas)+AF$53*P_Alim*AF$19</f>
        <v>0</v>
      </c>
      <c r="AG54" s="34" t="n">
        <f aca="false">SUMPRODUCT((Per_Clase="Indirecto")*Sal_O*INDEX(Dot_O,0,MIN(10,AG$17))*((Per_Mon="PYG")*AG$19+(Per_Mon&lt;&gt;"PYG")))*(AG$15+AG$16*P_PreInd)*INDEX(IdxSal_O,1,MIN(10,AG$17))*(1+P_Cargas)+AG$53*P_Alim*AG$19</f>
        <v>0</v>
      </c>
      <c r="AH54" s="34" t="n">
        <f aca="false">SUMPRODUCT((Per_Clase="Indirecto")*Sal_O*INDEX(Dot_O,0,MIN(10,AH$17))*((Per_Mon="PYG")*AH$19+(Per_Mon&lt;&gt;"PYG")))*(AH$15+AH$16*P_PreInd)*INDEX(IdxSal_O,1,MIN(10,AH$17))*(1+P_Cargas)+AH$53*P_Alim*AH$19</f>
        <v>0</v>
      </c>
      <c r="AI54" s="34" t="n">
        <f aca="false">SUMPRODUCT((Per_Clase="Indirecto")*Sal_O*INDEX(Dot_O,0,MIN(10,AI$17))*((Per_Mon="PYG")*AI$19+(Per_Mon&lt;&gt;"PYG")))*(AI$15+AI$16*P_PreInd)*INDEX(IdxSal_O,1,MIN(10,AI$17))*(1+P_Cargas)+AI$53*P_Alim*AI$19</f>
        <v>0</v>
      </c>
      <c r="AJ54" s="34" t="n">
        <f aca="false">SUMPRODUCT((Per_Clase="Indirecto")*Sal_O*INDEX(Dot_O,0,MIN(10,AJ$17))*((Per_Mon="PYG")*AJ$19+(Per_Mon&lt;&gt;"PYG")))*(AJ$15+AJ$16*P_PreInd)*INDEX(IdxSal_O,1,MIN(10,AJ$17))*(1+P_Cargas)+AJ$53*P_Alim*AJ$19</f>
        <v>0</v>
      </c>
      <c r="AK54" s="34" t="n">
        <f aca="false">SUMPRODUCT((Per_Clase="Indirecto")*Sal_O*INDEX(Dot_O,0,MIN(10,AK$17))*((Per_Mon="PYG")*AK$19+(Per_Mon&lt;&gt;"PYG")))*(AK$15+AK$16*P_PreInd)*INDEX(IdxSal_O,1,MIN(10,AK$17))*(1+P_Cargas)+AK$53*P_Alim*AK$19</f>
        <v>0</v>
      </c>
      <c r="AL54" s="34" t="n">
        <f aca="false">SUMPRODUCT((Per_Clase="Indirecto")*Sal_O*INDEX(Dot_O,0,MIN(10,AL$17))*((Per_Mon="PYG")*AL$19+(Per_Mon&lt;&gt;"PYG")))*(AL$15+AL$16*P_PreInd)*INDEX(IdxSal_O,1,MIN(10,AL$17))*(1+P_Cargas)+AL$53*P_Alim*AL$19</f>
        <v>0</v>
      </c>
      <c r="AM54" s="34" t="n">
        <f aca="false">SUMPRODUCT((Per_Clase="Indirecto")*Sal_O*INDEX(Dot_O,0,MIN(10,AM$17))*((Per_Mon="PYG")*AM$19+(Per_Mon&lt;&gt;"PYG")))*(AM$15+AM$16*P_PreInd)*INDEX(IdxSal_O,1,MIN(10,AM$17))*(1+P_Cargas)+AM$53*P_Alim*AM$19</f>
        <v>0</v>
      </c>
      <c r="AN54" s="34" t="n">
        <f aca="false">SUMPRODUCT((Per_Clase="Indirecto")*Sal_O*INDEX(Dot_O,0,MIN(10,AN$17))*((Per_Mon="PYG")*AN$19+(Per_Mon&lt;&gt;"PYG")))*(AN$15+AN$16*P_PreInd)*INDEX(IdxSal_O,1,MIN(10,AN$17))*(1+P_Cargas)+AN$53*P_Alim*AN$19</f>
        <v>0</v>
      </c>
      <c r="AO54" s="34" t="n">
        <f aca="false">SUMPRODUCT((Per_Clase="Indirecto")*Sal_O*INDEX(Dot_O,0,MIN(10,AO$17))*((Per_Mon="PYG")*AO$19+(Per_Mon&lt;&gt;"PYG")))*(AO$15+AO$16*P_PreInd)*INDEX(IdxSal_O,1,MIN(10,AO$17))*(1+P_Cargas)+AO$53*P_Alim*AO$19</f>
        <v>0</v>
      </c>
      <c r="AP54" s="34" t="n">
        <f aca="false">SUMPRODUCT((Per_Clase="Indirecto")*Sal_O*INDEX(Dot_O,0,MIN(10,AP$17))*((Per_Mon="PYG")*AP$19+(Per_Mon&lt;&gt;"PYG")))*(AP$15+AP$16*P_PreInd)*INDEX(IdxSal_O,1,MIN(10,AP$17))*(1+P_Cargas)+AP$53*P_Alim*AP$19</f>
        <v>0</v>
      </c>
      <c r="AQ54" s="34" t="n">
        <f aca="false">SUMPRODUCT((Per_Clase="Indirecto")*Sal_O*INDEX(Dot_O,0,MIN(10,AQ$17))*((Per_Mon="PYG")*AQ$19+(Per_Mon&lt;&gt;"PYG")))*(AQ$15+AQ$16*P_PreInd)*INDEX(IdxSal_O,1,MIN(10,AQ$17))*(1+P_Cargas)+AQ$53*P_Alim*AQ$19</f>
        <v>0</v>
      </c>
      <c r="AR54" s="34" t="n">
        <f aca="false">SUMPRODUCT((Per_Clase="Indirecto")*Sal_O*INDEX(Dot_O,0,MIN(10,AR$17))*((Per_Mon="PYG")*AR$19+(Per_Mon&lt;&gt;"PYG")))*(AR$15+AR$16*P_PreInd)*INDEX(IdxSal_O,1,MIN(10,AR$17))*(1+P_Cargas)+AR$53*P_Alim*AR$19</f>
        <v>0</v>
      </c>
      <c r="AS54" s="34" t="n">
        <f aca="false">SUMPRODUCT((Per_Clase="Indirecto")*Sal_O*INDEX(Dot_O,0,MIN(10,AS$17))*((Per_Mon="PYG")*AS$19+(Per_Mon&lt;&gt;"PYG")))*(AS$15+AS$16*P_PreInd)*INDEX(IdxSal_O,1,MIN(10,AS$17))*(1+P_Cargas)+AS$53*P_Alim*AS$19</f>
        <v>0</v>
      </c>
      <c r="AT54" s="34" t="n">
        <f aca="false">SUMPRODUCT((Per_Clase="Indirecto")*Sal_O*INDEX(Dot_O,0,MIN(10,AT$17))*((Per_Mon="PYG")*AT$19+(Per_Mon&lt;&gt;"PYG")))*(AT$15+AT$16*P_PreInd)*INDEX(IdxSal_O,1,MIN(10,AT$17))*(1+P_Cargas)+AT$53*P_Alim*AT$19</f>
        <v>0</v>
      </c>
      <c r="AU54" s="34" t="n">
        <f aca="false">SUMPRODUCT((Per_Clase="Indirecto")*Sal_O*INDEX(Dot_O,0,MIN(10,AU$17))*((Per_Mon="PYG")*AU$19+(Per_Mon&lt;&gt;"PYG")))*(AU$15+AU$16*P_PreInd)*INDEX(IdxSal_O,1,MIN(10,AU$17))*(1+P_Cargas)+AU$53*P_Alim*AU$19</f>
        <v>0</v>
      </c>
      <c r="AV54" s="34" t="n">
        <f aca="false">SUMPRODUCT((Per_Clase="Indirecto")*Sal_O*INDEX(Dot_O,0,MIN(10,AV$17))*((Per_Mon="PYG")*AV$19+(Per_Mon&lt;&gt;"PYG")))*(AV$15+AV$16*P_PreInd)*INDEX(IdxSal_O,1,MIN(10,AV$17))*(1+P_Cargas)+AV$53*P_Alim*AV$19</f>
        <v>0</v>
      </c>
      <c r="AW54" s="34" t="n">
        <f aca="false">SUMPRODUCT((Per_Clase="Indirecto")*Sal_O*INDEX(Dot_O,0,MIN(10,AW$17))*((Per_Mon="PYG")*AW$19+(Per_Mon&lt;&gt;"PYG")))*(AW$15+AW$16*P_PreInd)*INDEX(IdxSal_O,1,MIN(10,AW$17))*(1+P_Cargas)+AW$53*P_Alim*AW$19</f>
        <v>0</v>
      </c>
      <c r="AX54" s="34" t="n">
        <f aca="false">SUMPRODUCT((Per_Clase="Indirecto")*Sal_O*INDEX(Dot_O,0,MIN(10,AX$17))*((Per_Mon="PYG")*AX$19+(Per_Mon&lt;&gt;"PYG")))*(AX$15+AX$16*P_PreInd)*INDEX(IdxSal_O,1,MIN(10,AX$17))*(1+P_Cargas)+AX$53*P_Alim*AX$19</f>
        <v>0</v>
      </c>
      <c r="AY54" s="34" t="n">
        <f aca="false">SUMPRODUCT((Per_Clase="Indirecto")*Sal_O*INDEX(Dot_O,0,MIN(10,AY$17))*((Per_Mon="PYG")*AY$19+(Per_Mon&lt;&gt;"PYG")))*(AY$15+AY$16*P_PreInd)*INDEX(IdxSal_O,1,MIN(10,AY$17))*(1+P_Cargas)+AY$53*P_Alim*AY$19</f>
        <v>0</v>
      </c>
      <c r="AZ54" s="34" t="n">
        <f aca="false">SUMPRODUCT((Per_Clase="Indirecto")*Sal_O*INDEX(Dot_O,0,MIN(10,AZ$17))*((Per_Mon="PYG")*AZ$19+(Per_Mon&lt;&gt;"PYG")))*(AZ$15+AZ$16*P_PreInd)*INDEX(IdxSal_O,1,MIN(10,AZ$17))*(1+P_Cargas)+AZ$53*P_Alim*AZ$19</f>
        <v>0</v>
      </c>
      <c r="BA54" s="34" t="n">
        <f aca="false">SUMPRODUCT((Per_Clase="Indirecto")*Sal_O*INDEX(Dot_O,0,MIN(10,BA$17))*((Per_Mon="PYG")*BA$19+(Per_Mon&lt;&gt;"PYG")))*(BA$15+BA$16*P_PreInd)*INDEX(IdxSal_O,1,MIN(10,BA$17))*(1+P_Cargas)+BA$53*P_Alim*BA$19</f>
        <v>0</v>
      </c>
      <c r="BB54" s="34" t="n">
        <f aca="false">SUMPRODUCT((Per_Clase="Indirecto")*Sal_O*INDEX(Dot_O,0,MIN(10,BB$17))*((Per_Mon="PYG")*BB$19+(Per_Mon&lt;&gt;"PYG")))*(BB$15+BB$16*P_PreInd)*INDEX(IdxSal_O,1,MIN(10,BB$17))*(1+P_Cargas)+BB$53*P_Alim*BB$19</f>
        <v>0</v>
      </c>
      <c r="BC54" s="34" t="n">
        <f aca="false">SUMPRODUCT((Per_Clase="Indirecto")*Sal_O*INDEX(Dot_O,0,MIN(10,BC$17))*((Per_Mon="PYG")*BC$19+(Per_Mon&lt;&gt;"PYG")))*(BC$15+BC$16*P_PreInd)*INDEX(IdxSal_O,1,MIN(10,BC$17))*(1+P_Cargas)+BC$53*P_Alim*BC$19</f>
        <v>0</v>
      </c>
      <c r="BD54" s="34" t="n">
        <f aca="false">SUMPRODUCT((Per_Clase="Indirecto")*Sal_O*INDEX(Dot_O,0,MIN(10,BD$17))*((Per_Mon="PYG")*BD$19+(Per_Mon&lt;&gt;"PYG")))*(BD$15+BD$16*P_PreInd)*INDEX(IdxSal_O,1,MIN(10,BD$17))*(1+P_Cargas)+BD$53*P_Alim*BD$19</f>
        <v>0</v>
      </c>
      <c r="BE54" s="34" t="n">
        <f aca="false">SUMPRODUCT((Per_Clase="Indirecto")*Sal_O*INDEX(Dot_O,0,MIN(10,BE$17))*((Per_Mon="PYG")*BE$19+(Per_Mon&lt;&gt;"PYG")))*(BE$15+BE$16*P_PreInd)*INDEX(IdxSal_O,1,MIN(10,BE$17))*(1+P_Cargas)+BE$53*P_Alim*BE$19</f>
        <v>0</v>
      </c>
      <c r="BF54" s="34" t="n">
        <f aca="false">SUMPRODUCT((Per_Clase="Indirecto")*Sal_O*INDEX(Dot_O,0,MIN(10,BF$17))*((Per_Mon="PYG")*BF$19+(Per_Mon&lt;&gt;"PYG")))*(BF$15+BF$16*P_PreInd)*INDEX(IdxSal_O,1,MIN(10,BF$17))*(1+P_Cargas)+BF$53*P_Alim*BF$19</f>
        <v>0</v>
      </c>
      <c r="BG54" s="34" t="n">
        <f aca="false">SUMPRODUCT((Per_Clase="Indirecto")*Sal_O*INDEX(Dot_O,0,MIN(10,BG$17))*((Per_Mon="PYG")*BG$19+(Per_Mon&lt;&gt;"PYG")))*(BG$15+BG$16*P_PreInd)*INDEX(IdxSal_O,1,MIN(10,BG$17))*(1+P_Cargas)+BG$53*P_Alim*BG$19</f>
        <v>0</v>
      </c>
      <c r="BH54" s="34" t="n">
        <f aca="false">SUMPRODUCT((Per_Clase="Indirecto")*Sal_O*INDEX(Dot_O,0,MIN(10,BH$17))*((Per_Mon="PYG")*BH$19+(Per_Mon&lt;&gt;"PYG")))*(BH$15+BH$16*P_PreInd)*INDEX(IdxSal_O,1,MIN(10,BH$17))*(1+P_Cargas)+BH$53*P_Alim*BH$19</f>
        <v>0</v>
      </c>
      <c r="BI54" s="34" t="n">
        <f aca="false">SUMPRODUCT((Per_Clase="Indirecto")*Sal_O*INDEX(Dot_O,0,MIN(10,BI$17))*((Per_Mon="PYG")*BI$19+(Per_Mon&lt;&gt;"PYG")))*(BI$15+BI$16*P_PreInd)*INDEX(IdxSal_O,1,MIN(10,BI$17))*(1+P_Cargas)+BI$53*P_Alim*BI$19</f>
        <v>0</v>
      </c>
      <c r="BJ54" s="34" t="n">
        <f aca="false">SUMPRODUCT((Per_Clase="Indirecto")*Sal_O*INDEX(Dot_O,0,MIN(10,BJ$17))*((Per_Mon="PYG")*BJ$19+(Per_Mon&lt;&gt;"PYG")))*(BJ$15+BJ$16*P_PreInd)*INDEX(IdxSal_O,1,MIN(10,BJ$17))*(1+P_Cargas)+BJ$53*P_Alim*BJ$19</f>
        <v>0</v>
      </c>
      <c r="BK54" s="34" t="n">
        <f aca="false">SUMPRODUCT((Per_Clase="Indirecto")*Sal_O*INDEX(Dot_O,0,MIN(10,BK$17))*((Per_Mon="PYG")*BK$19+(Per_Mon&lt;&gt;"PYG")))*(BK$15+BK$16*P_PreInd)*INDEX(IdxSal_O,1,MIN(10,BK$17))*(1+P_Cargas)+BK$53*P_Alim*BK$19</f>
        <v>0</v>
      </c>
      <c r="BL54" s="34" t="n">
        <f aca="false">SUMPRODUCT((Per_Clase="Indirecto")*Sal_O*INDEX(Dot_O,0,MIN(10,BL$17))*((Per_Mon="PYG")*BL$19+(Per_Mon&lt;&gt;"PYG")))*(BL$15+BL$16*P_PreInd)*INDEX(IdxSal_O,1,MIN(10,BL$17))*(1+P_Cargas)+BL$53*P_Alim*BL$19</f>
        <v>0</v>
      </c>
      <c r="BM54" s="34" t="n">
        <f aca="false">SUMPRODUCT((Per_Clase="Indirecto")*Sal_O*INDEX(Dot_O,0,MIN(10,BM$17))*((Per_Mon="PYG")*BM$19+(Per_Mon&lt;&gt;"PYG")))*(BM$15+BM$16*P_PreInd)*INDEX(IdxSal_O,1,MIN(10,BM$17))*(1+P_Cargas)+BM$53*P_Alim*BM$19</f>
        <v>0</v>
      </c>
      <c r="BN54" s="34" t="n">
        <f aca="false">SUMPRODUCT((Per_Clase="Indirecto")*Sal_O*INDEX(Dot_O,0,MIN(10,BN$17))*((Per_Mon="PYG")*BN$19+(Per_Mon&lt;&gt;"PYG")))*(BN$15+BN$16*P_PreInd)*INDEX(IdxSal_O,1,MIN(10,BN$17))*(1+P_Cargas)+BN$53*P_Alim*BN$19</f>
        <v>0</v>
      </c>
      <c r="BO54" s="34" t="n">
        <f aca="false">SUMPRODUCT((Per_Clase="Indirecto")*Sal_O*INDEX(Dot_O,0,MIN(10,BO$17))*((Per_Mon="PYG")*BO$19+(Per_Mon&lt;&gt;"PYG")))*(BO$15+BO$16*P_PreInd)*INDEX(IdxSal_O,1,MIN(10,BO$17))*(1+P_Cargas)+BO$53*P_Alim*BO$19</f>
        <v>0</v>
      </c>
      <c r="BP54" s="34" t="n">
        <f aca="false">SUMPRODUCT((Per_Clase="Indirecto")*Sal_O*INDEX(Dot_O,0,MIN(10,BP$17))*((Per_Mon="PYG")*BP$19+(Per_Mon&lt;&gt;"PYG")))*(BP$15+BP$16*P_PreInd)*INDEX(IdxSal_O,1,MIN(10,BP$17))*(1+P_Cargas)+BP$53*P_Alim*BP$19</f>
        <v>0</v>
      </c>
      <c r="BQ54" s="34" t="n">
        <f aca="false">SUMPRODUCT((Per_Clase="Indirecto")*Sal_O*INDEX(Dot_O,0,MIN(10,BQ$17))*((Per_Mon="PYG")*BQ$19+(Per_Mon&lt;&gt;"PYG")))*(BQ$15+BQ$16*P_PreInd)*INDEX(IdxSal_O,1,MIN(10,BQ$17))*(1+P_Cargas)+BQ$53*P_Alim*BQ$19</f>
        <v>0</v>
      </c>
      <c r="BR54" s="34" t="n">
        <f aca="false">SUMPRODUCT((Per_Clase="Indirecto")*Sal_O*INDEX(Dot_O,0,MIN(10,BR$17))*((Per_Mon="PYG")*BR$19+(Per_Mon&lt;&gt;"PYG")))*(BR$15+BR$16*P_PreInd)*INDEX(IdxSal_O,1,MIN(10,BR$17))*(1+P_Cargas)+BR$53*P_Alim*BR$19</f>
        <v>0</v>
      </c>
      <c r="BS54" s="34" t="n">
        <f aca="false">SUMPRODUCT((Per_Clase="Indirecto")*Sal_O*INDEX(Dot_O,0,MIN(10,BS$17))*((Per_Mon="PYG")*BS$19+(Per_Mon&lt;&gt;"PYG")))*(BS$15+BS$16*P_PreInd)*INDEX(IdxSal_O,1,MIN(10,BS$17))*(1+P_Cargas)+BS$53*P_Alim*BS$19</f>
        <v>0</v>
      </c>
      <c r="BT54" s="34" t="n">
        <f aca="false">SUMPRODUCT((Per_Clase="Indirecto")*Sal_O*INDEX(Dot_O,0,MIN(10,BT$17))*((Per_Mon="PYG")*BT$19+(Per_Mon&lt;&gt;"PYG")))*(BT$15+BT$16*P_PreInd)*INDEX(IdxSal_O,1,MIN(10,BT$17))*(1+P_Cargas)+BT$53*P_Alim*BT$19</f>
        <v>0</v>
      </c>
      <c r="BU54" s="34" t="n">
        <f aca="false">SUMPRODUCT((Per_Clase="Indirecto")*Sal_O*INDEX(Dot_O,0,MIN(10,BU$17))*((Per_Mon="PYG")*BU$19+(Per_Mon&lt;&gt;"PYG")))*(BU$15+BU$16*P_PreInd)*INDEX(IdxSal_O,1,MIN(10,BU$17))*(1+P_Cargas)+BU$53*P_Alim*BU$19</f>
        <v>0</v>
      </c>
      <c r="BV54" s="34" t="n">
        <f aca="false">SUMPRODUCT((Per_Clase="Indirecto")*Sal_O*INDEX(Dot_O,0,MIN(10,BV$17))*((Per_Mon="PYG")*BV$19+(Per_Mon&lt;&gt;"PYG")))*(BV$15+BV$16*P_PreInd)*INDEX(IdxSal_O,1,MIN(10,BV$17))*(1+P_Cargas)+BV$53*P_Alim*BV$19</f>
        <v>0</v>
      </c>
      <c r="BW54" s="34" t="n">
        <f aca="false">SUMPRODUCT((Per_Clase="Indirecto")*Sal_O*INDEX(Dot_O,0,MIN(10,BW$17))*((Per_Mon="PYG")*BW$19+(Per_Mon&lt;&gt;"PYG")))*(BW$15+BW$16*P_PreInd)*INDEX(IdxSal_O,1,MIN(10,BW$17))*(1+P_Cargas)+BW$53*P_Alim*BW$19</f>
        <v>0</v>
      </c>
      <c r="BX54" s="34" t="n">
        <f aca="false">SUMPRODUCT((Per_Clase="Indirecto")*Sal_O*INDEX(Dot_O,0,MIN(10,BX$17))*((Per_Mon="PYG")*BX$19+(Per_Mon&lt;&gt;"PYG")))*(BX$15+BX$16*P_PreInd)*INDEX(IdxSal_O,1,MIN(10,BX$17))*(1+P_Cargas)+BX$53*P_Alim*BX$19</f>
        <v>0</v>
      </c>
      <c r="BY54" s="34" t="n">
        <f aca="false">SUMPRODUCT((Per_Clase="Indirecto")*Sal_O*INDEX(Dot_O,0,MIN(10,BY$17))*((Per_Mon="PYG")*BY$19+(Per_Mon&lt;&gt;"PYG")))*(BY$15+BY$16*P_PreInd)*INDEX(IdxSal_O,1,MIN(10,BY$17))*(1+P_Cargas)+BY$53*P_Alim*BY$19</f>
        <v>0</v>
      </c>
      <c r="BZ54" s="34" t="n">
        <f aca="false">SUMPRODUCT((Per_Clase="Indirecto")*Sal_O*INDEX(Dot_O,0,MIN(10,BZ$17))*((Per_Mon="PYG")*BZ$19+(Per_Mon&lt;&gt;"PYG")))*(BZ$15+BZ$16*P_PreInd)*INDEX(IdxSal_O,1,MIN(10,BZ$17))*(1+P_Cargas)+BZ$53*P_Alim*BZ$19</f>
        <v>0</v>
      </c>
      <c r="CA54" s="34" t="n">
        <f aca="false">SUMPRODUCT((Per_Clase="Indirecto")*Sal_O*INDEX(Dot_O,0,MIN(10,CA$17))*((Per_Mon="PYG")*CA$19+(Per_Mon&lt;&gt;"PYG")))*(CA$15+CA$16*P_PreInd)*INDEX(IdxSal_O,1,MIN(10,CA$17))*(1+P_Cargas)+CA$53*P_Alim*CA$19</f>
        <v>0</v>
      </c>
      <c r="CB54" s="34" t="n">
        <f aca="false">SUMPRODUCT((Per_Clase="Indirecto")*Sal_O*INDEX(Dot_O,0,MIN(10,CB$17))*((Per_Mon="PYG")*CB$19+(Per_Mon&lt;&gt;"PYG")))*(CB$15+CB$16*P_PreInd)*INDEX(IdxSal_O,1,MIN(10,CB$17))*(1+P_Cargas)+CB$53*P_Alim*CB$19</f>
        <v>0</v>
      </c>
      <c r="CC54" s="34" t="n">
        <f aca="false">SUMPRODUCT((Per_Clase="Indirecto")*Sal_O*INDEX(Dot_O,0,MIN(10,CC$17))*((Per_Mon="PYG")*CC$19+(Per_Mon&lt;&gt;"PYG")))*(CC$15+CC$16*P_PreInd)*INDEX(IdxSal_O,1,MIN(10,CC$17))*(1+P_Cargas)+CC$53*P_Alim*CC$19</f>
        <v>0</v>
      </c>
      <c r="CD54" s="34" t="n">
        <f aca="false">SUMPRODUCT((Per_Clase="Indirecto")*Sal_O*INDEX(Dot_O,0,MIN(10,CD$17))*((Per_Mon="PYG")*CD$19+(Per_Mon&lt;&gt;"PYG")))*(CD$15+CD$16*P_PreInd)*INDEX(IdxSal_O,1,MIN(10,CD$17))*(1+P_Cargas)+CD$53*P_Alim*CD$19</f>
        <v>0</v>
      </c>
      <c r="CE54" s="34" t="n">
        <f aca="false">SUMPRODUCT((Per_Clase="Indirecto")*Sal_O*INDEX(Dot_O,0,MIN(10,CE$17))*((Per_Mon="PYG")*CE$19+(Per_Mon&lt;&gt;"PYG")))*(CE$15+CE$16*P_PreInd)*INDEX(IdxSal_O,1,MIN(10,CE$17))*(1+P_Cargas)+CE$53*P_Alim*CE$19</f>
        <v>0</v>
      </c>
      <c r="CF54" s="34" t="n">
        <f aca="false">SUMPRODUCT((Per_Clase="Indirecto")*Sal_O*INDEX(Dot_O,0,MIN(10,CF$17))*((Per_Mon="PYG")*CF$19+(Per_Mon&lt;&gt;"PYG")))*(CF$15+CF$16*P_PreInd)*INDEX(IdxSal_O,1,MIN(10,CF$17))*(1+P_Cargas)+CF$53*P_Alim*CF$19</f>
        <v>0</v>
      </c>
      <c r="CG54" s="34" t="n">
        <f aca="false">SUMPRODUCT((Per_Clase="Indirecto")*Sal_O*INDEX(Dot_O,0,MIN(10,CG$17))*((Per_Mon="PYG")*CG$19+(Per_Mon&lt;&gt;"PYG")))*(CG$15+CG$16*P_PreInd)*INDEX(IdxSal_O,1,MIN(10,CG$17))*(1+P_Cargas)+CG$53*P_Alim*CG$19</f>
        <v>0</v>
      </c>
      <c r="CH54" s="34" t="n">
        <f aca="false">SUMPRODUCT((Per_Clase="Indirecto")*Sal_O*INDEX(Dot_O,0,MIN(10,CH$17))*((Per_Mon="PYG")*CH$19+(Per_Mon&lt;&gt;"PYG")))*(CH$15+CH$16*P_PreInd)*INDEX(IdxSal_O,1,MIN(10,CH$17))*(1+P_Cargas)+CH$53*P_Alim*CH$19</f>
        <v>0</v>
      </c>
      <c r="CI54" s="34" t="n">
        <f aca="false">SUMPRODUCT((Per_Clase="Indirecto")*Sal_O*INDEX(Dot_O,0,MIN(10,CI$17))*((Per_Mon="PYG")*CI$19+(Per_Mon&lt;&gt;"PYG")))*(CI$15+CI$16*P_PreInd)*INDEX(IdxSal_O,1,MIN(10,CI$17))*(1+P_Cargas)+CI$53*P_Alim*CI$19</f>
        <v>0</v>
      </c>
      <c r="CJ54" s="34" t="n">
        <f aca="false">SUMPRODUCT((Per_Clase="Indirecto")*Sal_O*INDEX(Dot_O,0,MIN(10,CJ$17))*((Per_Mon="PYG")*CJ$19+(Per_Mon&lt;&gt;"PYG")))*(CJ$15+CJ$16*P_PreInd)*INDEX(IdxSal_O,1,MIN(10,CJ$17))*(1+P_Cargas)+CJ$53*P_Alim*CJ$19</f>
        <v>0</v>
      </c>
      <c r="CK54" s="34" t="n">
        <f aca="false">SUMPRODUCT((Per_Clase="Indirecto")*Sal_O*INDEX(Dot_O,0,MIN(10,CK$17))*((Per_Mon="PYG")*CK$19+(Per_Mon&lt;&gt;"PYG")))*(CK$15+CK$16*P_PreInd)*INDEX(IdxSal_O,1,MIN(10,CK$17))*(1+P_Cargas)+CK$53*P_Alim*CK$19</f>
        <v>0</v>
      </c>
      <c r="CL54" s="34" t="n">
        <f aca="false">SUMPRODUCT((Per_Clase="Indirecto")*Sal_O*INDEX(Dot_O,0,MIN(10,CL$17))*((Per_Mon="PYG")*CL$19+(Per_Mon&lt;&gt;"PYG")))*(CL$15+CL$16*P_PreInd)*INDEX(IdxSal_O,1,MIN(10,CL$17))*(1+P_Cargas)+CL$53*P_Alim*CL$19</f>
        <v>0</v>
      </c>
      <c r="CM54" s="34" t="n">
        <f aca="false">SUMPRODUCT((Per_Clase="Indirecto")*Sal_O*INDEX(Dot_O,0,MIN(10,CM$17))*((Per_Mon="PYG")*CM$19+(Per_Mon&lt;&gt;"PYG")))*(CM$15+CM$16*P_PreInd)*INDEX(IdxSal_O,1,MIN(10,CM$17))*(1+P_Cargas)+CM$53*P_Alim*CM$19</f>
        <v>0</v>
      </c>
      <c r="CN54" s="34" t="n">
        <f aca="false">SUMPRODUCT((Per_Clase="Indirecto")*Sal_O*INDEX(Dot_O,0,MIN(10,CN$17))*((Per_Mon="PYG")*CN$19+(Per_Mon&lt;&gt;"PYG")))*(CN$15+CN$16*P_PreInd)*INDEX(IdxSal_O,1,MIN(10,CN$17))*(1+P_Cargas)+CN$53*P_Alim*CN$19</f>
        <v>0</v>
      </c>
      <c r="CO54" s="34" t="n">
        <f aca="false">SUMPRODUCT((Per_Clase="Indirecto")*Sal_O*INDEX(Dot_O,0,MIN(10,CO$17))*((Per_Mon="PYG")*CO$19+(Per_Mon&lt;&gt;"PYG")))*(CO$15+CO$16*P_PreInd)*INDEX(IdxSal_O,1,MIN(10,CO$17))*(1+P_Cargas)+CO$53*P_Alim*CO$19</f>
        <v>0</v>
      </c>
      <c r="CP54" s="34" t="n">
        <f aca="false">SUMPRODUCT((Per_Clase="Indirecto")*Sal_O*INDEX(Dot_O,0,MIN(10,CP$17))*((Per_Mon="PYG")*CP$19+(Per_Mon&lt;&gt;"PYG")))*(CP$15+CP$16*P_PreInd)*INDEX(IdxSal_O,1,MIN(10,CP$17))*(1+P_Cargas)+CP$53*P_Alim*CP$19</f>
        <v>0</v>
      </c>
      <c r="CQ54" s="34" t="n">
        <f aca="false">SUMPRODUCT((Per_Clase="Indirecto")*Sal_O*INDEX(Dot_O,0,MIN(10,CQ$17))*((Per_Mon="PYG")*CQ$19+(Per_Mon&lt;&gt;"PYG")))*(CQ$15+CQ$16*P_PreInd)*INDEX(IdxSal_O,1,MIN(10,CQ$17))*(1+P_Cargas)+CQ$53*P_Alim*CQ$19</f>
        <v>0</v>
      </c>
      <c r="CR54" s="34" t="n">
        <f aca="false">SUMPRODUCT((Per_Clase="Indirecto")*Sal_O*INDEX(Dot_O,0,MIN(10,CR$17))*((Per_Mon="PYG")*CR$19+(Per_Mon&lt;&gt;"PYG")))*(CR$15+CR$16*P_PreInd)*INDEX(IdxSal_O,1,MIN(10,CR$17))*(1+P_Cargas)+CR$53*P_Alim*CR$19</f>
        <v>0</v>
      </c>
      <c r="CS54" s="34" t="n">
        <f aca="false">SUMPRODUCT((Per_Clase="Indirecto")*Sal_O*INDEX(Dot_O,0,MIN(10,CS$17))*((Per_Mon="PYG")*CS$19+(Per_Mon&lt;&gt;"PYG")))*(CS$15+CS$16*P_PreInd)*INDEX(IdxSal_O,1,MIN(10,CS$17))*(1+P_Cargas)+CS$53*P_Alim*CS$19</f>
        <v>0</v>
      </c>
      <c r="CT54" s="34" t="n">
        <f aca="false">SUMPRODUCT((Per_Clase="Indirecto")*Sal_O*INDEX(Dot_O,0,MIN(10,CT$17))*((Per_Mon="PYG")*CT$19+(Per_Mon&lt;&gt;"PYG")))*(CT$15+CT$16*P_PreInd)*INDEX(IdxSal_O,1,MIN(10,CT$17))*(1+P_Cargas)+CT$53*P_Alim*CT$19</f>
        <v>0</v>
      </c>
      <c r="CU54" s="34" t="n">
        <f aca="false">SUMPRODUCT((Per_Clase="Indirecto")*Sal_O*INDEX(Dot_O,0,MIN(10,CU$17))*((Per_Mon="PYG")*CU$19+(Per_Mon&lt;&gt;"PYG")))*(CU$15+CU$16*P_PreInd)*INDEX(IdxSal_O,1,MIN(10,CU$17))*(1+P_Cargas)+CU$53*P_Alim*CU$19</f>
        <v>0</v>
      </c>
      <c r="CV54" s="34" t="n">
        <f aca="false">SUMPRODUCT((Per_Clase="Indirecto")*Sal_O*INDEX(Dot_O,0,MIN(10,CV$17))*((Per_Mon="PYG")*CV$19+(Per_Mon&lt;&gt;"PYG")))*(CV$15+CV$16*P_PreInd)*INDEX(IdxSal_O,1,MIN(10,CV$17))*(1+P_Cargas)+CV$53*P_Alim*CV$19</f>
        <v>0</v>
      </c>
      <c r="CW54" s="34" t="n">
        <f aca="false">SUMPRODUCT((Per_Clase="Indirecto")*Sal_O*INDEX(Dot_O,0,MIN(10,CW$17))*((Per_Mon="PYG")*CW$19+(Per_Mon&lt;&gt;"PYG")))*(CW$15+CW$16*P_PreInd)*INDEX(IdxSal_O,1,MIN(10,CW$17))*(1+P_Cargas)+CW$53*P_Alim*CW$19</f>
        <v>0</v>
      </c>
      <c r="CX54" s="34" t="n">
        <f aca="false">SUMPRODUCT((Per_Clase="Indirecto")*Sal_O*INDEX(Dot_O,0,MIN(10,CX$17))*((Per_Mon="PYG")*CX$19+(Per_Mon&lt;&gt;"PYG")))*(CX$15+CX$16*P_PreInd)*INDEX(IdxSal_O,1,MIN(10,CX$17))*(1+P_Cargas)+CX$53*P_Alim*CX$19</f>
        <v>0</v>
      </c>
      <c r="CY54" s="34" t="n">
        <f aca="false">SUMPRODUCT((Per_Clase="Indirecto")*Sal_O*INDEX(Dot_O,0,MIN(10,CY$17))*((Per_Mon="PYG")*CY$19+(Per_Mon&lt;&gt;"PYG")))*(CY$15+CY$16*P_PreInd)*INDEX(IdxSal_O,1,MIN(10,CY$17))*(1+P_Cargas)+CY$53*P_Alim*CY$19</f>
        <v>0</v>
      </c>
      <c r="CZ54" s="34" t="n">
        <f aca="false">SUMPRODUCT((Per_Clase="Indirecto")*Sal_O*INDEX(Dot_O,0,MIN(10,CZ$17))*((Per_Mon="PYG")*CZ$19+(Per_Mon&lt;&gt;"PYG")))*(CZ$15+CZ$16*P_PreInd)*INDEX(IdxSal_O,1,MIN(10,CZ$17))*(1+P_Cargas)+CZ$53*P_Alim*CZ$19</f>
        <v>0</v>
      </c>
      <c r="DA54" s="34" t="n">
        <f aca="false">SUMPRODUCT((Per_Clase="Indirecto")*Sal_O*INDEX(Dot_O,0,MIN(10,DA$17))*((Per_Mon="PYG")*DA$19+(Per_Mon&lt;&gt;"PYG")))*(DA$15+DA$16*P_PreInd)*INDEX(IdxSal_O,1,MIN(10,DA$17))*(1+P_Cargas)+DA$53*P_Alim*DA$19</f>
        <v>0</v>
      </c>
      <c r="DB54" s="34" t="n">
        <f aca="false">SUMPRODUCT((Per_Clase="Indirecto")*Sal_O*INDEX(Dot_O,0,MIN(10,DB$17))*((Per_Mon="PYG")*DB$19+(Per_Mon&lt;&gt;"PYG")))*(DB$15+DB$16*P_PreInd)*INDEX(IdxSal_O,1,MIN(10,DB$17))*(1+P_Cargas)+DB$53*P_Alim*DB$19</f>
        <v>0</v>
      </c>
      <c r="DC54" s="34" t="n">
        <f aca="false">SUMPRODUCT((Per_Clase="Indirecto")*Sal_O*INDEX(Dot_O,0,MIN(10,DC$17))*((Per_Mon="PYG")*DC$19+(Per_Mon&lt;&gt;"PYG")))*(DC$15+DC$16*P_PreInd)*INDEX(IdxSal_O,1,MIN(10,DC$17))*(1+P_Cargas)+DC$53*P_Alim*DC$19</f>
        <v>0</v>
      </c>
      <c r="DD54" s="34" t="n">
        <f aca="false">SUMPRODUCT((Per_Clase="Indirecto")*Sal_O*INDEX(Dot_O,0,MIN(10,DD$17))*((Per_Mon="PYG")*DD$19+(Per_Mon&lt;&gt;"PYG")))*(DD$15+DD$16*P_PreInd)*INDEX(IdxSal_O,1,MIN(10,DD$17))*(1+P_Cargas)+DD$53*P_Alim*DD$19</f>
        <v>0</v>
      </c>
      <c r="DE54" s="34" t="n">
        <f aca="false">SUMPRODUCT((Per_Clase="Indirecto")*Sal_O*INDEX(Dot_O,0,MIN(10,DE$17))*((Per_Mon="PYG")*DE$19+(Per_Mon&lt;&gt;"PYG")))*(DE$15+DE$16*P_PreInd)*INDEX(IdxSal_O,1,MIN(10,DE$17))*(1+P_Cargas)+DE$53*P_Alim*DE$19</f>
        <v>0</v>
      </c>
      <c r="DF54" s="34" t="n">
        <f aca="false">SUMPRODUCT((Per_Clase="Indirecto")*Sal_O*INDEX(Dot_O,0,MIN(10,DF$17))*((Per_Mon="PYG")*DF$19+(Per_Mon&lt;&gt;"PYG")))*(DF$15+DF$16*P_PreInd)*INDEX(IdxSal_O,1,MIN(10,DF$17))*(1+P_Cargas)+DF$53*P_Alim*DF$19</f>
        <v>0</v>
      </c>
      <c r="DG54" s="34" t="n">
        <f aca="false">SUMPRODUCT((Per_Clase="Indirecto")*Sal_O*INDEX(Dot_O,0,MIN(10,DG$17))*((Per_Mon="PYG")*DG$19+(Per_Mon&lt;&gt;"PYG")))*(DG$15+DG$16*P_PreInd)*INDEX(IdxSal_O,1,MIN(10,DG$17))*(1+P_Cargas)+DG$53*P_Alim*DG$19</f>
        <v>0</v>
      </c>
      <c r="DH54" s="34" t="n">
        <f aca="false">SUMPRODUCT((Per_Clase="Indirecto")*Sal_O*INDEX(Dot_O,0,MIN(10,DH$17))*((Per_Mon="PYG")*DH$19+(Per_Mon&lt;&gt;"PYG")))*(DH$15+DH$16*P_PreInd)*INDEX(IdxSal_O,1,MIN(10,DH$17))*(1+P_Cargas)+DH$53*P_Alim*DH$19</f>
        <v>0</v>
      </c>
      <c r="DI54" s="34" t="n">
        <f aca="false">SUMPRODUCT((Per_Clase="Indirecto")*Sal_O*INDEX(Dot_O,0,MIN(10,DI$17))*((Per_Mon="PYG")*DI$19+(Per_Mon&lt;&gt;"PYG")))*(DI$15+DI$16*P_PreInd)*INDEX(IdxSal_O,1,MIN(10,DI$17))*(1+P_Cargas)+DI$53*P_Alim*DI$19</f>
        <v>0</v>
      </c>
      <c r="DJ54" s="34" t="n">
        <f aca="false">SUMPRODUCT((Per_Clase="Indirecto")*Sal_O*INDEX(Dot_O,0,MIN(10,DJ$17))*((Per_Mon="PYG")*DJ$19+(Per_Mon&lt;&gt;"PYG")))*(DJ$15+DJ$16*P_PreInd)*INDEX(IdxSal_O,1,MIN(10,DJ$17))*(1+P_Cargas)+DJ$53*P_Alim*DJ$19</f>
        <v>0</v>
      </c>
      <c r="DK54" s="34" t="n">
        <f aca="false">SUMPRODUCT((Per_Clase="Indirecto")*Sal_O*INDEX(Dot_O,0,MIN(10,DK$17))*((Per_Mon="PYG")*DK$19+(Per_Mon&lt;&gt;"PYG")))*(DK$15+DK$16*P_PreInd)*INDEX(IdxSal_O,1,MIN(10,DK$17))*(1+P_Cargas)+DK$53*P_Alim*DK$19</f>
        <v>0</v>
      </c>
      <c r="DL54" s="34" t="n">
        <f aca="false">SUMPRODUCT((Per_Clase="Indirecto")*Sal_O*INDEX(Dot_O,0,MIN(10,DL$17))*((Per_Mon="PYG")*DL$19+(Per_Mon&lt;&gt;"PYG")))*(DL$15+DL$16*P_PreInd)*INDEX(IdxSal_O,1,MIN(10,DL$17))*(1+P_Cargas)+DL$53*P_Alim*DL$19</f>
        <v>0</v>
      </c>
      <c r="DM54" s="34" t="n">
        <f aca="false">SUMPRODUCT((Per_Clase="Indirecto")*Sal_O*INDEX(Dot_O,0,MIN(10,DM$17))*((Per_Mon="PYG")*DM$19+(Per_Mon&lt;&gt;"PYG")))*(DM$15+DM$16*P_PreInd)*INDEX(IdxSal_O,1,MIN(10,DM$17))*(1+P_Cargas)+DM$53*P_Alim*DM$19</f>
        <v>0</v>
      </c>
      <c r="DN54" s="34" t="n">
        <f aca="false">SUMPRODUCT((Per_Clase="Indirecto")*Sal_O*INDEX(Dot_O,0,MIN(10,DN$17))*((Per_Mon="PYG")*DN$19+(Per_Mon&lt;&gt;"PYG")))*(DN$15+DN$16*P_PreInd)*INDEX(IdxSal_O,1,MIN(10,DN$17))*(1+P_Cargas)+DN$53*P_Alim*DN$19</f>
        <v>0</v>
      </c>
      <c r="DO54" s="34" t="n">
        <f aca="false">SUMPRODUCT((Per_Clase="Indirecto")*Sal_O*INDEX(Dot_O,0,MIN(10,DO$17))*((Per_Mon="PYG")*DO$19+(Per_Mon&lt;&gt;"PYG")))*(DO$15+DO$16*P_PreInd)*INDEX(IdxSal_O,1,MIN(10,DO$17))*(1+P_Cargas)+DO$53*P_Alim*DO$19</f>
        <v>0</v>
      </c>
      <c r="DP54" s="34" t="n">
        <f aca="false">SUMPRODUCT((Per_Clase="Indirecto")*Sal_O*INDEX(Dot_O,0,MIN(10,DP$17))*((Per_Mon="PYG")*DP$19+(Per_Mon&lt;&gt;"PYG")))*(DP$15+DP$16*P_PreInd)*INDEX(IdxSal_O,1,MIN(10,DP$17))*(1+P_Cargas)+DP$53*P_Alim*DP$19</f>
        <v>0</v>
      </c>
      <c r="DQ54" s="34" t="n">
        <f aca="false">SUMPRODUCT((Per_Clase="Indirecto")*Sal_O*INDEX(Dot_O,0,MIN(10,DQ$17))*((Per_Mon="PYG")*DQ$19+(Per_Mon&lt;&gt;"PYG")))*(DQ$15+DQ$16*P_PreInd)*INDEX(IdxSal_O,1,MIN(10,DQ$17))*(1+P_Cargas)+DQ$53*P_Alim*DQ$19</f>
        <v>0</v>
      </c>
      <c r="DR54" s="34" t="n">
        <f aca="false">SUMPRODUCT((Per_Clase="Indirecto")*Sal_O*INDEX(Dot_O,0,MIN(10,DR$17))*((Per_Mon="PYG")*DR$19+(Per_Mon&lt;&gt;"PYG")))*(DR$15+DR$16*P_PreInd)*INDEX(IdxSal_O,1,MIN(10,DR$17))*(1+P_Cargas)+DR$53*P_Alim*DR$19</f>
        <v>0</v>
      </c>
      <c r="DS54" s="34" t="n">
        <f aca="false">SUMPRODUCT((Per_Clase="Indirecto")*Sal_O*INDEX(Dot_O,0,MIN(10,DS$17))*((Per_Mon="PYG")*DS$19+(Per_Mon&lt;&gt;"PYG")))*(DS$15+DS$16*P_PreInd)*INDEX(IdxSal_O,1,MIN(10,DS$17))*(1+P_Cargas)+DS$53*P_Alim*DS$19</f>
        <v>0</v>
      </c>
      <c r="DT54" s="34" t="n">
        <f aca="false">SUMPRODUCT((Per_Clase="Indirecto")*Sal_O*INDEX(Dot_O,0,MIN(10,DT$17))*((Per_Mon="PYG")*DT$19+(Per_Mon&lt;&gt;"PYG")))*(DT$15+DT$16*P_PreInd)*INDEX(IdxSal_O,1,MIN(10,DT$17))*(1+P_Cargas)+DT$53*P_Alim*DT$19</f>
        <v>0</v>
      </c>
      <c r="DU54" s="34" t="n">
        <f aca="false">SUMPRODUCT((Per_Clase="Indirecto")*Sal_O*INDEX(Dot_O,0,MIN(10,DU$17))*((Per_Mon="PYG")*DU$19+(Per_Mon&lt;&gt;"PYG")))*(DU$15+DU$16*P_PreInd)*INDEX(IdxSal_O,1,MIN(10,DU$17))*(1+P_Cargas)+DU$53*P_Alim*DU$19</f>
        <v>0</v>
      </c>
      <c r="DV54" s="34" t="n">
        <f aca="false">SUMPRODUCT((Per_Clase="Indirecto")*Sal_O*INDEX(Dot_O,0,MIN(10,DV$17))*((Per_Mon="PYG")*DV$19+(Per_Mon&lt;&gt;"PYG")))*(DV$15+DV$16*P_PreInd)*INDEX(IdxSal_O,1,MIN(10,DV$17))*(1+P_Cargas)+DV$53*P_Alim*DV$19</f>
        <v>0</v>
      </c>
      <c r="DW54" s="34" t="n">
        <f aca="false">SUMPRODUCT((Per_Clase="Indirecto")*Sal_O*INDEX(Dot_O,0,MIN(10,DW$17))*((Per_Mon="PYG")*DW$19+(Per_Mon&lt;&gt;"PYG")))*(DW$15+DW$16*P_PreInd)*INDEX(IdxSal_O,1,MIN(10,DW$17))*(1+P_Cargas)+DW$53*P_Alim*DW$19</f>
        <v>0</v>
      </c>
      <c r="DX54" s="34" t="n">
        <f aca="false">SUMPRODUCT((Per_Clase="Indirecto")*Sal_O*INDEX(Dot_O,0,MIN(10,DX$17))*((Per_Mon="PYG")*DX$19+(Per_Mon&lt;&gt;"PYG")))*(DX$15+DX$16*P_PreInd)*INDEX(IdxSal_O,1,MIN(10,DX$17))*(1+P_Cargas)+DX$53*P_Alim*DX$19</f>
        <v>0</v>
      </c>
      <c r="DY54" s="34" t="n">
        <f aca="false">SUMPRODUCT((Per_Clase="Indirecto")*Sal_O*INDEX(Dot_O,0,MIN(10,DY$17))*((Per_Mon="PYG")*DY$19+(Per_Mon&lt;&gt;"PYG")))*(DY$15+DY$16*P_PreInd)*INDEX(IdxSal_O,1,MIN(10,DY$17))*(1+P_Cargas)+DY$53*P_Alim*DY$19</f>
        <v>0</v>
      </c>
      <c r="DZ54" s="34" t="n">
        <f aca="false">SUMPRODUCT((Per_Clase="Indirecto")*Sal_O*INDEX(Dot_O,0,MIN(10,DZ$17))*((Per_Mon="PYG")*DZ$19+(Per_Mon&lt;&gt;"PYG")))*(DZ$15+DZ$16*P_PreInd)*INDEX(IdxSal_O,1,MIN(10,DZ$17))*(1+P_Cargas)+DZ$53*P_Alim*DZ$19</f>
        <v>0</v>
      </c>
      <c r="EA54" s="34" t="n">
        <f aca="false">SUMPRODUCT((Per_Clase="Indirecto")*Sal_O*INDEX(Dot_O,0,MIN(10,EA$17))*((Per_Mon="PYG")*EA$19+(Per_Mon&lt;&gt;"PYG")))*(EA$15+EA$16*P_PreInd)*INDEX(IdxSal_O,1,MIN(10,EA$17))*(1+P_Cargas)+EA$53*P_Alim*EA$19</f>
        <v>0</v>
      </c>
      <c r="EB54" s="34" t="n">
        <f aca="false">SUMPRODUCT((Per_Clase="Indirecto")*Sal_O*INDEX(Dot_O,0,MIN(10,EB$17))*((Per_Mon="PYG")*EB$19+(Per_Mon&lt;&gt;"PYG")))*(EB$15+EB$16*P_PreInd)*INDEX(IdxSal_O,1,MIN(10,EB$17))*(1+P_Cargas)+EB$53*P_Alim*EB$19</f>
        <v>0</v>
      </c>
      <c r="EC54" s="34" t="n">
        <f aca="false">SUMPRODUCT((Per_Clase="Indirecto")*Sal_O*INDEX(Dot_O,0,MIN(10,EC$17))*((Per_Mon="PYG")*EC$19+(Per_Mon&lt;&gt;"PYG")))*(EC$15+EC$16*P_PreInd)*INDEX(IdxSal_O,1,MIN(10,EC$17))*(1+P_Cargas)+EC$53*P_Alim*EC$19</f>
        <v>0</v>
      </c>
      <c r="ED54" s="34" t="n">
        <f aca="false">SUMPRODUCT((Per_Clase="Indirecto")*Sal_O*INDEX(Dot_O,0,MIN(10,ED$17))*((Per_Mon="PYG")*ED$19+(Per_Mon&lt;&gt;"PYG")))*(ED$15+ED$16*P_PreInd)*INDEX(IdxSal_O,1,MIN(10,ED$17))*(1+P_Cargas)+ED$53*P_Alim*ED$19</f>
        <v>0</v>
      </c>
      <c r="EE54" s="34" t="n">
        <f aca="false">SUMPRODUCT((Per_Clase="Indirecto")*Sal_O*INDEX(Dot_O,0,MIN(10,EE$17))*((Per_Mon="PYG")*EE$19+(Per_Mon&lt;&gt;"PYG")))*(EE$15+EE$16*P_PreInd)*INDEX(IdxSal_O,1,MIN(10,EE$17))*(1+P_Cargas)+EE$53*P_Alim*EE$19</f>
        <v>0</v>
      </c>
      <c r="EF54" s="34" t="n">
        <f aca="false">SUMPRODUCT((Per_Clase="Indirecto")*Sal_O*INDEX(Dot_O,0,MIN(10,EF$17))*((Per_Mon="PYG")*EF$19+(Per_Mon&lt;&gt;"PYG")))*(EF$15+EF$16*P_PreInd)*INDEX(IdxSal_O,1,MIN(10,EF$17))*(1+P_Cargas)+EF$53*P_Alim*EF$19</f>
        <v>0</v>
      </c>
      <c r="EG54" s="34" t="n">
        <f aca="false">SUMPRODUCT((Per_Clase="Indirecto")*Sal_O*INDEX(Dot_O,0,MIN(10,EG$17))*((Per_Mon="PYG")*EG$19+(Per_Mon&lt;&gt;"PYG")))*(EG$15+EG$16*P_PreInd)*INDEX(IdxSal_O,1,MIN(10,EG$17))*(1+P_Cargas)+EG$53*P_Alim*EG$19</f>
        <v>0</v>
      </c>
      <c r="EH54" s="34" t="n">
        <f aca="false">SUMPRODUCT((Per_Clase="Indirecto")*Sal_O*INDEX(Dot_O,0,MIN(10,EH$17))*((Per_Mon="PYG")*EH$19+(Per_Mon&lt;&gt;"PYG")))*(EH$15+EH$16*P_PreInd)*INDEX(IdxSal_O,1,MIN(10,EH$17))*(1+P_Cargas)+EH$53*P_Alim*EH$19</f>
        <v>0</v>
      </c>
      <c r="EI54" s="34" t="n">
        <f aca="false">SUMPRODUCT((Per_Clase="Indirecto")*Sal_O*INDEX(Dot_O,0,MIN(10,EI$17))*((Per_Mon="PYG")*EI$19+(Per_Mon&lt;&gt;"PYG")))*(EI$15+EI$16*P_PreInd)*INDEX(IdxSal_O,1,MIN(10,EI$17))*(1+P_Cargas)+EI$53*P_Alim*EI$19</f>
        <v>0</v>
      </c>
      <c r="EJ54" s="34" t="n">
        <f aca="false">SUMPRODUCT((Per_Clase="Indirecto")*Sal_O*INDEX(Dot_O,0,MIN(10,EJ$17))*((Per_Mon="PYG")*EJ$19+(Per_Mon&lt;&gt;"PYG")))*(EJ$15+EJ$16*P_PreInd)*INDEX(IdxSal_O,1,MIN(10,EJ$17))*(1+P_Cargas)+EJ$53*P_Alim*EJ$19</f>
        <v>0</v>
      </c>
      <c r="EK54" s="34" t="n">
        <f aca="false">SUMPRODUCT((Per_Clase="Indirecto")*Sal_O*INDEX(Dot_O,0,MIN(10,EK$17))*((Per_Mon="PYG")*EK$19+(Per_Mon&lt;&gt;"PYG")))*(EK$15+EK$16*P_PreInd)*INDEX(IdxSal_O,1,MIN(10,EK$17))*(1+P_Cargas)+EK$53*P_Alim*EK$19</f>
        <v>0</v>
      </c>
      <c r="EL54" s="34" t="n">
        <f aca="false">SUMPRODUCT((Per_Clase="Indirecto")*Sal_O*INDEX(Dot_O,0,MIN(10,EL$17))*((Per_Mon="PYG")*EL$19+(Per_Mon&lt;&gt;"PYG")))*(EL$15+EL$16*P_PreInd)*INDEX(IdxSal_O,1,MIN(10,EL$17))*(1+P_Cargas)+EL$53*P_Alim*EL$19</f>
        <v>0</v>
      </c>
      <c r="EM54" s="34" t="n">
        <f aca="false">SUMPRODUCT((Per_Clase="Indirecto")*Sal_O*INDEX(Dot_O,0,MIN(10,EM$17))*((Per_Mon="PYG")*EM$19+(Per_Mon&lt;&gt;"PYG")))*(EM$15+EM$16*P_PreInd)*INDEX(IdxSal_O,1,MIN(10,EM$17))*(1+P_Cargas)+EM$53*P_Alim*EM$19</f>
        <v>0</v>
      </c>
      <c r="EN54" s="34" t="n">
        <f aca="false">SUMPRODUCT((Per_Clase="Indirecto")*Sal_O*INDEX(Dot_O,0,MIN(10,EN$17))*((Per_Mon="PYG")*EN$19+(Per_Mon&lt;&gt;"PYG")))*(EN$15+EN$16*P_PreInd)*INDEX(IdxSal_O,1,MIN(10,EN$17))*(1+P_Cargas)+EN$53*P_Alim*EN$19</f>
        <v>0</v>
      </c>
      <c r="EO54" s="34" t="n">
        <f aca="false">SUMPRODUCT((Per_Clase="Indirecto")*Sal_O*INDEX(Dot_O,0,MIN(10,EO$17))*((Per_Mon="PYG")*EO$19+(Per_Mon&lt;&gt;"PYG")))*(EO$15+EO$16*P_PreInd)*INDEX(IdxSal_O,1,MIN(10,EO$17))*(1+P_Cargas)+EO$53*P_Alim*EO$19</f>
        <v>0</v>
      </c>
      <c r="EP54" s="34" t="n">
        <f aca="false">SUMPRODUCT((Per_Clase="Indirecto")*Sal_O*INDEX(Dot_O,0,MIN(10,EP$17))*((Per_Mon="PYG")*EP$19+(Per_Mon&lt;&gt;"PYG")))*(EP$15+EP$16*P_PreInd)*INDEX(IdxSal_O,1,MIN(10,EP$17))*(1+P_Cargas)+EP$53*P_Alim*EP$19</f>
        <v>0</v>
      </c>
      <c r="EQ54" s="34" t="n">
        <f aca="false">SUMPRODUCT((Per_Clase="Indirecto")*Sal_O*INDEX(Dot_O,0,MIN(10,EQ$17))*((Per_Mon="PYG")*EQ$19+(Per_Mon&lt;&gt;"PYG")))*(EQ$15+EQ$16*P_PreInd)*INDEX(IdxSal_O,1,MIN(10,EQ$17))*(1+P_Cargas)+EQ$53*P_Alim*EQ$19</f>
        <v>0</v>
      </c>
      <c r="ER54" s="34" t="n">
        <f aca="false">SUMPRODUCT((Per_Clase="Indirecto")*Sal_O*INDEX(Dot_O,0,MIN(10,ER$17))*((Per_Mon="PYG")*ER$19+(Per_Mon&lt;&gt;"PYG")))*(ER$15+ER$16*P_PreInd)*INDEX(IdxSal_O,1,MIN(10,ER$17))*(1+P_Cargas)+ER$53*P_Alim*ER$19</f>
        <v>0</v>
      </c>
      <c r="ES54" s="34" t="n">
        <f aca="false">SUMPRODUCT((Per_Clase="Indirecto")*Sal_O*INDEX(Dot_O,0,MIN(10,ES$17))*((Per_Mon="PYG")*ES$19+(Per_Mon&lt;&gt;"PYG")))*(ES$15+ES$16*P_PreInd)*INDEX(IdxSal_O,1,MIN(10,ES$17))*(1+P_Cargas)+ES$53*P_Alim*ES$19</f>
        <v>0</v>
      </c>
    </row>
    <row r="55" customFormat="false" ht="15" hidden="false" customHeight="false" outlineLevel="0" collapsed="false">
      <c r="A55" s="2" t="s">
        <v>476</v>
      </c>
      <c r="B55" s="6" t="s">
        <v>477</v>
      </c>
      <c r="C55" s="6" t="s">
        <v>469</v>
      </c>
      <c r="F55" s="36" t="n">
        <f aca="false">SUMPRODUCT((Per_Clase="Administración")*INDEX(Dot_O,0,MIN(10,F$17)))*(F$15+F$16*P_PreInd)</f>
        <v>0</v>
      </c>
      <c r="G55" s="36" t="n">
        <f aca="false">SUMPRODUCT((Per_Clase="Administración")*INDEX(Dot_O,0,MIN(10,G$17)))*(G$15+G$16*P_PreInd)</f>
        <v>0</v>
      </c>
      <c r="H55" s="36" t="n">
        <f aca="false">SUMPRODUCT((Per_Clase="Administración")*INDEX(Dot_O,0,MIN(10,H$17)))*(H$15+H$16*P_PreInd)</f>
        <v>0</v>
      </c>
      <c r="I55" s="36" t="n">
        <f aca="false">SUMPRODUCT((Per_Clase="Administración")*INDEX(Dot_O,0,MIN(10,I$17)))*(I$15+I$16*P_PreInd)</f>
        <v>0</v>
      </c>
      <c r="J55" s="36" t="n">
        <f aca="false">SUMPRODUCT((Per_Clase="Administración")*INDEX(Dot_O,0,MIN(10,J$17)))*(J$15+J$16*P_PreInd)</f>
        <v>0</v>
      </c>
      <c r="K55" s="36" t="n">
        <f aca="false">SUMPRODUCT((Per_Clase="Administración")*INDEX(Dot_O,0,MIN(10,K$17)))*(K$15+K$16*P_PreInd)</f>
        <v>0</v>
      </c>
      <c r="L55" s="36" t="n">
        <f aca="false">SUMPRODUCT((Per_Clase="Administración")*INDEX(Dot_O,0,MIN(10,L$17)))*(L$15+L$16*P_PreInd)</f>
        <v>0</v>
      </c>
      <c r="M55" s="36" t="n">
        <f aca="false">SUMPRODUCT((Per_Clase="Administración")*INDEX(Dot_O,0,MIN(10,M$17)))*(M$15+M$16*P_PreInd)</f>
        <v>0</v>
      </c>
      <c r="N55" s="36" t="n">
        <f aca="false">SUMPRODUCT((Per_Clase="Administración")*INDEX(Dot_O,0,MIN(10,N$17)))*(N$15+N$16*P_PreInd)</f>
        <v>0</v>
      </c>
      <c r="O55" s="36" t="n">
        <f aca="false">SUMPRODUCT((Per_Clase="Administración")*INDEX(Dot_O,0,MIN(10,O$17)))*(O$15+O$16*P_PreInd)</f>
        <v>0</v>
      </c>
      <c r="P55" s="36" t="n">
        <f aca="false">SUMPRODUCT((Per_Clase="Administración")*INDEX(Dot_O,0,MIN(10,P$17)))*(P$15+P$16*P_PreInd)</f>
        <v>0</v>
      </c>
      <c r="Q55" s="36" t="n">
        <f aca="false">SUMPRODUCT((Per_Clase="Administración")*INDEX(Dot_O,0,MIN(10,Q$17)))*(Q$15+Q$16*P_PreInd)</f>
        <v>0</v>
      </c>
      <c r="R55" s="36" t="n">
        <f aca="false">SUMPRODUCT((Per_Clase="Administración")*INDEX(Dot_O,0,MIN(10,R$17)))*(R$15+R$16*P_PreInd)</f>
        <v>0</v>
      </c>
      <c r="S55" s="36" t="n">
        <f aca="false">SUMPRODUCT((Per_Clase="Administración")*INDEX(Dot_O,0,MIN(10,S$17)))*(S$15+S$16*P_PreInd)</f>
        <v>0</v>
      </c>
      <c r="T55" s="36" t="n">
        <f aca="false">SUMPRODUCT((Per_Clase="Administración")*INDEX(Dot_O,0,MIN(10,T$17)))*(T$15+T$16*P_PreInd)</f>
        <v>0</v>
      </c>
      <c r="U55" s="36" t="n">
        <f aca="false">SUMPRODUCT((Per_Clase="Administración")*INDEX(Dot_O,0,MIN(10,U$17)))*(U$15+U$16*P_PreInd)</f>
        <v>0</v>
      </c>
      <c r="V55" s="36" t="n">
        <f aca="false">SUMPRODUCT((Per_Clase="Administración")*INDEX(Dot_O,0,MIN(10,V$17)))*(V$15+V$16*P_PreInd)</f>
        <v>0</v>
      </c>
      <c r="W55" s="36" t="n">
        <f aca="false">SUMPRODUCT((Per_Clase="Administración")*INDEX(Dot_O,0,MIN(10,W$17)))*(W$15+W$16*P_PreInd)</f>
        <v>0</v>
      </c>
      <c r="X55" s="36" t="n">
        <f aca="false">SUMPRODUCT((Per_Clase="Administración")*INDEX(Dot_O,0,MIN(10,X$17)))*(X$15+X$16*P_PreInd)</f>
        <v>0</v>
      </c>
      <c r="Y55" s="36" t="n">
        <f aca="false">SUMPRODUCT((Per_Clase="Administración")*INDEX(Dot_O,0,MIN(10,Y$17)))*(Y$15+Y$16*P_PreInd)</f>
        <v>0</v>
      </c>
      <c r="Z55" s="36" t="n">
        <f aca="false">SUMPRODUCT((Per_Clase="Administración")*INDEX(Dot_O,0,MIN(10,Z$17)))*(Z$15+Z$16*P_PreInd)</f>
        <v>0</v>
      </c>
      <c r="AA55" s="36" t="n">
        <f aca="false">SUMPRODUCT((Per_Clase="Administración")*INDEX(Dot_O,0,MIN(10,AA$17)))*(AA$15+AA$16*P_PreInd)</f>
        <v>0</v>
      </c>
      <c r="AB55" s="36" t="n">
        <f aca="false">SUMPRODUCT((Per_Clase="Administración")*INDEX(Dot_O,0,MIN(10,AB$17)))*(AB$15+AB$16*P_PreInd)</f>
        <v>0</v>
      </c>
      <c r="AC55" s="36" t="n">
        <f aca="false">SUMPRODUCT((Per_Clase="Administración")*INDEX(Dot_O,0,MIN(10,AC$17)))*(AC$15+AC$16*P_PreInd)</f>
        <v>0</v>
      </c>
      <c r="AD55" s="36" t="n">
        <f aca="false">SUMPRODUCT((Per_Clase="Administración")*INDEX(Dot_O,0,MIN(10,AD$17)))*(AD$15+AD$16*P_PreInd)</f>
        <v>0</v>
      </c>
      <c r="AE55" s="36" t="n">
        <f aca="false">SUMPRODUCT((Per_Clase="Administración")*INDEX(Dot_O,0,MIN(10,AE$17)))*(AE$15+AE$16*P_PreInd)</f>
        <v>0</v>
      </c>
      <c r="AF55" s="36" t="n">
        <f aca="false">SUMPRODUCT((Per_Clase="Administración")*INDEX(Dot_O,0,MIN(10,AF$17)))*(AF$15+AF$16*P_PreInd)</f>
        <v>0</v>
      </c>
      <c r="AG55" s="36" t="n">
        <f aca="false">SUMPRODUCT((Per_Clase="Administración")*INDEX(Dot_O,0,MIN(10,AG$17)))*(AG$15+AG$16*P_PreInd)</f>
        <v>0</v>
      </c>
      <c r="AH55" s="36" t="n">
        <f aca="false">SUMPRODUCT((Per_Clase="Administración")*INDEX(Dot_O,0,MIN(10,AH$17)))*(AH$15+AH$16*P_PreInd)</f>
        <v>0</v>
      </c>
      <c r="AI55" s="36" t="n">
        <f aca="false">SUMPRODUCT((Per_Clase="Administración")*INDEX(Dot_O,0,MIN(10,AI$17)))*(AI$15+AI$16*P_PreInd)</f>
        <v>0</v>
      </c>
      <c r="AJ55" s="36" t="n">
        <f aca="false">SUMPRODUCT((Per_Clase="Administración")*INDEX(Dot_O,0,MIN(10,AJ$17)))*(AJ$15+AJ$16*P_PreInd)</f>
        <v>0</v>
      </c>
      <c r="AK55" s="36" t="n">
        <f aca="false">SUMPRODUCT((Per_Clase="Administración")*INDEX(Dot_O,0,MIN(10,AK$17)))*(AK$15+AK$16*P_PreInd)</f>
        <v>0</v>
      </c>
      <c r="AL55" s="36" t="n">
        <f aca="false">SUMPRODUCT((Per_Clase="Administración")*INDEX(Dot_O,0,MIN(10,AL$17)))*(AL$15+AL$16*P_PreInd)</f>
        <v>0</v>
      </c>
      <c r="AM55" s="36" t="n">
        <f aca="false">SUMPRODUCT((Per_Clase="Administración")*INDEX(Dot_O,0,MIN(10,AM$17)))*(AM$15+AM$16*P_PreInd)</f>
        <v>0</v>
      </c>
      <c r="AN55" s="36" t="n">
        <f aca="false">SUMPRODUCT((Per_Clase="Administración")*INDEX(Dot_O,0,MIN(10,AN$17)))*(AN$15+AN$16*P_PreInd)</f>
        <v>0</v>
      </c>
      <c r="AO55" s="36" t="n">
        <f aca="false">SUMPRODUCT((Per_Clase="Administración")*INDEX(Dot_O,0,MIN(10,AO$17)))*(AO$15+AO$16*P_PreInd)</f>
        <v>0</v>
      </c>
      <c r="AP55" s="36" t="n">
        <f aca="false">SUMPRODUCT((Per_Clase="Administración")*INDEX(Dot_O,0,MIN(10,AP$17)))*(AP$15+AP$16*P_PreInd)</f>
        <v>0</v>
      </c>
      <c r="AQ55" s="36" t="n">
        <f aca="false">SUMPRODUCT((Per_Clase="Administración")*INDEX(Dot_O,0,MIN(10,AQ$17)))*(AQ$15+AQ$16*P_PreInd)</f>
        <v>0</v>
      </c>
      <c r="AR55" s="36" t="n">
        <f aca="false">SUMPRODUCT((Per_Clase="Administración")*INDEX(Dot_O,0,MIN(10,AR$17)))*(AR$15+AR$16*P_PreInd)</f>
        <v>0</v>
      </c>
      <c r="AS55" s="36" t="n">
        <f aca="false">SUMPRODUCT((Per_Clase="Administración")*INDEX(Dot_O,0,MIN(10,AS$17)))*(AS$15+AS$16*P_PreInd)</f>
        <v>0</v>
      </c>
      <c r="AT55" s="36" t="n">
        <f aca="false">SUMPRODUCT((Per_Clase="Administración")*INDEX(Dot_O,0,MIN(10,AT$17)))*(AT$15+AT$16*P_PreInd)</f>
        <v>0</v>
      </c>
      <c r="AU55" s="36" t="n">
        <f aca="false">SUMPRODUCT((Per_Clase="Administración")*INDEX(Dot_O,0,MIN(10,AU$17)))*(AU$15+AU$16*P_PreInd)</f>
        <v>0</v>
      </c>
      <c r="AV55" s="36" t="n">
        <f aca="false">SUMPRODUCT((Per_Clase="Administración")*INDEX(Dot_O,0,MIN(10,AV$17)))*(AV$15+AV$16*P_PreInd)</f>
        <v>0</v>
      </c>
      <c r="AW55" s="36" t="n">
        <f aca="false">SUMPRODUCT((Per_Clase="Administración")*INDEX(Dot_O,0,MIN(10,AW$17)))*(AW$15+AW$16*P_PreInd)</f>
        <v>0</v>
      </c>
      <c r="AX55" s="36" t="n">
        <f aca="false">SUMPRODUCT((Per_Clase="Administración")*INDEX(Dot_O,0,MIN(10,AX$17)))*(AX$15+AX$16*P_PreInd)</f>
        <v>0</v>
      </c>
      <c r="AY55" s="36" t="n">
        <f aca="false">SUMPRODUCT((Per_Clase="Administración")*INDEX(Dot_O,0,MIN(10,AY$17)))*(AY$15+AY$16*P_PreInd)</f>
        <v>0</v>
      </c>
      <c r="AZ55" s="36" t="n">
        <f aca="false">SUMPRODUCT((Per_Clase="Administración")*INDEX(Dot_O,0,MIN(10,AZ$17)))*(AZ$15+AZ$16*P_PreInd)</f>
        <v>0</v>
      </c>
      <c r="BA55" s="36" t="n">
        <f aca="false">SUMPRODUCT((Per_Clase="Administración")*INDEX(Dot_O,0,MIN(10,BA$17)))*(BA$15+BA$16*P_PreInd)</f>
        <v>0</v>
      </c>
      <c r="BB55" s="36" t="n">
        <f aca="false">SUMPRODUCT((Per_Clase="Administración")*INDEX(Dot_O,0,MIN(10,BB$17)))*(BB$15+BB$16*P_PreInd)</f>
        <v>0</v>
      </c>
      <c r="BC55" s="36" t="n">
        <f aca="false">SUMPRODUCT((Per_Clase="Administración")*INDEX(Dot_O,0,MIN(10,BC$17)))*(BC$15+BC$16*P_PreInd)</f>
        <v>0</v>
      </c>
      <c r="BD55" s="36" t="n">
        <f aca="false">SUMPRODUCT((Per_Clase="Administración")*INDEX(Dot_O,0,MIN(10,BD$17)))*(BD$15+BD$16*P_PreInd)</f>
        <v>0</v>
      </c>
      <c r="BE55" s="36" t="n">
        <f aca="false">SUMPRODUCT((Per_Clase="Administración")*INDEX(Dot_O,0,MIN(10,BE$17)))*(BE$15+BE$16*P_PreInd)</f>
        <v>0</v>
      </c>
      <c r="BF55" s="36" t="n">
        <f aca="false">SUMPRODUCT((Per_Clase="Administración")*INDEX(Dot_O,0,MIN(10,BF$17)))*(BF$15+BF$16*P_PreInd)</f>
        <v>0</v>
      </c>
      <c r="BG55" s="36" t="n">
        <f aca="false">SUMPRODUCT((Per_Clase="Administración")*INDEX(Dot_O,0,MIN(10,BG$17)))*(BG$15+BG$16*P_PreInd)</f>
        <v>0</v>
      </c>
      <c r="BH55" s="36" t="n">
        <f aca="false">SUMPRODUCT((Per_Clase="Administración")*INDEX(Dot_O,0,MIN(10,BH$17)))*(BH$15+BH$16*P_PreInd)</f>
        <v>0</v>
      </c>
      <c r="BI55" s="36" t="n">
        <f aca="false">SUMPRODUCT((Per_Clase="Administración")*INDEX(Dot_O,0,MIN(10,BI$17)))*(BI$15+BI$16*P_PreInd)</f>
        <v>0</v>
      </c>
      <c r="BJ55" s="36" t="n">
        <f aca="false">SUMPRODUCT((Per_Clase="Administración")*INDEX(Dot_O,0,MIN(10,BJ$17)))*(BJ$15+BJ$16*P_PreInd)</f>
        <v>0</v>
      </c>
      <c r="BK55" s="36" t="n">
        <f aca="false">SUMPRODUCT((Per_Clase="Administración")*INDEX(Dot_O,0,MIN(10,BK$17)))*(BK$15+BK$16*P_PreInd)</f>
        <v>0</v>
      </c>
      <c r="BL55" s="36" t="n">
        <f aca="false">SUMPRODUCT((Per_Clase="Administración")*INDEX(Dot_O,0,MIN(10,BL$17)))*(BL$15+BL$16*P_PreInd)</f>
        <v>0</v>
      </c>
      <c r="BM55" s="36" t="n">
        <f aca="false">SUMPRODUCT((Per_Clase="Administración")*INDEX(Dot_O,0,MIN(10,BM$17)))*(BM$15+BM$16*P_PreInd)</f>
        <v>0</v>
      </c>
      <c r="BN55" s="36" t="n">
        <f aca="false">SUMPRODUCT((Per_Clase="Administración")*INDEX(Dot_O,0,MIN(10,BN$17)))*(BN$15+BN$16*P_PreInd)</f>
        <v>0</v>
      </c>
      <c r="BO55" s="36" t="n">
        <f aca="false">SUMPRODUCT((Per_Clase="Administración")*INDEX(Dot_O,0,MIN(10,BO$17)))*(BO$15+BO$16*P_PreInd)</f>
        <v>0</v>
      </c>
      <c r="BP55" s="36" t="n">
        <f aca="false">SUMPRODUCT((Per_Clase="Administración")*INDEX(Dot_O,0,MIN(10,BP$17)))*(BP$15+BP$16*P_PreInd)</f>
        <v>0</v>
      </c>
      <c r="BQ55" s="36" t="n">
        <f aca="false">SUMPRODUCT((Per_Clase="Administración")*INDEX(Dot_O,0,MIN(10,BQ$17)))*(BQ$15+BQ$16*P_PreInd)</f>
        <v>0</v>
      </c>
      <c r="BR55" s="36" t="n">
        <f aca="false">SUMPRODUCT((Per_Clase="Administración")*INDEX(Dot_O,0,MIN(10,BR$17)))*(BR$15+BR$16*P_PreInd)</f>
        <v>0</v>
      </c>
      <c r="BS55" s="36" t="n">
        <f aca="false">SUMPRODUCT((Per_Clase="Administración")*INDEX(Dot_O,0,MIN(10,BS$17)))*(BS$15+BS$16*P_PreInd)</f>
        <v>0</v>
      </c>
      <c r="BT55" s="36" t="n">
        <f aca="false">SUMPRODUCT((Per_Clase="Administración")*INDEX(Dot_O,0,MIN(10,BT$17)))*(BT$15+BT$16*P_PreInd)</f>
        <v>0</v>
      </c>
      <c r="BU55" s="36" t="n">
        <f aca="false">SUMPRODUCT((Per_Clase="Administración")*INDEX(Dot_O,0,MIN(10,BU$17)))*(BU$15+BU$16*P_PreInd)</f>
        <v>0</v>
      </c>
      <c r="BV55" s="36" t="n">
        <f aca="false">SUMPRODUCT((Per_Clase="Administración")*INDEX(Dot_O,0,MIN(10,BV$17)))*(BV$15+BV$16*P_PreInd)</f>
        <v>0</v>
      </c>
      <c r="BW55" s="36" t="n">
        <f aca="false">SUMPRODUCT((Per_Clase="Administración")*INDEX(Dot_O,0,MIN(10,BW$17)))*(BW$15+BW$16*P_PreInd)</f>
        <v>0</v>
      </c>
      <c r="BX55" s="36" t="n">
        <f aca="false">SUMPRODUCT((Per_Clase="Administración")*INDEX(Dot_O,0,MIN(10,BX$17)))*(BX$15+BX$16*P_PreInd)</f>
        <v>0</v>
      </c>
      <c r="BY55" s="36" t="n">
        <f aca="false">SUMPRODUCT((Per_Clase="Administración")*INDEX(Dot_O,0,MIN(10,BY$17)))*(BY$15+BY$16*P_PreInd)</f>
        <v>0</v>
      </c>
      <c r="BZ55" s="36" t="n">
        <f aca="false">SUMPRODUCT((Per_Clase="Administración")*INDEX(Dot_O,0,MIN(10,BZ$17)))*(BZ$15+BZ$16*P_PreInd)</f>
        <v>0</v>
      </c>
      <c r="CA55" s="36" t="n">
        <f aca="false">SUMPRODUCT((Per_Clase="Administración")*INDEX(Dot_O,0,MIN(10,CA$17)))*(CA$15+CA$16*P_PreInd)</f>
        <v>0</v>
      </c>
      <c r="CB55" s="36" t="n">
        <f aca="false">SUMPRODUCT((Per_Clase="Administración")*INDEX(Dot_O,0,MIN(10,CB$17)))*(CB$15+CB$16*P_PreInd)</f>
        <v>0</v>
      </c>
      <c r="CC55" s="36" t="n">
        <f aca="false">SUMPRODUCT((Per_Clase="Administración")*INDEX(Dot_O,0,MIN(10,CC$17)))*(CC$15+CC$16*P_PreInd)</f>
        <v>0</v>
      </c>
      <c r="CD55" s="36" t="n">
        <f aca="false">SUMPRODUCT((Per_Clase="Administración")*INDEX(Dot_O,0,MIN(10,CD$17)))*(CD$15+CD$16*P_PreInd)</f>
        <v>0</v>
      </c>
      <c r="CE55" s="36" t="n">
        <f aca="false">SUMPRODUCT((Per_Clase="Administración")*INDEX(Dot_O,0,MIN(10,CE$17)))*(CE$15+CE$16*P_PreInd)</f>
        <v>0</v>
      </c>
      <c r="CF55" s="36" t="n">
        <f aca="false">SUMPRODUCT((Per_Clase="Administración")*INDEX(Dot_O,0,MIN(10,CF$17)))*(CF$15+CF$16*P_PreInd)</f>
        <v>0</v>
      </c>
      <c r="CG55" s="36" t="n">
        <f aca="false">SUMPRODUCT((Per_Clase="Administración")*INDEX(Dot_O,0,MIN(10,CG$17)))*(CG$15+CG$16*P_PreInd)</f>
        <v>0</v>
      </c>
      <c r="CH55" s="36" t="n">
        <f aca="false">SUMPRODUCT((Per_Clase="Administración")*INDEX(Dot_O,0,MIN(10,CH$17)))*(CH$15+CH$16*P_PreInd)</f>
        <v>0</v>
      </c>
      <c r="CI55" s="36" t="n">
        <f aca="false">SUMPRODUCT((Per_Clase="Administración")*INDEX(Dot_O,0,MIN(10,CI$17)))*(CI$15+CI$16*P_PreInd)</f>
        <v>0</v>
      </c>
      <c r="CJ55" s="36" t="n">
        <f aca="false">SUMPRODUCT((Per_Clase="Administración")*INDEX(Dot_O,0,MIN(10,CJ$17)))*(CJ$15+CJ$16*P_PreInd)</f>
        <v>0</v>
      </c>
      <c r="CK55" s="36" t="n">
        <f aca="false">SUMPRODUCT((Per_Clase="Administración")*INDEX(Dot_O,0,MIN(10,CK$17)))*(CK$15+CK$16*P_PreInd)</f>
        <v>0</v>
      </c>
      <c r="CL55" s="36" t="n">
        <f aca="false">SUMPRODUCT((Per_Clase="Administración")*INDEX(Dot_O,0,MIN(10,CL$17)))*(CL$15+CL$16*P_PreInd)</f>
        <v>0</v>
      </c>
      <c r="CM55" s="36" t="n">
        <f aca="false">SUMPRODUCT((Per_Clase="Administración")*INDEX(Dot_O,0,MIN(10,CM$17)))*(CM$15+CM$16*P_PreInd)</f>
        <v>0</v>
      </c>
      <c r="CN55" s="36" t="n">
        <f aca="false">SUMPRODUCT((Per_Clase="Administración")*INDEX(Dot_O,0,MIN(10,CN$17)))*(CN$15+CN$16*P_PreInd)</f>
        <v>0</v>
      </c>
      <c r="CO55" s="36" t="n">
        <f aca="false">SUMPRODUCT((Per_Clase="Administración")*INDEX(Dot_O,0,MIN(10,CO$17)))*(CO$15+CO$16*P_PreInd)</f>
        <v>0</v>
      </c>
      <c r="CP55" s="36" t="n">
        <f aca="false">SUMPRODUCT((Per_Clase="Administración")*INDEX(Dot_O,0,MIN(10,CP$17)))*(CP$15+CP$16*P_PreInd)</f>
        <v>0</v>
      </c>
      <c r="CQ55" s="36" t="n">
        <f aca="false">SUMPRODUCT((Per_Clase="Administración")*INDEX(Dot_O,0,MIN(10,CQ$17)))*(CQ$15+CQ$16*P_PreInd)</f>
        <v>0</v>
      </c>
      <c r="CR55" s="36" t="n">
        <f aca="false">SUMPRODUCT((Per_Clase="Administración")*INDEX(Dot_O,0,MIN(10,CR$17)))*(CR$15+CR$16*P_PreInd)</f>
        <v>0</v>
      </c>
      <c r="CS55" s="36" t="n">
        <f aca="false">SUMPRODUCT((Per_Clase="Administración")*INDEX(Dot_O,0,MIN(10,CS$17)))*(CS$15+CS$16*P_PreInd)</f>
        <v>0</v>
      </c>
      <c r="CT55" s="36" t="n">
        <f aca="false">SUMPRODUCT((Per_Clase="Administración")*INDEX(Dot_O,0,MIN(10,CT$17)))*(CT$15+CT$16*P_PreInd)</f>
        <v>0</v>
      </c>
      <c r="CU55" s="36" t="n">
        <f aca="false">SUMPRODUCT((Per_Clase="Administración")*INDEX(Dot_O,0,MIN(10,CU$17)))*(CU$15+CU$16*P_PreInd)</f>
        <v>0</v>
      </c>
      <c r="CV55" s="36" t="n">
        <f aca="false">SUMPRODUCT((Per_Clase="Administración")*INDEX(Dot_O,0,MIN(10,CV$17)))*(CV$15+CV$16*P_PreInd)</f>
        <v>0</v>
      </c>
      <c r="CW55" s="36" t="n">
        <f aca="false">SUMPRODUCT((Per_Clase="Administración")*INDEX(Dot_O,0,MIN(10,CW$17)))*(CW$15+CW$16*P_PreInd)</f>
        <v>0</v>
      </c>
      <c r="CX55" s="36" t="n">
        <f aca="false">SUMPRODUCT((Per_Clase="Administración")*INDEX(Dot_O,0,MIN(10,CX$17)))*(CX$15+CX$16*P_PreInd)</f>
        <v>0</v>
      </c>
      <c r="CY55" s="36" t="n">
        <f aca="false">SUMPRODUCT((Per_Clase="Administración")*INDEX(Dot_O,0,MIN(10,CY$17)))*(CY$15+CY$16*P_PreInd)</f>
        <v>0</v>
      </c>
      <c r="CZ55" s="36" t="n">
        <f aca="false">SUMPRODUCT((Per_Clase="Administración")*INDEX(Dot_O,0,MIN(10,CZ$17)))*(CZ$15+CZ$16*P_PreInd)</f>
        <v>0</v>
      </c>
      <c r="DA55" s="36" t="n">
        <f aca="false">SUMPRODUCT((Per_Clase="Administración")*INDEX(Dot_O,0,MIN(10,DA$17)))*(DA$15+DA$16*P_PreInd)</f>
        <v>0</v>
      </c>
      <c r="DB55" s="36" t="n">
        <f aca="false">SUMPRODUCT((Per_Clase="Administración")*INDEX(Dot_O,0,MIN(10,DB$17)))*(DB$15+DB$16*P_PreInd)</f>
        <v>0</v>
      </c>
      <c r="DC55" s="36" t="n">
        <f aca="false">SUMPRODUCT((Per_Clase="Administración")*INDEX(Dot_O,0,MIN(10,DC$17)))*(DC$15+DC$16*P_PreInd)</f>
        <v>0</v>
      </c>
      <c r="DD55" s="36" t="n">
        <f aca="false">SUMPRODUCT((Per_Clase="Administración")*INDEX(Dot_O,0,MIN(10,DD$17)))*(DD$15+DD$16*P_PreInd)</f>
        <v>0</v>
      </c>
      <c r="DE55" s="36" t="n">
        <f aca="false">SUMPRODUCT((Per_Clase="Administración")*INDEX(Dot_O,0,MIN(10,DE$17)))*(DE$15+DE$16*P_PreInd)</f>
        <v>0</v>
      </c>
      <c r="DF55" s="36" t="n">
        <f aca="false">SUMPRODUCT((Per_Clase="Administración")*INDEX(Dot_O,0,MIN(10,DF$17)))*(DF$15+DF$16*P_PreInd)</f>
        <v>0</v>
      </c>
      <c r="DG55" s="36" t="n">
        <f aca="false">SUMPRODUCT((Per_Clase="Administración")*INDEX(Dot_O,0,MIN(10,DG$17)))*(DG$15+DG$16*P_PreInd)</f>
        <v>0</v>
      </c>
      <c r="DH55" s="36" t="n">
        <f aca="false">SUMPRODUCT((Per_Clase="Administración")*INDEX(Dot_O,0,MIN(10,DH$17)))*(DH$15+DH$16*P_PreInd)</f>
        <v>0</v>
      </c>
      <c r="DI55" s="36" t="n">
        <f aca="false">SUMPRODUCT((Per_Clase="Administración")*INDEX(Dot_O,0,MIN(10,DI$17)))*(DI$15+DI$16*P_PreInd)</f>
        <v>0</v>
      </c>
      <c r="DJ55" s="36" t="n">
        <f aca="false">SUMPRODUCT((Per_Clase="Administración")*INDEX(Dot_O,0,MIN(10,DJ$17)))*(DJ$15+DJ$16*P_PreInd)</f>
        <v>0</v>
      </c>
      <c r="DK55" s="36" t="n">
        <f aca="false">SUMPRODUCT((Per_Clase="Administración")*INDEX(Dot_O,0,MIN(10,DK$17)))*(DK$15+DK$16*P_PreInd)</f>
        <v>0</v>
      </c>
      <c r="DL55" s="36" t="n">
        <f aca="false">SUMPRODUCT((Per_Clase="Administración")*INDEX(Dot_O,0,MIN(10,DL$17)))*(DL$15+DL$16*P_PreInd)</f>
        <v>0</v>
      </c>
      <c r="DM55" s="36" t="n">
        <f aca="false">SUMPRODUCT((Per_Clase="Administración")*INDEX(Dot_O,0,MIN(10,DM$17)))*(DM$15+DM$16*P_PreInd)</f>
        <v>0</v>
      </c>
      <c r="DN55" s="36" t="n">
        <f aca="false">SUMPRODUCT((Per_Clase="Administración")*INDEX(Dot_O,0,MIN(10,DN$17)))*(DN$15+DN$16*P_PreInd)</f>
        <v>0</v>
      </c>
      <c r="DO55" s="36" t="n">
        <f aca="false">SUMPRODUCT((Per_Clase="Administración")*INDEX(Dot_O,0,MIN(10,DO$17)))*(DO$15+DO$16*P_PreInd)</f>
        <v>0</v>
      </c>
      <c r="DP55" s="36" t="n">
        <f aca="false">SUMPRODUCT((Per_Clase="Administración")*INDEX(Dot_O,0,MIN(10,DP$17)))*(DP$15+DP$16*P_PreInd)</f>
        <v>0</v>
      </c>
      <c r="DQ55" s="36" t="n">
        <f aca="false">SUMPRODUCT((Per_Clase="Administración")*INDEX(Dot_O,0,MIN(10,DQ$17)))*(DQ$15+DQ$16*P_PreInd)</f>
        <v>0</v>
      </c>
      <c r="DR55" s="36" t="n">
        <f aca="false">SUMPRODUCT((Per_Clase="Administración")*INDEX(Dot_O,0,MIN(10,DR$17)))*(DR$15+DR$16*P_PreInd)</f>
        <v>0</v>
      </c>
      <c r="DS55" s="36" t="n">
        <f aca="false">SUMPRODUCT((Per_Clase="Administración")*INDEX(Dot_O,0,MIN(10,DS$17)))*(DS$15+DS$16*P_PreInd)</f>
        <v>0</v>
      </c>
      <c r="DT55" s="36" t="n">
        <f aca="false">SUMPRODUCT((Per_Clase="Administración")*INDEX(Dot_O,0,MIN(10,DT$17)))*(DT$15+DT$16*P_PreInd)</f>
        <v>0</v>
      </c>
      <c r="DU55" s="36" t="n">
        <f aca="false">SUMPRODUCT((Per_Clase="Administración")*INDEX(Dot_O,0,MIN(10,DU$17)))*(DU$15+DU$16*P_PreInd)</f>
        <v>0</v>
      </c>
      <c r="DV55" s="36" t="n">
        <f aca="false">SUMPRODUCT((Per_Clase="Administración")*INDEX(Dot_O,0,MIN(10,DV$17)))*(DV$15+DV$16*P_PreInd)</f>
        <v>0</v>
      </c>
      <c r="DW55" s="36" t="n">
        <f aca="false">SUMPRODUCT((Per_Clase="Administración")*INDEX(Dot_O,0,MIN(10,DW$17)))*(DW$15+DW$16*P_PreInd)</f>
        <v>0</v>
      </c>
      <c r="DX55" s="36" t="n">
        <f aca="false">SUMPRODUCT((Per_Clase="Administración")*INDEX(Dot_O,0,MIN(10,DX$17)))*(DX$15+DX$16*P_PreInd)</f>
        <v>0</v>
      </c>
      <c r="DY55" s="36" t="n">
        <f aca="false">SUMPRODUCT((Per_Clase="Administración")*INDEX(Dot_O,0,MIN(10,DY$17)))*(DY$15+DY$16*P_PreInd)</f>
        <v>0</v>
      </c>
      <c r="DZ55" s="36" t="n">
        <f aca="false">SUMPRODUCT((Per_Clase="Administración")*INDEX(Dot_O,0,MIN(10,DZ$17)))*(DZ$15+DZ$16*P_PreInd)</f>
        <v>0</v>
      </c>
      <c r="EA55" s="36" t="n">
        <f aca="false">SUMPRODUCT((Per_Clase="Administración")*INDEX(Dot_O,0,MIN(10,EA$17)))*(EA$15+EA$16*P_PreInd)</f>
        <v>0</v>
      </c>
      <c r="EB55" s="36" t="n">
        <f aca="false">SUMPRODUCT((Per_Clase="Administración")*INDEX(Dot_O,0,MIN(10,EB$17)))*(EB$15+EB$16*P_PreInd)</f>
        <v>0</v>
      </c>
      <c r="EC55" s="36" t="n">
        <f aca="false">SUMPRODUCT((Per_Clase="Administración")*INDEX(Dot_O,0,MIN(10,EC$17)))*(EC$15+EC$16*P_PreInd)</f>
        <v>0</v>
      </c>
      <c r="ED55" s="36" t="n">
        <f aca="false">SUMPRODUCT((Per_Clase="Administración")*INDEX(Dot_O,0,MIN(10,ED$17)))*(ED$15+ED$16*P_PreInd)</f>
        <v>0</v>
      </c>
      <c r="EE55" s="36" t="n">
        <f aca="false">SUMPRODUCT((Per_Clase="Administración")*INDEX(Dot_O,0,MIN(10,EE$17)))*(EE$15+EE$16*P_PreInd)</f>
        <v>0</v>
      </c>
      <c r="EF55" s="36" t="n">
        <f aca="false">SUMPRODUCT((Per_Clase="Administración")*INDEX(Dot_O,0,MIN(10,EF$17)))*(EF$15+EF$16*P_PreInd)</f>
        <v>0</v>
      </c>
      <c r="EG55" s="36" t="n">
        <f aca="false">SUMPRODUCT((Per_Clase="Administración")*INDEX(Dot_O,0,MIN(10,EG$17)))*(EG$15+EG$16*P_PreInd)</f>
        <v>0</v>
      </c>
      <c r="EH55" s="36" t="n">
        <f aca="false">SUMPRODUCT((Per_Clase="Administración")*INDEX(Dot_O,0,MIN(10,EH$17)))*(EH$15+EH$16*P_PreInd)</f>
        <v>0</v>
      </c>
      <c r="EI55" s="36" t="n">
        <f aca="false">SUMPRODUCT((Per_Clase="Administración")*INDEX(Dot_O,0,MIN(10,EI$17)))*(EI$15+EI$16*P_PreInd)</f>
        <v>0</v>
      </c>
      <c r="EJ55" s="36" t="n">
        <f aca="false">SUMPRODUCT((Per_Clase="Administración")*INDEX(Dot_O,0,MIN(10,EJ$17)))*(EJ$15+EJ$16*P_PreInd)</f>
        <v>0</v>
      </c>
      <c r="EK55" s="36" t="n">
        <f aca="false">SUMPRODUCT((Per_Clase="Administración")*INDEX(Dot_O,0,MIN(10,EK$17)))*(EK$15+EK$16*P_PreInd)</f>
        <v>0</v>
      </c>
      <c r="EL55" s="36" t="n">
        <f aca="false">SUMPRODUCT((Per_Clase="Administración")*INDEX(Dot_O,0,MIN(10,EL$17)))*(EL$15+EL$16*P_PreInd)</f>
        <v>0</v>
      </c>
      <c r="EM55" s="36" t="n">
        <f aca="false">SUMPRODUCT((Per_Clase="Administración")*INDEX(Dot_O,0,MIN(10,EM$17)))*(EM$15+EM$16*P_PreInd)</f>
        <v>0</v>
      </c>
      <c r="EN55" s="36" t="n">
        <f aca="false">SUMPRODUCT((Per_Clase="Administración")*INDEX(Dot_O,0,MIN(10,EN$17)))*(EN$15+EN$16*P_PreInd)</f>
        <v>0</v>
      </c>
      <c r="EO55" s="36" t="n">
        <f aca="false">SUMPRODUCT((Per_Clase="Administración")*INDEX(Dot_O,0,MIN(10,EO$17)))*(EO$15+EO$16*P_PreInd)</f>
        <v>0</v>
      </c>
      <c r="EP55" s="36" t="n">
        <f aca="false">SUMPRODUCT((Per_Clase="Administración")*INDEX(Dot_O,0,MIN(10,EP$17)))*(EP$15+EP$16*P_PreInd)</f>
        <v>0</v>
      </c>
      <c r="EQ55" s="36" t="n">
        <f aca="false">SUMPRODUCT((Per_Clase="Administración")*INDEX(Dot_O,0,MIN(10,EQ$17)))*(EQ$15+EQ$16*P_PreInd)</f>
        <v>0</v>
      </c>
      <c r="ER55" s="36" t="n">
        <f aca="false">SUMPRODUCT((Per_Clase="Administración")*INDEX(Dot_O,0,MIN(10,ER$17)))*(ER$15+ER$16*P_PreInd)</f>
        <v>0</v>
      </c>
      <c r="ES55" s="36" t="n">
        <f aca="false">SUMPRODUCT((Per_Clase="Administración")*INDEX(Dot_O,0,MIN(10,ES$17)))*(ES$15+ES$16*P_PreInd)</f>
        <v>0</v>
      </c>
    </row>
    <row r="56" customFormat="false" ht="15" hidden="false" customHeight="false" outlineLevel="0" collapsed="false">
      <c r="A56" s="2" t="s">
        <v>478</v>
      </c>
      <c r="B56" s="6" t="s">
        <v>479</v>
      </c>
      <c r="C56" s="6" t="s">
        <v>212</v>
      </c>
      <c r="E56" s="40" t="n">
        <f aca="false">SUM(F56:ES56)</f>
        <v>0</v>
      </c>
      <c r="F56" s="34" t="n">
        <f aca="false">SUMPRODUCT((Per_Clase="Administración")*Sal_O*INDEX(Dot_O,0,MIN(10,F$17))*((Per_Mon="PYG")*F$19+(Per_Mon&lt;&gt;"PYG")))*(F$15+F$16*P_PreInd)*INDEX(IdxSal_O,1,MIN(10,F$17))*(1+P_Cargas)+F$55*P_Alim*F$19</f>
        <v>0</v>
      </c>
      <c r="G56" s="34" t="n">
        <f aca="false">SUMPRODUCT((Per_Clase="Administración")*Sal_O*INDEX(Dot_O,0,MIN(10,G$17))*((Per_Mon="PYG")*G$19+(Per_Mon&lt;&gt;"PYG")))*(G$15+G$16*P_PreInd)*INDEX(IdxSal_O,1,MIN(10,G$17))*(1+P_Cargas)+G$55*P_Alim*G$19</f>
        <v>0</v>
      </c>
      <c r="H56" s="34" t="n">
        <f aca="false">SUMPRODUCT((Per_Clase="Administración")*Sal_O*INDEX(Dot_O,0,MIN(10,H$17))*((Per_Mon="PYG")*H$19+(Per_Mon&lt;&gt;"PYG")))*(H$15+H$16*P_PreInd)*INDEX(IdxSal_O,1,MIN(10,H$17))*(1+P_Cargas)+H$55*P_Alim*H$19</f>
        <v>0</v>
      </c>
      <c r="I56" s="34" t="n">
        <f aca="false">SUMPRODUCT((Per_Clase="Administración")*Sal_O*INDEX(Dot_O,0,MIN(10,I$17))*((Per_Mon="PYG")*I$19+(Per_Mon&lt;&gt;"PYG")))*(I$15+I$16*P_PreInd)*INDEX(IdxSal_O,1,MIN(10,I$17))*(1+P_Cargas)+I$55*P_Alim*I$19</f>
        <v>0</v>
      </c>
      <c r="J56" s="34" t="n">
        <f aca="false">SUMPRODUCT((Per_Clase="Administración")*Sal_O*INDEX(Dot_O,0,MIN(10,J$17))*((Per_Mon="PYG")*J$19+(Per_Mon&lt;&gt;"PYG")))*(J$15+J$16*P_PreInd)*INDEX(IdxSal_O,1,MIN(10,J$17))*(1+P_Cargas)+J$55*P_Alim*J$19</f>
        <v>0</v>
      </c>
      <c r="K56" s="34" t="n">
        <f aca="false">SUMPRODUCT((Per_Clase="Administración")*Sal_O*INDEX(Dot_O,0,MIN(10,K$17))*((Per_Mon="PYG")*K$19+(Per_Mon&lt;&gt;"PYG")))*(K$15+K$16*P_PreInd)*INDEX(IdxSal_O,1,MIN(10,K$17))*(1+P_Cargas)+K$55*P_Alim*K$19</f>
        <v>0</v>
      </c>
      <c r="L56" s="34" t="n">
        <f aca="false">SUMPRODUCT((Per_Clase="Administración")*Sal_O*INDEX(Dot_O,0,MIN(10,L$17))*((Per_Mon="PYG")*L$19+(Per_Mon&lt;&gt;"PYG")))*(L$15+L$16*P_PreInd)*INDEX(IdxSal_O,1,MIN(10,L$17))*(1+P_Cargas)+L$55*P_Alim*L$19</f>
        <v>0</v>
      </c>
      <c r="M56" s="34" t="n">
        <f aca="false">SUMPRODUCT((Per_Clase="Administración")*Sal_O*INDEX(Dot_O,0,MIN(10,M$17))*((Per_Mon="PYG")*M$19+(Per_Mon&lt;&gt;"PYG")))*(M$15+M$16*P_PreInd)*INDEX(IdxSal_O,1,MIN(10,M$17))*(1+P_Cargas)+M$55*P_Alim*M$19</f>
        <v>0</v>
      </c>
      <c r="N56" s="34" t="n">
        <f aca="false">SUMPRODUCT((Per_Clase="Administración")*Sal_O*INDEX(Dot_O,0,MIN(10,N$17))*((Per_Mon="PYG")*N$19+(Per_Mon&lt;&gt;"PYG")))*(N$15+N$16*P_PreInd)*INDEX(IdxSal_O,1,MIN(10,N$17))*(1+P_Cargas)+N$55*P_Alim*N$19</f>
        <v>0</v>
      </c>
      <c r="O56" s="34" t="n">
        <f aca="false">SUMPRODUCT((Per_Clase="Administración")*Sal_O*INDEX(Dot_O,0,MIN(10,O$17))*((Per_Mon="PYG")*O$19+(Per_Mon&lt;&gt;"PYG")))*(O$15+O$16*P_PreInd)*INDEX(IdxSal_O,1,MIN(10,O$17))*(1+P_Cargas)+O$55*P_Alim*O$19</f>
        <v>0</v>
      </c>
      <c r="P56" s="34" t="n">
        <f aca="false">SUMPRODUCT((Per_Clase="Administración")*Sal_O*INDEX(Dot_O,0,MIN(10,P$17))*((Per_Mon="PYG")*P$19+(Per_Mon&lt;&gt;"PYG")))*(P$15+P$16*P_PreInd)*INDEX(IdxSal_O,1,MIN(10,P$17))*(1+P_Cargas)+P$55*P_Alim*P$19</f>
        <v>0</v>
      </c>
      <c r="Q56" s="34" t="n">
        <f aca="false">SUMPRODUCT((Per_Clase="Administración")*Sal_O*INDEX(Dot_O,0,MIN(10,Q$17))*((Per_Mon="PYG")*Q$19+(Per_Mon&lt;&gt;"PYG")))*(Q$15+Q$16*P_PreInd)*INDEX(IdxSal_O,1,MIN(10,Q$17))*(1+P_Cargas)+Q$55*P_Alim*Q$19</f>
        <v>0</v>
      </c>
      <c r="R56" s="34" t="n">
        <f aca="false">SUMPRODUCT((Per_Clase="Administración")*Sal_O*INDEX(Dot_O,0,MIN(10,R$17))*((Per_Mon="PYG")*R$19+(Per_Mon&lt;&gt;"PYG")))*(R$15+R$16*P_PreInd)*INDEX(IdxSal_O,1,MIN(10,R$17))*(1+P_Cargas)+R$55*P_Alim*R$19</f>
        <v>0</v>
      </c>
      <c r="S56" s="34" t="n">
        <f aca="false">SUMPRODUCT((Per_Clase="Administración")*Sal_O*INDEX(Dot_O,0,MIN(10,S$17))*((Per_Mon="PYG")*S$19+(Per_Mon&lt;&gt;"PYG")))*(S$15+S$16*P_PreInd)*INDEX(IdxSal_O,1,MIN(10,S$17))*(1+P_Cargas)+S$55*P_Alim*S$19</f>
        <v>0</v>
      </c>
      <c r="T56" s="34" t="n">
        <f aca="false">SUMPRODUCT((Per_Clase="Administración")*Sal_O*INDEX(Dot_O,0,MIN(10,T$17))*((Per_Mon="PYG")*T$19+(Per_Mon&lt;&gt;"PYG")))*(T$15+T$16*P_PreInd)*INDEX(IdxSal_O,1,MIN(10,T$17))*(1+P_Cargas)+T$55*P_Alim*T$19</f>
        <v>0</v>
      </c>
      <c r="U56" s="34" t="n">
        <f aca="false">SUMPRODUCT((Per_Clase="Administración")*Sal_O*INDEX(Dot_O,0,MIN(10,U$17))*((Per_Mon="PYG")*U$19+(Per_Mon&lt;&gt;"PYG")))*(U$15+U$16*P_PreInd)*INDEX(IdxSal_O,1,MIN(10,U$17))*(1+P_Cargas)+U$55*P_Alim*U$19</f>
        <v>0</v>
      </c>
      <c r="V56" s="34" t="n">
        <f aca="false">SUMPRODUCT((Per_Clase="Administración")*Sal_O*INDEX(Dot_O,0,MIN(10,V$17))*((Per_Mon="PYG")*V$19+(Per_Mon&lt;&gt;"PYG")))*(V$15+V$16*P_PreInd)*INDEX(IdxSal_O,1,MIN(10,V$17))*(1+P_Cargas)+V$55*P_Alim*V$19</f>
        <v>0</v>
      </c>
      <c r="W56" s="34" t="n">
        <f aca="false">SUMPRODUCT((Per_Clase="Administración")*Sal_O*INDEX(Dot_O,0,MIN(10,W$17))*((Per_Mon="PYG")*W$19+(Per_Mon&lt;&gt;"PYG")))*(W$15+W$16*P_PreInd)*INDEX(IdxSal_O,1,MIN(10,W$17))*(1+P_Cargas)+W$55*P_Alim*W$19</f>
        <v>0</v>
      </c>
      <c r="X56" s="34" t="n">
        <f aca="false">SUMPRODUCT((Per_Clase="Administración")*Sal_O*INDEX(Dot_O,0,MIN(10,X$17))*((Per_Mon="PYG")*X$19+(Per_Mon&lt;&gt;"PYG")))*(X$15+X$16*P_PreInd)*INDEX(IdxSal_O,1,MIN(10,X$17))*(1+P_Cargas)+X$55*P_Alim*X$19</f>
        <v>0</v>
      </c>
      <c r="Y56" s="34" t="n">
        <f aca="false">SUMPRODUCT((Per_Clase="Administración")*Sal_O*INDEX(Dot_O,0,MIN(10,Y$17))*((Per_Mon="PYG")*Y$19+(Per_Mon&lt;&gt;"PYG")))*(Y$15+Y$16*P_PreInd)*INDEX(IdxSal_O,1,MIN(10,Y$17))*(1+P_Cargas)+Y$55*P_Alim*Y$19</f>
        <v>0</v>
      </c>
      <c r="Z56" s="34" t="n">
        <f aca="false">SUMPRODUCT((Per_Clase="Administración")*Sal_O*INDEX(Dot_O,0,MIN(10,Z$17))*((Per_Mon="PYG")*Z$19+(Per_Mon&lt;&gt;"PYG")))*(Z$15+Z$16*P_PreInd)*INDEX(IdxSal_O,1,MIN(10,Z$17))*(1+P_Cargas)+Z$55*P_Alim*Z$19</f>
        <v>0</v>
      </c>
      <c r="AA56" s="34" t="n">
        <f aca="false">SUMPRODUCT((Per_Clase="Administración")*Sal_O*INDEX(Dot_O,0,MIN(10,AA$17))*((Per_Mon="PYG")*AA$19+(Per_Mon&lt;&gt;"PYG")))*(AA$15+AA$16*P_PreInd)*INDEX(IdxSal_O,1,MIN(10,AA$17))*(1+P_Cargas)+AA$55*P_Alim*AA$19</f>
        <v>0</v>
      </c>
      <c r="AB56" s="34" t="n">
        <f aca="false">SUMPRODUCT((Per_Clase="Administración")*Sal_O*INDEX(Dot_O,0,MIN(10,AB$17))*((Per_Mon="PYG")*AB$19+(Per_Mon&lt;&gt;"PYG")))*(AB$15+AB$16*P_PreInd)*INDEX(IdxSal_O,1,MIN(10,AB$17))*(1+P_Cargas)+AB$55*P_Alim*AB$19</f>
        <v>0</v>
      </c>
      <c r="AC56" s="34" t="n">
        <f aca="false">SUMPRODUCT((Per_Clase="Administración")*Sal_O*INDEX(Dot_O,0,MIN(10,AC$17))*((Per_Mon="PYG")*AC$19+(Per_Mon&lt;&gt;"PYG")))*(AC$15+AC$16*P_PreInd)*INDEX(IdxSal_O,1,MIN(10,AC$17))*(1+P_Cargas)+AC$55*P_Alim*AC$19</f>
        <v>0</v>
      </c>
      <c r="AD56" s="34" t="n">
        <f aca="false">SUMPRODUCT((Per_Clase="Administración")*Sal_O*INDEX(Dot_O,0,MIN(10,AD$17))*((Per_Mon="PYG")*AD$19+(Per_Mon&lt;&gt;"PYG")))*(AD$15+AD$16*P_PreInd)*INDEX(IdxSal_O,1,MIN(10,AD$17))*(1+P_Cargas)+AD$55*P_Alim*AD$19</f>
        <v>0</v>
      </c>
      <c r="AE56" s="34" t="n">
        <f aca="false">SUMPRODUCT((Per_Clase="Administración")*Sal_O*INDEX(Dot_O,0,MIN(10,AE$17))*((Per_Mon="PYG")*AE$19+(Per_Mon&lt;&gt;"PYG")))*(AE$15+AE$16*P_PreInd)*INDEX(IdxSal_O,1,MIN(10,AE$17))*(1+P_Cargas)+AE$55*P_Alim*AE$19</f>
        <v>0</v>
      </c>
      <c r="AF56" s="34" t="n">
        <f aca="false">SUMPRODUCT((Per_Clase="Administración")*Sal_O*INDEX(Dot_O,0,MIN(10,AF$17))*((Per_Mon="PYG")*AF$19+(Per_Mon&lt;&gt;"PYG")))*(AF$15+AF$16*P_PreInd)*INDEX(IdxSal_O,1,MIN(10,AF$17))*(1+P_Cargas)+AF$55*P_Alim*AF$19</f>
        <v>0</v>
      </c>
      <c r="AG56" s="34" t="n">
        <f aca="false">SUMPRODUCT((Per_Clase="Administración")*Sal_O*INDEX(Dot_O,0,MIN(10,AG$17))*((Per_Mon="PYG")*AG$19+(Per_Mon&lt;&gt;"PYG")))*(AG$15+AG$16*P_PreInd)*INDEX(IdxSal_O,1,MIN(10,AG$17))*(1+P_Cargas)+AG$55*P_Alim*AG$19</f>
        <v>0</v>
      </c>
      <c r="AH56" s="34" t="n">
        <f aca="false">SUMPRODUCT((Per_Clase="Administración")*Sal_O*INDEX(Dot_O,0,MIN(10,AH$17))*((Per_Mon="PYG")*AH$19+(Per_Mon&lt;&gt;"PYG")))*(AH$15+AH$16*P_PreInd)*INDEX(IdxSal_O,1,MIN(10,AH$17))*(1+P_Cargas)+AH$55*P_Alim*AH$19</f>
        <v>0</v>
      </c>
      <c r="AI56" s="34" t="n">
        <f aca="false">SUMPRODUCT((Per_Clase="Administración")*Sal_O*INDEX(Dot_O,0,MIN(10,AI$17))*((Per_Mon="PYG")*AI$19+(Per_Mon&lt;&gt;"PYG")))*(AI$15+AI$16*P_PreInd)*INDEX(IdxSal_O,1,MIN(10,AI$17))*(1+P_Cargas)+AI$55*P_Alim*AI$19</f>
        <v>0</v>
      </c>
      <c r="AJ56" s="34" t="n">
        <f aca="false">SUMPRODUCT((Per_Clase="Administración")*Sal_O*INDEX(Dot_O,0,MIN(10,AJ$17))*((Per_Mon="PYG")*AJ$19+(Per_Mon&lt;&gt;"PYG")))*(AJ$15+AJ$16*P_PreInd)*INDEX(IdxSal_O,1,MIN(10,AJ$17))*(1+P_Cargas)+AJ$55*P_Alim*AJ$19</f>
        <v>0</v>
      </c>
      <c r="AK56" s="34" t="n">
        <f aca="false">SUMPRODUCT((Per_Clase="Administración")*Sal_O*INDEX(Dot_O,0,MIN(10,AK$17))*((Per_Mon="PYG")*AK$19+(Per_Mon&lt;&gt;"PYG")))*(AK$15+AK$16*P_PreInd)*INDEX(IdxSal_O,1,MIN(10,AK$17))*(1+P_Cargas)+AK$55*P_Alim*AK$19</f>
        <v>0</v>
      </c>
      <c r="AL56" s="34" t="n">
        <f aca="false">SUMPRODUCT((Per_Clase="Administración")*Sal_O*INDEX(Dot_O,0,MIN(10,AL$17))*((Per_Mon="PYG")*AL$19+(Per_Mon&lt;&gt;"PYG")))*(AL$15+AL$16*P_PreInd)*INDEX(IdxSal_O,1,MIN(10,AL$17))*(1+P_Cargas)+AL$55*P_Alim*AL$19</f>
        <v>0</v>
      </c>
      <c r="AM56" s="34" t="n">
        <f aca="false">SUMPRODUCT((Per_Clase="Administración")*Sal_O*INDEX(Dot_O,0,MIN(10,AM$17))*((Per_Mon="PYG")*AM$19+(Per_Mon&lt;&gt;"PYG")))*(AM$15+AM$16*P_PreInd)*INDEX(IdxSal_O,1,MIN(10,AM$17))*(1+P_Cargas)+AM$55*P_Alim*AM$19</f>
        <v>0</v>
      </c>
      <c r="AN56" s="34" t="n">
        <f aca="false">SUMPRODUCT((Per_Clase="Administración")*Sal_O*INDEX(Dot_O,0,MIN(10,AN$17))*((Per_Mon="PYG")*AN$19+(Per_Mon&lt;&gt;"PYG")))*(AN$15+AN$16*P_PreInd)*INDEX(IdxSal_O,1,MIN(10,AN$17))*(1+P_Cargas)+AN$55*P_Alim*AN$19</f>
        <v>0</v>
      </c>
      <c r="AO56" s="34" t="n">
        <f aca="false">SUMPRODUCT((Per_Clase="Administración")*Sal_O*INDEX(Dot_O,0,MIN(10,AO$17))*((Per_Mon="PYG")*AO$19+(Per_Mon&lt;&gt;"PYG")))*(AO$15+AO$16*P_PreInd)*INDEX(IdxSal_O,1,MIN(10,AO$17))*(1+P_Cargas)+AO$55*P_Alim*AO$19</f>
        <v>0</v>
      </c>
      <c r="AP56" s="34" t="n">
        <f aca="false">SUMPRODUCT((Per_Clase="Administración")*Sal_O*INDEX(Dot_O,0,MIN(10,AP$17))*((Per_Mon="PYG")*AP$19+(Per_Mon&lt;&gt;"PYG")))*(AP$15+AP$16*P_PreInd)*INDEX(IdxSal_O,1,MIN(10,AP$17))*(1+P_Cargas)+AP$55*P_Alim*AP$19</f>
        <v>0</v>
      </c>
      <c r="AQ56" s="34" t="n">
        <f aca="false">SUMPRODUCT((Per_Clase="Administración")*Sal_O*INDEX(Dot_O,0,MIN(10,AQ$17))*((Per_Mon="PYG")*AQ$19+(Per_Mon&lt;&gt;"PYG")))*(AQ$15+AQ$16*P_PreInd)*INDEX(IdxSal_O,1,MIN(10,AQ$17))*(1+P_Cargas)+AQ$55*P_Alim*AQ$19</f>
        <v>0</v>
      </c>
      <c r="AR56" s="34" t="n">
        <f aca="false">SUMPRODUCT((Per_Clase="Administración")*Sal_O*INDEX(Dot_O,0,MIN(10,AR$17))*((Per_Mon="PYG")*AR$19+(Per_Mon&lt;&gt;"PYG")))*(AR$15+AR$16*P_PreInd)*INDEX(IdxSal_O,1,MIN(10,AR$17))*(1+P_Cargas)+AR$55*P_Alim*AR$19</f>
        <v>0</v>
      </c>
      <c r="AS56" s="34" t="n">
        <f aca="false">SUMPRODUCT((Per_Clase="Administración")*Sal_O*INDEX(Dot_O,0,MIN(10,AS$17))*((Per_Mon="PYG")*AS$19+(Per_Mon&lt;&gt;"PYG")))*(AS$15+AS$16*P_PreInd)*INDEX(IdxSal_O,1,MIN(10,AS$17))*(1+P_Cargas)+AS$55*P_Alim*AS$19</f>
        <v>0</v>
      </c>
      <c r="AT56" s="34" t="n">
        <f aca="false">SUMPRODUCT((Per_Clase="Administración")*Sal_O*INDEX(Dot_O,0,MIN(10,AT$17))*((Per_Mon="PYG")*AT$19+(Per_Mon&lt;&gt;"PYG")))*(AT$15+AT$16*P_PreInd)*INDEX(IdxSal_O,1,MIN(10,AT$17))*(1+P_Cargas)+AT$55*P_Alim*AT$19</f>
        <v>0</v>
      </c>
      <c r="AU56" s="34" t="n">
        <f aca="false">SUMPRODUCT((Per_Clase="Administración")*Sal_O*INDEX(Dot_O,0,MIN(10,AU$17))*((Per_Mon="PYG")*AU$19+(Per_Mon&lt;&gt;"PYG")))*(AU$15+AU$16*P_PreInd)*INDEX(IdxSal_O,1,MIN(10,AU$17))*(1+P_Cargas)+AU$55*P_Alim*AU$19</f>
        <v>0</v>
      </c>
      <c r="AV56" s="34" t="n">
        <f aca="false">SUMPRODUCT((Per_Clase="Administración")*Sal_O*INDEX(Dot_O,0,MIN(10,AV$17))*((Per_Mon="PYG")*AV$19+(Per_Mon&lt;&gt;"PYG")))*(AV$15+AV$16*P_PreInd)*INDEX(IdxSal_O,1,MIN(10,AV$17))*(1+P_Cargas)+AV$55*P_Alim*AV$19</f>
        <v>0</v>
      </c>
      <c r="AW56" s="34" t="n">
        <f aca="false">SUMPRODUCT((Per_Clase="Administración")*Sal_O*INDEX(Dot_O,0,MIN(10,AW$17))*((Per_Mon="PYG")*AW$19+(Per_Mon&lt;&gt;"PYG")))*(AW$15+AW$16*P_PreInd)*INDEX(IdxSal_O,1,MIN(10,AW$17))*(1+P_Cargas)+AW$55*P_Alim*AW$19</f>
        <v>0</v>
      </c>
      <c r="AX56" s="34" t="n">
        <f aca="false">SUMPRODUCT((Per_Clase="Administración")*Sal_O*INDEX(Dot_O,0,MIN(10,AX$17))*((Per_Mon="PYG")*AX$19+(Per_Mon&lt;&gt;"PYG")))*(AX$15+AX$16*P_PreInd)*INDEX(IdxSal_O,1,MIN(10,AX$17))*(1+P_Cargas)+AX$55*P_Alim*AX$19</f>
        <v>0</v>
      </c>
      <c r="AY56" s="34" t="n">
        <f aca="false">SUMPRODUCT((Per_Clase="Administración")*Sal_O*INDEX(Dot_O,0,MIN(10,AY$17))*((Per_Mon="PYG")*AY$19+(Per_Mon&lt;&gt;"PYG")))*(AY$15+AY$16*P_PreInd)*INDEX(IdxSal_O,1,MIN(10,AY$17))*(1+P_Cargas)+AY$55*P_Alim*AY$19</f>
        <v>0</v>
      </c>
      <c r="AZ56" s="34" t="n">
        <f aca="false">SUMPRODUCT((Per_Clase="Administración")*Sal_O*INDEX(Dot_O,0,MIN(10,AZ$17))*((Per_Mon="PYG")*AZ$19+(Per_Mon&lt;&gt;"PYG")))*(AZ$15+AZ$16*P_PreInd)*INDEX(IdxSal_O,1,MIN(10,AZ$17))*(1+P_Cargas)+AZ$55*P_Alim*AZ$19</f>
        <v>0</v>
      </c>
      <c r="BA56" s="34" t="n">
        <f aca="false">SUMPRODUCT((Per_Clase="Administración")*Sal_O*INDEX(Dot_O,0,MIN(10,BA$17))*((Per_Mon="PYG")*BA$19+(Per_Mon&lt;&gt;"PYG")))*(BA$15+BA$16*P_PreInd)*INDEX(IdxSal_O,1,MIN(10,BA$17))*(1+P_Cargas)+BA$55*P_Alim*BA$19</f>
        <v>0</v>
      </c>
      <c r="BB56" s="34" t="n">
        <f aca="false">SUMPRODUCT((Per_Clase="Administración")*Sal_O*INDEX(Dot_O,0,MIN(10,BB$17))*((Per_Mon="PYG")*BB$19+(Per_Mon&lt;&gt;"PYG")))*(BB$15+BB$16*P_PreInd)*INDEX(IdxSal_O,1,MIN(10,BB$17))*(1+P_Cargas)+BB$55*P_Alim*BB$19</f>
        <v>0</v>
      </c>
      <c r="BC56" s="34" t="n">
        <f aca="false">SUMPRODUCT((Per_Clase="Administración")*Sal_O*INDEX(Dot_O,0,MIN(10,BC$17))*((Per_Mon="PYG")*BC$19+(Per_Mon&lt;&gt;"PYG")))*(BC$15+BC$16*P_PreInd)*INDEX(IdxSal_O,1,MIN(10,BC$17))*(1+P_Cargas)+BC$55*P_Alim*BC$19</f>
        <v>0</v>
      </c>
      <c r="BD56" s="34" t="n">
        <f aca="false">SUMPRODUCT((Per_Clase="Administración")*Sal_O*INDEX(Dot_O,0,MIN(10,BD$17))*((Per_Mon="PYG")*BD$19+(Per_Mon&lt;&gt;"PYG")))*(BD$15+BD$16*P_PreInd)*INDEX(IdxSal_O,1,MIN(10,BD$17))*(1+P_Cargas)+BD$55*P_Alim*BD$19</f>
        <v>0</v>
      </c>
      <c r="BE56" s="34" t="n">
        <f aca="false">SUMPRODUCT((Per_Clase="Administración")*Sal_O*INDEX(Dot_O,0,MIN(10,BE$17))*((Per_Mon="PYG")*BE$19+(Per_Mon&lt;&gt;"PYG")))*(BE$15+BE$16*P_PreInd)*INDEX(IdxSal_O,1,MIN(10,BE$17))*(1+P_Cargas)+BE$55*P_Alim*BE$19</f>
        <v>0</v>
      </c>
      <c r="BF56" s="34" t="n">
        <f aca="false">SUMPRODUCT((Per_Clase="Administración")*Sal_O*INDEX(Dot_O,0,MIN(10,BF$17))*((Per_Mon="PYG")*BF$19+(Per_Mon&lt;&gt;"PYG")))*(BF$15+BF$16*P_PreInd)*INDEX(IdxSal_O,1,MIN(10,BF$17))*(1+P_Cargas)+BF$55*P_Alim*BF$19</f>
        <v>0</v>
      </c>
      <c r="BG56" s="34" t="n">
        <f aca="false">SUMPRODUCT((Per_Clase="Administración")*Sal_O*INDEX(Dot_O,0,MIN(10,BG$17))*((Per_Mon="PYG")*BG$19+(Per_Mon&lt;&gt;"PYG")))*(BG$15+BG$16*P_PreInd)*INDEX(IdxSal_O,1,MIN(10,BG$17))*(1+P_Cargas)+BG$55*P_Alim*BG$19</f>
        <v>0</v>
      </c>
      <c r="BH56" s="34" t="n">
        <f aca="false">SUMPRODUCT((Per_Clase="Administración")*Sal_O*INDEX(Dot_O,0,MIN(10,BH$17))*((Per_Mon="PYG")*BH$19+(Per_Mon&lt;&gt;"PYG")))*(BH$15+BH$16*P_PreInd)*INDEX(IdxSal_O,1,MIN(10,BH$17))*(1+P_Cargas)+BH$55*P_Alim*BH$19</f>
        <v>0</v>
      </c>
      <c r="BI56" s="34" t="n">
        <f aca="false">SUMPRODUCT((Per_Clase="Administración")*Sal_O*INDEX(Dot_O,0,MIN(10,BI$17))*((Per_Mon="PYG")*BI$19+(Per_Mon&lt;&gt;"PYG")))*(BI$15+BI$16*P_PreInd)*INDEX(IdxSal_O,1,MIN(10,BI$17))*(1+P_Cargas)+BI$55*P_Alim*BI$19</f>
        <v>0</v>
      </c>
      <c r="BJ56" s="34" t="n">
        <f aca="false">SUMPRODUCT((Per_Clase="Administración")*Sal_O*INDEX(Dot_O,0,MIN(10,BJ$17))*((Per_Mon="PYG")*BJ$19+(Per_Mon&lt;&gt;"PYG")))*(BJ$15+BJ$16*P_PreInd)*INDEX(IdxSal_O,1,MIN(10,BJ$17))*(1+P_Cargas)+BJ$55*P_Alim*BJ$19</f>
        <v>0</v>
      </c>
      <c r="BK56" s="34" t="n">
        <f aca="false">SUMPRODUCT((Per_Clase="Administración")*Sal_O*INDEX(Dot_O,0,MIN(10,BK$17))*((Per_Mon="PYG")*BK$19+(Per_Mon&lt;&gt;"PYG")))*(BK$15+BK$16*P_PreInd)*INDEX(IdxSal_O,1,MIN(10,BK$17))*(1+P_Cargas)+BK$55*P_Alim*BK$19</f>
        <v>0</v>
      </c>
      <c r="BL56" s="34" t="n">
        <f aca="false">SUMPRODUCT((Per_Clase="Administración")*Sal_O*INDEX(Dot_O,0,MIN(10,BL$17))*((Per_Mon="PYG")*BL$19+(Per_Mon&lt;&gt;"PYG")))*(BL$15+BL$16*P_PreInd)*INDEX(IdxSal_O,1,MIN(10,BL$17))*(1+P_Cargas)+BL$55*P_Alim*BL$19</f>
        <v>0</v>
      </c>
      <c r="BM56" s="34" t="n">
        <f aca="false">SUMPRODUCT((Per_Clase="Administración")*Sal_O*INDEX(Dot_O,0,MIN(10,BM$17))*((Per_Mon="PYG")*BM$19+(Per_Mon&lt;&gt;"PYG")))*(BM$15+BM$16*P_PreInd)*INDEX(IdxSal_O,1,MIN(10,BM$17))*(1+P_Cargas)+BM$55*P_Alim*BM$19</f>
        <v>0</v>
      </c>
      <c r="BN56" s="34" t="n">
        <f aca="false">SUMPRODUCT((Per_Clase="Administración")*Sal_O*INDEX(Dot_O,0,MIN(10,BN$17))*((Per_Mon="PYG")*BN$19+(Per_Mon&lt;&gt;"PYG")))*(BN$15+BN$16*P_PreInd)*INDEX(IdxSal_O,1,MIN(10,BN$17))*(1+P_Cargas)+BN$55*P_Alim*BN$19</f>
        <v>0</v>
      </c>
      <c r="BO56" s="34" t="n">
        <f aca="false">SUMPRODUCT((Per_Clase="Administración")*Sal_O*INDEX(Dot_O,0,MIN(10,BO$17))*((Per_Mon="PYG")*BO$19+(Per_Mon&lt;&gt;"PYG")))*(BO$15+BO$16*P_PreInd)*INDEX(IdxSal_O,1,MIN(10,BO$17))*(1+P_Cargas)+BO$55*P_Alim*BO$19</f>
        <v>0</v>
      </c>
      <c r="BP56" s="34" t="n">
        <f aca="false">SUMPRODUCT((Per_Clase="Administración")*Sal_O*INDEX(Dot_O,0,MIN(10,BP$17))*((Per_Mon="PYG")*BP$19+(Per_Mon&lt;&gt;"PYG")))*(BP$15+BP$16*P_PreInd)*INDEX(IdxSal_O,1,MIN(10,BP$17))*(1+P_Cargas)+BP$55*P_Alim*BP$19</f>
        <v>0</v>
      </c>
      <c r="BQ56" s="34" t="n">
        <f aca="false">SUMPRODUCT((Per_Clase="Administración")*Sal_O*INDEX(Dot_O,0,MIN(10,BQ$17))*((Per_Mon="PYG")*BQ$19+(Per_Mon&lt;&gt;"PYG")))*(BQ$15+BQ$16*P_PreInd)*INDEX(IdxSal_O,1,MIN(10,BQ$17))*(1+P_Cargas)+BQ$55*P_Alim*BQ$19</f>
        <v>0</v>
      </c>
      <c r="BR56" s="34" t="n">
        <f aca="false">SUMPRODUCT((Per_Clase="Administración")*Sal_O*INDEX(Dot_O,0,MIN(10,BR$17))*((Per_Mon="PYG")*BR$19+(Per_Mon&lt;&gt;"PYG")))*(BR$15+BR$16*P_PreInd)*INDEX(IdxSal_O,1,MIN(10,BR$17))*(1+P_Cargas)+BR$55*P_Alim*BR$19</f>
        <v>0</v>
      </c>
      <c r="BS56" s="34" t="n">
        <f aca="false">SUMPRODUCT((Per_Clase="Administración")*Sal_O*INDEX(Dot_O,0,MIN(10,BS$17))*((Per_Mon="PYG")*BS$19+(Per_Mon&lt;&gt;"PYG")))*(BS$15+BS$16*P_PreInd)*INDEX(IdxSal_O,1,MIN(10,BS$17))*(1+P_Cargas)+BS$55*P_Alim*BS$19</f>
        <v>0</v>
      </c>
      <c r="BT56" s="34" t="n">
        <f aca="false">SUMPRODUCT((Per_Clase="Administración")*Sal_O*INDEX(Dot_O,0,MIN(10,BT$17))*((Per_Mon="PYG")*BT$19+(Per_Mon&lt;&gt;"PYG")))*(BT$15+BT$16*P_PreInd)*INDEX(IdxSal_O,1,MIN(10,BT$17))*(1+P_Cargas)+BT$55*P_Alim*BT$19</f>
        <v>0</v>
      </c>
      <c r="BU56" s="34" t="n">
        <f aca="false">SUMPRODUCT((Per_Clase="Administración")*Sal_O*INDEX(Dot_O,0,MIN(10,BU$17))*((Per_Mon="PYG")*BU$19+(Per_Mon&lt;&gt;"PYG")))*(BU$15+BU$16*P_PreInd)*INDEX(IdxSal_O,1,MIN(10,BU$17))*(1+P_Cargas)+BU$55*P_Alim*BU$19</f>
        <v>0</v>
      </c>
      <c r="BV56" s="34" t="n">
        <f aca="false">SUMPRODUCT((Per_Clase="Administración")*Sal_O*INDEX(Dot_O,0,MIN(10,BV$17))*((Per_Mon="PYG")*BV$19+(Per_Mon&lt;&gt;"PYG")))*(BV$15+BV$16*P_PreInd)*INDEX(IdxSal_O,1,MIN(10,BV$17))*(1+P_Cargas)+BV$55*P_Alim*BV$19</f>
        <v>0</v>
      </c>
      <c r="BW56" s="34" t="n">
        <f aca="false">SUMPRODUCT((Per_Clase="Administración")*Sal_O*INDEX(Dot_O,0,MIN(10,BW$17))*((Per_Mon="PYG")*BW$19+(Per_Mon&lt;&gt;"PYG")))*(BW$15+BW$16*P_PreInd)*INDEX(IdxSal_O,1,MIN(10,BW$17))*(1+P_Cargas)+BW$55*P_Alim*BW$19</f>
        <v>0</v>
      </c>
      <c r="BX56" s="34" t="n">
        <f aca="false">SUMPRODUCT((Per_Clase="Administración")*Sal_O*INDEX(Dot_O,0,MIN(10,BX$17))*((Per_Mon="PYG")*BX$19+(Per_Mon&lt;&gt;"PYG")))*(BX$15+BX$16*P_PreInd)*INDEX(IdxSal_O,1,MIN(10,BX$17))*(1+P_Cargas)+BX$55*P_Alim*BX$19</f>
        <v>0</v>
      </c>
      <c r="BY56" s="34" t="n">
        <f aca="false">SUMPRODUCT((Per_Clase="Administración")*Sal_O*INDEX(Dot_O,0,MIN(10,BY$17))*((Per_Mon="PYG")*BY$19+(Per_Mon&lt;&gt;"PYG")))*(BY$15+BY$16*P_PreInd)*INDEX(IdxSal_O,1,MIN(10,BY$17))*(1+P_Cargas)+BY$55*P_Alim*BY$19</f>
        <v>0</v>
      </c>
      <c r="BZ56" s="34" t="n">
        <f aca="false">SUMPRODUCT((Per_Clase="Administración")*Sal_O*INDEX(Dot_O,0,MIN(10,BZ$17))*((Per_Mon="PYG")*BZ$19+(Per_Mon&lt;&gt;"PYG")))*(BZ$15+BZ$16*P_PreInd)*INDEX(IdxSal_O,1,MIN(10,BZ$17))*(1+P_Cargas)+BZ$55*P_Alim*BZ$19</f>
        <v>0</v>
      </c>
      <c r="CA56" s="34" t="n">
        <f aca="false">SUMPRODUCT((Per_Clase="Administración")*Sal_O*INDEX(Dot_O,0,MIN(10,CA$17))*((Per_Mon="PYG")*CA$19+(Per_Mon&lt;&gt;"PYG")))*(CA$15+CA$16*P_PreInd)*INDEX(IdxSal_O,1,MIN(10,CA$17))*(1+P_Cargas)+CA$55*P_Alim*CA$19</f>
        <v>0</v>
      </c>
      <c r="CB56" s="34" t="n">
        <f aca="false">SUMPRODUCT((Per_Clase="Administración")*Sal_O*INDEX(Dot_O,0,MIN(10,CB$17))*((Per_Mon="PYG")*CB$19+(Per_Mon&lt;&gt;"PYG")))*(CB$15+CB$16*P_PreInd)*INDEX(IdxSal_O,1,MIN(10,CB$17))*(1+P_Cargas)+CB$55*P_Alim*CB$19</f>
        <v>0</v>
      </c>
      <c r="CC56" s="34" t="n">
        <f aca="false">SUMPRODUCT((Per_Clase="Administración")*Sal_O*INDEX(Dot_O,0,MIN(10,CC$17))*((Per_Mon="PYG")*CC$19+(Per_Mon&lt;&gt;"PYG")))*(CC$15+CC$16*P_PreInd)*INDEX(IdxSal_O,1,MIN(10,CC$17))*(1+P_Cargas)+CC$55*P_Alim*CC$19</f>
        <v>0</v>
      </c>
      <c r="CD56" s="34" t="n">
        <f aca="false">SUMPRODUCT((Per_Clase="Administración")*Sal_O*INDEX(Dot_O,0,MIN(10,CD$17))*((Per_Mon="PYG")*CD$19+(Per_Mon&lt;&gt;"PYG")))*(CD$15+CD$16*P_PreInd)*INDEX(IdxSal_O,1,MIN(10,CD$17))*(1+P_Cargas)+CD$55*P_Alim*CD$19</f>
        <v>0</v>
      </c>
      <c r="CE56" s="34" t="n">
        <f aca="false">SUMPRODUCT((Per_Clase="Administración")*Sal_O*INDEX(Dot_O,0,MIN(10,CE$17))*((Per_Mon="PYG")*CE$19+(Per_Mon&lt;&gt;"PYG")))*(CE$15+CE$16*P_PreInd)*INDEX(IdxSal_O,1,MIN(10,CE$17))*(1+P_Cargas)+CE$55*P_Alim*CE$19</f>
        <v>0</v>
      </c>
      <c r="CF56" s="34" t="n">
        <f aca="false">SUMPRODUCT((Per_Clase="Administración")*Sal_O*INDEX(Dot_O,0,MIN(10,CF$17))*((Per_Mon="PYG")*CF$19+(Per_Mon&lt;&gt;"PYG")))*(CF$15+CF$16*P_PreInd)*INDEX(IdxSal_O,1,MIN(10,CF$17))*(1+P_Cargas)+CF$55*P_Alim*CF$19</f>
        <v>0</v>
      </c>
      <c r="CG56" s="34" t="n">
        <f aca="false">SUMPRODUCT((Per_Clase="Administración")*Sal_O*INDEX(Dot_O,0,MIN(10,CG$17))*((Per_Mon="PYG")*CG$19+(Per_Mon&lt;&gt;"PYG")))*(CG$15+CG$16*P_PreInd)*INDEX(IdxSal_O,1,MIN(10,CG$17))*(1+P_Cargas)+CG$55*P_Alim*CG$19</f>
        <v>0</v>
      </c>
      <c r="CH56" s="34" t="n">
        <f aca="false">SUMPRODUCT((Per_Clase="Administración")*Sal_O*INDEX(Dot_O,0,MIN(10,CH$17))*((Per_Mon="PYG")*CH$19+(Per_Mon&lt;&gt;"PYG")))*(CH$15+CH$16*P_PreInd)*INDEX(IdxSal_O,1,MIN(10,CH$17))*(1+P_Cargas)+CH$55*P_Alim*CH$19</f>
        <v>0</v>
      </c>
      <c r="CI56" s="34" t="n">
        <f aca="false">SUMPRODUCT((Per_Clase="Administración")*Sal_O*INDEX(Dot_O,0,MIN(10,CI$17))*((Per_Mon="PYG")*CI$19+(Per_Mon&lt;&gt;"PYG")))*(CI$15+CI$16*P_PreInd)*INDEX(IdxSal_O,1,MIN(10,CI$17))*(1+P_Cargas)+CI$55*P_Alim*CI$19</f>
        <v>0</v>
      </c>
      <c r="CJ56" s="34" t="n">
        <f aca="false">SUMPRODUCT((Per_Clase="Administración")*Sal_O*INDEX(Dot_O,0,MIN(10,CJ$17))*((Per_Mon="PYG")*CJ$19+(Per_Mon&lt;&gt;"PYG")))*(CJ$15+CJ$16*P_PreInd)*INDEX(IdxSal_O,1,MIN(10,CJ$17))*(1+P_Cargas)+CJ$55*P_Alim*CJ$19</f>
        <v>0</v>
      </c>
      <c r="CK56" s="34" t="n">
        <f aca="false">SUMPRODUCT((Per_Clase="Administración")*Sal_O*INDEX(Dot_O,0,MIN(10,CK$17))*((Per_Mon="PYG")*CK$19+(Per_Mon&lt;&gt;"PYG")))*(CK$15+CK$16*P_PreInd)*INDEX(IdxSal_O,1,MIN(10,CK$17))*(1+P_Cargas)+CK$55*P_Alim*CK$19</f>
        <v>0</v>
      </c>
      <c r="CL56" s="34" t="n">
        <f aca="false">SUMPRODUCT((Per_Clase="Administración")*Sal_O*INDEX(Dot_O,0,MIN(10,CL$17))*((Per_Mon="PYG")*CL$19+(Per_Mon&lt;&gt;"PYG")))*(CL$15+CL$16*P_PreInd)*INDEX(IdxSal_O,1,MIN(10,CL$17))*(1+P_Cargas)+CL$55*P_Alim*CL$19</f>
        <v>0</v>
      </c>
      <c r="CM56" s="34" t="n">
        <f aca="false">SUMPRODUCT((Per_Clase="Administración")*Sal_O*INDEX(Dot_O,0,MIN(10,CM$17))*((Per_Mon="PYG")*CM$19+(Per_Mon&lt;&gt;"PYG")))*(CM$15+CM$16*P_PreInd)*INDEX(IdxSal_O,1,MIN(10,CM$17))*(1+P_Cargas)+CM$55*P_Alim*CM$19</f>
        <v>0</v>
      </c>
      <c r="CN56" s="34" t="n">
        <f aca="false">SUMPRODUCT((Per_Clase="Administración")*Sal_O*INDEX(Dot_O,0,MIN(10,CN$17))*((Per_Mon="PYG")*CN$19+(Per_Mon&lt;&gt;"PYG")))*(CN$15+CN$16*P_PreInd)*INDEX(IdxSal_O,1,MIN(10,CN$17))*(1+P_Cargas)+CN$55*P_Alim*CN$19</f>
        <v>0</v>
      </c>
      <c r="CO56" s="34" t="n">
        <f aca="false">SUMPRODUCT((Per_Clase="Administración")*Sal_O*INDEX(Dot_O,0,MIN(10,CO$17))*((Per_Mon="PYG")*CO$19+(Per_Mon&lt;&gt;"PYG")))*(CO$15+CO$16*P_PreInd)*INDEX(IdxSal_O,1,MIN(10,CO$17))*(1+P_Cargas)+CO$55*P_Alim*CO$19</f>
        <v>0</v>
      </c>
      <c r="CP56" s="34" t="n">
        <f aca="false">SUMPRODUCT((Per_Clase="Administración")*Sal_O*INDEX(Dot_O,0,MIN(10,CP$17))*((Per_Mon="PYG")*CP$19+(Per_Mon&lt;&gt;"PYG")))*(CP$15+CP$16*P_PreInd)*INDEX(IdxSal_O,1,MIN(10,CP$17))*(1+P_Cargas)+CP$55*P_Alim*CP$19</f>
        <v>0</v>
      </c>
      <c r="CQ56" s="34" t="n">
        <f aca="false">SUMPRODUCT((Per_Clase="Administración")*Sal_O*INDEX(Dot_O,0,MIN(10,CQ$17))*((Per_Mon="PYG")*CQ$19+(Per_Mon&lt;&gt;"PYG")))*(CQ$15+CQ$16*P_PreInd)*INDEX(IdxSal_O,1,MIN(10,CQ$17))*(1+P_Cargas)+CQ$55*P_Alim*CQ$19</f>
        <v>0</v>
      </c>
      <c r="CR56" s="34" t="n">
        <f aca="false">SUMPRODUCT((Per_Clase="Administración")*Sal_O*INDEX(Dot_O,0,MIN(10,CR$17))*((Per_Mon="PYG")*CR$19+(Per_Mon&lt;&gt;"PYG")))*(CR$15+CR$16*P_PreInd)*INDEX(IdxSal_O,1,MIN(10,CR$17))*(1+P_Cargas)+CR$55*P_Alim*CR$19</f>
        <v>0</v>
      </c>
      <c r="CS56" s="34" t="n">
        <f aca="false">SUMPRODUCT((Per_Clase="Administración")*Sal_O*INDEX(Dot_O,0,MIN(10,CS$17))*((Per_Mon="PYG")*CS$19+(Per_Mon&lt;&gt;"PYG")))*(CS$15+CS$16*P_PreInd)*INDEX(IdxSal_O,1,MIN(10,CS$17))*(1+P_Cargas)+CS$55*P_Alim*CS$19</f>
        <v>0</v>
      </c>
      <c r="CT56" s="34" t="n">
        <f aca="false">SUMPRODUCT((Per_Clase="Administración")*Sal_O*INDEX(Dot_O,0,MIN(10,CT$17))*((Per_Mon="PYG")*CT$19+(Per_Mon&lt;&gt;"PYG")))*(CT$15+CT$16*P_PreInd)*INDEX(IdxSal_O,1,MIN(10,CT$17))*(1+P_Cargas)+CT$55*P_Alim*CT$19</f>
        <v>0</v>
      </c>
      <c r="CU56" s="34" t="n">
        <f aca="false">SUMPRODUCT((Per_Clase="Administración")*Sal_O*INDEX(Dot_O,0,MIN(10,CU$17))*((Per_Mon="PYG")*CU$19+(Per_Mon&lt;&gt;"PYG")))*(CU$15+CU$16*P_PreInd)*INDEX(IdxSal_O,1,MIN(10,CU$17))*(1+P_Cargas)+CU$55*P_Alim*CU$19</f>
        <v>0</v>
      </c>
      <c r="CV56" s="34" t="n">
        <f aca="false">SUMPRODUCT((Per_Clase="Administración")*Sal_O*INDEX(Dot_O,0,MIN(10,CV$17))*((Per_Mon="PYG")*CV$19+(Per_Mon&lt;&gt;"PYG")))*(CV$15+CV$16*P_PreInd)*INDEX(IdxSal_O,1,MIN(10,CV$17))*(1+P_Cargas)+CV$55*P_Alim*CV$19</f>
        <v>0</v>
      </c>
      <c r="CW56" s="34" t="n">
        <f aca="false">SUMPRODUCT((Per_Clase="Administración")*Sal_O*INDEX(Dot_O,0,MIN(10,CW$17))*((Per_Mon="PYG")*CW$19+(Per_Mon&lt;&gt;"PYG")))*(CW$15+CW$16*P_PreInd)*INDEX(IdxSal_O,1,MIN(10,CW$17))*(1+P_Cargas)+CW$55*P_Alim*CW$19</f>
        <v>0</v>
      </c>
      <c r="CX56" s="34" t="n">
        <f aca="false">SUMPRODUCT((Per_Clase="Administración")*Sal_O*INDEX(Dot_O,0,MIN(10,CX$17))*((Per_Mon="PYG")*CX$19+(Per_Mon&lt;&gt;"PYG")))*(CX$15+CX$16*P_PreInd)*INDEX(IdxSal_O,1,MIN(10,CX$17))*(1+P_Cargas)+CX$55*P_Alim*CX$19</f>
        <v>0</v>
      </c>
      <c r="CY56" s="34" t="n">
        <f aca="false">SUMPRODUCT((Per_Clase="Administración")*Sal_O*INDEX(Dot_O,0,MIN(10,CY$17))*((Per_Mon="PYG")*CY$19+(Per_Mon&lt;&gt;"PYG")))*(CY$15+CY$16*P_PreInd)*INDEX(IdxSal_O,1,MIN(10,CY$17))*(1+P_Cargas)+CY$55*P_Alim*CY$19</f>
        <v>0</v>
      </c>
      <c r="CZ56" s="34" t="n">
        <f aca="false">SUMPRODUCT((Per_Clase="Administración")*Sal_O*INDEX(Dot_O,0,MIN(10,CZ$17))*((Per_Mon="PYG")*CZ$19+(Per_Mon&lt;&gt;"PYG")))*(CZ$15+CZ$16*P_PreInd)*INDEX(IdxSal_O,1,MIN(10,CZ$17))*(1+P_Cargas)+CZ$55*P_Alim*CZ$19</f>
        <v>0</v>
      </c>
      <c r="DA56" s="34" t="n">
        <f aca="false">SUMPRODUCT((Per_Clase="Administración")*Sal_O*INDEX(Dot_O,0,MIN(10,DA$17))*((Per_Mon="PYG")*DA$19+(Per_Mon&lt;&gt;"PYG")))*(DA$15+DA$16*P_PreInd)*INDEX(IdxSal_O,1,MIN(10,DA$17))*(1+P_Cargas)+DA$55*P_Alim*DA$19</f>
        <v>0</v>
      </c>
      <c r="DB56" s="34" t="n">
        <f aca="false">SUMPRODUCT((Per_Clase="Administración")*Sal_O*INDEX(Dot_O,0,MIN(10,DB$17))*((Per_Mon="PYG")*DB$19+(Per_Mon&lt;&gt;"PYG")))*(DB$15+DB$16*P_PreInd)*INDEX(IdxSal_O,1,MIN(10,DB$17))*(1+P_Cargas)+DB$55*P_Alim*DB$19</f>
        <v>0</v>
      </c>
      <c r="DC56" s="34" t="n">
        <f aca="false">SUMPRODUCT((Per_Clase="Administración")*Sal_O*INDEX(Dot_O,0,MIN(10,DC$17))*((Per_Mon="PYG")*DC$19+(Per_Mon&lt;&gt;"PYG")))*(DC$15+DC$16*P_PreInd)*INDEX(IdxSal_O,1,MIN(10,DC$17))*(1+P_Cargas)+DC$55*P_Alim*DC$19</f>
        <v>0</v>
      </c>
      <c r="DD56" s="34" t="n">
        <f aca="false">SUMPRODUCT((Per_Clase="Administración")*Sal_O*INDEX(Dot_O,0,MIN(10,DD$17))*((Per_Mon="PYG")*DD$19+(Per_Mon&lt;&gt;"PYG")))*(DD$15+DD$16*P_PreInd)*INDEX(IdxSal_O,1,MIN(10,DD$17))*(1+P_Cargas)+DD$55*P_Alim*DD$19</f>
        <v>0</v>
      </c>
      <c r="DE56" s="34" t="n">
        <f aca="false">SUMPRODUCT((Per_Clase="Administración")*Sal_O*INDEX(Dot_O,0,MIN(10,DE$17))*((Per_Mon="PYG")*DE$19+(Per_Mon&lt;&gt;"PYG")))*(DE$15+DE$16*P_PreInd)*INDEX(IdxSal_O,1,MIN(10,DE$17))*(1+P_Cargas)+DE$55*P_Alim*DE$19</f>
        <v>0</v>
      </c>
      <c r="DF56" s="34" t="n">
        <f aca="false">SUMPRODUCT((Per_Clase="Administración")*Sal_O*INDEX(Dot_O,0,MIN(10,DF$17))*((Per_Mon="PYG")*DF$19+(Per_Mon&lt;&gt;"PYG")))*(DF$15+DF$16*P_PreInd)*INDEX(IdxSal_O,1,MIN(10,DF$17))*(1+P_Cargas)+DF$55*P_Alim*DF$19</f>
        <v>0</v>
      </c>
      <c r="DG56" s="34" t="n">
        <f aca="false">SUMPRODUCT((Per_Clase="Administración")*Sal_O*INDEX(Dot_O,0,MIN(10,DG$17))*((Per_Mon="PYG")*DG$19+(Per_Mon&lt;&gt;"PYG")))*(DG$15+DG$16*P_PreInd)*INDEX(IdxSal_O,1,MIN(10,DG$17))*(1+P_Cargas)+DG$55*P_Alim*DG$19</f>
        <v>0</v>
      </c>
      <c r="DH56" s="34" t="n">
        <f aca="false">SUMPRODUCT((Per_Clase="Administración")*Sal_O*INDEX(Dot_O,0,MIN(10,DH$17))*((Per_Mon="PYG")*DH$19+(Per_Mon&lt;&gt;"PYG")))*(DH$15+DH$16*P_PreInd)*INDEX(IdxSal_O,1,MIN(10,DH$17))*(1+P_Cargas)+DH$55*P_Alim*DH$19</f>
        <v>0</v>
      </c>
      <c r="DI56" s="34" t="n">
        <f aca="false">SUMPRODUCT((Per_Clase="Administración")*Sal_O*INDEX(Dot_O,0,MIN(10,DI$17))*((Per_Mon="PYG")*DI$19+(Per_Mon&lt;&gt;"PYG")))*(DI$15+DI$16*P_PreInd)*INDEX(IdxSal_O,1,MIN(10,DI$17))*(1+P_Cargas)+DI$55*P_Alim*DI$19</f>
        <v>0</v>
      </c>
      <c r="DJ56" s="34" t="n">
        <f aca="false">SUMPRODUCT((Per_Clase="Administración")*Sal_O*INDEX(Dot_O,0,MIN(10,DJ$17))*((Per_Mon="PYG")*DJ$19+(Per_Mon&lt;&gt;"PYG")))*(DJ$15+DJ$16*P_PreInd)*INDEX(IdxSal_O,1,MIN(10,DJ$17))*(1+P_Cargas)+DJ$55*P_Alim*DJ$19</f>
        <v>0</v>
      </c>
      <c r="DK56" s="34" t="n">
        <f aca="false">SUMPRODUCT((Per_Clase="Administración")*Sal_O*INDEX(Dot_O,0,MIN(10,DK$17))*((Per_Mon="PYG")*DK$19+(Per_Mon&lt;&gt;"PYG")))*(DK$15+DK$16*P_PreInd)*INDEX(IdxSal_O,1,MIN(10,DK$17))*(1+P_Cargas)+DK$55*P_Alim*DK$19</f>
        <v>0</v>
      </c>
      <c r="DL56" s="34" t="n">
        <f aca="false">SUMPRODUCT((Per_Clase="Administración")*Sal_O*INDEX(Dot_O,0,MIN(10,DL$17))*((Per_Mon="PYG")*DL$19+(Per_Mon&lt;&gt;"PYG")))*(DL$15+DL$16*P_PreInd)*INDEX(IdxSal_O,1,MIN(10,DL$17))*(1+P_Cargas)+DL$55*P_Alim*DL$19</f>
        <v>0</v>
      </c>
      <c r="DM56" s="34" t="n">
        <f aca="false">SUMPRODUCT((Per_Clase="Administración")*Sal_O*INDEX(Dot_O,0,MIN(10,DM$17))*((Per_Mon="PYG")*DM$19+(Per_Mon&lt;&gt;"PYG")))*(DM$15+DM$16*P_PreInd)*INDEX(IdxSal_O,1,MIN(10,DM$17))*(1+P_Cargas)+DM$55*P_Alim*DM$19</f>
        <v>0</v>
      </c>
      <c r="DN56" s="34" t="n">
        <f aca="false">SUMPRODUCT((Per_Clase="Administración")*Sal_O*INDEX(Dot_O,0,MIN(10,DN$17))*((Per_Mon="PYG")*DN$19+(Per_Mon&lt;&gt;"PYG")))*(DN$15+DN$16*P_PreInd)*INDEX(IdxSal_O,1,MIN(10,DN$17))*(1+P_Cargas)+DN$55*P_Alim*DN$19</f>
        <v>0</v>
      </c>
      <c r="DO56" s="34" t="n">
        <f aca="false">SUMPRODUCT((Per_Clase="Administración")*Sal_O*INDEX(Dot_O,0,MIN(10,DO$17))*((Per_Mon="PYG")*DO$19+(Per_Mon&lt;&gt;"PYG")))*(DO$15+DO$16*P_PreInd)*INDEX(IdxSal_O,1,MIN(10,DO$17))*(1+P_Cargas)+DO$55*P_Alim*DO$19</f>
        <v>0</v>
      </c>
      <c r="DP56" s="34" t="n">
        <f aca="false">SUMPRODUCT((Per_Clase="Administración")*Sal_O*INDEX(Dot_O,0,MIN(10,DP$17))*((Per_Mon="PYG")*DP$19+(Per_Mon&lt;&gt;"PYG")))*(DP$15+DP$16*P_PreInd)*INDEX(IdxSal_O,1,MIN(10,DP$17))*(1+P_Cargas)+DP$55*P_Alim*DP$19</f>
        <v>0</v>
      </c>
      <c r="DQ56" s="34" t="n">
        <f aca="false">SUMPRODUCT((Per_Clase="Administración")*Sal_O*INDEX(Dot_O,0,MIN(10,DQ$17))*((Per_Mon="PYG")*DQ$19+(Per_Mon&lt;&gt;"PYG")))*(DQ$15+DQ$16*P_PreInd)*INDEX(IdxSal_O,1,MIN(10,DQ$17))*(1+P_Cargas)+DQ$55*P_Alim*DQ$19</f>
        <v>0</v>
      </c>
      <c r="DR56" s="34" t="n">
        <f aca="false">SUMPRODUCT((Per_Clase="Administración")*Sal_O*INDEX(Dot_O,0,MIN(10,DR$17))*((Per_Mon="PYG")*DR$19+(Per_Mon&lt;&gt;"PYG")))*(DR$15+DR$16*P_PreInd)*INDEX(IdxSal_O,1,MIN(10,DR$17))*(1+P_Cargas)+DR$55*P_Alim*DR$19</f>
        <v>0</v>
      </c>
      <c r="DS56" s="34" t="n">
        <f aca="false">SUMPRODUCT((Per_Clase="Administración")*Sal_O*INDEX(Dot_O,0,MIN(10,DS$17))*((Per_Mon="PYG")*DS$19+(Per_Mon&lt;&gt;"PYG")))*(DS$15+DS$16*P_PreInd)*INDEX(IdxSal_O,1,MIN(10,DS$17))*(1+P_Cargas)+DS$55*P_Alim*DS$19</f>
        <v>0</v>
      </c>
      <c r="DT56" s="34" t="n">
        <f aca="false">SUMPRODUCT((Per_Clase="Administración")*Sal_O*INDEX(Dot_O,0,MIN(10,DT$17))*((Per_Mon="PYG")*DT$19+(Per_Mon&lt;&gt;"PYG")))*(DT$15+DT$16*P_PreInd)*INDEX(IdxSal_O,1,MIN(10,DT$17))*(1+P_Cargas)+DT$55*P_Alim*DT$19</f>
        <v>0</v>
      </c>
      <c r="DU56" s="34" t="n">
        <f aca="false">SUMPRODUCT((Per_Clase="Administración")*Sal_O*INDEX(Dot_O,0,MIN(10,DU$17))*((Per_Mon="PYG")*DU$19+(Per_Mon&lt;&gt;"PYG")))*(DU$15+DU$16*P_PreInd)*INDEX(IdxSal_O,1,MIN(10,DU$17))*(1+P_Cargas)+DU$55*P_Alim*DU$19</f>
        <v>0</v>
      </c>
      <c r="DV56" s="34" t="n">
        <f aca="false">SUMPRODUCT((Per_Clase="Administración")*Sal_O*INDEX(Dot_O,0,MIN(10,DV$17))*((Per_Mon="PYG")*DV$19+(Per_Mon&lt;&gt;"PYG")))*(DV$15+DV$16*P_PreInd)*INDEX(IdxSal_O,1,MIN(10,DV$17))*(1+P_Cargas)+DV$55*P_Alim*DV$19</f>
        <v>0</v>
      </c>
      <c r="DW56" s="34" t="n">
        <f aca="false">SUMPRODUCT((Per_Clase="Administración")*Sal_O*INDEX(Dot_O,0,MIN(10,DW$17))*((Per_Mon="PYG")*DW$19+(Per_Mon&lt;&gt;"PYG")))*(DW$15+DW$16*P_PreInd)*INDEX(IdxSal_O,1,MIN(10,DW$17))*(1+P_Cargas)+DW$55*P_Alim*DW$19</f>
        <v>0</v>
      </c>
      <c r="DX56" s="34" t="n">
        <f aca="false">SUMPRODUCT((Per_Clase="Administración")*Sal_O*INDEX(Dot_O,0,MIN(10,DX$17))*((Per_Mon="PYG")*DX$19+(Per_Mon&lt;&gt;"PYG")))*(DX$15+DX$16*P_PreInd)*INDEX(IdxSal_O,1,MIN(10,DX$17))*(1+P_Cargas)+DX$55*P_Alim*DX$19</f>
        <v>0</v>
      </c>
      <c r="DY56" s="34" t="n">
        <f aca="false">SUMPRODUCT((Per_Clase="Administración")*Sal_O*INDEX(Dot_O,0,MIN(10,DY$17))*((Per_Mon="PYG")*DY$19+(Per_Mon&lt;&gt;"PYG")))*(DY$15+DY$16*P_PreInd)*INDEX(IdxSal_O,1,MIN(10,DY$17))*(1+P_Cargas)+DY$55*P_Alim*DY$19</f>
        <v>0</v>
      </c>
      <c r="DZ56" s="34" t="n">
        <f aca="false">SUMPRODUCT((Per_Clase="Administración")*Sal_O*INDEX(Dot_O,0,MIN(10,DZ$17))*((Per_Mon="PYG")*DZ$19+(Per_Mon&lt;&gt;"PYG")))*(DZ$15+DZ$16*P_PreInd)*INDEX(IdxSal_O,1,MIN(10,DZ$17))*(1+P_Cargas)+DZ$55*P_Alim*DZ$19</f>
        <v>0</v>
      </c>
      <c r="EA56" s="34" t="n">
        <f aca="false">SUMPRODUCT((Per_Clase="Administración")*Sal_O*INDEX(Dot_O,0,MIN(10,EA$17))*((Per_Mon="PYG")*EA$19+(Per_Mon&lt;&gt;"PYG")))*(EA$15+EA$16*P_PreInd)*INDEX(IdxSal_O,1,MIN(10,EA$17))*(1+P_Cargas)+EA$55*P_Alim*EA$19</f>
        <v>0</v>
      </c>
      <c r="EB56" s="34" t="n">
        <f aca="false">SUMPRODUCT((Per_Clase="Administración")*Sal_O*INDEX(Dot_O,0,MIN(10,EB$17))*((Per_Mon="PYG")*EB$19+(Per_Mon&lt;&gt;"PYG")))*(EB$15+EB$16*P_PreInd)*INDEX(IdxSal_O,1,MIN(10,EB$17))*(1+P_Cargas)+EB$55*P_Alim*EB$19</f>
        <v>0</v>
      </c>
      <c r="EC56" s="34" t="n">
        <f aca="false">SUMPRODUCT((Per_Clase="Administración")*Sal_O*INDEX(Dot_O,0,MIN(10,EC$17))*((Per_Mon="PYG")*EC$19+(Per_Mon&lt;&gt;"PYG")))*(EC$15+EC$16*P_PreInd)*INDEX(IdxSal_O,1,MIN(10,EC$17))*(1+P_Cargas)+EC$55*P_Alim*EC$19</f>
        <v>0</v>
      </c>
      <c r="ED56" s="34" t="n">
        <f aca="false">SUMPRODUCT((Per_Clase="Administración")*Sal_O*INDEX(Dot_O,0,MIN(10,ED$17))*((Per_Mon="PYG")*ED$19+(Per_Mon&lt;&gt;"PYG")))*(ED$15+ED$16*P_PreInd)*INDEX(IdxSal_O,1,MIN(10,ED$17))*(1+P_Cargas)+ED$55*P_Alim*ED$19</f>
        <v>0</v>
      </c>
      <c r="EE56" s="34" t="n">
        <f aca="false">SUMPRODUCT((Per_Clase="Administración")*Sal_O*INDEX(Dot_O,0,MIN(10,EE$17))*((Per_Mon="PYG")*EE$19+(Per_Mon&lt;&gt;"PYG")))*(EE$15+EE$16*P_PreInd)*INDEX(IdxSal_O,1,MIN(10,EE$17))*(1+P_Cargas)+EE$55*P_Alim*EE$19</f>
        <v>0</v>
      </c>
      <c r="EF56" s="34" t="n">
        <f aca="false">SUMPRODUCT((Per_Clase="Administración")*Sal_O*INDEX(Dot_O,0,MIN(10,EF$17))*((Per_Mon="PYG")*EF$19+(Per_Mon&lt;&gt;"PYG")))*(EF$15+EF$16*P_PreInd)*INDEX(IdxSal_O,1,MIN(10,EF$17))*(1+P_Cargas)+EF$55*P_Alim*EF$19</f>
        <v>0</v>
      </c>
      <c r="EG56" s="34" t="n">
        <f aca="false">SUMPRODUCT((Per_Clase="Administración")*Sal_O*INDEX(Dot_O,0,MIN(10,EG$17))*((Per_Mon="PYG")*EG$19+(Per_Mon&lt;&gt;"PYG")))*(EG$15+EG$16*P_PreInd)*INDEX(IdxSal_O,1,MIN(10,EG$17))*(1+P_Cargas)+EG$55*P_Alim*EG$19</f>
        <v>0</v>
      </c>
      <c r="EH56" s="34" t="n">
        <f aca="false">SUMPRODUCT((Per_Clase="Administración")*Sal_O*INDEX(Dot_O,0,MIN(10,EH$17))*((Per_Mon="PYG")*EH$19+(Per_Mon&lt;&gt;"PYG")))*(EH$15+EH$16*P_PreInd)*INDEX(IdxSal_O,1,MIN(10,EH$17))*(1+P_Cargas)+EH$55*P_Alim*EH$19</f>
        <v>0</v>
      </c>
      <c r="EI56" s="34" t="n">
        <f aca="false">SUMPRODUCT((Per_Clase="Administración")*Sal_O*INDEX(Dot_O,0,MIN(10,EI$17))*((Per_Mon="PYG")*EI$19+(Per_Mon&lt;&gt;"PYG")))*(EI$15+EI$16*P_PreInd)*INDEX(IdxSal_O,1,MIN(10,EI$17))*(1+P_Cargas)+EI$55*P_Alim*EI$19</f>
        <v>0</v>
      </c>
      <c r="EJ56" s="34" t="n">
        <f aca="false">SUMPRODUCT((Per_Clase="Administración")*Sal_O*INDEX(Dot_O,0,MIN(10,EJ$17))*((Per_Mon="PYG")*EJ$19+(Per_Mon&lt;&gt;"PYG")))*(EJ$15+EJ$16*P_PreInd)*INDEX(IdxSal_O,1,MIN(10,EJ$17))*(1+P_Cargas)+EJ$55*P_Alim*EJ$19</f>
        <v>0</v>
      </c>
      <c r="EK56" s="34" t="n">
        <f aca="false">SUMPRODUCT((Per_Clase="Administración")*Sal_O*INDEX(Dot_O,0,MIN(10,EK$17))*((Per_Mon="PYG")*EK$19+(Per_Mon&lt;&gt;"PYG")))*(EK$15+EK$16*P_PreInd)*INDEX(IdxSal_O,1,MIN(10,EK$17))*(1+P_Cargas)+EK$55*P_Alim*EK$19</f>
        <v>0</v>
      </c>
      <c r="EL56" s="34" t="n">
        <f aca="false">SUMPRODUCT((Per_Clase="Administración")*Sal_O*INDEX(Dot_O,0,MIN(10,EL$17))*((Per_Mon="PYG")*EL$19+(Per_Mon&lt;&gt;"PYG")))*(EL$15+EL$16*P_PreInd)*INDEX(IdxSal_O,1,MIN(10,EL$17))*(1+P_Cargas)+EL$55*P_Alim*EL$19</f>
        <v>0</v>
      </c>
      <c r="EM56" s="34" t="n">
        <f aca="false">SUMPRODUCT((Per_Clase="Administración")*Sal_O*INDEX(Dot_O,0,MIN(10,EM$17))*((Per_Mon="PYG")*EM$19+(Per_Mon&lt;&gt;"PYG")))*(EM$15+EM$16*P_PreInd)*INDEX(IdxSal_O,1,MIN(10,EM$17))*(1+P_Cargas)+EM$55*P_Alim*EM$19</f>
        <v>0</v>
      </c>
      <c r="EN56" s="34" t="n">
        <f aca="false">SUMPRODUCT((Per_Clase="Administración")*Sal_O*INDEX(Dot_O,0,MIN(10,EN$17))*((Per_Mon="PYG")*EN$19+(Per_Mon&lt;&gt;"PYG")))*(EN$15+EN$16*P_PreInd)*INDEX(IdxSal_O,1,MIN(10,EN$17))*(1+P_Cargas)+EN$55*P_Alim*EN$19</f>
        <v>0</v>
      </c>
      <c r="EO56" s="34" t="n">
        <f aca="false">SUMPRODUCT((Per_Clase="Administración")*Sal_O*INDEX(Dot_O,0,MIN(10,EO$17))*((Per_Mon="PYG")*EO$19+(Per_Mon&lt;&gt;"PYG")))*(EO$15+EO$16*P_PreInd)*INDEX(IdxSal_O,1,MIN(10,EO$17))*(1+P_Cargas)+EO$55*P_Alim*EO$19</f>
        <v>0</v>
      </c>
      <c r="EP56" s="34" t="n">
        <f aca="false">SUMPRODUCT((Per_Clase="Administración")*Sal_O*INDEX(Dot_O,0,MIN(10,EP$17))*((Per_Mon="PYG")*EP$19+(Per_Mon&lt;&gt;"PYG")))*(EP$15+EP$16*P_PreInd)*INDEX(IdxSal_O,1,MIN(10,EP$17))*(1+P_Cargas)+EP$55*P_Alim*EP$19</f>
        <v>0</v>
      </c>
      <c r="EQ56" s="34" t="n">
        <f aca="false">SUMPRODUCT((Per_Clase="Administración")*Sal_O*INDEX(Dot_O,0,MIN(10,EQ$17))*((Per_Mon="PYG")*EQ$19+(Per_Mon&lt;&gt;"PYG")))*(EQ$15+EQ$16*P_PreInd)*INDEX(IdxSal_O,1,MIN(10,EQ$17))*(1+P_Cargas)+EQ$55*P_Alim*EQ$19</f>
        <v>0</v>
      </c>
      <c r="ER56" s="34" t="n">
        <f aca="false">SUMPRODUCT((Per_Clase="Administración")*Sal_O*INDEX(Dot_O,0,MIN(10,ER$17))*((Per_Mon="PYG")*ER$19+(Per_Mon&lt;&gt;"PYG")))*(ER$15+ER$16*P_PreInd)*INDEX(IdxSal_O,1,MIN(10,ER$17))*(1+P_Cargas)+ER$55*P_Alim*ER$19</f>
        <v>0</v>
      </c>
      <c r="ES56" s="34" t="n">
        <f aca="false">SUMPRODUCT((Per_Clase="Administración")*Sal_O*INDEX(Dot_O,0,MIN(10,ES$17))*((Per_Mon="PYG")*ES$19+(Per_Mon&lt;&gt;"PYG")))*(ES$15+ES$16*P_PreInd)*INDEX(IdxSal_O,1,MIN(10,ES$17))*(1+P_Cargas)+ES$55*P_Alim*ES$19</f>
        <v>0</v>
      </c>
    </row>
    <row r="57" customFormat="false" ht="15" hidden="false" customHeight="false" outlineLevel="0" collapsed="false">
      <c r="A57" s="2" t="s">
        <v>480</v>
      </c>
      <c r="B57" s="6" t="s">
        <v>481</v>
      </c>
      <c r="C57" s="6" t="s">
        <v>212</v>
      </c>
      <c r="E57" s="40" t="n">
        <f aca="false">SUM(F57:ES57)</f>
        <v>0</v>
      </c>
      <c r="F57" s="34" t="n">
        <f aca="false">P_Pkg*(F$47+F$48+F$49+F$52)</f>
        <v>0</v>
      </c>
      <c r="G57" s="34" t="n">
        <f aca="false">P_Pkg*(G$47+G$48+G$49+G$52)</f>
        <v>0</v>
      </c>
      <c r="H57" s="34" t="n">
        <f aca="false">P_Pkg*(H$47+H$48+H$49+H$52)</f>
        <v>0</v>
      </c>
      <c r="I57" s="34" t="n">
        <f aca="false">P_Pkg*(I$47+I$48+I$49+I$52)</f>
        <v>0</v>
      </c>
      <c r="J57" s="34" t="n">
        <f aca="false">P_Pkg*(J$47+J$48+J$49+J$52)</f>
        <v>0</v>
      </c>
      <c r="K57" s="34" t="n">
        <f aca="false">P_Pkg*(K$47+K$48+K$49+K$52)</f>
        <v>0</v>
      </c>
      <c r="L57" s="34" t="n">
        <f aca="false">P_Pkg*(L$47+L$48+L$49+L$52)</f>
        <v>0</v>
      </c>
      <c r="M57" s="34" t="n">
        <f aca="false">P_Pkg*(M$47+M$48+M$49+M$52)</f>
        <v>0</v>
      </c>
      <c r="N57" s="34" t="n">
        <f aca="false">P_Pkg*(N$47+N$48+N$49+N$52)</f>
        <v>0</v>
      </c>
      <c r="O57" s="34" t="n">
        <f aca="false">P_Pkg*(O$47+O$48+O$49+O$52)</f>
        <v>0</v>
      </c>
      <c r="P57" s="34" t="n">
        <f aca="false">P_Pkg*(P$47+P$48+P$49+P$52)</f>
        <v>0</v>
      </c>
      <c r="Q57" s="34" t="n">
        <f aca="false">P_Pkg*(Q$47+Q$48+Q$49+Q$52)</f>
        <v>0</v>
      </c>
      <c r="R57" s="34" t="n">
        <f aca="false">P_Pkg*(R$47+R$48+R$49+R$52)</f>
        <v>0</v>
      </c>
      <c r="S57" s="34" t="n">
        <f aca="false">P_Pkg*(S$47+S$48+S$49+S$52)</f>
        <v>0</v>
      </c>
      <c r="T57" s="34" t="n">
        <f aca="false">P_Pkg*(T$47+T$48+T$49+T$52)</f>
        <v>0</v>
      </c>
      <c r="U57" s="34" t="n">
        <f aca="false">P_Pkg*(U$47+U$48+U$49+U$52)</f>
        <v>0</v>
      </c>
      <c r="V57" s="34" t="n">
        <f aca="false">P_Pkg*(V$47+V$48+V$49+V$52)</f>
        <v>0</v>
      </c>
      <c r="W57" s="34" t="n">
        <f aca="false">P_Pkg*(W$47+W$48+W$49+W$52)</f>
        <v>0</v>
      </c>
      <c r="X57" s="34" t="n">
        <f aca="false">P_Pkg*(X$47+X$48+X$49+X$52)</f>
        <v>0</v>
      </c>
      <c r="Y57" s="34" t="n">
        <f aca="false">P_Pkg*(Y$47+Y$48+Y$49+Y$52)</f>
        <v>0</v>
      </c>
      <c r="Z57" s="34" t="n">
        <f aca="false">P_Pkg*(Z$47+Z$48+Z$49+Z$52)</f>
        <v>0</v>
      </c>
      <c r="AA57" s="34" t="n">
        <f aca="false">P_Pkg*(AA$47+AA$48+AA$49+AA$52)</f>
        <v>0</v>
      </c>
      <c r="AB57" s="34" t="n">
        <f aca="false">P_Pkg*(AB$47+AB$48+AB$49+AB$52)</f>
        <v>0</v>
      </c>
      <c r="AC57" s="34" t="n">
        <f aca="false">P_Pkg*(AC$47+AC$48+AC$49+AC$52)</f>
        <v>0</v>
      </c>
      <c r="AD57" s="34" t="n">
        <f aca="false">P_Pkg*(AD$47+AD$48+AD$49+AD$52)</f>
        <v>0</v>
      </c>
      <c r="AE57" s="34" t="n">
        <f aca="false">P_Pkg*(AE$47+AE$48+AE$49+AE$52)</f>
        <v>0</v>
      </c>
      <c r="AF57" s="34" t="n">
        <f aca="false">P_Pkg*(AF$47+AF$48+AF$49+AF$52)</f>
        <v>0</v>
      </c>
      <c r="AG57" s="34" t="n">
        <f aca="false">P_Pkg*(AG$47+AG$48+AG$49+AG$52)</f>
        <v>0</v>
      </c>
      <c r="AH57" s="34" t="n">
        <f aca="false">P_Pkg*(AH$47+AH$48+AH$49+AH$52)</f>
        <v>0</v>
      </c>
      <c r="AI57" s="34" t="n">
        <f aca="false">P_Pkg*(AI$47+AI$48+AI$49+AI$52)</f>
        <v>0</v>
      </c>
      <c r="AJ57" s="34" t="n">
        <f aca="false">P_Pkg*(AJ$47+AJ$48+AJ$49+AJ$52)</f>
        <v>0</v>
      </c>
      <c r="AK57" s="34" t="n">
        <f aca="false">P_Pkg*(AK$47+AK$48+AK$49+AK$52)</f>
        <v>0</v>
      </c>
      <c r="AL57" s="34" t="n">
        <f aca="false">P_Pkg*(AL$47+AL$48+AL$49+AL$52)</f>
        <v>0</v>
      </c>
      <c r="AM57" s="34" t="n">
        <f aca="false">P_Pkg*(AM$47+AM$48+AM$49+AM$52)</f>
        <v>0</v>
      </c>
      <c r="AN57" s="34" t="n">
        <f aca="false">P_Pkg*(AN$47+AN$48+AN$49+AN$52)</f>
        <v>0</v>
      </c>
      <c r="AO57" s="34" t="n">
        <f aca="false">P_Pkg*(AO$47+AO$48+AO$49+AO$52)</f>
        <v>0</v>
      </c>
      <c r="AP57" s="34" t="n">
        <f aca="false">P_Pkg*(AP$47+AP$48+AP$49+AP$52)</f>
        <v>0</v>
      </c>
      <c r="AQ57" s="34" t="n">
        <f aca="false">P_Pkg*(AQ$47+AQ$48+AQ$49+AQ$52)</f>
        <v>0</v>
      </c>
      <c r="AR57" s="34" t="n">
        <f aca="false">P_Pkg*(AR$47+AR$48+AR$49+AR$52)</f>
        <v>0</v>
      </c>
      <c r="AS57" s="34" t="n">
        <f aca="false">P_Pkg*(AS$47+AS$48+AS$49+AS$52)</f>
        <v>0</v>
      </c>
      <c r="AT57" s="34" t="n">
        <f aca="false">P_Pkg*(AT$47+AT$48+AT$49+AT$52)</f>
        <v>0</v>
      </c>
      <c r="AU57" s="34" t="n">
        <f aca="false">P_Pkg*(AU$47+AU$48+AU$49+AU$52)</f>
        <v>0</v>
      </c>
      <c r="AV57" s="34" t="n">
        <f aca="false">P_Pkg*(AV$47+AV$48+AV$49+AV$52)</f>
        <v>0</v>
      </c>
      <c r="AW57" s="34" t="n">
        <f aca="false">P_Pkg*(AW$47+AW$48+AW$49+AW$52)</f>
        <v>0</v>
      </c>
      <c r="AX57" s="34" t="n">
        <f aca="false">P_Pkg*(AX$47+AX$48+AX$49+AX$52)</f>
        <v>0</v>
      </c>
      <c r="AY57" s="34" t="n">
        <f aca="false">P_Pkg*(AY$47+AY$48+AY$49+AY$52)</f>
        <v>0</v>
      </c>
      <c r="AZ57" s="34" t="n">
        <f aca="false">P_Pkg*(AZ$47+AZ$48+AZ$49+AZ$52)</f>
        <v>0</v>
      </c>
      <c r="BA57" s="34" t="n">
        <f aca="false">P_Pkg*(BA$47+BA$48+BA$49+BA$52)</f>
        <v>0</v>
      </c>
      <c r="BB57" s="34" t="n">
        <f aca="false">P_Pkg*(BB$47+BB$48+BB$49+BB$52)</f>
        <v>0</v>
      </c>
      <c r="BC57" s="34" t="n">
        <f aca="false">P_Pkg*(BC$47+BC$48+BC$49+BC$52)</f>
        <v>0</v>
      </c>
      <c r="BD57" s="34" t="n">
        <f aca="false">P_Pkg*(BD$47+BD$48+BD$49+BD$52)</f>
        <v>0</v>
      </c>
      <c r="BE57" s="34" t="n">
        <f aca="false">P_Pkg*(BE$47+BE$48+BE$49+BE$52)</f>
        <v>0</v>
      </c>
      <c r="BF57" s="34" t="n">
        <f aca="false">P_Pkg*(BF$47+BF$48+BF$49+BF$52)</f>
        <v>0</v>
      </c>
      <c r="BG57" s="34" t="n">
        <f aca="false">P_Pkg*(BG$47+BG$48+BG$49+BG$52)</f>
        <v>0</v>
      </c>
      <c r="BH57" s="34" t="n">
        <f aca="false">P_Pkg*(BH$47+BH$48+BH$49+BH$52)</f>
        <v>0</v>
      </c>
      <c r="BI57" s="34" t="n">
        <f aca="false">P_Pkg*(BI$47+BI$48+BI$49+BI$52)</f>
        <v>0</v>
      </c>
      <c r="BJ57" s="34" t="n">
        <f aca="false">P_Pkg*(BJ$47+BJ$48+BJ$49+BJ$52)</f>
        <v>0</v>
      </c>
      <c r="BK57" s="34" t="n">
        <f aca="false">P_Pkg*(BK$47+BK$48+BK$49+BK$52)</f>
        <v>0</v>
      </c>
      <c r="BL57" s="34" t="n">
        <f aca="false">P_Pkg*(BL$47+BL$48+BL$49+BL$52)</f>
        <v>0</v>
      </c>
      <c r="BM57" s="34" t="n">
        <f aca="false">P_Pkg*(BM$47+BM$48+BM$49+BM$52)</f>
        <v>0</v>
      </c>
      <c r="BN57" s="34" t="n">
        <f aca="false">P_Pkg*(BN$47+BN$48+BN$49+BN$52)</f>
        <v>0</v>
      </c>
      <c r="BO57" s="34" t="n">
        <f aca="false">P_Pkg*(BO$47+BO$48+BO$49+BO$52)</f>
        <v>0</v>
      </c>
      <c r="BP57" s="34" t="n">
        <f aca="false">P_Pkg*(BP$47+BP$48+BP$49+BP$52)</f>
        <v>0</v>
      </c>
      <c r="BQ57" s="34" t="n">
        <f aca="false">P_Pkg*(BQ$47+BQ$48+BQ$49+BQ$52)</f>
        <v>0</v>
      </c>
      <c r="BR57" s="34" t="n">
        <f aca="false">P_Pkg*(BR$47+BR$48+BR$49+BR$52)</f>
        <v>0</v>
      </c>
      <c r="BS57" s="34" t="n">
        <f aca="false">P_Pkg*(BS$47+BS$48+BS$49+BS$52)</f>
        <v>0</v>
      </c>
      <c r="BT57" s="34" t="n">
        <f aca="false">P_Pkg*(BT$47+BT$48+BT$49+BT$52)</f>
        <v>0</v>
      </c>
      <c r="BU57" s="34" t="n">
        <f aca="false">P_Pkg*(BU$47+BU$48+BU$49+BU$52)</f>
        <v>0</v>
      </c>
      <c r="BV57" s="34" t="n">
        <f aca="false">P_Pkg*(BV$47+BV$48+BV$49+BV$52)</f>
        <v>0</v>
      </c>
      <c r="BW57" s="34" t="n">
        <f aca="false">P_Pkg*(BW$47+BW$48+BW$49+BW$52)</f>
        <v>0</v>
      </c>
      <c r="BX57" s="34" t="n">
        <f aca="false">P_Pkg*(BX$47+BX$48+BX$49+BX$52)</f>
        <v>0</v>
      </c>
      <c r="BY57" s="34" t="n">
        <f aca="false">P_Pkg*(BY$47+BY$48+BY$49+BY$52)</f>
        <v>0</v>
      </c>
      <c r="BZ57" s="34" t="n">
        <f aca="false">P_Pkg*(BZ$47+BZ$48+BZ$49+BZ$52)</f>
        <v>0</v>
      </c>
      <c r="CA57" s="34" t="n">
        <f aca="false">P_Pkg*(CA$47+CA$48+CA$49+CA$52)</f>
        <v>0</v>
      </c>
      <c r="CB57" s="34" t="n">
        <f aca="false">P_Pkg*(CB$47+CB$48+CB$49+CB$52)</f>
        <v>0</v>
      </c>
      <c r="CC57" s="34" t="n">
        <f aca="false">P_Pkg*(CC$47+CC$48+CC$49+CC$52)</f>
        <v>0</v>
      </c>
      <c r="CD57" s="34" t="n">
        <f aca="false">P_Pkg*(CD$47+CD$48+CD$49+CD$52)</f>
        <v>0</v>
      </c>
      <c r="CE57" s="34" t="n">
        <f aca="false">P_Pkg*(CE$47+CE$48+CE$49+CE$52)</f>
        <v>0</v>
      </c>
      <c r="CF57" s="34" t="n">
        <f aca="false">P_Pkg*(CF$47+CF$48+CF$49+CF$52)</f>
        <v>0</v>
      </c>
      <c r="CG57" s="34" t="n">
        <f aca="false">P_Pkg*(CG$47+CG$48+CG$49+CG$52)</f>
        <v>0</v>
      </c>
      <c r="CH57" s="34" t="n">
        <f aca="false">P_Pkg*(CH$47+CH$48+CH$49+CH$52)</f>
        <v>0</v>
      </c>
      <c r="CI57" s="34" t="n">
        <f aca="false">P_Pkg*(CI$47+CI$48+CI$49+CI$52)</f>
        <v>0</v>
      </c>
      <c r="CJ57" s="34" t="n">
        <f aca="false">P_Pkg*(CJ$47+CJ$48+CJ$49+CJ$52)</f>
        <v>0</v>
      </c>
      <c r="CK57" s="34" t="n">
        <f aca="false">P_Pkg*(CK$47+CK$48+CK$49+CK$52)</f>
        <v>0</v>
      </c>
      <c r="CL57" s="34" t="n">
        <f aca="false">P_Pkg*(CL$47+CL$48+CL$49+CL$52)</f>
        <v>0</v>
      </c>
      <c r="CM57" s="34" t="n">
        <f aca="false">P_Pkg*(CM$47+CM$48+CM$49+CM$52)</f>
        <v>0</v>
      </c>
      <c r="CN57" s="34" t="n">
        <f aca="false">P_Pkg*(CN$47+CN$48+CN$49+CN$52)</f>
        <v>0</v>
      </c>
      <c r="CO57" s="34" t="n">
        <f aca="false">P_Pkg*(CO$47+CO$48+CO$49+CO$52)</f>
        <v>0</v>
      </c>
      <c r="CP57" s="34" t="n">
        <f aca="false">P_Pkg*(CP$47+CP$48+CP$49+CP$52)</f>
        <v>0</v>
      </c>
      <c r="CQ57" s="34" t="n">
        <f aca="false">P_Pkg*(CQ$47+CQ$48+CQ$49+CQ$52)</f>
        <v>0</v>
      </c>
      <c r="CR57" s="34" t="n">
        <f aca="false">P_Pkg*(CR$47+CR$48+CR$49+CR$52)</f>
        <v>0</v>
      </c>
      <c r="CS57" s="34" t="n">
        <f aca="false">P_Pkg*(CS$47+CS$48+CS$49+CS$52)</f>
        <v>0</v>
      </c>
      <c r="CT57" s="34" t="n">
        <f aca="false">P_Pkg*(CT$47+CT$48+CT$49+CT$52)</f>
        <v>0</v>
      </c>
      <c r="CU57" s="34" t="n">
        <f aca="false">P_Pkg*(CU$47+CU$48+CU$49+CU$52)</f>
        <v>0</v>
      </c>
      <c r="CV57" s="34" t="n">
        <f aca="false">P_Pkg*(CV$47+CV$48+CV$49+CV$52)</f>
        <v>0</v>
      </c>
      <c r="CW57" s="34" t="n">
        <f aca="false">P_Pkg*(CW$47+CW$48+CW$49+CW$52)</f>
        <v>0</v>
      </c>
      <c r="CX57" s="34" t="n">
        <f aca="false">P_Pkg*(CX$47+CX$48+CX$49+CX$52)</f>
        <v>0</v>
      </c>
      <c r="CY57" s="34" t="n">
        <f aca="false">P_Pkg*(CY$47+CY$48+CY$49+CY$52)</f>
        <v>0</v>
      </c>
      <c r="CZ57" s="34" t="n">
        <f aca="false">P_Pkg*(CZ$47+CZ$48+CZ$49+CZ$52)</f>
        <v>0</v>
      </c>
      <c r="DA57" s="34" t="n">
        <f aca="false">P_Pkg*(DA$47+DA$48+DA$49+DA$52)</f>
        <v>0</v>
      </c>
      <c r="DB57" s="34" t="n">
        <f aca="false">P_Pkg*(DB$47+DB$48+DB$49+DB$52)</f>
        <v>0</v>
      </c>
      <c r="DC57" s="34" t="n">
        <f aca="false">P_Pkg*(DC$47+DC$48+DC$49+DC$52)</f>
        <v>0</v>
      </c>
      <c r="DD57" s="34" t="n">
        <f aca="false">P_Pkg*(DD$47+DD$48+DD$49+DD$52)</f>
        <v>0</v>
      </c>
      <c r="DE57" s="34" t="n">
        <f aca="false">P_Pkg*(DE$47+DE$48+DE$49+DE$52)</f>
        <v>0</v>
      </c>
      <c r="DF57" s="34" t="n">
        <f aca="false">P_Pkg*(DF$47+DF$48+DF$49+DF$52)</f>
        <v>0</v>
      </c>
      <c r="DG57" s="34" t="n">
        <f aca="false">P_Pkg*(DG$47+DG$48+DG$49+DG$52)</f>
        <v>0</v>
      </c>
      <c r="DH57" s="34" t="n">
        <f aca="false">P_Pkg*(DH$47+DH$48+DH$49+DH$52)</f>
        <v>0</v>
      </c>
      <c r="DI57" s="34" t="n">
        <f aca="false">P_Pkg*(DI$47+DI$48+DI$49+DI$52)</f>
        <v>0</v>
      </c>
      <c r="DJ57" s="34" t="n">
        <f aca="false">P_Pkg*(DJ$47+DJ$48+DJ$49+DJ$52)</f>
        <v>0</v>
      </c>
      <c r="DK57" s="34" t="n">
        <f aca="false">P_Pkg*(DK$47+DK$48+DK$49+DK$52)</f>
        <v>0</v>
      </c>
      <c r="DL57" s="34" t="n">
        <f aca="false">P_Pkg*(DL$47+DL$48+DL$49+DL$52)</f>
        <v>0</v>
      </c>
      <c r="DM57" s="34" t="n">
        <f aca="false">P_Pkg*(DM$47+DM$48+DM$49+DM$52)</f>
        <v>0</v>
      </c>
      <c r="DN57" s="34" t="n">
        <f aca="false">P_Pkg*(DN$47+DN$48+DN$49+DN$52)</f>
        <v>0</v>
      </c>
      <c r="DO57" s="34" t="n">
        <f aca="false">P_Pkg*(DO$47+DO$48+DO$49+DO$52)</f>
        <v>0</v>
      </c>
      <c r="DP57" s="34" t="n">
        <f aca="false">P_Pkg*(DP$47+DP$48+DP$49+DP$52)</f>
        <v>0</v>
      </c>
      <c r="DQ57" s="34" t="n">
        <f aca="false">P_Pkg*(DQ$47+DQ$48+DQ$49+DQ$52)</f>
        <v>0</v>
      </c>
      <c r="DR57" s="34" t="n">
        <f aca="false">P_Pkg*(DR$47+DR$48+DR$49+DR$52)</f>
        <v>0</v>
      </c>
      <c r="DS57" s="34" t="n">
        <f aca="false">P_Pkg*(DS$47+DS$48+DS$49+DS$52)</f>
        <v>0</v>
      </c>
      <c r="DT57" s="34" t="n">
        <f aca="false">P_Pkg*(DT$47+DT$48+DT$49+DT$52)</f>
        <v>0</v>
      </c>
      <c r="DU57" s="34" t="n">
        <f aca="false">P_Pkg*(DU$47+DU$48+DU$49+DU$52)</f>
        <v>0</v>
      </c>
      <c r="DV57" s="34" t="n">
        <f aca="false">P_Pkg*(DV$47+DV$48+DV$49+DV$52)</f>
        <v>0</v>
      </c>
      <c r="DW57" s="34" t="n">
        <f aca="false">P_Pkg*(DW$47+DW$48+DW$49+DW$52)</f>
        <v>0</v>
      </c>
      <c r="DX57" s="34" t="n">
        <f aca="false">P_Pkg*(DX$47+DX$48+DX$49+DX$52)</f>
        <v>0</v>
      </c>
      <c r="DY57" s="34" t="n">
        <f aca="false">P_Pkg*(DY$47+DY$48+DY$49+DY$52)</f>
        <v>0</v>
      </c>
      <c r="DZ57" s="34" t="n">
        <f aca="false">P_Pkg*(DZ$47+DZ$48+DZ$49+DZ$52)</f>
        <v>0</v>
      </c>
      <c r="EA57" s="34" t="n">
        <f aca="false">P_Pkg*(EA$47+EA$48+EA$49+EA$52)</f>
        <v>0</v>
      </c>
      <c r="EB57" s="34" t="n">
        <f aca="false">P_Pkg*(EB$47+EB$48+EB$49+EB$52)</f>
        <v>0</v>
      </c>
      <c r="EC57" s="34" t="n">
        <f aca="false">P_Pkg*(EC$47+EC$48+EC$49+EC$52)</f>
        <v>0</v>
      </c>
      <c r="ED57" s="34" t="n">
        <f aca="false">P_Pkg*(ED$47+ED$48+ED$49+ED$52)</f>
        <v>0</v>
      </c>
      <c r="EE57" s="34" t="n">
        <f aca="false">P_Pkg*(EE$47+EE$48+EE$49+EE$52)</f>
        <v>0</v>
      </c>
      <c r="EF57" s="34" t="n">
        <f aca="false">P_Pkg*(EF$47+EF$48+EF$49+EF$52)</f>
        <v>0</v>
      </c>
      <c r="EG57" s="34" t="n">
        <f aca="false">P_Pkg*(EG$47+EG$48+EG$49+EG$52)</f>
        <v>0</v>
      </c>
      <c r="EH57" s="34" t="n">
        <f aca="false">P_Pkg*(EH$47+EH$48+EH$49+EH$52)</f>
        <v>0</v>
      </c>
      <c r="EI57" s="34" t="n">
        <f aca="false">P_Pkg*(EI$47+EI$48+EI$49+EI$52)</f>
        <v>0</v>
      </c>
      <c r="EJ57" s="34" t="n">
        <f aca="false">P_Pkg*(EJ$47+EJ$48+EJ$49+EJ$52)</f>
        <v>0</v>
      </c>
      <c r="EK57" s="34" t="n">
        <f aca="false">P_Pkg*(EK$47+EK$48+EK$49+EK$52)</f>
        <v>0</v>
      </c>
      <c r="EL57" s="34" t="n">
        <f aca="false">P_Pkg*(EL$47+EL$48+EL$49+EL$52)</f>
        <v>0</v>
      </c>
      <c r="EM57" s="34" t="n">
        <f aca="false">P_Pkg*(EM$47+EM$48+EM$49+EM$52)</f>
        <v>0</v>
      </c>
      <c r="EN57" s="34" t="n">
        <f aca="false">P_Pkg*(EN$47+EN$48+EN$49+EN$52)</f>
        <v>0</v>
      </c>
      <c r="EO57" s="34" t="n">
        <f aca="false">P_Pkg*(EO$47+EO$48+EO$49+EO$52)</f>
        <v>0</v>
      </c>
      <c r="EP57" s="34" t="n">
        <f aca="false">P_Pkg*(EP$47+EP$48+EP$49+EP$52)</f>
        <v>0</v>
      </c>
      <c r="EQ57" s="34" t="n">
        <f aca="false">P_Pkg*(EQ$47+EQ$48+EQ$49+EQ$52)</f>
        <v>0</v>
      </c>
      <c r="ER57" s="34" t="n">
        <f aca="false">P_Pkg*(ER$47+ER$48+ER$49+ER$52)</f>
        <v>0</v>
      </c>
      <c r="ES57" s="34" t="n">
        <f aca="false">P_Pkg*(ES$47+ES$48+ES$49+ES$52)</f>
        <v>0</v>
      </c>
    </row>
    <row r="58" customFormat="false" ht="15" hidden="false" customHeight="false" outlineLevel="0" collapsed="false">
      <c r="A58" s="2" t="s">
        <v>482</v>
      </c>
      <c r="B58" s="6" t="s">
        <v>483</v>
      </c>
      <c r="C58" s="6" t="s">
        <v>212</v>
      </c>
      <c r="E58" s="40" t="n">
        <f aca="false">SUM(F58:ES58)</f>
        <v>0</v>
      </c>
      <c r="F58" s="34" t="n">
        <f aca="false">(P_SegV+P_ComV)*F$45</f>
        <v>0</v>
      </c>
      <c r="G58" s="34" t="n">
        <f aca="false">(P_SegV+P_ComV)*G$45</f>
        <v>0</v>
      </c>
      <c r="H58" s="34" t="n">
        <f aca="false">(P_SegV+P_ComV)*H$45</f>
        <v>0</v>
      </c>
      <c r="I58" s="34" t="n">
        <f aca="false">(P_SegV+P_ComV)*I$45</f>
        <v>0</v>
      </c>
      <c r="J58" s="34" t="n">
        <f aca="false">(P_SegV+P_ComV)*J$45</f>
        <v>0</v>
      </c>
      <c r="K58" s="34" t="n">
        <f aca="false">(P_SegV+P_ComV)*K$45</f>
        <v>0</v>
      </c>
      <c r="L58" s="34" t="n">
        <f aca="false">(P_SegV+P_ComV)*L$45</f>
        <v>0</v>
      </c>
      <c r="M58" s="34" t="n">
        <f aca="false">(P_SegV+P_ComV)*M$45</f>
        <v>0</v>
      </c>
      <c r="N58" s="34" t="n">
        <f aca="false">(P_SegV+P_ComV)*N$45</f>
        <v>0</v>
      </c>
      <c r="O58" s="34" t="n">
        <f aca="false">(P_SegV+P_ComV)*O$45</f>
        <v>0</v>
      </c>
      <c r="P58" s="34" t="n">
        <f aca="false">(P_SegV+P_ComV)*P$45</f>
        <v>0</v>
      </c>
      <c r="Q58" s="34" t="n">
        <f aca="false">(P_SegV+P_ComV)*Q$45</f>
        <v>0</v>
      </c>
      <c r="R58" s="34" t="n">
        <f aca="false">(P_SegV+P_ComV)*R$45</f>
        <v>0</v>
      </c>
      <c r="S58" s="34" t="n">
        <f aca="false">(P_SegV+P_ComV)*S$45</f>
        <v>0</v>
      </c>
      <c r="T58" s="34" t="n">
        <f aca="false">(P_SegV+P_ComV)*T$45</f>
        <v>0</v>
      </c>
      <c r="U58" s="34" t="n">
        <f aca="false">(P_SegV+P_ComV)*U$45</f>
        <v>0</v>
      </c>
      <c r="V58" s="34" t="n">
        <f aca="false">(P_SegV+P_ComV)*V$45</f>
        <v>0</v>
      </c>
      <c r="W58" s="34" t="n">
        <f aca="false">(P_SegV+P_ComV)*W$45</f>
        <v>0</v>
      </c>
      <c r="X58" s="34" t="n">
        <f aca="false">(P_SegV+P_ComV)*X$45</f>
        <v>0</v>
      </c>
      <c r="Y58" s="34" t="n">
        <f aca="false">(P_SegV+P_ComV)*Y$45</f>
        <v>0</v>
      </c>
      <c r="Z58" s="34" t="n">
        <f aca="false">(P_SegV+P_ComV)*Z$45</f>
        <v>0</v>
      </c>
      <c r="AA58" s="34" t="n">
        <f aca="false">(P_SegV+P_ComV)*AA$45</f>
        <v>0</v>
      </c>
      <c r="AB58" s="34" t="n">
        <f aca="false">(P_SegV+P_ComV)*AB$45</f>
        <v>0</v>
      </c>
      <c r="AC58" s="34" t="n">
        <f aca="false">(P_SegV+P_ComV)*AC$45</f>
        <v>0</v>
      </c>
      <c r="AD58" s="34" t="n">
        <f aca="false">(P_SegV+P_ComV)*AD$45</f>
        <v>0</v>
      </c>
      <c r="AE58" s="34" t="n">
        <f aca="false">(P_SegV+P_ComV)*AE$45</f>
        <v>0</v>
      </c>
      <c r="AF58" s="34" t="n">
        <f aca="false">(P_SegV+P_ComV)*AF$45</f>
        <v>0</v>
      </c>
      <c r="AG58" s="34" t="n">
        <f aca="false">(P_SegV+P_ComV)*AG$45</f>
        <v>0</v>
      </c>
      <c r="AH58" s="34" t="n">
        <f aca="false">(P_SegV+P_ComV)*AH$45</f>
        <v>0</v>
      </c>
      <c r="AI58" s="34" t="n">
        <f aca="false">(P_SegV+P_ComV)*AI$45</f>
        <v>0</v>
      </c>
      <c r="AJ58" s="34" t="n">
        <f aca="false">(P_SegV+P_ComV)*AJ$45</f>
        <v>0</v>
      </c>
      <c r="AK58" s="34" t="n">
        <f aca="false">(P_SegV+P_ComV)*AK$45</f>
        <v>0</v>
      </c>
      <c r="AL58" s="34" t="n">
        <f aca="false">(P_SegV+P_ComV)*AL$45</f>
        <v>0</v>
      </c>
      <c r="AM58" s="34" t="n">
        <f aca="false">(P_SegV+P_ComV)*AM$45</f>
        <v>0</v>
      </c>
      <c r="AN58" s="34" t="n">
        <f aca="false">(P_SegV+P_ComV)*AN$45</f>
        <v>0</v>
      </c>
      <c r="AO58" s="34" t="n">
        <f aca="false">(P_SegV+P_ComV)*AO$45</f>
        <v>0</v>
      </c>
      <c r="AP58" s="34" t="n">
        <f aca="false">(P_SegV+P_ComV)*AP$45</f>
        <v>0</v>
      </c>
      <c r="AQ58" s="34" t="n">
        <f aca="false">(P_SegV+P_ComV)*AQ$45</f>
        <v>0</v>
      </c>
      <c r="AR58" s="34" t="n">
        <f aca="false">(P_SegV+P_ComV)*AR$45</f>
        <v>0</v>
      </c>
      <c r="AS58" s="34" t="n">
        <f aca="false">(P_SegV+P_ComV)*AS$45</f>
        <v>0</v>
      </c>
      <c r="AT58" s="34" t="n">
        <f aca="false">(P_SegV+P_ComV)*AT$45</f>
        <v>0</v>
      </c>
      <c r="AU58" s="34" t="n">
        <f aca="false">(P_SegV+P_ComV)*AU$45</f>
        <v>0</v>
      </c>
      <c r="AV58" s="34" t="n">
        <f aca="false">(P_SegV+P_ComV)*AV$45</f>
        <v>0</v>
      </c>
      <c r="AW58" s="34" t="n">
        <f aca="false">(P_SegV+P_ComV)*AW$45</f>
        <v>0</v>
      </c>
      <c r="AX58" s="34" t="n">
        <f aca="false">(P_SegV+P_ComV)*AX$45</f>
        <v>0</v>
      </c>
      <c r="AY58" s="34" t="n">
        <f aca="false">(P_SegV+P_ComV)*AY$45</f>
        <v>0</v>
      </c>
      <c r="AZ58" s="34" t="n">
        <f aca="false">(P_SegV+P_ComV)*AZ$45</f>
        <v>0</v>
      </c>
      <c r="BA58" s="34" t="n">
        <f aca="false">(P_SegV+P_ComV)*BA$45</f>
        <v>0</v>
      </c>
      <c r="BB58" s="34" t="n">
        <f aca="false">(P_SegV+P_ComV)*BB$45</f>
        <v>0</v>
      </c>
      <c r="BC58" s="34" t="n">
        <f aca="false">(P_SegV+P_ComV)*BC$45</f>
        <v>0</v>
      </c>
      <c r="BD58" s="34" t="n">
        <f aca="false">(P_SegV+P_ComV)*BD$45</f>
        <v>0</v>
      </c>
      <c r="BE58" s="34" t="n">
        <f aca="false">(P_SegV+P_ComV)*BE$45</f>
        <v>0</v>
      </c>
      <c r="BF58" s="34" t="n">
        <f aca="false">(P_SegV+P_ComV)*BF$45</f>
        <v>0</v>
      </c>
      <c r="BG58" s="34" t="n">
        <f aca="false">(P_SegV+P_ComV)*BG$45</f>
        <v>0</v>
      </c>
      <c r="BH58" s="34" t="n">
        <f aca="false">(P_SegV+P_ComV)*BH$45</f>
        <v>0</v>
      </c>
      <c r="BI58" s="34" t="n">
        <f aca="false">(P_SegV+P_ComV)*BI$45</f>
        <v>0</v>
      </c>
      <c r="BJ58" s="34" t="n">
        <f aca="false">(P_SegV+P_ComV)*BJ$45</f>
        <v>0</v>
      </c>
      <c r="BK58" s="34" t="n">
        <f aca="false">(P_SegV+P_ComV)*BK$45</f>
        <v>0</v>
      </c>
      <c r="BL58" s="34" t="n">
        <f aca="false">(P_SegV+P_ComV)*BL$45</f>
        <v>0</v>
      </c>
      <c r="BM58" s="34" t="n">
        <f aca="false">(P_SegV+P_ComV)*BM$45</f>
        <v>0</v>
      </c>
      <c r="BN58" s="34" t="n">
        <f aca="false">(P_SegV+P_ComV)*BN$45</f>
        <v>0</v>
      </c>
      <c r="BO58" s="34" t="n">
        <f aca="false">(P_SegV+P_ComV)*BO$45</f>
        <v>0</v>
      </c>
      <c r="BP58" s="34" t="n">
        <f aca="false">(P_SegV+P_ComV)*BP$45</f>
        <v>0</v>
      </c>
      <c r="BQ58" s="34" t="n">
        <f aca="false">(P_SegV+P_ComV)*BQ$45</f>
        <v>0</v>
      </c>
      <c r="BR58" s="34" t="n">
        <f aca="false">(P_SegV+P_ComV)*BR$45</f>
        <v>0</v>
      </c>
      <c r="BS58" s="34" t="n">
        <f aca="false">(P_SegV+P_ComV)*BS$45</f>
        <v>0</v>
      </c>
      <c r="BT58" s="34" t="n">
        <f aca="false">(P_SegV+P_ComV)*BT$45</f>
        <v>0</v>
      </c>
      <c r="BU58" s="34" t="n">
        <f aca="false">(P_SegV+P_ComV)*BU$45</f>
        <v>0</v>
      </c>
      <c r="BV58" s="34" t="n">
        <f aca="false">(P_SegV+P_ComV)*BV$45</f>
        <v>0</v>
      </c>
      <c r="BW58" s="34" t="n">
        <f aca="false">(P_SegV+P_ComV)*BW$45</f>
        <v>0</v>
      </c>
      <c r="BX58" s="34" t="n">
        <f aca="false">(P_SegV+P_ComV)*BX$45</f>
        <v>0</v>
      </c>
      <c r="BY58" s="34" t="n">
        <f aca="false">(P_SegV+P_ComV)*BY$45</f>
        <v>0</v>
      </c>
      <c r="BZ58" s="34" t="n">
        <f aca="false">(P_SegV+P_ComV)*BZ$45</f>
        <v>0</v>
      </c>
      <c r="CA58" s="34" t="n">
        <f aca="false">(P_SegV+P_ComV)*CA$45</f>
        <v>0</v>
      </c>
      <c r="CB58" s="34" t="n">
        <f aca="false">(P_SegV+P_ComV)*CB$45</f>
        <v>0</v>
      </c>
      <c r="CC58" s="34" t="n">
        <f aca="false">(P_SegV+P_ComV)*CC$45</f>
        <v>0</v>
      </c>
      <c r="CD58" s="34" t="n">
        <f aca="false">(P_SegV+P_ComV)*CD$45</f>
        <v>0</v>
      </c>
      <c r="CE58" s="34" t="n">
        <f aca="false">(P_SegV+P_ComV)*CE$45</f>
        <v>0</v>
      </c>
      <c r="CF58" s="34" t="n">
        <f aca="false">(P_SegV+P_ComV)*CF$45</f>
        <v>0</v>
      </c>
      <c r="CG58" s="34" t="n">
        <f aca="false">(P_SegV+P_ComV)*CG$45</f>
        <v>0</v>
      </c>
      <c r="CH58" s="34" t="n">
        <f aca="false">(P_SegV+P_ComV)*CH$45</f>
        <v>0</v>
      </c>
      <c r="CI58" s="34" t="n">
        <f aca="false">(P_SegV+P_ComV)*CI$45</f>
        <v>0</v>
      </c>
      <c r="CJ58" s="34" t="n">
        <f aca="false">(P_SegV+P_ComV)*CJ$45</f>
        <v>0</v>
      </c>
      <c r="CK58" s="34" t="n">
        <f aca="false">(P_SegV+P_ComV)*CK$45</f>
        <v>0</v>
      </c>
      <c r="CL58" s="34" t="n">
        <f aca="false">(P_SegV+P_ComV)*CL$45</f>
        <v>0</v>
      </c>
      <c r="CM58" s="34" t="n">
        <f aca="false">(P_SegV+P_ComV)*CM$45</f>
        <v>0</v>
      </c>
      <c r="CN58" s="34" t="n">
        <f aca="false">(P_SegV+P_ComV)*CN$45</f>
        <v>0</v>
      </c>
      <c r="CO58" s="34" t="n">
        <f aca="false">(P_SegV+P_ComV)*CO$45</f>
        <v>0</v>
      </c>
      <c r="CP58" s="34" t="n">
        <f aca="false">(P_SegV+P_ComV)*CP$45</f>
        <v>0</v>
      </c>
      <c r="CQ58" s="34" t="n">
        <f aca="false">(P_SegV+P_ComV)*CQ$45</f>
        <v>0</v>
      </c>
      <c r="CR58" s="34" t="n">
        <f aca="false">(P_SegV+P_ComV)*CR$45</f>
        <v>0</v>
      </c>
      <c r="CS58" s="34" t="n">
        <f aca="false">(P_SegV+P_ComV)*CS$45</f>
        <v>0</v>
      </c>
      <c r="CT58" s="34" t="n">
        <f aca="false">(P_SegV+P_ComV)*CT$45</f>
        <v>0</v>
      </c>
      <c r="CU58" s="34" t="n">
        <f aca="false">(P_SegV+P_ComV)*CU$45</f>
        <v>0</v>
      </c>
      <c r="CV58" s="34" t="n">
        <f aca="false">(P_SegV+P_ComV)*CV$45</f>
        <v>0</v>
      </c>
      <c r="CW58" s="34" t="n">
        <f aca="false">(P_SegV+P_ComV)*CW$45</f>
        <v>0</v>
      </c>
      <c r="CX58" s="34" t="n">
        <f aca="false">(P_SegV+P_ComV)*CX$45</f>
        <v>0</v>
      </c>
      <c r="CY58" s="34" t="n">
        <f aca="false">(P_SegV+P_ComV)*CY$45</f>
        <v>0</v>
      </c>
      <c r="CZ58" s="34" t="n">
        <f aca="false">(P_SegV+P_ComV)*CZ$45</f>
        <v>0</v>
      </c>
      <c r="DA58" s="34" t="n">
        <f aca="false">(P_SegV+P_ComV)*DA$45</f>
        <v>0</v>
      </c>
      <c r="DB58" s="34" t="n">
        <f aca="false">(P_SegV+P_ComV)*DB$45</f>
        <v>0</v>
      </c>
      <c r="DC58" s="34" t="n">
        <f aca="false">(P_SegV+P_ComV)*DC$45</f>
        <v>0</v>
      </c>
      <c r="DD58" s="34" t="n">
        <f aca="false">(P_SegV+P_ComV)*DD$45</f>
        <v>0</v>
      </c>
      <c r="DE58" s="34" t="n">
        <f aca="false">(P_SegV+P_ComV)*DE$45</f>
        <v>0</v>
      </c>
      <c r="DF58" s="34" t="n">
        <f aca="false">(P_SegV+P_ComV)*DF$45</f>
        <v>0</v>
      </c>
      <c r="DG58" s="34" t="n">
        <f aca="false">(P_SegV+P_ComV)*DG$45</f>
        <v>0</v>
      </c>
      <c r="DH58" s="34" t="n">
        <f aca="false">(P_SegV+P_ComV)*DH$45</f>
        <v>0</v>
      </c>
      <c r="DI58" s="34" t="n">
        <f aca="false">(P_SegV+P_ComV)*DI$45</f>
        <v>0</v>
      </c>
      <c r="DJ58" s="34" t="n">
        <f aca="false">(P_SegV+P_ComV)*DJ$45</f>
        <v>0</v>
      </c>
      <c r="DK58" s="34" t="n">
        <f aca="false">(P_SegV+P_ComV)*DK$45</f>
        <v>0</v>
      </c>
      <c r="DL58" s="34" t="n">
        <f aca="false">(P_SegV+P_ComV)*DL$45</f>
        <v>0</v>
      </c>
      <c r="DM58" s="34" t="n">
        <f aca="false">(P_SegV+P_ComV)*DM$45</f>
        <v>0</v>
      </c>
      <c r="DN58" s="34" t="n">
        <f aca="false">(P_SegV+P_ComV)*DN$45</f>
        <v>0</v>
      </c>
      <c r="DO58" s="34" t="n">
        <f aca="false">(P_SegV+P_ComV)*DO$45</f>
        <v>0</v>
      </c>
      <c r="DP58" s="34" t="n">
        <f aca="false">(P_SegV+P_ComV)*DP$45</f>
        <v>0</v>
      </c>
      <c r="DQ58" s="34" t="n">
        <f aca="false">(P_SegV+P_ComV)*DQ$45</f>
        <v>0</v>
      </c>
      <c r="DR58" s="34" t="n">
        <f aca="false">(P_SegV+P_ComV)*DR$45</f>
        <v>0</v>
      </c>
      <c r="DS58" s="34" t="n">
        <f aca="false">(P_SegV+P_ComV)*DS$45</f>
        <v>0</v>
      </c>
      <c r="DT58" s="34" t="n">
        <f aca="false">(P_SegV+P_ComV)*DT$45</f>
        <v>0</v>
      </c>
      <c r="DU58" s="34" t="n">
        <f aca="false">(P_SegV+P_ComV)*DU$45</f>
        <v>0</v>
      </c>
      <c r="DV58" s="34" t="n">
        <f aca="false">(P_SegV+P_ComV)*DV$45</f>
        <v>0</v>
      </c>
      <c r="DW58" s="34" t="n">
        <f aca="false">(P_SegV+P_ComV)*DW$45</f>
        <v>0</v>
      </c>
      <c r="DX58" s="34" t="n">
        <f aca="false">(P_SegV+P_ComV)*DX$45</f>
        <v>0</v>
      </c>
      <c r="DY58" s="34" t="n">
        <f aca="false">(P_SegV+P_ComV)*DY$45</f>
        <v>0</v>
      </c>
      <c r="DZ58" s="34" t="n">
        <f aca="false">(P_SegV+P_ComV)*DZ$45</f>
        <v>0</v>
      </c>
      <c r="EA58" s="34" t="n">
        <f aca="false">(P_SegV+P_ComV)*EA$45</f>
        <v>0</v>
      </c>
      <c r="EB58" s="34" t="n">
        <f aca="false">(P_SegV+P_ComV)*EB$45</f>
        <v>0</v>
      </c>
      <c r="EC58" s="34" t="n">
        <f aca="false">(P_SegV+P_ComV)*EC$45</f>
        <v>0</v>
      </c>
      <c r="ED58" s="34" t="n">
        <f aca="false">(P_SegV+P_ComV)*ED$45</f>
        <v>0</v>
      </c>
      <c r="EE58" s="34" t="n">
        <f aca="false">(P_SegV+P_ComV)*EE$45</f>
        <v>0</v>
      </c>
      <c r="EF58" s="34" t="n">
        <f aca="false">(P_SegV+P_ComV)*EF$45</f>
        <v>0</v>
      </c>
      <c r="EG58" s="34" t="n">
        <f aca="false">(P_SegV+P_ComV)*EG$45</f>
        <v>0</v>
      </c>
      <c r="EH58" s="34" t="n">
        <f aca="false">(P_SegV+P_ComV)*EH$45</f>
        <v>0</v>
      </c>
      <c r="EI58" s="34" t="n">
        <f aca="false">(P_SegV+P_ComV)*EI$45</f>
        <v>0</v>
      </c>
      <c r="EJ58" s="34" t="n">
        <f aca="false">(P_SegV+P_ComV)*EJ$45</f>
        <v>0</v>
      </c>
      <c r="EK58" s="34" t="n">
        <f aca="false">(P_SegV+P_ComV)*EK$45</f>
        <v>0</v>
      </c>
      <c r="EL58" s="34" t="n">
        <f aca="false">(P_SegV+P_ComV)*EL$45</f>
        <v>0</v>
      </c>
      <c r="EM58" s="34" t="n">
        <f aca="false">(P_SegV+P_ComV)*EM$45</f>
        <v>0</v>
      </c>
      <c r="EN58" s="34" t="n">
        <f aca="false">(P_SegV+P_ComV)*EN$45</f>
        <v>0</v>
      </c>
      <c r="EO58" s="34" t="n">
        <f aca="false">(P_SegV+P_ComV)*EO$45</f>
        <v>0</v>
      </c>
      <c r="EP58" s="34" t="n">
        <f aca="false">(P_SegV+P_ComV)*EP$45</f>
        <v>0</v>
      </c>
      <c r="EQ58" s="34" t="n">
        <f aca="false">(P_SegV+P_ComV)*EQ$45</f>
        <v>0</v>
      </c>
      <c r="ER58" s="34" t="n">
        <f aca="false">(P_SegV+P_ComV)*ER$45</f>
        <v>0</v>
      </c>
      <c r="ES58" s="34" t="n">
        <f aca="false">(P_SegV+P_ComV)*ES$45</f>
        <v>0</v>
      </c>
    </row>
    <row r="59" customFormat="false" ht="15" hidden="false" customHeight="false" outlineLevel="0" collapsed="false">
      <c r="A59" s="2" t="s">
        <v>484</v>
      </c>
      <c r="B59" s="6" t="s">
        <v>377</v>
      </c>
      <c r="C59" s="6" t="s">
        <v>212</v>
      </c>
      <c r="E59" s="40" t="n">
        <f aca="false">SUM(F59:ES59)</f>
        <v>0</v>
      </c>
      <c r="F59" s="34" t="n">
        <f aca="false">P_Trib*F$45</f>
        <v>0</v>
      </c>
      <c r="G59" s="34" t="n">
        <f aca="false">P_Trib*G$45</f>
        <v>0</v>
      </c>
      <c r="H59" s="34" t="n">
        <f aca="false">P_Trib*H$45</f>
        <v>0</v>
      </c>
      <c r="I59" s="34" t="n">
        <f aca="false">P_Trib*I$45</f>
        <v>0</v>
      </c>
      <c r="J59" s="34" t="n">
        <f aca="false">P_Trib*J$45</f>
        <v>0</v>
      </c>
      <c r="K59" s="34" t="n">
        <f aca="false">P_Trib*K$45</f>
        <v>0</v>
      </c>
      <c r="L59" s="34" t="n">
        <f aca="false">P_Trib*L$45</f>
        <v>0</v>
      </c>
      <c r="M59" s="34" t="n">
        <f aca="false">P_Trib*M$45</f>
        <v>0</v>
      </c>
      <c r="N59" s="34" t="n">
        <f aca="false">P_Trib*N$45</f>
        <v>0</v>
      </c>
      <c r="O59" s="34" t="n">
        <f aca="false">P_Trib*O$45</f>
        <v>0</v>
      </c>
      <c r="P59" s="34" t="n">
        <f aca="false">P_Trib*P$45</f>
        <v>0</v>
      </c>
      <c r="Q59" s="34" t="n">
        <f aca="false">P_Trib*Q$45</f>
        <v>0</v>
      </c>
      <c r="R59" s="34" t="n">
        <f aca="false">P_Trib*R$45</f>
        <v>0</v>
      </c>
      <c r="S59" s="34" t="n">
        <f aca="false">P_Trib*S$45</f>
        <v>0</v>
      </c>
      <c r="T59" s="34" t="n">
        <f aca="false">P_Trib*T$45</f>
        <v>0</v>
      </c>
      <c r="U59" s="34" t="n">
        <f aca="false">P_Trib*U$45</f>
        <v>0</v>
      </c>
      <c r="V59" s="34" t="n">
        <f aca="false">P_Trib*V$45</f>
        <v>0</v>
      </c>
      <c r="W59" s="34" t="n">
        <f aca="false">P_Trib*W$45</f>
        <v>0</v>
      </c>
      <c r="X59" s="34" t="n">
        <f aca="false">P_Trib*X$45</f>
        <v>0</v>
      </c>
      <c r="Y59" s="34" t="n">
        <f aca="false">P_Trib*Y$45</f>
        <v>0</v>
      </c>
      <c r="Z59" s="34" t="n">
        <f aca="false">P_Trib*Z$45</f>
        <v>0</v>
      </c>
      <c r="AA59" s="34" t="n">
        <f aca="false">P_Trib*AA$45</f>
        <v>0</v>
      </c>
      <c r="AB59" s="34" t="n">
        <f aca="false">P_Trib*AB$45</f>
        <v>0</v>
      </c>
      <c r="AC59" s="34" t="n">
        <f aca="false">P_Trib*AC$45</f>
        <v>0</v>
      </c>
      <c r="AD59" s="34" t="n">
        <f aca="false">P_Trib*AD$45</f>
        <v>0</v>
      </c>
      <c r="AE59" s="34" t="n">
        <f aca="false">P_Trib*AE$45</f>
        <v>0</v>
      </c>
      <c r="AF59" s="34" t="n">
        <f aca="false">P_Trib*AF$45</f>
        <v>0</v>
      </c>
      <c r="AG59" s="34" t="n">
        <f aca="false">P_Trib*AG$45</f>
        <v>0</v>
      </c>
      <c r="AH59" s="34" t="n">
        <f aca="false">P_Trib*AH$45</f>
        <v>0</v>
      </c>
      <c r="AI59" s="34" t="n">
        <f aca="false">P_Trib*AI$45</f>
        <v>0</v>
      </c>
      <c r="AJ59" s="34" t="n">
        <f aca="false">P_Trib*AJ$45</f>
        <v>0</v>
      </c>
      <c r="AK59" s="34" t="n">
        <f aca="false">P_Trib*AK$45</f>
        <v>0</v>
      </c>
      <c r="AL59" s="34" t="n">
        <f aca="false">P_Trib*AL$45</f>
        <v>0</v>
      </c>
      <c r="AM59" s="34" t="n">
        <f aca="false">P_Trib*AM$45</f>
        <v>0</v>
      </c>
      <c r="AN59" s="34" t="n">
        <f aca="false">P_Trib*AN$45</f>
        <v>0</v>
      </c>
      <c r="AO59" s="34" t="n">
        <f aca="false">P_Trib*AO$45</f>
        <v>0</v>
      </c>
      <c r="AP59" s="34" t="n">
        <f aca="false">P_Trib*AP$45</f>
        <v>0</v>
      </c>
      <c r="AQ59" s="34" t="n">
        <f aca="false">P_Trib*AQ$45</f>
        <v>0</v>
      </c>
      <c r="AR59" s="34" t="n">
        <f aca="false">P_Trib*AR$45</f>
        <v>0</v>
      </c>
      <c r="AS59" s="34" t="n">
        <f aca="false">P_Trib*AS$45</f>
        <v>0</v>
      </c>
      <c r="AT59" s="34" t="n">
        <f aca="false">P_Trib*AT$45</f>
        <v>0</v>
      </c>
      <c r="AU59" s="34" t="n">
        <f aca="false">P_Trib*AU$45</f>
        <v>0</v>
      </c>
      <c r="AV59" s="34" t="n">
        <f aca="false">P_Trib*AV$45</f>
        <v>0</v>
      </c>
      <c r="AW59" s="34" t="n">
        <f aca="false">P_Trib*AW$45</f>
        <v>0</v>
      </c>
      <c r="AX59" s="34" t="n">
        <f aca="false">P_Trib*AX$45</f>
        <v>0</v>
      </c>
      <c r="AY59" s="34" t="n">
        <f aca="false">P_Trib*AY$45</f>
        <v>0</v>
      </c>
      <c r="AZ59" s="34" t="n">
        <f aca="false">P_Trib*AZ$45</f>
        <v>0</v>
      </c>
      <c r="BA59" s="34" t="n">
        <f aca="false">P_Trib*BA$45</f>
        <v>0</v>
      </c>
      <c r="BB59" s="34" t="n">
        <f aca="false">P_Trib*BB$45</f>
        <v>0</v>
      </c>
      <c r="BC59" s="34" t="n">
        <f aca="false">P_Trib*BC$45</f>
        <v>0</v>
      </c>
      <c r="BD59" s="34" t="n">
        <f aca="false">P_Trib*BD$45</f>
        <v>0</v>
      </c>
      <c r="BE59" s="34" t="n">
        <f aca="false">P_Trib*BE$45</f>
        <v>0</v>
      </c>
      <c r="BF59" s="34" t="n">
        <f aca="false">P_Trib*BF$45</f>
        <v>0</v>
      </c>
      <c r="BG59" s="34" t="n">
        <f aca="false">P_Trib*BG$45</f>
        <v>0</v>
      </c>
      <c r="BH59" s="34" t="n">
        <f aca="false">P_Trib*BH$45</f>
        <v>0</v>
      </c>
      <c r="BI59" s="34" t="n">
        <f aca="false">P_Trib*BI$45</f>
        <v>0</v>
      </c>
      <c r="BJ59" s="34" t="n">
        <f aca="false">P_Trib*BJ$45</f>
        <v>0</v>
      </c>
      <c r="BK59" s="34" t="n">
        <f aca="false">P_Trib*BK$45</f>
        <v>0</v>
      </c>
      <c r="BL59" s="34" t="n">
        <f aca="false">P_Trib*BL$45</f>
        <v>0</v>
      </c>
      <c r="BM59" s="34" t="n">
        <f aca="false">P_Trib*BM$45</f>
        <v>0</v>
      </c>
      <c r="BN59" s="34" t="n">
        <f aca="false">P_Trib*BN$45</f>
        <v>0</v>
      </c>
      <c r="BO59" s="34" t="n">
        <f aca="false">P_Trib*BO$45</f>
        <v>0</v>
      </c>
      <c r="BP59" s="34" t="n">
        <f aca="false">P_Trib*BP$45</f>
        <v>0</v>
      </c>
      <c r="BQ59" s="34" t="n">
        <f aca="false">P_Trib*BQ$45</f>
        <v>0</v>
      </c>
      <c r="BR59" s="34" t="n">
        <f aca="false">P_Trib*BR$45</f>
        <v>0</v>
      </c>
      <c r="BS59" s="34" t="n">
        <f aca="false">P_Trib*BS$45</f>
        <v>0</v>
      </c>
      <c r="BT59" s="34" t="n">
        <f aca="false">P_Trib*BT$45</f>
        <v>0</v>
      </c>
      <c r="BU59" s="34" t="n">
        <f aca="false">P_Trib*BU$45</f>
        <v>0</v>
      </c>
      <c r="BV59" s="34" t="n">
        <f aca="false">P_Trib*BV$45</f>
        <v>0</v>
      </c>
      <c r="BW59" s="34" t="n">
        <f aca="false">P_Trib*BW$45</f>
        <v>0</v>
      </c>
      <c r="BX59" s="34" t="n">
        <f aca="false">P_Trib*BX$45</f>
        <v>0</v>
      </c>
      <c r="BY59" s="34" t="n">
        <f aca="false">P_Trib*BY$45</f>
        <v>0</v>
      </c>
      <c r="BZ59" s="34" t="n">
        <f aca="false">P_Trib*BZ$45</f>
        <v>0</v>
      </c>
      <c r="CA59" s="34" t="n">
        <f aca="false">P_Trib*CA$45</f>
        <v>0</v>
      </c>
      <c r="CB59" s="34" t="n">
        <f aca="false">P_Trib*CB$45</f>
        <v>0</v>
      </c>
      <c r="CC59" s="34" t="n">
        <f aca="false">P_Trib*CC$45</f>
        <v>0</v>
      </c>
      <c r="CD59" s="34" t="n">
        <f aca="false">P_Trib*CD$45</f>
        <v>0</v>
      </c>
      <c r="CE59" s="34" t="n">
        <f aca="false">P_Trib*CE$45</f>
        <v>0</v>
      </c>
      <c r="CF59" s="34" t="n">
        <f aca="false">P_Trib*CF$45</f>
        <v>0</v>
      </c>
      <c r="CG59" s="34" t="n">
        <f aca="false">P_Trib*CG$45</f>
        <v>0</v>
      </c>
      <c r="CH59" s="34" t="n">
        <f aca="false">P_Trib*CH$45</f>
        <v>0</v>
      </c>
      <c r="CI59" s="34" t="n">
        <f aca="false">P_Trib*CI$45</f>
        <v>0</v>
      </c>
      <c r="CJ59" s="34" t="n">
        <f aca="false">P_Trib*CJ$45</f>
        <v>0</v>
      </c>
      <c r="CK59" s="34" t="n">
        <f aca="false">P_Trib*CK$45</f>
        <v>0</v>
      </c>
      <c r="CL59" s="34" t="n">
        <f aca="false">P_Trib*CL$45</f>
        <v>0</v>
      </c>
      <c r="CM59" s="34" t="n">
        <f aca="false">P_Trib*CM$45</f>
        <v>0</v>
      </c>
      <c r="CN59" s="34" t="n">
        <f aca="false">P_Trib*CN$45</f>
        <v>0</v>
      </c>
      <c r="CO59" s="34" t="n">
        <f aca="false">P_Trib*CO$45</f>
        <v>0</v>
      </c>
      <c r="CP59" s="34" t="n">
        <f aca="false">P_Trib*CP$45</f>
        <v>0</v>
      </c>
      <c r="CQ59" s="34" t="n">
        <f aca="false">P_Trib*CQ$45</f>
        <v>0</v>
      </c>
      <c r="CR59" s="34" t="n">
        <f aca="false">P_Trib*CR$45</f>
        <v>0</v>
      </c>
      <c r="CS59" s="34" t="n">
        <f aca="false">P_Trib*CS$45</f>
        <v>0</v>
      </c>
      <c r="CT59" s="34" t="n">
        <f aca="false">P_Trib*CT$45</f>
        <v>0</v>
      </c>
      <c r="CU59" s="34" t="n">
        <f aca="false">P_Trib*CU$45</f>
        <v>0</v>
      </c>
      <c r="CV59" s="34" t="n">
        <f aca="false">P_Trib*CV$45</f>
        <v>0</v>
      </c>
      <c r="CW59" s="34" t="n">
        <f aca="false">P_Trib*CW$45</f>
        <v>0</v>
      </c>
      <c r="CX59" s="34" t="n">
        <f aca="false">P_Trib*CX$45</f>
        <v>0</v>
      </c>
      <c r="CY59" s="34" t="n">
        <f aca="false">P_Trib*CY$45</f>
        <v>0</v>
      </c>
      <c r="CZ59" s="34" t="n">
        <f aca="false">P_Trib*CZ$45</f>
        <v>0</v>
      </c>
      <c r="DA59" s="34" t="n">
        <f aca="false">P_Trib*DA$45</f>
        <v>0</v>
      </c>
      <c r="DB59" s="34" t="n">
        <f aca="false">P_Trib*DB$45</f>
        <v>0</v>
      </c>
      <c r="DC59" s="34" t="n">
        <f aca="false">P_Trib*DC$45</f>
        <v>0</v>
      </c>
      <c r="DD59" s="34" t="n">
        <f aca="false">P_Trib*DD$45</f>
        <v>0</v>
      </c>
      <c r="DE59" s="34" t="n">
        <f aca="false">P_Trib*DE$45</f>
        <v>0</v>
      </c>
      <c r="DF59" s="34" t="n">
        <f aca="false">P_Trib*DF$45</f>
        <v>0</v>
      </c>
      <c r="DG59" s="34" t="n">
        <f aca="false">P_Trib*DG$45</f>
        <v>0</v>
      </c>
      <c r="DH59" s="34" t="n">
        <f aca="false">P_Trib*DH$45</f>
        <v>0</v>
      </c>
      <c r="DI59" s="34" t="n">
        <f aca="false">P_Trib*DI$45</f>
        <v>0</v>
      </c>
      <c r="DJ59" s="34" t="n">
        <f aca="false">P_Trib*DJ$45</f>
        <v>0</v>
      </c>
      <c r="DK59" s="34" t="n">
        <f aca="false">P_Trib*DK$45</f>
        <v>0</v>
      </c>
      <c r="DL59" s="34" t="n">
        <f aca="false">P_Trib*DL$45</f>
        <v>0</v>
      </c>
      <c r="DM59" s="34" t="n">
        <f aca="false">P_Trib*DM$45</f>
        <v>0</v>
      </c>
      <c r="DN59" s="34" t="n">
        <f aca="false">P_Trib*DN$45</f>
        <v>0</v>
      </c>
      <c r="DO59" s="34" t="n">
        <f aca="false">P_Trib*DO$45</f>
        <v>0</v>
      </c>
      <c r="DP59" s="34" t="n">
        <f aca="false">P_Trib*DP$45</f>
        <v>0</v>
      </c>
      <c r="DQ59" s="34" t="n">
        <f aca="false">P_Trib*DQ$45</f>
        <v>0</v>
      </c>
      <c r="DR59" s="34" t="n">
        <f aca="false">P_Trib*DR$45</f>
        <v>0</v>
      </c>
      <c r="DS59" s="34" t="n">
        <f aca="false">P_Trib*DS$45</f>
        <v>0</v>
      </c>
      <c r="DT59" s="34" t="n">
        <f aca="false">P_Trib*DT$45</f>
        <v>0</v>
      </c>
      <c r="DU59" s="34" t="n">
        <f aca="false">P_Trib*DU$45</f>
        <v>0</v>
      </c>
      <c r="DV59" s="34" t="n">
        <f aca="false">P_Trib*DV$45</f>
        <v>0</v>
      </c>
      <c r="DW59" s="34" t="n">
        <f aca="false">P_Trib*DW$45</f>
        <v>0</v>
      </c>
      <c r="DX59" s="34" t="n">
        <f aca="false">P_Trib*DX$45</f>
        <v>0</v>
      </c>
      <c r="DY59" s="34" t="n">
        <f aca="false">P_Trib*DY$45</f>
        <v>0</v>
      </c>
      <c r="DZ59" s="34" t="n">
        <f aca="false">P_Trib*DZ$45</f>
        <v>0</v>
      </c>
      <c r="EA59" s="34" t="n">
        <f aca="false">P_Trib*EA$45</f>
        <v>0</v>
      </c>
      <c r="EB59" s="34" t="n">
        <f aca="false">P_Trib*EB$45</f>
        <v>0</v>
      </c>
      <c r="EC59" s="34" t="n">
        <f aca="false">P_Trib*EC$45</f>
        <v>0</v>
      </c>
      <c r="ED59" s="34" t="n">
        <f aca="false">P_Trib*ED$45</f>
        <v>0</v>
      </c>
      <c r="EE59" s="34" t="n">
        <f aca="false">P_Trib*EE$45</f>
        <v>0</v>
      </c>
      <c r="EF59" s="34" t="n">
        <f aca="false">P_Trib*EF$45</f>
        <v>0</v>
      </c>
      <c r="EG59" s="34" t="n">
        <f aca="false">P_Trib*EG$45</f>
        <v>0</v>
      </c>
      <c r="EH59" s="34" t="n">
        <f aca="false">P_Trib*EH$45</f>
        <v>0</v>
      </c>
      <c r="EI59" s="34" t="n">
        <f aca="false">P_Trib*EI$45</f>
        <v>0</v>
      </c>
      <c r="EJ59" s="34" t="n">
        <f aca="false">P_Trib*EJ$45</f>
        <v>0</v>
      </c>
      <c r="EK59" s="34" t="n">
        <f aca="false">P_Trib*EK$45</f>
        <v>0</v>
      </c>
      <c r="EL59" s="34" t="n">
        <f aca="false">P_Trib*EL$45</f>
        <v>0</v>
      </c>
      <c r="EM59" s="34" t="n">
        <f aca="false">P_Trib*EM$45</f>
        <v>0</v>
      </c>
      <c r="EN59" s="34" t="n">
        <f aca="false">P_Trib*EN$45</f>
        <v>0</v>
      </c>
      <c r="EO59" s="34" t="n">
        <f aca="false">P_Trib*EO$45</f>
        <v>0</v>
      </c>
      <c r="EP59" s="34" t="n">
        <f aca="false">P_Trib*EP$45</f>
        <v>0</v>
      </c>
      <c r="EQ59" s="34" t="n">
        <f aca="false">P_Trib*EQ$45</f>
        <v>0</v>
      </c>
      <c r="ER59" s="34" t="n">
        <f aca="false">P_Trib*ER$45</f>
        <v>0</v>
      </c>
      <c r="ES59" s="34" t="n">
        <f aca="false">P_Trib*ES$45</f>
        <v>0</v>
      </c>
    </row>
    <row r="60" customFormat="false" ht="15" hidden="false" customHeight="false" outlineLevel="0" collapsed="false">
      <c r="A60" s="2" t="s">
        <v>485</v>
      </c>
      <c r="B60" s="6" t="s">
        <v>486</v>
      </c>
      <c r="C60" s="6" t="s">
        <v>212</v>
      </c>
      <c r="E60" s="40" t="n">
        <f aca="false">SUM(F60:ES60)</f>
        <v>0</v>
      </c>
      <c r="F60" s="34" t="n">
        <f aca="false">SUMPRODUCT((FC_Clase="Producción")*FC_O*((FC_Mon="PYG")*F$19+(FC_Mon&lt;&gt;"PYG"))*(1+FC_g)^(F$17-1)*((FC_Desde=0)*(F$16+F$15)+(FC_Desde&gt;=1)*(F$14&gt;=FC_Desde)*F$15))</f>
        <v>0</v>
      </c>
      <c r="G60" s="34" t="n">
        <f aca="false">SUMPRODUCT((FC_Clase="Producción")*FC_O*((FC_Mon="PYG")*G$19+(FC_Mon&lt;&gt;"PYG"))*(1+FC_g)^(G$17-1)*((FC_Desde=0)*(G$16+G$15)+(FC_Desde&gt;=1)*(G$14&gt;=FC_Desde)*G$15))</f>
        <v>0</v>
      </c>
      <c r="H60" s="34" t="n">
        <f aca="false">SUMPRODUCT((FC_Clase="Producción")*FC_O*((FC_Mon="PYG")*H$19+(FC_Mon&lt;&gt;"PYG"))*(1+FC_g)^(H$17-1)*((FC_Desde=0)*(H$16+H$15)+(FC_Desde&gt;=1)*(H$14&gt;=FC_Desde)*H$15))</f>
        <v>0</v>
      </c>
      <c r="I60" s="34" t="n">
        <f aca="false">SUMPRODUCT((FC_Clase="Producción")*FC_O*((FC_Mon="PYG")*I$19+(FC_Mon&lt;&gt;"PYG"))*(1+FC_g)^(I$17-1)*((FC_Desde=0)*(I$16+I$15)+(FC_Desde&gt;=1)*(I$14&gt;=FC_Desde)*I$15))</f>
        <v>0</v>
      </c>
      <c r="J60" s="34" t="n">
        <f aca="false">SUMPRODUCT((FC_Clase="Producción")*FC_O*((FC_Mon="PYG")*J$19+(FC_Mon&lt;&gt;"PYG"))*(1+FC_g)^(J$17-1)*((FC_Desde=0)*(J$16+J$15)+(FC_Desde&gt;=1)*(J$14&gt;=FC_Desde)*J$15))</f>
        <v>0</v>
      </c>
      <c r="K60" s="34" t="n">
        <f aca="false">SUMPRODUCT((FC_Clase="Producción")*FC_O*((FC_Mon="PYG")*K$19+(FC_Mon&lt;&gt;"PYG"))*(1+FC_g)^(K$17-1)*((FC_Desde=0)*(K$16+K$15)+(FC_Desde&gt;=1)*(K$14&gt;=FC_Desde)*K$15))</f>
        <v>0</v>
      </c>
      <c r="L60" s="34" t="n">
        <f aca="false">SUMPRODUCT((FC_Clase="Producción")*FC_O*((FC_Mon="PYG")*L$19+(FC_Mon&lt;&gt;"PYG"))*(1+FC_g)^(L$17-1)*((FC_Desde=0)*(L$16+L$15)+(FC_Desde&gt;=1)*(L$14&gt;=FC_Desde)*L$15))</f>
        <v>0</v>
      </c>
      <c r="M60" s="34" t="n">
        <f aca="false">SUMPRODUCT((FC_Clase="Producción")*FC_O*((FC_Mon="PYG")*M$19+(FC_Mon&lt;&gt;"PYG"))*(1+FC_g)^(M$17-1)*((FC_Desde=0)*(M$16+M$15)+(FC_Desde&gt;=1)*(M$14&gt;=FC_Desde)*M$15))</f>
        <v>0</v>
      </c>
      <c r="N60" s="34" t="n">
        <f aca="false">SUMPRODUCT((FC_Clase="Producción")*FC_O*((FC_Mon="PYG")*N$19+(FC_Mon&lt;&gt;"PYG"))*(1+FC_g)^(N$17-1)*((FC_Desde=0)*(N$16+N$15)+(FC_Desde&gt;=1)*(N$14&gt;=FC_Desde)*N$15))</f>
        <v>0</v>
      </c>
      <c r="O60" s="34" t="n">
        <f aca="false">SUMPRODUCT((FC_Clase="Producción")*FC_O*((FC_Mon="PYG")*O$19+(FC_Mon&lt;&gt;"PYG"))*(1+FC_g)^(O$17-1)*((FC_Desde=0)*(O$16+O$15)+(FC_Desde&gt;=1)*(O$14&gt;=FC_Desde)*O$15))</f>
        <v>0</v>
      </c>
      <c r="P60" s="34" t="n">
        <f aca="false">SUMPRODUCT((FC_Clase="Producción")*FC_O*((FC_Mon="PYG")*P$19+(FC_Mon&lt;&gt;"PYG"))*(1+FC_g)^(P$17-1)*((FC_Desde=0)*(P$16+P$15)+(FC_Desde&gt;=1)*(P$14&gt;=FC_Desde)*P$15))</f>
        <v>0</v>
      </c>
      <c r="Q60" s="34" t="n">
        <f aca="false">SUMPRODUCT((FC_Clase="Producción")*FC_O*((FC_Mon="PYG")*Q$19+(FC_Mon&lt;&gt;"PYG"))*(1+FC_g)^(Q$17-1)*((FC_Desde=0)*(Q$16+Q$15)+(FC_Desde&gt;=1)*(Q$14&gt;=FC_Desde)*Q$15))</f>
        <v>0</v>
      </c>
      <c r="R60" s="34" t="n">
        <f aca="false">SUMPRODUCT((FC_Clase="Producción")*FC_O*((FC_Mon="PYG")*R$19+(FC_Mon&lt;&gt;"PYG"))*(1+FC_g)^(R$17-1)*((FC_Desde=0)*(R$16+R$15)+(FC_Desde&gt;=1)*(R$14&gt;=FC_Desde)*R$15))</f>
        <v>0</v>
      </c>
      <c r="S60" s="34" t="n">
        <f aca="false">SUMPRODUCT((FC_Clase="Producción")*FC_O*((FC_Mon="PYG")*S$19+(FC_Mon&lt;&gt;"PYG"))*(1+FC_g)^(S$17-1)*((FC_Desde=0)*(S$16+S$15)+(FC_Desde&gt;=1)*(S$14&gt;=FC_Desde)*S$15))</f>
        <v>0</v>
      </c>
      <c r="T60" s="34" t="n">
        <f aca="false">SUMPRODUCT((FC_Clase="Producción")*FC_O*((FC_Mon="PYG")*T$19+(FC_Mon&lt;&gt;"PYG"))*(1+FC_g)^(T$17-1)*((FC_Desde=0)*(T$16+T$15)+(FC_Desde&gt;=1)*(T$14&gt;=FC_Desde)*T$15))</f>
        <v>0</v>
      </c>
      <c r="U60" s="34" t="n">
        <f aca="false">SUMPRODUCT((FC_Clase="Producción")*FC_O*((FC_Mon="PYG")*U$19+(FC_Mon&lt;&gt;"PYG"))*(1+FC_g)^(U$17-1)*((FC_Desde=0)*(U$16+U$15)+(FC_Desde&gt;=1)*(U$14&gt;=FC_Desde)*U$15))</f>
        <v>0</v>
      </c>
      <c r="V60" s="34" t="n">
        <f aca="false">SUMPRODUCT((FC_Clase="Producción")*FC_O*((FC_Mon="PYG")*V$19+(FC_Mon&lt;&gt;"PYG"))*(1+FC_g)^(V$17-1)*((FC_Desde=0)*(V$16+V$15)+(FC_Desde&gt;=1)*(V$14&gt;=FC_Desde)*V$15))</f>
        <v>0</v>
      </c>
      <c r="W60" s="34" t="n">
        <f aca="false">SUMPRODUCT((FC_Clase="Producción")*FC_O*((FC_Mon="PYG")*W$19+(FC_Mon&lt;&gt;"PYG"))*(1+FC_g)^(W$17-1)*((FC_Desde=0)*(W$16+W$15)+(FC_Desde&gt;=1)*(W$14&gt;=FC_Desde)*W$15))</f>
        <v>0</v>
      </c>
      <c r="X60" s="34" t="n">
        <f aca="false">SUMPRODUCT((FC_Clase="Producción")*FC_O*((FC_Mon="PYG")*X$19+(FC_Mon&lt;&gt;"PYG"))*(1+FC_g)^(X$17-1)*((FC_Desde=0)*(X$16+X$15)+(FC_Desde&gt;=1)*(X$14&gt;=FC_Desde)*X$15))</f>
        <v>0</v>
      </c>
      <c r="Y60" s="34" t="n">
        <f aca="false">SUMPRODUCT((FC_Clase="Producción")*FC_O*((FC_Mon="PYG")*Y$19+(FC_Mon&lt;&gt;"PYG"))*(1+FC_g)^(Y$17-1)*((FC_Desde=0)*(Y$16+Y$15)+(FC_Desde&gt;=1)*(Y$14&gt;=FC_Desde)*Y$15))</f>
        <v>0</v>
      </c>
      <c r="Z60" s="34" t="n">
        <f aca="false">SUMPRODUCT((FC_Clase="Producción")*FC_O*((FC_Mon="PYG")*Z$19+(FC_Mon&lt;&gt;"PYG"))*(1+FC_g)^(Z$17-1)*((FC_Desde=0)*(Z$16+Z$15)+(FC_Desde&gt;=1)*(Z$14&gt;=FC_Desde)*Z$15))</f>
        <v>0</v>
      </c>
      <c r="AA60" s="34" t="n">
        <f aca="false">SUMPRODUCT((FC_Clase="Producción")*FC_O*((FC_Mon="PYG")*AA$19+(FC_Mon&lt;&gt;"PYG"))*(1+FC_g)^(AA$17-1)*((FC_Desde=0)*(AA$16+AA$15)+(FC_Desde&gt;=1)*(AA$14&gt;=FC_Desde)*AA$15))</f>
        <v>0</v>
      </c>
      <c r="AB60" s="34" t="n">
        <f aca="false">SUMPRODUCT((FC_Clase="Producción")*FC_O*((FC_Mon="PYG")*AB$19+(FC_Mon&lt;&gt;"PYG"))*(1+FC_g)^(AB$17-1)*((FC_Desde=0)*(AB$16+AB$15)+(FC_Desde&gt;=1)*(AB$14&gt;=FC_Desde)*AB$15))</f>
        <v>0</v>
      </c>
      <c r="AC60" s="34" t="n">
        <f aca="false">SUMPRODUCT((FC_Clase="Producción")*FC_O*((FC_Mon="PYG")*AC$19+(FC_Mon&lt;&gt;"PYG"))*(1+FC_g)^(AC$17-1)*((FC_Desde=0)*(AC$16+AC$15)+(FC_Desde&gt;=1)*(AC$14&gt;=FC_Desde)*AC$15))</f>
        <v>0</v>
      </c>
      <c r="AD60" s="34" t="n">
        <f aca="false">SUMPRODUCT((FC_Clase="Producción")*FC_O*((FC_Mon="PYG")*AD$19+(FC_Mon&lt;&gt;"PYG"))*(1+FC_g)^(AD$17-1)*((FC_Desde=0)*(AD$16+AD$15)+(FC_Desde&gt;=1)*(AD$14&gt;=FC_Desde)*AD$15))</f>
        <v>0</v>
      </c>
      <c r="AE60" s="34" t="n">
        <f aca="false">SUMPRODUCT((FC_Clase="Producción")*FC_O*((FC_Mon="PYG")*AE$19+(FC_Mon&lt;&gt;"PYG"))*(1+FC_g)^(AE$17-1)*((FC_Desde=0)*(AE$16+AE$15)+(FC_Desde&gt;=1)*(AE$14&gt;=FC_Desde)*AE$15))</f>
        <v>0</v>
      </c>
      <c r="AF60" s="34" t="n">
        <f aca="false">SUMPRODUCT((FC_Clase="Producción")*FC_O*((FC_Mon="PYG")*AF$19+(FC_Mon&lt;&gt;"PYG"))*(1+FC_g)^(AF$17-1)*((FC_Desde=0)*(AF$16+AF$15)+(FC_Desde&gt;=1)*(AF$14&gt;=FC_Desde)*AF$15))</f>
        <v>0</v>
      </c>
      <c r="AG60" s="34" t="n">
        <f aca="false">SUMPRODUCT((FC_Clase="Producción")*FC_O*((FC_Mon="PYG")*AG$19+(FC_Mon&lt;&gt;"PYG"))*(1+FC_g)^(AG$17-1)*((FC_Desde=0)*(AG$16+AG$15)+(FC_Desde&gt;=1)*(AG$14&gt;=FC_Desde)*AG$15))</f>
        <v>0</v>
      </c>
      <c r="AH60" s="34" t="n">
        <f aca="false">SUMPRODUCT((FC_Clase="Producción")*FC_O*((FC_Mon="PYG")*AH$19+(FC_Mon&lt;&gt;"PYG"))*(1+FC_g)^(AH$17-1)*((FC_Desde=0)*(AH$16+AH$15)+(FC_Desde&gt;=1)*(AH$14&gt;=FC_Desde)*AH$15))</f>
        <v>0</v>
      </c>
      <c r="AI60" s="34" t="n">
        <f aca="false">SUMPRODUCT((FC_Clase="Producción")*FC_O*((FC_Mon="PYG")*AI$19+(FC_Mon&lt;&gt;"PYG"))*(1+FC_g)^(AI$17-1)*((FC_Desde=0)*(AI$16+AI$15)+(FC_Desde&gt;=1)*(AI$14&gt;=FC_Desde)*AI$15))</f>
        <v>0</v>
      </c>
      <c r="AJ60" s="34" t="n">
        <f aca="false">SUMPRODUCT((FC_Clase="Producción")*FC_O*((FC_Mon="PYG")*AJ$19+(FC_Mon&lt;&gt;"PYG"))*(1+FC_g)^(AJ$17-1)*((FC_Desde=0)*(AJ$16+AJ$15)+(FC_Desde&gt;=1)*(AJ$14&gt;=FC_Desde)*AJ$15))</f>
        <v>0</v>
      </c>
      <c r="AK60" s="34" t="n">
        <f aca="false">SUMPRODUCT((FC_Clase="Producción")*FC_O*((FC_Mon="PYG")*AK$19+(FC_Mon&lt;&gt;"PYG"))*(1+FC_g)^(AK$17-1)*((FC_Desde=0)*(AK$16+AK$15)+(FC_Desde&gt;=1)*(AK$14&gt;=FC_Desde)*AK$15))</f>
        <v>0</v>
      </c>
      <c r="AL60" s="34" t="n">
        <f aca="false">SUMPRODUCT((FC_Clase="Producción")*FC_O*((FC_Mon="PYG")*AL$19+(FC_Mon&lt;&gt;"PYG"))*(1+FC_g)^(AL$17-1)*((FC_Desde=0)*(AL$16+AL$15)+(FC_Desde&gt;=1)*(AL$14&gt;=FC_Desde)*AL$15))</f>
        <v>0</v>
      </c>
      <c r="AM60" s="34" t="n">
        <f aca="false">SUMPRODUCT((FC_Clase="Producción")*FC_O*((FC_Mon="PYG")*AM$19+(FC_Mon&lt;&gt;"PYG"))*(1+FC_g)^(AM$17-1)*((FC_Desde=0)*(AM$16+AM$15)+(FC_Desde&gt;=1)*(AM$14&gt;=FC_Desde)*AM$15))</f>
        <v>0</v>
      </c>
      <c r="AN60" s="34" t="n">
        <f aca="false">SUMPRODUCT((FC_Clase="Producción")*FC_O*((FC_Mon="PYG")*AN$19+(FC_Mon&lt;&gt;"PYG"))*(1+FC_g)^(AN$17-1)*((FC_Desde=0)*(AN$16+AN$15)+(FC_Desde&gt;=1)*(AN$14&gt;=FC_Desde)*AN$15))</f>
        <v>0</v>
      </c>
      <c r="AO60" s="34" t="n">
        <f aca="false">SUMPRODUCT((FC_Clase="Producción")*FC_O*((FC_Mon="PYG")*AO$19+(FC_Mon&lt;&gt;"PYG"))*(1+FC_g)^(AO$17-1)*((FC_Desde=0)*(AO$16+AO$15)+(FC_Desde&gt;=1)*(AO$14&gt;=FC_Desde)*AO$15))</f>
        <v>0</v>
      </c>
      <c r="AP60" s="34" t="n">
        <f aca="false">SUMPRODUCT((FC_Clase="Producción")*FC_O*((FC_Mon="PYG")*AP$19+(FC_Mon&lt;&gt;"PYG"))*(1+FC_g)^(AP$17-1)*((FC_Desde=0)*(AP$16+AP$15)+(FC_Desde&gt;=1)*(AP$14&gt;=FC_Desde)*AP$15))</f>
        <v>0</v>
      </c>
      <c r="AQ60" s="34" t="n">
        <f aca="false">SUMPRODUCT((FC_Clase="Producción")*FC_O*((FC_Mon="PYG")*AQ$19+(FC_Mon&lt;&gt;"PYG"))*(1+FC_g)^(AQ$17-1)*((FC_Desde=0)*(AQ$16+AQ$15)+(FC_Desde&gt;=1)*(AQ$14&gt;=FC_Desde)*AQ$15))</f>
        <v>0</v>
      </c>
      <c r="AR60" s="34" t="n">
        <f aca="false">SUMPRODUCT((FC_Clase="Producción")*FC_O*((FC_Mon="PYG")*AR$19+(FC_Mon&lt;&gt;"PYG"))*(1+FC_g)^(AR$17-1)*((FC_Desde=0)*(AR$16+AR$15)+(FC_Desde&gt;=1)*(AR$14&gt;=FC_Desde)*AR$15))</f>
        <v>0</v>
      </c>
      <c r="AS60" s="34" t="n">
        <f aca="false">SUMPRODUCT((FC_Clase="Producción")*FC_O*((FC_Mon="PYG")*AS$19+(FC_Mon&lt;&gt;"PYG"))*(1+FC_g)^(AS$17-1)*((FC_Desde=0)*(AS$16+AS$15)+(FC_Desde&gt;=1)*(AS$14&gt;=FC_Desde)*AS$15))</f>
        <v>0</v>
      </c>
      <c r="AT60" s="34" t="n">
        <f aca="false">SUMPRODUCT((FC_Clase="Producción")*FC_O*((FC_Mon="PYG")*AT$19+(FC_Mon&lt;&gt;"PYG"))*(1+FC_g)^(AT$17-1)*((FC_Desde=0)*(AT$16+AT$15)+(FC_Desde&gt;=1)*(AT$14&gt;=FC_Desde)*AT$15))</f>
        <v>0</v>
      </c>
      <c r="AU60" s="34" t="n">
        <f aca="false">SUMPRODUCT((FC_Clase="Producción")*FC_O*((FC_Mon="PYG")*AU$19+(FC_Mon&lt;&gt;"PYG"))*(1+FC_g)^(AU$17-1)*((FC_Desde=0)*(AU$16+AU$15)+(FC_Desde&gt;=1)*(AU$14&gt;=FC_Desde)*AU$15))</f>
        <v>0</v>
      </c>
      <c r="AV60" s="34" t="n">
        <f aca="false">SUMPRODUCT((FC_Clase="Producción")*FC_O*((FC_Mon="PYG")*AV$19+(FC_Mon&lt;&gt;"PYG"))*(1+FC_g)^(AV$17-1)*((FC_Desde=0)*(AV$16+AV$15)+(FC_Desde&gt;=1)*(AV$14&gt;=FC_Desde)*AV$15))</f>
        <v>0</v>
      </c>
      <c r="AW60" s="34" t="n">
        <f aca="false">SUMPRODUCT((FC_Clase="Producción")*FC_O*((FC_Mon="PYG")*AW$19+(FC_Mon&lt;&gt;"PYG"))*(1+FC_g)^(AW$17-1)*((FC_Desde=0)*(AW$16+AW$15)+(FC_Desde&gt;=1)*(AW$14&gt;=FC_Desde)*AW$15))</f>
        <v>0</v>
      </c>
      <c r="AX60" s="34" t="n">
        <f aca="false">SUMPRODUCT((FC_Clase="Producción")*FC_O*((FC_Mon="PYG")*AX$19+(FC_Mon&lt;&gt;"PYG"))*(1+FC_g)^(AX$17-1)*((FC_Desde=0)*(AX$16+AX$15)+(FC_Desde&gt;=1)*(AX$14&gt;=FC_Desde)*AX$15))</f>
        <v>0</v>
      </c>
      <c r="AY60" s="34" t="n">
        <f aca="false">SUMPRODUCT((FC_Clase="Producción")*FC_O*((FC_Mon="PYG")*AY$19+(FC_Mon&lt;&gt;"PYG"))*(1+FC_g)^(AY$17-1)*((FC_Desde=0)*(AY$16+AY$15)+(FC_Desde&gt;=1)*(AY$14&gt;=FC_Desde)*AY$15))</f>
        <v>0</v>
      </c>
      <c r="AZ60" s="34" t="n">
        <f aca="false">SUMPRODUCT((FC_Clase="Producción")*FC_O*((FC_Mon="PYG")*AZ$19+(FC_Mon&lt;&gt;"PYG"))*(1+FC_g)^(AZ$17-1)*((FC_Desde=0)*(AZ$16+AZ$15)+(FC_Desde&gt;=1)*(AZ$14&gt;=FC_Desde)*AZ$15))</f>
        <v>0</v>
      </c>
      <c r="BA60" s="34" t="n">
        <f aca="false">SUMPRODUCT((FC_Clase="Producción")*FC_O*((FC_Mon="PYG")*BA$19+(FC_Mon&lt;&gt;"PYG"))*(1+FC_g)^(BA$17-1)*((FC_Desde=0)*(BA$16+BA$15)+(FC_Desde&gt;=1)*(BA$14&gt;=FC_Desde)*BA$15))</f>
        <v>0</v>
      </c>
      <c r="BB60" s="34" t="n">
        <f aca="false">SUMPRODUCT((FC_Clase="Producción")*FC_O*((FC_Mon="PYG")*BB$19+(FC_Mon&lt;&gt;"PYG"))*(1+FC_g)^(BB$17-1)*((FC_Desde=0)*(BB$16+BB$15)+(FC_Desde&gt;=1)*(BB$14&gt;=FC_Desde)*BB$15))</f>
        <v>0</v>
      </c>
      <c r="BC60" s="34" t="n">
        <f aca="false">SUMPRODUCT((FC_Clase="Producción")*FC_O*((FC_Mon="PYG")*BC$19+(FC_Mon&lt;&gt;"PYG"))*(1+FC_g)^(BC$17-1)*((FC_Desde=0)*(BC$16+BC$15)+(FC_Desde&gt;=1)*(BC$14&gt;=FC_Desde)*BC$15))</f>
        <v>0</v>
      </c>
      <c r="BD60" s="34" t="n">
        <f aca="false">SUMPRODUCT((FC_Clase="Producción")*FC_O*((FC_Mon="PYG")*BD$19+(FC_Mon&lt;&gt;"PYG"))*(1+FC_g)^(BD$17-1)*((FC_Desde=0)*(BD$16+BD$15)+(FC_Desde&gt;=1)*(BD$14&gt;=FC_Desde)*BD$15))</f>
        <v>0</v>
      </c>
      <c r="BE60" s="34" t="n">
        <f aca="false">SUMPRODUCT((FC_Clase="Producción")*FC_O*((FC_Mon="PYG")*BE$19+(FC_Mon&lt;&gt;"PYG"))*(1+FC_g)^(BE$17-1)*((FC_Desde=0)*(BE$16+BE$15)+(FC_Desde&gt;=1)*(BE$14&gt;=FC_Desde)*BE$15))</f>
        <v>0</v>
      </c>
      <c r="BF60" s="34" t="n">
        <f aca="false">SUMPRODUCT((FC_Clase="Producción")*FC_O*((FC_Mon="PYG")*BF$19+(FC_Mon&lt;&gt;"PYG"))*(1+FC_g)^(BF$17-1)*((FC_Desde=0)*(BF$16+BF$15)+(FC_Desde&gt;=1)*(BF$14&gt;=FC_Desde)*BF$15))</f>
        <v>0</v>
      </c>
      <c r="BG60" s="34" t="n">
        <f aca="false">SUMPRODUCT((FC_Clase="Producción")*FC_O*((FC_Mon="PYG")*BG$19+(FC_Mon&lt;&gt;"PYG"))*(1+FC_g)^(BG$17-1)*((FC_Desde=0)*(BG$16+BG$15)+(FC_Desde&gt;=1)*(BG$14&gt;=FC_Desde)*BG$15))</f>
        <v>0</v>
      </c>
      <c r="BH60" s="34" t="n">
        <f aca="false">SUMPRODUCT((FC_Clase="Producción")*FC_O*((FC_Mon="PYG")*BH$19+(FC_Mon&lt;&gt;"PYG"))*(1+FC_g)^(BH$17-1)*((FC_Desde=0)*(BH$16+BH$15)+(FC_Desde&gt;=1)*(BH$14&gt;=FC_Desde)*BH$15))</f>
        <v>0</v>
      </c>
      <c r="BI60" s="34" t="n">
        <f aca="false">SUMPRODUCT((FC_Clase="Producción")*FC_O*((FC_Mon="PYG")*BI$19+(FC_Mon&lt;&gt;"PYG"))*(1+FC_g)^(BI$17-1)*((FC_Desde=0)*(BI$16+BI$15)+(FC_Desde&gt;=1)*(BI$14&gt;=FC_Desde)*BI$15))</f>
        <v>0</v>
      </c>
      <c r="BJ60" s="34" t="n">
        <f aca="false">SUMPRODUCT((FC_Clase="Producción")*FC_O*((FC_Mon="PYG")*BJ$19+(FC_Mon&lt;&gt;"PYG"))*(1+FC_g)^(BJ$17-1)*((FC_Desde=0)*(BJ$16+BJ$15)+(FC_Desde&gt;=1)*(BJ$14&gt;=FC_Desde)*BJ$15))</f>
        <v>0</v>
      </c>
      <c r="BK60" s="34" t="n">
        <f aca="false">SUMPRODUCT((FC_Clase="Producción")*FC_O*((FC_Mon="PYG")*BK$19+(FC_Mon&lt;&gt;"PYG"))*(1+FC_g)^(BK$17-1)*((FC_Desde=0)*(BK$16+BK$15)+(FC_Desde&gt;=1)*(BK$14&gt;=FC_Desde)*BK$15))</f>
        <v>0</v>
      </c>
      <c r="BL60" s="34" t="n">
        <f aca="false">SUMPRODUCT((FC_Clase="Producción")*FC_O*((FC_Mon="PYG")*BL$19+(FC_Mon&lt;&gt;"PYG"))*(1+FC_g)^(BL$17-1)*((FC_Desde=0)*(BL$16+BL$15)+(FC_Desde&gt;=1)*(BL$14&gt;=FC_Desde)*BL$15))</f>
        <v>0</v>
      </c>
      <c r="BM60" s="34" t="n">
        <f aca="false">SUMPRODUCT((FC_Clase="Producción")*FC_O*((FC_Mon="PYG")*BM$19+(FC_Mon&lt;&gt;"PYG"))*(1+FC_g)^(BM$17-1)*((FC_Desde=0)*(BM$16+BM$15)+(FC_Desde&gt;=1)*(BM$14&gt;=FC_Desde)*BM$15))</f>
        <v>0</v>
      </c>
      <c r="BN60" s="34" t="n">
        <f aca="false">SUMPRODUCT((FC_Clase="Producción")*FC_O*((FC_Mon="PYG")*BN$19+(FC_Mon&lt;&gt;"PYG"))*(1+FC_g)^(BN$17-1)*((FC_Desde=0)*(BN$16+BN$15)+(FC_Desde&gt;=1)*(BN$14&gt;=FC_Desde)*BN$15))</f>
        <v>0</v>
      </c>
      <c r="BO60" s="34" t="n">
        <f aca="false">SUMPRODUCT((FC_Clase="Producción")*FC_O*((FC_Mon="PYG")*BO$19+(FC_Mon&lt;&gt;"PYG"))*(1+FC_g)^(BO$17-1)*((FC_Desde=0)*(BO$16+BO$15)+(FC_Desde&gt;=1)*(BO$14&gt;=FC_Desde)*BO$15))</f>
        <v>0</v>
      </c>
      <c r="BP60" s="34" t="n">
        <f aca="false">SUMPRODUCT((FC_Clase="Producción")*FC_O*((FC_Mon="PYG")*BP$19+(FC_Mon&lt;&gt;"PYG"))*(1+FC_g)^(BP$17-1)*((FC_Desde=0)*(BP$16+BP$15)+(FC_Desde&gt;=1)*(BP$14&gt;=FC_Desde)*BP$15))</f>
        <v>0</v>
      </c>
      <c r="BQ60" s="34" t="n">
        <f aca="false">SUMPRODUCT((FC_Clase="Producción")*FC_O*((FC_Mon="PYG")*BQ$19+(FC_Mon&lt;&gt;"PYG"))*(1+FC_g)^(BQ$17-1)*((FC_Desde=0)*(BQ$16+BQ$15)+(FC_Desde&gt;=1)*(BQ$14&gt;=FC_Desde)*BQ$15))</f>
        <v>0</v>
      </c>
      <c r="BR60" s="34" t="n">
        <f aca="false">SUMPRODUCT((FC_Clase="Producción")*FC_O*((FC_Mon="PYG")*BR$19+(FC_Mon&lt;&gt;"PYG"))*(1+FC_g)^(BR$17-1)*((FC_Desde=0)*(BR$16+BR$15)+(FC_Desde&gt;=1)*(BR$14&gt;=FC_Desde)*BR$15))</f>
        <v>0</v>
      </c>
      <c r="BS60" s="34" t="n">
        <f aca="false">SUMPRODUCT((FC_Clase="Producción")*FC_O*((FC_Mon="PYG")*BS$19+(FC_Mon&lt;&gt;"PYG"))*(1+FC_g)^(BS$17-1)*((FC_Desde=0)*(BS$16+BS$15)+(FC_Desde&gt;=1)*(BS$14&gt;=FC_Desde)*BS$15))</f>
        <v>0</v>
      </c>
      <c r="BT60" s="34" t="n">
        <f aca="false">SUMPRODUCT((FC_Clase="Producción")*FC_O*((FC_Mon="PYG")*BT$19+(FC_Mon&lt;&gt;"PYG"))*(1+FC_g)^(BT$17-1)*((FC_Desde=0)*(BT$16+BT$15)+(FC_Desde&gt;=1)*(BT$14&gt;=FC_Desde)*BT$15))</f>
        <v>0</v>
      </c>
      <c r="BU60" s="34" t="n">
        <f aca="false">SUMPRODUCT((FC_Clase="Producción")*FC_O*((FC_Mon="PYG")*BU$19+(FC_Mon&lt;&gt;"PYG"))*(1+FC_g)^(BU$17-1)*((FC_Desde=0)*(BU$16+BU$15)+(FC_Desde&gt;=1)*(BU$14&gt;=FC_Desde)*BU$15))</f>
        <v>0</v>
      </c>
      <c r="BV60" s="34" t="n">
        <f aca="false">SUMPRODUCT((FC_Clase="Producción")*FC_O*((FC_Mon="PYG")*BV$19+(FC_Mon&lt;&gt;"PYG"))*(1+FC_g)^(BV$17-1)*((FC_Desde=0)*(BV$16+BV$15)+(FC_Desde&gt;=1)*(BV$14&gt;=FC_Desde)*BV$15))</f>
        <v>0</v>
      </c>
      <c r="BW60" s="34" t="n">
        <f aca="false">SUMPRODUCT((FC_Clase="Producción")*FC_O*((FC_Mon="PYG")*BW$19+(FC_Mon&lt;&gt;"PYG"))*(1+FC_g)^(BW$17-1)*((FC_Desde=0)*(BW$16+BW$15)+(FC_Desde&gt;=1)*(BW$14&gt;=FC_Desde)*BW$15))</f>
        <v>0</v>
      </c>
      <c r="BX60" s="34" t="n">
        <f aca="false">SUMPRODUCT((FC_Clase="Producción")*FC_O*((FC_Mon="PYG")*BX$19+(FC_Mon&lt;&gt;"PYG"))*(1+FC_g)^(BX$17-1)*((FC_Desde=0)*(BX$16+BX$15)+(FC_Desde&gt;=1)*(BX$14&gt;=FC_Desde)*BX$15))</f>
        <v>0</v>
      </c>
      <c r="BY60" s="34" t="n">
        <f aca="false">SUMPRODUCT((FC_Clase="Producción")*FC_O*((FC_Mon="PYG")*BY$19+(FC_Mon&lt;&gt;"PYG"))*(1+FC_g)^(BY$17-1)*((FC_Desde=0)*(BY$16+BY$15)+(FC_Desde&gt;=1)*(BY$14&gt;=FC_Desde)*BY$15))</f>
        <v>0</v>
      </c>
      <c r="BZ60" s="34" t="n">
        <f aca="false">SUMPRODUCT((FC_Clase="Producción")*FC_O*((FC_Mon="PYG")*BZ$19+(FC_Mon&lt;&gt;"PYG"))*(1+FC_g)^(BZ$17-1)*((FC_Desde=0)*(BZ$16+BZ$15)+(FC_Desde&gt;=1)*(BZ$14&gt;=FC_Desde)*BZ$15))</f>
        <v>0</v>
      </c>
      <c r="CA60" s="34" t="n">
        <f aca="false">SUMPRODUCT((FC_Clase="Producción")*FC_O*((FC_Mon="PYG")*CA$19+(FC_Mon&lt;&gt;"PYG"))*(1+FC_g)^(CA$17-1)*((FC_Desde=0)*(CA$16+CA$15)+(FC_Desde&gt;=1)*(CA$14&gt;=FC_Desde)*CA$15))</f>
        <v>0</v>
      </c>
      <c r="CB60" s="34" t="n">
        <f aca="false">SUMPRODUCT((FC_Clase="Producción")*FC_O*((FC_Mon="PYG")*CB$19+(FC_Mon&lt;&gt;"PYG"))*(1+FC_g)^(CB$17-1)*((FC_Desde=0)*(CB$16+CB$15)+(FC_Desde&gt;=1)*(CB$14&gt;=FC_Desde)*CB$15))</f>
        <v>0</v>
      </c>
      <c r="CC60" s="34" t="n">
        <f aca="false">SUMPRODUCT((FC_Clase="Producción")*FC_O*((FC_Mon="PYG")*CC$19+(FC_Mon&lt;&gt;"PYG"))*(1+FC_g)^(CC$17-1)*((FC_Desde=0)*(CC$16+CC$15)+(FC_Desde&gt;=1)*(CC$14&gt;=FC_Desde)*CC$15))</f>
        <v>0</v>
      </c>
      <c r="CD60" s="34" t="n">
        <f aca="false">SUMPRODUCT((FC_Clase="Producción")*FC_O*((FC_Mon="PYG")*CD$19+(FC_Mon&lt;&gt;"PYG"))*(1+FC_g)^(CD$17-1)*((FC_Desde=0)*(CD$16+CD$15)+(FC_Desde&gt;=1)*(CD$14&gt;=FC_Desde)*CD$15))</f>
        <v>0</v>
      </c>
      <c r="CE60" s="34" t="n">
        <f aca="false">SUMPRODUCT((FC_Clase="Producción")*FC_O*((FC_Mon="PYG")*CE$19+(FC_Mon&lt;&gt;"PYG"))*(1+FC_g)^(CE$17-1)*((FC_Desde=0)*(CE$16+CE$15)+(FC_Desde&gt;=1)*(CE$14&gt;=FC_Desde)*CE$15))</f>
        <v>0</v>
      </c>
      <c r="CF60" s="34" t="n">
        <f aca="false">SUMPRODUCT((FC_Clase="Producción")*FC_O*((FC_Mon="PYG")*CF$19+(FC_Mon&lt;&gt;"PYG"))*(1+FC_g)^(CF$17-1)*((FC_Desde=0)*(CF$16+CF$15)+(FC_Desde&gt;=1)*(CF$14&gt;=FC_Desde)*CF$15))</f>
        <v>0</v>
      </c>
      <c r="CG60" s="34" t="n">
        <f aca="false">SUMPRODUCT((FC_Clase="Producción")*FC_O*((FC_Mon="PYG")*CG$19+(FC_Mon&lt;&gt;"PYG"))*(1+FC_g)^(CG$17-1)*((FC_Desde=0)*(CG$16+CG$15)+(FC_Desde&gt;=1)*(CG$14&gt;=FC_Desde)*CG$15))</f>
        <v>0</v>
      </c>
      <c r="CH60" s="34" t="n">
        <f aca="false">SUMPRODUCT((FC_Clase="Producción")*FC_O*((FC_Mon="PYG")*CH$19+(FC_Mon&lt;&gt;"PYG"))*(1+FC_g)^(CH$17-1)*((FC_Desde=0)*(CH$16+CH$15)+(FC_Desde&gt;=1)*(CH$14&gt;=FC_Desde)*CH$15))</f>
        <v>0</v>
      </c>
      <c r="CI60" s="34" t="n">
        <f aca="false">SUMPRODUCT((FC_Clase="Producción")*FC_O*((FC_Mon="PYG")*CI$19+(FC_Mon&lt;&gt;"PYG"))*(1+FC_g)^(CI$17-1)*((FC_Desde=0)*(CI$16+CI$15)+(FC_Desde&gt;=1)*(CI$14&gt;=FC_Desde)*CI$15))</f>
        <v>0</v>
      </c>
      <c r="CJ60" s="34" t="n">
        <f aca="false">SUMPRODUCT((FC_Clase="Producción")*FC_O*((FC_Mon="PYG")*CJ$19+(FC_Mon&lt;&gt;"PYG"))*(1+FC_g)^(CJ$17-1)*((FC_Desde=0)*(CJ$16+CJ$15)+(FC_Desde&gt;=1)*(CJ$14&gt;=FC_Desde)*CJ$15))</f>
        <v>0</v>
      </c>
      <c r="CK60" s="34" t="n">
        <f aca="false">SUMPRODUCT((FC_Clase="Producción")*FC_O*((FC_Mon="PYG")*CK$19+(FC_Mon&lt;&gt;"PYG"))*(1+FC_g)^(CK$17-1)*((FC_Desde=0)*(CK$16+CK$15)+(FC_Desde&gt;=1)*(CK$14&gt;=FC_Desde)*CK$15))</f>
        <v>0</v>
      </c>
      <c r="CL60" s="34" t="n">
        <f aca="false">SUMPRODUCT((FC_Clase="Producción")*FC_O*((FC_Mon="PYG")*CL$19+(FC_Mon&lt;&gt;"PYG"))*(1+FC_g)^(CL$17-1)*((FC_Desde=0)*(CL$16+CL$15)+(FC_Desde&gt;=1)*(CL$14&gt;=FC_Desde)*CL$15))</f>
        <v>0</v>
      </c>
      <c r="CM60" s="34" t="n">
        <f aca="false">SUMPRODUCT((FC_Clase="Producción")*FC_O*((FC_Mon="PYG")*CM$19+(FC_Mon&lt;&gt;"PYG"))*(1+FC_g)^(CM$17-1)*((FC_Desde=0)*(CM$16+CM$15)+(FC_Desde&gt;=1)*(CM$14&gt;=FC_Desde)*CM$15))</f>
        <v>0</v>
      </c>
      <c r="CN60" s="34" t="n">
        <f aca="false">SUMPRODUCT((FC_Clase="Producción")*FC_O*((FC_Mon="PYG")*CN$19+(FC_Mon&lt;&gt;"PYG"))*(1+FC_g)^(CN$17-1)*((FC_Desde=0)*(CN$16+CN$15)+(FC_Desde&gt;=1)*(CN$14&gt;=FC_Desde)*CN$15))</f>
        <v>0</v>
      </c>
      <c r="CO60" s="34" t="n">
        <f aca="false">SUMPRODUCT((FC_Clase="Producción")*FC_O*((FC_Mon="PYG")*CO$19+(FC_Mon&lt;&gt;"PYG"))*(1+FC_g)^(CO$17-1)*((FC_Desde=0)*(CO$16+CO$15)+(FC_Desde&gt;=1)*(CO$14&gt;=FC_Desde)*CO$15))</f>
        <v>0</v>
      </c>
      <c r="CP60" s="34" t="n">
        <f aca="false">SUMPRODUCT((FC_Clase="Producción")*FC_O*((FC_Mon="PYG")*CP$19+(FC_Mon&lt;&gt;"PYG"))*(1+FC_g)^(CP$17-1)*((FC_Desde=0)*(CP$16+CP$15)+(FC_Desde&gt;=1)*(CP$14&gt;=FC_Desde)*CP$15))</f>
        <v>0</v>
      </c>
      <c r="CQ60" s="34" t="n">
        <f aca="false">SUMPRODUCT((FC_Clase="Producción")*FC_O*((FC_Mon="PYG")*CQ$19+(FC_Mon&lt;&gt;"PYG"))*(1+FC_g)^(CQ$17-1)*((FC_Desde=0)*(CQ$16+CQ$15)+(FC_Desde&gt;=1)*(CQ$14&gt;=FC_Desde)*CQ$15))</f>
        <v>0</v>
      </c>
      <c r="CR60" s="34" t="n">
        <f aca="false">SUMPRODUCT((FC_Clase="Producción")*FC_O*((FC_Mon="PYG")*CR$19+(FC_Mon&lt;&gt;"PYG"))*(1+FC_g)^(CR$17-1)*((FC_Desde=0)*(CR$16+CR$15)+(FC_Desde&gt;=1)*(CR$14&gt;=FC_Desde)*CR$15))</f>
        <v>0</v>
      </c>
      <c r="CS60" s="34" t="n">
        <f aca="false">SUMPRODUCT((FC_Clase="Producción")*FC_O*((FC_Mon="PYG")*CS$19+(FC_Mon&lt;&gt;"PYG"))*(1+FC_g)^(CS$17-1)*((FC_Desde=0)*(CS$16+CS$15)+(FC_Desde&gt;=1)*(CS$14&gt;=FC_Desde)*CS$15))</f>
        <v>0</v>
      </c>
      <c r="CT60" s="34" t="n">
        <f aca="false">SUMPRODUCT((FC_Clase="Producción")*FC_O*((FC_Mon="PYG")*CT$19+(FC_Mon&lt;&gt;"PYG"))*(1+FC_g)^(CT$17-1)*((FC_Desde=0)*(CT$16+CT$15)+(FC_Desde&gt;=1)*(CT$14&gt;=FC_Desde)*CT$15))</f>
        <v>0</v>
      </c>
      <c r="CU60" s="34" t="n">
        <f aca="false">SUMPRODUCT((FC_Clase="Producción")*FC_O*((FC_Mon="PYG")*CU$19+(FC_Mon&lt;&gt;"PYG"))*(1+FC_g)^(CU$17-1)*((FC_Desde=0)*(CU$16+CU$15)+(FC_Desde&gt;=1)*(CU$14&gt;=FC_Desde)*CU$15))</f>
        <v>0</v>
      </c>
      <c r="CV60" s="34" t="n">
        <f aca="false">SUMPRODUCT((FC_Clase="Producción")*FC_O*((FC_Mon="PYG")*CV$19+(FC_Mon&lt;&gt;"PYG"))*(1+FC_g)^(CV$17-1)*((FC_Desde=0)*(CV$16+CV$15)+(FC_Desde&gt;=1)*(CV$14&gt;=FC_Desde)*CV$15))</f>
        <v>0</v>
      </c>
      <c r="CW60" s="34" t="n">
        <f aca="false">SUMPRODUCT((FC_Clase="Producción")*FC_O*((FC_Mon="PYG")*CW$19+(FC_Mon&lt;&gt;"PYG"))*(1+FC_g)^(CW$17-1)*((FC_Desde=0)*(CW$16+CW$15)+(FC_Desde&gt;=1)*(CW$14&gt;=FC_Desde)*CW$15))</f>
        <v>0</v>
      </c>
      <c r="CX60" s="34" t="n">
        <f aca="false">SUMPRODUCT((FC_Clase="Producción")*FC_O*((FC_Mon="PYG")*CX$19+(FC_Mon&lt;&gt;"PYG"))*(1+FC_g)^(CX$17-1)*((FC_Desde=0)*(CX$16+CX$15)+(FC_Desde&gt;=1)*(CX$14&gt;=FC_Desde)*CX$15))</f>
        <v>0</v>
      </c>
      <c r="CY60" s="34" t="n">
        <f aca="false">SUMPRODUCT((FC_Clase="Producción")*FC_O*((FC_Mon="PYG")*CY$19+(FC_Mon&lt;&gt;"PYG"))*(1+FC_g)^(CY$17-1)*((FC_Desde=0)*(CY$16+CY$15)+(FC_Desde&gt;=1)*(CY$14&gt;=FC_Desde)*CY$15))</f>
        <v>0</v>
      </c>
      <c r="CZ60" s="34" t="n">
        <f aca="false">SUMPRODUCT((FC_Clase="Producción")*FC_O*((FC_Mon="PYG")*CZ$19+(FC_Mon&lt;&gt;"PYG"))*(1+FC_g)^(CZ$17-1)*((FC_Desde=0)*(CZ$16+CZ$15)+(FC_Desde&gt;=1)*(CZ$14&gt;=FC_Desde)*CZ$15))</f>
        <v>0</v>
      </c>
      <c r="DA60" s="34" t="n">
        <f aca="false">SUMPRODUCT((FC_Clase="Producción")*FC_O*((FC_Mon="PYG")*DA$19+(FC_Mon&lt;&gt;"PYG"))*(1+FC_g)^(DA$17-1)*((FC_Desde=0)*(DA$16+DA$15)+(FC_Desde&gt;=1)*(DA$14&gt;=FC_Desde)*DA$15))</f>
        <v>0</v>
      </c>
      <c r="DB60" s="34" t="n">
        <f aca="false">SUMPRODUCT((FC_Clase="Producción")*FC_O*((FC_Mon="PYG")*DB$19+(FC_Mon&lt;&gt;"PYG"))*(1+FC_g)^(DB$17-1)*((FC_Desde=0)*(DB$16+DB$15)+(FC_Desde&gt;=1)*(DB$14&gt;=FC_Desde)*DB$15))</f>
        <v>0</v>
      </c>
      <c r="DC60" s="34" t="n">
        <f aca="false">SUMPRODUCT((FC_Clase="Producción")*FC_O*((FC_Mon="PYG")*DC$19+(FC_Mon&lt;&gt;"PYG"))*(1+FC_g)^(DC$17-1)*((FC_Desde=0)*(DC$16+DC$15)+(FC_Desde&gt;=1)*(DC$14&gt;=FC_Desde)*DC$15))</f>
        <v>0</v>
      </c>
      <c r="DD60" s="34" t="n">
        <f aca="false">SUMPRODUCT((FC_Clase="Producción")*FC_O*((FC_Mon="PYG")*DD$19+(FC_Mon&lt;&gt;"PYG"))*(1+FC_g)^(DD$17-1)*((FC_Desde=0)*(DD$16+DD$15)+(FC_Desde&gt;=1)*(DD$14&gt;=FC_Desde)*DD$15))</f>
        <v>0</v>
      </c>
      <c r="DE60" s="34" t="n">
        <f aca="false">SUMPRODUCT((FC_Clase="Producción")*FC_O*((FC_Mon="PYG")*DE$19+(FC_Mon&lt;&gt;"PYG"))*(1+FC_g)^(DE$17-1)*((FC_Desde=0)*(DE$16+DE$15)+(FC_Desde&gt;=1)*(DE$14&gt;=FC_Desde)*DE$15))</f>
        <v>0</v>
      </c>
      <c r="DF60" s="34" t="n">
        <f aca="false">SUMPRODUCT((FC_Clase="Producción")*FC_O*((FC_Mon="PYG")*DF$19+(FC_Mon&lt;&gt;"PYG"))*(1+FC_g)^(DF$17-1)*((FC_Desde=0)*(DF$16+DF$15)+(FC_Desde&gt;=1)*(DF$14&gt;=FC_Desde)*DF$15))</f>
        <v>0</v>
      </c>
      <c r="DG60" s="34" t="n">
        <f aca="false">SUMPRODUCT((FC_Clase="Producción")*FC_O*((FC_Mon="PYG")*DG$19+(FC_Mon&lt;&gt;"PYG"))*(1+FC_g)^(DG$17-1)*((FC_Desde=0)*(DG$16+DG$15)+(FC_Desde&gt;=1)*(DG$14&gt;=FC_Desde)*DG$15))</f>
        <v>0</v>
      </c>
      <c r="DH60" s="34" t="n">
        <f aca="false">SUMPRODUCT((FC_Clase="Producción")*FC_O*((FC_Mon="PYG")*DH$19+(FC_Mon&lt;&gt;"PYG"))*(1+FC_g)^(DH$17-1)*((FC_Desde=0)*(DH$16+DH$15)+(FC_Desde&gt;=1)*(DH$14&gt;=FC_Desde)*DH$15))</f>
        <v>0</v>
      </c>
      <c r="DI60" s="34" t="n">
        <f aca="false">SUMPRODUCT((FC_Clase="Producción")*FC_O*((FC_Mon="PYG")*DI$19+(FC_Mon&lt;&gt;"PYG"))*(1+FC_g)^(DI$17-1)*((FC_Desde=0)*(DI$16+DI$15)+(FC_Desde&gt;=1)*(DI$14&gt;=FC_Desde)*DI$15))</f>
        <v>0</v>
      </c>
      <c r="DJ60" s="34" t="n">
        <f aca="false">SUMPRODUCT((FC_Clase="Producción")*FC_O*((FC_Mon="PYG")*DJ$19+(FC_Mon&lt;&gt;"PYG"))*(1+FC_g)^(DJ$17-1)*((FC_Desde=0)*(DJ$16+DJ$15)+(FC_Desde&gt;=1)*(DJ$14&gt;=FC_Desde)*DJ$15))</f>
        <v>0</v>
      </c>
      <c r="DK60" s="34" t="n">
        <f aca="false">SUMPRODUCT((FC_Clase="Producción")*FC_O*((FC_Mon="PYG")*DK$19+(FC_Mon&lt;&gt;"PYG"))*(1+FC_g)^(DK$17-1)*((FC_Desde=0)*(DK$16+DK$15)+(FC_Desde&gt;=1)*(DK$14&gt;=FC_Desde)*DK$15))</f>
        <v>0</v>
      </c>
      <c r="DL60" s="34" t="n">
        <f aca="false">SUMPRODUCT((FC_Clase="Producción")*FC_O*((FC_Mon="PYG")*DL$19+(FC_Mon&lt;&gt;"PYG"))*(1+FC_g)^(DL$17-1)*((FC_Desde=0)*(DL$16+DL$15)+(FC_Desde&gt;=1)*(DL$14&gt;=FC_Desde)*DL$15))</f>
        <v>0</v>
      </c>
      <c r="DM60" s="34" t="n">
        <f aca="false">SUMPRODUCT((FC_Clase="Producción")*FC_O*((FC_Mon="PYG")*DM$19+(FC_Mon&lt;&gt;"PYG"))*(1+FC_g)^(DM$17-1)*((FC_Desde=0)*(DM$16+DM$15)+(FC_Desde&gt;=1)*(DM$14&gt;=FC_Desde)*DM$15))</f>
        <v>0</v>
      </c>
      <c r="DN60" s="34" t="n">
        <f aca="false">SUMPRODUCT((FC_Clase="Producción")*FC_O*((FC_Mon="PYG")*DN$19+(FC_Mon&lt;&gt;"PYG"))*(1+FC_g)^(DN$17-1)*((FC_Desde=0)*(DN$16+DN$15)+(FC_Desde&gt;=1)*(DN$14&gt;=FC_Desde)*DN$15))</f>
        <v>0</v>
      </c>
      <c r="DO60" s="34" t="n">
        <f aca="false">SUMPRODUCT((FC_Clase="Producción")*FC_O*((FC_Mon="PYG")*DO$19+(FC_Mon&lt;&gt;"PYG"))*(1+FC_g)^(DO$17-1)*((FC_Desde=0)*(DO$16+DO$15)+(FC_Desde&gt;=1)*(DO$14&gt;=FC_Desde)*DO$15))</f>
        <v>0</v>
      </c>
      <c r="DP60" s="34" t="n">
        <f aca="false">SUMPRODUCT((FC_Clase="Producción")*FC_O*((FC_Mon="PYG")*DP$19+(FC_Mon&lt;&gt;"PYG"))*(1+FC_g)^(DP$17-1)*((FC_Desde=0)*(DP$16+DP$15)+(FC_Desde&gt;=1)*(DP$14&gt;=FC_Desde)*DP$15))</f>
        <v>0</v>
      </c>
      <c r="DQ60" s="34" t="n">
        <f aca="false">SUMPRODUCT((FC_Clase="Producción")*FC_O*((FC_Mon="PYG")*DQ$19+(FC_Mon&lt;&gt;"PYG"))*(1+FC_g)^(DQ$17-1)*((FC_Desde=0)*(DQ$16+DQ$15)+(FC_Desde&gt;=1)*(DQ$14&gt;=FC_Desde)*DQ$15))</f>
        <v>0</v>
      </c>
      <c r="DR60" s="34" t="n">
        <f aca="false">SUMPRODUCT((FC_Clase="Producción")*FC_O*((FC_Mon="PYG")*DR$19+(FC_Mon&lt;&gt;"PYG"))*(1+FC_g)^(DR$17-1)*((FC_Desde=0)*(DR$16+DR$15)+(FC_Desde&gt;=1)*(DR$14&gt;=FC_Desde)*DR$15))</f>
        <v>0</v>
      </c>
      <c r="DS60" s="34" t="n">
        <f aca="false">SUMPRODUCT((FC_Clase="Producción")*FC_O*((FC_Mon="PYG")*DS$19+(FC_Mon&lt;&gt;"PYG"))*(1+FC_g)^(DS$17-1)*((FC_Desde=0)*(DS$16+DS$15)+(FC_Desde&gt;=1)*(DS$14&gt;=FC_Desde)*DS$15))</f>
        <v>0</v>
      </c>
      <c r="DT60" s="34" t="n">
        <f aca="false">SUMPRODUCT((FC_Clase="Producción")*FC_O*((FC_Mon="PYG")*DT$19+(FC_Mon&lt;&gt;"PYG"))*(1+FC_g)^(DT$17-1)*((FC_Desde=0)*(DT$16+DT$15)+(FC_Desde&gt;=1)*(DT$14&gt;=FC_Desde)*DT$15))</f>
        <v>0</v>
      </c>
      <c r="DU60" s="34" t="n">
        <f aca="false">SUMPRODUCT((FC_Clase="Producción")*FC_O*((FC_Mon="PYG")*DU$19+(FC_Mon&lt;&gt;"PYG"))*(1+FC_g)^(DU$17-1)*((FC_Desde=0)*(DU$16+DU$15)+(FC_Desde&gt;=1)*(DU$14&gt;=FC_Desde)*DU$15))</f>
        <v>0</v>
      </c>
      <c r="DV60" s="34" t="n">
        <f aca="false">SUMPRODUCT((FC_Clase="Producción")*FC_O*((FC_Mon="PYG")*DV$19+(FC_Mon&lt;&gt;"PYG"))*(1+FC_g)^(DV$17-1)*((FC_Desde=0)*(DV$16+DV$15)+(FC_Desde&gt;=1)*(DV$14&gt;=FC_Desde)*DV$15))</f>
        <v>0</v>
      </c>
      <c r="DW60" s="34" t="n">
        <f aca="false">SUMPRODUCT((FC_Clase="Producción")*FC_O*((FC_Mon="PYG")*DW$19+(FC_Mon&lt;&gt;"PYG"))*(1+FC_g)^(DW$17-1)*((FC_Desde=0)*(DW$16+DW$15)+(FC_Desde&gt;=1)*(DW$14&gt;=FC_Desde)*DW$15))</f>
        <v>0</v>
      </c>
      <c r="DX60" s="34" t="n">
        <f aca="false">SUMPRODUCT((FC_Clase="Producción")*FC_O*((FC_Mon="PYG")*DX$19+(FC_Mon&lt;&gt;"PYG"))*(1+FC_g)^(DX$17-1)*((FC_Desde=0)*(DX$16+DX$15)+(FC_Desde&gt;=1)*(DX$14&gt;=FC_Desde)*DX$15))</f>
        <v>0</v>
      </c>
      <c r="DY60" s="34" t="n">
        <f aca="false">SUMPRODUCT((FC_Clase="Producción")*FC_O*((FC_Mon="PYG")*DY$19+(FC_Mon&lt;&gt;"PYG"))*(1+FC_g)^(DY$17-1)*((FC_Desde=0)*(DY$16+DY$15)+(FC_Desde&gt;=1)*(DY$14&gt;=FC_Desde)*DY$15))</f>
        <v>0</v>
      </c>
      <c r="DZ60" s="34" t="n">
        <f aca="false">SUMPRODUCT((FC_Clase="Producción")*FC_O*((FC_Mon="PYG")*DZ$19+(FC_Mon&lt;&gt;"PYG"))*(1+FC_g)^(DZ$17-1)*((FC_Desde=0)*(DZ$16+DZ$15)+(FC_Desde&gt;=1)*(DZ$14&gt;=FC_Desde)*DZ$15))</f>
        <v>0</v>
      </c>
      <c r="EA60" s="34" t="n">
        <f aca="false">SUMPRODUCT((FC_Clase="Producción")*FC_O*((FC_Mon="PYG")*EA$19+(FC_Mon&lt;&gt;"PYG"))*(1+FC_g)^(EA$17-1)*((FC_Desde=0)*(EA$16+EA$15)+(FC_Desde&gt;=1)*(EA$14&gt;=FC_Desde)*EA$15))</f>
        <v>0</v>
      </c>
      <c r="EB60" s="34" t="n">
        <f aca="false">SUMPRODUCT((FC_Clase="Producción")*FC_O*((FC_Mon="PYG")*EB$19+(FC_Mon&lt;&gt;"PYG"))*(1+FC_g)^(EB$17-1)*((FC_Desde=0)*(EB$16+EB$15)+(FC_Desde&gt;=1)*(EB$14&gt;=FC_Desde)*EB$15))</f>
        <v>0</v>
      </c>
      <c r="EC60" s="34" t="n">
        <f aca="false">SUMPRODUCT((FC_Clase="Producción")*FC_O*((FC_Mon="PYG")*EC$19+(FC_Mon&lt;&gt;"PYG"))*(1+FC_g)^(EC$17-1)*((FC_Desde=0)*(EC$16+EC$15)+(FC_Desde&gt;=1)*(EC$14&gt;=FC_Desde)*EC$15))</f>
        <v>0</v>
      </c>
      <c r="ED60" s="34" t="n">
        <f aca="false">SUMPRODUCT((FC_Clase="Producción")*FC_O*((FC_Mon="PYG")*ED$19+(FC_Mon&lt;&gt;"PYG"))*(1+FC_g)^(ED$17-1)*((FC_Desde=0)*(ED$16+ED$15)+(FC_Desde&gt;=1)*(ED$14&gt;=FC_Desde)*ED$15))</f>
        <v>0</v>
      </c>
      <c r="EE60" s="34" t="n">
        <f aca="false">SUMPRODUCT((FC_Clase="Producción")*FC_O*((FC_Mon="PYG")*EE$19+(FC_Mon&lt;&gt;"PYG"))*(1+FC_g)^(EE$17-1)*((FC_Desde=0)*(EE$16+EE$15)+(FC_Desde&gt;=1)*(EE$14&gt;=FC_Desde)*EE$15))</f>
        <v>0</v>
      </c>
      <c r="EF60" s="34" t="n">
        <f aca="false">SUMPRODUCT((FC_Clase="Producción")*FC_O*((FC_Mon="PYG")*EF$19+(FC_Mon&lt;&gt;"PYG"))*(1+FC_g)^(EF$17-1)*((FC_Desde=0)*(EF$16+EF$15)+(FC_Desde&gt;=1)*(EF$14&gt;=FC_Desde)*EF$15))</f>
        <v>0</v>
      </c>
      <c r="EG60" s="34" t="n">
        <f aca="false">SUMPRODUCT((FC_Clase="Producción")*FC_O*((FC_Mon="PYG")*EG$19+(FC_Mon&lt;&gt;"PYG"))*(1+FC_g)^(EG$17-1)*((FC_Desde=0)*(EG$16+EG$15)+(FC_Desde&gt;=1)*(EG$14&gt;=FC_Desde)*EG$15))</f>
        <v>0</v>
      </c>
      <c r="EH60" s="34" t="n">
        <f aca="false">SUMPRODUCT((FC_Clase="Producción")*FC_O*((FC_Mon="PYG")*EH$19+(FC_Mon&lt;&gt;"PYG"))*(1+FC_g)^(EH$17-1)*((FC_Desde=0)*(EH$16+EH$15)+(FC_Desde&gt;=1)*(EH$14&gt;=FC_Desde)*EH$15))</f>
        <v>0</v>
      </c>
      <c r="EI60" s="34" t="n">
        <f aca="false">SUMPRODUCT((FC_Clase="Producción")*FC_O*((FC_Mon="PYG")*EI$19+(FC_Mon&lt;&gt;"PYG"))*(1+FC_g)^(EI$17-1)*((FC_Desde=0)*(EI$16+EI$15)+(FC_Desde&gt;=1)*(EI$14&gt;=FC_Desde)*EI$15))</f>
        <v>0</v>
      </c>
      <c r="EJ60" s="34" t="n">
        <f aca="false">SUMPRODUCT((FC_Clase="Producción")*FC_O*((FC_Mon="PYG")*EJ$19+(FC_Mon&lt;&gt;"PYG"))*(1+FC_g)^(EJ$17-1)*((FC_Desde=0)*(EJ$16+EJ$15)+(FC_Desde&gt;=1)*(EJ$14&gt;=FC_Desde)*EJ$15))</f>
        <v>0</v>
      </c>
      <c r="EK60" s="34" t="n">
        <f aca="false">SUMPRODUCT((FC_Clase="Producción")*FC_O*((FC_Mon="PYG")*EK$19+(FC_Mon&lt;&gt;"PYG"))*(1+FC_g)^(EK$17-1)*((FC_Desde=0)*(EK$16+EK$15)+(FC_Desde&gt;=1)*(EK$14&gt;=FC_Desde)*EK$15))</f>
        <v>0</v>
      </c>
      <c r="EL60" s="34" t="n">
        <f aca="false">SUMPRODUCT((FC_Clase="Producción")*FC_O*((FC_Mon="PYG")*EL$19+(FC_Mon&lt;&gt;"PYG"))*(1+FC_g)^(EL$17-1)*((FC_Desde=0)*(EL$16+EL$15)+(FC_Desde&gt;=1)*(EL$14&gt;=FC_Desde)*EL$15))</f>
        <v>0</v>
      </c>
      <c r="EM60" s="34" t="n">
        <f aca="false">SUMPRODUCT((FC_Clase="Producción")*FC_O*((FC_Mon="PYG")*EM$19+(FC_Mon&lt;&gt;"PYG"))*(1+FC_g)^(EM$17-1)*((FC_Desde=0)*(EM$16+EM$15)+(FC_Desde&gt;=1)*(EM$14&gt;=FC_Desde)*EM$15))</f>
        <v>0</v>
      </c>
      <c r="EN60" s="34" t="n">
        <f aca="false">SUMPRODUCT((FC_Clase="Producción")*FC_O*((FC_Mon="PYG")*EN$19+(FC_Mon&lt;&gt;"PYG"))*(1+FC_g)^(EN$17-1)*((FC_Desde=0)*(EN$16+EN$15)+(FC_Desde&gt;=1)*(EN$14&gt;=FC_Desde)*EN$15))</f>
        <v>0</v>
      </c>
      <c r="EO60" s="34" t="n">
        <f aca="false">SUMPRODUCT((FC_Clase="Producción")*FC_O*((FC_Mon="PYG")*EO$19+(FC_Mon&lt;&gt;"PYG"))*(1+FC_g)^(EO$17-1)*((FC_Desde=0)*(EO$16+EO$15)+(FC_Desde&gt;=1)*(EO$14&gt;=FC_Desde)*EO$15))</f>
        <v>0</v>
      </c>
      <c r="EP60" s="34" t="n">
        <f aca="false">SUMPRODUCT((FC_Clase="Producción")*FC_O*((FC_Mon="PYG")*EP$19+(FC_Mon&lt;&gt;"PYG"))*(1+FC_g)^(EP$17-1)*((FC_Desde=0)*(EP$16+EP$15)+(FC_Desde&gt;=1)*(EP$14&gt;=FC_Desde)*EP$15))</f>
        <v>0</v>
      </c>
      <c r="EQ60" s="34" t="n">
        <f aca="false">SUMPRODUCT((FC_Clase="Producción")*FC_O*((FC_Mon="PYG")*EQ$19+(FC_Mon&lt;&gt;"PYG"))*(1+FC_g)^(EQ$17-1)*((FC_Desde=0)*(EQ$16+EQ$15)+(FC_Desde&gt;=1)*(EQ$14&gt;=FC_Desde)*EQ$15))</f>
        <v>0</v>
      </c>
      <c r="ER60" s="34" t="n">
        <f aca="false">SUMPRODUCT((FC_Clase="Producción")*FC_O*((FC_Mon="PYG")*ER$19+(FC_Mon&lt;&gt;"PYG"))*(1+FC_g)^(ER$17-1)*((FC_Desde=0)*(ER$16+ER$15)+(FC_Desde&gt;=1)*(ER$14&gt;=FC_Desde)*ER$15))</f>
        <v>0</v>
      </c>
      <c r="ES60" s="34" t="n">
        <f aca="false">SUMPRODUCT((FC_Clase="Producción")*FC_O*((FC_Mon="PYG")*ES$19+(FC_Mon&lt;&gt;"PYG"))*(1+FC_g)^(ES$17-1)*((FC_Desde=0)*(ES$16+ES$15)+(FC_Desde&gt;=1)*(ES$14&gt;=FC_Desde)*ES$15))</f>
        <v>0</v>
      </c>
    </row>
    <row r="61" customFormat="false" ht="15" hidden="false" customHeight="false" outlineLevel="0" collapsed="false">
      <c r="A61" s="2" t="s">
        <v>487</v>
      </c>
      <c r="B61" s="6" t="s">
        <v>488</v>
      </c>
      <c r="C61" s="6" t="s">
        <v>212</v>
      </c>
      <c r="E61" s="40" t="n">
        <f aca="false">SUM(F61:ES61)</f>
        <v>0</v>
      </c>
      <c r="F61" s="34" t="n">
        <f aca="false">SUMPRODUCT((FC_Clase="Administración")*FC_O*((FC_Mon="PYG")*F$19+(FC_Mon&lt;&gt;"PYG"))*(1+FC_g)^(F$17-1)*((FC_Desde=0)*(F$16+F$15)+(FC_Desde&gt;=1)*(F$14&gt;=FC_Desde)*F$15))</f>
        <v>0</v>
      </c>
      <c r="G61" s="34" t="n">
        <f aca="false">SUMPRODUCT((FC_Clase="Administración")*FC_O*((FC_Mon="PYG")*G$19+(FC_Mon&lt;&gt;"PYG"))*(1+FC_g)^(G$17-1)*((FC_Desde=0)*(G$16+G$15)+(FC_Desde&gt;=1)*(G$14&gt;=FC_Desde)*G$15))</f>
        <v>0</v>
      </c>
      <c r="H61" s="34" t="n">
        <f aca="false">SUMPRODUCT((FC_Clase="Administración")*FC_O*((FC_Mon="PYG")*H$19+(FC_Mon&lt;&gt;"PYG"))*(1+FC_g)^(H$17-1)*((FC_Desde=0)*(H$16+H$15)+(FC_Desde&gt;=1)*(H$14&gt;=FC_Desde)*H$15))</f>
        <v>0</v>
      </c>
      <c r="I61" s="34" t="n">
        <f aca="false">SUMPRODUCT((FC_Clase="Administración")*FC_O*((FC_Mon="PYG")*I$19+(FC_Mon&lt;&gt;"PYG"))*(1+FC_g)^(I$17-1)*((FC_Desde=0)*(I$16+I$15)+(FC_Desde&gt;=1)*(I$14&gt;=FC_Desde)*I$15))</f>
        <v>0</v>
      </c>
      <c r="J61" s="34" t="n">
        <f aca="false">SUMPRODUCT((FC_Clase="Administración")*FC_O*((FC_Mon="PYG")*J$19+(FC_Mon&lt;&gt;"PYG"))*(1+FC_g)^(J$17-1)*((FC_Desde=0)*(J$16+J$15)+(FC_Desde&gt;=1)*(J$14&gt;=FC_Desde)*J$15))</f>
        <v>0</v>
      </c>
      <c r="K61" s="34" t="n">
        <f aca="false">SUMPRODUCT((FC_Clase="Administración")*FC_O*((FC_Mon="PYG")*K$19+(FC_Mon&lt;&gt;"PYG"))*(1+FC_g)^(K$17-1)*((FC_Desde=0)*(K$16+K$15)+(FC_Desde&gt;=1)*(K$14&gt;=FC_Desde)*K$15))</f>
        <v>0</v>
      </c>
      <c r="L61" s="34" t="n">
        <f aca="false">SUMPRODUCT((FC_Clase="Administración")*FC_O*((FC_Mon="PYG")*L$19+(FC_Mon&lt;&gt;"PYG"))*(1+FC_g)^(L$17-1)*((FC_Desde=0)*(L$16+L$15)+(FC_Desde&gt;=1)*(L$14&gt;=FC_Desde)*L$15))</f>
        <v>0</v>
      </c>
      <c r="M61" s="34" t="n">
        <f aca="false">SUMPRODUCT((FC_Clase="Administración")*FC_O*((FC_Mon="PYG")*M$19+(FC_Mon&lt;&gt;"PYG"))*(1+FC_g)^(M$17-1)*((FC_Desde=0)*(M$16+M$15)+(FC_Desde&gt;=1)*(M$14&gt;=FC_Desde)*M$15))</f>
        <v>0</v>
      </c>
      <c r="N61" s="34" t="n">
        <f aca="false">SUMPRODUCT((FC_Clase="Administración")*FC_O*((FC_Mon="PYG")*N$19+(FC_Mon&lt;&gt;"PYG"))*(1+FC_g)^(N$17-1)*((FC_Desde=0)*(N$16+N$15)+(FC_Desde&gt;=1)*(N$14&gt;=FC_Desde)*N$15))</f>
        <v>0</v>
      </c>
      <c r="O61" s="34" t="n">
        <f aca="false">SUMPRODUCT((FC_Clase="Administración")*FC_O*((FC_Mon="PYG")*O$19+(FC_Mon&lt;&gt;"PYG"))*(1+FC_g)^(O$17-1)*((FC_Desde=0)*(O$16+O$15)+(FC_Desde&gt;=1)*(O$14&gt;=FC_Desde)*O$15))</f>
        <v>0</v>
      </c>
      <c r="P61" s="34" t="n">
        <f aca="false">SUMPRODUCT((FC_Clase="Administración")*FC_O*((FC_Mon="PYG")*P$19+(FC_Mon&lt;&gt;"PYG"))*(1+FC_g)^(P$17-1)*((FC_Desde=0)*(P$16+P$15)+(FC_Desde&gt;=1)*(P$14&gt;=FC_Desde)*P$15))</f>
        <v>0</v>
      </c>
      <c r="Q61" s="34" t="n">
        <f aca="false">SUMPRODUCT((FC_Clase="Administración")*FC_O*((FC_Mon="PYG")*Q$19+(FC_Mon&lt;&gt;"PYG"))*(1+FC_g)^(Q$17-1)*((FC_Desde=0)*(Q$16+Q$15)+(FC_Desde&gt;=1)*(Q$14&gt;=FC_Desde)*Q$15))</f>
        <v>0</v>
      </c>
      <c r="R61" s="34" t="n">
        <f aca="false">SUMPRODUCT((FC_Clase="Administración")*FC_O*((FC_Mon="PYG")*R$19+(FC_Mon&lt;&gt;"PYG"))*(1+FC_g)^(R$17-1)*((FC_Desde=0)*(R$16+R$15)+(FC_Desde&gt;=1)*(R$14&gt;=FC_Desde)*R$15))</f>
        <v>0</v>
      </c>
      <c r="S61" s="34" t="n">
        <f aca="false">SUMPRODUCT((FC_Clase="Administración")*FC_O*((FC_Mon="PYG")*S$19+(FC_Mon&lt;&gt;"PYG"))*(1+FC_g)^(S$17-1)*((FC_Desde=0)*(S$16+S$15)+(FC_Desde&gt;=1)*(S$14&gt;=FC_Desde)*S$15))</f>
        <v>0</v>
      </c>
      <c r="T61" s="34" t="n">
        <f aca="false">SUMPRODUCT((FC_Clase="Administración")*FC_O*((FC_Mon="PYG")*T$19+(FC_Mon&lt;&gt;"PYG"))*(1+FC_g)^(T$17-1)*((FC_Desde=0)*(T$16+T$15)+(FC_Desde&gt;=1)*(T$14&gt;=FC_Desde)*T$15))</f>
        <v>0</v>
      </c>
      <c r="U61" s="34" t="n">
        <f aca="false">SUMPRODUCT((FC_Clase="Administración")*FC_O*((FC_Mon="PYG")*U$19+(FC_Mon&lt;&gt;"PYG"))*(1+FC_g)^(U$17-1)*((FC_Desde=0)*(U$16+U$15)+(FC_Desde&gt;=1)*(U$14&gt;=FC_Desde)*U$15))</f>
        <v>0</v>
      </c>
      <c r="V61" s="34" t="n">
        <f aca="false">SUMPRODUCT((FC_Clase="Administración")*FC_O*((FC_Mon="PYG")*V$19+(FC_Mon&lt;&gt;"PYG"))*(1+FC_g)^(V$17-1)*((FC_Desde=0)*(V$16+V$15)+(FC_Desde&gt;=1)*(V$14&gt;=FC_Desde)*V$15))</f>
        <v>0</v>
      </c>
      <c r="W61" s="34" t="n">
        <f aca="false">SUMPRODUCT((FC_Clase="Administración")*FC_O*((FC_Mon="PYG")*W$19+(FC_Mon&lt;&gt;"PYG"))*(1+FC_g)^(W$17-1)*((FC_Desde=0)*(W$16+W$15)+(FC_Desde&gt;=1)*(W$14&gt;=FC_Desde)*W$15))</f>
        <v>0</v>
      </c>
      <c r="X61" s="34" t="n">
        <f aca="false">SUMPRODUCT((FC_Clase="Administración")*FC_O*((FC_Mon="PYG")*X$19+(FC_Mon&lt;&gt;"PYG"))*(1+FC_g)^(X$17-1)*((FC_Desde=0)*(X$16+X$15)+(FC_Desde&gt;=1)*(X$14&gt;=FC_Desde)*X$15))</f>
        <v>0</v>
      </c>
      <c r="Y61" s="34" t="n">
        <f aca="false">SUMPRODUCT((FC_Clase="Administración")*FC_O*((FC_Mon="PYG")*Y$19+(FC_Mon&lt;&gt;"PYG"))*(1+FC_g)^(Y$17-1)*((FC_Desde=0)*(Y$16+Y$15)+(FC_Desde&gt;=1)*(Y$14&gt;=FC_Desde)*Y$15))</f>
        <v>0</v>
      </c>
      <c r="Z61" s="34" t="n">
        <f aca="false">SUMPRODUCT((FC_Clase="Administración")*FC_O*((FC_Mon="PYG")*Z$19+(FC_Mon&lt;&gt;"PYG"))*(1+FC_g)^(Z$17-1)*((FC_Desde=0)*(Z$16+Z$15)+(FC_Desde&gt;=1)*(Z$14&gt;=FC_Desde)*Z$15))</f>
        <v>0</v>
      </c>
      <c r="AA61" s="34" t="n">
        <f aca="false">SUMPRODUCT((FC_Clase="Administración")*FC_O*((FC_Mon="PYG")*AA$19+(FC_Mon&lt;&gt;"PYG"))*(1+FC_g)^(AA$17-1)*((FC_Desde=0)*(AA$16+AA$15)+(FC_Desde&gt;=1)*(AA$14&gt;=FC_Desde)*AA$15))</f>
        <v>0</v>
      </c>
      <c r="AB61" s="34" t="n">
        <f aca="false">SUMPRODUCT((FC_Clase="Administración")*FC_O*((FC_Mon="PYG")*AB$19+(FC_Mon&lt;&gt;"PYG"))*(1+FC_g)^(AB$17-1)*((FC_Desde=0)*(AB$16+AB$15)+(FC_Desde&gt;=1)*(AB$14&gt;=FC_Desde)*AB$15))</f>
        <v>0</v>
      </c>
      <c r="AC61" s="34" t="n">
        <f aca="false">SUMPRODUCT((FC_Clase="Administración")*FC_O*((FC_Mon="PYG")*AC$19+(FC_Mon&lt;&gt;"PYG"))*(1+FC_g)^(AC$17-1)*((FC_Desde=0)*(AC$16+AC$15)+(FC_Desde&gt;=1)*(AC$14&gt;=FC_Desde)*AC$15))</f>
        <v>0</v>
      </c>
      <c r="AD61" s="34" t="n">
        <f aca="false">SUMPRODUCT((FC_Clase="Administración")*FC_O*((FC_Mon="PYG")*AD$19+(FC_Mon&lt;&gt;"PYG"))*(1+FC_g)^(AD$17-1)*((FC_Desde=0)*(AD$16+AD$15)+(FC_Desde&gt;=1)*(AD$14&gt;=FC_Desde)*AD$15))</f>
        <v>0</v>
      </c>
      <c r="AE61" s="34" t="n">
        <f aca="false">SUMPRODUCT((FC_Clase="Administración")*FC_O*((FC_Mon="PYG")*AE$19+(FC_Mon&lt;&gt;"PYG"))*(1+FC_g)^(AE$17-1)*((FC_Desde=0)*(AE$16+AE$15)+(FC_Desde&gt;=1)*(AE$14&gt;=FC_Desde)*AE$15))</f>
        <v>0</v>
      </c>
      <c r="AF61" s="34" t="n">
        <f aca="false">SUMPRODUCT((FC_Clase="Administración")*FC_O*((FC_Mon="PYG")*AF$19+(FC_Mon&lt;&gt;"PYG"))*(1+FC_g)^(AF$17-1)*((FC_Desde=0)*(AF$16+AF$15)+(FC_Desde&gt;=1)*(AF$14&gt;=FC_Desde)*AF$15))</f>
        <v>0</v>
      </c>
      <c r="AG61" s="34" t="n">
        <f aca="false">SUMPRODUCT((FC_Clase="Administración")*FC_O*((FC_Mon="PYG")*AG$19+(FC_Mon&lt;&gt;"PYG"))*(1+FC_g)^(AG$17-1)*((FC_Desde=0)*(AG$16+AG$15)+(FC_Desde&gt;=1)*(AG$14&gt;=FC_Desde)*AG$15))</f>
        <v>0</v>
      </c>
      <c r="AH61" s="34" t="n">
        <f aca="false">SUMPRODUCT((FC_Clase="Administración")*FC_O*((FC_Mon="PYG")*AH$19+(FC_Mon&lt;&gt;"PYG"))*(1+FC_g)^(AH$17-1)*((FC_Desde=0)*(AH$16+AH$15)+(FC_Desde&gt;=1)*(AH$14&gt;=FC_Desde)*AH$15))</f>
        <v>0</v>
      </c>
      <c r="AI61" s="34" t="n">
        <f aca="false">SUMPRODUCT((FC_Clase="Administración")*FC_O*((FC_Mon="PYG")*AI$19+(FC_Mon&lt;&gt;"PYG"))*(1+FC_g)^(AI$17-1)*((FC_Desde=0)*(AI$16+AI$15)+(FC_Desde&gt;=1)*(AI$14&gt;=FC_Desde)*AI$15))</f>
        <v>0</v>
      </c>
      <c r="AJ61" s="34" t="n">
        <f aca="false">SUMPRODUCT((FC_Clase="Administración")*FC_O*((FC_Mon="PYG")*AJ$19+(FC_Mon&lt;&gt;"PYG"))*(1+FC_g)^(AJ$17-1)*((FC_Desde=0)*(AJ$16+AJ$15)+(FC_Desde&gt;=1)*(AJ$14&gt;=FC_Desde)*AJ$15))</f>
        <v>0</v>
      </c>
      <c r="AK61" s="34" t="n">
        <f aca="false">SUMPRODUCT((FC_Clase="Administración")*FC_O*((FC_Mon="PYG")*AK$19+(FC_Mon&lt;&gt;"PYG"))*(1+FC_g)^(AK$17-1)*((FC_Desde=0)*(AK$16+AK$15)+(FC_Desde&gt;=1)*(AK$14&gt;=FC_Desde)*AK$15))</f>
        <v>0</v>
      </c>
      <c r="AL61" s="34" t="n">
        <f aca="false">SUMPRODUCT((FC_Clase="Administración")*FC_O*((FC_Mon="PYG")*AL$19+(FC_Mon&lt;&gt;"PYG"))*(1+FC_g)^(AL$17-1)*((FC_Desde=0)*(AL$16+AL$15)+(FC_Desde&gt;=1)*(AL$14&gt;=FC_Desde)*AL$15))</f>
        <v>0</v>
      </c>
      <c r="AM61" s="34" t="n">
        <f aca="false">SUMPRODUCT((FC_Clase="Administración")*FC_O*((FC_Mon="PYG")*AM$19+(FC_Mon&lt;&gt;"PYG"))*(1+FC_g)^(AM$17-1)*((FC_Desde=0)*(AM$16+AM$15)+(FC_Desde&gt;=1)*(AM$14&gt;=FC_Desde)*AM$15))</f>
        <v>0</v>
      </c>
      <c r="AN61" s="34" t="n">
        <f aca="false">SUMPRODUCT((FC_Clase="Administración")*FC_O*((FC_Mon="PYG")*AN$19+(FC_Mon&lt;&gt;"PYG"))*(1+FC_g)^(AN$17-1)*((FC_Desde=0)*(AN$16+AN$15)+(FC_Desde&gt;=1)*(AN$14&gt;=FC_Desde)*AN$15))</f>
        <v>0</v>
      </c>
      <c r="AO61" s="34" t="n">
        <f aca="false">SUMPRODUCT((FC_Clase="Administración")*FC_O*((FC_Mon="PYG")*AO$19+(FC_Mon&lt;&gt;"PYG"))*(1+FC_g)^(AO$17-1)*((FC_Desde=0)*(AO$16+AO$15)+(FC_Desde&gt;=1)*(AO$14&gt;=FC_Desde)*AO$15))</f>
        <v>0</v>
      </c>
      <c r="AP61" s="34" t="n">
        <f aca="false">SUMPRODUCT((FC_Clase="Administración")*FC_O*((FC_Mon="PYG")*AP$19+(FC_Mon&lt;&gt;"PYG"))*(1+FC_g)^(AP$17-1)*((FC_Desde=0)*(AP$16+AP$15)+(FC_Desde&gt;=1)*(AP$14&gt;=FC_Desde)*AP$15))</f>
        <v>0</v>
      </c>
      <c r="AQ61" s="34" t="n">
        <f aca="false">SUMPRODUCT((FC_Clase="Administración")*FC_O*((FC_Mon="PYG")*AQ$19+(FC_Mon&lt;&gt;"PYG"))*(1+FC_g)^(AQ$17-1)*((FC_Desde=0)*(AQ$16+AQ$15)+(FC_Desde&gt;=1)*(AQ$14&gt;=FC_Desde)*AQ$15))</f>
        <v>0</v>
      </c>
      <c r="AR61" s="34" t="n">
        <f aca="false">SUMPRODUCT((FC_Clase="Administración")*FC_O*((FC_Mon="PYG")*AR$19+(FC_Mon&lt;&gt;"PYG"))*(1+FC_g)^(AR$17-1)*((FC_Desde=0)*(AR$16+AR$15)+(FC_Desde&gt;=1)*(AR$14&gt;=FC_Desde)*AR$15))</f>
        <v>0</v>
      </c>
      <c r="AS61" s="34" t="n">
        <f aca="false">SUMPRODUCT((FC_Clase="Administración")*FC_O*((FC_Mon="PYG")*AS$19+(FC_Mon&lt;&gt;"PYG"))*(1+FC_g)^(AS$17-1)*((FC_Desde=0)*(AS$16+AS$15)+(FC_Desde&gt;=1)*(AS$14&gt;=FC_Desde)*AS$15))</f>
        <v>0</v>
      </c>
      <c r="AT61" s="34" t="n">
        <f aca="false">SUMPRODUCT((FC_Clase="Administración")*FC_O*((FC_Mon="PYG")*AT$19+(FC_Mon&lt;&gt;"PYG"))*(1+FC_g)^(AT$17-1)*((FC_Desde=0)*(AT$16+AT$15)+(FC_Desde&gt;=1)*(AT$14&gt;=FC_Desde)*AT$15))</f>
        <v>0</v>
      </c>
      <c r="AU61" s="34" t="n">
        <f aca="false">SUMPRODUCT((FC_Clase="Administración")*FC_O*((FC_Mon="PYG")*AU$19+(FC_Mon&lt;&gt;"PYG"))*(1+FC_g)^(AU$17-1)*((FC_Desde=0)*(AU$16+AU$15)+(FC_Desde&gt;=1)*(AU$14&gt;=FC_Desde)*AU$15))</f>
        <v>0</v>
      </c>
      <c r="AV61" s="34" t="n">
        <f aca="false">SUMPRODUCT((FC_Clase="Administración")*FC_O*((FC_Mon="PYG")*AV$19+(FC_Mon&lt;&gt;"PYG"))*(1+FC_g)^(AV$17-1)*((FC_Desde=0)*(AV$16+AV$15)+(FC_Desde&gt;=1)*(AV$14&gt;=FC_Desde)*AV$15))</f>
        <v>0</v>
      </c>
      <c r="AW61" s="34" t="n">
        <f aca="false">SUMPRODUCT((FC_Clase="Administración")*FC_O*((FC_Mon="PYG")*AW$19+(FC_Mon&lt;&gt;"PYG"))*(1+FC_g)^(AW$17-1)*((FC_Desde=0)*(AW$16+AW$15)+(FC_Desde&gt;=1)*(AW$14&gt;=FC_Desde)*AW$15))</f>
        <v>0</v>
      </c>
      <c r="AX61" s="34" t="n">
        <f aca="false">SUMPRODUCT((FC_Clase="Administración")*FC_O*((FC_Mon="PYG")*AX$19+(FC_Mon&lt;&gt;"PYG"))*(1+FC_g)^(AX$17-1)*((FC_Desde=0)*(AX$16+AX$15)+(FC_Desde&gt;=1)*(AX$14&gt;=FC_Desde)*AX$15))</f>
        <v>0</v>
      </c>
      <c r="AY61" s="34" t="n">
        <f aca="false">SUMPRODUCT((FC_Clase="Administración")*FC_O*((FC_Mon="PYG")*AY$19+(FC_Mon&lt;&gt;"PYG"))*(1+FC_g)^(AY$17-1)*((FC_Desde=0)*(AY$16+AY$15)+(FC_Desde&gt;=1)*(AY$14&gt;=FC_Desde)*AY$15))</f>
        <v>0</v>
      </c>
      <c r="AZ61" s="34" t="n">
        <f aca="false">SUMPRODUCT((FC_Clase="Administración")*FC_O*((FC_Mon="PYG")*AZ$19+(FC_Mon&lt;&gt;"PYG"))*(1+FC_g)^(AZ$17-1)*((FC_Desde=0)*(AZ$16+AZ$15)+(FC_Desde&gt;=1)*(AZ$14&gt;=FC_Desde)*AZ$15))</f>
        <v>0</v>
      </c>
      <c r="BA61" s="34" t="n">
        <f aca="false">SUMPRODUCT((FC_Clase="Administración")*FC_O*((FC_Mon="PYG")*BA$19+(FC_Mon&lt;&gt;"PYG"))*(1+FC_g)^(BA$17-1)*((FC_Desde=0)*(BA$16+BA$15)+(FC_Desde&gt;=1)*(BA$14&gt;=FC_Desde)*BA$15))</f>
        <v>0</v>
      </c>
      <c r="BB61" s="34" t="n">
        <f aca="false">SUMPRODUCT((FC_Clase="Administración")*FC_O*((FC_Mon="PYG")*BB$19+(FC_Mon&lt;&gt;"PYG"))*(1+FC_g)^(BB$17-1)*((FC_Desde=0)*(BB$16+BB$15)+(FC_Desde&gt;=1)*(BB$14&gt;=FC_Desde)*BB$15))</f>
        <v>0</v>
      </c>
      <c r="BC61" s="34" t="n">
        <f aca="false">SUMPRODUCT((FC_Clase="Administración")*FC_O*((FC_Mon="PYG")*BC$19+(FC_Mon&lt;&gt;"PYG"))*(1+FC_g)^(BC$17-1)*((FC_Desde=0)*(BC$16+BC$15)+(FC_Desde&gt;=1)*(BC$14&gt;=FC_Desde)*BC$15))</f>
        <v>0</v>
      </c>
      <c r="BD61" s="34" t="n">
        <f aca="false">SUMPRODUCT((FC_Clase="Administración")*FC_O*((FC_Mon="PYG")*BD$19+(FC_Mon&lt;&gt;"PYG"))*(1+FC_g)^(BD$17-1)*((FC_Desde=0)*(BD$16+BD$15)+(FC_Desde&gt;=1)*(BD$14&gt;=FC_Desde)*BD$15))</f>
        <v>0</v>
      </c>
      <c r="BE61" s="34" t="n">
        <f aca="false">SUMPRODUCT((FC_Clase="Administración")*FC_O*((FC_Mon="PYG")*BE$19+(FC_Mon&lt;&gt;"PYG"))*(1+FC_g)^(BE$17-1)*((FC_Desde=0)*(BE$16+BE$15)+(FC_Desde&gt;=1)*(BE$14&gt;=FC_Desde)*BE$15))</f>
        <v>0</v>
      </c>
      <c r="BF61" s="34" t="n">
        <f aca="false">SUMPRODUCT((FC_Clase="Administración")*FC_O*((FC_Mon="PYG")*BF$19+(FC_Mon&lt;&gt;"PYG"))*(1+FC_g)^(BF$17-1)*((FC_Desde=0)*(BF$16+BF$15)+(FC_Desde&gt;=1)*(BF$14&gt;=FC_Desde)*BF$15))</f>
        <v>0</v>
      </c>
      <c r="BG61" s="34" t="n">
        <f aca="false">SUMPRODUCT((FC_Clase="Administración")*FC_O*((FC_Mon="PYG")*BG$19+(FC_Mon&lt;&gt;"PYG"))*(1+FC_g)^(BG$17-1)*((FC_Desde=0)*(BG$16+BG$15)+(FC_Desde&gt;=1)*(BG$14&gt;=FC_Desde)*BG$15))</f>
        <v>0</v>
      </c>
      <c r="BH61" s="34" t="n">
        <f aca="false">SUMPRODUCT((FC_Clase="Administración")*FC_O*((FC_Mon="PYG")*BH$19+(FC_Mon&lt;&gt;"PYG"))*(1+FC_g)^(BH$17-1)*((FC_Desde=0)*(BH$16+BH$15)+(FC_Desde&gt;=1)*(BH$14&gt;=FC_Desde)*BH$15))</f>
        <v>0</v>
      </c>
      <c r="BI61" s="34" t="n">
        <f aca="false">SUMPRODUCT((FC_Clase="Administración")*FC_O*((FC_Mon="PYG")*BI$19+(FC_Mon&lt;&gt;"PYG"))*(1+FC_g)^(BI$17-1)*((FC_Desde=0)*(BI$16+BI$15)+(FC_Desde&gt;=1)*(BI$14&gt;=FC_Desde)*BI$15))</f>
        <v>0</v>
      </c>
      <c r="BJ61" s="34" t="n">
        <f aca="false">SUMPRODUCT((FC_Clase="Administración")*FC_O*((FC_Mon="PYG")*BJ$19+(FC_Mon&lt;&gt;"PYG"))*(1+FC_g)^(BJ$17-1)*((FC_Desde=0)*(BJ$16+BJ$15)+(FC_Desde&gt;=1)*(BJ$14&gt;=FC_Desde)*BJ$15))</f>
        <v>0</v>
      </c>
      <c r="BK61" s="34" t="n">
        <f aca="false">SUMPRODUCT((FC_Clase="Administración")*FC_O*((FC_Mon="PYG")*BK$19+(FC_Mon&lt;&gt;"PYG"))*(1+FC_g)^(BK$17-1)*((FC_Desde=0)*(BK$16+BK$15)+(FC_Desde&gt;=1)*(BK$14&gt;=FC_Desde)*BK$15))</f>
        <v>0</v>
      </c>
      <c r="BL61" s="34" t="n">
        <f aca="false">SUMPRODUCT((FC_Clase="Administración")*FC_O*((FC_Mon="PYG")*BL$19+(FC_Mon&lt;&gt;"PYG"))*(1+FC_g)^(BL$17-1)*((FC_Desde=0)*(BL$16+BL$15)+(FC_Desde&gt;=1)*(BL$14&gt;=FC_Desde)*BL$15))</f>
        <v>0</v>
      </c>
      <c r="BM61" s="34" t="n">
        <f aca="false">SUMPRODUCT((FC_Clase="Administración")*FC_O*((FC_Mon="PYG")*BM$19+(FC_Mon&lt;&gt;"PYG"))*(1+FC_g)^(BM$17-1)*((FC_Desde=0)*(BM$16+BM$15)+(FC_Desde&gt;=1)*(BM$14&gt;=FC_Desde)*BM$15))</f>
        <v>0</v>
      </c>
      <c r="BN61" s="34" t="n">
        <f aca="false">SUMPRODUCT((FC_Clase="Administración")*FC_O*((FC_Mon="PYG")*BN$19+(FC_Mon&lt;&gt;"PYG"))*(1+FC_g)^(BN$17-1)*((FC_Desde=0)*(BN$16+BN$15)+(FC_Desde&gt;=1)*(BN$14&gt;=FC_Desde)*BN$15))</f>
        <v>0</v>
      </c>
      <c r="BO61" s="34" t="n">
        <f aca="false">SUMPRODUCT((FC_Clase="Administración")*FC_O*((FC_Mon="PYG")*BO$19+(FC_Mon&lt;&gt;"PYG"))*(1+FC_g)^(BO$17-1)*((FC_Desde=0)*(BO$16+BO$15)+(FC_Desde&gt;=1)*(BO$14&gt;=FC_Desde)*BO$15))</f>
        <v>0</v>
      </c>
      <c r="BP61" s="34" t="n">
        <f aca="false">SUMPRODUCT((FC_Clase="Administración")*FC_O*((FC_Mon="PYG")*BP$19+(FC_Mon&lt;&gt;"PYG"))*(1+FC_g)^(BP$17-1)*((FC_Desde=0)*(BP$16+BP$15)+(FC_Desde&gt;=1)*(BP$14&gt;=FC_Desde)*BP$15))</f>
        <v>0</v>
      </c>
      <c r="BQ61" s="34" t="n">
        <f aca="false">SUMPRODUCT((FC_Clase="Administración")*FC_O*((FC_Mon="PYG")*BQ$19+(FC_Mon&lt;&gt;"PYG"))*(1+FC_g)^(BQ$17-1)*((FC_Desde=0)*(BQ$16+BQ$15)+(FC_Desde&gt;=1)*(BQ$14&gt;=FC_Desde)*BQ$15))</f>
        <v>0</v>
      </c>
      <c r="BR61" s="34" t="n">
        <f aca="false">SUMPRODUCT((FC_Clase="Administración")*FC_O*((FC_Mon="PYG")*BR$19+(FC_Mon&lt;&gt;"PYG"))*(1+FC_g)^(BR$17-1)*((FC_Desde=0)*(BR$16+BR$15)+(FC_Desde&gt;=1)*(BR$14&gt;=FC_Desde)*BR$15))</f>
        <v>0</v>
      </c>
      <c r="BS61" s="34" t="n">
        <f aca="false">SUMPRODUCT((FC_Clase="Administración")*FC_O*((FC_Mon="PYG")*BS$19+(FC_Mon&lt;&gt;"PYG"))*(1+FC_g)^(BS$17-1)*((FC_Desde=0)*(BS$16+BS$15)+(FC_Desde&gt;=1)*(BS$14&gt;=FC_Desde)*BS$15))</f>
        <v>0</v>
      </c>
      <c r="BT61" s="34" t="n">
        <f aca="false">SUMPRODUCT((FC_Clase="Administración")*FC_O*((FC_Mon="PYG")*BT$19+(FC_Mon&lt;&gt;"PYG"))*(1+FC_g)^(BT$17-1)*((FC_Desde=0)*(BT$16+BT$15)+(FC_Desde&gt;=1)*(BT$14&gt;=FC_Desde)*BT$15))</f>
        <v>0</v>
      </c>
      <c r="BU61" s="34" t="n">
        <f aca="false">SUMPRODUCT((FC_Clase="Administración")*FC_O*((FC_Mon="PYG")*BU$19+(FC_Mon&lt;&gt;"PYG"))*(1+FC_g)^(BU$17-1)*((FC_Desde=0)*(BU$16+BU$15)+(FC_Desde&gt;=1)*(BU$14&gt;=FC_Desde)*BU$15))</f>
        <v>0</v>
      </c>
      <c r="BV61" s="34" t="n">
        <f aca="false">SUMPRODUCT((FC_Clase="Administración")*FC_O*((FC_Mon="PYG")*BV$19+(FC_Mon&lt;&gt;"PYG"))*(1+FC_g)^(BV$17-1)*((FC_Desde=0)*(BV$16+BV$15)+(FC_Desde&gt;=1)*(BV$14&gt;=FC_Desde)*BV$15))</f>
        <v>0</v>
      </c>
      <c r="BW61" s="34" t="n">
        <f aca="false">SUMPRODUCT((FC_Clase="Administración")*FC_O*((FC_Mon="PYG")*BW$19+(FC_Mon&lt;&gt;"PYG"))*(1+FC_g)^(BW$17-1)*((FC_Desde=0)*(BW$16+BW$15)+(FC_Desde&gt;=1)*(BW$14&gt;=FC_Desde)*BW$15))</f>
        <v>0</v>
      </c>
      <c r="BX61" s="34" t="n">
        <f aca="false">SUMPRODUCT((FC_Clase="Administración")*FC_O*((FC_Mon="PYG")*BX$19+(FC_Mon&lt;&gt;"PYG"))*(1+FC_g)^(BX$17-1)*((FC_Desde=0)*(BX$16+BX$15)+(FC_Desde&gt;=1)*(BX$14&gt;=FC_Desde)*BX$15))</f>
        <v>0</v>
      </c>
      <c r="BY61" s="34" t="n">
        <f aca="false">SUMPRODUCT((FC_Clase="Administración")*FC_O*((FC_Mon="PYG")*BY$19+(FC_Mon&lt;&gt;"PYG"))*(1+FC_g)^(BY$17-1)*((FC_Desde=0)*(BY$16+BY$15)+(FC_Desde&gt;=1)*(BY$14&gt;=FC_Desde)*BY$15))</f>
        <v>0</v>
      </c>
      <c r="BZ61" s="34" t="n">
        <f aca="false">SUMPRODUCT((FC_Clase="Administración")*FC_O*((FC_Mon="PYG")*BZ$19+(FC_Mon&lt;&gt;"PYG"))*(1+FC_g)^(BZ$17-1)*((FC_Desde=0)*(BZ$16+BZ$15)+(FC_Desde&gt;=1)*(BZ$14&gt;=FC_Desde)*BZ$15))</f>
        <v>0</v>
      </c>
      <c r="CA61" s="34" t="n">
        <f aca="false">SUMPRODUCT((FC_Clase="Administración")*FC_O*((FC_Mon="PYG")*CA$19+(FC_Mon&lt;&gt;"PYG"))*(1+FC_g)^(CA$17-1)*((FC_Desde=0)*(CA$16+CA$15)+(FC_Desde&gt;=1)*(CA$14&gt;=FC_Desde)*CA$15))</f>
        <v>0</v>
      </c>
      <c r="CB61" s="34" t="n">
        <f aca="false">SUMPRODUCT((FC_Clase="Administración")*FC_O*((FC_Mon="PYG")*CB$19+(FC_Mon&lt;&gt;"PYG"))*(1+FC_g)^(CB$17-1)*((FC_Desde=0)*(CB$16+CB$15)+(FC_Desde&gt;=1)*(CB$14&gt;=FC_Desde)*CB$15))</f>
        <v>0</v>
      </c>
      <c r="CC61" s="34" t="n">
        <f aca="false">SUMPRODUCT((FC_Clase="Administración")*FC_O*((FC_Mon="PYG")*CC$19+(FC_Mon&lt;&gt;"PYG"))*(1+FC_g)^(CC$17-1)*((FC_Desde=0)*(CC$16+CC$15)+(FC_Desde&gt;=1)*(CC$14&gt;=FC_Desde)*CC$15))</f>
        <v>0</v>
      </c>
      <c r="CD61" s="34" t="n">
        <f aca="false">SUMPRODUCT((FC_Clase="Administración")*FC_O*((FC_Mon="PYG")*CD$19+(FC_Mon&lt;&gt;"PYG"))*(1+FC_g)^(CD$17-1)*((FC_Desde=0)*(CD$16+CD$15)+(FC_Desde&gt;=1)*(CD$14&gt;=FC_Desde)*CD$15))</f>
        <v>0</v>
      </c>
      <c r="CE61" s="34" t="n">
        <f aca="false">SUMPRODUCT((FC_Clase="Administración")*FC_O*((FC_Mon="PYG")*CE$19+(FC_Mon&lt;&gt;"PYG"))*(1+FC_g)^(CE$17-1)*((FC_Desde=0)*(CE$16+CE$15)+(FC_Desde&gt;=1)*(CE$14&gt;=FC_Desde)*CE$15))</f>
        <v>0</v>
      </c>
      <c r="CF61" s="34" t="n">
        <f aca="false">SUMPRODUCT((FC_Clase="Administración")*FC_O*((FC_Mon="PYG")*CF$19+(FC_Mon&lt;&gt;"PYG"))*(1+FC_g)^(CF$17-1)*((FC_Desde=0)*(CF$16+CF$15)+(FC_Desde&gt;=1)*(CF$14&gt;=FC_Desde)*CF$15))</f>
        <v>0</v>
      </c>
      <c r="CG61" s="34" t="n">
        <f aca="false">SUMPRODUCT((FC_Clase="Administración")*FC_O*((FC_Mon="PYG")*CG$19+(FC_Mon&lt;&gt;"PYG"))*(1+FC_g)^(CG$17-1)*((FC_Desde=0)*(CG$16+CG$15)+(FC_Desde&gt;=1)*(CG$14&gt;=FC_Desde)*CG$15))</f>
        <v>0</v>
      </c>
      <c r="CH61" s="34" t="n">
        <f aca="false">SUMPRODUCT((FC_Clase="Administración")*FC_O*((FC_Mon="PYG")*CH$19+(FC_Mon&lt;&gt;"PYG"))*(1+FC_g)^(CH$17-1)*((FC_Desde=0)*(CH$16+CH$15)+(FC_Desde&gt;=1)*(CH$14&gt;=FC_Desde)*CH$15))</f>
        <v>0</v>
      </c>
      <c r="CI61" s="34" t="n">
        <f aca="false">SUMPRODUCT((FC_Clase="Administración")*FC_O*((FC_Mon="PYG")*CI$19+(FC_Mon&lt;&gt;"PYG"))*(1+FC_g)^(CI$17-1)*((FC_Desde=0)*(CI$16+CI$15)+(FC_Desde&gt;=1)*(CI$14&gt;=FC_Desde)*CI$15))</f>
        <v>0</v>
      </c>
      <c r="CJ61" s="34" t="n">
        <f aca="false">SUMPRODUCT((FC_Clase="Administración")*FC_O*((FC_Mon="PYG")*CJ$19+(FC_Mon&lt;&gt;"PYG"))*(1+FC_g)^(CJ$17-1)*((FC_Desde=0)*(CJ$16+CJ$15)+(FC_Desde&gt;=1)*(CJ$14&gt;=FC_Desde)*CJ$15))</f>
        <v>0</v>
      </c>
      <c r="CK61" s="34" t="n">
        <f aca="false">SUMPRODUCT((FC_Clase="Administración")*FC_O*((FC_Mon="PYG")*CK$19+(FC_Mon&lt;&gt;"PYG"))*(1+FC_g)^(CK$17-1)*((FC_Desde=0)*(CK$16+CK$15)+(FC_Desde&gt;=1)*(CK$14&gt;=FC_Desde)*CK$15))</f>
        <v>0</v>
      </c>
      <c r="CL61" s="34" t="n">
        <f aca="false">SUMPRODUCT((FC_Clase="Administración")*FC_O*((FC_Mon="PYG")*CL$19+(FC_Mon&lt;&gt;"PYG"))*(1+FC_g)^(CL$17-1)*((FC_Desde=0)*(CL$16+CL$15)+(FC_Desde&gt;=1)*(CL$14&gt;=FC_Desde)*CL$15))</f>
        <v>0</v>
      </c>
      <c r="CM61" s="34" t="n">
        <f aca="false">SUMPRODUCT((FC_Clase="Administración")*FC_O*((FC_Mon="PYG")*CM$19+(FC_Mon&lt;&gt;"PYG"))*(1+FC_g)^(CM$17-1)*((FC_Desde=0)*(CM$16+CM$15)+(FC_Desde&gt;=1)*(CM$14&gt;=FC_Desde)*CM$15))</f>
        <v>0</v>
      </c>
      <c r="CN61" s="34" t="n">
        <f aca="false">SUMPRODUCT((FC_Clase="Administración")*FC_O*((FC_Mon="PYG")*CN$19+(FC_Mon&lt;&gt;"PYG"))*(1+FC_g)^(CN$17-1)*((FC_Desde=0)*(CN$16+CN$15)+(FC_Desde&gt;=1)*(CN$14&gt;=FC_Desde)*CN$15))</f>
        <v>0</v>
      </c>
      <c r="CO61" s="34" t="n">
        <f aca="false">SUMPRODUCT((FC_Clase="Administración")*FC_O*((FC_Mon="PYG")*CO$19+(FC_Mon&lt;&gt;"PYG"))*(1+FC_g)^(CO$17-1)*((FC_Desde=0)*(CO$16+CO$15)+(FC_Desde&gt;=1)*(CO$14&gt;=FC_Desde)*CO$15))</f>
        <v>0</v>
      </c>
      <c r="CP61" s="34" t="n">
        <f aca="false">SUMPRODUCT((FC_Clase="Administración")*FC_O*((FC_Mon="PYG")*CP$19+(FC_Mon&lt;&gt;"PYG"))*(1+FC_g)^(CP$17-1)*((FC_Desde=0)*(CP$16+CP$15)+(FC_Desde&gt;=1)*(CP$14&gt;=FC_Desde)*CP$15))</f>
        <v>0</v>
      </c>
      <c r="CQ61" s="34" t="n">
        <f aca="false">SUMPRODUCT((FC_Clase="Administración")*FC_O*((FC_Mon="PYG")*CQ$19+(FC_Mon&lt;&gt;"PYG"))*(1+FC_g)^(CQ$17-1)*((FC_Desde=0)*(CQ$16+CQ$15)+(FC_Desde&gt;=1)*(CQ$14&gt;=FC_Desde)*CQ$15))</f>
        <v>0</v>
      </c>
      <c r="CR61" s="34" t="n">
        <f aca="false">SUMPRODUCT((FC_Clase="Administración")*FC_O*((FC_Mon="PYG")*CR$19+(FC_Mon&lt;&gt;"PYG"))*(1+FC_g)^(CR$17-1)*((FC_Desde=0)*(CR$16+CR$15)+(FC_Desde&gt;=1)*(CR$14&gt;=FC_Desde)*CR$15))</f>
        <v>0</v>
      </c>
      <c r="CS61" s="34" t="n">
        <f aca="false">SUMPRODUCT((FC_Clase="Administración")*FC_O*((FC_Mon="PYG")*CS$19+(FC_Mon&lt;&gt;"PYG"))*(1+FC_g)^(CS$17-1)*((FC_Desde=0)*(CS$16+CS$15)+(FC_Desde&gt;=1)*(CS$14&gt;=FC_Desde)*CS$15))</f>
        <v>0</v>
      </c>
      <c r="CT61" s="34" t="n">
        <f aca="false">SUMPRODUCT((FC_Clase="Administración")*FC_O*((FC_Mon="PYG")*CT$19+(FC_Mon&lt;&gt;"PYG"))*(1+FC_g)^(CT$17-1)*((FC_Desde=0)*(CT$16+CT$15)+(FC_Desde&gt;=1)*(CT$14&gt;=FC_Desde)*CT$15))</f>
        <v>0</v>
      </c>
      <c r="CU61" s="34" t="n">
        <f aca="false">SUMPRODUCT((FC_Clase="Administración")*FC_O*((FC_Mon="PYG")*CU$19+(FC_Mon&lt;&gt;"PYG"))*(1+FC_g)^(CU$17-1)*((FC_Desde=0)*(CU$16+CU$15)+(FC_Desde&gt;=1)*(CU$14&gt;=FC_Desde)*CU$15))</f>
        <v>0</v>
      </c>
      <c r="CV61" s="34" t="n">
        <f aca="false">SUMPRODUCT((FC_Clase="Administración")*FC_O*((FC_Mon="PYG")*CV$19+(FC_Mon&lt;&gt;"PYG"))*(1+FC_g)^(CV$17-1)*((FC_Desde=0)*(CV$16+CV$15)+(FC_Desde&gt;=1)*(CV$14&gt;=FC_Desde)*CV$15))</f>
        <v>0</v>
      </c>
      <c r="CW61" s="34" t="n">
        <f aca="false">SUMPRODUCT((FC_Clase="Administración")*FC_O*((FC_Mon="PYG")*CW$19+(FC_Mon&lt;&gt;"PYG"))*(1+FC_g)^(CW$17-1)*((FC_Desde=0)*(CW$16+CW$15)+(FC_Desde&gt;=1)*(CW$14&gt;=FC_Desde)*CW$15))</f>
        <v>0</v>
      </c>
      <c r="CX61" s="34" t="n">
        <f aca="false">SUMPRODUCT((FC_Clase="Administración")*FC_O*((FC_Mon="PYG")*CX$19+(FC_Mon&lt;&gt;"PYG"))*(1+FC_g)^(CX$17-1)*((FC_Desde=0)*(CX$16+CX$15)+(FC_Desde&gt;=1)*(CX$14&gt;=FC_Desde)*CX$15))</f>
        <v>0</v>
      </c>
      <c r="CY61" s="34" t="n">
        <f aca="false">SUMPRODUCT((FC_Clase="Administración")*FC_O*((FC_Mon="PYG")*CY$19+(FC_Mon&lt;&gt;"PYG"))*(1+FC_g)^(CY$17-1)*((FC_Desde=0)*(CY$16+CY$15)+(FC_Desde&gt;=1)*(CY$14&gt;=FC_Desde)*CY$15))</f>
        <v>0</v>
      </c>
      <c r="CZ61" s="34" t="n">
        <f aca="false">SUMPRODUCT((FC_Clase="Administración")*FC_O*((FC_Mon="PYG")*CZ$19+(FC_Mon&lt;&gt;"PYG"))*(1+FC_g)^(CZ$17-1)*((FC_Desde=0)*(CZ$16+CZ$15)+(FC_Desde&gt;=1)*(CZ$14&gt;=FC_Desde)*CZ$15))</f>
        <v>0</v>
      </c>
      <c r="DA61" s="34" t="n">
        <f aca="false">SUMPRODUCT((FC_Clase="Administración")*FC_O*((FC_Mon="PYG")*DA$19+(FC_Mon&lt;&gt;"PYG"))*(1+FC_g)^(DA$17-1)*((FC_Desde=0)*(DA$16+DA$15)+(FC_Desde&gt;=1)*(DA$14&gt;=FC_Desde)*DA$15))</f>
        <v>0</v>
      </c>
      <c r="DB61" s="34" t="n">
        <f aca="false">SUMPRODUCT((FC_Clase="Administración")*FC_O*((FC_Mon="PYG")*DB$19+(FC_Mon&lt;&gt;"PYG"))*(1+FC_g)^(DB$17-1)*((FC_Desde=0)*(DB$16+DB$15)+(FC_Desde&gt;=1)*(DB$14&gt;=FC_Desde)*DB$15))</f>
        <v>0</v>
      </c>
      <c r="DC61" s="34" t="n">
        <f aca="false">SUMPRODUCT((FC_Clase="Administración")*FC_O*((FC_Mon="PYG")*DC$19+(FC_Mon&lt;&gt;"PYG"))*(1+FC_g)^(DC$17-1)*((FC_Desde=0)*(DC$16+DC$15)+(FC_Desde&gt;=1)*(DC$14&gt;=FC_Desde)*DC$15))</f>
        <v>0</v>
      </c>
      <c r="DD61" s="34" t="n">
        <f aca="false">SUMPRODUCT((FC_Clase="Administración")*FC_O*((FC_Mon="PYG")*DD$19+(FC_Mon&lt;&gt;"PYG"))*(1+FC_g)^(DD$17-1)*((FC_Desde=0)*(DD$16+DD$15)+(FC_Desde&gt;=1)*(DD$14&gt;=FC_Desde)*DD$15))</f>
        <v>0</v>
      </c>
      <c r="DE61" s="34" t="n">
        <f aca="false">SUMPRODUCT((FC_Clase="Administración")*FC_O*((FC_Mon="PYG")*DE$19+(FC_Mon&lt;&gt;"PYG"))*(1+FC_g)^(DE$17-1)*((FC_Desde=0)*(DE$16+DE$15)+(FC_Desde&gt;=1)*(DE$14&gt;=FC_Desde)*DE$15))</f>
        <v>0</v>
      </c>
      <c r="DF61" s="34" t="n">
        <f aca="false">SUMPRODUCT((FC_Clase="Administración")*FC_O*((FC_Mon="PYG")*DF$19+(FC_Mon&lt;&gt;"PYG"))*(1+FC_g)^(DF$17-1)*((FC_Desde=0)*(DF$16+DF$15)+(FC_Desde&gt;=1)*(DF$14&gt;=FC_Desde)*DF$15))</f>
        <v>0</v>
      </c>
      <c r="DG61" s="34" t="n">
        <f aca="false">SUMPRODUCT((FC_Clase="Administración")*FC_O*((FC_Mon="PYG")*DG$19+(FC_Mon&lt;&gt;"PYG"))*(1+FC_g)^(DG$17-1)*((FC_Desde=0)*(DG$16+DG$15)+(FC_Desde&gt;=1)*(DG$14&gt;=FC_Desde)*DG$15))</f>
        <v>0</v>
      </c>
      <c r="DH61" s="34" t="n">
        <f aca="false">SUMPRODUCT((FC_Clase="Administración")*FC_O*((FC_Mon="PYG")*DH$19+(FC_Mon&lt;&gt;"PYG"))*(1+FC_g)^(DH$17-1)*((FC_Desde=0)*(DH$16+DH$15)+(FC_Desde&gt;=1)*(DH$14&gt;=FC_Desde)*DH$15))</f>
        <v>0</v>
      </c>
      <c r="DI61" s="34" t="n">
        <f aca="false">SUMPRODUCT((FC_Clase="Administración")*FC_O*((FC_Mon="PYG")*DI$19+(FC_Mon&lt;&gt;"PYG"))*(1+FC_g)^(DI$17-1)*((FC_Desde=0)*(DI$16+DI$15)+(FC_Desde&gt;=1)*(DI$14&gt;=FC_Desde)*DI$15))</f>
        <v>0</v>
      </c>
      <c r="DJ61" s="34" t="n">
        <f aca="false">SUMPRODUCT((FC_Clase="Administración")*FC_O*((FC_Mon="PYG")*DJ$19+(FC_Mon&lt;&gt;"PYG"))*(1+FC_g)^(DJ$17-1)*((FC_Desde=0)*(DJ$16+DJ$15)+(FC_Desde&gt;=1)*(DJ$14&gt;=FC_Desde)*DJ$15))</f>
        <v>0</v>
      </c>
      <c r="DK61" s="34" t="n">
        <f aca="false">SUMPRODUCT((FC_Clase="Administración")*FC_O*((FC_Mon="PYG")*DK$19+(FC_Mon&lt;&gt;"PYG"))*(1+FC_g)^(DK$17-1)*((FC_Desde=0)*(DK$16+DK$15)+(FC_Desde&gt;=1)*(DK$14&gt;=FC_Desde)*DK$15))</f>
        <v>0</v>
      </c>
      <c r="DL61" s="34" t="n">
        <f aca="false">SUMPRODUCT((FC_Clase="Administración")*FC_O*((FC_Mon="PYG")*DL$19+(FC_Mon&lt;&gt;"PYG"))*(1+FC_g)^(DL$17-1)*((FC_Desde=0)*(DL$16+DL$15)+(FC_Desde&gt;=1)*(DL$14&gt;=FC_Desde)*DL$15))</f>
        <v>0</v>
      </c>
      <c r="DM61" s="34" t="n">
        <f aca="false">SUMPRODUCT((FC_Clase="Administración")*FC_O*((FC_Mon="PYG")*DM$19+(FC_Mon&lt;&gt;"PYG"))*(1+FC_g)^(DM$17-1)*((FC_Desde=0)*(DM$16+DM$15)+(FC_Desde&gt;=1)*(DM$14&gt;=FC_Desde)*DM$15))</f>
        <v>0</v>
      </c>
      <c r="DN61" s="34" t="n">
        <f aca="false">SUMPRODUCT((FC_Clase="Administración")*FC_O*((FC_Mon="PYG")*DN$19+(FC_Mon&lt;&gt;"PYG"))*(1+FC_g)^(DN$17-1)*((FC_Desde=0)*(DN$16+DN$15)+(FC_Desde&gt;=1)*(DN$14&gt;=FC_Desde)*DN$15))</f>
        <v>0</v>
      </c>
      <c r="DO61" s="34" t="n">
        <f aca="false">SUMPRODUCT((FC_Clase="Administración")*FC_O*((FC_Mon="PYG")*DO$19+(FC_Mon&lt;&gt;"PYG"))*(1+FC_g)^(DO$17-1)*((FC_Desde=0)*(DO$16+DO$15)+(FC_Desde&gt;=1)*(DO$14&gt;=FC_Desde)*DO$15))</f>
        <v>0</v>
      </c>
      <c r="DP61" s="34" t="n">
        <f aca="false">SUMPRODUCT((FC_Clase="Administración")*FC_O*((FC_Mon="PYG")*DP$19+(FC_Mon&lt;&gt;"PYG"))*(1+FC_g)^(DP$17-1)*((FC_Desde=0)*(DP$16+DP$15)+(FC_Desde&gt;=1)*(DP$14&gt;=FC_Desde)*DP$15))</f>
        <v>0</v>
      </c>
      <c r="DQ61" s="34" t="n">
        <f aca="false">SUMPRODUCT((FC_Clase="Administración")*FC_O*((FC_Mon="PYG")*DQ$19+(FC_Mon&lt;&gt;"PYG"))*(1+FC_g)^(DQ$17-1)*((FC_Desde=0)*(DQ$16+DQ$15)+(FC_Desde&gt;=1)*(DQ$14&gt;=FC_Desde)*DQ$15))</f>
        <v>0</v>
      </c>
      <c r="DR61" s="34" t="n">
        <f aca="false">SUMPRODUCT((FC_Clase="Administración")*FC_O*((FC_Mon="PYG")*DR$19+(FC_Mon&lt;&gt;"PYG"))*(1+FC_g)^(DR$17-1)*((FC_Desde=0)*(DR$16+DR$15)+(FC_Desde&gt;=1)*(DR$14&gt;=FC_Desde)*DR$15))</f>
        <v>0</v>
      </c>
      <c r="DS61" s="34" t="n">
        <f aca="false">SUMPRODUCT((FC_Clase="Administración")*FC_O*((FC_Mon="PYG")*DS$19+(FC_Mon&lt;&gt;"PYG"))*(1+FC_g)^(DS$17-1)*((FC_Desde=0)*(DS$16+DS$15)+(FC_Desde&gt;=1)*(DS$14&gt;=FC_Desde)*DS$15))</f>
        <v>0</v>
      </c>
      <c r="DT61" s="34" t="n">
        <f aca="false">SUMPRODUCT((FC_Clase="Administración")*FC_O*((FC_Mon="PYG")*DT$19+(FC_Mon&lt;&gt;"PYG"))*(1+FC_g)^(DT$17-1)*((FC_Desde=0)*(DT$16+DT$15)+(FC_Desde&gt;=1)*(DT$14&gt;=FC_Desde)*DT$15))</f>
        <v>0</v>
      </c>
      <c r="DU61" s="34" t="n">
        <f aca="false">SUMPRODUCT((FC_Clase="Administración")*FC_O*((FC_Mon="PYG")*DU$19+(FC_Mon&lt;&gt;"PYG"))*(1+FC_g)^(DU$17-1)*((FC_Desde=0)*(DU$16+DU$15)+(FC_Desde&gt;=1)*(DU$14&gt;=FC_Desde)*DU$15))</f>
        <v>0</v>
      </c>
      <c r="DV61" s="34" t="n">
        <f aca="false">SUMPRODUCT((FC_Clase="Administración")*FC_O*((FC_Mon="PYG")*DV$19+(FC_Mon&lt;&gt;"PYG"))*(1+FC_g)^(DV$17-1)*((FC_Desde=0)*(DV$16+DV$15)+(FC_Desde&gt;=1)*(DV$14&gt;=FC_Desde)*DV$15))</f>
        <v>0</v>
      </c>
      <c r="DW61" s="34" t="n">
        <f aca="false">SUMPRODUCT((FC_Clase="Administración")*FC_O*((FC_Mon="PYG")*DW$19+(FC_Mon&lt;&gt;"PYG"))*(1+FC_g)^(DW$17-1)*((FC_Desde=0)*(DW$16+DW$15)+(FC_Desde&gt;=1)*(DW$14&gt;=FC_Desde)*DW$15))</f>
        <v>0</v>
      </c>
      <c r="DX61" s="34" t="n">
        <f aca="false">SUMPRODUCT((FC_Clase="Administración")*FC_O*((FC_Mon="PYG")*DX$19+(FC_Mon&lt;&gt;"PYG"))*(1+FC_g)^(DX$17-1)*((FC_Desde=0)*(DX$16+DX$15)+(FC_Desde&gt;=1)*(DX$14&gt;=FC_Desde)*DX$15))</f>
        <v>0</v>
      </c>
      <c r="DY61" s="34" t="n">
        <f aca="false">SUMPRODUCT((FC_Clase="Administración")*FC_O*((FC_Mon="PYG")*DY$19+(FC_Mon&lt;&gt;"PYG"))*(1+FC_g)^(DY$17-1)*((FC_Desde=0)*(DY$16+DY$15)+(FC_Desde&gt;=1)*(DY$14&gt;=FC_Desde)*DY$15))</f>
        <v>0</v>
      </c>
      <c r="DZ61" s="34" t="n">
        <f aca="false">SUMPRODUCT((FC_Clase="Administración")*FC_O*((FC_Mon="PYG")*DZ$19+(FC_Mon&lt;&gt;"PYG"))*(1+FC_g)^(DZ$17-1)*((FC_Desde=0)*(DZ$16+DZ$15)+(FC_Desde&gt;=1)*(DZ$14&gt;=FC_Desde)*DZ$15))</f>
        <v>0</v>
      </c>
      <c r="EA61" s="34" t="n">
        <f aca="false">SUMPRODUCT((FC_Clase="Administración")*FC_O*((FC_Mon="PYG")*EA$19+(FC_Mon&lt;&gt;"PYG"))*(1+FC_g)^(EA$17-1)*((FC_Desde=0)*(EA$16+EA$15)+(FC_Desde&gt;=1)*(EA$14&gt;=FC_Desde)*EA$15))</f>
        <v>0</v>
      </c>
      <c r="EB61" s="34" t="n">
        <f aca="false">SUMPRODUCT((FC_Clase="Administración")*FC_O*((FC_Mon="PYG")*EB$19+(FC_Mon&lt;&gt;"PYG"))*(1+FC_g)^(EB$17-1)*((FC_Desde=0)*(EB$16+EB$15)+(FC_Desde&gt;=1)*(EB$14&gt;=FC_Desde)*EB$15))</f>
        <v>0</v>
      </c>
      <c r="EC61" s="34" t="n">
        <f aca="false">SUMPRODUCT((FC_Clase="Administración")*FC_O*((FC_Mon="PYG")*EC$19+(FC_Mon&lt;&gt;"PYG"))*(1+FC_g)^(EC$17-1)*((FC_Desde=0)*(EC$16+EC$15)+(FC_Desde&gt;=1)*(EC$14&gt;=FC_Desde)*EC$15))</f>
        <v>0</v>
      </c>
      <c r="ED61" s="34" t="n">
        <f aca="false">SUMPRODUCT((FC_Clase="Administración")*FC_O*((FC_Mon="PYG")*ED$19+(FC_Mon&lt;&gt;"PYG"))*(1+FC_g)^(ED$17-1)*((FC_Desde=0)*(ED$16+ED$15)+(FC_Desde&gt;=1)*(ED$14&gt;=FC_Desde)*ED$15))</f>
        <v>0</v>
      </c>
      <c r="EE61" s="34" t="n">
        <f aca="false">SUMPRODUCT((FC_Clase="Administración")*FC_O*((FC_Mon="PYG")*EE$19+(FC_Mon&lt;&gt;"PYG"))*(1+FC_g)^(EE$17-1)*((FC_Desde=0)*(EE$16+EE$15)+(FC_Desde&gt;=1)*(EE$14&gt;=FC_Desde)*EE$15))</f>
        <v>0</v>
      </c>
      <c r="EF61" s="34" t="n">
        <f aca="false">SUMPRODUCT((FC_Clase="Administración")*FC_O*((FC_Mon="PYG")*EF$19+(FC_Mon&lt;&gt;"PYG"))*(1+FC_g)^(EF$17-1)*((FC_Desde=0)*(EF$16+EF$15)+(FC_Desde&gt;=1)*(EF$14&gt;=FC_Desde)*EF$15))</f>
        <v>0</v>
      </c>
      <c r="EG61" s="34" t="n">
        <f aca="false">SUMPRODUCT((FC_Clase="Administración")*FC_O*((FC_Mon="PYG")*EG$19+(FC_Mon&lt;&gt;"PYG"))*(1+FC_g)^(EG$17-1)*((FC_Desde=0)*(EG$16+EG$15)+(FC_Desde&gt;=1)*(EG$14&gt;=FC_Desde)*EG$15))</f>
        <v>0</v>
      </c>
      <c r="EH61" s="34" t="n">
        <f aca="false">SUMPRODUCT((FC_Clase="Administración")*FC_O*((FC_Mon="PYG")*EH$19+(FC_Mon&lt;&gt;"PYG"))*(1+FC_g)^(EH$17-1)*((FC_Desde=0)*(EH$16+EH$15)+(FC_Desde&gt;=1)*(EH$14&gt;=FC_Desde)*EH$15))</f>
        <v>0</v>
      </c>
      <c r="EI61" s="34" t="n">
        <f aca="false">SUMPRODUCT((FC_Clase="Administración")*FC_O*((FC_Mon="PYG")*EI$19+(FC_Mon&lt;&gt;"PYG"))*(1+FC_g)^(EI$17-1)*((FC_Desde=0)*(EI$16+EI$15)+(FC_Desde&gt;=1)*(EI$14&gt;=FC_Desde)*EI$15))</f>
        <v>0</v>
      </c>
      <c r="EJ61" s="34" t="n">
        <f aca="false">SUMPRODUCT((FC_Clase="Administración")*FC_O*((FC_Mon="PYG")*EJ$19+(FC_Mon&lt;&gt;"PYG"))*(1+FC_g)^(EJ$17-1)*((FC_Desde=0)*(EJ$16+EJ$15)+(FC_Desde&gt;=1)*(EJ$14&gt;=FC_Desde)*EJ$15))</f>
        <v>0</v>
      </c>
      <c r="EK61" s="34" t="n">
        <f aca="false">SUMPRODUCT((FC_Clase="Administración")*FC_O*((FC_Mon="PYG")*EK$19+(FC_Mon&lt;&gt;"PYG"))*(1+FC_g)^(EK$17-1)*((FC_Desde=0)*(EK$16+EK$15)+(FC_Desde&gt;=1)*(EK$14&gt;=FC_Desde)*EK$15))</f>
        <v>0</v>
      </c>
      <c r="EL61" s="34" t="n">
        <f aca="false">SUMPRODUCT((FC_Clase="Administración")*FC_O*((FC_Mon="PYG")*EL$19+(FC_Mon&lt;&gt;"PYG"))*(1+FC_g)^(EL$17-1)*((FC_Desde=0)*(EL$16+EL$15)+(FC_Desde&gt;=1)*(EL$14&gt;=FC_Desde)*EL$15))</f>
        <v>0</v>
      </c>
      <c r="EM61" s="34" t="n">
        <f aca="false">SUMPRODUCT((FC_Clase="Administración")*FC_O*((FC_Mon="PYG")*EM$19+(FC_Mon&lt;&gt;"PYG"))*(1+FC_g)^(EM$17-1)*((FC_Desde=0)*(EM$16+EM$15)+(FC_Desde&gt;=1)*(EM$14&gt;=FC_Desde)*EM$15))</f>
        <v>0</v>
      </c>
      <c r="EN61" s="34" t="n">
        <f aca="false">SUMPRODUCT((FC_Clase="Administración")*FC_O*((FC_Mon="PYG")*EN$19+(FC_Mon&lt;&gt;"PYG"))*(1+FC_g)^(EN$17-1)*((FC_Desde=0)*(EN$16+EN$15)+(FC_Desde&gt;=1)*(EN$14&gt;=FC_Desde)*EN$15))</f>
        <v>0</v>
      </c>
      <c r="EO61" s="34" t="n">
        <f aca="false">SUMPRODUCT((FC_Clase="Administración")*FC_O*((FC_Mon="PYG")*EO$19+(FC_Mon&lt;&gt;"PYG"))*(1+FC_g)^(EO$17-1)*((FC_Desde=0)*(EO$16+EO$15)+(FC_Desde&gt;=1)*(EO$14&gt;=FC_Desde)*EO$15))</f>
        <v>0</v>
      </c>
      <c r="EP61" s="34" t="n">
        <f aca="false">SUMPRODUCT((FC_Clase="Administración")*FC_O*((FC_Mon="PYG")*EP$19+(FC_Mon&lt;&gt;"PYG"))*(1+FC_g)^(EP$17-1)*((FC_Desde=0)*(EP$16+EP$15)+(FC_Desde&gt;=1)*(EP$14&gt;=FC_Desde)*EP$15))</f>
        <v>0</v>
      </c>
      <c r="EQ61" s="34" t="n">
        <f aca="false">SUMPRODUCT((FC_Clase="Administración")*FC_O*((FC_Mon="PYG")*EQ$19+(FC_Mon&lt;&gt;"PYG"))*(1+FC_g)^(EQ$17-1)*((FC_Desde=0)*(EQ$16+EQ$15)+(FC_Desde&gt;=1)*(EQ$14&gt;=FC_Desde)*EQ$15))</f>
        <v>0</v>
      </c>
      <c r="ER61" s="34" t="n">
        <f aca="false">SUMPRODUCT((FC_Clase="Administración")*FC_O*((FC_Mon="PYG")*ER$19+(FC_Mon&lt;&gt;"PYG"))*(1+FC_g)^(ER$17-1)*((FC_Desde=0)*(ER$16+ER$15)+(FC_Desde&gt;=1)*(ER$14&gt;=FC_Desde)*ER$15))</f>
        <v>0</v>
      </c>
      <c r="ES61" s="34" t="n">
        <f aca="false">SUMPRODUCT((FC_Clase="Administración")*FC_O*((FC_Mon="PYG")*ES$19+(FC_Mon&lt;&gt;"PYG"))*(1+FC_g)^(ES$17-1)*((FC_Desde=0)*(ES$16+ES$15)+(FC_Desde&gt;=1)*(ES$14&gt;=FC_Desde)*ES$15))</f>
        <v>0</v>
      </c>
    </row>
    <row r="62" customFormat="false" ht="15" hidden="false" customHeight="false" outlineLevel="0" collapsed="false">
      <c r="A62" s="2" t="s">
        <v>489</v>
      </c>
      <c r="B62" s="6" t="s">
        <v>490</v>
      </c>
      <c r="C62" s="6" t="s">
        <v>212</v>
      </c>
      <c r="E62" s="40" t="n">
        <f aca="false">SUM(F62:ES62)</f>
        <v>0</v>
      </c>
      <c r="F62" s="34" t="n">
        <f aca="false">SUMPRODUCT((FC_Clase="Administración")*FC_Base*FC_O*((FC_Mon="PYG")*F$19+(FC_Mon&lt;&gt;"PYG"))*(1+FC_g)^(F$17-1)*((FC_Desde=0)*(F$16+F$15)+(FC_Desde&gt;=1)*(F$14&gt;=FC_Desde)*F$15))</f>
        <v>0</v>
      </c>
      <c r="G62" s="34" t="n">
        <f aca="false">SUMPRODUCT((FC_Clase="Administración")*FC_Base*FC_O*((FC_Mon="PYG")*G$19+(FC_Mon&lt;&gt;"PYG"))*(1+FC_g)^(G$17-1)*((FC_Desde=0)*(G$16+G$15)+(FC_Desde&gt;=1)*(G$14&gt;=FC_Desde)*G$15))</f>
        <v>0</v>
      </c>
      <c r="H62" s="34" t="n">
        <f aca="false">SUMPRODUCT((FC_Clase="Administración")*FC_Base*FC_O*((FC_Mon="PYG")*H$19+(FC_Mon&lt;&gt;"PYG"))*(1+FC_g)^(H$17-1)*((FC_Desde=0)*(H$16+H$15)+(FC_Desde&gt;=1)*(H$14&gt;=FC_Desde)*H$15))</f>
        <v>0</v>
      </c>
      <c r="I62" s="34" t="n">
        <f aca="false">SUMPRODUCT((FC_Clase="Administración")*FC_Base*FC_O*((FC_Mon="PYG")*I$19+(FC_Mon&lt;&gt;"PYG"))*(1+FC_g)^(I$17-1)*((FC_Desde=0)*(I$16+I$15)+(FC_Desde&gt;=1)*(I$14&gt;=FC_Desde)*I$15))</f>
        <v>0</v>
      </c>
      <c r="J62" s="34" t="n">
        <f aca="false">SUMPRODUCT((FC_Clase="Administración")*FC_Base*FC_O*((FC_Mon="PYG")*J$19+(FC_Mon&lt;&gt;"PYG"))*(1+FC_g)^(J$17-1)*((FC_Desde=0)*(J$16+J$15)+(FC_Desde&gt;=1)*(J$14&gt;=FC_Desde)*J$15))</f>
        <v>0</v>
      </c>
      <c r="K62" s="34" t="n">
        <f aca="false">SUMPRODUCT((FC_Clase="Administración")*FC_Base*FC_O*((FC_Mon="PYG")*K$19+(FC_Mon&lt;&gt;"PYG"))*(1+FC_g)^(K$17-1)*((FC_Desde=0)*(K$16+K$15)+(FC_Desde&gt;=1)*(K$14&gt;=FC_Desde)*K$15))</f>
        <v>0</v>
      </c>
      <c r="L62" s="34" t="n">
        <f aca="false">SUMPRODUCT((FC_Clase="Administración")*FC_Base*FC_O*((FC_Mon="PYG")*L$19+(FC_Mon&lt;&gt;"PYG"))*(1+FC_g)^(L$17-1)*((FC_Desde=0)*(L$16+L$15)+(FC_Desde&gt;=1)*(L$14&gt;=FC_Desde)*L$15))</f>
        <v>0</v>
      </c>
      <c r="M62" s="34" t="n">
        <f aca="false">SUMPRODUCT((FC_Clase="Administración")*FC_Base*FC_O*((FC_Mon="PYG")*M$19+(FC_Mon&lt;&gt;"PYG"))*(1+FC_g)^(M$17-1)*((FC_Desde=0)*(M$16+M$15)+(FC_Desde&gt;=1)*(M$14&gt;=FC_Desde)*M$15))</f>
        <v>0</v>
      </c>
      <c r="N62" s="34" t="n">
        <f aca="false">SUMPRODUCT((FC_Clase="Administración")*FC_Base*FC_O*((FC_Mon="PYG")*N$19+(FC_Mon&lt;&gt;"PYG"))*(1+FC_g)^(N$17-1)*((FC_Desde=0)*(N$16+N$15)+(FC_Desde&gt;=1)*(N$14&gt;=FC_Desde)*N$15))</f>
        <v>0</v>
      </c>
      <c r="O62" s="34" t="n">
        <f aca="false">SUMPRODUCT((FC_Clase="Administración")*FC_Base*FC_O*((FC_Mon="PYG")*O$19+(FC_Mon&lt;&gt;"PYG"))*(1+FC_g)^(O$17-1)*((FC_Desde=0)*(O$16+O$15)+(FC_Desde&gt;=1)*(O$14&gt;=FC_Desde)*O$15))</f>
        <v>0</v>
      </c>
      <c r="P62" s="34" t="n">
        <f aca="false">SUMPRODUCT((FC_Clase="Administración")*FC_Base*FC_O*((FC_Mon="PYG")*P$19+(FC_Mon&lt;&gt;"PYG"))*(1+FC_g)^(P$17-1)*((FC_Desde=0)*(P$16+P$15)+(FC_Desde&gt;=1)*(P$14&gt;=FC_Desde)*P$15))</f>
        <v>0</v>
      </c>
      <c r="Q62" s="34" t="n">
        <f aca="false">SUMPRODUCT((FC_Clase="Administración")*FC_Base*FC_O*((FC_Mon="PYG")*Q$19+(FC_Mon&lt;&gt;"PYG"))*(1+FC_g)^(Q$17-1)*((FC_Desde=0)*(Q$16+Q$15)+(FC_Desde&gt;=1)*(Q$14&gt;=FC_Desde)*Q$15))</f>
        <v>0</v>
      </c>
      <c r="R62" s="34" t="n">
        <f aca="false">SUMPRODUCT((FC_Clase="Administración")*FC_Base*FC_O*((FC_Mon="PYG")*R$19+(FC_Mon&lt;&gt;"PYG"))*(1+FC_g)^(R$17-1)*((FC_Desde=0)*(R$16+R$15)+(FC_Desde&gt;=1)*(R$14&gt;=FC_Desde)*R$15))</f>
        <v>0</v>
      </c>
      <c r="S62" s="34" t="n">
        <f aca="false">SUMPRODUCT((FC_Clase="Administración")*FC_Base*FC_O*((FC_Mon="PYG")*S$19+(FC_Mon&lt;&gt;"PYG"))*(1+FC_g)^(S$17-1)*((FC_Desde=0)*(S$16+S$15)+(FC_Desde&gt;=1)*(S$14&gt;=FC_Desde)*S$15))</f>
        <v>0</v>
      </c>
      <c r="T62" s="34" t="n">
        <f aca="false">SUMPRODUCT((FC_Clase="Administración")*FC_Base*FC_O*((FC_Mon="PYG")*T$19+(FC_Mon&lt;&gt;"PYG"))*(1+FC_g)^(T$17-1)*((FC_Desde=0)*(T$16+T$15)+(FC_Desde&gt;=1)*(T$14&gt;=FC_Desde)*T$15))</f>
        <v>0</v>
      </c>
      <c r="U62" s="34" t="n">
        <f aca="false">SUMPRODUCT((FC_Clase="Administración")*FC_Base*FC_O*((FC_Mon="PYG")*U$19+(FC_Mon&lt;&gt;"PYG"))*(1+FC_g)^(U$17-1)*((FC_Desde=0)*(U$16+U$15)+(FC_Desde&gt;=1)*(U$14&gt;=FC_Desde)*U$15))</f>
        <v>0</v>
      </c>
      <c r="V62" s="34" t="n">
        <f aca="false">SUMPRODUCT((FC_Clase="Administración")*FC_Base*FC_O*((FC_Mon="PYG")*V$19+(FC_Mon&lt;&gt;"PYG"))*(1+FC_g)^(V$17-1)*((FC_Desde=0)*(V$16+V$15)+(FC_Desde&gt;=1)*(V$14&gt;=FC_Desde)*V$15))</f>
        <v>0</v>
      </c>
      <c r="W62" s="34" t="n">
        <f aca="false">SUMPRODUCT((FC_Clase="Administración")*FC_Base*FC_O*((FC_Mon="PYG")*W$19+(FC_Mon&lt;&gt;"PYG"))*(1+FC_g)^(W$17-1)*((FC_Desde=0)*(W$16+W$15)+(FC_Desde&gt;=1)*(W$14&gt;=FC_Desde)*W$15))</f>
        <v>0</v>
      </c>
      <c r="X62" s="34" t="n">
        <f aca="false">SUMPRODUCT((FC_Clase="Administración")*FC_Base*FC_O*((FC_Mon="PYG")*X$19+(FC_Mon&lt;&gt;"PYG"))*(1+FC_g)^(X$17-1)*((FC_Desde=0)*(X$16+X$15)+(FC_Desde&gt;=1)*(X$14&gt;=FC_Desde)*X$15))</f>
        <v>0</v>
      </c>
      <c r="Y62" s="34" t="n">
        <f aca="false">SUMPRODUCT((FC_Clase="Administración")*FC_Base*FC_O*((FC_Mon="PYG")*Y$19+(FC_Mon&lt;&gt;"PYG"))*(1+FC_g)^(Y$17-1)*((FC_Desde=0)*(Y$16+Y$15)+(FC_Desde&gt;=1)*(Y$14&gt;=FC_Desde)*Y$15))</f>
        <v>0</v>
      </c>
      <c r="Z62" s="34" t="n">
        <f aca="false">SUMPRODUCT((FC_Clase="Administración")*FC_Base*FC_O*((FC_Mon="PYG")*Z$19+(FC_Mon&lt;&gt;"PYG"))*(1+FC_g)^(Z$17-1)*((FC_Desde=0)*(Z$16+Z$15)+(FC_Desde&gt;=1)*(Z$14&gt;=FC_Desde)*Z$15))</f>
        <v>0</v>
      </c>
      <c r="AA62" s="34" t="n">
        <f aca="false">SUMPRODUCT((FC_Clase="Administración")*FC_Base*FC_O*((FC_Mon="PYG")*AA$19+(FC_Mon&lt;&gt;"PYG"))*(1+FC_g)^(AA$17-1)*((FC_Desde=0)*(AA$16+AA$15)+(FC_Desde&gt;=1)*(AA$14&gt;=FC_Desde)*AA$15))</f>
        <v>0</v>
      </c>
      <c r="AB62" s="34" t="n">
        <f aca="false">SUMPRODUCT((FC_Clase="Administración")*FC_Base*FC_O*((FC_Mon="PYG")*AB$19+(FC_Mon&lt;&gt;"PYG"))*(1+FC_g)^(AB$17-1)*((FC_Desde=0)*(AB$16+AB$15)+(FC_Desde&gt;=1)*(AB$14&gt;=FC_Desde)*AB$15))</f>
        <v>0</v>
      </c>
      <c r="AC62" s="34" t="n">
        <f aca="false">SUMPRODUCT((FC_Clase="Administración")*FC_Base*FC_O*((FC_Mon="PYG")*AC$19+(FC_Mon&lt;&gt;"PYG"))*(1+FC_g)^(AC$17-1)*((FC_Desde=0)*(AC$16+AC$15)+(FC_Desde&gt;=1)*(AC$14&gt;=FC_Desde)*AC$15))</f>
        <v>0</v>
      </c>
      <c r="AD62" s="34" t="n">
        <f aca="false">SUMPRODUCT((FC_Clase="Administración")*FC_Base*FC_O*((FC_Mon="PYG")*AD$19+(FC_Mon&lt;&gt;"PYG"))*(1+FC_g)^(AD$17-1)*((FC_Desde=0)*(AD$16+AD$15)+(FC_Desde&gt;=1)*(AD$14&gt;=FC_Desde)*AD$15))</f>
        <v>0</v>
      </c>
      <c r="AE62" s="34" t="n">
        <f aca="false">SUMPRODUCT((FC_Clase="Administración")*FC_Base*FC_O*((FC_Mon="PYG")*AE$19+(FC_Mon&lt;&gt;"PYG"))*(1+FC_g)^(AE$17-1)*((FC_Desde=0)*(AE$16+AE$15)+(FC_Desde&gt;=1)*(AE$14&gt;=FC_Desde)*AE$15))</f>
        <v>0</v>
      </c>
      <c r="AF62" s="34" t="n">
        <f aca="false">SUMPRODUCT((FC_Clase="Administración")*FC_Base*FC_O*((FC_Mon="PYG")*AF$19+(FC_Mon&lt;&gt;"PYG"))*(1+FC_g)^(AF$17-1)*((FC_Desde=0)*(AF$16+AF$15)+(FC_Desde&gt;=1)*(AF$14&gt;=FC_Desde)*AF$15))</f>
        <v>0</v>
      </c>
      <c r="AG62" s="34" t="n">
        <f aca="false">SUMPRODUCT((FC_Clase="Administración")*FC_Base*FC_O*((FC_Mon="PYG")*AG$19+(FC_Mon&lt;&gt;"PYG"))*(1+FC_g)^(AG$17-1)*((FC_Desde=0)*(AG$16+AG$15)+(FC_Desde&gt;=1)*(AG$14&gt;=FC_Desde)*AG$15))</f>
        <v>0</v>
      </c>
      <c r="AH62" s="34" t="n">
        <f aca="false">SUMPRODUCT((FC_Clase="Administración")*FC_Base*FC_O*((FC_Mon="PYG")*AH$19+(FC_Mon&lt;&gt;"PYG"))*(1+FC_g)^(AH$17-1)*((FC_Desde=0)*(AH$16+AH$15)+(FC_Desde&gt;=1)*(AH$14&gt;=FC_Desde)*AH$15))</f>
        <v>0</v>
      </c>
      <c r="AI62" s="34" t="n">
        <f aca="false">SUMPRODUCT((FC_Clase="Administración")*FC_Base*FC_O*((FC_Mon="PYG")*AI$19+(FC_Mon&lt;&gt;"PYG"))*(1+FC_g)^(AI$17-1)*((FC_Desde=0)*(AI$16+AI$15)+(FC_Desde&gt;=1)*(AI$14&gt;=FC_Desde)*AI$15))</f>
        <v>0</v>
      </c>
      <c r="AJ62" s="34" t="n">
        <f aca="false">SUMPRODUCT((FC_Clase="Administración")*FC_Base*FC_O*((FC_Mon="PYG")*AJ$19+(FC_Mon&lt;&gt;"PYG"))*(1+FC_g)^(AJ$17-1)*((FC_Desde=0)*(AJ$16+AJ$15)+(FC_Desde&gt;=1)*(AJ$14&gt;=FC_Desde)*AJ$15))</f>
        <v>0</v>
      </c>
      <c r="AK62" s="34" t="n">
        <f aca="false">SUMPRODUCT((FC_Clase="Administración")*FC_Base*FC_O*((FC_Mon="PYG")*AK$19+(FC_Mon&lt;&gt;"PYG"))*(1+FC_g)^(AK$17-1)*((FC_Desde=0)*(AK$16+AK$15)+(FC_Desde&gt;=1)*(AK$14&gt;=FC_Desde)*AK$15))</f>
        <v>0</v>
      </c>
      <c r="AL62" s="34" t="n">
        <f aca="false">SUMPRODUCT((FC_Clase="Administración")*FC_Base*FC_O*((FC_Mon="PYG")*AL$19+(FC_Mon&lt;&gt;"PYG"))*(1+FC_g)^(AL$17-1)*((FC_Desde=0)*(AL$16+AL$15)+(FC_Desde&gt;=1)*(AL$14&gt;=FC_Desde)*AL$15))</f>
        <v>0</v>
      </c>
      <c r="AM62" s="34" t="n">
        <f aca="false">SUMPRODUCT((FC_Clase="Administración")*FC_Base*FC_O*((FC_Mon="PYG")*AM$19+(FC_Mon&lt;&gt;"PYG"))*(1+FC_g)^(AM$17-1)*((FC_Desde=0)*(AM$16+AM$15)+(FC_Desde&gt;=1)*(AM$14&gt;=FC_Desde)*AM$15))</f>
        <v>0</v>
      </c>
      <c r="AN62" s="34" t="n">
        <f aca="false">SUMPRODUCT((FC_Clase="Administración")*FC_Base*FC_O*((FC_Mon="PYG")*AN$19+(FC_Mon&lt;&gt;"PYG"))*(1+FC_g)^(AN$17-1)*((FC_Desde=0)*(AN$16+AN$15)+(FC_Desde&gt;=1)*(AN$14&gt;=FC_Desde)*AN$15))</f>
        <v>0</v>
      </c>
      <c r="AO62" s="34" t="n">
        <f aca="false">SUMPRODUCT((FC_Clase="Administración")*FC_Base*FC_O*((FC_Mon="PYG")*AO$19+(FC_Mon&lt;&gt;"PYG"))*(1+FC_g)^(AO$17-1)*((FC_Desde=0)*(AO$16+AO$15)+(FC_Desde&gt;=1)*(AO$14&gt;=FC_Desde)*AO$15))</f>
        <v>0</v>
      </c>
      <c r="AP62" s="34" t="n">
        <f aca="false">SUMPRODUCT((FC_Clase="Administración")*FC_Base*FC_O*((FC_Mon="PYG")*AP$19+(FC_Mon&lt;&gt;"PYG"))*(1+FC_g)^(AP$17-1)*((FC_Desde=0)*(AP$16+AP$15)+(FC_Desde&gt;=1)*(AP$14&gt;=FC_Desde)*AP$15))</f>
        <v>0</v>
      </c>
      <c r="AQ62" s="34" t="n">
        <f aca="false">SUMPRODUCT((FC_Clase="Administración")*FC_Base*FC_O*((FC_Mon="PYG")*AQ$19+(FC_Mon&lt;&gt;"PYG"))*(1+FC_g)^(AQ$17-1)*((FC_Desde=0)*(AQ$16+AQ$15)+(FC_Desde&gt;=1)*(AQ$14&gt;=FC_Desde)*AQ$15))</f>
        <v>0</v>
      </c>
      <c r="AR62" s="34" t="n">
        <f aca="false">SUMPRODUCT((FC_Clase="Administración")*FC_Base*FC_O*((FC_Mon="PYG")*AR$19+(FC_Mon&lt;&gt;"PYG"))*(1+FC_g)^(AR$17-1)*((FC_Desde=0)*(AR$16+AR$15)+(FC_Desde&gt;=1)*(AR$14&gt;=FC_Desde)*AR$15))</f>
        <v>0</v>
      </c>
      <c r="AS62" s="34" t="n">
        <f aca="false">SUMPRODUCT((FC_Clase="Administración")*FC_Base*FC_O*((FC_Mon="PYG")*AS$19+(FC_Mon&lt;&gt;"PYG"))*(1+FC_g)^(AS$17-1)*((FC_Desde=0)*(AS$16+AS$15)+(FC_Desde&gt;=1)*(AS$14&gt;=FC_Desde)*AS$15))</f>
        <v>0</v>
      </c>
      <c r="AT62" s="34" t="n">
        <f aca="false">SUMPRODUCT((FC_Clase="Administración")*FC_Base*FC_O*((FC_Mon="PYG")*AT$19+(FC_Mon&lt;&gt;"PYG"))*(1+FC_g)^(AT$17-1)*((FC_Desde=0)*(AT$16+AT$15)+(FC_Desde&gt;=1)*(AT$14&gt;=FC_Desde)*AT$15))</f>
        <v>0</v>
      </c>
      <c r="AU62" s="34" t="n">
        <f aca="false">SUMPRODUCT((FC_Clase="Administración")*FC_Base*FC_O*((FC_Mon="PYG")*AU$19+(FC_Mon&lt;&gt;"PYG"))*(1+FC_g)^(AU$17-1)*((FC_Desde=0)*(AU$16+AU$15)+(FC_Desde&gt;=1)*(AU$14&gt;=FC_Desde)*AU$15))</f>
        <v>0</v>
      </c>
      <c r="AV62" s="34" t="n">
        <f aca="false">SUMPRODUCT((FC_Clase="Administración")*FC_Base*FC_O*((FC_Mon="PYG")*AV$19+(FC_Mon&lt;&gt;"PYG"))*(1+FC_g)^(AV$17-1)*((FC_Desde=0)*(AV$16+AV$15)+(FC_Desde&gt;=1)*(AV$14&gt;=FC_Desde)*AV$15))</f>
        <v>0</v>
      </c>
      <c r="AW62" s="34" t="n">
        <f aca="false">SUMPRODUCT((FC_Clase="Administración")*FC_Base*FC_O*((FC_Mon="PYG")*AW$19+(FC_Mon&lt;&gt;"PYG"))*(1+FC_g)^(AW$17-1)*((FC_Desde=0)*(AW$16+AW$15)+(FC_Desde&gt;=1)*(AW$14&gt;=FC_Desde)*AW$15))</f>
        <v>0</v>
      </c>
      <c r="AX62" s="34" t="n">
        <f aca="false">SUMPRODUCT((FC_Clase="Administración")*FC_Base*FC_O*((FC_Mon="PYG")*AX$19+(FC_Mon&lt;&gt;"PYG"))*(1+FC_g)^(AX$17-1)*((FC_Desde=0)*(AX$16+AX$15)+(FC_Desde&gt;=1)*(AX$14&gt;=FC_Desde)*AX$15))</f>
        <v>0</v>
      </c>
      <c r="AY62" s="34" t="n">
        <f aca="false">SUMPRODUCT((FC_Clase="Administración")*FC_Base*FC_O*((FC_Mon="PYG")*AY$19+(FC_Mon&lt;&gt;"PYG"))*(1+FC_g)^(AY$17-1)*((FC_Desde=0)*(AY$16+AY$15)+(FC_Desde&gt;=1)*(AY$14&gt;=FC_Desde)*AY$15))</f>
        <v>0</v>
      </c>
      <c r="AZ62" s="34" t="n">
        <f aca="false">SUMPRODUCT((FC_Clase="Administración")*FC_Base*FC_O*((FC_Mon="PYG")*AZ$19+(FC_Mon&lt;&gt;"PYG"))*(1+FC_g)^(AZ$17-1)*((FC_Desde=0)*(AZ$16+AZ$15)+(FC_Desde&gt;=1)*(AZ$14&gt;=FC_Desde)*AZ$15))</f>
        <v>0</v>
      </c>
      <c r="BA62" s="34" t="n">
        <f aca="false">SUMPRODUCT((FC_Clase="Administración")*FC_Base*FC_O*((FC_Mon="PYG")*BA$19+(FC_Mon&lt;&gt;"PYG"))*(1+FC_g)^(BA$17-1)*((FC_Desde=0)*(BA$16+BA$15)+(FC_Desde&gt;=1)*(BA$14&gt;=FC_Desde)*BA$15))</f>
        <v>0</v>
      </c>
      <c r="BB62" s="34" t="n">
        <f aca="false">SUMPRODUCT((FC_Clase="Administración")*FC_Base*FC_O*((FC_Mon="PYG")*BB$19+(FC_Mon&lt;&gt;"PYG"))*(1+FC_g)^(BB$17-1)*((FC_Desde=0)*(BB$16+BB$15)+(FC_Desde&gt;=1)*(BB$14&gt;=FC_Desde)*BB$15))</f>
        <v>0</v>
      </c>
      <c r="BC62" s="34" t="n">
        <f aca="false">SUMPRODUCT((FC_Clase="Administración")*FC_Base*FC_O*((FC_Mon="PYG")*BC$19+(FC_Mon&lt;&gt;"PYG"))*(1+FC_g)^(BC$17-1)*((FC_Desde=0)*(BC$16+BC$15)+(FC_Desde&gt;=1)*(BC$14&gt;=FC_Desde)*BC$15))</f>
        <v>0</v>
      </c>
      <c r="BD62" s="34" t="n">
        <f aca="false">SUMPRODUCT((FC_Clase="Administración")*FC_Base*FC_O*((FC_Mon="PYG")*BD$19+(FC_Mon&lt;&gt;"PYG"))*(1+FC_g)^(BD$17-1)*((FC_Desde=0)*(BD$16+BD$15)+(FC_Desde&gt;=1)*(BD$14&gt;=FC_Desde)*BD$15))</f>
        <v>0</v>
      </c>
      <c r="BE62" s="34" t="n">
        <f aca="false">SUMPRODUCT((FC_Clase="Administración")*FC_Base*FC_O*((FC_Mon="PYG")*BE$19+(FC_Mon&lt;&gt;"PYG"))*(1+FC_g)^(BE$17-1)*((FC_Desde=0)*(BE$16+BE$15)+(FC_Desde&gt;=1)*(BE$14&gt;=FC_Desde)*BE$15))</f>
        <v>0</v>
      </c>
      <c r="BF62" s="34" t="n">
        <f aca="false">SUMPRODUCT((FC_Clase="Administración")*FC_Base*FC_O*((FC_Mon="PYG")*BF$19+(FC_Mon&lt;&gt;"PYG"))*(1+FC_g)^(BF$17-1)*((FC_Desde=0)*(BF$16+BF$15)+(FC_Desde&gt;=1)*(BF$14&gt;=FC_Desde)*BF$15))</f>
        <v>0</v>
      </c>
      <c r="BG62" s="34" t="n">
        <f aca="false">SUMPRODUCT((FC_Clase="Administración")*FC_Base*FC_O*((FC_Mon="PYG")*BG$19+(FC_Mon&lt;&gt;"PYG"))*(1+FC_g)^(BG$17-1)*((FC_Desde=0)*(BG$16+BG$15)+(FC_Desde&gt;=1)*(BG$14&gt;=FC_Desde)*BG$15))</f>
        <v>0</v>
      </c>
      <c r="BH62" s="34" t="n">
        <f aca="false">SUMPRODUCT((FC_Clase="Administración")*FC_Base*FC_O*((FC_Mon="PYG")*BH$19+(FC_Mon&lt;&gt;"PYG"))*(1+FC_g)^(BH$17-1)*((FC_Desde=0)*(BH$16+BH$15)+(FC_Desde&gt;=1)*(BH$14&gt;=FC_Desde)*BH$15))</f>
        <v>0</v>
      </c>
      <c r="BI62" s="34" t="n">
        <f aca="false">SUMPRODUCT((FC_Clase="Administración")*FC_Base*FC_O*((FC_Mon="PYG")*BI$19+(FC_Mon&lt;&gt;"PYG"))*(1+FC_g)^(BI$17-1)*((FC_Desde=0)*(BI$16+BI$15)+(FC_Desde&gt;=1)*(BI$14&gt;=FC_Desde)*BI$15))</f>
        <v>0</v>
      </c>
      <c r="BJ62" s="34" t="n">
        <f aca="false">SUMPRODUCT((FC_Clase="Administración")*FC_Base*FC_O*((FC_Mon="PYG")*BJ$19+(FC_Mon&lt;&gt;"PYG"))*(1+FC_g)^(BJ$17-1)*((FC_Desde=0)*(BJ$16+BJ$15)+(FC_Desde&gt;=1)*(BJ$14&gt;=FC_Desde)*BJ$15))</f>
        <v>0</v>
      </c>
      <c r="BK62" s="34" t="n">
        <f aca="false">SUMPRODUCT((FC_Clase="Administración")*FC_Base*FC_O*((FC_Mon="PYG")*BK$19+(FC_Mon&lt;&gt;"PYG"))*(1+FC_g)^(BK$17-1)*((FC_Desde=0)*(BK$16+BK$15)+(FC_Desde&gt;=1)*(BK$14&gt;=FC_Desde)*BK$15))</f>
        <v>0</v>
      </c>
      <c r="BL62" s="34" t="n">
        <f aca="false">SUMPRODUCT((FC_Clase="Administración")*FC_Base*FC_O*((FC_Mon="PYG")*BL$19+(FC_Mon&lt;&gt;"PYG"))*(1+FC_g)^(BL$17-1)*((FC_Desde=0)*(BL$16+BL$15)+(FC_Desde&gt;=1)*(BL$14&gt;=FC_Desde)*BL$15))</f>
        <v>0</v>
      </c>
      <c r="BM62" s="34" t="n">
        <f aca="false">SUMPRODUCT((FC_Clase="Administración")*FC_Base*FC_O*((FC_Mon="PYG")*BM$19+(FC_Mon&lt;&gt;"PYG"))*(1+FC_g)^(BM$17-1)*((FC_Desde=0)*(BM$16+BM$15)+(FC_Desde&gt;=1)*(BM$14&gt;=FC_Desde)*BM$15))</f>
        <v>0</v>
      </c>
      <c r="BN62" s="34" t="n">
        <f aca="false">SUMPRODUCT((FC_Clase="Administración")*FC_Base*FC_O*((FC_Mon="PYG")*BN$19+(FC_Mon&lt;&gt;"PYG"))*(1+FC_g)^(BN$17-1)*((FC_Desde=0)*(BN$16+BN$15)+(FC_Desde&gt;=1)*(BN$14&gt;=FC_Desde)*BN$15))</f>
        <v>0</v>
      </c>
      <c r="BO62" s="34" t="n">
        <f aca="false">SUMPRODUCT((FC_Clase="Administración")*FC_Base*FC_O*((FC_Mon="PYG")*BO$19+(FC_Mon&lt;&gt;"PYG"))*(1+FC_g)^(BO$17-1)*((FC_Desde=0)*(BO$16+BO$15)+(FC_Desde&gt;=1)*(BO$14&gt;=FC_Desde)*BO$15))</f>
        <v>0</v>
      </c>
      <c r="BP62" s="34" t="n">
        <f aca="false">SUMPRODUCT((FC_Clase="Administración")*FC_Base*FC_O*((FC_Mon="PYG")*BP$19+(FC_Mon&lt;&gt;"PYG"))*(1+FC_g)^(BP$17-1)*((FC_Desde=0)*(BP$16+BP$15)+(FC_Desde&gt;=1)*(BP$14&gt;=FC_Desde)*BP$15))</f>
        <v>0</v>
      </c>
      <c r="BQ62" s="34" t="n">
        <f aca="false">SUMPRODUCT((FC_Clase="Administración")*FC_Base*FC_O*((FC_Mon="PYG")*BQ$19+(FC_Mon&lt;&gt;"PYG"))*(1+FC_g)^(BQ$17-1)*((FC_Desde=0)*(BQ$16+BQ$15)+(FC_Desde&gt;=1)*(BQ$14&gt;=FC_Desde)*BQ$15))</f>
        <v>0</v>
      </c>
      <c r="BR62" s="34" t="n">
        <f aca="false">SUMPRODUCT((FC_Clase="Administración")*FC_Base*FC_O*((FC_Mon="PYG")*BR$19+(FC_Mon&lt;&gt;"PYG"))*(1+FC_g)^(BR$17-1)*((FC_Desde=0)*(BR$16+BR$15)+(FC_Desde&gt;=1)*(BR$14&gt;=FC_Desde)*BR$15))</f>
        <v>0</v>
      </c>
      <c r="BS62" s="34" t="n">
        <f aca="false">SUMPRODUCT((FC_Clase="Administración")*FC_Base*FC_O*((FC_Mon="PYG")*BS$19+(FC_Mon&lt;&gt;"PYG"))*(1+FC_g)^(BS$17-1)*((FC_Desde=0)*(BS$16+BS$15)+(FC_Desde&gt;=1)*(BS$14&gt;=FC_Desde)*BS$15))</f>
        <v>0</v>
      </c>
      <c r="BT62" s="34" t="n">
        <f aca="false">SUMPRODUCT((FC_Clase="Administración")*FC_Base*FC_O*((FC_Mon="PYG")*BT$19+(FC_Mon&lt;&gt;"PYG"))*(1+FC_g)^(BT$17-1)*((FC_Desde=0)*(BT$16+BT$15)+(FC_Desde&gt;=1)*(BT$14&gt;=FC_Desde)*BT$15))</f>
        <v>0</v>
      </c>
      <c r="BU62" s="34" t="n">
        <f aca="false">SUMPRODUCT((FC_Clase="Administración")*FC_Base*FC_O*((FC_Mon="PYG")*BU$19+(FC_Mon&lt;&gt;"PYG"))*(1+FC_g)^(BU$17-1)*((FC_Desde=0)*(BU$16+BU$15)+(FC_Desde&gt;=1)*(BU$14&gt;=FC_Desde)*BU$15))</f>
        <v>0</v>
      </c>
      <c r="BV62" s="34" t="n">
        <f aca="false">SUMPRODUCT((FC_Clase="Administración")*FC_Base*FC_O*((FC_Mon="PYG")*BV$19+(FC_Mon&lt;&gt;"PYG"))*(1+FC_g)^(BV$17-1)*((FC_Desde=0)*(BV$16+BV$15)+(FC_Desde&gt;=1)*(BV$14&gt;=FC_Desde)*BV$15))</f>
        <v>0</v>
      </c>
      <c r="BW62" s="34" t="n">
        <f aca="false">SUMPRODUCT((FC_Clase="Administración")*FC_Base*FC_O*((FC_Mon="PYG")*BW$19+(FC_Mon&lt;&gt;"PYG"))*(1+FC_g)^(BW$17-1)*((FC_Desde=0)*(BW$16+BW$15)+(FC_Desde&gt;=1)*(BW$14&gt;=FC_Desde)*BW$15))</f>
        <v>0</v>
      </c>
      <c r="BX62" s="34" t="n">
        <f aca="false">SUMPRODUCT((FC_Clase="Administración")*FC_Base*FC_O*((FC_Mon="PYG")*BX$19+(FC_Mon&lt;&gt;"PYG"))*(1+FC_g)^(BX$17-1)*((FC_Desde=0)*(BX$16+BX$15)+(FC_Desde&gt;=1)*(BX$14&gt;=FC_Desde)*BX$15))</f>
        <v>0</v>
      </c>
      <c r="BY62" s="34" t="n">
        <f aca="false">SUMPRODUCT((FC_Clase="Administración")*FC_Base*FC_O*((FC_Mon="PYG")*BY$19+(FC_Mon&lt;&gt;"PYG"))*(1+FC_g)^(BY$17-1)*((FC_Desde=0)*(BY$16+BY$15)+(FC_Desde&gt;=1)*(BY$14&gt;=FC_Desde)*BY$15))</f>
        <v>0</v>
      </c>
      <c r="BZ62" s="34" t="n">
        <f aca="false">SUMPRODUCT((FC_Clase="Administración")*FC_Base*FC_O*((FC_Mon="PYG")*BZ$19+(FC_Mon&lt;&gt;"PYG"))*(1+FC_g)^(BZ$17-1)*((FC_Desde=0)*(BZ$16+BZ$15)+(FC_Desde&gt;=1)*(BZ$14&gt;=FC_Desde)*BZ$15))</f>
        <v>0</v>
      </c>
      <c r="CA62" s="34" t="n">
        <f aca="false">SUMPRODUCT((FC_Clase="Administración")*FC_Base*FC_O*((FC_Mon="PYG")*CA$19+(FC_Mon&lt;&gt;"PYG"))*(1+FC_g)^(CA$17-1)*((FC_Desde=0)*(CA$16+CA$15)+(FC_Desde&gt;=1)*(CA$14&gt;=FC_Desde)*CA$15))</f>
        <v>0</v>
      </c>
      <c r="CB62" s="34" t="n">
        <f aca="false">SUMPRODUCT((FC_Clase="Administración")*FC_Base*FC_O*((FC_Mon="PYG")*CB$19+(FC_Mon&lt;&gt;"PYG"))*(1+FC_g)^(CB$17-1)*((FC_Desde=0)*(CB$16+CB$15)+(FC_Desde&gt;=1)*(CB$14&gt;=FC_Desde)*CB$15))</f>
        <v>0</v>
      </c>
      <c r="CC62" s="34" t="n">
        <f aca="false">SUMPRODUCT((FC_Clase="Administración")*FC_Base*FC_O*((FC_Mon="PYG")*CC$19+(FC_Mon&lt;&gt;"PYG"))*(1+FC_g)^(CC$17-1)*((FC_Desde=0)*(CC$16+CC$15)+(FC_Desde&gt;=1)*(CC$14&gt;=FC_Desde)*CC$15))</f>
        <v>0</v>
      </c>
      <c r="CD62" s="34" t="n">
        <f aca="false">SUMPRODUCT((FC_Clase="Administración")*FC_Base*FC_O*((FC_Mon="PYG")*CD$19+(FC_Mon&lt;&gt;"PYG"))*(1+FC_g)^(CD$17-1)*((FC_Desde=0)*(CD$16+CD$15)+(FC_Desde&gt;=1)*(CD$14&gt;=FC_Desde)*CD$15))</f>
        <v>0</v>
      </c>
      <c r="CE62" s="34" t="n">
        <f aca="false">SUMPRODUCT((FC_Clase="Administración")*FC_Base*FC_O*((FC_Mon="PYG")*CE$19+(FC_Mon&lt;&gt;"PYG"))*(1+FC_g)^(CE$17-1)*((FC_Desde=0)*(CE$16+CE$15)+(FC_Desde&gt;=1)*(CE$14&gt;=FC_Desde)*CE$15))</f>
        <v>0</v>
      </c>
      <c r="CF62" s="34" t="n">
        <f aca="false">SUMPRODUCT((FC_Clase="Administración")*FC_Base*FC_O*((FC_Mon="PYG")*CF$19+(FC_Mon&lt;&gt;"PYG"))*(1+FC_g)^(CF$17-1)*((FC_Desde=0)*(CF$16+CF$15)+(FC_Desde&gt;=1)*(CF$14&gt;=FC_Desde)*CF$15))</f>
        <v>0</v>
      </c>
      <c r="CG62" s="34" t="n">
        <f aca="false">SUMPRODUCT((FC_Clase="Administración")*FC_Base*FC_O*((FC_Mon="PYG")*CG$19+(FC_Mon&lt;&gt;"PYG"))*(1+FC_g)^(CG$17-1)*((FC_Desde=0)*(CG$16+CG$15)+(FC_Desde&gt;=1)*(CG$14&gt;=FC_Desde)*CG$15))</f>
        <v>0</v>
      </c>
      <c r="CH62" s="34" t="n">
        <f aca="false">SUMPRODUCT((FC_Clase="Administración")*FC_Base*FC_O*((FC_Mon="PYG")*CH$19+(FC_Mon&lt;&gt;"PYG"))*(1+FC_g)^(CH$17-1)*((FC_Desde=0)*(CH$16+CH$15)+(FC_Desde&gt;=1)*(CH$14&gt;=FC_Desde)*CH$15))</f>
        <v>0</v>
      </c>
      <c r="CI62" s="34" t="n">
        <f aca="false">SUMPRODUCT((FC_Clase="Administración")*FC_Base*FC_O*((FC_Mon="PYG")*CI$19+(FC_Mon&lt;&gt;"PYG"))*(1+FC_g)^(CI$17-1)*((FC_Desde=0)*(CI$16+CI$15)+(FC_Desde&gt;=1)*(CI$14&gt;=FC_Desde)*CI$15))</f>
        <v>0</v>
      </c>
      <c r="CJ62" s="34" t="n">
        <f aca="false">SUMPRODUCT((FC_Clase="Administración")*FC_Base*FC_O*((FC_Mon="PYG")*CJ$19+(FC_Mon&lt;&gt;"PYG"))*(1+FC_g)^(CJ$17-1)*((FC_Desde=0)*(CJ$16+CJ$15)+(FC_Desde&gt;=1)*(CJ$14&gt;=FC_Desde)*CJ$15))</f>
        <v>0</v>
      </c>
      <c r="CK62" s="34" t="n">
        <f aca="false">SUMPRODUCT((FC_Clase="Administración")*FC_Base*FC_O*((FC_Mon="PYG")*CK$19+(FC_Mon&lt;&gt;"PYG"))*(1+FC_g)^(CK$17-1)*((FC_Desde=0)*(CK$16+CK$15)+(FC_Desde&gt;=1)*(CK$14&gt;=FC_Desde)*CK$15))</f>
        <v>0</v>
      </c>
      <c r="CL62" s="34" t="n">
        <f aca="false">SUMPRODUCT((FC_Clase="Administración")*FC_Base*FC_O*((FC_Mon="PYG")*CL$19+(FC_Mon&lt;&gt;"PYG"))*(1+FC_g)^(CL$17-1)*((FC_Desde=0)*(CL$16+CL$15)+(FC_Desde&gt;=1)*(CL$14&gt;=FC_Desde)*CL$15))</f>
        <v>0</v>
      </c>
      <c r="CM62" s="34" t="n">
        <f aca="false">SUMPRODUCT((FC_Clase="Administración")*FC_Base*FC_O*((FC_Mon="PYG")*CM$19+(FC_Mon&lt;&gt;"PYG"))*(1+FC_g)^(CM$17-1)*((FC_Desde=0)*(CM$16+CM$15)+(FC_Desde&gt;=1)*(CM$14&gt;=FC_Desde)*CM$15))</f>
        <v>0</v>
      </c>
      <c r="CN62" s="34" t="n">
        <f aca="false">SUMPRODUCT((FC_Clase="Administración")*FC_Base*FC_O*((FC_Mon="PYG")*CN$19+(FC_Mon&lt;&gt;"PYG"))*(1+FC_g)^(CN$17-1)*((FC_Desde=0)*(CN$16+CN$15)+(FC_Desde&gt;=1)*(CN$14&gt;=FC_Desde)*CN$15))</f>
        <v>0</v>
      </c>
      <c r="CO62" s="34" t="n">
        <f aca="false">SUMPRODUCT((FC_Clase="Administración")*FC_Base*FC_O*((FC_Mon="PYG")*CO$19+(FC_Mon&lt;&gt;"PYG"))*(1+FC_g)^(CO$17-1)*((FC_Desde=0)*(CO$16+CO$15)+(FC_Desde&gt;=1)*(CO$14&gt;=FC_Desde)*CO$15))</f>
        <v>0</v>
      </c>
      <c r="CP62" s="34" t="n">
        <f aca="false">SUMPRODUCT((FC_Clase="Administración")*FC_Base*FC_O*((FC_Mon="PYG")*CP$19+(FC_Mon&lt;&gt;"PYG"))*(1+FC_g)^(CP$17-1)*((FC_Desde=0)*(CP$16+CP$15)+(FC_Desde&gt;=1)*(CP$14&gt;=FC_Desde)*CP$15))</f>
        <v>0</v>
      </c>
      <c r="CQ62" s="34" t="n">
        <f aca="false">SUMPRODUCT((FC_Clase="Administración")*FC_Base*FC_O*((FC_Mon="PYG")*CQ$19+(FC_Mon&lt;&gt;"PYG"))*(1+FC_g)^(CQ$17-1)*((FC_Desde=0)*(CQ$16+CQ$15)+(FC_Desde&gt;=1)*(CQ$14&gt;=FC_Desde)*CQ$15))</f>
        <v>0</v>
      </c>
      <c r="CR62" s="34" t="n">
        <f aca="false">SUMPRODUCT((FC_Clase="Administración")*FC_Base*FC_O*((FC_Mon="PYG")*CR$19+(FC_Mon&lt;&gt;"PYG"))*(1+FC_g)^(CR$17-1)*((FC_Desde=0)*(CR$16+CR$15)+(FC_Desde&gt;=1)*(CR$14&gt;=FC_Desde)*CR$15))</f>
        <v>0</v>
      </c>
      <c r="CS62" s="34" t="n">
        <f aca="false">SUMPRODUCT((FC_Clase="Administración")*FC_Base*FC_O*((FC_Mon="PYG")*CS$19+(FC_Mon&lt;&gt;"PYG"))*(1+FC_g)^(CS$17-1)*((FC_Desde=0)*(CS$16+CS$15)+(FC_Desde&gt;=1)*(CS$14&gt;=FC_Desde)*CS$15))</f>
        <v>0</v>
      </c>
      <c r="CT62" s="34" t="n">
        <f aca="false">SUMPRODUCT((FC_Clase="Administración")*FC_Base*FC_O*((FC_Mon="PYG")*CT$19+(FC_Mon&lt;&gt;"PYG"))*(1+FC_g)^(CT$17-1)*((FC_Desde=0)*(CT$16+CT$15)+(FC_Desde&gt;=1)*(CT$14&gt;=FC_Desde)*CT$15))</f>
        <v>0</v>
      </c>
      <c r="CU62" s="34" t="n">
        <f aca="false">SUMPRODUCT((FC_Clase="Administración")*FC_Base*FC_O*((FC_Mon="PYG")*CU$19+(FC_Mon&lt;&gt;"PYG"))*(1+FC_g)^(CU$17-1)*((FC_Desde=0)*(CU$16+CU$15)+(FC_Desde&gt;=1)*(CU$14&gt;=FC_Desde)*CU$15))</f>
        <v>0</v>
      </c>
      <c r="CV62" s="34" t="n">
        <f aca="false">SUMPRODUCT((FC_Clase="Administración")*FC_Base*FC_O*((FC_Mon="PYG")*CV$19+(FC_Mon&lt;&gt;"PYG"))*(1+FC_g)^(CV$17-1)*((FC_Desde=0)*(CV$16+CV$15)+(FC_Desde&gt;=1)*(CV$14&gt;=FC_Desde)*CV$15))</f>
        <v>0</v>
      </c>
      <c r="CW62" s="34" t="n">
        <f aca="false">SUMPRODUCT((FC_Clase="Administración")*FC_Base*FC_O*((FC_Mon="PYG")*CW$19+(FC_Mon&lt;&gt;"PYG"))*(1+FC_g)^(CW$17-1)*((FC_Desde=0)*(CW$16+CW$15)+(FC_Desde&gt;=1)*(CW$14&gt;=FC_Desde)*CW$15))</f>
        <v>0</v>
      </c>
      <c r="CX62" s="34" t="n">
        <f aca="false">SUMPRODUCT((FC_Clase="Administración")*FC_Base*FC_O*((FC_Mon="PYG")*CX$19+(FC_Mon&lt;&gt;"PYG"))*(1+FC_g)^(CX$17-1)*((FC_Desde=0)*(CX$16+CX$15)+(FC_Desde&gt;=1)*(CX$14&gt;=FC_Desde)*CX$15))</f>
        <v>0</v>
      </c>
      <c r="CY62" s="34" t="n">
        <f aca="false">SUMPRODUCT((FC_Clase="Administración")*FC_Base*FC_O*((FC_Mon="PYG")*CY$19+(FC_Mon&lt;&gt;"PYG"))*(1+FC_g)^(CY$17-1)*((FC_Desde=0)*(CY$16+CY$15)+(FC_Desde&gt;=1)*(CY$14&gt;=FC_Desde)*CY$15))</f>
        <v>0</v>
      </c>
      <c r="CZ62" s="34" t="n">
        <f aca="false">SUMPRODUCT((FC_Clase="Administración")*FC_Base*FC_O*((FC_Mon="PYG")*CZ$19+(FC_Mon&lt;&gt;"PYG"))*(1+FC_g)^(CZ$17-1)*((FC_Desde=0)*(CZ$16+CZ$15)+(FC_Desde&gt;=1)*(CZ$14&gt;=FC_Desde)*CZ$15))</f>
        <v>0</v>
      </c>
      <c r="DA62" s="34" t="n">
        <f aca="false">SUMPRODUCT((FC_Clase="Administración")*FC_Base*FC_O*((FC_Mon="PYG")*DA$19+(FC_Mon&lt;&gt;"PYG"))*(1+FC_g)^(DA$17-1)*((FC_Desde=0)*(DA$16+DA$15)+(FC_Desde&gt;=1)*(DA$14&gt;=FC_Desde)*DA$15))</f>
        <v>0</v>
      </c>
      <c r="DB62" s="34" t="n">
        <f aca="false">SUMPRODUCT((FC_Clase="Administración")*FC_Base*FC_O*((FC_Mon="PYG")*DB$19+(FC_Mon&lt;&gt;"PYG"))*(1+FC_g)^(DB$17-1)*((FC_Desde=0)*(DB$16+DB$15)+(FC_Desde&gt;=1)*(DB$14&gt;=FC_Desde)*DB$15))</f>
        <v>0</v>
      </c>
      <c r="DC62" s="34" t="n">
        <f aca="false">SUMPRODUCT((FC_Clase="Administración")*FC_Base*FC_O*((FC_Mon="PYG")*DC$19+(FC_Mon&lt;&gt;"PYG"))*(1+FC_g)^(DC$17-1)*((FC_Desde=0)*(DC$16+DC$15)+(FC_Desde&gt;=1)*(DC$14&gt;=FC_Desde)*DC$15))</f>
        <v>0</v>
      </c>
      <c r="DD62" s="34" t="n">
        <f aca="false">SUMPRODUCT((FC_Clase="Administración")*FC_Base*FC_O*((FC_Mon="PYG")*DD$19+(FC_Mon&lt;&gt;"PYG"))*(1+FC_g)^(DD$17-1)*((FC_Desde=0)*(DD$16+DD$15)+(FC_Desde&gt;=1)*(DD$14&gt;=FC_Desde)*DD$15))</f>
        <v>0</v>
      </c>
      <c r="DE62" s="34" t="n">
        <f aca="false">SUMPRODUCT((FC_Clase="Administración")*FC_Base*FC_O*((FC_Mon="PYG")*DE$19+(FC_Mon&lt;&gt;"PYG"))*(1+FC_g)^(DE$17-1)*((FC_Desde=0)*(DE$16+DE$15)+(FC_Desde&gt;=1)*(DE$14&gt;=FC_Desde)*DE$15))</f>
        <v>0</v>
      </c>
      <c r="DF62" s="34" t="n">
        <f aca="false">SUMPRODUCT((FC_Clase="Administración")*FC_Base*FC_O*((FC_Mon="PYG")*DF$19+(FC_Mon&lt;&gt;"PYG"))*(1+FC_g)^(DF$17-1)*((FC_Desde=0)*(DF$16+DF$15)+(FC_Desde&gt;=1)*(DF$14&gt;=FC_Desde)*DF$15))</f>
        <v>0</v>
      </c>
      <c r="DG62" s="34" t="n">
        <f aca="false">SUMPRODUCT((FC_Clase="Administración")*FC_Base*FC_O*((FC_Mon="PYG")*DG$19+(FC_Mon&lt;&gt;"PYG"))*(1+FC_g)^(DG$17-1)*((FC_Desde=0)*(DG$16+DG$15)+(FC_Desde&gt;=1)*(DG$14&gt;=FC_Desde)*DG$15))</f>
        <v>0</v>
      </c>
      <c r="DH62" s="34" t="n">
        <f aca="false">SUMPRODUCT((FC_Clase="Administración")*FC_Base*FC_O*((FC_Mon="PYG")*DH$19+(FC_Mon&lt;&gt;"PYG"))*(1+FC_g)^(DH$17-1)*((FC_Desde=0)*(DH$16+DH$15)+(FC_Desde&gt;=1)*(DH$14&gt;=FC_Desde)*DH$15))</f>
        <v>0</v>
      </c>
      <c r="DI62" s="34" t="n">
        <f aca="false">SUMPRODUCT((FC_Clase="Administración")*FC_Base*FC_O*((FC_Mon="PYG")*DI$19+(FC_Mon&lt;&gt;"PYG"))*(1+FC_g)^(DI$17-1)*((FC_Desde=0)*(DI$16+DI$15)+(FC_Desde&gt;=1)*(DI$14&gt;=FC_Desde)*DI$15))</f>
        <v>0</v>
      </c>
      <c r="DJ62" s="34" t="n">
        <f aca="false">SUMPRODUCT((FC_Clase="Administración")*FC_Base*FC_O*((FC_Mon="PYG")*DJ$19+(FC_Mon&lt;&gt;"PYG"))*(1+FC_g)^(DJ$17-1)*((FC_Desde=0)*(DJ$16+DJ$15)+(FC_Desde&gt;=1)*(DJ$14&gt;=FC_Desde)*DJ$15))</f>
        <v>0</v>
      </c>
      <c r="DK62" s="34" t="n">
        <f aca="false">SUMPRODUCT((FC_Clase="Administración")*FC_Base*FC_O*((FC_Mon="PYG")*DK$19+(FC_Mon&lt;&gt;"PYG"))*(1+FC_g)^(DK$17-1)*((FC_Desde=0)*(DK$16+DK$15)+(FC_Desde&gt;=1)*(DK$14&gt;=FC_Desde)*DK$15))</f>
        <v>0</v>
      </c>
      <c r="DL62" s="34" t="n">
        <f aca="false">SUMPRODUCT((FC_Clase="Administración")*FC_Base*FC_O*((FC_Mon="PYG")*DL$19+(FC_Mon&lt;&gt;"PYG"))*(1+FC_g)^(DL$17-1)*((FC_Desde=0)*(DL$16+DL$15)+(FC_Desde&gt;=1)*(DL$14&gt;=FC_Desde)*DL$15))</f>
        <v>0</v>
      </c>
      <c r="DM62" s="34" t="n">
        <f aca="false">SUMPRODUCT((FC_Clase="Administración")*FC_Base*FC_O*((FC_Mon="PYG")*DM$19+(FC_Mon&lt;&gt;"PYG"))*(1+FC_g)^(DM$17-1)*((FC_Desde=0)*(DM$16+DM$15)+(FC_Desde&gt;=1)*(DM$14&gt;=FC_Desde)*DM$15))</f>
        <v>0</v>
      </c>
      <c r="DN62" s="34" t="n">
        <f aca="false">SUMPRODUCT((FC_Clase="Administración")*FC_Base*FC_O*((FC_Mon="PYG")*DN$19+(FC_Mon&lt;&gt;"PYG"))*(1+FC_g)^(DN$17-1)*((FC_Desde=0)*(DN$16+DN$15)+(FC_Desde&gt;=1)*(DN$14&gt;=FC_Desde)*DN$15))</f>
        <v>0</v>
      </c>
      <c r="DO62" s="34" t="n">
        <f aca="false">SUMPRODUCT((FC_Clase="Administración")*FC_Base*FC_O*((FC_Mon="PYG")*DO$19+(FC_Mon&lt;&gt;"PYG"))*(1+FC_g)^(DO$17-1)*((FC_Desde=0)*(DO$16+DO$15)+(FC_Desde&gt;=1)*(DO$14&gt;=FC_Desde)*DO$15))</f>
        <v>0</v>
      </c>
      <c r="DP62" s="34" t="n">
        <f aca="false">SUMPRODUCT((FC_Clase="Administración")*FC_Base*FC_O*((FC_Mon="PYG")*DP$19+(FC_Mon&lt;&gt;"PYG"))*(1+FC_g)^(DP$17-1)*((FC_Desde=0)*(DP$16+DP$15)+(FC_Desde&gt;=1)*(DP$14&gt;=FC_Desde)*DP$15))</f>
        <v>0</v>
      </c>
      <c r="DQ62" s="34" t="n">
        <f aca="false">SUMPRODUCT((FC_Clase="Administración")*FC_Base*FC_O*((FC_Mon="PYG")*DQ$19+(FC_Mon&lt;&gt;"PYG"))*(1+FC_g)^(DQ$17-1)*((FC_Desde=0)*(DQ$16+DQ$15)+(FC_Desde&gt;=1)*(DQ$14&gt;=FC_Desde)*DQ$15))</f>
        <v>0</v>
      </c>
      <c r="DR62" s="34" t="n">
        <f aca="false">SUMPRODUCT((FC_Clase="Administración")*FC_Base*FC_O*((FC_Mon="PYG")*DR$19+(FC_Mon&lt;&gt;"PYG"))*(1+FC_g)^(DR$17-1)*((FC_Desde=0)*(DR$16+DR$15)+(FC_Desde&gt;=1)*(DR$14&gt;=FC_Desde)*DR$15))</f>
        <v>0</v>
      </c>
      <c r="DS62" s="34" t="n">
        <f aca="false">SUMPRODUCT((FC_Clase="Administración")*FC_Base*FC_O*((FC_Mon="PYG")*DS$19+(FC_Mon&lt;&gt;"PYG"))*(1+FC_g)^(DS$17-1)*((FC_Desde=0)*(DS$16+DS$15)+(FC_Desde&gt;=1)*(DS$14&gt;=FC_Desde)*DS$15))</f>
        <v>0</v>
      </c>
      <c r="DT62" s="34" t="n">
        <f aca="false">SUMPRODUCT((FC_Clase="Administración")*FC_Base*FC_O*((FC_Mon="PYG")*DT$19+(FC_Mon&lt;&gt;"PYG"))*(1+FC_g)^(DT$17-1)*((FC_Desde=0)*(DT$16+DT$15)+(FC_Desde&gt;=1)*(DT$14&gt;=FC_Desde)*DT$15))</f>
        <v>0</v>
      </c>
      <c r="DU62" s="34" t="n">
        <f aca="false">SUMPRODUCT((FC_Clase="Administración")*FC_Base*FC_O*((FC_Mon="PYG")*DU$19+(FC_Mon&lt;&gt;"PYG"))*(1+FC_g)^(DU$17-1)*((FC_Desde=0)*(DU$16+DU$15)+(FC_Desde&gt;=1)*(DU$14&gt;=FC_Desde)*DU$15))</f>
        <v>0</v>
      </c>
      <c r="DV62" s="34" t="n">
        <f aca="false">SUMPRODUCT((FC_Clase="Administración")*FC_Base*FC_O*((FC_Mon="PYG")*DV$19+(FC_Mon&lt;&gt;"PYG"))*(1+FC_g)^(DV$17-1)*((FC_Desde=0)*(DV$16+DV$15)+(FC_Desde&gt;=1)*(DV$14&gt;=FC_Desde)*DV$15))</f>
        <v>0</v>
      </c>
      <c r="DW62" s="34" t="n">
        <f aca="false">SUMPRODUCT((FC_Clase="Administración")*FC_Base*FC_O*((FC_Mon="PYG")*DW$19+(FC_Mon&lt;&gt;"PYG"))*(1+FC_g)^(DW$17-1)*((FC_Desde=0)*(DW$16+DW$15)+(FC_Desde&gt;=1)*(DW$14&gt;=FC_Desde)*DW$15))</f>
        <v>0</v>
      </c>
      <c r="DX62" s="34" t="n">
        <f aca="false">SUMPRODUCT((FC_Clase="Administración")*FC_Base*FC_O*((FC_Mon="PYG")*DX$19+(FC_Mon&lt;&gt;"PYG"))*(1+FC_g)^(DX$17-1)*((FC_Desde=0)*(DX$16+DX$15)+(FC_Desde&gt;=1)*(DX$14&gt;=FC_Desde)*DX$15))</f>
        <v>0</v>
      </c>
      <c r="DY62" s="34" t="n">
        <f aca="false">SUMPRODUCT((FC_Clase="Administración")*FC_Base*FC_O*((FC_Mon="PYG")*DY$19+(FC_Mon&lt;&gt;"PYG"))*(1+FC_g)^(DY$17-1)*((FC_Desde=0)*(DY$16+DY$15)+(FC_Desde&gt;=1)*(DY$14&gt;=FC_Desde)*DY$15))</f>
        <v>0</v>
      </c>
      <c r="DZ62" s="34" t="n">
        <f aca="false">SUMPRODUCT((FC_Clase="Administración")*FC_Base*FC_O*((FC_Mon="PYG")*DZ$19+(FC_Mon&lt;&gt;"PYG"))*(1+FC_g)^(DZ$17-1)*((FC_Desde=0)*(DZ$16+DZ$15)+(FC_Desde&gt;=1)*(DZ$14&gt;=FC_Desde)*DZ$15))</f>
        <v>0</v>
      </c>
      <c r="EA62" s="34" t="n">
        <f aca="false">SUMPRODUCT((FC_Clase="Administración")*FC_Base*FC_O*((FC_Mon="PYG")*EA$19+(FC_Mon&lt;&gt;"PYG"))*(1+FC_g)^(EA$17-1)*((FC_Desde=0)*(EA$16+EA$15)+(FC_Desde&gt;=1)*(EA$14&gt;=FC_Desde)*EA$15))</f>
        <v>0</v>
      </c>
      <c r="EB62" s="34" t="n">
        <f aca="false">SUMPRODUCT((FC_Clase="Administración")*FC_Base*FC_O*((FC_Mon="PYG")*EB$19+(FC_Mon&lt;&gt;"PYG"))*(1+FC_g)^(EB$17-1)*((FC_Desde=0)*(EB$16+EB$15)+(FC_Desde&gt;=1)*(EB$14&gt;=FC_Desde)*EB$15))</f>
        <v>0</v>
      </c>
      <c r="EC62" s="34" t="n">
        <f aca="false">SUMPRODUCT((FC_Clase="Administración")*FC_Base*FC_O*((FC_Mon="PYG")*EC$19+(FC_Mon&lt;&gt;"PYG"))*(1+FC_g)^(EC$17-1)*((FC_Desde=0)*(EC$16+EC$15)+(FC_Desde&gt;=1)*(EC$14&gt;=FC_Desde)*EC$15))</f>
        <v>0</v>
      </c>
      <c r="ED62" s="34" t="n">
        <f aca="false">SUMPRODUCT((FC_Clase="Administración")*FC_Base*FC_O*((FC_Mon="PYG")*ED$19+(FC_Mon&lt;&gt;"PYG"))*(1+FC_g)^(ED$17-1)*((FC_Desde=0)*(ED$16+ED$15)+(FC_Desde&gt;=1)*(ED$14&gt;=FC_Desde)*ED$15))</f>
        <v>0</v>
      </c>
      <c r="EE62" s="34" t="n">
        <f aca="false">SUMPRODUCT((FC_Clase="Administración")*FC_Base*FC_O*((FC_Mon="PYG")*EE$19+(FC_Mon&lt;&gt;"PYG"))*(1+FC_g)^(EE$17-1)*((FC_Desde=0)*(EE$16+EE$15)+(FC_Desde&gt;=1)*(EE$14&gt;=FC_Desde)*EE$15))</f>
        <v>0</v>
      </c>
      <c r="EF62" s="34" t="n">
        <f aca="false">SUMPRODUCT((FC_Clase="Administración")*FC_Base*FC_O*((FC_Mon="PYG")*EF$19+(FC_Mon&lt;&gt;"PYG"))*(1+FC_g)^(EF$17-1)*((FC_Desde=0)*(EF$16+EF$15)+(FC_Desde&gt;=1)*(EF$14&gt;=FC_Desde)*EF$15))</f>
        <v>0</v>
      </c>
      <c r="EG62" s="34" t="n">
        <f aca="false">SUMPRODUCT((FC_Clase="Administración")*FC_Base*FC_O*((FC_Mon="PYG")*EG$19+(FC_Mon&lt;&gt;"PYG"))*(1+FC_g)^(EG$17-1)*((FC_Desde=0)*(EG$16+EG$15)+(FC_Desde&gt;=1)*(EG$14&gt;=FC_Desde)*EG$15))</f>
        <v>0</v>
      </c>
      <c r="EH62" s="34" t="n">
        <f aca="false">SUMPRODUCT((FC_Clase="Administración")*FC_Base*FC_O*((FC_Mon="PYG")*EH$19+(FC_Mon&lt;&gt;"PYG"))*(1+FC_g)^(EH$17-1)*((FC_Desde=0)*(EH$16+EH$15)+(FC_Desde&gt;=1)*(EH$14&gt;=FC_Desde)*EH$15))</f>
        <v>0</v>
      </c>
      <c r="EI62" s="34" t="n">
        <f aca="false">SUMPRODUCT((FC_Clase="Administración")*FC_Base*FC_O*((FC_Mon="PYG")*EI$19+(FC_Mon&lt;&gt;"PYG"))*(1+FC_g)^(EI$17-1)*((FC_Desde=0)*(EI$16+EI$15)+(FC_Desde&gt;=1)*(EI$14&gt;=FC_Desde)*EI$15))</f>
        <v>0</v>
      </c>
      <c r="EJ62" s="34" t="n">
        <f aca="false">SUMPRODUCT((FC_Clase="Administración")*FC_Base*FC_O*((FC_Mon="PYG")*EJ$19+(FC_Mon&lt;&gt;"PYG"))*(1+FC_g)^(EJ$17-1)*((FC_Desde=0)*(EJ$16+EJ$15)+(FC_Desde&gt;=1)*(EJ$14&gt;=FC_Desde)*EJ$15))</f>
        <v>0</v>
      </c>
      <c r="EK62" s="34" t="n">
        <f aca="false">SUMPRODUCT((FC_Clase="Administración")*FC_Base*FC_O*((FC_Mon="PYG")*EK$19+(FC_Mon&lt;&gt;"PYG"))*(1+FC_g)^(EK$17-1)*((FC_Desde=0)*(EK$16+EK$15)+(FC_Desde&gt;=1)*(EK$14&gt;=FC_Desde)*EK$15))</f>
        <v>0</v>
      </c>
      <c r="EL62" s="34" t="n">
        <f aca="false">SUMPRODUCT((FC_Clase="Administración")*FC_Base*FC_O*((FC_Mon="PYG")*EL$19+(FC_Mon&lt;&gt;"PYG"))*(1+FC_g)^(EL$17-1)*((FC_Desde=0)*(EL$16+EL$15)+(FC_Desde&gt;=1)*(EL$14&gt;=FC_Desde)*EL$15))</f>
        <v>0</v>
      </c>
      <c r="EM62" s="34" t="n">
        <f aca="false">SUMPRODUCT((FC_Clase="Administración")*FC_Base*FC_O*((FC_Mon="PYG")*EM$19+(FC_Mon&lt;&gt;"PYG"))*(1+FC_g)^(EM$17-1)*((FC_Desde=0)*(EM$16+EM$15)+(FC_Desde&gt;=1)*(EM$14&gt;=FC_Desde)*EM$15))</f>
        <v>0</v>
      </c>
      <c r="EN62" s="34" t="n">
        <f aca="false">SUMPRODUCT((FC_Clase="Administración")*FC_Base*FC_O*((FC_Mon="PYG")*EN$19+(FC_Mon&lt;&gt;"PYG"))*(1+FC_g)^(EN$17-1)*((FC_Desde=0)*(EN$16+EN$15)+(FC_Desde&gt;=1)*(EN$14&gt;=FC_Desde)*EN$15))</f>
        <v>0</v>
      </c>
      <c r="EO62" s="34" t="n">
        <f aca="false">SUMPRODUCT((FC_Clase="Administración")*FC_Base*FC_O*((FC_Mon="PYG")*EO$19+(FC_Mon&lt;&gt;"PYG"))*(1+FC_g)^(EO$17-1)*((FC_Desde=0)*(EO$16+EO$15)+(FC_Desde&gt;=1)*(EO$14&gt;=FC_Desde)*EO$15))</f>
        <v>0</v>
      </c>
      <c r="EP62" s="34" t="n">
        <f aca="false">SUMPRODUCT((FC_Clase="Administración")*FC_Base*FC_O*((FC_Mon="PYG")*EP$19+(FC_Mon&lt;&gt;"PYG"))*(1+FC_g)^(EP$17-1)*((FC_Desde=0)*(EP$16+EP$15)+(FC_Desde&gt;=1)*(EP$14&gt;=FC_Desde)*EP$15))</f>
        <v>0</v>
      </c>
      <c r="EQ62" s="34" t="n">
        <f aca="false">SUMPRODUCT((FC_Clase="Administración")*FC_Base*FC_O*((FC_Mon="PYG")*EQ$19+(FC_Mon&lt;&gt;"PYG"))*(1+FC_g)^(EQ$17-1)*((FC_Desde=0)*(EQ$16+EQ$15)+(FC_Desde&gt;=1)*(EQ$14&gt;=FC_Desde)*EQ$15))</f>
        <v>0</v>
      </c>
      <c r="ER62" s="34" t="n">
        <f aca="false">SUMPRODUCT((FC_Clase="Administración")*FC_Base*FC_O*((FC_Mon="PYG")*ER$19+(FC_Mon&lt;&gt;"PYG"))*(1+FC_g)^(ER$17-1)*((FC_Desde=0)*(ER$16+ER$15)+(FC_Desde&gt;=1)*(ER$14&gt;=FC_Desde)*ER$15))</f>
        <v>0</v>
      </c>
      <c r="ES62" s="34" t="n">
        <f aca="false">SUMPRODUCT((FC_Clase="Administración")*FC_Base*FC_O*((FC_Mon="PYG")*ES$19+(FC_Mon&lt;&gt;"PYG"))*(1+FC_g)^(ES$17-1)*((FC_Desde=0)*(ES$16+ES$15)+(FC_Desde&gt;=1)*(ES$14&gt;=FC_Desde)*ES$15))</f>
        <v>0</v>
      </c>
    </row>
    <row r="63" customFormat="false" ht="15" hidden="false" customHeight="false" outlineLevel="0" collapsed="false">
      <c r="A63" s="2" t="s">
        <v>491</v>
      </c>
      <c r="B63" s="6" t="s">
        <v>492</v>
      </c>
      <c r="C63" s="6" t="s">
        <v>212</v>
      </c>
      <c r="E63" s="40" t="n">
        <f aca="false">SUM(F63:ES63)</f>
        <v>0</v>
      </c>
      <c r="F63" s="34" t="n">
        <f aca="false">P_ImpP*(F$47+F$48+F$49+F$50+F$57+F$58+F$52+F$54+F$60)</f>
        <v>0</v>
      </c>
      <c r="G63" s="34" t="n">
        <f aca="false">P_ImpP*(G$47+G$48+G$49+G$50+G$57+G$58+G$52+G$54+G$60)</f>
        <v>0</v>
      </c>
      <c r="H63" s="34" t="n">
        <f aca="false">P_ImpP*(H$47+H$48+H$49+H$50+H$57+H$58+H$52+H$54+H$60)</f>
        <v>0</v>
      </c>
      <c r="I63" s="34" t="n">
        <f aca="false">P_ImpP*(I$47+I$48+I$49+I$50+I$57+I$58+I$52+I$54+I$60)</f>
        <v>0</v>
      </c>
      <c r="J63" s="34" t="n">
        <f aca="false">P_ImpP*(J$47+J$48+J$49+J$50+J$57+J$58+J$52+J$54+J$60)</f>
        <v>0</v>
      </c>
      <c r="K63" s="34" t="n">
        <f aca="false">P_ImpP*(K$47+K$48+K$49+K$50+K$57+K$58+K$52+K$54+K$60)</f>
        <v>0</v>
      </c>
      <c r="L63" s="34" t="n">
        <f aca="false">P_ImpP*(L$47+L$48+L$49+L$50+L$57+L$58+L$52+L$54+L$60)</f>
        <v>0</v>
      </c>
      <c r="M63" s="34" t="n">
        <f aca="false">P_ImpP*(M$47+M$48+M$49+M$50+M$57+M$58+M$52+M$54+M$60)</f>
        <v>0</v>
      </c>
      <c r="N63" s="34" t="n">
        <f aca="false">P_ImpP*(N$47+N$48+N$49+N$50+N$57+N$58+N$52+N$54+N$60)</f>
        <v>0</v>
      </c>
      <c r="O63" s="34" t="n">
        <f aca="false">P_ImpP*(O$47+O$48+O$49+O$50+O$57+O$58+O$52+O$54+O$60)</f>
        <v>0</v>
      </c>
      <c r="P63" s="34" t="n">
        <f aca="false">P_ImpP*(P$47+P$48+P$49+P$50+P$57+P$58+P$52+P$54+P$60)</f>
        <v>0</v>
      </c>
      <c r="Q63" s="34" t="n">
        <f aca="false">P_ImpP*(Q$47+Q$48+Q$49+Q$50+Q$57+Q$58+Q$52+Q$54+Q$60)</f>
        <v>0</v>
      </c>
      <c r="R63" s="34" t="n">
        <f aca="false">P_ImpP*(R$47+R$48+R$49+R$50+R$57+R$58+R$52+R$54+R$60)</f>
        <v>0</v>
      </c>
      <c r="S63" s="34" t="n">
        <f aca="false">P_ImpP*(S$47+S$48+S$49+S$50+S$57+S$58+S$52+S$54+S$60)</f>
        <v>0</v>
      </c>
      <c r="T63" s="34" t="n">
        <f aca="false">P_ImpP*(T$47+T$48+T$49+T$50+T$57+T$58+T$52+T$54+T$60)</f>
        <v>0</v>
      </c>
      <c r="U63" s="34" t="n">
        <f aca="false">P_ImpP*(U$47+U$48+U$49+U$50+U$57+U$58+U$52+U$54+U$60)</f>
        <v>0</v>
      </c>
      <c r="V63" s="34" t="n">
        <f aca="false">P_ImpP*(V$47+V$48+V$49+V$50+V$57+V$58+V$52+V$54+V$60)</f>
        <v>0</v>
      </c>
      <c r="W63" s="34" t="n">
        <f aca="false">P_ImpP*(W$47+W$48+W$49+W$50+W$57+W$58+W$52+W$54+W$60)</f>
        <v>0</v>
      </c>
      <c r="X63" s="34" t="n">
        <f aca="false">P_ImpP*(X$47+X$48+X$49+X$50+X$57+X$58+X$52+X$54+X$60)</f>
        <v>0</v>
      </c>
      <c r="Y63" s="34" t="n">
        <f aca="false">P_ImpP*(Y$47+Y$48+Y$49+Y$50+Y$57+Y$58+Y$52+Y$54+Y$60)</f>
        <v>0</v>
      </c>
      <c r="Z63" s="34" t="n">
        <f aca="false">P_ImpP*(Z$47+Z$48+Z$49+Z$50+Z$57+Z$58+Z$52+Z$54+Z$60)</f>
        <v>0</v>
      </c>
      <c r="AA63" s="34" t="n">
        <f aca="false">P_ImpP*(AA$47+AA$48+AA$49+AA$50+AA$57+AA$58+AA$52+AA$54+AA$60)</f>
        <v>0</v>
      </c>
      <c r="AB63" s="34" t="n">
        <f aca="false">P_ImpP*(AB$47+AB$48+AB$49+AB$50+AB$57+AB$58+AB$52+AB$54+AB$60)</f>
        <v>0</v>
      </c>
      <c r="AC63" s="34" t="n">
        <f aca="false">P_ImpP*(AC$47+AC$48+AC$49+AC$50+AC$57+AC$58+AC$52+AC$54+AC$60)</f>
        <v>0</v>
      </c>
      <c r="AD63" s="34" t="n">
        <f aca="false">P_ImpP*(AD$47+AD$48+AD$49+AD$50+AD$57+AD$58+AD$52+AD$54+AD$60)</f>
        <v>0</v>
      </c>
      <c r="AE63" s="34" t="n">
        <f aca="false">P_ImpP*(AE$47+AE$48+AE$49+AE$50+AE$57+AE$58+AE$52+AE$54+AE$60)</f>
        <v>0</v>
      </c>
      <c r="AF63" s="34" t="n">
        <f aca="false">P_ImpP*(AF$47+AF$48+AF$49+AF$50+AF$57+AF$58+AF$52+AF$54+AF$60)</f>
        <v>0</v>
      </c>
      <c r="AG63" s="34" t="n">
        <f aca="false">P_ImpP*(AG$47+AG$48+AG$49+AG$50+AG$57+AG$58+AG$52+AG$54+AG$60)</f>
        <v>0</v>
      </c>
      <c r="AH63" s="34" t="n">
        <f aca="false">P_ImpP*(AH$47+AH$48+AH$49+AH$50+AH$57+AH$58+AH$52+AH$54+AH$60)</f>
        <v>0</v>
      </c>
      <c r="AI63" s="34" t="n">
        <f aca="false">P_ImpP*(AI$47+AI$48+AI$49+AI$50+AI$57+AI$58+AI$52+AI$54+AI$60)</f>
        <v>0</v>
      </c>
      <c r="AJ63" s="34" t="n">
        <f aca="false">P_ImpP*(AJ$47+AJ$48+AJ$49+AJ$50+AJ$57+AJ$58+AJ$52+AJ$54+AJ$60)</f>
        <v>0</v>
      </c>
      <c r="AK63" s="34" t="n">
        <f aca="false">P_ImpP*(AK$47+AK$48+AK$49+AK$50+AK$57+AK$58+AK$52+AK$54+AK$60)</f>
        <v>0</v>
      </c>
      <c r="AL63" s="34" t="n">
        <f aca="false">P_ImpP*(AL$47+AL$48+AL$49+AL$50+AL$57+AL$58+AL$52+AL$54+AL$60)</f>
        <v>0</v>
      </c>
      <c r="AM63" s="34" t="n">
        <f aca="false">P_ImpP*(AM$47+AM$48+AM$49+AM$50+AM$57+AM$58+AM$52+AM$54+AM$60)</f>
        <v>0</v>
      </c>
      <c r="AN63" s="34" t="n">
        <f aca="false">P_ImpP*(AN$47+AN$48+AN$49+AN$50+AN$57+AN$58+AN$52+AN$54+AN$60)</f>
        <v>0</v>
      </c>
      <c r="AO63" s="34" t="n">
        <f aca="false">P_ImpP*(AO$47+AO$48+AO$49+AO$50+AO$57+AO$58+AO$52+AO$54+AO$60)</f>
        <v>0</v>
      </c>
      <c r="AP63" s="34" t="n">
        <f aca="false">P_ImpP*(AP$47+AP$48+AP$49+AP$50+AP$57+AP$58+AP$52+AP$54+AP$60)</f>
        <v>0</v>
      </c>
      <c r="AQ63" s="34" t="n">
        <f aca="false">P_ImpP*(AQ$47+AQ$48+AQ$49+AQ$50+AQ$57+AQ$58+AQ$52+AQ$54+AQ$60)</f>
        <v>0</v>
      </c>
      <c r="AR63" s="34" t="n">
        <f aca="false">P_ImpP*(AR$47+AR$48+AR$49+AR$50+AR$57+AR$58+AR$52+AR$54+AR$60)</f>
        <v>0</v>
      </c>
      <c r="AS63" s="34" t="n">
        <f aca="false">P_ImpP*(AS$47+AS$48+AS$49+AS$50+AS$57+AS$58+AS$52+AS$54+AS$60)</f>
        <v>0</v>
      </c>
      <c r="AT63" s="34" t="n">
        <f aca="false">P_ImpP*(AT$47+AT$48+AT$49+AT$50+AT$57+AT$58+AT$52+AT$54+AT$60)</f>
        <v>0</v>
      </c>
      <c r="AU63" s="34" t="n">
        <f aca="false">P_ImpP*(AU$47+AU$48+AU$49+AU$50+AU$57+AU$58+AU$52+AU$54+AU$60)</f>
        <v>0</v>
      </c>
      <c r="AV63" s="34" t="n">
        <f aca="false">P_ImpP*(AV$47+AV$48+AV$49+AV$50+AV$57+AV$58+AV$52+AV$54+AV$60)</f>
        <v>0</v>
      </c>
      <c r="AW63" s="34" t="n">
        <f aca="false">P_ImpP*(AW$47+AW$48+AW$49+AW$50+AW$57+AW$58+AW$52+AW$54+AW$60)</f>
        <v>0</v>
      </c>
      <c r="AX63" s="34" t="n">
        <f aca="false">P_ImpP*(AX$47+AX$48+AX$49+AX$50+AX$57+AX$58+AX$52+AX$54+AX$60)</f>
        <v>0</v>
      </c>
      <c r="AY63" s="34" t="n">
        <f aca="false">P_ImpP*(AY$47+AY$48+AY$49+AY$50+AY$57+AY$58+AY$52+AY$54+AY$60)</f>
        <v>0</v>
      </c>
      <c r="AZ63" s="34" t="n">
        <f aca="false">P_ImpP*(AZ$47+AZ$48+AZ$49+AZ$50+AZ$57+AZ$58+AZ$52+AZ$54+AZ$60)</f>
        <v>0</v>
      </c>
      <c r="BA63" s="34" t="n">
        <f aca="false">P_ImpP*(BA$47+BA$48+BA$49+BA$50+BA$57+BA$58+BA$52+BA$54+BA$60)</f>
        <v>0</v>
      </c>
      <c r="BB63" s="34" t="n">
        <f aca="false">P_ImpP*(BB$47+BB$48+BB$49+BB$50+BB$57+BB$58+BB$52+BB$54+BB$60)</f>
        <v>0</v>
      </c>
      <c r="BC63" s="34" t="n">
        <f aca="false">P_ImpP*(BC$47+BC$48+BC$49+BC$50+BC$57+BC$58+BC$52+BC$54+BC$60)</f>
        <v>0</v>
      </c>
      <c r="BD63" s="34" t="n">
        <f aca="false">P_ImpP*(BD$47+BD$48+BD$49+BD$50+BD$57+BD$58+BD$52+BD$54+BD$60)</f>
        <v>0</v>
      </c>
      <c r="BE63" s="34" t="n">
        <f aca="false">P_ImpP*(BE$47+BE$48+BE$49+BE$50+BE$57+BE$58+BE$52+BE$54+BE$60)</f>
        <v>0</v>
      </c>
      <c r="BF63" s="34" t="n">
        <f aca="false">P_ImpP*(BF$47+BF$48+BF$49+BF$50+BF$57+BF$58+BF$52+BF$54+BF$60)</f>
        <v>0</v>
      </c>
      <c r="BG63" s="34" t="n">
        <f aca="false">P_ImpP*(BG$47+BG$48+BG$49+BG$50+BG$57+BG$58+BG$52+BG$54+BG$60)</f>
        <v>0</v>
      </c>
      <c r="BH63" s="34" t="n">
        <f aca="false">P_ImpP*(BH$47+BH$48+BH$49+BH$50+BH$57+BH$58+BH$52+BH$54+BH$60)</f>
        <v>0</v>
      </c>
      <c r="BI63" s="34" t="n">
        <f aca="false">P_ImpP*(BI$47+BI$48+BI$49+BI$50+BI$57+BI$58+BI$52+BI$54+BI$60)</f>
        <v>0</v>
      </c>
      <c r="BJ63" s="34" t="n">
        <f aca="false">P_ImpP*(BJ$47+BJ$48+BJ$49+BJ$50+BJ$57+BJ$58+BJ$52+BJ$54+BJ$60)</f>
        <v>0</v>
      </c>
      <c r="BK63" s="34" t="n">
        <f aca="false">P_ImpP*(BK$47+BK$48+BK$49+BK$50+BK$57+BK$58+BK$52+BK$54+BK$60)</f>
        <v>0</v>
      </c>
      <c r="BL63" s="34" t="n">
        <f aca="false">P_ImpP*(BL$47+BL$48+BL$49+BL$50+BL$57+BL$58+BL$52+BL$54+BL$60)</f>
        <v>0</v>
      </c>
      <c r="BM63" s="34" t="n">
        <f aca="false">P_ImpP*(BM$47+BM$48+BM$49+BM$50+BM$57+BM$58+BM$52+BM$54+BM$60)</f>
        <v>0</v>
      </c>
      <c r="BN63" s="34" t="n">
        <f aca="false">P_ImpP*(BN$47+BN$48+BN$49+BN$50+BN$57+BN$58+BN$52+BN$54+BN$60)</f>
        <v>0</v>
      </c>
      <c r="BO63" s="34" t="n">
        <f aca="false">P_ImpP*(BO$47+BO$48+BO$49+BO$50+BO$57+BO$58+BO$52+BO$54+BO$60)</f>
        <v>0</v>
      </c>
      <c r="BP63" s="34" t="n">
        <f aca="false">P_ImpP*(BP$47+BP$48+BP$49+BP$50+BP$57+BP$58+BP$52+BP$54+BP$60)</f>
        <v>0</v>
      </c>
      <c r="BQ63" s="34" t="n">
        <f aca="false">P_ImpP*(BQ$47+BQ$48+BQ$49+BQ$50+BQ$57+BQ$58+BQ$52+BQ$54+BQ$60)</f>
        <v>0</v>
      </c>
      <c r="BR63" s="34" t="n">
        <f aca="false">P_ImpP*(BR$47+BR$48+BR$49+BR$50+BR$57+BR$58+BR$52+BR$54+BR$60)</f>
        <v>0</v>
      </c>
      <c r="BS63" s="34" t="n">
        <f aca="false">P_ImpP*(BS$47+BS$48+BS$49+BS$50+BS$57+BS$58+BS$52+BS$54+BS$60)</f>
        <v>0</v>
      </c>
      <c r="BT63" s="34" t="n">
        <f aca="false">P_ImpP*(BT$47+BT$48+BT$49+BT$50+BT$57+BT$58+BT$52+BT$54+BT$60)</f>
        <v>0</v>
      </c>
      <c r="BU63" s="34" t="n">
        <f aca="false">P_ImpP*(BU$47+BU$48+BU$49+BU$50+BU$57+BU$58+BU$52+BU$54+BU$60)</f>
        <v>0</v>
      </c>
      <c r="BV63" s="34" t="n">
        <f aca="false">P_ImpP*(BV$47+BV$48+BV$49+BV$50+BV$57+BV$58+BV$52+BV$54+BV$60)</f>
        <v>0</v>
      </c>
      <c r="BW63" s="34" t="n">
        <f aca="false">P_ImpP*(BW$47+BW$48+BW$49+BW$50+BW$57+BW$58+BW$52+BW$54+BW$60)</f>
        <v>0</v>
      </c>
      <c r="BX63" s="34" t="n">
        <f aca="false">P_ImpP*(BX$47+BX$48+BX$49+BX$50+BX$57+BX$58+BX$52+BX$54+BX$60)</f>
        <v>0</v>
      </c>
      <c r="BY63" s="34" t="n">
        <f aca="false">P_ImpP*(BY$47+BY$48+BY$49+BY$50+BY$57+BY$58+BY$52+BY$54+BY$60)</f>
        <v>0</v>
      </c>
      <c r="BZ63" s="34" t="n">
        <f aca="false">P_ImpP*(BZ$47+BZ$48+BZ$49+BZ$50+BZ$57+BZ$58+BZ$52+BZ$54+BZ$60)</f>
        <v>0</v>
      </c>
      <c r="CA63" s="34" t="n">
        <f aca="false">P_ImpP*(CA$47+CA$48+CA$49+CA$50+CA$57+CA$58+CA$52+CA$54+CA$60)</f>
        <v>0</v>
      </c>
      <c r="CB63" s="34" t="n">
        <f aca="false">P_ImpP*(CB$47+CB$48+CB$49+CB$50+CB$57+CB$58+CB$52+CB$54+CB$60)</f>
        <v>0</v>
      </c>
      <c r="CC63" s="34" t="n">
        <f aca="false">P_ImpP*(CC$47+CC$48+CC$49+CC$50+CC$57+CC$58+CC$52+CC$54+CC$60)</f>
        <v>0</v>
      </c>
      <c r="CD63" s="34" t="n">
        <f aca="false">P_ImpP*(CD$47+CD$48+CD$49+CD$50+CD$57+CD$58+CD$52+CD$54+CD$60)</f>
        <v>0</v>
      </c>
      <c r="CE63" s="34" t="n">
        <f aca="false">P_ImpP*(CE$47+CE$48+CE$49+CE$50+CE$57+CE$58+CE$52+CE$54+CE$60)</f>
        <v>0</v>
      </c>
      <c r="CF63" s="34" t="n">
        <f aca="false">P_ImpP*(CF$47+CF$48+CF$49+CF$50+CF$57+CF$58+CF$52+CF$54+CF$60)</f>
        <v>0</v>
      </c>
      <c r="CG63" s="34" t="n">
        <f aca="false">P_ImpP*(CG$47+CG$48+CG$49+CG$50+CG$57+CG$58+CG$52+CG$54+CG$60)</f>
        <v>0</v>
      </c>
      <c r="CH63" s="34" t="n">
        <f aca="false">P_ImpP*(CH$47+CH$48+CH$49+CH$50+CH$57+CH$58+CH$52+CH$54+CH$60)</f>
        <v>0</v>
      </c>
      <c r="CI63" s="34" t="n">
        <f aca="false">P_ImpP*(CI$47+CI$48+CI$49+CI$50+CI$57+CI$58+CI$52+CI$54+CI$60)</f>
        <v>0</v>
      </c>
      <c r="CJ63" s="34" t="n">
        <f aca="false">P_ImpP*(CJ$47+CJ$48+CJ$49+CJ$50+CJ$57+CJ$58+CJ$52+CJ$54+CJ$60)</f>
        <v>0</v>
      </c>
      <c r="CK63" s="34" t="n">
        <f aca="false">P_ImpP*(CK$47+CK$48+CK$49+CK$50+CK$57+CK$58+CK$52+CK$54+CK$60)</f>
        <v>0</v>
      </c>
      <c r="CL63" s="34" t="n">
        <f aca="false">P_ImpP*(CL$47+CL$48+CL$49+CL$50+CL$57+CL$58+CL$52+CL$54+CL$60)</f>
        <v>0</v>
      </c>
      <c r="CM63" s="34" t="n">
        <f aca="false">P_ImpP*(CM$47+CM$48+CM$49+CM$50+CM$57+CM$58+CM$52+CM$54+CM$60)</f>
        <v>0</v>
      </c>
      <c r="CN63" s="34" t="n">
        <f aca="false">P_ImpP*(CN$47+CN$48+CN$49+CN$50+CN$57+CN$58+CN$52+CN$54+CN$60)</f>
        <v>0</v>
      </c>
      <c r="CO63" s="34" t="n">
        <f aca="false">P_ImpP*(CO$47+CO$48+CO$49+CO$50+CO$57+CO$58+CO$52+CO$54+CO$60)</f>
        <v>0</v>
      </c>
      <c r="CP63" s="34" t="n">
        <f aca="false">P_ImpP*(CP$47+CP$48+CP$49+CP$50+CP$57+CP$58+CP$52+CP$54+CP$60)</f>
        <v>0</v>
      </c>
      <c r="CQ63" s="34" t="n">
        <f aca="false">P_ImpP*(CQ$47+CQ$48+CQ$49+CQ$50+CQ$57+CQ$58+CQ$52+CQ$54+CQ$60)</f>
        <v>0</v>
      </c>
      <c r="CR63" s="34" t="n">
        <f aca="false">P_ImpP*(CR$47+CR$48+CR$49+CR$50+CR$57+CR$58+CR$52+CR$54+CR$60)</f>
        <v>0</v>
      </c>
      <c r="CS63" s="34" t="n">
        <f aca="false">P_ImpP*(CS$47+CS$48+CS$49+CS$50+CS$57+CS$58+CS$52+CS$54+CS$60)</f>
        <v>0</v>
      </c>
      <c r="CT63" s="34" t="n">
        <f aca="false">P_ImpP*(CT$47+CT$48+CT$49+CT$50+CT$57+CT$58+CT$52+CT$54+CT$60)</f>
        <v>0</v>
      </c>
      <c r="CU63" s="34" t="n">
        <f aca="false">P_ImpP*(CU$47+CU$48+CU$49+CU$50+CU$57+CU$58+CU$52+CU$54+CU$60)</f>
        <v>0</v>
      </c>
      <c r="CV63" s="34" t="n">
        <f aca="false">P_ImpP*(CV$47+CV$48+CV$49+CV$50+CV$57+CV$58+CV$52+CV$54+CV$60)</f>
        <v>0</v>
      </c>
      <c r="CW63" s="34" t="n">
        <f aca="false">P_ImpP*(CW$47+CW$48+CW$49+CW$50+CW$57+CW$58+CW$52+CW$54+CW$60)</f>
        <v>0</v>
      </c>
      <c r="CX63" s="34" t="n">
        <f aca="false">P_ImpP*(CX$47+CX$48+CX$49+CX$50+CX$57+CX$58+CX$52+CX$54+CX$60)</f>
        <v>0</v>
      </c>
      <c r="CY63" s="34" t="n">
        <f aca="false">P_ImpP*(CY$47+CY$48+CY$49+CY$50+CY$57+CY$58+CY$52+CY$54+CY$60)</f>
        <v>0</v>
      </c>
      <c r="CZ63" s="34" t="n">
        <f aca="false">P_ImpP*(CZ$47+CZ$48+CZ$49+CZ$50+CZ$57+CZ$58+CZ$52+CZ$54+CZ$60)</f>
        <v>0</v>
      </c>
      <c r="DA63" s="34" t="n">
        <f aca="false">P_ImpP*(DA$47+DA$48+DA$49+DA$50+DA$57+DA$58+DA$52+DA$54+DA$60)</f>
        <v>0</v>
      </c>
      <c r="DB63" s="34" t="n">
        <f aca="false">P_ImpP*(DB$47+DB$48+DB$49+DB$50+DB$57+DB$58+DB$52+DB$54+DB$60)</f>
        <v>0</v>
      </c>
      <c r="DC63" s="34" t="n">
        <f aca="false">P_ImpP*(DC$47+DC$48+DC$49+DC$50+DC$57+DC$58+DC$52+DC$54+DC$60)</f>
        <v>0</v>
      </c>
      <c r="DD63" s="34" t="n">
        <f aca="false">P_ImpP*(DD$47+DD$48+DD$49+DD$50+DD$57+DD$58+DD$52+DD$54+DD$60)</f>
        <v>0</v>
      </c>
      <c r="DE63" s="34" t="n">
        <f aca="false">P_ImpP*(DE$47+DE$48+DE$49+DE$50+DE$57+DE$58+DE$52+DE$54+DE$60)</f>
        <v>0</v>
      </c>
      <c r="DF63" s="34" t="n">
        <f aca="false">P_ImpP*(DF$47+DF$48+DF$49+DF$50+DF$57+DF$58+DF$52+DF$54+DF$60)</f>
        <v>0</v>
      </c>
      <c r="DG63" s="34" t="n">
        <f aca="false">P_ImpP*(DG$47+DG$48+DG$49+DG$50+DG$57+DG$58+DG$52+DG$54+DG$60)</f>
        <v>0</v>
      </c>
      <c r="DH63" s="34" t="n">
        <f aca="false">P_ImpP*(DH$47+DH$48+DH$49+DH$50+DH$57+DH$58+DH$52+DH$54+DH$60)</f>
        <v>0</v>
      </c>
      <c r="DI63" s="34" t="n">
        <f aca="false">P_ImpP*(DI$47+DI$48+DI$49+DI$50+DI$57+DI$58+DI$52+DI$54+DI$60)</f>
        <v>0</v>
      </c>
      <c r="DJ63" s="34" t="n">
        <f aca="false">P_ImpP*(DJ$47+DJ$48+DJ$49+DJ$50+DJ$57+DJ$58+DJ$52+DJ$54+DJ$60)</f>
        <v>0</v>
      </c>
      <c r="DK63" s="34" t="n">
        <f aca="false">P_ImpP*(DK$47+DK$48+DK$49+DK$50+DK$57+DK$58+DK$52+DK$54+DK$60)</f>
        <v>0</v>
      </c>
      <c r="DL63" s="34" t="n">
        <f aca="false">P_ImpP*(DL$47+DL$48+DL$49+DL$50+DL$57+DL$58+DL$52+DL$54+DL$60)</f>
        <v>0</v>
      </c>
      <c r="DM63" s="34" t="n">
        <f aca="false">P_ImpP*(DM$47+DM$48+DM$49+DM$50+DM$57+DM$58+DM$52+DM$54+DM$60)</f>
        <v>0</v>
      </c>
      <c r="DN63" s="34" t="n">
        <f aca="false">P_ImpP*(DN$47+DN$48+DN$49+DN$50+DN$57+DN$58+DN$52+DN$54+DN$60)</f>
        <v>0</v>
      </c>
      <c r="DO63" s="34" t="n">
        <f aca="false">P_ImpP*(DO$47+DO$48+DO$49+DO$50+DO$57+DO$58+DO$52+DO$54+DO$60)</f>
        <v>0</v>
      </c>
      <c r="DP63" s="34" t="n">
        <f aca="false">P_ImpP*(DP$47+DP$48+DP$49+DP$50+DP$57+DP$58+DP$52+DP$54+DP$60)</f>
        <v>0</v>
      </c>
      <c r="DQ63" s="34" t="n">
        <f aca="false">P_ImpP*(DQ$47+DQ$48+DQ$49+DQ$50+DQ$57+DQ$58+DQ$52+DQ$54+DQ$60)</f>
        <v>0</v>
      </c>
      <c r="DR63" s="34" t="n">
        <f aca="false">P_ImpP*(DR$47+DR$48+DR$49+DR$50+DR$57+DR$58+DR$52+DR$54+DR$60)</f>
        <v>0</v>
      </c>
      <c r="DS63" s="34" t="n">
        <f aca="false">P_ImpP*(DS$47+DS$48+DS$49+DS$50+DS$57+DS$58+DS$52+DS$54+DS$60)</f>
        <v>0</v>
      </c>
      <c r="DT63" s="34" t="n">
        <f aca="false">P_ImpP*(DT$47+DT$48+DT$49+DT$50+DT$57+DT$58+DT$52+DT$54+DT$60)</f>
        <v>0</v>
      </c>
      <c r="DU63" s="34" t="n">
        <f aca="false">P_ImpP*(DU$47+DU$48+DU$49+DU$50+DU$57+DU$58+DU$52+DU$54+DU$60)</f>
        <v>0</v>
      </c>
      <c r="DV63" s="34" t="n">
        <f aca="false">P_ImpP*(DV$47+DV$48+DV$49+DV$50+DV$57+DV$58+DV$52+DV$54+DV$60)</f>
        <v>0</v>
      </c>
      <c r="DW63" s="34" t="n">
        <f aca="false">P_ImpP*(DW$47+DW$48+DW$49+DW$50+DW$57+DW$58+DW$52+DW$54+DW$60)</f>
        <v>0</v>
      </c>
      <c r="DX63" s="34" t="n">
        <f aca="false">P_ImpP*(DX$47+DX$48+DX$49+DX$50+DX$57+DX$58+DX$52+DX$54+DX$60)</f>
        <v>0</v>
      </c>
      <c r="DY63" s="34" t="n">
        <f aca="false">P_ImpP*(DY$47+DY$48+DY$49+DY$50+DY$57+DY$58+DY$52+DY$54+DY$60)</f>
        <v>0</v>
      </c>
      <c r="DZ63" s="34" t="n">
        <f aca="false">P_ImpP*(DZ$47+DZ$48+DZ$49+DZ$50+DZ$57+DZ$58+DZ$52+DZ$54+DZ$60)</f>
        <v>0</v>
      </c>
      <c r="EA63" s="34" t="n">
        <f aca="false">P_ImpP*(EA$47+EA$48+EA$49+EA$50+EA$57+EA$58+EA$52+EA$54+EA$60)</f>
        <v>0</v>
      </c>
      <c r="EB63" s="34" t="n">
        <f aca="false">P_ImpP*(EB$47+EB$48+EB$49+EB$50+EB$57+EB$58+EB$52+EB$54+EB$60)</f>
        <v>0</v>
      </c>
      <c r="EC63" s="34" t="n">
        <f aca="false">P_ImpP*(EC$47+EC$48+EC$49+EC$50+EC$57+EC$58+EC$52+EC$54+EC$60)</f>
        <v>0</v>
      </c>
      <c r="ED63" s="34" t="n">
        <f aca="false">P_ImpP*(ED$47+ED$48+ED$49+ED$50+ED$57+ED$58+ED$52+ED$54+ED$60)</f>
        <v>0</v>
      </c>
      <c r="EE63" s="34" t="n">
        <f aca="false">P_ImpP*(EE$47+EE$48+EE$49+EE$50+EE$57+EE$58+EE$52+EE$54+EE$60)</f>
        <v>0</v>
      </c>
      <c r="EF63" s="34" t="n">
        <f aca="false">P_ImpP*(EF$47+EF$48+EF$49+EF$50+EF$57+EF$58+EF$52+EF$54+EF$60)</f>
        <v>0</v>
      </c>
      <c r="EG63" s="34" t="n">
        <f aca="false">P_ImpP*(EG$47+EG$48+EG$49+EG$50+EG$57+EG$58+EG$52+EG$54+EG$60)</f>
        <v>0</v>
      </c>
      <c r="EH63" s="34" t="n">
        <f aca="false">P_ImpP*(EH$47+EH$48+EH$49+EH$50+EH$57+EH$58+EH$52+EH$54+EH$60)</f>
        <v>0</v>
      </c>
      <c r="EI63" s="34" t="n">
        <f aca="false">P_ImpP*(EI$47+EI$48+EI$49+EI$50+EI$57+EI$58+EI$52+EI$54+EI$60)</f>
        <v>0</v>
      </c>
      <c r="EJ63" s="34" t="n">
        <f aca="false">P_ImpP*(EJ$47+EJ$48+EJ$49+EJ$50+EJ$57+EJ$58+EJ$52+EJ$54+EJ$60)</f>
        <v>0</v>
      </c>
      <c r="EK63" s="34" t="n">
        <f aca="false">P_ImpP*(EK$47+EK$48+EK$49+EK$50+EK$57+EK$58+EK$52+EK$54+EK$60)</f>
        <v>0</v>
      </c>
      <c r="EL63" s="34" t="n">
        <f aca="false">P_ImpP*(EL$47+EL$48+EL$49+EL$50+EL$57+EL$58+EL$52+EL$54+EL$60)</f>
        <v>0</v>
      </c>
      <c r="EM63" s="34" t="n">
        <f aca="false">P_ImpP*(EM$47+EM$48+EM$49+EM$50+EM$57+EM$58+EM$52+EM$54+EM$60)</f>
        <v>0</v>
      </c>
      <c r="EN63" s="34" t="n">
        <f aca="false">P_ImpP*(EN$47+EN$48+EN$49+EN$50+EN$57+EN$58+EN$52+EN$54+EN$60)</f>
        <v>0</v>
      </c>
      <c r="EO63" s="34" t="n">
        <f aca="false">P_ImpP*(EO$47+EO$48+EO$49+EO$50+EO$57+EO$58+EO$52+EO$54+EO$60)</f>
        <v>0</v>
      </c>
      <c r="EP63" s="34" t="n">
        <f aca="false">P_ImpP*(EP$47+EP$48+EP$49+EP$50+EP$57+EP$58+EP$52+EP$54+EP$60)</f>
        <v>0</v>
      </c>
      <c r="EQ63" s="34" t="n">
        <f aca="false">P_ImpP*(EQ$47+EQ$48+EQ$49+EQ$50+EQ$57+EQ$58+EQ$52+EQ$54+EQ$60)</f>
        <v>0</v>
      </c>
      <c r="ER63" s="34" t="n">
        <f aca="false">P_ImpP*(ER$47+ER$48+ER$49+ER$50+ER$57+ER$58+ER$52+ER$54+ER$60)</f>
        <v>0</v>
      </c>
      <c r="ES63" s="34" t="n">
        <f aca="false">P_ImpP*(ES$47+ES$48+ES$49+ES$50+ES$57+ES$58+ES$52+ES$54+ES$60)</f>
        <v>0</v>
      </c>
    </row>
    <row r="64" customFormat="false" ht="15" hidden="false" customHeight="false" outlineLevel="0" collapsed="false">
      <c r="A64" s="2" t="s">
        <v>493</v>
      </c>
      <c r="B64" s="6" t="s">
        <v>494</v>
      </c>
      <c r="C64" s="6" t="s">
        <v>212</v>
      </c>
      <c r="E64" s="40" t="n">
        <f aca="false">SUM(F64:ES64)</f>
        <v>0</v>
      </c>
      <c r="F64" s="34" t="n">
        <f aca="false">P_ImpA*(F$56+F$62)</f>
        <v>0</v>
      </c>
      <c r="G64" s="34" t="n">
        <f aca="false">P_ImpA*(G$56+G$62)</f>
        <v>0</v>
      </c>
      <c r="H64" s="34" t="n">
        <f aca="false">P_ImpA*(H$56+H$62)</f>
        <v>0</v>
      </c>
      <c r="I64" s="34" t="n">
        <f aca="false">P_ImpA*(I$56+I$62)</f>
        <v>0</v>
      </c>
      <c r="J64" s="34" t="n">
        <f aca="false">P_ImpA*(J$56+J$62)</f>
        <v>0</v>
      </c>
      <c r="K64" s="34" t="n">
        <f aca="false">P_ImpA*(K$56+K$62)</f>
        <v>0</v>
      </c>
      <c r="L64" s="34" t="n">
        <f aca="false">P_ImpA*(L$56+L$62)</f>
        <v>0</v>
      </c>
      <c r="M64" s="34" t="n">
        <f aca="false">P_ImpA*(M$56+M$62)</f>
        <v>0</v>
      </c>
      <c r="N64" s="34" t="n">
        <f aca="false">P_ImpA*(N$56+N$62)</f>
        <v>0</v>
      </c>
      <c r="O64" s="34" t="n">
        <f aca="false">P_ImpA*(O$56+O$62)</f>
        <v>0</v>
      </c>
      <c r="P64" s="34" t="n">
        <f aca="false">P_ImpA*(P$56+P$62)</f>
        <v>0</v>
      </c>
      <c r="Q64" s="34" t="n">
        <f aca="false">P_ImpA*(Q$56+Q$62)</f>
        <v>0</v>
      </c>
      <c r="R64" s="34" t="n">
        <f aca="false">P_ImpA*(R$56+R$62)</f>
        <v>0</v>
      </c>
      <c r="S64" s="34" t="n">
        <f aca="false">P_ImpA*(S$56+S$62)</f>
        <v>0</v>
      </c>
      <c r="T64" s="34" t="n">
        <f aca="false">P_ImpA*(T$56+T$62)</f>
        <v>0</v>
      </c>
      <c r="U64" s="34" t="n">
        <f aca="false">P_ImpA*(U$56+U$62)</f>
        <v>0</v>
      </c>
      <c r="V64" s="34" t="n">
        <f aca="false">P_ImpA*(V$56+V$62)</f>
        <v>0</v>
      </c>
      <c r="W64" s="34" t="n">
        <f aca="false">P_ImpA*(W$56+W$62)</f>
        <v>0</v>
      </c>
      <c r="X64" s="34" t="n">
        <f aca="false">P_ImpA*(X$56+X$62)</f>
        <v>0</v>
      </c>
      <c r="Y64" s="34" t="n">
        <f aca="false">P_ImpA*(Y$56+Y$62)</f>
        <v>0</v>
      </c>
      <c r="Z64" s="34" t="n">
        <f aca="false">P_ImpA*(Z$56+Z$62)</f>
        <v>0</v>
      </c>
      <c r="AA64" s="34" t="n">
        <f aca="false">P_ImpA*(AA$56+AA$62)</f>
        <v>0</v>
      </c>
      <c r="AB64" s="34" t="n">
        <f aca="false">P_ImpA*(AB$56+AB$62)</f>
        <v>0</v>
      </c>
      <c r="AC64" s="34" t="n">
        <f aca="false">P_ImpA*(AC$56+AC$62)</f>
        <v>0</v>
      </c>
      <c r="AD64" s="34" t="n">
        <f aca="false">P_ImpA*(AD$56+AD$62)</f>
        <v>0</v>
      </c>
      <c r="AE64" s="34" t="n">
        <f aca="false">P_ImpA*(AE$56+AE$62)</f>
        <v>0</v>
      </c>
      <c r="AF64" s="34" t="n">
        <f aca="false">P_ImpA*(AF$56+AF$62)</f>
        <v>0</v>
      </c>
      <c r="AG64" s="34" t="n">
        <f aca="false">P_ImpA*(AG$56+AG$62)</f>
        <v>0</v>
      </c>
      <c r="AH64" s="34" t="n">
        <f aca="false">P_ImpA*(AH$56+AH$62)</f>
        <v>0</v>
      </c>
      <c r="AI64" s="34" t="n">
        <f aca="false">P_ImpA*(AI$56+AI$62)</f>
        <v>0</v>
      </c>
      <c r="AJ64" s="34" t="n">
        <f aca="false">P_ImpA*(AJ$56+AJ$62)</f>
        <v>0</v>
      </c>
      <c r="AK64" s="34" t="n">
        <f aca="false">P_ImpA*(AK$56+AK$62)</f>
        <v>0</v>
      </c>
      <c r="AL64" s="34" t="n">
        <f aca="false">P_ImpA*(AL$56+AL$62)</f>
        <v>0</v>
      </c>
      <c r="AM64" s="34" t="n">
        <f aca="false">P_ImpA*(AM$56+AM$62)</f>
        <v>0</v>
      </c>
      <c r="AN64" s="34" t="n">
        <f aca="false">P_ImpA*(AN$56+AN$62)</f>
        <v>0</v>
      </c>
      <c r="AO64" s="34" t="n">
        <f aca="false">P_ImpA*(AO$56+AO$62)</f>
        <v>0</v>
      </c>
      <c r="AP64" s="34" t="n">
        <f aca="false">P_ImpA*(AP$56+AP$62)</f>
        <v>0</v>
      </c>
      <c r="AQ64" s="34" t="n">
        <f aca="false">P_ImpA*(AQ$56+AQ$62)</f>
        <v>0</v>
      </c>
      <c r="AR64" s="34" t="n">
        <f aca="false">P_ImpA*(AR$56+AR$62)</f>
        <v>0</v>
      </c>
      <c r="AS64" s="34" t="n">
        <f aca="false">P_ImpA*(AS$56+AS$62)</f>
        <v>0</v>
      </c>
      <c r="AT64" s="34" t="n">
        <f aca="false">P_ImpA*(AT$56+AT$62)</f>
        <v>0</v>
      </c>
      <c r="AU64" s="34" t="n">
        <f aca="false">P_ImpA*(AU$56+AU$62)</f>
        <v>0</v>
      </c>
      <c r="AV64" s="34" t="n">
        <f aca="false">P_ImpA*(AV$56+AV$62)</f>
        <v>0</v>
      </c>
      <c r="AW64" s="34" t="n">
        <f aca="false">P_ImpA*(AW$56+AW$62)</f>
        <v>0</v>
      </c>
      <c r="AX64" s="34" t="n">
        <f aca="false">P_ImpA*(AX$56+AX$62)</f>
        <v>0</v>
      </c>
      <c r="AY64" s="34" t="n">
        <f aca="false">P_ImpA*(AY$56+AY$62)</f>
        <v>0</v>
      </c>
      <c r="AZ64" s="34" t="n">
        <f aca="false">P_ImpA*(AZ$56+AZ$62)</f>
        <v>0</v>
      </c>
      <c r="BA64" s="34" t="n">
        <f aca="false">P_ImpA*(BA$56+BA$62)</f>
        <v>0</v>
      </c>
      <c r="BB64" s="34" t="n">
        <f aca="false">P_ImpA*(BB$56+BB$62)</f>
        <v>0</v>
      </c>
      <c r="BC64" s="34" t="n">
        <f aca="false">P_ImpA*(BC$56+BC$62)</f>
        <v>0</v>
      </c>
      <c r="BD64" s="34" t="n">
        <f aca="false">P_ImpA*(BD$56+BD$62)</f>
        <v>0</v>
      </c>
      <c r="BE64" s="34" t="n">
        <f aca="false">P_ImpA*(BE$56+BE$62)</f>
        <v>0</v>
      </c>
      <c r="BF64" s="34" t="n">
        <f aca="false">P_ImpA*(BF$56+BF$62)</f>
        <v>0</v>
      </c>
      <c r="BG64" s="34" t="n">
        <f aca="false">P_ImpA*(BG$56+BG$62)</f>
        <v>0</v>
      </c>
      <c r="BH64" s="34" t="n">
        <f aca="false">P_ImpA*(BH$56+BH$62)</f>
        <v>0</v>
      </c>
      <c r="BI64" s="34" t="n">
        <f aca="false">P_ImpA*(BI$56+BI$62)</f>
        <v>0</v>
      </c>
      <c r="BJ64" s="34" t="n">
        <f aca="false">P_ImpA*(BJ$56+BJ$62)</f>
        <v>0</v>
      </c>
      <c r="BK64" s="34" t="n">
        <f aca="false">P_ImpA*(BK$56+BK$62)</f>
        <v>0</v>
      </c>
      <c r="BL64" s="34" t="n">
        <f aca="false">P_ImpA*(BL$56+BL$62)</f>
        <v>0</v>
      </c>
      <c r="BM64" s="34" t="n">
        <f aca="false">P_ImpA*(BM$56+BM$62)</f>
        <v>0</v>
      </c>
      <c r="BN64" s="34" t="n">
        <f aca="false">P_ImpA*(BN$56+BN$62)</f>
        <v>0</v>
      </c>
      <c r="BO64" s="34" t="n">
        <f aca="false">P_ImpA*(BO$56+BO$62)</f>
        <v>0</v>
      </c>
      <c r="BP64" s="34" t="n">
        <f aca="false">P_ImpA*(BP$56+BP$62)</f>
        <v>0</v>
      </c>
      <c r="BQ64" s="34" t="n">
        <f aca="false">P_ImpA*(BQ$56+BQ$62)</f>
        <v>0</v>
      </c>
      <c r="BR64" s="34" t="n">
        <f aca="false">P_ImpA*(BR$56+BR$62)</f>
        <v>0</v>
      </c>
      <c r="BS64" s="34" t="n">
        <f aca="false">P_ImpA*(BS$56+BS$62)</f>
        <v>0</v>
      </c>
      <c r="BT64" s="34" t="n">
        <f aca="false">P_ImpA*(BT$56+BT$62)</f>
        <v>0</v>
      </c>
      <c r="BU64" s="34" t="n">
        <f aca="false">P_ImpA*(BU$56+BU$62)</f>
        <v>0</v>
      </c>
      <c r="BV64" s="34" t="n">
        <f aca="false">P_ImpA*(BV$56+BV$62)</f>
        <v>0</v>
      </c>
      <c r="BW64" s="34" t="n">
        <f aca="false">P_ImpA*(BW$56+BW$62)</f>
        <v>0</v>
      </c>
      <c r="BX64" s="34" t="n">
        <f aca="false">P_ImpA*(BX$56+BX$62)</f>
        <v>0</v>
      </c>
      <c r="BY64" s="34" t="n">
        <f aca="false">P_ImpA*(BY$56+BY$62)</f>
        <v>0</v>
      </c>
      <c r="BZ64" s="34" t="n">
        <f aca="false">P_ImpA*(BZ$56+BZ$62)</f>
        <v>0</v>
      </c>
      <c r="CA64" s="34" t="n">
        <f aca="false">P_ImpA*(CA$56+CA$62)</f>
        <v>0</v>
      </c>
      <c r="CB64" s="34" t="n">
        <f aca="false">P_ImpA*(CB$56+CB$62)</f>
        <v>0</v>
      </c>
      <c r="CC64" s="34" t="n">
        <f aca="false">P_ImpA*(CC$56+CC$62)</f>
        <v>0</v>
      </c>
      <c r="CD64" s="34" t="n">
        <f aca="false">P_ImpA*(CD$56+CD$62)</f>
        <v>0</v>
      </c>
      <c r="CE64" s="34" t="n">
        <f aca="false">P_ImpA*(CE$56+CE$62)</f>
        <v>0</v>
      </c>
      <c r="CF64" s="34" t="n">
        <f aca="false">P_ImpA*(CF$56+CF$62)</f>
        <v>0</v>
      </c>
      <c r="CG64" s="34" t="n">
        <f aca="false">P_ImpA*(CG$56+CG$62)</f>
        <v>0</v>
      </c>
      <c r="CH64" s="34" t="n">
        <f aca="false">P_ImpA*(CH$56+CH$62)</f>
        <v>0</v>
      </c>
      <c r="CI64" s="34" t="n">
        <f aca="false">P_ImpA*(CI$56+CI$62)</f>
        <v>0</v>
      </c>
      <c r="CJ64" s="34" t="n">
        <f aca="false">P_ImpA*(CJ$56+CJ$62)</f>
        <v>0</v>
      </c>
      <c r="CK64" s="34" t="n">
        <f aca="false">P_ImpA*(CK$56+CK$62)</f>
        <v>0</v>
      </c>
      <c r="CL64" s="34" t="n">
        <f aca="false">P_ImpA*(CL$56+CL$62)</f>
        <v>0</v>
      </c>
      <c r="CM64" s="34" t="n">
        <f aca="false">P_ImpA*(CM$56+CM$62)</f>
        <v>0</v>
      </c>
      <c r="CN64" s="34" t="n">
        <f aca="false">P_ImpA*(CN$56+CN$62)</f>
        <v>0</v>
      </c>
      <c r="CO64" s="34" t="n">
        <f aca="false">P_ImpA*(CO$56+CO$62)</f>
        <v>0</v>
      </c>
      <c r="CP64" s="34" t="n">
        <f aca="false">P_ImpA*(CP$56+CP$62)</f>
        <v>0</v>
      </c>
      <c r="CQ64" s="34" t="n">
        <f aca="false">P_ImpA*(CQ$56+CQ$62)</f>
        <v>0</v>
      </c>
      <c r="CR64" s="34" t="n">
        <f aca="false">P_ImpA*(CR$56+CR$62)</f>
        <v>0</v>
      </c>
      <c r="CS64" s="34" t="n">
        <f aca="false">P_ImpA*(CS$56+CS$62)</f>
        <v>0</v>
      </c>
      <c r="CT64" s="34" t="n">
        <f aca="false">P_ImpA*(CT$56+CT$62)</f>
        <v>0</v>
      </c>
      <c r="CU64" s="34" t="n">
        <f aca="false">P_ImpA*(CU$56+CU$62)</f>
        <v>0</v>
      </c>
      <c r="CV64" s="34" t="n">
        <f aca="false">P_ImpA*(CV$56+CV$62)</f>
        <v>0</v>
      </c>
      <c r="CW64" s="34" t="n">
        <f aca="false">P_ImpA*(CW$56+CW$62)</f>
        <v>0</v>
      </c>
      <c r="CX64" s="34" t="n">
        <f aca="false">P_ImpA*(CX$56+CX$62)</f>
        <v>0</v>
      </c>
      <c r="CY64" s="34" t="n">
        <f aca="false">P_ImpA*(CY$56+CY$62)</f>
        <v>0</v>
      </c>
      <c r="CZ64" s="34" t="n">
        <f aca="false">P_ImpA*(CZ$56+CZ$62)</f>
        <v>0</v>
      </c>
      <c r="DA64" s="34" t="n">
        <f aca="false">P_ImpA*(DA$56+DA$62)</f>
        <v>0</v>
      </c>
      <c r="DB64" s="34" t="n">
        <f aca="false">P_ImpA*(DB$56+DB$62)</f>
        <v>0</v>
      </c>
      <c r="DC64" s="34" t="n">
        <f aca="false">P_ImpA*(DC$56+DC$62)</f>
        <v>0</v>
      </c>
      <c r="DD64" s="34" t="n">
        <f aca="false">P_ImpA*(DD$56+DD$62)</f>
        <v>0</v>
      </c>
      <c r="DE64" s="34" t="n">
        <f aca="false">P_ImpA*(DE$56+DE$62)</f>
        <v>0</v>
      </c>
      <c r="DF64" s="34" t="n">
        <f aca="false">P_ImpA*(DF$56+DF$62)</f>
        <v>0</v>
      </c>
      <c r="DG64" s="34" t="n">
        <f aca="false">P_ImpA*(DG$56+DG$62)</f>
        <v>0</v>
      </c>
      <c r="DH64" s="34" t="n">
        <f aca="false">P_ImpA*(DH$56+DH$62)</f>
        <v>0</v>
      </c>
      <c r="DI64" s="34" t="n">
        <f aca="false">P_ImpA*(DI$56+DI$62)</f>
        <v>0</v>
      </c>
      <c r="DJ64" s="34" t="n">
        <f aca="false">P_ImpA*(DJ$56+DJ$62)</f>
        <v>0</v>
      </c>
      <c r="DK64" s="34" t="n">
        <f aca="false">P_ImpA*(DK$56+DK$62)</f>
        <v>0</v>
      </c>
      <c r="DL64" s="34" t="n">
        <f aca="false">P_ImpA*(DL$56+DL$62)</f>
        <v>0</v>
      </c>
      <c r="DM64" s="34" t="n">
        <f aca="false">P_ImpA*(DM$56+DM$62)</f>
        <v>0</v>
      </c>
      <c r="DN64" s="34" t="n">
        <f aca="false">P_ImpA*(DN$56+DN$62)</f>
        <v>0</v>
      </c>
      <c r="DO64" s="34" t="n">
        <f aca="false">P_ImpA*(DO$56+DO$62)</f>
        <v>0</v>
      </c>
      <c r="DP64" s="34" t="n">
        <f aca="false">P_ImpA*(DP$56+DP$62)</f>
        <v>0</v>
      </c>
      <c r="DQ64" s="34" t="n">
        <f aca="false">P_ImpA*(DQ$56+DQ$62)</f>
        <v>0</v>
      </c>
      <c r="DR64" s="34" t="n">
        <f aca="false">P_ImpA*(DR$56+DR$62)</f>
        <v>0</v>
      </c>
      <c r="DS64" s="34" t="n">
        <f aca="false">P_ImpA*(DS$56+DS$62)</f>
        <v>0</v>
      </c>
      <c r="DT64" s="34" t="n">
        <f aca="false">P_ImpA*(DT$56+DT$62)</f>
        <v>0</v>
      </c>
      <c r="DU64" s="34" t="n">
        <f aca="false">P_ImpA*(DU$56+DU$62)</f>
        <v>0</v>
      </c>
      <c r="DV64" s="34" t="n">
        <f aca="false">P_ImpA*(DV$56+DV$62)</f>
        <v>0</v>
      </c>
      <c r="DW64" s="34" t="n">
        <f aca="false">P_ImpA*(DW$56+DW$62)</f>
        <v>0</v>
      </c>
      <c r="DX64" s="34" t="n">
        <f aca="false">P_ImpA*(DX$56+DX$62)</f>
        <v>0</v>
      </c>
      <c r="DY64" s="34" t="n">
        <f aca="false">P_ImpA*(DY$56+DY$62)</f>
        <v>0</v>
      </c>
      <c r="DZ64" s="34" t="n">
        <f aca="false">P_ImpA*(DZ$56+DZ$62)</f>
        <v>0</v>
      </c>
      <c r="EA64" s="34" t="n">
        <f aca="false">P_ImpA*(EA$56+EA$62)</f>
        <v>0</v>
      </c>
      <c r="EB64" s="34" t="n">
        <f aca="false">P_ImpA*(EB$56+EB$62)</f>
        <v>0</v>
      </c>
      <c r="EC64" s="34" t="n">
        <f aca="false">P_ImpA*(EC$56+EC$62)</f>
        <v>0</v>
      </c>
      <c r="ED64" s="34" t="n">
        <f aca="false">P_ImpA*(ED$56+ED$62)</f>
        <v>0</v>
      </c>
      <c r="EE64" s="34" t="n">
        <f aca="false">P_ImpA*(EE$56+EE$62)</f>
        <v>0</v>
      </c>
      <c r="EF64" s="34" t="n">
        <f aca="false">P_ImpA*(EF$56+EF$62)</f>
        <v>0</v>
      </c>
      <c r="EG64" s="34" t="n">
        <f aca="false">P_ImpA*(EG$56+EG$62)</f>
        <v>0</v>
      </c>
      <c r="EH64" s="34" t="n">
        <f aca="false">P_ImpA*(EH$56+EH$62)</f>
        <v>0</v>
      </c>
      <c r="EI64" s="34" t="n">
        <f aca="false">P_ImpA*(EI$56+EI$62)</f>
        <v>0</v>
      </c>
      <c r="EJ64" s="34" t="n">
        <f aca="false">P_ImpA*(EJ$56+EJ$62)</f>
        <v>0</v>
      </c>
      <c r="EK64" s="34" t="n">
        <f aca="false">P_ImpA*(EK$56+EK$62)</f>
        <v>0</v>
      </c>
      <c r="EL64" s="34" t="n">
        <f aca="false">P_ImpA*(EL$56+EL$62)</f>
        <v>0</v>
      </c>
      <c r="EM64" s="34" t="n">
        <f aca="false">P_ImpA*(EM$56+EM$62)</f>
        <v>0</v>
      </c>
      <c r="EN64" s="34" t="n">
        <f aca="false">P_ImpA*(EN$56+EN$62)</f>
        <v>0</v>
      </c>
      <c r="EO64" s="34" t="n">
        <f aca="false">P_ImpA*(EO$56+EO$62)</f>
        <v>0</v>
      </c>
      <c r="EP64" s="34" t="n">
        <f aca="false">P_ImpA*(EP$56+EP$62)</f>
        <v>0</v>
      </c>
      <c r="EQ64" s="34" t="n">
        <f aca="false">P_ImpA*(EQ$56+EQ$62)</f>
        <v>0</v>
      </c>
      <c r="ER64" s="34" t="n">
        <f aca="false">P_ImpA*(ER$56+ER$62)</f>
        <v>0</v>
      </c>
      <c r="ES64" s="34" t="n">
        <f aca="false">P_ImpA*(ES$56+ES$62)</f>
        <v>0</v>
      </c>
    </row>
    <row r="65" customFormat="false" ht="15" hidden="false" customHeight="false" outlineLevel="0" collapsed="false">
      <c r="A65" s="2" t="s">
        <v>495</v>
      </c>
      <c r="B65" s="6" t="s">
        <v>496</v>
      </c>
      <c r="C65" s="6" t="s">
        <v>212</v>
      </c>
      <c r="E65" s="40" t="n">
        <f aca="false">SUM(F65:ES65)</f>
        <v>0</v>
      </c>
      <c r="F65" s="34" t="n">
        <f aca="false">SUMPRODUCT(FC_O*((FC_Mon="PYG")*F$19+(FC_Mon&lt;&gt;"PYG"))*(1+FC_g)^(F$17-1)*((FC_Desde=0)*(F$16+F$15)+(FC_Desde&gt;=1)*(F$14&gt;=FC_Desde)*F$15)*FC_IVA/(1+FC_IVA))</f>
        <v>0</v>
      </c>
      <c r="G65" s="34" t="n">
        <f aca="false">SUMPRODUCT(FC_O*((FC_Mon="PYG")*G$19+(FC_Mon&lt;&gt;"PYG"))*(1+FC_g)^(G$17-1)*((FC_Desde=0)*(G$16+G$15)+(FC_Desde&gt;=1)*(G$14&gt;=FC_Desde)*G$15)*FC_IVA/(1+FC_IVA))</f>
        <v>0</v>
      </c>
      <c r="H65" s="34" t="n">
        <f aca="false">SUMPRODUCT(FC_O*((FC_Mon="PYG")*H$19+(FC_Mon&lt;&gt;"PYG"))*(1+FC_g)^(H$17-1)*((FC_Desde=0)*(H$16+H$15)+(FC_Desde&gt;=1)*(H$14&gt;=FC_Desde)*H$15)*FC_IVA/(1+FC_IVA))</f>
        <v>0</v>
      </c>
      <c r="I65" s="34" t="n">
        <f aca="false">SUMPRODUCT(FC_O*((FC_Mon="PYG")*I$19+(FC_Mon&lt;&gt;"PYG"))*(1+FC_g)^(I$17-1)*((FC_Desde=0)*(I$16+I$15)+(FC_Desde&gt;=1)*(I$14&gt;=FC_Desde)*I$15)*FC_IVA/(1+FC_IVA))</f>
        <v>0</v>
      </c>
      <c r="J65" s="34" t="n">
        <f aca="false">SUMPRODUCT(FC_O*((FC_Mon="PYG")*J$19+(FC_Mon&lt;&gt;"PYG"))*(1+FC_g)^(J$17-1)*((FC_Desde=0)*(J$16+J$15)+(FC_Desde&gt;=1)*(J$14&gt;=FC_Desde)*J$15)*FC_IVA/(1+FC_IVA))</f>
        <v>0</v>
      </c>
      <c r="K65" s="34" t="n">
        <f aca="false">SUMPRODUCT(FC_O*((FC_Mon="PYG")*K$19+(FC_Mon&lt;&gt;"PYG"))*(1+FC_g)^(K$17-1)*((FC_Desde=0)*(K$16+K$15)+(FC_Desde&gt;=1)*(K$14&gt;=FC_Desde)*K$15)*FC_IVA/(1+FC_IVA))</f>
        <v>0</v>
      </c>
      <c r="L65" s="34" t="n">
        <f aca="false">SUMPRODUCT(FC_O*((FC_Mon="PYG")*L$19+(FC_Mon&lt;&gt;"PYG"))*(1+FC_g)^(L$17-1)*((FC_Desde=0)*(L$16+L$15)+(FC_Desde&gt;=1)*(L$14&gt;=FC_Desde)*L$15)*FC_IVA/(1+FC_IVA))</f>
        <v>0</v>
      </c>
      <c r="M65" s="34" t="n">
        <f aca="false">SUMPRODUCT(FC_O*((FC_Mon="PYG")*M$19+(FC_Mon&lt;&gt;"PYG"))*(1+FC_g)^(M$17-1)*((FC_Desde=0)*(M$16+M$15)+(FC_Desde&gt;=1)*(M$14&gt;=FC_Desde)*M$15)*FC_IVA/(1+FC_IVA))</f>
        <v>0</v>
      </c>
      <c r="N65" s="34" t="n">
        <f aca="false">SUMPRODUCT(FC_O*((FC_Mon="PYG")*N$19+(FC_Mon&lt;&gt;"PYG"))*(1+FC_g)^(N$17-1)*((FC_Desde=0)*(N$16+N$15)+(FC_Desde&gt;=1)*(N$14&gt;=FC_Desde)*N$15)*FC_IVA/(1+FC_IVA))</f>
        <v>0</v>
      </c>
      <c r="O65" s="34" t="n">
        <f aca="false">SUMPRODUCT(FC_O*((FC_Mon="PYG")*O$19+(FC_Mon&lt;&gt;"PYG"))*(1+FC_g)^(O$17-1)*((FC_Desde=0)*(O$16+O$15)+(FC_Desde&gt;=1)*(O$14&gt;=FC_Desde)*O$15)*FC_IVA/(1+FC_IVA))</f>
        <v>0</v>
      </c>
      <c r="P65" s="34" t="n">
        <f aca="false">SUMPRODUCT(FC_O*((FC_Mon="PYG")*P$19+(FC_Mon&lt;&gt;"PYG"))*(1+FC_g)^(P$17-1)*((FC_Desde=0)*(P$16+P$15)+(FC_Desde&gt;=1)*(P$14&gt;=FC_Desde)*P$15)*FC_IVA/(1+FC_IVA))</f>
        <v>0</v>
      </c>
      <c r="Q65" s="34" t="n">
        <f aca="false">SUMPRODUCT(FC_O*((FC_Mon="PYG")*Q$19+(FC_Mon&lt;&gt;"PYG"))*(1+FC_g)^(Q$17-1)*((FC_Desde=0)*(Q$16+Q$15)+(FC_Desde&gt;=1)*(Q$14&gt;=FC_Desde)*Q$15)*FC_IVA/(1+FC_IVA))</f>
        <v>0</v>
      </c>
      <c r="R65" s="34" t="n">
        <f aca="false">SUMPRODUCT(FC_O*((FC_Mon="PYG")*R$19+(FC_Mon&lt;&gt;"PYG"))*(1+FC_g)^(R$17-1)*((FC_Desde=0)*(R$16+R$15)+(FC_Desde&gt;=1)*(R$14&gt;=FC_Desde)*R$15)*FC_IVA/(1+FC_IVA))</f>
        <v>0</v>
      </c>
      <c r="S65" s="34" t="n">
        <f aca="false">SUMPRODUCT(FC_O*((FC_Mon="PYG")*S$19+(FC_Mon&lt;&gt;"PYG"))*(1+FC_g)^(S$17-1)*((FC_Desde=0)*(S$16+S$15)+(FC_Desde&gt;=1)*(S$14&gt;=FC_Desde)*S$15)*FC_IVA/(1+FC_IVA))</f>
        <v>0</v>
      </c>
      <c r="T65" s="34" t="n">
        <f aca="false">SUMPRODUCT(FC_O*((FC_Mon="PYG")*T$19+(FC_Mon&lt;&gt;"PYG"))*(1+FC_g)^(T$17-1)*((FC_Desde=0)*(T$16+T$15)+(FC_Desde&gt;=1)*(T$14&gt;=FC_Desde)*T$15)*FC_IVA/(1+FC_IVA))</f>
        <v>0</v>
      </c>
      <c r="U65" s="34" t="n">
        <f aca="false">SUMPRODUCT(FC_O*((FC_Mon="PYG")*U$19+(FC_Mon&lt;&gt;"PYG"))*(1+FC_g)^(U$17-1)*((FC_Desde=0)*(U$16+U$15)+(FC_Desde&gt;=1)*(U$14&gt;=FC_Desde)*U$15)*FC_IVA/(1+FC_IVA))</f>
        <v>0</v>
      </c>
      <c r="V65" s="34" t="n">
        <f aca="false">SUMPRODUCT(FC_O*((FC_Mon="PYG")*V$19+(FC_Mon&lt;&gt;"PYG"))*(1+FC_g)^(V$17-1)*((FC_Desde=0)*(V$16+V$15)+(FC_Desde&gt;=1)*(V$14&gt;=FC_Desde)*V$15)*FC_IVA/(1+FC_IVA))</f>
        <v>0</v>
      </c>
      <c r="W65" s="34" t="n">
        <f aca="false">SUMPRODUCT(FC_O*((FC_Mon="PYG")*W$19+(FC_Mon&lt;&gt;"PYG"))*(1+FC_g)^(W$17-1)*((FC_Desde=0)*(W$16+W$15)+(FC_Desde&gt;=1)*(W$14&gt;=FC_Desde)*W$15)*FC_IVA/(1+FC_IVA))</f>
        <v>0</v>
      </c>
      <c r="X65" s="34" t="n">
        <f aca="false">SUMPRODUCT(FC_O*((FC_Mon="PYG")*X$19+(FC_Mon&lt;&gt;"PYG"))*(1+FC_g)^(X$17-1)*((FC_Desde=0)*(X$16+X$15)+(FC_Desde&gt;=1)*(X$14&gt;=FC_Desde)*X$15)*FC_IVA/(1+FC_IVA))</f>
        <v>0</v>
      </c>
      <c r="Y65" s="34" t="n">
        <f aca="false">SUMPRODUCT(FC_O*((FC_Mon="PYG")*Y$19+(FC_Mon&lt;&gt;"PYG"))*(1+FC_g)^(Y$17-1)*((FC_Desde=0)*(Y$16+Y$15)+(FC_Desde&gt;=1)*(Y$14&gt;=FC_Desde)*Y$15)*FC_IVA/(1+FC_IVA))</f>
        <v>0</v>
      </c>
      <c r="Z65" s="34" t="n">
        <f aca="false">SUMPRODUCT(FC_O*((FC_Mon="PYG")*Z$19+(FC_Mon&lt;&gt;"PYG"))*(1+FC_g)^(Z$17-1)*((FC_Desde=0)*(Z$16+Z$15)+(FC_Desde&gt;=1)*(Z$14&gt;=FC_Desde)*Z$15)*FC_IVA/(1+FC_IVA))</f>
        <v>0</v>
      </c>
      <c r="AA65" s="34" t="n">
        <f aca="false">SUMPRODUCT(FC_O*((FC_Mon="PYG")*AA$19+(FC_Mon&lt;&gt;"PYG"))*(1+FC_g)^(AA$17-1)*((FC_Desde=0)*(AA$16+AA$15)+(FC_Desde&gt;=1)*(AA$14&gt;=FC_Desde)*AA$15)*FC_IVA/(1+FC_IVA))</f>
        <v>0</v>
      </c>
      <c r="AB65" s="34" t="n">
        <f aca="false">SUMPRODUCT(FC_O*((FC_Mon="PYG")*AB$19+(FC_Mon&lt;&gt;"PYG"))*(1+FC_g)^(AB$17-1)*((FC_Desde=0)*(AB$16+AB$15)+(FC_Desde&gt;=1)*(AB$14&gt;=FC_Desde)*AB$15)*FC_IVA/(1+FC_IVA))</f>
        <v>0</v>
      </c>
      <c r="AC65" s="34" t="n">
        <f aca="false">SUMPRODUCT(FC_O*((FC_Mon="PYG")*AC$19+(FC_Mon&lt;&gt;"PYG"))*(1+FC_g)^(AC$17-1)*((FC_Desde=0)*(AC$16+AC$15)+(FC_Desde&gt;=1)*(AC$14&gt;=FC_Desde)*AC$15)*FC_IVA/(1+FC_IVA))</f>
        <v>0</v>
      </c>
      <c r="AD65" s="34" t="n">
        <f aca="false">SUMPRODUCT(FC_O*((FC_Mon="PYG")*AD$19+(FC_Mon&lt;&gt;"PYG"))*(1+FC_g)^(AD$17-1)*((FC_Desde=0)*(AD$16+AD$15)+(FC_Desde&gt;=1)*(AD$14&gt;=FC_Desde)*AD$15)*FC_IVA/(1+FC_IVA))</f>
        <v>0</v>
      </c>
      <c r="AE65" s="34" t="n">
        <f aca="false">SUMPRODUCT(FC_O*((FC_Mon="PYG")*AE$19+(FC_Mon&lt;&gt;"PYG"))*(1+FC_g)^(AE$17-1)*((FC_Desde=0)*(AE$16+AE$15)+(FC_Desde&gt;=1)*(AE$14&gt;=FC_Desde)*AE$15)*FC_IVA/(1+FC_IVA))</f>
        <v>0</v>
      </c>
      <c r="AF65" s="34" t="n">
        <f aca="false">SUMPRODUCT(FC_O*((FC_Mon="PYG")*AF$19+(FC_Mon&lt;&gt;"PYG"))*(1+FC_g)^(AF$17-1)*((FC_Desde=0)*(AF$16+AF$15)+(FC_Desde&gt;=1)*(AF$14&gt;=FC_Desde)*AF$15)*FC_IVA/(1+FC_IVA))</f>
        <v>0</v>
      </c>
      <c r="AG65" s="34" t="n">
        <f aca="false">SUMPRODUCT(FC_O*((FC_Mon="PYG")*AG$19+(FC_Mon&lt;&gt;"PYG"))*(1+FC_g)^(AG$17-1)*((FC_Desde=0)*(AG$16+AG$15)+(FC_Desde&gt;=1)*(AG$14&gt;=FC_Desde)*AG$15)*FC_IVA/(1+FC_IVA))</f>
        <v>0</v>
      </c>
      <c r="AH65" s="34" t="n">
        <f aca="false">SUMPRODUCT(FC_O*((FC_Mon="PYG")*AH$19+(FC_Mon&lt;&gt;"PYG"))*(1+FC_g)^(AH$17-1)*((FC_Desde=0)*(AH$16+AH$15)+(FC_Desde&gt;=1)*(AH$14&gt;=FC_Desde)*AH$15)*FC_IVA/(1+FC_IVA))</f>
        <v>0</v>
      </c>
      <c r="AI65" s="34" t="n">
        <f aca="false">SUMPRODUCT(FC_O*((FC_Mon="PYG")*AI$19+(FC_Mon&lt;&gt;"PYG"))*(1+FC_g)^(AI$17-1)*((FC_Desde=0)*(AI$16+AI$15)+(FC_Desde&gt;=1)*(AI$14&gt;=FC_Desde)*AI$15)*FC_IVA/(1+FC_IVA))</f>
        <v>0</v>
      </c>
      <c r="AJ65" s="34" t="n">
        <f aca="false">SUMPRODUCT(FC_O*((FC_Mon="PYG")*AJ$19+(FC_Mon&lt;&gt;"PYG"))*(1+FC_g)^(AJ$17-1)*((FC_Desde=0)*(AJ$16+AJ$15)+(FC_Desde&gt;=1)*(AJ$14&gt;=FC_Desde)*AJ$15)*FC_IVA/(1+FC_IVA))</f>
        <v>0</v>
      </c>
      <c r="AK65" s="34" t="n">
        <f aca="false">SUMPRODUCT(FC_O*((FC_Mon="PYG")*AK$19+(FC_Mon&lt;&gt;"PYG"))*(1+FC_g)^(AK$17-1)*((FC_Desde=0)*(AK$16+AK$15)+(FC_Desde&gt;=1)*(AK$14&gt;=FC_Desde)*AK$15)*FC_IVA/(1+FC_IVA))</f>
        <v>0</v>
      </c>
      <c r="AL65" s="34" t="n">
        <f aca="false">SUMPRODUCT(FC_O*((FC_Mon="PYG")*AL$19+(FC_Mon&lt;&gt;"PYG"))*(1+FC_g)^(AL$17-1)*((FC_Desde=0)*(AL$16+AL$15)+(FC_Desde&gt;=1)*(AL$14&gt;=FC_Desde)*AL$15)*FC_IVA/(1+FC_IVA))</f>
        <v>0</v>
      </c>
      <c r="AM65" s="34" t="n">
        <f aca="false">SUMPRODUCT(FC_O*((FC_Mon="PYG")*AM$19+(FC_Mon&lt;&gt;"PYG"))*(1+FC_g)^(AM$17-1)*((FC_Desde=0)*(AM$16+AM$15)+(FC_Desde&gt;=1)*(AM$14&gt;=FC_Desde)*AM$15)*FC_IVA/(1+FC_IVA))</f>
        <v>0</v>
      </c>
      <c r="AN65" s="34" t="n">
        <f aca="false">SUMPRODUCT(FC_O*((FC_Mon="PYG")*AN$19+(FC_Mon&lt;&gt;"PYG"))*(1+FC_g)^(AN$17-1)*((FC_Desde=0)*(AN$16+AN$15)+(FC_Desde&gt;=1)*(AN$14&gt;=FC_Desde)*AN$15)*FC_IVA/(1+FC_IVA))</f>
        <v>0</v>
      </c>
      <c r="AO65" s="34" t="n">
        <f aca="false">SUMPRODUCT(FC_O*((FC_Mon="PYG")*AO$19+(FC_Mon&lt;&gt;"PYG"))*(1+FC_g)^(AO$17-1)*((FC_Desde=0)*(AO$16+AO$15)+(FC_Desde&gt;=1)*(AO$14&gt;=FC_Desde)*AO$15)*FC_IVA/(1+FC_IVA))</f>
        <v>0</v>
      </c>
      <c r="AP65" s="34" t="n">
        <f aca="false">SUMPRODUCT(FC_O*((FC_Mon="PYG")*AP$19+(FC_Mon&lt;&gt;"PYG"))*(1+FC_g)^(AP$17-1)*((FC_Desde=0)*(AP$16+AP$15)+(FC_Desde&gt;=1)*(AP$14&gt;=FC_Desde)*AP$15)*FC_IVA/(1+FC_IVA))</f>
        <v>0</v>
      </c>
      <c r="AQ65" s="34" t="n">
        <f aca="false">SUMPRODUCT(FC_O*((FC_Mon="PYG")*AQ$19+(FC_Mon&lt;&gt;"PYG"))*(1+FC_g)^(AQ$17-1)*((FC_Desde=0)*(AQ$16+AQ$15)+(FC_Desde&gt;=1)*(AQ$14&gt;=FC_Desde)*AQ$15)*FC_IVA/(1+FC_IVA))</f>
        <v>0</v>
      </c>
      <c r="AR65" s="34" t="n">
        <f aca="false">SUMPRODUCT(FC_O*((FC_Mon="PYG")*AR$19+(FC_Mon&lt;&gt;"PYG"))*(1+FC_g)^(AR$17-1)*((FC_Desde=0)*(AR$16+AR$15)+(FC_Desde&gt;=1)*(AR$14&gt;=FC_Desde)*AR$15)*FC_IVA/(1+FC_IVA))</f>
        <v>0</v>
      </c>
      <c r="AS65" s="34" t="n">
        <f aca="false">SUMPRODUCT(FC_O*((FC_Mon="PYG")*AS$19+(FC_Mon&lt;&gt;"PYG"))*(1+FC_g)^(AS$17-1)*((FC_Desde=0)*(AS$16+AS$15)+(FC_Desde&gt;=1)*(AS$14&gt;=FC_Desde)*AS$15)*FC_IVA/(1+FC_IVA))</f>
        <v>0</v>
      </c>
      <c r="AT65" s="34" t="n">
        <f aca="false">SUMPRODUCT(FC_O*((FC_Mon="PYG")*AT$19+(FC_Mon&lt;&gt;"PYG"))*(1+FC_g)^(AT$17-1)*((FC_Desde=0)*(AT$16+AT$15)+(FC_Desde&gt;=1)*(AT$14&gt;=FC_Desde)*AT$15)*FC_IVA/(1+FC_IVA))</f>
        <v>0</v>
      </c>
      <c r="AU65" s="34" t="n">
        <f aca="false">SUMPRODUCT(FC_O*((FC_Mon="PYG")*AU$19+(FC_Mon&lt;&gt;"PYG"))*(1+FC_g)^(AU$17-1)*((FC_Desde=0)*(AU$16+AU$15)+(FC_Desde&gt;=1)*(AU$14&gt;=FC_Desde)*AU$15)*FC_IVA/(1+FC_IVA))</f>
        <v>0</v>
      </c>
      <c r="AV65" s="34" t="n">
        <f aca="false">SUMPRODUCT(FC_O*((FC_Mon="PYG")*AV$19+(FC_Mon&lt;&gt;"PYG"))*(1+FC_g)^(AV$17-1)*((FC_Desde=0)*(AV$16+AV$15)+(FC_Desde&gt;=1)*(AV$14&gt;=FC_Desde)*AV$15)*FC_IVA/(1+FC_IVA))</f>
        <v>0</v>
      </c>
      <c r="AW65" s="34" t="n">
        <f aca="false">SUMPRODUCT(FC_O*((FC_Mon="PYG")*AW$19+(FC_Mon&lt;&gt;"PYG"))*(1+FC_g)^(AW$17-1)*((FC_Desde=0)*(AW$16+AW$15)+(FC_Desde&gt;=1)*(AW$14&gt;=FC_Desde)*AW$15)*FC_IVA/(1+FC_IVA))</f>
        <v>0</v>
      </c>
      <c r="AX65" s="34" t="n">
        <f aca="false">SUMPRODUCT(FC_O*((FC_Mon="PYG")*AX$19+(FC_Mon&lt;&gt;"PYG"))*(1+FC_g)^(AX$17-1)*((FC_Desde=0)*(AX$16+AX$15)+(FC_Desde&gt;=1)*(AX$14&gt;=FC_Desde)*AX$15)*FC_IVA/(1+FC_IVA))</f>
        <v>0</v>
      </c>
      <c r="AY65" s="34" t="n">
        <f aca="false">SUMPRODUCT(FC_O*((FC_Mon="PYG")*AY$19+(FC_Mon&lt;&gt;"PYG"))*(1+FC_g)^(AY$17-1)*((FC_Desde=0)*(AY$16+AY$15)+(FC_Desde&gt;=1)*(AY$14&gt;=FC_Desde)*AY$15)*FC_IVA/(1+FC_IVA))</f>
        <v>0</v>
      </c>
      <c r="AZ65" s="34" t="n">
        <f aca="false">SUMPRODUCT(FC_O*((FC_Mon="PYG")*AZ$19+(FC_Mon&lt;&gt;"PYG"))*(1+FC_g)^(AZ$17-1)*((FC_Desde=0)*(AZ$16+AZ$15)+(FC_Desde&gt;=1)*(AZ$14&gt;=FC_Desde)*AZ$15)*FC_IVA/(1+FC_IVA))</f>
        <v>0</v>
      </c>
      <c r="BA65" s="34" t="n">
        <f aca="false">SUMPRODUCT(FC_O*((FC_Mon="PYG")*BA$19+(FC_Mon&lt;&gt;"PYG"))*(1+FC_g)^(BA$17-1)*((FC_Desde=0)*(BA$16+BA$15)+(FC_Desde&gt;=1)*(BA$14&gt;=FC_Desde)*BA$15)*FC_IVA/(1+FC_IVA))</f>
        <v>0</v>
      </c>
      <c r="BB65" s="34" t="n">
        <f aca="false">SUMPRODUCT(FC_O*((FC_Mon="PYG")*BB$19+(FC_Mon&lt;&gt;"PYG"))*(1+FC_g)^(BB$17-1)*((FC_Desde=0)*(BB$16+BB$15)+(FC_Desde&gt;=1)*(BB$14&gt;=FC_Desde)*BB$15)*FC_IVA/(1+FC_IVA))</f>
        <v>0</v>
      </c>
      <c r="BC65" s="34" t="n">
        <f aca="false">SUMPRODUCT(FC_O*((FC_Mon="PYG")*BC$19+(FC_Mon&lt;&gt;"PYG"))*(1+FC_g)^(BC$17-1)*((FC_Desde=0)*(BC$16+BC$15)+(FC_Desde&gt;=1)*(BC$14&gt;=FC_Desde)*BC$15)*FC_IVA/(1+FC_IVA))</f>
        <v>0</v>
      </c>
      <c r="BD65" s="34" t="n">
        <f aca="false">SUMPRODUCT(FC_O*((FC_Mon="PYG")*BD$19+(FC_Mon&lt;&gt;"PYG"))*(1+FC_g)^(BD$17-1)*((FC_Desde=0)*(BD$16+BD$15)+(FC_Desde&gt;=1)*(BD$14&gt;=FC_Desde)*BD$15)*FC_IVA/(1+FC_IVA))</f>
        <v>0</v>
      </c>
      <c r="BE65" s="34" t="n">
        <f aca="false">SUMPRODUCT(FC_O*((FC_Mon="PYG")*BE$19+(FC_Mon&lt;&gt;"PYG"))*(1+FC_g)^(BE$17-1)*((FC_Desde=0)*(BE$16+BE$15)+(FC_Desde&gt;=1)*(BE$14&gt;=FC_Desde)*BE$15)*FC_IVA/(1+FC_IVA))</f>
        <v>0</v>
      </c>
      <c r="BF65" s="34" t="n">
        <f aca="false">SUMPRODUCT(FC_O*((FC_Mon="PYG")*BF$19+(FC_Mon&lt;&gt;"PYG"))*(1+FC_g)^(BF$17-1)*((FC_Desde=0)*(BF$16+BF$15)+(FC_Desde&gt;=1)*(BF$14&gt;=FC_Desde)*BF$15)*FC_IVA/(1+FC_IVA))</f>
        <v>0</v>
      </c>
      <c r="BG65" s="34" t="n">
        <f aca="false">SUMPRODUCT(FC_O*((FC_Mon="PYG")*BG$19+(FC_Mon&lt;&gt;"PYG"))*(1+FC_g)^(BG$17-1)*((FC_Desde=0)*(BG$16+BG$15)+(FC_Desde&gt;=1)*(BG$14&gt;=FC_Desde)*BG$15)*FC_IVA/(1+FC_IVA))</f>
        <v>0</v>
      </c>
      <c r="BH65" s="34" t="n">
        <f aca="false">SUMPRODUCT(FC_O*((FC_Mon="PYG")*BH$19+(FC_Mon&lt;&gt;"PYG"))*(1+FC_g)^(BH$17-1)*((FC_Desde=0)*(BH$16+BH$15)+(FC_Desde&gt;=1)*(BH$14&gt;=FC_Desde)*BH$15)*FC_IVA/(1+FC_IVA))</f>
        <v>0</v>
      </c>
      <c r="BI65" s="34" t="n">
        <f aca="false">SUMPRODUCT(FC_O*((FC_Mon="PYG")*BI$19+(FC_Mon&lt;&gt;"PYG"))*(1+FC_g)^(BI$17-1)*((FC_Desde=0)*(BI$16+BI$15)+(FC_Desde&gt;=1)*(BI$14&gt;=FC_Desde)*BI$15)*FC_IVA/(1+FC_IVA))</f>
        <v>0</v>
      </c>
      <c r="BJ65" s="34" t="n">
        <f aca="false">SUMPRODUCT(FC_O*((FC_Mon="PYG")*BJ$19+(FC_Mon&lt;&gt;"PYG"))*(1+FC_g)^(BJ$17-1)*((FC_Desde=0)*(BJ$16+BJ$15)+(FC_Desde&gt;=1)*(BJ$14&gt;=FC_Desde)*BJ$15)*FC_IVA/(1+FC_IVA))</f>
        <v>0</v>
      </c>
      <c r="BK65" s="34" t="n">
        <f aca="false">SUMPRODUCT(FC_O*((FC_Mon="PYG")*BK$19+(FC_Mon&lt;&gt;"PYG"))*(1+FC_g)^(BK$17-1)*((FC_Desde=0)*(BK$16+BK$15)+(FC_Desde&gt;=1)*(BK$14&gt;=FC_Desde)*BK$15)*FC_IVA/(1+FC_IVA))</f>
        <v>0</v>
      </c>
      <c r="BL65" s="34" t="n">
        <f aca="false">SUMPRODUCT(FC_O*((FC_Mon="PYG")*BL$19+(FC_Mon&lt;&gt;"PYG"))*(1+FC_g)^(BL$17-1)*((FC_Desde=0)*(BL$16+BL$15)+(FC_Desde&gt;=1)*(BL$14&gt;=FC_Desde)*BL$15)*FC_IVA/(1+FC_IVA))</f>
        <v>0</v>
      </c>
      <c r="BM65" s="34" t="n">
        <f aca="false">SUMPRODUCT(FC_O*((FC_Mon="PYG")*BM$19+(FC_Mon&lt;&gt;"PYG"))*(1+FC_g)^(BM$17-1)*((FC_Desde=0)*(BM$16+BM$15)+(FC_Desde&gt;=1)*(BM$14&gt;=FC_Desde)*BM$15)*FC_IVA/(1+FC_IVA))</f>
        <v>0</v>
      </c>
      <c r="BN65" s="34" t="n">
        <f aca="false">SUMPRODUCT(FC_O*((FC_Mon="PYG")*BN$19+(FC_Mon&lt;&gt;"PYG"))*(1+FC_g)^(BN$17-1)*((FC_Desde=0)*(BN$16+BN$15)+(FC_Desde&gt;=1)*(BN$14&gt;=FC_Desde)*BN$15)*FC_IVA/(1+FC_IVA))</f>
        <v>0</v>
      </c>
      <c r="BO65" s="34" t="n">
        <f aca="false">SUMPRODUCT(FC_O*((FC_Mon="PYG")*BO$19+(FC_Mon&lt;&gt;"PYG"))*(1+FC_g)^(BO$17-1)*((FC_Desde=0)*(BO$16+BO$15)+(FC_Desde&gt;=1)*(BO$14&gt;=FC_Desde)*BO$15)*FC_IVA/(1+FC_IVA))</f>
        <v>0</v>
      </c>
      <c r="BP65" s="34" t="n">
        <f aca="false">SUMPRODUCT(FC_O*((FC_Mon="PYG")*BP$19+(FC_Mon&lt;&gt;"PYG"))*(1+FC_g)^(BP$17-1)*((FC_Desde=0)*(BP$16+BP$15)+(FC_Desde&gt;=1)*(BP$14&gt;=FC_Desde)*BP$15)*FC_IVA/(1+FC_IVA))</f>
        <v>0</v>
      </c>
      <c r="BQ65" s="34" t="n">
        <f aca="false">SUMPRODUCT(FC_O*((FC_Mon="PYG")*BQ$19+(FC_Mon&lt;&gt;"PYG"))*(1+FC_g)^(BQ$17-1)*((FC_Desde=0)*(BQ$16+BQ$15)+(FC_Desde&gt;=1)*(BQ$14&gt;=FC_Desde)*BQ$15)*FC_IVA/(1+FC_IVA))</f>
        <v>0</v>
      </c>
      <c r="BR65" s="34" t="n">
        <f aca="false">SUMPRODUCT(FC_O*((FC_Mon="PYG")*BR$19+(FC_Mon&lt;&gt;"PYG"))*(1+FC_g)^(BR$17-1)*((FC_Desde=0)*(BR$16+BR$15)+(FC_Desde&gt;=1)*(BR$14&gt;=FC_Desde)*BR$15)*FC_IVA/(1+FC_IVA))</f>
        <v>0</v>
      </c>
      <c r="BS65" s="34" t="n">
        <f aca="false">SUMPRODUCT(FC_O*((FC_Mon="PYG")*BS$19+(FC_Mon&lt;&gt;"PYG"))*(1+FC_g)^(BS$17-1)*((FC_Desde=0)*(BS$16+BS$15)+(FC_Desde&gt;=1)*(BS$14&gt;=FC_Desde)*BS$15)*FC_IVA/(1+FC_IVA))</f>
        <v>0</v>
      </c>
      <c r="BT65" s="34" t="n">
        <f aca="false">SUMPRODUCT(FC_O*((FC_Mon="PYG")*BT$19+(FC_Mon&lt;&gt;"PYG"))*(1+FC_g)^(BT$17-1)*((FC_Desde=0)*(BT$16+BT$15)+(FC_Desde&gt;=1)*(BT$14&gt;=FC_Desde)*BT$15)*FC_IVA/(1+FC_IVA))</f>
        <v>0</v>
      </c>
      <c r="BU65" s="34" t="n">
        <f aca="false">SUMPRODUCT(FC_O*((FC_Mon="PYG")*BU$19+(FC_Mon&lt;&gt;"PYG"))*(1+FC_g)^(BU$17-1)*((FC_Desde=0)*(BU$16+BU$15)+(FC_Desde&gt;=1)*(BU$14&gt;=FC_Desde)*BU$15)*FC_IVA/(1+FC_IVA))</f>
        <v>0</v>
      </c>
      <c r="BV65" s="34" t="n">
        <f aca="false">SUMPRODUCT(FC_O*((FC_Mon="PYG")*BV$19+(FC_Mon&lt;&gt;"PYG"))*(1+FC_g)^(BV$17-1)*((FC_Desde=0)*(BV$16+BV$15)+(FC_Desde&gt;=1)*(BV$14&gt;=FC_Desde)*BV$15)*FC_IVA/(1+FC_IVA))</f>
        <v>0</v>
      </c>
      <c r="BW65" s="34" t="n">
        <f aca="false">SUMPRODUCT(FC_O*((FC_Mon="PYG")*BW$19+(FC_Mon&lt;&gt;"PYG"))*(1+FC_g)^(BW$17-1)*((FC_Desde=0)*(BW$16+BW$15)+(FC_Desde&gt;=1)*(BW$14&gt;=FC_Desde)*BW$15)*FC_IVA/(1+FC_IVA))</f>
        <v>0</v>
      </c>
      <c r="BX65" s="34" t="n">
        <f aca="false">SUMPRODUCT(FC_O*((FC_Mon="PYG")*BX$19+(FC_Mon&lt;&gt;"PYG"))*(1+FC_g)^(BX$17-1)*((FC_Desde=0)*(BX$16+BX$15)+(FC_Desde&gt;=1)*(BX$14&gt;=FC_Desde)*BX$15)*FC_IVA/(1+FC_IVA))</f>
        <v>0</v>
      </c>
      <c r="BY65" s="34" t="n">
        <f aca="false">SUMPRODUCT(FC_O*((FC_Mon="PYG")*BY$19+(FC_Mon&lt;&gt;"PYG"))*(1+FC_g)^(BY$17-1)*((FC_Desde=0)*(BY$16+BY$15)+(FC_Desde&gt;=1)*(BY$14&gt;=FC_Desde)*BY$15)*FC_IVA/(1+FC_IVA))</f>
        <v>0</v>
      </c>
      <c r="BZ65" s="34" t="n">
        <f aca="false">SUMPRODUCT(FC_O*((FC_Mon="PYG")*BZ$19+(FC_Mon&lt;&gt;"PYG"))*(1+FC_g)^(BZ$17-1)*((FC_Desde=0)*(BZ$16+BZ$15)+(FC_Desde&gt;=1)*(BZ$14&gt;=FC_Desde)*BZ$15)*FC_IVA/(1+FC_IVA))</f>
        <v>0</v>
      </c>
      <c r="CA65" s="34" t="n">
        <f aca="false">SUMPRODUCT(FC_O*((FC_Mon="PYG")*CA$19+(FC_Mon&lt;&gt;"PYG"))*(1+FC_g)^(CA$17-1)*((FC_Desde=0)*(CA$16+CA$15)+(FC_Desde&gt;=1)*(CA$14&gt;=FC_Desde)*CA$15)*FC_IVA/(1+FC_IVA))</f>
        <v>0</v>
      </c>
      <c r="CB65" s="34" t="n">
        <f aca="false">SUMPRODUCT(FC_O*((FC_Mon="PYG")*CB$19+(FC_Mon&lt;&gt;"PYG"))*(1+FC_g)^(CB$17-1)*((FC_Desde=0)*(CB$16+CB$15)+(FC_Desde&gt;=1)*(CB$14&gt;=FC_Desde)*CB$15)*FC_IVA/(1+FC_IVA))</f>
        <v>0</v>
      </c>
      <c r="CC65" s="34" t="n">
        <f aca="false">SUMPRODUCT(FC_O*((FC_Mon="PYG")*CC$19+(FC_Mon&lt;&gt;"PYG"))*(1+FC_g)^(CC$17-1)*((FC_Desde=0)*(CC$16+CC$15)+(FC_Desde&gt;=1)*(CC$14&gt;=FC_Desde)*CC$15)*FC_IVA/(1+FC_IVA))</f>
        <v>0</v>
      </c>
      <c r="CD65" s="34" t="n">
        <f aca="false">SUMPRODUCT(FC_O*((FC_Mon="PYG")*CD$19+(FC_Mon&lt;&gt;"PYG"))*(1+FC_g)^(CD$17-1)*((FC_Desde=0)*(CD$16+CD$15)+(FC_Desde&gt;=1)*(CD$14&gt;=FC_Desde)*CD$15)*FC_IVA/(1+FC_IVA))</f>
        <v>0</v>
      </c>
      <c r="CE65" s="34" t="n">
        <f aca="false">SUMPRODUCT(FC_O*((FC_Mon="PYG")*CE$19+(FC_Mon&lt;&gt;"PYG"))*(1+FC_g)^(CE$17-1)*((FC_Desde=0)*(CE$16+CE$15)+(FC_Desde&gt;=1)*(CE$14&gt;=FC_Desde)*CE$15)*FC_IVA/(1+FC_IVA))</f>
        <v>0</v>
      </c>
      <c r="CF65" s="34" t="n">
        <f aca="false">SUMPRODUCT(FC_O*((FC_Mon="PYG")*CF$19+(FC_Mon&lt;&gt;"PYG"))*(1+FC_g)^(CF$17-1)*((FC_Desde=0)*(CF$16+CF$15)+(FC_Desde&gt;=1)*(CF$14&gt;=FC_Desde)*CF$15)*FC_IVA/(1+FC_IVA))</f>
        <v>0</v>
      </c>
      <c r="CG65" s="34" t="n">
        <f aca="false">SUMPRODUCT(FC_O*((FC_Mon="PYG")*CG$19+(FC_Mon&lt;&gt;"PYG"))*(1+FC_g)^(CG$17-1)*((FC_Desde=0)*(CG$16+CG$15)+(FC_Desde&gt;=1)*(CG$14&gt;=FC_Desde)*CG$15)*FC_IVA/(1+FC_IVA))</f>
        <v>0</v>
      </c>
      <c r="CH65" s="34" t="n">
        <f aca="false">SUMPRODUCT(FC_O*((FC_Mon="PYG")*CH$19+(FC_Mon&lt;&gt;"PYG"))*(1+FC_g)^(CH$17-1)*((FC_Desde=0)*(CH$16+CH$15)+(FC_Desde&gt;=1)*(CH$14&gt;=FC_Desde)*CH$15)*FC_IVA/(1+FC_IVA))</f>
        <v>0</v>
      </c>
      <c r="CI65" s="34" t="n">
        <f aca="false">SUMPRODUCT(FC_O*((FC_Mon="PYG")*CI$19+(FC_Mon&lt;&gt;"PYG"))*(1+FC_g)^(CI$17-1)*((FC_Desde=0)*(CI$16+CI$15)+(FC_Desde&gt;=1)*(CI$14&gt;=FC_Desde)*CI$15)*FC_IVA/(1+FC_IVA))</f>
        <v>0</v>
      </c>
      <c r="CJ65" s="34" t="n">
        <f aca="false">SUMPRODUCT(FC_O*((FC_Mon="PYG")*CJ$19+(FC_Mon&lt;&gt;"PYG"))*(1+FC_g)^(CJ$17-1)*((FC_Desde=0)*(CJ$16+CJ$15)+(FC_Desde&gt;=1)*(CJ$14&gt;=FC_Desde)*CJ$15)*FC_IVA/(1+FC_IVA))</f>
        <v>0</v>
      </c>
      <c r="CK65" s="34" t="n">
        <f aca="false">SUMPRODUCT(FC_O*((FC_Mon="PYG")*CK$19+(FC_Mon&lt;&gt;"PYG"))*(1+FC_g)^(CK$17-1)*((FC_Desde=0)*(CK$16+CK$15)+(FC_Desde&gt;=1)*(CK$14&gt;=FC_Desde)*CK$15)*FC_IVA/(1+FC_IVA))</f>
        <v>0</v>
      </c>
      <c r="CL65" s="34" t="n">
        <f aca="false">SUMPRODUCT(FC_O*((FC_Mon="PYG")*CL$19+(FC_Mon&lt;&gt;"PYG"))*(1+FC_g)^(CL$17-1)*((FC_Desde=0)*(CL$16+CL$15)+(FC_Desde&gt;=1)*(CL$14&gt;=FC_Desde)*CL$15)*FC_IVA/(1+FC_IVA))</f>
        <v>0</v>
      </c>
      <c r="CM65" s="34" t="n">
        <f aca="false">SUMPRODUCT(FC_O*((FC_Mon="PYG")*CM$19+(FC_Mon&lt;&gt;"PYG"))*(1+FC_g)^(CM$17-1)*((FC_Desde=0)*(CM$16+CM$15)+(FC_Desde&gt;=1)*(CM$14&gt;=FC_Desde)*CM$15)*FC_IVA/(1+FC_IVA))</f>
        <v>0</v>
      </c>
      <c r="CN65" s="34" t="n">
        <f aca="false">SUMPRODUCT(FC_O*((FC_Mon="PYG")*CN$19+(FC_Mon&lt;&gt;"PYG"))*(1+FC_g)^(CN$17-1)*((FC_Desde=0)*(CN$16+CN$15)+(FC_Desde&gt;=1)*(CN$14&gt;=FC_Desde)*CN$15)*FC_IVA/(1+FC_IVA))</f>
        <v>0</v>
      </c>
      <c r="CO65" s="34" t="n">
        <f aca="false">SUMPRODUCT(FC_O*((FC_Mon="PYG")*CO$19+(FC_Mon&lt;&gt;"PYG"))*(1+FC_g)^(CO$17-1)*((FC_Desde=0)*(CO$16+CO$15)+(FC_Desde&gt;=1)*(CO$14&gt;=FC_Desde)*CO$15)*FC_IVA/(1+FC_IVA))</f>
        <v>0</v>
      </c>
      <c r="CP65" s="34" t="n">
        <f aca="false">SUMPRODUCT(FC_O*((FC_Mon="PYG")*CP$19+(FC_Mon&lt;&gt;"PYG"))*(1+FC_g)^(CP$17-1)*((FC_Desde=0)*(CP$16+CP$15)+(FC_Desde&gt;=1)*(CP$14&gt;=FC_Desde)*CP$15)*FC_IVA/(1+FC_IVA))</f>
        <v>0</v>
      </c>
      <c r="CQ65" s="34" t="n">
        <f aca="false">SUMPRODUCT(FC_O*((FC_Mon="PYG")*CQ$19+(FC_Mon&lt;&gt;"PYG"))*(1+FC_g)^(CQ$17-1)*((FC_Desde=0)*(CQ$16+CQ$15)+(FC_Desde&gt;=1)*(CQ$14&gt;=FC_Desde)*CQ$15)*FC_IVA/(1+FC_IVA))</f>
        <v>0</v>
      </c>
      <c r="CR65" s="34" t="n">
        <f aca="false">SUMPRODUCT(FC_O*((FC_Mon="PYG")*CR$19+(FC_Mon&lt;&gt;"PYG"))*(1+FC_g)^(CR$17-1)*((FC_Desde=0)*(CR$16+CR$15)+(FC_Desde&gt;=1)*(CR$14&gt;=FC_Desde)*CR$15)*FC_IVA/(1+FC_IVA))</f>
        <v>0</v>
      </c>
      <c r="CS65" s="34" t="n">
        <f aca="false">SUMPRODUCT(FC_O*((FC_Mon="PYG")*CS$19+(FC_Mon&lt;&gt;"PYG"))*(1+FC_g)^(CS$17-1)*((FC_Desde=0)*(CS$16+CS$15)+(FC_Desde&gt;=1)*(CS$14&gt;=FC_Desde)*CS$15)*FC_IVA/(1+FC_IVA))</f>
        <v>0</v>
      </c>
      <c r="CT65" s="34" t="n">
        <f aca="false">SUMPRODUCT(FC_O*((FC_Mon="PYG")*CT$19+(FC_Mon&lt;&gt;"PYG"))*(1+FC_g)^(CT$17-1)*((FC_Desde=0)*(CT$16+CT$15)+(FC_Desde&gt;=1)*(CT$14&gt;=FC_Desde)*CT$15)*FC_IVA/(1+FC_IVA))</f>
        <v>0</v>
      </c>
      <c r="CU65" s="34" t="n">
        <f aca="false">SUMPRODUCT(FC_O*((FC_Mon="PYG")*CU$19+(FC_Mon&lt;&gt;"PYG"))*(1+FC_g)^(CU$17-1)*((FC_Desde=0)*(CU$16+CU$15)+(FC_Desde&gt;=1)*(CU$14&gt;=FC_Desde)*CU$15)*FC_IVA/(1+FC_IVA))</f>
        <v>0</v>
      </c>
      <c r="CV65" s="34" t="n">
        <f aca="false">SUMPRODUCT(FC_O*((FC_Mon="PYG")*CV$19+(FC_Mon&lt;&gt;"PYG"))*(1+FC_g)^(CV$17-1)*((FC_Desde=0)*(CV$16+CV$15)+(FC_Desde&gt;=1)*(CV$14&gt;=FC_Desde)*CV$15)*FC_IVA/(1+FC_IVA))</f>
        <v>0</v>
      </c>
      <c r="CW65" s="34" t="n">
        <f aca="false">SUMPRODUCT(FC_O*((FC_Mon="PYG")*CW$19+(FC_Mon&lt;&gt;"PYG"))*(1+FC_g)^(CW$17-1)*((FC_Desde=0)*(CW$16+CW$15)+(FC_Desde&gt;=1)*(CW$14&gt;=FC_Desde)*CW$15)*FC_IVA/(1+FC_IVA))</f>
        <v>0</v>
      </c>
      <c r="CX65" s="34" t="n">
        <f aca="false">SUMPRODUCT(FC_O*((FC_Mon="PYG")*CX$19+(FC_Mon&lt;&gt;"PYG"))*(1+FC_g)^(CX$17-1)*((FC_Desde=0)*(CX$16+CX$15)+(FC_Desde&gt;=1)*(CX$14&gt;=FC_Desde)*CX$15)*FC_IVA/(1+FC_IVA))</f>
        <v>0</v>
      </c>
      <c r="CY65" s="34" t="n">
        <f aca="false">SUMPRODUCT(FC_O*((FC_Mon="PYG")*CY$19+(FC_Mon&lt;&gt;"PYG"))*(1+FC_g)^(CY$17-1)*((FC_Desde=0)*(CY$16+CY$15)+(FC_Desde&gt;=1)*(CY$14&gt;=FC_Desde)*CY$15)*FC_IVA/(1+FC_IVA))</f>
        <v>0</v>
      </c>
      <c r="CZ65" s="34" t="n">
        <f aca="false">SUMPRODUCT(FC_O*((FC_Mon="PYG")*CZ$19+(FC_Mon&lt;&gt;"PYG"))*(1+FC_g)^(CZ$17-1)*((FC_Desde=0)*(CZ$16+CZ$15)+(FC_Desde&gt;=1)*(CZ$14&gt;=FC_Desde)*CZ$15)*FC_IVA/(1+FC_IVA))</f>
        <v>0</v>
      </c>
      <c r="DA65" s="34" t="n">
        <f aca="false">SUMPRODUCT(FC_O*((FC_Mon="PYG")*DA$19+(FC_Mon&lt;&gt;"PYG"))*(1+FC_g)^(DA$17-1)*((FC_Desde=0)*(DA$16+DA$15)+(FC_Desde&gt;=1)*(DA$14&gt;=FC_Desde)*DA$15)*FC_IVA/(1+FC_IVA))</f>
        <v>0</v>
      </c>
      <c r="DB65" s="34" t="n">
        <f aca="false">SUMPRODUCT(FC_O*((FC_Mon="PYG")*DB$19+(FC_Mon&lt;&gt;"PYG"))*(1+FC_g)^(DB$17-1)*((FC_Desde=0)*(DB$16+DB$15)+(FC_Desde&gt;=1)*(DB$14&gt;=FC_Desde)*DB$15)*FC_IVA/(1+FC_IVA))</f>
        <v>0</v>
      </c>
      <c r="DC65" s="34" t="n">
        <f aca="false">SUMPRODUCT(FC_O*((FC_Mon="PYG")*DC$19+(FC_Mon&lt;&gt;"PYG"))*(1+FC_g)^(DC$17-1)*((FC_Desde=0)*(DC$16+DC$15)+(FC_Desde&gt;=1)*(DC$14&gt;=FC_Desde)*DC$15)*FC_IVA/(1+FC_IVA))</f>
        <v>0</v>
      </c>
      <c r="DD65" s="34" t="n">
        <f aca="false">SUMPRODUCT(FC_O*((FC_Mon="PYG")*DD$19+(FC_Mon&lt;&gt;"PYG"))*(1+FC_g)^(DD$17-1)*((FC_Desde=0)*(DD$16+DD$15)+(FC_Desde&gt;=1)*(DD$14&gt;=FC_Desde)*DD$15)*FC_IVA/(1+FC_IVA))</f>
        <v>0</v>
      </c>
      <c r="DE65" s="34" t="n">
        <f aca="false">SUMPRODUCT(FC_O*((FC_Mon="PYG")*DE$19+(FC_Mon&lt;&gt;"PYG"))*(1+FC_g)^(DE$17-1)*((FC_Desde=0)*(DE$16+DE$15)+(FC_Desde&gt;=1)*(DE$14&gt;=FC_Desde)*DE$15)*FC_IVA/(1+FC_IVA))</f>
        <v>0</v>
      </c>
      <c r="DF65" s="34" t="n">
        <f aca="false">SUMPRODUCT(FC_O*((FC_Mon="PYG")*DF$19+(FC_Mon&lt;&gt;"PYG"))*(1+FC_g)^(DF$17-1)*((FC_Desde=0)*(DF$16+DF$15)+(FC_Desde&gt;=1)*(DF$14&gt;=FC_Desde)*DF$15)*FC_IVA/(1+FC_IVA))</f>
        <v>0</v>
      </c>
      <c r="DG65" s="34" t="n">
        <f aca="false">SUMPRODUCT(FC_O*((FC_Mon="PYG")*DG$19+(FC_Mon&lt;&gt;"PYG"))*(1+FC_g)^(DG$17-1)*((FC_Desde=0)*(DG$16+DG$15)+(FC_Desde&gt;=1)*(DG$14&gt;=FC_Desde)*DG$15)*FC_IVA/(1+FC_IVA))</f>
        <v>0</v>
      </c>
      <c r="DH65" s="34" t="n">
        <f aca="false">SUMPRODUCT(FC_O*((FC_Mon="PYG")*DH$19+(FC_Mon&lt;&gt;"PYG"))*(1+FC_g)^(DH$17-1)*((FC_Desde=0)*(DH$16+DH$15)+(FC_Desde&gt;=1)*(DH$14&gt;=FC_Desde)*DH$15)*FC_IVA/(1+FC_IVA))</f>
        <v>0</v>
      </c>
      <c r="DI65" s="34" t="n">
        <f aca="false">SUMPRODUCT(FC_O*((FC_Mon="PYG")*DI$19+(FC_Mon&lt;&gt;"PYG"))*(1+FC_g)^(DI$17-1)*((FC_Desde=0)*(DI$16+DI$15)+(FC_Desde&gt;=1)*(DI$14&gt;=FC_Desde)*DI$15)*FC_IVA/(1+FC_IVA))</f>
        <v>0</v>
      </c>
      <c r="DJ65" s="34" t="n">
        <f aca="false">SUMPRODUCT(FC_O*((FC_Mon="PYG")*DJ$19+(FC_Mon&lt;&gt;"PYG"))*(1+FC_g)^(DJ$17-1)*((FC_Desde=0)*(DJ$16+DJ$15)+(FC_Desde&gt;=1)*(DJ$14&gt;=FC_Desde)*DJ$15)*FC_IVA/(1+FC_IVA))</f>
        <v>0</v>
      </c>
      <c r="DK65" s="34" t="n">
        <f aca="false">SUMPRODUCT(FC_O*((FC_Mon="PYG")*DK$19+(FC_Mon&lt;&gt;"PYG"))*(1+FC_g)^(DK$17-1)*((FC_Desde=0)*(DK$16+DK$15)+(FC_Desde&gt;=1)*(DK$14&gt;=FC_Desde)*DK$15)*FC_IVA/(1+FC_IVA))</f>
        <v>0</v>
      </c>
      <c r="DL65" s="34" t="n">
        <f aca="false">SUMPRODUCT(FC_O*((FC_Mon="PYG")*DL$19+(FC_Mon&lt;&gt;"PYG"))*(1+FC_g)^(DL$17-1)*((FC_Desde=0)*(DL$16+DL$15)+(FC_Desde&gt;=1)*(DL$14&gt;=FC_Desde)*DL$15)*FC_IVA/(1+FC_IVA))</f>
        <v>0</v>
      </c>
      <c r="DM65" s="34" t="n">
        <f aca="false">SUMPRODUCT(FC_O*((FC_Mon="PYG")*DM$19+(FC_Mon&lt;&gt;"PYG"))*(1+FC_g)^(DM$17-1)*((FC_Desde=0)*(DM$16+DM$15)+(FC_Desde&gt;=1)*(DM$14&gt;=FC_Desde)*DM$15)*FC_IVA/(1+FC_IVA))</f>
        <v>0</v>
      </c>
      <c r="DN65" s="34" t="n">
        <f aca="false">SUMPRODUCT(FC_O*((FC_Mon="PYG")*DN$19+(FC_Mon&lt;&gt;"PYG"))*(1+FC_g)^(DN$17-1)*((FC_Desde=0)*(DN$16+DN$15)+(FC_Desde&gt;=1)*(DN$14&gt;=FC_Desde)*DN$15)*FC_IVA/(1+FC_IVA))</f>
        <v>0</v>
      </c>
      <c r="DO65" s="34" t="n">
        <f aca="false">SUMPRODUCT(FC_O*((FC_Mon="PYG")*DO$19+(FC_Mon&lt;&gt;"PYG"))*(1+FC_g)^(DO$17-1)*((FC_Desde=0)*(DO$16+DO$15)+(FC_Desde&gt;=1)*(DO$14&gt;=FC_Desde)*DO$15)*FC_IVA/(1+FC_IVA))</f>
        <v>0</v>
      </c>
      <c r="DP65" s="34" t="n">
        <f aca="false">SUMPRODUCT(FC_O*((FC_Mon="PYG")*DP$19+(FC_Mon&lt;&gt;"PYG"))*(1+FC_g)^(DP$17-1)*((FC_Desde=0)*(DP$16+DP$15)+(FC_Desde&gt;=1)*(DP$14&gt;=FC_Desde)*DP$15)*FC_IVA/(1+FC_IVA))</f>
        <v>0</v>
      </c>
      <c r="DQ65" s="34" t="n">
        <f aca="false">SUMPRODUCT(FC_O*((FC_Mon="PYG")*DQ$19+(FC_Mon&lt;&gt;"PYG"))*(1+FC_g)^(DQ$17-1)*((FC_Desde=0)*(DQ$16+DQ$15)+(FC_Desde&gt;=1)*(DQ$14&gt;=FC_Desde)*DQ$15)*FC_IVA/(1+FC_IVA))</f>
        <v>0</v>
      </c>
      <c r="DR65" s="34" t="n">
        <f aca="false">SUMPRODUCT(FC_O*((FC_Mon="PYG")*DR$19+(FC_Mon&lt;&gt;"PYG"))*(1+FC_g)^(DR$17-1)*((FC_Desde=0)*(DR$16+DR$15)+(FC_Desde&gt;=1)*(DR$14&gt;=FC_Desde)*DR$15)*FC_IVA/(1+FC_IVA))</f>
        <v>0</v>
      </c>
      <c r="DS65" s="34" t="n">
        <f aca="false">SUMPRODUCT(FC_O*((FC_Mon="PYG")*DS$19+(FC_Mon&lt;&gt;"PYG"))*(1+FC_g)^(DS$17-1)*((FC_Desde=0)*(DS$16+DS$15)+(FC_Desde&gt;=1)*(DS$14&gt;=FC_Desde)*DS$15)*FC_IVA/(1+FC_IVA))</f>
        <v>0</v>
      </c>
      <c r="DT65" s="34" t="n">
        <f aca="false">SUMPRODUCT(FC_O*((FC_Mon="PYG")*DT$19+(FC_Mon&lt;&gt;"PYG"))*(1+FC_g)^(DT$17-1)*((FC_Desde=0)*(DT$16+DT$15)+(FC_Desde&gt;=1)*(DT$14&gt;=FC_Desde)*DT$15)*FC_IVA/(1+FC_IVA))</f>
        <v>0</v>
      </c>
      <c r="DU65" s="34" t="n">
        <f aca="false">SUMPRODUCT(FC_O*((FC_Mon="PYG")*DU$19+(FC_Mon&lt;&gt;"PYG"))*(1+FC_g)^(DU$17-1)*((FC_Desde=0)*(DU$16+DU$15)+(FC_Desde&gt;=1)*(DU$14&gt;=FC_Desde)*DU$15)*FC_IVA/(1+FC_IVA))</f>
        <v>0</v>
      </c>
      <c r="DV65" s="34" t="n">
        <f aca="false">SUMPRODUCT(FC_O*((FC_Mon="PYG")*DV$19+(FC_Mon&lt;&gt;"PYG"))*(1+FC_g)^(DV$17-1)*((FC_Desde=0)*(DV$16+DV$15)+(FC_Desde&gt;=1)*(DV$14&gt;=FC_Desde)*DV$15)*FC_IVA/(1+FC_IVA))</f>
        <v>0</v>
      </c>
      <c r="DW65" s="34" t="n">
        <f aca="false">SUMPRODUCT(FC_O*((FC_Mon="PYG")*DW$19+(FC_Mon&lt;&gt;"PYG"))*(1+FC_g)^(DW$17-1)*((FC_Desde=0)*(DW$16+DW$15)+(FC_Desde&gt;=1)*(DW$14&gt;=FC_Desde)*DW$15)*FC_IVA/(1+FC_IVA))</f>
        <v>0</v>
      </c>
      <c r="DX65" s="34" t="n">
        <f aca="false">SUMPRODUCT(FC_O*((FC_Mon="PYG")*DX$19+(FC_Mon&lt;&gt;"PYG"))*(1+FC_g)^(DX$17-1)*((FC_Desde=0)*(DX$16+DX$15)+(FC_Desde&gt;=1)*(DX$14&gt;=FC_Desde)*DX$15)*FC_IVA/(1+FC_IVA))</f>
        <v>0</v>
      </c>
      <c r="DY65" s="34" t="n">
        <f aca="false">SUMPRODUCT(FC_O*((FC_Mon="PYG")*DY$19+(FC_Mon&lt;&gt;"PYG"))*(1+FC_g)^(DY$17-1)*((FC_Desde=0)*(DY$16+DY$15)+(FC_Desde&gt;=1)*(DY$14&gt;=FC_Desde)*DY$15)*FC_IVA/(1+FC_IVA))</f>
        <v>0</v>
      </c>
      <c r="DZ65" s="34" t="n">
        <f aca="false">SUMPRODUCT(FC_O*((FC_Mon="PYG")*DZ$19+(FC_Mon&lt;&gt;"PYG"))*(1+FC_g)^(DZ$17-1)*((FC_Desde=0)*(DZ$16+DZ$15)+(FC_Desde&gt;=1)*(DZ$14&gt;=FC_Desde)*DZ$15)*FC_IVA/(1+FC_IVA))</f>
        <v>0</v>
      </c>
      <c r="EA65" s="34" t="n">
        <f aca="false">SUMPRODUCT(FC_O*((FC_Mon="PYG")*EA$19+(FC_Mon&lt;&gt;"PYG"))*(1+FC_g)^(EA$17-1)*((FC_Desde=0)*(EA$16+EA$15)+(FC_Desde&gt;=1)*(EA$14&gt;=FC_Desde)*EA$15)*FC_IVA/(1+FC_IVA))</f>
        <v>0</v>
      </c>
      <c r="EB65" s="34" t="n">
        <f aca="false">SUMPRODUCT(FC_O*((FC_Mon="PYG")*EB$19+(FC_Mon&lt;&gt;"PYG"))*(1+FC_g)^(EB$17-1)*((FC_Desde=0)*(EB$16+EB$15)+(FC_Desde&gt;=1)*(EB$14&gt;=FC_Desde)*EB$15)*FC_IVA/(1+FC_IVA))</f>
        <v>0</v>
      </c>
      <c r="EC65" s="34" t="n">
        <f aca="false">SUMPRODUCT(FC_O*((FC_Mon="PYG")*EC$19+(FC_Mon&lt;&gt;"PYG"))*(1+FC_g)^(EC$17-1)*((FC_Desde=0)*(EC$16+EC$15)+(FC_Desde&gt;=1)*(EC$14&gt;=FC_Desde)*EC$15)*FC_IVA/(1+FC_IVA))</f>
        <v>0</v>
      </c>
      <c r="ED65" s="34" t="n">
        <f aca="false">SUMPRODUCT(FC_O*((FC_Mon="PYG")*ED$19+(FC_Mon&lt;&gt;"PYG"))*(1+FC_g)^(ED$17-1)*((FC_Desde=0)*(ED$16+ED$15)+(FC_Desde&gt;=1)*(ED$14&gt;=FC_Desde)*ED$15)*FC_IVA/(1+FC_IVA))</f>
        <v>0</v>
      </c>
      <c r="EE65" s="34" t="n">
        <f aca="false">SUMPRODUCT(FC_O*((FC_Mon="PYG")*EE$19+(FC_Mon&lt;&gt;"PYG"))*(1+FC_g)^(EE$17-1)*((FC_Desde=0)*(EE$16+EE$15)+(FC_Desde&gt;=1)*(EE$14&gt;=FC_Desde)*EE$15)*FC_IVA/(1+FC_IVA))</f>
        <v>0</v>
      </c>
      <c r="EF65" s="34" t="n">
        <f aca="false">SUMPRODUCT(FC_O*((FC_Mon="PYG")*EF$19+(FC_Mon&lt;&gt;"PYG"))*(1+FC_g)^(EF$17-1)*((FC_Desde=0)*(EF$16+EF$15)+(FC_Desde&gt;=1)*(EF$14&gt;=FC_Desde)*EF$15)*FC_IVA/(1+FC_IVA))</f>
        <v>0</v>
      </c>
      <c r="EG65" s="34" t="n">
        <f aca="false">SUMPRODUCT(FC_O*((FC_Mon="PYG")*EG$19+(FC_Mon&lt;&gt;"PYG"))*(1+FC_g)^(EG$17-1)*((FC_Desde=0)*(EG$16+EG$15)+(FC_Desde&gt;=1)*(EG$14&gt;=FC_Desde)*EG$15)*FC_IVA/(1+FC_IVA))</f>
        <v>0</v>
      </c>
      <c r="EH65" s="34" t="n">
        <f aca="false">SUMPRODUCT(FC_O*((FC_Mon="PYG")*EH$19+(FC_Mon&lt;&gt;"PYG"))*(1+FC_g)^(EH$17-1)*((FC_Desde=0)*(EH$16+EH$15)+(FC_Desde&gt;=1)*(EH$14&gt;=FC_Desde)*EH$15)*FC_IVA/(1+FC_IVA))</f>
        <v>0</v>
      </c>
      <c r="EI65" s="34" t="n">
        <f aca="false">SUMPRODUCT(FC_O*((FC_Mon="PYG")*EI$19+(FC_Mon&lt;&gt;"PYG"))*(1+FC_g)^(EI$17-1)*((FC_Desde=0)*(EI$16+EI$15)+(FC_Desde&gt;=1)*(EI$14&gt;=FC_Desde)*EI$15)*FC_IVA/(1+FC_IVA))</f>
        <v>0</v>
      </c>
      <c r="EJ65" s="34" t="n">
        <f aca="false">SUMPRODUCT(FC_O*((FC_Mon="PYG")*EJ$19+(FC_Mon&lt;&gt;"PYG"))*(1+FC_g)^(EJ$17-1)*((FC_Desde=0)*(EJ$16+EJ$15)+(FC_Desde&gt;=1)*(EJ$14&gt;=FC_Desde)*EJ$15)*FC_IVA/(1+FC_IVA))</f>
        <v>0</v>
      </c>
      <c r="EK65" s="34" t="n">
        <f aca="false">SUMPRODUCT(FC_O*((FC_Mon="PYG")*EK$19+(FC_Mon&lt;&gt;"PYG"))*(1+FC_g)^(EK$17-1)*((FC_Desde=0)*(EK$16+EK$15)+(FC_Desde&gt;=1)*(EK$14&gt;=FC_Desde)*EK$15)*FC_IVA/(1+FC_IVA))</f>
        <v>0</v>
      </c>
      <c r="EL65" s="34" t="n">
        <f aca="false">SUMPRODUCT(FC_O*((FC_Mon="PYG")*EL$19+(FC_Mon&lt;&gt;"PYG"))*(1+FC_g)^(EL$17-1)*((FC_Desde=0)*(EL$16+EL$15)+(FC_Desde&gt;=1)*(EL$14&gt;=FC_Desde)*EL$15)*FC_IVA/(1+FC_IVA))</f>
        <v>0</v>
      </c>
      <c r="EM65" s="34" t="n">
        <f aca="false">SUMPRODUCT(FC_O*((FC_Mon="PYG")*EM$19+(FC_Mon&lt;&gt;"PYG"))*(1+FC_g)^(EM$17-1)*((FC_Desde=0)*(EM$16+EM$15)+(FC_Desde&gt;=1)*(EM$14&gt;=FC_Desde)*EM$15)*FC_IVA/(1+FC_IVA))</f>
        <v>0</v>
      </c>
      <c r="EN65" s="34" t="n">
        <f aca="false">SUMPRODUCT(FC_O*((FC_Mon="PYG")*EN$19+(FC_Mon&lt;&gt;"PYG"))*(1+FC_g)^(EN$17-1)*((FC_Desde=0)*(EN$16+EN$15)+(FC_Desde&gt;=1)*(EN$14&gt;=FC_Desde)*EN$15)*FC_IVA/(1+FC_IVA))</f>
        <v>0</v>
      </c>
      <c r="EO65" s="34" t="n">
        <f aca="false">SUMPRODUCT(FC_O*((FC_Mon="PYG")*EO$19+(FC_Mon&lt;&gt;"PYG"))*(1+FC_g)^(EO$17-1)*((FC_Desde=0)*(EO$16+EO$15)+(FC_Desde&gt;=1)*(EO$14&gt;=FC_Desde)*EO$15)*FC_IVA/(1+FC_IVA))</f>
        <v>0</v>
      </c>
      <c r="EP65" s="34" t="n">
        <f aca="false">SUMPRODUCT(FC_O*((FC_Mon="PYG")*EP$19+(FC_Mon&lt;&gt;"PYG"))*(1+FC_g)^(EP$17-1)*((FC_Desde=0)*(EP$16+EP$15)+(FC_Desde&gt;=1)*(EP$14&gt;=FC_Desde)*EP$15)*FC_IVA/(1+FC_IVA))</f>
        <v>0</v>
      </c>
      <c r="EQ65" s="34" t="n">
        <f aca="false">SUMPRODUCT(FC_O*((FC_Mon="PYG")*EQ$19+(FC_Mon&lt;&gt;"PYG"))*(1+FC_g)^(EQ$17-1)*((FC_Desde=0)*(EQ$16+EQ$15)+(FC_Desde&gt;=1)*(EQ$14&gt;=FC_Desde)*EQ$15)*FC_IVA/(1+FC_IVA))</f>
        <v>0</v>
      </c>
      <c r="ER65" s="34" t="n">
        <f aca="false">SUMPRODUCT(FC_O*((FC_Mon="PYG")*ER$19+(FC_Mon&lt;&gt;"PYG"))*(1+FC_g)^(ER$17-1)*((FC_Desde=0)*(ER$16+ER$15)+(FC_Desde&gt;=1)*(ER$14&gt;=FC_Desde)*ER$15)*FC_IVA/(1+FC_IVA))</f>
        <v>0</v>
      </c>
      <c r="ES65" s="34" t="n">
        <f aca="false">SUMPRODUCT(FC_O*((FC_Mon="PYG")*ES$19+(FC_Mon&lt;&gt;"PYG"))*(1+FC_g)^(ES$17-1)*((FC_Desde=0)*(ES$16+ES$15)+(FC_Desde&gt;=1)*(ES$14&gt;=FC_Desde)*ES$15)*FC_IVA/(1+FC_IVA))</f>
        <v>0</v>
      </c>
    </row>
    <row r="66" customFormat="false" ht="15" hidden="false" customHeight="false" outlineLevel="0" collapsed="false">
      <c r="A66" s="4"/>
      <c r="B66" s="3" t="s">
        <v>497</v>
      </c>
      <c r="C66" s="4"/>
      <c r="D66" s="4"/>
      <c r="E66" s="4"/>
    </row>
    <row r="67" customFormat="false" ht="15" hidden="false" customHeight="false" outlineLevel="0" collapsed="false">
      <c r="A67" s="2" t="s">
        <v>498</v>
      </c>
      <c r="B67" s="6" t="s">
        <v>499</v>
      </c>
      <c r="C67" s="6" t="s">
        <v>212</v>
      </c>
      <c r="E67" s="40" t="n">
        <f aca="false">SUM(F67:ES67)</f>
        <v>0</v>
      </c>
      <c r="F67" s="34" t="n">
        <f aca="false">F$47+F$48</f>
        <v>0</v>
      </c>
      <c r="G67" s="34" t="n">
        <f aca="false">G$47+G$48</f>
        <v>0</v>
      </c>
      <c r="H67" s="34" t="n">
        <f aca="false">H$47+H$48</f>
        <v>0</v>
      </c>
      <c r="I67" s="34" t="n">
        <f aca="false">I$47+I$48</f>
        <v>0</v>
      </c>
      <c r="J67" s="34" t="n">
        <f aca="false">J$47+J$48</f>
        <v>0</v>
      </c>
      <c r="K67" s="34" t="n">
        <f aca="false">K$47+K$48</f>
        <v>0</v>
      </c>
      <c r="L67" s="34" t="n">
        <f aca="false">L$47+L$48</f>
        <v>0</v>
      </c>
      <c r="M67" s="34" t="n">
        <f aca="false">M$47+M$48</f>
        <v>0</v>
      </c>
      <c r="N67" s="34" t="n">
        <f aca="false">N$47+N$48</f>
        <v>0</v>
      </c>
      <c r="O67" s="34" t="n">
        <f aca="false">O$47+O$48</f>
        <v>0</v>
      </c>
      <c r="P67" s="34" t="n">
        <f aca="false">P$47+P$48</f>
        <v>0</v>
      </c>
      <c r="Q67" s="34" t="n">
        <f aca="false">Q$47+Q$48</f>
        <v>0</v>
      </c>
      <c r="R67" s="34" t="n">
        <f aca="false">R$47+R$48</f>
        <v>0</v>
      </c>
      <c r="S67" s="34" t="n">
        <f aca="false">S$47+S$48</f>
        <v>0</v>
      </c>
      <c r="T67" s="34" t="n">
        <f aca="false">T$47+T$48</f>
        <v>0</v>
      </c>
      <c r="U67" s="34" t="n">
        <f aca="false">U$47+U$48</f>
        <v>0</v>
      </c>
      <c r="V67" s="34" t="n">
        <f aca="false">V$47+V$48</f>
        <v>0</v>
      </c>
      <c r="W67" s="34" t="n">
        <f aca="false">W$47+W$48</f>
        <v>0</v>
      </c>
      <c r="X67" s="34" t="n">
        <f aca="false">X$47+X$48</f>
        <v>0</v>
      </c>
      <c r="Y67" s="34" t="n">
        <f aca="false">Y$47+Y$48</f>
        <v>0</v>
      </c>
      <c r="Z67" s="34" t="n">
        <f aca="false">Z$47+Z$48</f>
        <v>0</v>
      </c>
      <c r="AA67" s="34" t="n">
        <f aca="false">AA$47+AA$48</f>
        <v>0</v>
      </c>
      <c r="AB67" s="34" t="n">
        <f aca="false">AB$47+AB$48</f>
        <v>0</v>
      </c>
      <c r="AC67" s="34" t="n">
        <f aca="false">AC$47+AC$48</f>
        <v>0</v>
      </c>
      <c r="AD67" s="34" t="n">
        <f aca="false">AD$47+AD$48</f>
        <v>0</v>
      </c>
      <c r="AE67" s="34" t="n">
        <f aca="false">AE$47+AE$48</f>
        <v>0</v>
      </c>
      <c r="AF67" s="34" t="n">
        <f aca="false">AF$47+AF$48</f>
        <v>0</v>
      </c>
      <c r="AG67" s="34" t="n">
        <f aca="false">AG$47+AG$48</f>
        <v>0</v>
      </c>
      <c r="AH67" s="34" t="n">
        <f aca="false">AH$47+AH$48</f>
        <v>0</v>
      </c>
      <c r="AI67" s="34" t="n">
        <f aca="false">AI$47+AI$48</f>
        <v>0</v>
      </c>
      <c r="AJ67" s="34" t="n">
        <f aca="false">AJ$47+AJ$48</f>
        <v>0</v>
      </c>
      <c r="AK67" s="34" t="n">
        <f aca="false">AK$47+AK$48</f>
        <v>0</v>
      </c>
      <c r="AL67" s="34" t="n">
        <f aca="false">AL$47+AL$48</f>
        <v>0</v>
      </c>
      <c r="AM67" s="34" t="n">
        <f aca="false">AM$47+AM$48</f>
        <v>0</v>
      </c>
      <c r="AN67" s="34" t="n">
        <f aca="false">AN$47+AN$48</f>
        <v>0</v>
      </c>
      <c r="AO67" s="34" t="n">
        <f aca="false">AO$47+AO$48</f>
        <v>0</v>
      </c>
      <c r="AP67" s="34" t="n">
        <f aca="false">AP$47+AP$48</f>
        <v>0</v>
      </c>
      <c r="AQ67" s="34" t="n">
        <f aca="false">AQ$47+AQ$48</f>
        <v>0</v>
      </c>
      <c r="AR67" s="34" t="n">
        <f aca="false">AR$47+AR$48</f>
        <v>0</v>
      </c>
      <c r="AS67" s="34" t="n">
        <f aca="false">AS$47+AS$48</f>
        <v>0</v>
      </c>
      <c r="AT67" s="34" t="n">
        <f aca="false">AT$47+AT$48</f>
        <v>0</v>
      </c>
      <c r="AU67" s="34" t="n">
        <f aca="false">AU$47+AU$48</f>
        <v>0</v>
      </c>
      <c r="AV67" s="34" t="n">
        <f aca="false">AV$47+AV$48</f>
        <v>0</v>
      </c>
      <c r="AW67" s="34" t="n">
        <f aca="false">AW$47+AW$48</f>
        <v>0</v>
      </c>
      <c r="AX67" s="34" t="n">
        <f aca="false">AX$47+AX$48</f>
        <v>0</v>
      </c>
      <c r="AY67" s="34" t="n">
        <f aca="false">AY$47+AY$48</f>
        <v>0</v>
      </c>
      <c r="AZ67" s="34" t="n">
        <f aca="false">AZ$47+AZ$48</f>
        <v>0</v>
      </c>
      <c r="BA67" s="34" t="n">
        <f aca="false">BA$47+BA$48</f>
        <v>0</v>
      </c>
      <c r="BB67" s="34" t="n">
        <f aca="false">BB$47+BB$48</f>
        <v>0</v>
      </c>
      <c r="BC67" s="34" t="n">
        <f aca="false">BC$47+BC$48</f>
        <v>0</v>
      </c>
      <c r="BD67" s="34" t="n">
        <f aca="false">BD$47+BD$48</f>
        <v>0</v>
      </c>
      <c r="BE67" s="34" t="n">
        <f aca="false">BE$47+BE$48</f>
        <v>0</v>
      </c>
      <c r="BF67" s="34" t="n">
        <f aca="false">BF$47+BF$48</f>
        <v>0</v>
      </c>
      <c r="BG67" s="34" t="n">
        <f aca="false">BG$47+BG$48</f>
        <v>0</v>
      </c>
      <c r="BH67" s="34" t="n">
        <f aca="false">BH$47+BH$48</f>
        <v>0</v>
      </c>
      <c r="BI67" s="34" t="n">
        <f aca="false">BI$47+BI$48</f>
        <v>0</v>
      </c>
      <c r="BJ67" s="34" t="n">
        <f aca="false">BJ$47+BJ$48</f>
        <v>0</v>
      </c>
      <c r="BK67" s="34" t="n">
        <f aca="false">BK$47+BK$48</f>
        <v>0</v>
      </c>
      <c r="BL67" s="34" t="n">
        <f aca="false">BL$47+BL$48</f>
        <v>0</v>
      </c>
      <c r="BM67" s="34" t="n">
        <f aca="false">BM$47+BM$48</f>
        <v>0</v>
      </c>
      <c r="BN67" s="34" t="n">
        <f aca="false">BN$47+BN$48</f>
        <v>0</v>
      </c>
      <c r="BO67" s="34" t="n">
        <f aca="false">BO$47+BO$48</f>
        <v>0</v>
      </c>
      <c r="BP67" s="34" t="n">
        <f aca="false">BP$47+BP$48</f>
        <v>0</v>
      </c>
      <c r="BQ67" s="34" t="n">
        <f aca="false">BQ$47+BQ$48</f>
        <v>0</v>
      </c>
      <c r="BR67" s="34" t="n">
        <f aca="false">BR$47+BR$48</f>
        <v>0</v>
      </c>
      <c r="BS67" s="34" t="n">
        <f aca="false">BS$47+BS$48</f>
        <v>0</v>
      </c>
      <c r="BT67" s="34" t="n">
        <f aca="false">BT$47+BT$48</f>
        <v>0</v>
      </c>
      <c r="BU67" s="34" t="n">
        <f aca="false">BU$47+BU$48</f>
        <v>0</v>
      </c>
      <c r="BV67" s="34" t="n">
        <f aca="false">BV$47+BV$48</f>
        <v>0</v>
      </c>
      <c r="BW67" s="34" t="n">
        <f aca="false">BW$47+BW$48</f>
        <v>0</v>
      </c>
      <c r="BX67" s="34" t="n">
        <f aca="false">BX$47+BX$48</f>
        <v>0</v>
      </c>
      <c r="BY67" s="34" t="n">
        <f aca="false">BY$47+BY$48</f>
        <v>0</v>
      </c>
      <c r="BZ67" s="34" t="n">
        <f aca="false">BZ$47+BZ$48</f>
        <v>0</v>
      </c>
      <c r="CA67" s="34" t="n">
        <f aca="false">CA$47+CA$48</f>
        <v>0</v>
      </c>
      <c r="CB67" s="34" t="n">
        <f aca="false">CB$47+CB$48</f>
        <v>0</v>
      </c>
      <c r="CC67" s="34" t="n">
        <f aca="false">CC$47+CC$48</f>
        <v>0</v>
      </c>
      <c r="CD67" s="34" t="n">
        <f aca="false">CD$47+CD$48</f>
        <v>0</v>
      </c>
      <c r="CE67" s="34" t="n">
        <f aca="false">CE$47+CE$48</f>
        <v>0</v>
      </c>
      <c r="CF67" s="34" t="n">
        <f aca="false">CF$47+CF$48</f>
        <v>0</v>
      </c>
      <c r="CG67" s="34" t="n">
        <f aca="false">CG$47+CG$48</f>
        <v>0</v>
      </c>
      <c r="CH67" s="34" t="n">
        <f aca="false">CH$47+CH$48</f>
        <v>0</v>
      </c>
      <c r="CI67" s="34" t="n">
        <f aca="false">CI$47+CI$48</f>
        <v>0</v>
      </c>
      <c r="CJ67" s="34" t="n">
        <f aca="false">CJ$47+CJ$48</f>
        <v>0</v>
      </c>
      <c r="CK67" s="34" t="n">
        <f aca="false">CK$47+CK$48</f>
        <v>0</v>
      </c>
      <c r="CL67" s="34" t="n">
        <f aca="false">CL$47+CL$48</f>
        <v>0</v>
      </c>
      <c r="CM67" s="34" t="n">
        <f aca="false">CM$47+CM$48</f>
        <v>0</v>
      </c>
      <c r="CN67" s="34" t="n">
        <f aca="false">CN$47+CN$48</f>
        <v>0</v>
      </c>
      <c r="CO67" s="34" t="n">
        <f aca="false">CO$47+CO$48</f>
        <v>0</v>
      </c>
      <c r="CP67" s="34" t="n">
        <f aca="false">CP$47+CP$48</f>
        <v>0</v>
      </c>
      <c r="CQ67" s="34" t="n">
        <f aca="false">CQ$47+CQ$48</f>
        <v>0</v>
      </c>
      <c r="CR67" s="34" t="n">
        <f aca="false">CR$47+CR$48</f>
        <v>0</v>
      </c>
      <c r="CS67" s="34" t="n">
        <f aca="false">CS$47+CS$48</f>
        <v>0</v>
      </c>
      <c r="CT67" s="34" t="n">
        <f aca="false">CT$47+CT$48</f>
        <v>0</v>
      </c>
      <c r="CU67" s="34" t="n">
        <f aca="false">CU$47+CU$48</f>
        <v>0</v>
      </c>
      <c r="CV67" s="34" t="n">
        <f aca="false">CV$47+CV$48</f>
        <v>0</v>
      </c>
      <c r="CW67" s="34" t="n">
        <f aca="false">CW$47+CW$48</f>
        <v>0</v>
      </c>
      <c r="CX67" s="34" t="n">
        <f aca="false">CX$47+CX$48</f>
        <v>0</v>
      </c>
      <c r="CY67" s="34" t="n">
        <f aca="false">CY$47+CY$48</f>
        <v>0</v>
      </c>
      <c r="CZ67" s="34" t="n">
        <f aca="false">CZ$47+CZ$48</f>
        <v>0</v>
      </c>
      <c r="DA67" s="34" t="n">
        <f aca="false">DA$47+DA$48</f>
        <v>0</v>
      </c>
      <c r="DB67" s="34" t="n">
        <f aca="false">DB$47+DB$48</f>
        <v>0</v>
      </c>
      <c r="DC67" s="34" t="n">
        <f aca="false">DC$47+DC$48</f>
        <v>0</v>
      </c>
      <c r="DD67" s="34" t="n">
        <f aca="false">DD$47+DD$48</f>
        <v>0</v>
      </c>
      <c r="DE67" s="34" t="n">
        <f aca="false">DE$47+DE$48</f>
        <v>0</v>
      </c>
      <c r="DF67" s="34" t="n">
        <f aca="false">DF$47+DF$48</f>
        <v>0</v>
      </c>
      <c r="DG67" s="34" t="n">
        <f aca="false">DG$47+DG$48</f>
        <v>0</v>
      </c>
      <c r="DH67" s="34" t="n">
        <f aca="false">DH$47+DH$48</f>
        <v>0</v>
      </c>
      <c r="DI67" s="34" t="n">
        <f aca="false">DI$47+DI$48</f>
        <v>0</v>
      </c>
      <c r="DJ67" s="34" t="n">
        <f aca="false">DJ$47+DJ$48</f>
        <v>0</v>
      </c>
      <c r="DK67" s="34" t="n">
        <f aca="false">DK$47+DK$48</f>
        <v>0</v>
      </c>
      <c r="DL67" s="34" t="n">
        <f aca="false">DL$47+DL$48</f>
        <v>0</v>
      </c>
      <c r="DM67" s="34" t="n">
        <f aca="false">DM$47+DM$48</f>
        <v>0</v>
      </c>
      <c r="DN67" s="34" t="n">
        <f aca="false">DN$47+DN$48</f>
        <v>0</v>
      </c>
      <c r="DO67" s="34" t="n">
        <f aca="false">DO$47+DO$48</f>
        <v>0</v>
      </c>
      <c r="DP67" s="34" t="n">
        <f aca="false">DP$47+DP$48</f>
        <v>0</v>
      </c>
      <c r="DQ67" s="34" t="n">
        <f aca="false">DQ$47+DQ$48</f>
        <v>0</v>
      </c>
      <c r="DR67" s="34" t="n">
        <f aca="false">DR$47+DR$48</f>
        <v>0</v>
      </c>
      <c r="DS67" s="34" t="n">
        <f aca="false">DS$47+DS$48</f>
        <v>0</v>
      </c>
      <c r="DT67" s="34" t="n">
        <f aca="false">DT$47+DT$48</f>
        <v>0</v>
      </c>
      <c r="DU67" s="34" t="n">
        <f aca="false">DU$47+DU$48</f>
        <v>0</v>
      </c>
      <c r="DV67" s="34" t="n">
        <f aca="false">DV$47+DV$48</f>
        <v>0</v>
      </c>
      <c r="DW67" s="34" t="n">
        <f aca="false">DW$47+DW$48</f>
        <v>0</v>
      </c>
      <c r="DX67" s="34" t="n">
        <f aca="false">DX$47+DX$48</f>
        <v>0</v>
      </c>
      <c r="DY67" s="34" t="n">
        <f aca="false">DY$47+DY$48</f>
        <v>0</v>
      </c>
      <c r="DZ67" s="34" t="n">
        <f aca="false">DZ$47+DZ$48</f>
        <v>0</v>
      </c>
      <c r="EA67" s="34" t="n">
        <f aca="false">EA$47+EA$48</f>
        <v>0</v>
      </c>
      <c r="EB67" s="34" t="n">
        <f aca="false">EB$47+EB$48</f>
        <v>0</v>
      </c>
      <c r="EC67" s="34" t="n">
        <f aca="false">EC$47+EC$48</f>
        <v>0</v>
      </c>
      <c r="ED67" s="34" t="n">
        <f aca="false">ED$47+ED$48</f>
        <v>0</v>
      </c>
      <c r="EE67" s="34" t="n">
        <f aca="false">EE$47+EE$48</f>
        <v>0</v>
      </c>
      <c r="EF67" s="34" t="n">
        <f aca="false">EF$47+EF$48</f>
        <v>0</v>
      </c>
      <c r="EG67" s="34" t="n">
        <f aca="false">EG$47+EG$48</f>
        <v>0</v>
      </c>
      <c r="EH67" s="34" t="n">
        <f aca="false">EH$47+EH$48</f>
        <v>0</v>
      </c>
      <c r="EI67" s="34" t="n">
        <f aca="false">EI$47+EI$48</f>
        <v>0</v>
      </c>
      <c r="EJ67" s="34" t="n">
        <f aca="false">EJ$47+EJ$48</f>
        <v>0</v>
      </c>
      <c r="EK67" s="34" t="n">
        <f aca="false">EK$47+EK$48</f>
        <v>0</v>
      </c>
      <c r="EL67" s="34" t="n">
        <f aca="false">EL$47+EL$48</f>
        <v>0</v>
      </c>
      <c r="EM67" s="34" t="n">
        <f aca="false">EM$47+EM$48</f>
        <v>0</v>
      </c>
      <c r="EN67" s="34" t="n">
        <f aca="false">EN$47+EN$48</f>
        <v>0</v>
      </c>
      <c r="EO67" s="34" t="n">
        <f aca="false">EO$47+EO$48</f>
        <v>0</v>
      </c>
      <c r="EP67" s="34" t="n">
        <f aca="false">EP$47+EP$48</f>
        <v>0</v>
      </c>
      <c r="EQ67" s="34" t="n">
        <f aca="false">EQ$47+EQ$48</f>
        <v>0</v>
      </c>
      <c r="ER67" s="34" t="n">
        <f aca="false">ER$47+ER$48</f>
        <v>0</v>
      </c>
      <c r="ES67" s="34" t="n">
        <f aca="false">ES$47+ES$48</f>
        <v>0</v>
      </c>
    </row>
    <row r="68" customFormat="false" ht="15" hidden="false" customHeight="false" outlineLevel="0" collapsed="false">
      <c r="A68" s="2" t="s">
        <v>500</v>
      </c>
      <c r="B68" s="6" t="s">
        <v>501</v>
      </c>
      <c r="C68" s="6" t="s">
        <v>212</v>
      </c>
      <c r="E68" s="40" t="n">
        <f aca="false">SUM(F68:ES68)</f>
        <v>0</v>
      </c>
      <c r="F68" s="34" t="n">
        <f aca="false">F$49+F$50+F$57+F$58</f>
        <v>0</v>
      </c>
      <c r="G68" s="34" t="n">
        <f aca="false">G$49+G$50+G$57+G$58</f>
        <v>0</v>
      </c>
      <c r="H68" s="34" t="n">
        <f aca="false">H$49+H$50+H$57+H$58</f>
        <v>0</v>
      </c>
      <c r="I68" s="34" t="n">
        <f aca="false">I$49+I$50+I$57+I$58</f>
        <v>0</v>
      </c>
      <c r="J68" s="34" t="n">
        <f aca="false">J$49+J$50+J$57+J$58</f>
        <v>0</v>
      </c>
      <c r="K68" s="34" t="n">
        <f aca="false">K$49+K$50+K$57+K$58</f>
        <v>0</v>
      </c>
      <c r="L68" s="34" t="n">
        <f aca="false">L$49+L$50+L$57+L$58</f>
        <v>0</v>
      </c>
      <c r="M68" s="34" t="n">
        <f aca="false">M$49+M$50+M$57+M$58</f>
        <v>0</v>
      </c>
      <c r="N68" s="34" t="n">
        <f aca="false">N$49+N$50+N$57+N$58</f>
        <v>0</v>
      </c>
      <c r="O68" s="34" t="n">
        <f aca="false">O$49+O$50+O$57+O$58</f>
        <v>0</v>
      </c>
      <c r="P68" s="34" t="n">
        <f aca="false">P$49+P$50+P$57+P$58</f>
        <v>0</v>
      </c>
      <c r="Q68" s="34" t="n">
        <f aca="false">Q$49+Q$50+Q$57+Q$58</f>
        <v>0</v>
      </c>
      <c r="R68" s="34" t="n">
        <f aca="false">R$49+R$50+R$57+R$58</f>
        <v>0</v>
      </c>
      <c r="S68" s="34" t="n">
        <f aca="false">S$49+S$50+S$57+S$58</f>
        <v>0</v>
      </c>
      <c r="T68" s="34" t="n">
        <f aca="false">T$49+T$50+T$57+T$58</f>
        <v>0</v>
      </c>
      <c r="U68" s="34" t="n">
        <f aca="false">U$49+U$50+U$57+U$58</f>
        <v>0</v>
      </c>
      <c r="V68" s="34" t="n">
        <f aca="false">V$49+V$50+V$57+V$58</f>
        <v>0</v>
      </c>
      <c r="W68" s="34" t="n">
        <f aca="false">W$49+W$50+W$57+W$58</f>
        <v>0</v>
      </c>
      <c r="X68" s="34" t="n">
        <f aca="false">X$49+X$50+X$57+X$58</f>
        <v>0</v>
      </c>
      <c r="Y68" s="34" t="n">
        <f aca="false">Y$49+Y$50+Y$57+Y$58</f>
        <v>0</v>
      </c>
      <c r="Z68" s="34" t="n">
        <f aca="false">Z$49+Z$50+Z$57+Z$58</f>
        <v>0</v>
      </c>
      <c r="AA68" s="34" t="n">
        <f aca="false">AA$49+AA$50+AA$57+AA$58</f>
        <v>0</v>
      </c>
      <c r="AB68" s="34" t="n">
        <f aca="false">AB$49+AB$50+AB$57+AB$58</f>
        <v>0</v>
      </c>
      <c r="AC68" s="34" t="n">
        <f aca="false">AC$49+AC$50+AC$57+AC$58</f>
        <v>0</v>
      </c>
      <c r="AD68" s="34" t="n">
        <f aca="false">AD$49+AD$50+AD$57+AD$58</f>
        <v>0</v>
      </c>
      <c r="AE68" s="34" t="n">
        <f aca="false">AE$49+AE$50+AE$57+AE$58</f>
        <v>0</v>
      </c>
      <c r="AF68" s="34" t="n">
        <f aca="false">AF$49+AF$50+AF$57+AF$58</f>
        <v>0</v>
      </c>
      <c r="AG68" s="34" t="n">
        <f aca="false">AG$49+AG$50+AG$57+AG$58</f>
        <v>0</v>
      </c>
      <c r="AH68" s="34" t="n">
        <f aca="false">AH$49+AH$50+AH$57+AH$58</f>
        <v>0</v>
      </c>
      <c r="AI68" s="34" t="n">
        <f aca="false">AI$49+AI$50+AI$57+AI$58</f>
        <v>0</v>
      </c>
      <c r="AJ68" s="34" t="n">
        <f aca="false">AJ$49+AJ$50+AJ$57+AJ$58</f>
        <v>0</v>
      </c>
      <c r="AK68" s="34" t="n">
        <f aca="false">AK$49+AK$50+AK$57+AK$58</f>
        <v>0</v>
      </c>
      <c r="AL68" s="34" t="n">
        <f aca="false">AL$49+AL$50+AL$57+AL$58</f>
        <v>0</v>
      </c>
      <c r="AM68" s="34" t="n">
        <f aca="false">AM$49+AM$50+AM$57+AM$58</f>
        <v>0</v>
      </c>
      <c r="AN68" s="34" t="n">
        <f aca="false">AN$49+AN$50+AN$57+AN$58</f>
        <v>0</v>
      </c>
      <c r="AO68" s="34" t="n">
        <f aca="false">AO$49+AO$50+AO$57+AO$58</f>
        <v>0</v>
      </c>
      <c r="AP68" s="34" t="n">
        <f aca="false">AP$49+AP$50+AP$57+AP$58</f>
        <v>0</v>
      </c>
      <c r="AQ68" s="34" t="n">
        <f aca="false">AQ$49+AQ$50+AQ$57+AQ$58</f>
        <v>0</v>
      </c>
      <c r="AR68" s="34" t="n">
        <f aca="false">AR$49+AR$50+AR$57+AR$58</f>
        <v>0</v>
      </c>
      <c r="AS68" s="34" t="n">
        <f aca="false">AS$49+AS$50+AS$57+AS$58</f>
        <v>0</v>
      </c>
      <c r="AT68" s="34" t="n">
        <f aca="false">AT$49+AT$50+AT$57+AT$58</f>
        <v>0</v>
      </c>
      <c r="AU68" s="34" t="n">
        <f aca="false">AU$49+AU$50+AU$57+AU$58</f>
        <v>0</v>
      </c>
      <c r="AV68" s="34" t="n">
        <f aca="false">AV$49+AV$50+AV$57+AV$58</f>
        <v>0</v>
      </c>
      <c r="AW68" s="34" t="n">
        <f aca="false">AW$49+AW$50+AW$57+AW$58</f>
        <v>0</v>
      </c>
      <c r="AX68" s="34" t="n">
        <f aca="false">AX$49+AX$50+AX$57+AX$58</f>
        <v>0</v>
      </c>
      <c r="AY68" s="34" t="n">
        <f aca="false">AY$49+AY$50+AY$57+AY$58</f>
        <v>0</v>
      </c>
      <c r="AZ68" s="34" t="n">
        <f aca="false">AZ$49+AZ$50+AZ$57+AZ$58</f>
        <v>0</v>
      </c>
      <c r="BA68" s="34" t="n">
        <f aca="false">BA$49+BA$50+BA$57+BA$58</f>
        <v>0</v>
      </c>
      <c r="BB68" s="34" t="n">
        <f aca="false">BB$49+BB$50+BB$57+BB$58</f>
        <v>0</v>
      </c>
      <c r="BC68" s="34" t="n">
        <f aca="false">BC$49+BC$50+BC$57+BC$58</f>
        <v>0</v>
      </c>
      <c r="BD68" s="34" t="n">
        <f aca="false">BD$49+BD$50+BD$57+BD$58</f>
        <v>0</v>
      </c>
      <c r="BE68" s="34" t="n">
        <f aca="false">BE$49+BE$50+BE$57+BE$58</f>
        <v>0</v>
      </c>
      <c r="BF68" s="34" t="n">
        <f aca="false">BF$49+BF$50+BF$57+BF$58</f>
        <v>0</v>
      </c>
      <c r="BG68" s="34" t="n">
        <f aca="false">BG$49+BG$50+BG$57+BG$58</f>
        <v>0</v>
      </c>
      <c r="BH68" s="34" t="n">
        <f aca="false">BH$49+BH$50+BH$57+BH$58</f>
        <v>0</v>
      </c>
      <c r="BI68" s="34" t="n">
        <f aca="false">BI$49+BI$50+BI$57+BI$58</f>
        <v>0</v>
      </c>
      <c r="BJ68" s="34" t="n">
        <f aca="false">BJ$49+BJ$50+BJ$57+BJ$58</f>
        <v>0</v>
      </c>
      <c r="BK68" s="34" t="n">
        <f aca="false">BK$49+BK$50+BK$57+BK$58</f>
        <v>0</v>
      </c>
      <c r="BL68" s="34" t="n">
        <f aca="false">BL$49+BL$50+BL$57+BL$58</f>
        <v>0</v>
      </c>
      <c r="BM68" s="34" t="n">
        <f aca="false">BM$49+BM$50+BM$57+BM$58</f>
        <v>0</v>
      </c>
      <c r="BN68" s="34" t="n">
        <f aca="false">BN$49+BN$50+BN$57+BN$58</f>
        <v>0</v>
      </c>
      <c r="BO68" s="34" t="n">
        <f aca="false">BO$49+BO$50+BO$57+BO$58</f>
        <v>0</v>
      </c>
      <c r="BP68" s="34" t="n">
        <f aca="false">BP$49+BP$50+BP$57+BP$58</f>
        <v>0</v>
      </c>
      <c r="BQ68" s="34" t="n">
        <f aca="false">BQ$49+BQ$50+BQ$57+BQ$58</f>
        <v>0</v>
      </c>
      <c r="BR68" s="34" t="n">
        <f aca="false">BR$49+BR$50+BR$57+BR$58</f>
        <v>0</v>
      </c>
      <c r="BS68" s="34" t="n">
        <f aca="false">BS$49+BS$50+BS$57+BS$58</f>
        <v>0</v>
      </c>
      <c r="BT68" s="34" t="n">
        <f aca="false">BT$49+BT$50+BT$57+BT$58</f>
        <v>0</v>
      </c>
      <c r="BU68" s="34" t="n">
        <f aca="false">BU$49+BU$50+BU$57+BU$58</f>
        <v>0</v>
      </c>
      <c r="BV68" s="34" t="n">
        <f aca="false">BV$49+BV$50+BV$57+BV$58</f>
        <v>0</v>
      </c>
      <c r="BW68" s="34" t="n">
        <f aca="false">BW$49+BW$50+BW$57+BW$58</f>
        <v>0</v>
      </c>
      <c r="BX68" s="34" t="n">
        <f aca="false">BX$49+BX$50+BX$57+BX$58</f>
        <v>0</v>
      </c>
      <c r="BY68" s="34" t="n">
        <f aca="false">BY$49+BY$50+BY$57+BY$58</f>
        <v>0</v>
      </c>
      <c r="BZ68" s="34" t="n">
        <f aca="false">BZ$49+BZ$50+BZ$57+BZ$58</f>
        <v>0</v>
      </c>
      <c r="CA68" s="34" t="n">
        <f aca="false">CA$49+CA$50+CA$57+CA$58</f>
        <v>0</v>
      </c>
      <c r="CB68" s="34" t="n">
        <f aca="false">CB$49+CB$50+CB$57+CB$58</f>
        <v>0</v>
      </c>
      <c r="CC68" s="34" t="n">
        <f aca="false">CC$49+CC$50+CC$57+CC$58</f>
        <v>0</v>
      </c>
      <c r="CD68" s="34" t="n">
        <f aca="false">CD$49+CD$50+CD$57+CD$58</f>
        <v>0</v>
      </c>
      <c r="CE68" s="34" t="n">
        <f aca="false">CE$49+CE$50+CE$57+CE$58</f>
        <v>0</v>
      </c>
      <c r="CF68" s="34" t="n">
        <f aca="false">CF$49+CF$50+CF$57+CF$58</f>
        <v>0</v>
      </c>
      <c r="CG68" s="34" t="n">
        <f aca="false">CG$49+CG$50+CG$57+CG$58</f>
        <v>0</v>
      </c>
      <c r="CH68" s="34" t="n">
        <f aca="false">CH$49+CH$50+CH$57+CH$58</f>
        <v>0</v>
      </c>
      <c r="CI68" s="34" t="n">
        <f aca="false">CI$49+CI$50+CI$57+CI$58</f>
        <v>0</v>
      </c>
      <c r="CJ68" s="34" t="n">
        <f aca="false">CJ$49+CJ$50+CJ$57+CJ$58</f>
        <v>0</v>
      </c>
      <c r="CK68" s="34" t="n">
        <f aca="false">CK$49+CK$50+CK$57+CK$58</f>
        <v>0</v>
      </c>
      <c r="CL68" s="34" t="n">
        <f aca="false">CL$49+CL$50+CL$57+CL$58</f>
        <v>0</v>
      </c>
      <c r="CM68" s="34" t="n">
        <f aca="false">CM$49+CM$50+CM$57+CM$58</f>
        <v>0</v>
      </c>
      <c r="CN68" s="34" t="n">
        <f aca="false">CN$49+CN$50+CN$57+CN$58</f>
        <v>0</v>
      </c>
      <c r="CO68" s="34" t="n">
        <f aca="false">CO$49+CO$50+CO$57+CO$58</f>
        <v>0</v>
      </c>
      <c r="CP68" s="34" t="n">
        <f aca="false">CP$49+CP$50+CP$57+CP$58</f>
        <v>0</v>
      </c>
      <c r="CQ68" s="34" t="n">
        <f aca="false">CQ$49+CQ$50+CQ$57+CQ$58</f>
        <v>0</v>
      </c>
      <c r="CR68" s="34" t="n">
        <f aca="false">CR$49+CR$50+CR$57+CR$58</f>
        <v>0</v>
      </c>
      <c r="CS68" s="34" t="n">
        <f aca="false">CS$49+CS$50+CS$57+CS$58</f>
        <v>0</v>
      </c>
      <c r="CT68" s="34" t="n">
        <f aca="false">CT$49+CT$50+CT$57+CT$58</f>
        <v>0</v>
      </c>
      <c r="CU68" s="34" t="n">
        <f aca="false">CU$49+CU$50+CU$57+CU$58</f>
        <v>0</v>
      </c>
      <c r="CV68" s="34" t="n">
        <f aca="false">CV$49+CV$50+CV$57+CV$58</f>
        <v>0</v>
      </c>
      <c r="CW68" s="34" t="n">
        <f aca="false">CW$49+CW$50+CW$57+CW$58</f>
        <v>0</v>
      </c>
      <c r="CX68" s="34" t="n">
        <f aca="false">CX$49+CX$50+CX$57+CX$58</f>
        <v>0</v>
      </c>
      <c r="CY68" s="34" t="n">
        <f aca="false">CY$49+CY$50+CY$57+CY$58</f>
        <v>0</v>
      </c>
      <c r="CZ68" s="34" t="n">
        <f aca="false">CZ$49+CZ$50+CZ$57+CZ$58</f>
        <v>0</v>
      </c>
      <c r="DA68" s="34" t="n">
        <f aca="false">DA$49+DA$50+DA$57+DA$58</f>
        <v>0</v>
      </c>
      <c r="DB68" s="34" t="n">
        <f aca="false">DB$49+DB$50+DB$57+DB$58</f>
        <v>0</v>
      </c>
      <c r="DC68" s="34" t="n">
        <f aca="false">DC$49+DC$50+DC$57+DC$58</f>
        <v>0</v>
      </c>
      <c r="DD68" s="34" t="n">
        <f aca="false">DD$49+DD$50+DD$57+DD$58</f>
        <v>0</v>
      </c>
      <c r="DE68" s="34" t="n">
        <f aca="false">DE$49+DE$50+DE$57+DE$58</f>
        <v>0</v>
      </c>
      <c r="DF68" s="34" t="n">
        <f aca="false">DF$49+DF$50+DF$57+DF$58</f>
        <v>0</v>
      </c>
      <c r="DG68" s="34" t="n">
        <f aca="false">DG$49+DG$50+DG$57+DG$58</f>
        <v>0</v>
      </c>
      <c r="DH68" s="34" t="n">
        <f aca="false">DH$49+DH$50+DH$57+DH$58</f>
        <v>0</v>
      </c>
      <c r="DI68" s="34" t="n">
        <f aca="false">DI$49+DI$50+DI$57+DI$58</f>
        <v>0</v>
      </c>
      <c r="DJ68" s="34" t="n">
        <f aca="false">DJ$49+DJ$50+DJ$57+DJ$58</f>
        <v>0</v>
      </c>
      <c r="DK68" s="34" t="n">
        <f aca="false">DK$49+DK$50+DK$57+DK$58</f>
        <v>0</v>
      </c>
      <c r="DL68" s="34" t="n">
        <f aca="false">DL$49+DL$50+DL$57+DL$58</f>
        <v>0</v>
      </c>
      <c r="DM68" s="34" t="n">
        <f aca="false">DM$49+DM$50+DM$57+DM$58</f>
        <v>0</v>
      </c>
      <c r="DN68" s="34" t="n">
        <f aca="false">DN$49+DN$50+DN$57+DN$58</f>
        <v>0</v>
      </c>
      <c r="DO68" s="34" t="n">
        <f aca="false">DO$49+DO$50+DO$57+DO$58</f>
        <v>0</v>
      </c>
      <c r="DP68" s="34" t="n">
        <f aca="false">DP$49+DP$50+DP$57+DP$58</f>
        <v>0</v>
      </c>
      <c r="DQ68" s="34" t="n">
        <f aca="false">DQ$49+DQ$50+DQ$57+DQ$58</f>
        <v>0</v>
      </c>
      <c r="DR68" s="34" t="n">
        <f aca="false">DR$49+DR$50+DR$57+DR$58</f>
        <v>0</v>
      </c>
      <c r="DS68" s="34" t="n">
        <f aca="false">DS$49+DS$50+DS$57+DS$58</f>
        <v>0</v>
      </c>
      <c r="DT68" s="34" t="n">
        <f aca="false">DT$49+DT$50+DT$57+DT$58</f>
        <v>0</v>
      </c>
      <c r="DU68" s="34" t="n">
        <f aca="false">DU$49+DU$50+DU$57+DU$58</f>
        <v>0</v>
      </c>
      <c r="DV68" s="34" t="n">
        <f aca="false">DV$49+DV$50+DV$57+DV$58</f>
        <v>0</v>
      </c>
      <c r="DW68" s="34" t="n">
        <f aca="false">DW$49+DW$50+DW$57+DW$58</f>
        <v>0</v>
      </c>
      <c r="DX68" s="34" t="n">
        <f aca="false">DX$49+DX$50+DX$57+DX$58</f>
        <v>0</v>
      </c>
      <c r="DY68" s="34" t="n">
        <f aca="false">DY$49+DY$50+DY$57+DY$58</f>
        <v>0</v>
      </c>
      <c r="DZ68" s="34" t="n">
        <f aca="false">DZ$49+DZ$50+DZ$57+DZ$58</f>
        <v>0</v>
      </c>
      <c r="EA68" s="34" t="n">
        <f aca="false">EA$49+EA$50+EA$57+EA$58</f>
        <v>0</v>
      </c>
      <c r="EB68" s="34" t="n">
        <f aca="false">EB$49+EB$50+EB$57+EB$58</f>
        <v>0</v>
      </c>
      <c r="EC68" s="34" t="n">
        <f aca="false">EC$49+EC$50+EC$57+EC$58</f>
        <v>0</v>
      </c>
      <c r="ED68" s="34" t="n">
        <f aca="false">ED$49+ED$50+ED$57+ED$58</f>
        <v>0</v>
      </c>
      <c r="EE68" s="34" t="n">
        <f aca="false">EE$49+EE$50+EE$57+EE$58</f>
        <v>0</v>
      </c>
      <c r="EF68" s="34" t="n">
        <f aca="false">EF$49+EF$50+EF$57+EF$58</f>
        <v>0</v>
      </c>
      <c r="EG68" s="34" t="n">
        <f aca="false">EG$49+EG$50+EG$57+EG$58</f>
        <v>0</v>
      </c>
      <c r="EH68" s="34" t="n">
        <f aca="false">EH$49+EH$50+EH$57+EH$58</f>
        <v>0</v>
      </c>
      <c r="EI68" s="34" t="n">
        <f aca="false">EI$49+EI$50+EI$57+EI$58</f>
        <v>0</v>
      </c>
      <c r="EJ68" s="34" t="n">
        <f aca="false">EJ$49+EJ$50+EJ$57+EJ$58</f>
        <v>0</v>
      </c>
      <c r="EK68" s="34" t="n">
        <f aca="false">EK$49+EK$50+EK$57+EK$58</f>
        <v>0</v>
      </c>
      <c r="EL68" s="34" t="n">
        <f aca="false">EL$49+EL$50+EL$57+EL$58</f>
        <v>0</v>
      </c>
      <c r="EM68" s="34" t="n">
        <f aca="false">EM$49+EM$50+EM$57+EM$58</f>
        <v>0</v>
      </c>
      <c r="EN68" s="34" t="n">
        <f aca="false">EN$49+EN$50+EN$57+EN$58</f>
        <v>0</v>
      </c>
      <c r="EO68" s="34" t="n">
        <f aca="false">EO$49+EO$50+EO$57+EO$58</f>
        <v>0</v>
      </c>
      <c r="EP68" s="34" t="n">
        <f aca="false">EP$49+EP$50+EP$57+EP$58</f>
        <v>0</v>
      </c>
      <c r="EQ68" s="34" t="n">
        <f aca="false">EQ$49+EQ$50+EQ$57+EQ$58</f>
        <v>0</v>
      </c>
      <c r="ER68" s="34" t="n">
        <f aca="false">ER$49+ER$50+ER$57+ER$58</f>
        <v>0</v>
      </c>
      <c r="ES68" s="34" t="n">
        <f aca="false">ES$49+ES$50+ES$57+ES$58</f>
        <v>0</v>
      </c>
    </row>
    <row r="69" customFormat="false" ht="15" hidden="false" customHeight="false" outlineLevel="0" collapsed="false">
      <c r="A69" s="2" t="s">
        <v>502</v>
      </c>
      <c r="B69" s="6" t="s">
        <v>503</v>
      </c>
      <c r="C69" s="6" t="s">
        <v>212</v>
      </c>
      <c r="E69" s="40" t="n">
        <f aca="false">SUM(F69:ES69)</f>
        <v>0</v>
      </c>
      <c r="F69" s="34" t="n">
        <f aca="false">F$52+F$54</f>
        <v>0</v>
      </c>
      <c r="G69" s="34" t="n">
        <f aca="false">G$52+G$54</f>
        <v>0</v>
      </c>
      <c r="H69" s="34" t="n">
        <f aca="false">H$52+H$54</f>
        <v>0</v>
      </c>
      <c r="I69" s="34" t="n">
        <f aca="false">I$52+I$54</f>
        <v>0</v>
      </c>
      <c r="J69" s="34" t="n">
        <f aca="false">J$52+J$54</f>
        <v>0</v>
      </c>
      <c r="K69" s="34" t="n">
        <f aca="false">K$52+K$54</f>
        <v>0</v>
      </c>
      <c r="L69" s="34" t="n">
        <f aca="false">L$52+L$54</f>
        <v>0</v>
      </c>
      <c r="M69" s="34" t="n">
        <f aca="false">M$52+M$54</f>
        <v>0</v>
      </c>
      <c r="N69" s="34" t="n">
        <f aca="false">N$52+N$54</f>
        <v>0</v>
      </c>
      <c r="O69" s="34" t="n">
        <f aca="false">O$52+O$54</f>
        <v>0</v>
      </c>
      <c r="P69" s="34" t="n">
        <f aca="false">P$52+P$54</f>
        <v>0</v>
      </c>
      <c r="Q69" s="34" t="n">
        <f aca="false">Q$52+Q$54</f>
        <v>0</v>
      </c>
      <c r="R69" s="34" t="n">
        <f aca="false">R$52+R$54</f>
        <v>0</v>
      </c>
      <c r="S69" s="34" t="n">
        <f aca="false">S$52+S$54</f>
        <v>0</v>
      </c>
      <c r="T69" s="34" t="n">
        <f aca="false">T$52+T$54</f>
        <v>0</v>
      </c>
      <c r="U69" s="34" t="n">
        <f aca="false">U$52+U$54</f>
        <v>0</v>
      </c>
      <c r="V69" s="34" t="n">
        <f aca="false">V$52+V$54</f>
        <v>0</v>
      </c>
      <c r="W69" s="34" t="n">
        <f aca="false">W$52+W$54</f>
        <v>0</v>
      </c>
      <c r="X69" s="34" t="n">
        <f aca="false">X$52+X$54</f>
        <v>0</v>
      </c>
      <c r="Y69" s="34" t="n">
        <f aca="false">Y$52+Y$54</f>
        <v>0</v>
      </c>
      <c r="Z69" s="34" t="n">
        <f aca="false">Z$52+Z$54</f>
        <v>0</v>
      </c>
      <c r="AA69" s="34" t="n">
        <f aca="false">AA$52+AA$54</f>
        <v>0</v>
      </c>
      <c r="AB69" s="34" t="n">
        <f aca="false">AB$52+AB$54</f>
        <v>0</v>
      </c>
      <c r="AC69" s="34" t="n">
        <f aca="false">AC$52+AC$54</f>
        <v>0</v>
      </c>
      <c r="AD69" s="34" t="n">
        <f aca="false">AD$52+AD$54</f>
        <v>0</v>
      </c>
      <c r="AE69" s="34" t="n">
        <f aca="false">AE$52+AE$54</f>
        <v>0</v>
      </c>
      <c r="AF69" s="34" t="n">
        <f aca="false">AF$52+AF$54</f>
        <v>0</v>
      </c>
      <c r="AG69" s="34" t="n">
        <f aca="false">AG$52+AG$54</f>
        <v>0</v>
      </c>
      <c r="AH69" s="34" t="n">
        <f aca="false">AH$52+AH$54</f>
        <v>0</v>
      </c>
      <c r="AI69" s="34" t="n">
        <f aca="false">AI$52+AI$54</f>
        <v>0</v>
      </c>
      <c r="AJ69" s="34" t="n">
        <f aca="false">AJ$52+AJ$54</f>
        <v>0</v>
      </c>
      <c r="AK69" s="34" t="n">
        <f aca="false">AK$52+AK$54</f>
        <v>0</v>
      </c>
      <c r="AL69" s="34" t="n">
        <f aca="false">AL$52+AL$54</f>
        <v>0</v>
      </c>
      <c r="AM69" s="34" t="n">
        <f aca="false">AM$52+AM$54</f>
        <v>0</v>
      </c>
      <c r="AN69" s="34" t="n">
        <f aca="false">AN$52+AN$54</f>
        <v>0</v>
      </c>
      <c r="AO69" s="34" t="n">
        <f aca="false">AO$52+AO$54</f>
        <v>0</v>
      </c>
      <c r="AP69" s="34" t="n">
        <f aca="false">AP$52+AP$54</f>
        <v>0</v>
      </c>
      <c r="AQ69" s="34" t="n">
        <f aca="false">AQ$52+AQ$54</f>
        <v>0</v>
      </c>
      <c r="AR69" s="34" t="n">
        <f aca="false">AR$52+AR$54</f>
        <v>0</v>
      </c>
      <c r="AS69" s="34" t="n">
        <f aca="false">AS$52+AS$54</f>
        <v>0</v>
      </c>
      <c r="AT69" s="34" t="n">
        <f aca="false">AT$52+AT$54</f>
        <v>0</v>
      </c>
      <c r="AU69" s="34" t="n">
        <f aca="false">AU$52+AU$54</f>
        <v>0</v>
      </c>
      <c r="AV69" s="34" t="n">
        <f aca="false">AV$52+AV$54</f>
        <v>0</v>
      </c>
      <c r="AW69" s="34" t="n">
        <f aca="false">AW$52+AW$54</f>
        <v>0</v>
      </c>
      <c r="AX69" s="34" t="n">
        <f aca="false">AX$52+AX$54</f>
        <v>0</v>
      </c>
      <c r="AY69" s="34" t="n">
        <f aca="false">AY$52+AY$54</f>
        <v>0</v>
      </c>
      <c r="AZ69" s="34" t="n">
        <f aca="false">AZ$52+AZ$54</f>
        <v>0</v>
      </c>
      <c r="BA69" s="34" t="n">
        <f aca="false">BA$52+BA$54</f>
        <v>0</v>
      </c>
      <c r="BB69" s="34" t="n">
        <f aca="false">BB$52+BB$54</f>
        <v>0</v>
      </c>
      <c r="BC69" s="34" t="n">
        <f aca="false">BC$52+BC$54</f>
        <v>0</v>
      </c>
      <c r="BD69" s="34" t="n">
        <f aca="false">BD$52+BD$54</f>
        <v>0</v>
      </c>
      <c r="BE69" s="34" t="n">
        <f aca="false">BE$52+BE$54</f>
        <v>0</v>
      </c>
      <c r="BF69" s="34" t="n">
        <f aca="false">BF$52+BF$54</f>
        <v>0</v>
      </c>
      <c r="BG69" s="34" t="n">
        <f aca="false">BG$52+BG$54</f>
        <v>0</v>
      </c>
      <c r="BH69" s="34" t="n">
        <f aca="false">BH$52+BH$54</f>
        <v>0</v>
      </c>
      <c r="BI69" s="34" t="n">
        <f aca="false">BI$52+BI$54</f>
        <v>0</v>
      </c>
      <c r="BJ69" s="34" t="n">
        <f aca="false">BJ$52+BJ$54</f>
        <v>0</v>
      </c>
      <c r="BK69" s="34" t="n">
        <f aca="false">BK$52+BK$54</f>
        <v>0</v>
      </c>
      <c r="BL69" s="34" t="n">
        <f aca="false">BL$52+BL$54</f>
        <v>0</v>
      </c>
      <c r="BM69" s="34" t="n">
        <f aca="false">BM$52+BM$54</f>
        <v>0</v>
      </c>
      <c r="BN69" s="34" t="n">
        <f aca="false">BN$52+BN$54</f>
        <v>0</v>
      </c>
      <c r="BO69" s="34" t="n">
        <f aca="false">BO$52+BO$54</f>
        <v>0</v>
      </c>
      <c r="BP69" s="34" t="n">
        <f aca="false">BP$52+BP$54</f>
        <v>0</v>
      </c>
      <c r="BQ69" s="34" t="n">
        <f aca="false">BQ$52+BQ$54</f>
        <v>0</v>
      </c>
      <c r="BR69" s="34" t="n">
        <f aca="false">BR$52+BR$54</f>
        <v>0</v>
      </c>
      <c r="BS69" s="34" t="n">
        <f aca="false">BS$52+BS$54</f>
        <v>0</v>
      </c>
      <c r="BT69" s="34" t="n">
        <f aca="false">BT$52+BT$54</f>
        <v>0</v>
      </c>
      <c r="BU69" s="34" t="n">
        <f aca="false">BU$52+BU$54</f>
        <v>0</v>
      </c>
      <c r="BV69" s="34" t="n">
        <f aca="false">BV$52+BV$54</f>
        <v>0</v>
      </c>
      <c r="BW69" s="34" t="n">
        <f aca="false">BW$52+BW$54</f>
        <v>0</v>
      </c>
      <c r="BX69" s="34" t="n">
        <f aca="false">BX$52+BX$54</f>
        <v>0</v>
      </c>
      <c r="BY69" s="34" t="n">
        <f aca="false">BY$52+BY$54</f>
        <v>0</v>
      </c>
      <c r="BZ69" s="34" t="n">
        <f aca="false">BZ$52+BZ$54</f>
        <v>0</v>
      </c>
      <c r="CA69" s="34" t="n">
        <f aca="false">CA$52+CA$54</f>
        <v>0</v>
      </c>
      <c r="CB69" s="34" t="n">
        <f aca="false">CB$52+CB$54</f>
        <v>0</v>
      </c>
      <c r="CC69" s="34" t="n">
        <f aca="false">CC$52+CC$54</f>
        <v>0</v>
      </c>
      <c r="CD69" s="34" t="n">
        <f aca="false">CD$52+CD$54</f>
        <v>0</v>
      </c>
      <c r="CE69" s="34" t="n">
        <f aca="false">CE$52+CE$54</f>
        <v>0</v>
      </c>
      <c r="CF69" s="34" t="n">
        <f aca="false">CF$52+CF$54</f>
        <v>0</v>
      </c>
      <c r="CG69" s="34" t="n">
        <f aca="false">CG$52+CG$54</f>
        <v>0</v>
      </c>
      <c r="CH69" s="34" t="n">
        <f aca="false">CH$52+CH$54</f>
        <v>0</v>
      </c>
      <c r="CI69" s="34" t="n">
        <f aca="false">CI$52+CI$54</f>
        <v>0</v>
      </c>
      <c r="CJ69" s="34" t="n">
        <f aca="false">CJ$52+CJ$54</f>
        <v>0</v>
      </c>
      <c r="CK69" s="34" t="n">
        <f aca="false">CK$52+CK$54</f>
        <v>0</v>
      </c>
      <c r="CL69" s="34" t="n">
        <f aca="false">CL$52+CL$54</f>
        <v>0</v>
      </c>
      <c r="CM69" s="34" t="n">
        <f aca="false">CM$52+CM$54</f>
        <v>0</v>
      </c>
      <c r="CN69" s="34" t="n">
        <f aca="false">CN$52+CN$54</f>
        <v>0</v>
      </c>
      <c r="CO69" s="34" t="n">
        <f aca="false">CO$52+CO$54</f>
        <v>0</v>
      </c>
      <c r="CP69" s="34" t="n">
        <f aca="false">CP$52+CP$54</f>
        <v>0</v>
      </c>
      <c r="CQ69" s="34" t="n">
        <f aca="false">CQ$52+CQ$54</f>
        <v>0</v>
      </c>
      <c r="CR69" s="34" t="n">
        <f aca="false">CR$52+CR$54</f>
        <v>0</v>
      </c>
      <c r="CS69" s="34" t="n">
        <f aca="false">CS$52+CS$54</f>
        <v>0</v>
      </c>
      <c r="CT69" s="34" t="n">
        <f aca="false">CT$52+CT$54</f>
        <v>0</v>
      </c>
      <c r="CU69" s="34" t="n">
        <f aca="false">CU$52+CU$54</f>
        <v>0</v>
      </c>
      <c r="CV69" s="34" t="n">
        <f aca="false">CV$52+CV$54</f>
        <v>0</v>
      </c>
      <c r="CW69" s="34" t="n">
        <f aca="false">CW$52+CW$54</f>
        <v>0</v>
      </c>
      <c r="CX69" s="34" t="n">
        <f aca="false">CX$52+CX$54</f>
        <v>0</v>
      </c>
      <c r="CY69" s="34" t="n">
        <f aca="false">CY$52+CY$54</f>
        <v>0</v>
      </c>
      <c r="CZ69" s="34" t="n">
        <f aca="false">CZ$52+CZ$54</f>
        <v>0</v>
      </c>
      <c r="DA69" s="34" t="n">
        <f aca="false">DA$52+DA$54</f>
        <v>0</v>
      </c>
      <c r="DB69" s="34" t="n">
        <f aca="false">DB$52+DB$54</f>
        <v>0</v>
      </c>
      <c r="DC69" s="34" t="n">
        <f aca="false">DC$52+DC$54</f>
        <v>0</v>
      </c>
      <c r="DD69" s="34" t="n">
        <f aca="false">DD$52+DD$54</f>
        <v>0</v>
      </c>
      <c r="DE69" s="34" t="n">
        <f aca="false">DE$52+DE$54</f>
        <v>0</v>
      </c>
      <c r="DF69" s="34" t="n">
        <f aca="false">DF$52+DF$54</f>
        <v>0</v>
      </c>
      <c r="DG69" s="34" t="n">
        <f aca="false">DG$52+DG$54</f>
        <v>0</v>
      </c>
      <c r="DH69" s="34" t="n">
        <f aca="false">DH$52+DH$54</f>
        <v>0</v>
      </c>
      <c r="DI69" s="34" t="n">
        <f aca="false">DI$52+DI$54</f>
        <v>0</v>
      </c>
      <c r="DJ69" s="34" t="n">
        <f aca="false">DJ$52+DJ$54</f>
        <v>0</v>
      </c>
      <c r="DK69" s="34" t="n">
        <f aca="false">DK$52+DK$54</f>
        <v>0</v>
      </c>
      <c r="DL69" s="34" t="n">
        <f aca="false">DL$52+DL$54</f>
        <v>0</v>
      </c>
      <c r="DM69" s="34" t="n">
        <f aca="false">DM$52+DM$54</f>
        <v>0</v>
      </c>
      <c r="DN69" s="34" t="n">
        <f aca="false">DN$52+DN$54</f>
        <v>0</v>
      </c>
      <c r="DO69" s="34" t="n">
        <f aca="false">DO$52+DO$54</f>
        <v>0</v>
      </c>
      <c r="DP69" s="34" t="n">
        <f aca="false">DP$52+DP$54</f>
        <v>0</v>
      </c>
      <c r="DQ69" s="34" t="n">
        <f aca="false">DQ$52+DQ$54</f>
        <v>0</v>
      </c>
      <c r="DR69" s="34" t="n">
        <f aca="false">DR$52+DR$54</f>
        <v>0</v>
      </c>
      <c r="DS69" s="34" t="n">
        <f aca="false">DS$52+DS$54</f>
        <v>0</v>
      </c>
      <c r="DT69" s="34" t="n">
        <f aca="false">DT$52+DT$54</f>
        <v>0</v>
      </c>
      <c r="DU69" s="34" t="n">
        <f aca="false">DU$52+DU$54</f>
        <v>0</v>
      </c>
      <c r="DV69" s="34" t="n">
        <f aca="false">DV$52+DV$54</f>
        <v>0</v>
      </c>
      <c r="DW69" s="34" t="n">
        <f aca="false">DW$52+DW$54</f>
        <v>0</v>
      </c>
      <c r="DX69" s="34" t="n">
        <f aca="false">DX$52+DX$54</f>
        <v>0</v>
      </c>
      <c r="DY69" s="34" t="n">
        <f aca="false">DY$52+DY$54</f>
        <v>0</v>
      </c>
      <c r="DZ69" s="34" t="n">
        <f aca="false">DZ$52+DZ$54</f>
        <v>0</v>
      </c>
      <c r="EA69" s="34" t="n">
        <f aca="false">EA$52+EA$54</f>
        <v>0</v>
      </c>
      <c r="EB69" s="34" t="n">
        <f aca="false">EB$52+EB$54</f>
        <v>0</v>
      </c>
      <c r="EC69" s="34" t="n">
        <f aca="false">EC$52+EC$54</f>
        <v>0</v>
      </c>
      <c r="ED69" s="34" t="n">
        <f aca="false">ED$52+ED$54</f>
        <v>0</v>
      </c>
      <c r="EE69" s="34" t="n">
        <f aca="false">EE$52+EE$54</f>
        <v>0</v>
      </c>
      <c r="EF69" s="34" t="n">
        <f aca="false">EF$52+EF$54</f>
        <v>0</v>
      </c>
      <c r="EG69" s="34" t="n">
        <f aca="false">EG$52+EG$54</f>
        <v>0</v>
      </c>
      <c r="EH69" s="34" t="n">
        <f aca="false">EH$52+EH$54</f>
        <v>0</v>
      </c>
      <c r="EI69" s="34" t="n">
        <f aca="false">EI$52+EI$54</f>
        <v>0</v>
      </c>
      <c r="EJ69" s="34" t="n">
        <f aca="false">EJ$52+EJ$54</f>
        <v>0</v>
      </c>
      <c r="EK69" s="34" t="n">
        <f aca="false">EK$52+EK$54</f>
        <v>0</v>
      </c>
      <c r="EL69" s="34" t="n">
        <f aca="false">EL$52+EL$54</f>
        <v>0</v>
      </c>
      <c r="EM69" s="34" t="n">
        <f aca="false">EM$52+EM$54</f>
        <v>0</v>
      </c>
      <c r="EN69" s="34" t="n">
        <f aca="false">EN$52+EN$54</f>
        <v>0</v>
      </c>
      <c r="EO69" s="34" t="n">
        <f aca="false">EO$52+EO$54</f>
        <v>0</v>
      </c>
      <c r="EP69" s="34" t="n">
        <f aca="false">EP$52+EP$54</f>
        <v>0</v>
      </c>
      <c r="EQ69" s="34" t="n">
        <f aca="false">EQ$52+EQ$54</f>
        <v>0</v>
      </c>
      <c r="ER69" s="34" t="n">
        <f aca="false">ER$52+ER$54</f>
        <v>0</v>
      </c>
      <c r="ES69" s="34" t="n">
        <f aca="false">ES$52+ES$54</f>
        <v>0</v>
      </c>
    </row>
    <row r="70" customFormat="false" ht="15" hidden="false" customHeight="false" outlineLevel="0" collapsed="false">
      <c r="A70" s="2" t="s">
        <v>504</v>
      </c>
      <c r="B70" s="6" t="s">
        <v>505</v>
      </c>
      <c r="C70" s="6" t="s">
        <v>212</v>
      </c>
      <c r="E70" s="40" t="n">
        <f aca="false">SUM(F70:ES70)</f>
        <v>0</v>
      </c>
      <c r="F70" s="34" t="n">
        <f aca="false">F$60+F$63</f>
        <v>0</v>
      </c>
      <c r="G70" s="34" t="n">
        <f aca="false">G$60+G$63</f>
        <v>0</v>
      </c>
      <c r="H70" s="34" t="n">
        <f aca="false">H$60+H$63</f>
        <v>0</v>
      </c>
      <c r="I70" s="34" t="n">
        <f aca="false">I$60+I$63</f>
        <v>0</v>
      </c>
      <c r="J70" s="34" t="n">
        <f aca="false">J$60+J$63</f>
        <v>0</v>
      </c>
      <c r="K70" s="34" t="n">
        <f aca="false">K$60+K$63</f>
        <v>0</v>
      </c>
      <c r="L70" s="34" t="n">
        <f aca="false">L$60+L$63</f>
        <v>0</v>
      </c>
      <c r="M70" s="34" t="n">
        <f aca="false">M$60+M$63</f>
        <v>0</v>
      </c>
      <c r="N70" s="34" t="n">
        <f aca="false">N$60+N$63</f>
        <v>0</v>
      </c>
      <c r="O70" s="34" t="n">
        <f aca="false">O$60+O$63</f>
        <v>0</v>
      </c>
      <c r="P70" s="34" t="n">
        <f aca="false">P$60+P$63</f>
        <v>0</v>
      </c>
      <c r="Q70" s="34" t="n">
        <f aca="false">Q$60+Q$63</f>
        <v>0</v>
      </c>
      <c r="R70" s="34" t="n">
        <f aca="false">R$60+R$63</f>
        <v>0</v>
      </c>
      <c r="S70" s="34" t="n">
        <f aca="false">S$60+S$63</f>
        <v>0</v>
      </c>
      <c r="T70" s="34" t="n">
        <f aca="false">T$60+T$63</f>
        <v>0</v>
      </c>
      <c r="U70" s="34" t="n">
        <f aca="false">U$60+U$63</f>
        <v>0</v>
      </c>
      <c r="V70" s="34" t="n">
        <f aca="false">V$60+V$63</f>
        <v>0</v>
      </c>
      <c r="W70" s="34" t="n">
        <f aca="false">W$60+W$63</f>
        <v>0</v>
      </c>
      <c r="X70" s="34" t="n">
        <f aca="false">X$60+X$63</f>
        <v>0</v>
      </c>
      <c r="Y70" s="34" t="n">
        <f aca="false">Y$60+Y$63</f>
        <v>0</v>
      </c>
      <c r="Z70" s="34" t="n">
        <f aca="false">Z$60+Z$63</f>
        <v>0</v>
      </c>
      <c r="AA70" s="34" t="n">
        <f aca="false">AA$60+AA$63</f>
        <v>0</v>
      </c>
      <c r="AB70" s="34" t="n">
        <f aca="false">AB$60+AB$63</f>
        <v>0</v>
      </c>
      <c r="AC70" s="34" t="n">
        <f aca="false">AC$60+AC$63</f>
        <v>0</v>
      </c>
      <c r="AD70" s="34" t="n">
        <f aca="false">AD$60+AD$63</f>
        <v>0</v>
      </c>
      <c r="AE70" s="34" t="n">
        <f aca="false">AE$60+AE$63</f>
        <v>0</v>
      </c>
      <c r="AF70" s="34" t="n">
        <f aca="false">AF$60+AF$63</f>
        <v>0</v>
      </c>
      <c r="AG70" s="34" t="n">
        <f aca="false">AG$60+AG$63</f>
        <v>0</v>
      </c>
      <c r="AH70" s="34" t="n">
        <f aca="false">AH$60+AH$63</f>
        <v>0</v>
      </c>
      <c r="AI70" s="34" t="n">
        <f aca="false">AI$60+AI$63</f>
        <v>0</v>
      </c>
      <c r="AJ70" s="34" t="n">
        <f aca="false">AJ$60+AJ$63</f>
        <v>0</v>
      </c>
      <c r="AK70" s="34" t="n">
        <f aca="false">AK$60+AK$63</f>
        <v>0</v>
      </c>
      <c r="AL70" s="34" t="n">
        <f aca="false">AL$60+AL$63</f>
        <v>0</v>
      </c>
      <c r="AM70" s="34" t="n">
        <f aca="false">AM$60+AM$63</f>
        <v>0</v>
      </c>
      <c r="AN70" s="34" t="n">
        <f aca="false">AN$60+AN$63</f>
        <v>0</v>
      </c>
      <c r="AO70" s="34" t="n">
        <f aca="false">AO$60+AO$63</f>
        <v>0</v>
      </c>
      <c r="AP70" s="34" t="n">
        <f aca="false">AP$60+AP$63</f>
        <v>0</v>
      </c>
      <c r="AQ70" s="34" t="n">
        <f aca="false">AQ$60+AQ$63</f>
        <v>0</v>
      </c>
      <c r="AR70" s="34" t="n">
        <f aca="false">AR$60+AR$63</f>
        <v>0</v>
      </c>
      <c r="AS70" s="34" t="n">
        <f aca="false">AS$60+AS$63</f>
        <v>0</v>
      </c>
      <c r="AT70" s="34" t="n">
        <f aca="false">AT$60+AT$63</f>
        <v>0</v>
      </c>
      <c r="AU70" s="34" t="n">
        <f aca="false">AU$60+AU$63</f>
        <v>0</v>
      </c>
      <c r="AV70" s="34" t="n">
        <f aca="false">AV$60+AV$63</f>
        <v>0</v>
      </c>
      <c r="AW70" s="34" t="n">
        <f aca="false">AW$60+AW$63</f>
        <v>0</v>
      </c>
      <c r="AX70" s="34" t="n">
        <f aca="false">AX$60+AX$63</f>
        <v>0</v>
      </c>
      <c r="AY70" s="34" t="n">
        <f aca="false">AY$60+AY$63</f>
        <v>0</v>
      </c>
      <c r="AZ70" s="34" t="n">
        <f aca="false">AZ$60+AZ$63</f>
        <v>0</v>
      </c>
      <c r="BA70" s="34" t="n">
        <f aca="false">BA$60+BA$63</f>
        <v>0</v>
      </c>
      <c r="BB70" s="34" t="n">
        <f aca="false">BB$60+BB$63</f>
        <v>0</v>
      </c>
      <c r="BC70" s="34" t="n">
        <f aca="false">BC$60+BC$63</f>
        <v>0</v>
      </c>
      <c r="BD70" s="34" t="n">
        <f aca="false">BD$60+BD$63</f>
        <v>0</v>
      </c>
      <c r="BE70" s="34" t="n">
        <f aca="false">BE$60+BE$63</f>
        <v>0</v>
      </c>
      <c r="BF70" s="34" t="n">
        <f aca="false">BF$60+BF$63</f>
        <v>0</v>
      </c>
      <c r="BG70" s="34" t="n">
        <f aca="false">BG$60+BG$63</f>
        <v>0</v>
      </c>
      <c r="BH70" s="34" t="n">
        <f aca="false">BH$60+BH$63</f>
        <v>0</v>
      </c>
      <c r="BI70" s="34" t="n">
        <f aca="false">BI$60+BI$63</f>
        <v>0</v>
      </c>
      <c r="BJ70" s="34" t="n">
        <f aca="false">BJ$60+BJ$63</f>
        <v>0</v>
      </c>
      <c r="BK70" s="34" t="n">
        <f aca="false">BK$60+BK$63</f>
        <v>0</v>
      </c>
      <c r="BL70" s="34" t="n">
        <f aca="false">BL$60+BL$63</f>
        <v>0</v>
      </c>
      <c r="BM70" s="34" t="n">
        <f aca="false">BM$60+BM$63</f>
        <v>0</v>
      </c>
      <c r="BN70" s="34" t="n">
        <f aca="false">BN$60+BN$63</f>
        <v>0</v>
      </c>
      <c r="BO70" s="34" t="n">
        <f aca="false">BO$60+BO$63</f>
        <v>0</v>
      </c>
      <c r="BP70" s="34" t="n">
        <f aca="false">BP$60+BP$63</f>
        <v>0</v>
      </c>
      <c r="BQ70" s="34" t="n">
        <f aca="false">BQ$60+BQ$63</f>
        <v>0</v>
      </c>
      <c r="BR70" s="34" t="n">
        <f aca="false">BR$60+BR$63</f>
        <v>0</v>
      </c>
      <c r="BS70" s="34" t="n">
        <f aca="false">BS$60+BS$63</f>
        <v>0</v>
      </c>
      <c r="BT70" s="34" t="n">
        <f aca="false">BT$60+BT$63</f>
        <v>0</v>
      </c>
      <c r="BU70" s="34" t="n">
        <f aca="false">BU$60+BU$63</f>
        <v>0</v>
      </c>
      <c r="BV70" s="34" t="n">
        <f aca="false">BV$60+BV$63</f>
        <v>0</v>
      </c>
      <c r="BW70" s="34" t="n">
        <f aca="false">BW$60+BW$63</f>
        <v>0</v>
      </c>
      <c r="BX70" s="34" t="n">
        <f aca="false">BX$60+BX$63</f>
        <v>0</v>
      </c>
      <c r="BY70" s="34" t="n">
        <f aca="false">BY$60+BY$63</f>
        <v>0</v>
      </c>
      <c r="BZ70" s="34" t="n">
        <f aca="false">BZ$60+BZ$63</f>
        <v>0</v>
      </c>
      <c r="CA70" s="34" t="n">
        <f aca="false">CA$60+CA$63</f>
        <v>0</v>
      </c>
      <c r="CB70" s="34" t="n">
        <f aca="false">CB$60+CB$63</f>
        <v>0</v>
      </c>
      <c r="CC70" s="34" t="n">
        <f aca="false">CC$60+CC$63</f>
        <v>0</v>
      </c>
      <c r="CD70" s="34" t="n">
        <f aca="false">CD$60+CD$63</f>
        <v>0</v>
      </c>
      <c r="CE70" s="34" t="n">
        <f aca="false">CE$60+CE$63</f>
        <v>0</v>
      </c>
      <c r="CF70" s="34" t="n">
        <f aca="false">CF$60+CF$63</f>
        <v>0</v>
      </c>
      <c r="CG70" s="34" t="n">
        <f aca="false">CG$60+CG$63</f>
        <v>0</v>
      </c>
      <c r="CH70" s="34" t="n">
        <f aca="false">CH$60+CH$63</f>
        <v>0</v>
      </c>
      <c r="CI70" s="34" t="n">
        <f aca="false">CI$60+CI$63</f>
        <v>0</v>
      </c>
      <c r="CJ70" s="34" t="n">
        <f aca="false">CJ$60+CJ$63</f>
        <v>0</v>
      </c>
      <c r="CK70" s="34" t="n">
        <f aca="false">CK$60+CK$63</f>
        <v>0</v>
      </c>
      <c r="CL70" s="34" t="n">
        <f aca="false">CL$60+CL$63</f>
        <v>0</v>
      </c>
      <c r="CM70" s="34" t="n">
        <f aca="false">CM$60+CM$63</f>
        <v>0</v>
      </c>
      <c r="CN70" s="34" t="n">
        <f aca="false">CN$60+CN$63</f>
        <v>0</v>
      </c>
      <c r="CO70" s="34" t="n">
        <f aca="false">CO$60+CO$63</f>
        <v>0</v>
      </c>
      <c r="CP70" s="34" t="n">
        <f aca="false">CP$60+CP$63</f>
        <v>0</v>
      </c>
      <c r="CQ70" s="34" t="n">
        <f aca="false">CQ$60+CQ$63</f>
        <v>0</v>
      </c>
      <c r="CR70" s="34" t="n">
        <f aca="false">CR$60+CR$63</f>
        <v>0</v>
      </c>
      <c r="CS70" s="34" t="n">
        <f aca="false">CS$60+CS$63</f>
        <v>0</v>
      </c>
      <c r="CT70" s="34" t="n">
        <f aca="false">CT$60+CT$63</f>
        <v>0</v>
      </c>
      <c r="CU70" s="34" t="n">
        <f aca="false">CU$60+CU$63</f>
        <v>0</v>
      </c>
      <c r="CV70" s="34" t="n">
        <f aca="false">CV$60+CV$63</f>
        <v>0</v>
      </c>
      <c r="CW70" s="34" t="n">
        <f aca="false">CW$60+CW$63</f>
        <v>0</v>
      </c>
      <c r="CX70" s="34" t="n">
        <f aca="false">CX$60+CX$63</f>
        <v>0</v>
      </c>
      <c r="CY70" s="34" t="n">
        <f aca="false">CY$60+CY$63</f>
        <v>0</v>
      </c>
      <c r="CZ70" s="34" t="n">
        <f aca="false">CZ$60+CZ$63</f>
        <v>0</v>
      </c>
      <c r="DA70" s="34" t="n">
        <f aca="false">DA$60+DA$63</f>
        <v>0</v>
      </c>
      <c r="DB70" s="34" t="n">
        <f aca="false">DB$60+DB$63</f>
        <v>0</v>
      </c>
      <c r="DC70" s="34" t="n">
        <f aca="false">DC$60+DC$63</f>
        <v>0</v>
      </c>
      <c r="DD70" s="34" t="n">
        <f aca="false">DD$60+DD$63</f>
        <v>0</v>
      </c>
      <c r="DE70" s="34" t="n">
        <f aca="false">DE$60+DE$63</f>
        <v>0</v>
      </c>
      <c r="DF70" s="34" t="n">
        <f aca="false">DF$60+DF$63</f>
        <v>0</v>
      </c>
      <c r="DG70" s="34" t="n">
        <f aca="false">DG$60+DG$63</f>
        <v>0</v>
      </c>
      <c r="DH70" s="34" t="n">
        <f aca="false">DH$60+DH$63</f>
        <v>0</v>
      </c>
      <c r="DI70" s="34" t="n">
        <f aca="false">DI$60+DI$63</f>
        <v>0</v>
      </c>
      <c r="DJ70" s="34" t="n">
        <f aca="false">DJ$60+DJ$63</f>
        <v>0</v>
      </c>
      <c r="DK70" s="34" t="n">
        <f aca="false">DK$60+DK$63</f>
        <v>0</v>
      </c>
      <c r="DL70" s="34" t="n">
        <f aca="false">DL$60+DL$63</f>
        <v>0</v>
      </c>
      <c r="DM70" s="34" t="n">
        <f aca="false">DM$60+DM$63</f>
        <v>0</v>
      </c>
      <c r="DN70" s="34" t="n">
        <f aca="false">DN$60+DN$63</f>
        <v>0</v>
      </c>
      <c r="DO70" s="34" t="n">
        <f aca="false">DO$60+DO$63</f>
        <v>0</v>
      </c>
      <c r="DP70" s="34" t="n">
        <f aca="false">DP$60+DP$63</f>
        <v>0</v>
      </c>
      <c r="DQ70" s="34" t="n">
        <f aca="false">DQ$60+DQ$63</f>
        <v>0</v>
      </c>
      <c r="DR70" s="34" t="n">
        <f aca="false">DR$60+DR$63</f>
        <v>0</v>
      </c>
      <c r="DS70" s="34" t="n">
        <f aca="false">DS$60+DS$63</f>
        <v>0</v>
      </c>
      <c r="DT70" s="34" t="n">
        <f aca="false">DT$60+DT$63</f>
        <v>0</v>
      </c>
      <c r="DU70" s="34" t="n">
        <f aca="false">DU$60+DU$63</f>
        <v>0</v>
      </c>
      <c r="DV70" s="34" t="n">
        <f aca="false">DV$60+DV$63</f>
        <v>0</v>
      </c>
      <c r="DW70" s="34" t="n">
        <f aca="false">DW$60+DW$63</f>
        <v>0</v>
      </c>
      <c r="DX70" s="34" t="n">
        <f aca="false">DX$60+DX$63</f>
        <v>0</v>
      </c>
      <c r="DY70" s="34" t="n">
        <f aca="false">DY$60+DY$63</f>
        <v>0</v>
      </c>
      <c r="DZ70" s="34" t="n">
        <f aca="false">DZ$60+DZ$63</f>
        <v>0</v>
      </c>
      <c r="EA70" s="34" t="n">
        <f aca="false">EA$60+EA$63</f>
        <v>0</v>
      </c>
      <c r="EB70" s="34" t="n">
        <f aca="false">EB$60+EB$63</f>
        <v>0</v>
      </c>
      <c r="EC70" s="34" t="n">
        <f aca="false">EC$60+EC$63</f>
        <v>0</v>
      </c>
      <c r="ED70" s="34" t="n">
        <f aca="false">ED$60+ED$63</f>
        <v>0</v>
      </c>
      <c r="EE70" s="34" t="n">
        <f aca="false">EE$60+EE$63</f>
        <v>0</v>
      </c>
      <c r="EF70" s="34" t="n">
        <f aca="false">EF$60+EF$63</f>
        <v>0</v>
      </c>
      <c r="EG70" s="34" t="n">
        <f aca="false">EG$60+EG$63</f>
        <v>0</v>
      </c>
      <c r="EH70" s="34" t="n">
        <f aca="false">EH$60+EH$63</f>
        <v>0</v>
      </c>
      <c r="EI70" s="34" t="n">
        <f aca="false">EI$60+EI$63</f>
        <v>0</v>
      </c>
      <c r="EJ70" s="34" t="n">
        <f aca="false">EJ$60+EJ$63</f>
        <v>0</v>
      </c>
      <c r="EK70" s="34" t="n">
        <f aca="false">EK$60+EK$63</f>
        <v>0</v>
      </c>
      <c r="EL70" s="34" t="n">
        <f aca="false">EL$60+EL$63</f>
        <v>0</v>
      </c>
      <c r="EM70" s="34" t="n">
        <f aca="false">EM$60+EM$63</f>
        <v>0</v>
      </c>
      <c r="EN70" s="34" t="n">
        <f aca="false">EN$60+EN$63</f>
        <v>0</v>
      </c>
      <c r="EO70" s="34" t="n">
        <f aca="false">EO$60+EO$63</f>
        <v>0</v>
      </c>
      <c r="EP70" s="34" t="n">
        <f aca="false">EP$60+EP$63</f>
        <v>0</v>
      </c>
      <c r="EQ70" s="34" t="n">
        <f aca="false">EQ$60+EQ$63</f>
        <v>0</v>
      </c>
      <c r="ER70" s="34" t="n">
        <f aca="false">ER$60+ER$63</f>
        <v>0</v>
      </c>
      <c r="ES70" s="34" t="n">
        <f aca="false">ES$60+ES$63</f>
        <v>0</v>
      </c>
    </row>
    <row r="71" customFormat="false" ht="15" hidden="false" customHeight="false" outlineLevel="0" collapsed="false">
      <c r="A71" s="2" t="s">
        <v>506</v>
      </c>
      <c r="B71" s="52" t="s">
        <v>507</v>
      </c>
      <c r="C71" s="6" t="s">
        <v>212</v>
      </c>
      <c r="E71" s="40" t="n">
        <f aca="false">SUM(F71:ES71)</f>
        <v>0</v>
      </c>
      <c r="F71" s="10" t="n">
        <f aca="false">F$45-F$67-F$68-F$69-F$70</f>
        <v>0</v>
      </c>
      <c r="G71" s="10" t="n">
        <f aca="false">G$45-G$67-G$68-G$69-G$70</f>
        <v>0</v>
      </c>
      <c r="H71" s="10" t="n">
        <f aca="false">H$45-H$67-H$68-H$69-H$70</f>
        <v>0</v>
      </c>
      <c r="I71" s="10" t="n">
        <f aca="false">I$45-I$67-I$68-I$69-I$70</f>
        <v>0</v>
      </c>
      <c r="J71" s="10" t="n">
        <f aca="false">J$45-J$67-J$68-J$69-J$70</f>
        <v>0</v>
      </c>
      <c r="K71" s="10" t="n">
        <f aca="false">K$45-K$67-K$68-K$69-K$70</f>
        <v>0</v>
      </c>
      <c r="L71" s="10" t="n">
        <f aca="false">L$45-L$67-L$68-L$69-L$70</f>
        <v>0</v>
      </c>
      <c r="M71" s="10" t="n">
        <f aca="false">M$45-M$67-M$68-M$69-M$70</f>
        <v>0</v>
      </c>
      <c r="N71" s="10" t="n">
        <f aca="false">N$45-N$67-N$68-N$69-N$70</f>
        <v>0</v>
      </c>
      <c r="O71" s="10" t="n">
        <f aca="false">O$45-O$67-O$68-O$69-O$70</f>
        <v>0</v>
      </c>
      <c r="P71" s="10" t="n">
        <f aca="false">P$45-P$67-P$68-P$69-P$70</f>
        <v>0</v>
      </c>
      <c r="Q71" s="10" t="n">
        <f aca="false">Q$45-Q$67-Q$68-Q$69-Q$70</f>
        <v>0</v>
      </c>
      <c r="R71" s="10" t="n">
        <f aca="false">R$45-R$67-R$68-R$69-R$70</f>
        <v>0</v>
      </c>
      <c r="S71" s="10" t="n">
        <f aca="false">S$45-S$67-S$68-S$69-S$70</f>
        <v>0</v>
      </c>
      <c r="T71" s="10" t="n">
        <f aca="false">T$45-T$67-T$68-T$69-T$70</f>
        <v>0</v>
      </c>
      <c r="U71" s="10" t="n">
        <f aca="false">U$45-U$67-U$68-U$69-U$70</f>
        <v>0</v>
      </c>
      <c r="V71" s="10" t="n">
        <f aca="false">V$45-V$67-V$68-V$69-V$70</f>
        <v>0</v>
      </c>
      <c r="W71" s="10" t="n">
        <f aca="false">W$45-W$67-W$68-W$69-W$70</f>
        <v>0</v>
      </c>
      <c r="X71" s="10" t="n">
        <f aca="false">X$45-X$67-X$68-X$69-X$70</f>
        <v>0</v>
      </c>
      <c r="Y71" s="10" t="n">
        <f aca="false">Y$45-Y$67-Y$68-Y$69-Y$70</f>
        <v>0</v>
      </c>
      <c r="Z71" s="10" t="n">
        <f aca="false">Z$45-Z$67-Z$68-Z$69-Z$70</f>
        <v>0</v>
      </c>
      <c r="AA71" s="10" t="n">
        <f aca="false">AA$45-AA$67-AA$68-AA$69-AA$70</f>
        <v>0</v>
      </c>
      <c r="AB71" s="10" t="n">
        <f aca="false">AB$45-AB$67-AB$68-AB$69-AB$70</f>
        <v>0</v>
      </c>
      <c r="AC71" s="10" t="n">
        <f aca="false">AC$45-AC$67-AC$68-AC$69-AC$70</f>
        <v>0</v>
      </c>
      <c r="AD71" s="10" t="n">
        <f aca="false">AD$45-AD$67-AD$68-AD$69-AD$70</f>
        <v>0</v>
      </c>
      <c r="AE71" s="10" t="n">
        <f aca="false">AE$45-AE$67-AE$68-AE$69-AE$70</f>
        <v>0</v>
      </c>
      <c r="AF71" s="10" t="n">
        <f aca="false">AF$45-AF$67-AF$68-AF$69-AF$70</f>
        <v>0</v>
      </c>
      <c r="AG71" s="10" t="n">
        <f aca="false">AG$45-AG$67-AG$68-AG$69-AG$70</f>
        <v>0</v>
      </c>
      <c r="AH71" s="10" t="n">
        <f aca="false">AH$45-AH$67-AH$68-AH$69-AH$70</f>
        <v>0</v>
      </c>
      <c r="AI71" s="10" t="n">
        <f aca="false">AI$45-AI$67-AI$68-AI$69-AI$70</f>
        <v>0</v>
      </c>
      <c r="AJ71" s="10" t="n">
        <f aca="false">AJ$45-AJ$67-AJ$68-AJ$69-AJ$70</f>
        <v>0</v>
      </c>
      <c r="AK71" s="10" t="n">
        <f aca="false">AK$45-AK$67-AK$68-AK$69-AK$70</f>
        <v>0</v>
      </c>
      <c r="AL71" s="10" t="n">
        <f aca="false">AL$45-AL$67-AL$68-AL$69-AL$70</f>
        <v>0</v>
      </c>
      <c r="AM71" s="10" t="n">
        <f aca="false">AM$45-AM$67-AM$68-AM$69-AM$70</f>
        <v>0</v>
      </c>
      <c r="AN71" s="10" t="n">
        <f aca="false">AN$45-AN$67-AN$68-AN$69-AN$70</f>
        <v>0</v>
      </c>
      <c r="AO71" s="10" t="n">
        <f aca="false">AO$45-AO$67-AO$68-AO$69-AO$70</f>
        <v>0</v>
      </c>
      <c r="AP71" s="10" t="n">
        <f aca="false">AP$45-AP$67-AP$68-AP$69-AP$70</f>
        <v>0</v>
      </c>
      <c r="AQ71" s="10" t="n">
        <f aca="false">AQ$45-AQ$67-AQ$68-AQ$69-AQ$70</f>
        <v>0</v>
      </c>
      <c r="AR71" s="10" t="n">
        <f aca="false">AR$45-AR$67-AR$68-AR$69-AR$70</f>
        <v>0</v>
      </c>
      <c r="AS71" s="10" t="n">
        <f aca="false">AS$45-AS$67-AS$68-AS$69-AS$70</f>
        <v>0</v>
      </c>
      <c r="AT71" s="10" t="n">
        <f aca="false">AT$45-AT$67-AT$68-AT$69-AT$70</f>
        <v>0</v>
      </c>
      <c r="AU71" s="10" t="n">
        <f aca="false">AU$45-AU$67-AU$68-AU$69-AU$70</f>
        <v>0</v>
      </c>
      <c r="AV71" s="10" t="n">
        <f aca="false">AV$45-AV$67-AV$68-AV$69-AV$70</f>
        <v>0</v>
      </c>
      <c r="AW71" s="10" t="n">
        <f aca="false">AW$45-AW$67-AW$68-AW$69-AW$70</f>
        <v>0</v>
      </c>
      <c r="AX71" s="10" t="n">
        <f aca="false">AX$45-AX$67-AX$68-AX$69-AX$70</f>
        <v>0</v>
      </c>
      <c r="AY71" s="10" t="n">
        <f aca="false">AY$45-AY$67-AY$68-AY$69-AY$70</f>
        <v>0</v>
      </c>
      <c r="AZ71" s="10" t="n">
        <f aca="false">AZ$45-AZ$67-AZ$68-AZ$69-AZ$70</f>
        <v>0</v>
      </c>
      <c r="BA71" s="10" t="n">
        <f aca="false">BA$45-BA$67-BA$68-BA$69-BA$70</f>
        <v>0</v>
      </c>
      <c r="BB71" s="10" t="n">
        <f aca="false">BB$45-BB$67-BB$68-BB$69-BB$70</f>
        <v>0</v>
      </c>
      <c r="BC71" s="10" t="n">
        <f aca="false">BC$45-BC$67-BC$68-BC$69-BC$70</f>
        <v>0</v>
      </c>
      <c r="BD71" s="10" t="n">
        <f aca="false">BD$45-BD$67-BD$68-BD$69-BD$70</f>
        <v>0</v>
      </c>
      <c r="BE71" s="10" t="n">
        <f aca="false">BE$45-BE$67-BE$68-BE$69-BE$70</f>
        <v>0</v>
      </c>
      <c r="BF71" s="10" t="n">
        <f aca="false">BF$45-BF$67-BF$68-BF$69-BF$70</f>
        <v>0</v>
      </c>
      <c r="BG71" s="10" t="n">
        <f aca="false">BG$45-BG$67-BG$68-BG$69-BG$70</f>
        <v>0</v>
      </c>
      <c r="BH71" s="10" t="n">
        <f aca="false">BH$45-BH$67-BH$68-BH$69-BH$70</f>
        <v>0</v>
      </c>
      <c r="BI71" s="10" t="n">
        <f aca="false">BI$45-BI$67-BI$68-BI$69-BI$70</f>
        <v>0</v>
      </c>
      <c r="BJ71" s="10" t="n">
        <f aca="false">BJ$45-BJ$67-BJ$68-BJ$69-BJ$70</f>
        <v>0</v>
      </c>
      <c r="BK71" s="10" t="n">
        <f aca="false">BK$45-BK$67-BK$68-BK$69-BK$70</f>
        <v>0</v>
      </c>
      <c r="BL71" s="10" t="n">
        <f aca="false">BL$45-BL$67-BL$68-BL$69-BL$70</f>
        <v>0</v>
      </c>
      <c r="BM71" s="10" t="n">
        <f aca="false">BM$45-BM$67-BM$68-BM$69-BM$70</f>
        <v>0</v>
      </c>
      <c r="BN71" s="10" t="n">
        <f aca="false">BN$45-BN$67-BN$68-BN$69-BN$70</f>
        <v>0</v>
      </c>
      <c r="BO71" s="10" t="n">
        <f aca="false">BO$45-BO$67-BO$68-BO$69-BO$70</f>
        <v>0</v>
      </c>
      <c r="BP71" s="10" t="n">
        <f aca="false">BP$45-BP$67-BP$68-BP$69-BP$70</f>
        <v>0</v>
      </c>
      <c r="BQ71" s="10" t="n">
        <f aca="false">BQ$45-BQ$67-BQ$68-BQ$69-BQ$70</f>
        <v>0</v>
      </c>
      <c r="BR71" s="10" t="n">
        <f aca="false">BR$45-BR$67-BR$68-BR$69-BR$70</f>
        <v>0</v>
      </c>
      <c r="BS71" s="10" t="n">
        <f aca="false">BS$45-BS$67-BS$68-BS$69-BS$70</f>
        <v>0</v>
      </c>
      <c r="BT71" s="10" t="n">
        <f aca="false">BT$45-BT$67-BT$68-BT$69-BT$70</f>
        <v>0</v>
      </c>
      <c r="BU71" s="10" t="n">
        <f aca="false">BU$45-BU$67-BU$68-BU$69-BU$70</f>
        <v>0</v>
      </c>
      <c r="BV71" s="10" t="n">
        <f aca="false">BV$45-BV$67-BV$68-BV$69-BV$70</f>
        <v>0</v>
      </c>
      <c r="BW71" s="10" t="n">
        <f aca="false">BW$45-BW$67-BW$68-BW$69-BW$70</f>
        <v>0</v>
      </c>
      <c r="BX71" s="10" t="n">
        <f aca="false">BX$45-BX$67-BX$68-BX$69-BX$70</f>
        <v>0</v>
      </c>
      <c r="BY71" s="10" t="n">
        <f aca="false">BY$45-BY$67-BY$68-BY$69-BY$70</f>
        <v>0</v>
      </c>
      <c r="BZ71" s="10" t="n">
        <f aca="false">BZ$45-BZ$67-BZ$68-BZ$69-BZ$70</f>
        <v>0</v>
      </c>
      <c r="CA71" s="10" t="n">
        <f aca="false">CA$45-CA$67-CA$68-CA$69-CA$70</f>
        <v>0</v>
      </c>
      <c r="CB71" s="10" t="n">
        <f aca="false">CB$45-CB$67-CB$68-CB$69-CB$70</f>
        <v>0</v>
      </c>
      <c r="CC71" s="10" t="n">
        <f aca="false">CC$45-CC$67-CC$68-CC$69-CC$70</f>
        <v>0</v>
      </c>
      <c r="CD71" s="10" t="n">
        <f aca="false">CD$45-CD$67-CD$68-CD$69-CD$70</f>
        <v>0</v>
      </c>
      <c r="CE71" s="10" t="n">
        <f aca="false">CE$45-CE$67-CE$68-CE$69-CE$70</f>
        <v>0</v>
      </c>
      <c r="CF71" s="10" t="n">
        <f aca="false">CF$45-CF$67-CF$68-CF$69-CF$70</f>
        <v>0</v>
      </c>
      <c r="CG71" s="10" t="n">
        <f aca="false">CG$45-CG$67-CG$68-CG$69-CG$70</f>
        <v>0</v>
      </c>
      <c r="CH71" s="10" t="n">
        <f aca="false">CH$45-CH$67-CH$68-CH$69-CH$70</f>
        <v>0</v>
      </c>
      <c r="CI71" s="10" t="n">
        <f aca="false">CI$45-CI$67-CI$68-CI$69-CI$70</f>
        <v>0</v>
      </c>
      <c r="CJ71" s="10" t="n">
        <f aca="false">CJ$45-CJ$67-CJ$68-CJ$69-CJ$70</f>
        <v>0</v>
      </c>
      <c r="CK71" s="10" t="n">
        <f aca="false">CK$45-CK$67-CK$68-CK$69-CK$70</f>
        <v>0</v>
      </c>
      <c r="CL71" s="10" t="n">
        <f aca="false">CL$45-CL$67-CL$68-CL$69-CL$70</f>
        <v>0</v>
      </c>
      <c r="CM71" s="10" t="n">
        <f aca="false">CM$45-CM$67-CM$68-CM$69-CM$70</f>
        <v>0</v>
      </c>
      <c r="CN71" s="10" t="n">
        <f aca="false">CN$45-CN$67-CN$68-CN$69-CN$70</f>
        <v>0</v>
      </c>
      <c r="CO71" s="10" t="n">
        <f aca="false">CO$45-CO$67-CO$68-CO$69-CO$70</f>
        <v>0</v>
      </c>
      <c r="CP71" s="10" t="n">
        <f aca="false">CP$45-CP$67-CP$68-CP$69-CP$70</f>
        <v>0</v>
      </c>
      <c r="CQ71" s="10" t="n">
        <f aca="false">CQ$45-CQ$67-CQ$68-CQ$69-CQ$70</f>
        <v>0</v>
      </c>
      <c r="CR71" s="10" t="n">
        <f aca="false">CR$45-CR$67-CR$68-CR$69-CR$70</f>
        <v>0</v>
      </c>
      <c r="CS71" s="10" t="n">
        <f aca="false">CS$45-CS$67-CS$68-CS$69-CS$70</f>
        <v>0</v>
      </c>
      <c r="CT71" s="10" t="n">
        <f aca="false">CT$45-CT$67-CT$68-CT$69-CT$70</f>
        <v>0</v>
      </c>
      <c r="CU71" s="10" t="n">
        <f aca="false">CU$45-CU$67-CU$68-CU$69-CU$70</f>
        <v>0</v>
      </c>
      <c r="CV71" s="10" t="n">
        <f aca="false">CV$45-CV$67-CV$68-CV$69-CV$70</f>
        <v>0</v>
      </c>
      <c r="CW71" s="10" t="n">
        <f aca="false">CW$45-CW$67-CW$68-CW$69-CW$70</f>
        <v>0</v>
      </c>
      <c r="CX71" s="10" t="n">
        <f aca="false">CX$45-CX$67-CX$68-CX$69-CX$70</f>
        <v>0</v>
      </c>
      <c r="CY71" s="10" t="n">
        <f aca="false">CY$45-CY$67-CY$68-CY$69-CY$70</f>
        <v>0</v>
      </c>
      <c r="CZ71" s="10" t="n">
        <f aca="false">CZ$45-CZ$67-CZ$68-CZ$69-CZ$70</f>
        <v>0</v>
      </c>
      <c r="DA71" s="10" t="n">
        <f aca="false">DA$45-DA$67-DA$68-DA$69-DA$70</f>
        <v>0</v>
      </c>
      <c r="DB71" s="10" t="n">
        <f aca="false">DB$45-DB$67-DB$68-DB$69-DB$70</f>
        <v>0</v>
      </c>
      <c r="DC71" s="10" t="n">
        <f aca="false">DC$45-DC$67-DC$68-DC$69-DC$70</f>
        <v>0</v>
      </c>
      <c r="DD71" s="10" t="n">
        <f aca="false">DD$45-DD$67-DD$68-DD$69-DD$70</f>
        <v>0</v>
      </c>
      <c r="DE71" s="10" t="n">
        <f aca="false">DE$45-DE$67-DE$68-DE$69-DE$70</f>
        <v>0</v>
      </c>
      <c r="DF71" s="10" t="n">
        <f aca="false">DF$45-DF$67-DF$68-DF$69-DF$70</f>
        <v>0</v>
      </c>
      <c r="DG71" s="10" t="n">
        <f aca="false">DG$45-DG$67-DG$68-DG$69-DG$70</f>
        <v>0</v>
      </c>
      <c r="DH71" s="10" t="n">
        <f aca="false">DH$45-DH$67-DH$68-DH$69-DH$70</f>
        <v>0</v>
      </c>
      <c r="DI71" s="10" t="n">
        <f aca="false">DI$45-DI$67-DI$68-DI$69-DI$70</f>
        <v>0</v>
      </c>
      <c r="DJ71" s="10" t="n">
        <f aca="false">DJ$45-DJ$67-DJ$68-DJ$69-DJ$70</f>
        <v>0</v>
      </c>
      <c r="DK71" s="10" t="n">
        <f aca="false">DK$45-DK$67-DK$68-DK$69-DK$70</f>
        <v>0</v>
      </c>
      <c r="DL71" s="10" t="n">
        <f aca="false">DL$45-DL$67-DL$68-DL$69-DL$70</f>
        <v>0</v>
      </c>
      <c r="DM71" s="10" t="n">
        <f aca="false">DM$45-DM$67-DM$68-DM$69-DM$70</f>
        <v>0</v>
      </c>
      <c r="DN71" s="10" t="n">
        <f aca="false">DN$45-DN$67-DN$68-DN$69-DN$70</f>
        <v>0</v>
      </c>
      <c r="DO71" s="10" t="n">
        <f aca="false">DO$45-DO$67-DO$68-DO$69-DO$70</f>
        <v>0</v>
      </c>
      <c r="DP71" s="10" t="n">
        <f aca="false">DP$45-DP$67-DP$68-DP$69-DP$70</f>
        <v>0</v>
      </c>
      <c r="DQ71" s="10" t="n">
        <f aca="false">DQ$45-DQ$67-DQ$68-DQ$69-DQ$70</f>
        <v>0</v>
      </c>
      <c r="DR71" s="10" t="n">
        <f aca="false">DR$45-DR$67-DR$68-DR$69-DR$70</f>
        <v>0</v>
      </c>
      <c r="DS71" s="10" t="n">
        <f aca="false">DS$45-DS$67-DS$68-DS$69-DS$70</f>
        <v>0</v>
      </c>
      <c r="DT71" s="10" t="n">
        <f aca="false">DT$45-DT$67-DT$68-DT$69-DT$70</f>
        <v>0</v>
      </c>
      <c r="DU71" s="10" t="n">
        <f aca="false">DU$45-DU$67-DU$68-DU$69-DU$70</f>
        <v>0</v>
      </c>
      <c r="DV71" s="10" t="n">
        <f aca="false">DV$45-DV$67-DV$68-DV$69-DV$70</f>
        <v>0</v>
      </c>
      <c r="DW71" s="10" t="n">
        <f aca="false">DW$45-DW$67-DW$68-DW$69-DW$70</f>
        <v>0</v>
      </c>
      <c r="DX71" s="10" t="n">
        <f aca="false">DX$45-DX$67-DX$68-DX$69-DX$70</f>
        <v>0</v>
      </c>
      <c r="DY71" s="10" t="n">
        <f aca="false">DY$45-DY$67-DY$68-DY$69-DY$70</f>
        <v>0</v>
      </c>
      <c r="DZ71" s="10" t="n">
        <f aca="false">DZ$45-DZ$67-DZ$68-DZ$69-DZ$70</f>
        <v>0</v>
      </c>
      <c r="EA71" s="10" t="n">
        <f aca="false">EA$45-EA$67-EA$68-EA$69-EA$70</f>
        <v>0</v>
      </c>
      <c r="EB71" s="10" t="n">
        <f aca="false">EB$45-EB$67-EB$68-EB$69-EB$70</f>
        <v>0</v>
      </c>
      <c r="EC71" s="10" t="n">
        <f aca="false">EC$45-EC$67-EC$68-EC$69-EC$70</f>
        <v>0</v>
      </c>
      <c r="ED71" s="10" t="n">
        <f aca="false">ED$45-ED$67-ED$68-ED$69-ED$70</f>
        <v>0</v>
      </c>
      <c r="EE71" s="10" t="n">
        <f aca="false">EE$45-EE$67-EE$68-EE$69-EE$70</f>
        <v>0</v>
      </c>
      <c r="EF71" s="10" t="n">
        <f aca="false">EF$45-EF$67-EF$68-EF$69-EF$70</f>
        <v>0</v>
      </c>
      <c r="EG71" s="10" t="n">
        <f aca="false">EG$45-EG$67-EG$68-EG$69-EG$70</f>
        <v>0</v>
      </c>
      <c r="EH71" s="10" t="n">
        <f aca="false">EH$45-EH$67-EH$68-EH$69-EH$70</f>
        <v>0</v>
      </c>
      <c r="EI71" s="10" t="n">
        <f aca="false">EI$45-EI$67-EI$68-EI$69-EI$70</f>
        <v>0</v>
      </c>
      <c r="EJ71" s="10" t="n">
        <f aca="false">EJ$45-EJ$67-EJ$68-EJ$69-EJ$70</f>
        <v>0</v>
      </c>
      <c r="EK71" s="10" t="n">
        <f aca="false">EK$45-EK$67-EK$68-EK$69-EK$70</f>
        <v>0</v>
      </c>
      <c r="EL71" s="10" t="n">
        <f aca="false">EL$45-EL$67-EL$68-EL$69-EL$70</f>
        <v>0</v>
      </c>
      <c r="EM71" s="10" t="n">
        <f aca="false">EM$45-EM$67-EM$68-EM$69-EM$70</f>
        <v>0</v>
      </c>
      <c r="EN71" s="10" t="n">
        <f aca="false">EN$45-EN$67-EN$68-EN$69-EN$70</f>
        <v>0</v>
      </c>
      <c r="EO71" s="10" t="n">
        <f aca="false">EO$45-EO$67-EO$68-EO$69-EO$70</f>
        <v>0</v>
      </c>
      <c r="EP71" s="10" t="n">
        <f aca="false">EP$45-EP$67-EP$68-EP$69-EP$70</f>
        <v>0</v>
      </c>
      <c r="EQ71" s="10" t="n">
        <f aca="false">EQ$45-EQ$67-EQ$68-EQ$69-EQ$70</f>
        <v>0</v>
      </c>
      <c r="ER71" s="10" t="n">
        <f aca="false">ER$45-ER$67-ER$68-ER$69-ER$70</f>
        <v>0</v>
      </c>
      <c r="ES71" s="10" t="n">
        <f aca="false">ES$45-ES$67-ES$68-ES$69-ES$70</f>
        <v>0</v>
      </c>
    </row>
    <row r="72" customFormat="false" ht="15" hidden="false" customHeight="false" outlineLevel="0" collapsed="false">
      <c r="A72" s="2" t="s">
        <v>508</v>
      </c>
      <c r="B72" s="6" t="s">
        <v>509</v>
      </c>
      <c r="C72" s="6" t="s">
        <v>212</v>
      </c>
      <c r="E72" s="40" t="n">
        <f aca="false">SUM(F72:ES72)</f>
        <v>0</v>
      </c>
      <c r="F72" s="34" t="n">
        <f aca="false">F$56</f>
        <v>0</v>
      </c>
      <c r="G72" s="34" t="n">
        <f aca="false">G$56</f>
        <v>0</v>
      </c>
      <c r="H72" s="34" t="n">
        <f aca="false">H$56</f>
        <v>0</v>
      </c>
      <c r="I72" s="34" t="n">
        <f aca="false">I$56</f>
        <v>0</v>
      </c>
      <c r="J72" s="34" t="n">
        <f aca="false">J$56</f>
        <v>0</v>
      </c>
      <c r="K72" s="34" t="n">
        <f aca="false">K$56</f>
        <v>0</v>
      </c>
      <c r="L72" s="34" t="n">
        <f aca="false">L$56</f>
        <v>0</v>
      </c>
      <c r="M72" s="34" t="n">
        <f aca="false">M$56</f>
        <v>0</v>
      </c>
      <c r="N72" s="34" t="n">
        <f aca="false">N$56</f>
        <v>0</v>
      </c>
      <c r="O72" s="34" t="n">
        <f aca="false">O$56</f>
        <v>0</v>
      </c>
      <c r="P72" s="34" t="n">
        <f aca="false">P$56</f>
        <v>0</v>
      </c>
      <c r="Q72" s="34" t="n">
        <f aca="false">Q$56</f>
        <v>0</v>
      </c>
      <c r="R72" s="34" t="n">
        <f aca="false">R$56</f>
        <v>0</v>
      </c>
      <c r="S72" s="34" t="n">
        <f aca="false">S$56</f>
        <v>0</v>
      </c>
      <c r="T72" s="34" t="n">
        <f aca="false">T$56</f>
        <v>0</v>
      </c>
      <c r="U72" s="34" t="n">
        <f aca="false">U$56</f>
        <v>0</v>
      </c>
      <c r="V72" s="34" t="n">
        <f aca="false">V$56</f>
        <v>0</v>
      </c>
      <c r="W72" s="34" t="n">
        <f aca="false">W$56</f>
        <v>0</v>
      </c>
      <c r="X72" s="34" t="n">
        <f aca="false">X$56</f>
        <v>0</v>
      </c>
      <c r="Y72" s="34" t="n">
        <f aca="false">Y$56</f>
        <v>0</v>
      </c>
      <c r="Z72" s="34" t="n">
        <f aca="false">Z$56</f>
        <v>0</v>
      </c>
      <c r="AA72" s="34" t="n">
        <f aca="false">AA$56</f>
        <v>0</v>
      </c>
      <c r="AB72" s="34" t="n">
        <f aca="false">AB$56</f>
        <v>0</v>
      </c>
      <c r="AC72" s="34" t="n">
        <f aca="false">AC$56</f>
        <v>0</v>
      </c>
      <c r="AD72" s="34" t="n">
        <f aca="false">AD$56</f>
        <v>0</v>
      </c>
      <c r="AE72" s="34" t="n">
        <f aca="false">AE$56</f>
        <v>0</v>
      </c>
      <c r="AF72" s="34" t="n">
        <f aca="false">AF$56</f>
        <v>0</v>
      </c>
      <c r="AG72" s="34" t="n">
        <f aca="false">AG$56</f>
        <v>0</v>
      </c>
      <c r="AH72" s="34" t="n">
        <f aca="false">AH$56</f>
        <v>0</v>
      </c>
      <c r="AI72" s="34" t="n">
        <f aca="false">AI$56</f>
        <v>0</v>
      </c>
      <c r="AJ72" s="34" t="n">
        <f aca="false">AJ$56</f>
        <v>0</v>
      </c>
      <c r="AK72" s="34" t="n">
        <f aca="false">AK$56</f>
        <v>0</v>
      </c>
      <c r="AL72" s="34" t="n">
        <f aca="false">AL$56</f>
        <v>0</v>
      </c>
      <c r="AM72" s="34" t="n">
        <f aca="false">AM$56</f>
        <v>0</v>
      </c>
      <c r="AN72" s="34" t="n">
        <f aca="false">AN$56</f>
        <v>0</v>
      </c>
      <c r="AO72" s="34" t="n">
        <f aca="false">AO$56</f>
        <v>0</v>
      </c>
      <c r="AP72" s="34" t="n">
        <f aca="false">AP$56</f>
        <v>0</v>
      </c>
      <c r="AQ72" s="34" t="n">
        <f aca="false">AQ$56</f>
        <v>0</v>
      </c>
      <c r="AR72" s="34" t="n">
        <f aca="false">AR$56</f>
        <v>0</v>
      </c>
      <c r="AS72" s="34" t="n">
        <f aca="false">AS$56</f>
        <v>0</v>
      </c>
      <c r="AT72" s="34" t="n">
        <f aca="false">AT$56</f>
        <v>0</v>
      </c>
      <c r="AU72" s="34" t="n">
        <f aca="false">AU$56</f>
        <v>0</v>
      </c>
      <c r="AV72" s="34" t="n">
        <f aca="false">AV$56</f>
        <v>0</v>
      </c>
      <c r="AW72" s="34" t="n">
        <f aca="false">AW$56</f>
        <v>0</v>
      </c>
      <c r="AX72" s="34" t="n">
        <f aca="false">AX$56</f>
        <v>0</v>
      </c>
      <c r="AY72" s="34" t="n">
        <f aca="false">AY$56</f>
        <v>0</v>
      </c>
      <c r="AZ72" s="34" t="n">
        <f aca="false">AZ$56</f>
        <v>0</v>
      </c>
      <c r="BA72" s="34" t="n">
        <f aca="false">BA$56</f>
        <v>0</v>
      </c>
      <c r="BB72" s="34" t="n">
        <f aca="false">BB$56</f>
        <v>0</v>
      </c>
      <c r="BC72" s="34" t="n">
        <f aca="false">BC$56</f>
        <v>0</v>
      </c>
      <c r="BD72" s="34" t="n">
        <f aca="false">BD$56</f>
        <v>0</v>
      </c>
      <c r="BE72" s="34" t="n">
        <f aca="false">BE$56</f>
        <v>0</v>
      </c>
      <c r="BF72" s="34" t="n">
        <f aca="false">BF$56</f>
        <v>0</v>
      </c>
      <c r="BG72" s="34" t="n">
        <f aca="false">BG$56</f>
        <v>0</v>
      </c>
      <c r="BH72" s="34" t="n">
        <f aca="false">BH$56</f>
        <v>0</v>
      </c>
      <c r="BI72" s="34" t="n">
        <f aca="false">BI$56</f>
        <v>0</v>
      </c>
      <c r="BJ72" s="34" t="n">
        <f aca="false">BJ$56</f>
        <v>0</v>
      </c>
      <c r="BK72" s="34" t="n">
        <f aca="false">BK$56</f>
        <v>0</v>
      </c>
      <c r="BL72" s="34" t="n">
        <f aca="false">BL$56</f>
        <v>0</v>
      </c>
      <c r="BM72" s="34" t="n">
        <f aca="false">BM$56</f>
        <v>0</v>
      </c>
      <c r="BN72" s="34" t="n">
        <f aca="false">BN$56</f>
        <v>0</v>
      </c>
      <c r="BO72" s="34" t="n">
        <f aca="false">BO$56</f>
        <v>0</v>
      </c>
      <c r="BP72" s="34" t="n">
        <f aca="false">BP$56</f>
        <v>0</v>
      </c>
      <c r="BQ72" s="34" t="n">
        <f aca="false">BQ$56</f>
        <v>0</v>
      </c>
      <c r="BR72" s="34" t="n">
        <f aca="false">BR$56</f>
        <v>0</v>
      </c>
      <c r="BS72" s="34" t="n">
        <f aca="false">BS$56</f>
        <v>0</v>
      </c>
      <c r="BT72" s="34" t="n">
        <f aca="false">BT$56</f>
        <v>0</v>
      </c>
      <c r="BU72" s="34" t="n">
        <f aca="false">BU$56</f>
        <v>0</v>
      </c>
      <c r="BV72" s="34" t="n">
        <f aca="false">BV$56</f>
        <v>0</v>
      </c>
      <c r="BW72" s="34" t="n">
        <f aca="false">BW$56</f>
        <v>0</v>
      </c>
      <c r="BX72" s="34" t="n">
        <f aca="false">BX$56</f>
        <v>0</v>
      </c>
      <c r="BY72" s="34" t="n">
        <f aca="false">BY$56</f>
        <v>0</v>
      </c>
      <c r="BZ72" s="34" t="n">
        <f aca="false">BZ$56</f>
        <v>0</v>
      </c>
      <c r="CA72" s="34" t="n">
        <f aca="false">CA$56</f>
        <v>0</v>
      </c>
      <c r="CB72" s="34" t="n">
        <f aca="false">CB$56</f>
        <v>0</v>
      </c>
      <c r="CC72" s="34" t="n">
        <f aca="false">CC$56</f>
        <v>0</v>
      </c>
      <c r="CD72" s="34" t="n">
        <f aca="false">CD$56</f>
        <v>0</v>
      </c>
      <c r="CE72" s="34" t="n">
        <f aca="false">CE$56</f>
        <v>0</v>
      </c>
      <c r="CF72" s="34" t="n">
        <f aca="false">CF$56</f>
        <v>0</v>
      </c>
      <c r="CG72" s="34" t="n">
        <f aca="false">CG$56</f>
        <v>0</v>
      </c>
      <c r="CH72" s="34" t="n">
        <f aca="false">CH$56</f>
        <v>0</v>
      </c>
      <c r="CI72" s="34" t="n">
        <f aca="false">CI$56</f>
        <v>0</v>
      </c>
      <c r="CJ72" s="34" t="n">
        <f aca="false">CJ$56</f>
        <v>0</v>
      </c>
      <c r="CK72" s="34" t="n">
        <f aca="false">CK$56</f>
        <v>0</v>
      </c>
      <c r="CL72" s="34" t="n">
        <f aca="false">CL$56</f>
        <v>0</v>
      </c>
      <c r="CM72" s="34" t="n">
        <f aca="false">CM$56</f>
        <v>0</v>
      </c>
      <c r="CN72" s="34" t="n">
        <f aca="false">CN$56</f>
        <v>0</v>
      </c>
      <c r="CO72" s="34" t="n">
        <f aca="false">CO$56</f>
        <v>0</v>
      </c>
      <c r="CP72" s="34" t="n">
        <f aca="false">CP$56</f>
        <v>0</v>
      </c>
      <c r="CQ72" s="34" t="n">
        <f aca="false">CQ$56</f>
        <v>0</v>
      </c>
      <c r="CR72" s="34" t="n">
        <f aca="false">CR$56</f>
        <v>0</v>
      </c>
      <c r="CS72" s="34" t="n">
        <f aca="false">CS$56</f>
        <v>0</v>
      </c>
      <c r="CT72" s="34" t="n">
        <f aca="false">CT$56</f>
        <v>0</v>
      </c>
      <c r="CU72" s="34" t="n">
        <f aca="false">CU$56</f>
        <v>0</v>
      </c>
      <c r="CV72" s="34" t="n">
        <f aca="false">CV$56</f>
        <v>0</v>
      </c>
      <c r="CW72" s="34" t="n">
        <f aca="false">CW$56</f>
        <v>0</v>
      </c>
      <c r="CX72" s="34" t="n">
        <f aca="false">CX$56</f>
        <v>0</v>
      </c>
      <c r="CY72" s="34" t="n">
        <f aca="false">CY$56</f>
        <v>0</v>
      </c>
      <c r="CZ72" s="34" t="n">
        <f aca="false">CZ$56</f>
        <v>0</v>
      </c>
      <c r="DA72" s="34" t="n">
        <f aca="false">DA$56</f>
        <v>0</v>
      </c>
      <c r="DB72" s="34" t="n">
        <f aca="false">DB$56</f>
        <v>0</v>
      </c>
      <c r="DC72" s="34" t="n">
        <f aca="false">DC$56</f>
        <v>0</v>
      </c>
      <c r="DD72" s="34" t="n">
        <f aca="false">DD$56</f>
        <v>0</v>
      </c>
      <c r="DE72" s="34" t="n">
        <f aca="false">DE$56</f>
        <v>0</v>
      </c>
      <c r="DF72" s="34" t="n">
        <f aca="false">DF$56</f>
        <v>0</v>
      </c>
      <c r="DG72" s="34" t="n">
        <f aca="false">DG$56</f>
        <v>0</v>
      </c>
      <c r="DH72" s="34" t="n">
        <f aca="false">DH$56</f>
        <v>0</v>
      </c>
      <c r="DI72" s="34" t="n">
        <f aca="false">DI$56</f>
        <v>0</v>
      </c>
      <c r="DJ72" s="34" t="n">
        <f aca="false">DJ$56</f>
        <v>0</v>
      </c>
      <c r="DK72" s="34" t="n">
        <f aca="false">DK$56</f>
        <v>0</v>
      </c>
      <c r="DL72" s="34" t="n">
        <f aca="false">DL$56</f>
        <v>0</v>
      </c>
      <c r="DM72" s="34" t="n">
        <f aca="false">DM$56</f>
        <v>0</v>
      </c>
      <c r="DN72" s="34" t="n">
        <f aca="false">DN$56</f>
        <v>0</v>
      </c>
      <c r="DO72" s="34" t="n">
        <f aca="false">DO$56</f>
        <v>0</v>
      </c>
      <c r="DP72" s="34" t="n">
        <f aca="false">DP$56</f>
        <v>0</v>
      </c>
      <c r="DQ72" s="34" t="n">
        <f aca="false">DQ$56</f>
        <v>0</v>
      </c>
      <c r="DR72" s="34" t="n">
        <f aca="false">DR$56</f>
        <v>0</v>
      </c>
      <c r="DS72" s="34" t="n">
        <f aca="false">DS$56</f>
        <v>0</v>
      </c>
      <c r="DT72" s="34" t="n">
        <f aca="false">DT$56</f>
        <v>0</v>
      </c>
      <c r="DU72" s="34" t="n">
        <f aca="false">DU$56</f>
        <v>0</v>
      </c>
      <c r="DV72" s="34" t="n">
        <f aca="false">DV$56</f>
        <v>0</v>
      </c>
      <c r="DW72" s="34" t="n">
        <f aca="false">DW$56</f>
        <v>0</v>
      </c>
      <c r="DX72" s="34" t="n">
        <f aca="false">DX$56</f>
        <v>0</v>
      </c>
      <c r="DY72" s="34" t="n">
        <f aca="false">DY$56</f>
        <v>0</v>
      </c>
      <c r="DZ72" s="34" t="n">
        <f aca="false">DZ$56</f>
        <v>0</v>
      </c>
      <c r="EA72" s="34" t="n">
        <f aca="false">EA$56</f>
        <v>0</v>
      </c>
      <c r="EB72" s="34" t="n">
        <f aca="false">EB$56</f>
        <v>0</v>
      </c>
      <c r="EC72" s="34" t="n">
        <f aca="false">EC$56</f>
        <v>0</v>
      </c>
      <c r="ED72" s="34" t="n">
        <f aca="false">ED$56</f>
        <v>0</v>
      </c>
      <c r="EE72" s="34" t="n">
        <f aca="false">EE$56</f>
        <v>0</v>
      </c>
      <c r="EF72" s="34" t="n">
        <f aca="false">EF$56</f>
        <v>0</v>
      </c>
      <c r="EG72" s="34" t="n">
        <f aca="false">EG$56</f>
        <v>0</v>
      </c>
      <c r="EH72" s="34" t="n">
        <f aca="false">EH$56</f>
        <v>0</v>
      </c>
      <c r="EI72" s="34" t="n">
        <f aca="false">EI$56</f>
        <v>0</v>
      </c>
      <c r="EJ72" s="34" t="n">
        <f aca="false">EJ$56</f>
        <v>0</v>
      </c>
      <c r="EK72" s="34" t="n">
        <f aca="false">EK$56</f>
        <v>0</v>
      </c>
      <c r="EL72" s="34" t="n">
        <f aca="false">EL$56</f>
        <v>0</v>
      </c>
      <c r="EM72" s="34" t="n">
        <f aca="false">EM$56</f>
        <v>0</v>
      </c>
      <c r="EN72" s="34" t="n">
        <f aca="false">EN$56</f>
        <v>0</v>
      </c>
      <c r="EO72" s="34" t="n">
        <f aca="false">EO$56</f>
        <v>0</v>
      </c>
      <c r="EP72" s="34" t="n">
        <f aca="false">EP$56</f>
        <v>0</v>
      </c>
      <c r="EQ72" s="34" t="n">
        <f aca="false">EQ$56</f>
        <v>0</v>
      </c>
      <c r="ER72" s="34" t="n">
        <f aca="false">ER$56</f>
        <v>0</v>
      </c>
      <c r="ES72" s="34" t="n">
        <f aca="false">ES$56</f>
        <v>0</v>
      </c>
    </row>
    <row r="73" customFormat="false" ht="15" hidden="false" customHeight="false" outlineLevel="0" collapsed="false">
      <c r="A73" s="2" t="s">
        <v>510</v>
      </c>
      <c r="B73" s="6" t="s">
        <v>511</v>
      </c>
      <c r="C73" s="6" t="s">
        <v>212</v>
      </c>
      <c r="E73" s="40" t="n">
        <f aca="false">SUM(F73:ES73)</f>
        <v>0</v>
      </c>
      <c r="F73" s="34" t="n">
        <f aca="false">F$61+F$64</f>
        <v>0</v>
      </c>
      <c r="G73" s="34" t="n">
        <f aca="false">G$61+G$64</f>
        <v>0</v>
      </c>
      <c r="H73" s="34" t="n">
        <f aca="false">H$61+H$64</f>
        <v>0</v>
      </c>
      <c r="I73" s="34" t="n">
        <f aca="false">I$61+I$64</f>
        <v>0</v>
      </c>
      <c r="J73" s="34" t="n">
        <f aca="false">J$61+J$64</f>
        <v>0</v>
      </c>
      <c r="K73" s="34" t="n">
        <f aca="false">K$61+K$64</f>
        <v>0</v>
      </c>
      <c r="L73" s="34" t="n">
        <f aca="false">L$61+L$64</f>
        <v>0</v>
      </c>
      <c r="M73" s="34" t="n">
        <f aca="false">M$61+M$64</f>
        <v>0</v>
      </c>
      <c r="N73" s="34" t="n">
        <f aca="false">N$61+N$64</f>
        <v>0</v>
      </c>
      <c r="O73" s="34" t="n">
        <f aca="false">O$61+O$64</f>
        <v>0</v>
      </c>
      <c r="P73" s="34" t="n">
        <f aca="false">P$61+P$64</f>
        <v>0</v>
      </c>
      <c r="Q73" s="34" t="n">
        <f aca="false">Q$61+Q$64</f>
        <v>0</v>
      </c>
      <c r="R73" s="34" t="n">
        <f aca="false">R$61+R$64</f>
        <v>0</v>
      </c>
      <c r="S73" s="34" t="n">
        <f aca="false">S$61+S$64</f>
        <v>0</v>
      </c>
      <c r="T73" s="34" t="n">
        <f aca="false">T$61+T$64</f>
        <v>0</v>
      </c>
      <c r="U73" s="34" t="n">
        <f aca="false">U$61+U$64</f>
        <v>0</v>
      </c>
      <c r="V73" s="34" t="n">
        <f aca="false">V$61+V$64</f>
        <v>0</v>
      </c>
      <c r="W73" s="34" t="n">
        <f aca="false">W$61+W$64</f>
        <v>0</v>
      </c>
      <c r="X73" s="34" t="n">
        <f aca="false">X$61+X$64</f>
        <v>0</v>
      </c>
      <c r="Y73" s="34" t="n">
        <f aca="false">Y$61+Y$64</f>
        <v>0</v>
      </c>
      <c r="Z73" s="34" t="n">
        <f aca="false">Z$61+Z$64</f>
        <v>0</v>
      </c>
      <c r="AA73" s="34" t="n">
        <f aca="false">AA$61+AA$64</f>
        <v>0</v>
      </c>
      <c r="AB73" s="34" t="n">
        <f aca="false">AB$61+AB$64</f>
        <v>0</v>
      </c>
      <c r="AC73" s="34" t="n">
        <f aca="false">AC$61+AC$64</f>
        <v>0</v>
      </c>
      <c r="AD73" s="34" t="n">
        <f aca="false">AD$61+AD$64</f>
        <v>0</v>
      </c>
      <c r="AE73" s="34" t="n">
        <f aca="false">AE$61+AE$64</f>
        <v>0</v>
      </c>
      <c r="AF73" s="34" t="n">
        <f aca="false">AF$61+AF$64</f>
        <v>0</v>
      </c>
      <c r="AG73" s="34" t="n">
        <f aca="false">AG$61+AG$64</f>
        <v>0</v>
      </c>
      <c r="AH73" s="34" t="n">
        <f aca="false">AH$61+AH$64</f>
        <v>0</v>
      </c>
      <c r="AI73" s="34" t="n">
        <f aca="false">AI$61+AI$64</f>
        <v>0</v>
      </c>
      <c r="AJ73" s="34" t="n">
        <f aca="false">AJ$61+AJ$64</f>
        <v>0</v>
      </c>
      <c r="AK73" s="34" t="n">
        <f aca="false">AK$61+AK$64</f>
        <v>0</v>
      </c>
      <c r="AL73" s="34" t="n">
        <f aca="false">AL$61+AL$64</f>
        <v>0</v>
      </c>
      <c r="AM73" s="34" t="n">
        <f aca="false">AM$61+AM$64</f>
        <v>0</v>
      </c>
      <c r="AN73" s="34" t="n">
        <f aca="false">AN$61+AN$64</f>
        <v>0</v>
      </c>
      <c r="AO73" s="34" t="n">
        <f aca="false">AO$61+AO$64</f>
        <v>0</v>
      </c>
      <c r="AP73" s="34" t="n">
        <f aca="false">AP$61+AP$64</f>
        <v>0</v>
      </c>
      <c r="AQ73" s="34" t="n">
        <f aca="false">AQ$61+AQ$64</f>
        <v>0</v>
      </c>
      <c r="AR73" s="34" t="n">
        <f aca="false">AR$61+AR$64</f>
        <v>0</v>
      </c>
      <c r="AS73" s="34" t="n">
        <f aca="false">AS$61+AS$64</f>
        <v>0</v>
      </c>
      <c r="AT73" s="34" t="n">
        <f aca="false">AT$61+AT$64</f>
        <v>0</v>
      </c>
      <c r="AU73" s="34" t="n">
        <f aca="false">AU$61+AU$64</f>
        <v>0</v>
      </c>
      <c r="AV73" s="34" t="n">
        <f aca="false">AV$61+AV$64</f>
        <v>0</v>
      </c>
      <c r="AW73" s="34" t="n">
        <f aca="false">AW$61+AW$64</f>
        <v>0</v>
      </c>
      <c r="AX73" s="34" t="n">
        <f aca="false">AX$61+AX$64</f>
        <v>0</v>
      </c>
      <c r="AY73" s="34" t="n">
        <f aca="false">AY$61+AY$64</f>
        <v>0</v>
      </c>
      <c r="AZ73" s="34" t="n">
        <f aca="false">AZ$61+AZ$64</f>
        <v>0</v>
      </c>
      <c r="BA73" s="34" t="n">
        <f aca="false">BA$61+BA$64</f>
        <v>0</v>
      </c>
      <c r="BB73" s="34" t="n">
        <f aca="false">BB$61+BB$64</f>
        <v>0</v>
      </c>
      <c r="BC73" s="34" t="n">
        <f aca="false">BC$61+BC$64</f>
        <v>0</v>
      </c>
      <c r="BD73" s="34" t="n">
        <f aca="false">BD$61+BD$64</f>
        <v>0</v>
      </c>
      <c r="BE73" s="34" t="n">
        <f aca="false">BE$61+BE$64</f>
        <v>0</v>
      </c>
      <c r="BF73" s="34" t="n">
        <f aca="false">BF$61+BF$64</f>
        <v>0</v>
      </c>
      <c r="BG73" s="34" t="n">
        <f aca="false">BG$61+BG$64</f>
        <v>0</v>
      </c>
      <c r="BH73" s="34" t="n">
        <f aca="false">BH$61+BH$64</f>
        <v>0</v>
      </c>
      <c r="BI73" s="34" t="n">
        <f aca="false">BI$61+BI$64</f>
        <v>0</v>
      </c>
      <c r="BJ73" s="34" t="n">
        <f aca="false">BJ$61+BJ$64</f>
        <v>0</v>
      </c>
      <c r="BK73" s="34" t="n">
        <f aca="false">BK$61+BK$64</f>
        <v>0</v>
      </c>
      <c r="BL73" s="34" t="n">
        <f aca="false">BL$61+BL$64</f>
        <v>0</v>
      </c>
      <c r="BM73" s="34" t="n">
        <f aca="false">BM$61+BM$64</f>
        <v>0</v>
      </c>
      <c r="BN73" s="34" t="n">
        <f aca="false">BN$61+BN$64</f>
        <v>0</v>
      </c>
      <c r="BO73" s="34" t="n">
        <f aca="false">BO$61+BO$64</f>
        <v>0</v>
      </c>
      <c r="BP73" s="34" t="n">
        <f aca="false">BP$61+BP$64</f>
        <v>0</v>
      </c>
      <c r="BQ73" s="34" t="n">
        <f aca="false">BQ$61+BQ$64</f>
        <v>0</v>
      </c>
      <c r="BR73" s="34" t="n">
        <f aca="false">BR$61+BR$64</f>
        <v>0</v>
      </c>
      <c r="BS73" s="34" t="n">
        <f aca="false">BS$61+BS$64</f>
        <v>0</v>
      </c>
      <c r="BT73" s="34" t="n">
        <f aca="false">BT$61+BT$64</f>
        <v>0</v>
      </c>
      <c r="BU73" s="34" t="n">
        <f aca="false">BU$61+BU$64</f>
        <v>0</v>
      </c>
      <c r="BV73" s="34" t="n">
        <f aca="false">BV$61+BV$64</f>
        <v>0</v>
      </c>
      <c r="BW73" s="34" t="n">
        <f aca="false">BW$61+BW$64</f>
        <v>0</v>
      </c>
      <c r="BX73" s="34" t="n">
        <f aca="false">BX$61+BX$64</f>
        <v>0</v>
      </c>
      <c r="BY73" s="34" t="n">
        <f aca="false">BY$61+BY$64</f>
        <v>0</v>
      </c>
      <c r="BZ73" s="34" t="n">
        <f aca="false">BZ$61+BZ$64</f>
        <v>0</v>
      </c>
      <c r="CA73" s="34" t="n">
        <f aca="false">CA$61+CA$64</f>
        <v>0</v>
      </c>
      <c r="CB73" s="34" t="n">
        <f aca="false">CB$61+CB$64</f>
        <v>0</v>
      </c>
      <c r="CC73" s="34" t="n">
        <f aca="false">CC$61+CC$64</f>
        <v>0</v>
      </c>
      <c r="CD73" s="34" t="n">
        <f aca="false">CD$61+CD$64</f>
        <v>0</v>
      </c>
      <c r="CE73" s="34" t="n">
        <f aca="false">CE$61+CE$64</f>
        <v>0</v>
      </c>
      <c r="CF73" s="34" t="n">
        <f aca="false">CF$61+CF$64</f>
        <v>0</v>
      </c>
      <c r="CG73" s="34" t="n">
        <f aca="false">CG$61+CG$64</f>
        <v>0</v>
      </c>
      <c r="CH73" s="34" t="n">
        <f aca="false">CH$61+CH$64</f>
        <v>0</v>
      </c>
      <c r="CI73" s="34" t="n">
        <f aca="false">CI$61+CI$64</f>
        <v>0</v>
      </c>
      <c r="CJ73" s="34" t="n">
        <f aca="false">CJ$61+CJ$64</f>
        <v>0</v>
      </c>
      <c r="CK73" s="34" t="n">
        <f aca="false">CK$61+CK$64</f>
        <v>0</v>
      </c>
      <c r="CL73" s="34" t="n">
        <f aca="false">CL$61+CL$64</f>
        <v>0</v>
      </c>
      <c r="CM73" s="34" t="n">
        <f aca="false">CM$61+CM$64</f>
        <v>0</v>
      </c>
      <c r="CN73" s="34" t="n">
        <f aca="false">CN$61+CN$64</f>
        <v>0</v>
      </c>
      <c r="CO73" s="34" t="n">
        <f aca="false">CO$61+CO$64</f>
        <v>0</v>
      </c>
      <c r="CP73" s="34" t="n">
        <f aca="false">CP$61+CP$64</f>
        <v>0</v>
      </c>
      <c r="CQ73" s="34" t="n">
        <f aca="false">CQ$61+CQ$64</f>
        <v>0</v>
      </c>
      <c r="CR73" s="34" t="n">
        <f aca="false">CR$61+CR$64</f>
        <v>0</v>
      </c>
      <c r="CS73" s="34" t="n">
        <f aca="false">CS$61+CS$64</f>
        <v>0</v>
      </c>
      <c r="CT73" s="34" t="n">
        <f aca="false">CT$61+CT$64</f>
        <v>0</v>
      </c>
      <c r="CU73" s="34" t="n">
        <f aca="false">CU$61+CU$64</f>
        <v>0</v>
      </c>
      <c r="CV73" s="34" t="n">
        <f aca="false">CV$61+CV$64</f>
        <v>0</v>
      </c>
      <c r="CW73" s="34" t="n">
        <f aca="false">CW$61+CW$64</f>
        <v>0</v>
      </c>
      <c r="CX73" s="34" t="n">
        <f aca="false">CX$61+CX$64</f>
        <v>0</v>
      </c>
      <c r="CY73" s="34" t="n">
        <f aca="false">CY$61+CY$64</f>
        <v>0</v>
      </c>
      <c r="CZ73" s="34" t="n">
        <f aca="false">CZ$61+CZ$64</f>
        <v>0</v>
      </c>
      <c r="DA73" s="34" t="n">
        <f aca="false">DA$61+DA$64</f>
        <v>0</v>
      </c>
      <c r="DB73" s="34" t="n">
        <f aca="false">DB$61+DB$64</f>
        <v>0</v>
      </c>
      <c r="DC73" s="34" t="n">
        <f aca="false">DC$61+DC$64</f>
        <v>0</v>
      </c>
      <c r="DD73" s="34" t="n">
        <f aca="false">DD$61+DD$64</f>
        <v>0</v>
      </c>
      <c r="DE73" s="34" t="n">
        <f aca="false">DE$61+DE$64</f>
        <v>0</v>
      </c>
      <c r="DF73" s="34" t="n">
        <f aca="false">DF$61+DF$64</f>
        <v>0</v>
      </c>
      <c r="DG73" s="34" t="n">
        <f aca="false">DG$61+DG$64</f>
        <v>0</v>
      </c>
      <c r="DH73" s="34" t="n">
        <f aca="false">DH$61+DH$64</f>
        <v>0</v>
      </c>
      <c r="DI73" s="34" t="n">
        <f aca="false">DI$61+DI$64</f>
        <v>0</v>
      </c>
      <c r="DJ73" s="34" t="n">
        <f aca="false">DJ$61+DJ$64</f>
        <v>0</v>
      </c>
      <c r="DK73" s="34" t="n">
        <f aca="false">DK$61+DK$64</f>
        <v>0</v>
      </c>
      <c r="DL73" s="34" t="n">
        <f aca="false">DL$61+DL$64</f>
        <v>0</v>
      </c>
      <c r="DM73" s="34" t="n">
        <f aca="false">DM$61+DM$64</f>
        <v>0</v>
      </c>
      <c r="DN73" s="34" t="n">
        <f aca="false">DN$61+DN$64</f>
        <v>0</v>
      </c>
      <c r="DO73" s="34" t="n">
        <f aca="false">DO$61+DO$64</f>
        <v>0</v>
      </c>
      <c r="DP73" s="34" t="n">
        <f aca="false">DP$61+DP$64</f>
        <v>0</v>
      </c>
      <c r="DQ73" s="34" t="n">
        <f aca="false">DQ$61+DQ$64</f>
        <v>0</v>
      </c>
      <c r="DR73" s="34" t="n">
        <f aca="false">DR$61+DR$64</f>
        <v>0</v>
      </c>
      <c r="DS73" s="34" t="n">
        <f aca="false">DS$61+DS$64</f>
        <v>0</v>
      </c>
      <c r="DT73" s="34" t="n">
        <f aca="false">DT$61+DT$64</f>
        <v>0</v>
      </c>
      <c r="DU73" s="34" t="n">
        <f aca="false">DU$61+DU$64</f>
        <v>0</v>
      </c>
      <c r="DV73" s="34" t="n">
        <f aca="false">DV$61+DV$64</f>
        <v>0</v>
      </c>
      <c r="DW73" s="34" t="n">
        <f aca="false">DW$61+DW$64</f>
        <v>0</v>
      </c>
      <c r="DX73" s="34" t="n">
        <f aca="false">DX$61+DX$64</f>
        <v>0</v>
      </c>
      <c r="DY73" s="34" t="n">
        <f aca="false">DY$61+DY$64</f>
        <v>0</v>
      </c>
      <c r="DZ73" s="34" t="n">
        <f aca="false">DZ$61+DZ$64</f>
        <v>0</v>
      </c>
      <c r="EA73" s="34" t="n">
        <f aca="false">EA$61+EA$64</f>
        <v>0</v>
      </c>
      <c r="EB73" s="34" t="n">
        <f aca="false">EB$61+EB$64</f>
        <v>0</v>
      </c>
      <c r="EC73" s="34" t="n">
        <f aca="false">EC$61+EC$64</f>
        <v>0</v>
      </c>
      <c r="ED73" s="34" t="n">
        <f aca="false">ED$61+ED$64</f>
        <v>0</v>
      </c>
      <c r="EE73" s="34" t="n">
        <f aca="false">EE$61+EE$64</f>
        <v>0</v>
      </c>
      <c r="EF73" s="34" t="n">
        <f aca="false">EF$61+EF$64</f>
        <v>0</v>
      </c>
      <c r="EG73" s="34" t="n">
        <f aca="false">EG$61+EG$64</f>
        <v>0</v>
      </c>
      <c r="EH73" s="34" t="n">
        <f aca="false">EH$61+EH$64</f>
        <v>0</v>
      </c>
      <c r="EI73" s="34" t="n">
        <f aca="false">EI$61+EI$64</f>
        <v>0</v>
      </c>
      <c r="EJ73" s="34" t="n">
        <f aca="false">EJ$61+EJ$64</f>
        <v>0</v>
      </c>
      <c r="EK73" s="34" t="n">
        <f aca="false">EK$61+EK$64</f>
        <v>0</v>
      </c>
      <c r="EL73" s="34" t="n">
        <f aca="false">EL$61+EL$64</f>
        <v>0</v>
      </c>
      <c r="EM73" s="34" t="n">
        <f aca="false">EM$61+EM$64</f>
        <v>0</v>
      </c>
      <c r="EN73" s="34" t="n">
        <f aca="false">EN$61+EN$64</f>
        <v>0</v>
      </c>
      <c r="EO73" s="34" t="n">
        <f aca="false">EO$61+EO$64</f>
        <v>0</v>
      </c>
      <c r="EP73" s="34" t="n">
        <f aca="false">EP$61+EP$64</f>
        <v>0</v>
      </c>
      <c r="EQ73" s="34" t="n">
        <f aca="false">EQ$61+EQ$64</f>
        <v>0</v>
      </c>
      <c r="ER73" s="34" t="n">
        <f aca="false">ER$61+ER$64</f>
        <v>0</v>
      </c>
      <c r="ES73" s="34" t="n">
        <f aca="false">ES$61+ES$64</f>
        <v>0</v>
      </c>
    </row>
    <row r="74" customFormat="false" ht="15" hidden="false" customHeight="false" outlineLevel="0" collapsed="false">
      <c r="A74" s="2" t="s">
        <v>512</v>
      </c>
      <c r="B74" s="6" t="s">
        <v>377</v>
      </c>
      <c r="C74" s="6" t="s">
        <v>212</v>
      </c>
      <c r="E74" s="40" t="n">
        <f aca="false">SUM(F74:ES74)</f>
        <v>0</v>
      </c>
      <c r="F74" s="34" t="n">
        <f aca="false">F$59</f>
        <v>0</v>
      </c>
      <c r="G74" s="34" t="n">
        <f aca="false">G$59</f>
        <v>0</v>
      </c>
      <c r="H74" s="34" t="n">
        <f aca="false">H$59</f>
        <v>0</v>
      </c>
      <c r="I74" s="34" t="n">
        <f aca="false">I$59</f>
        <v>0</v>
      </c>
      <c r="J74" s="34" t="n">
        <f aca="false">J$59</f>
        <v>0</v>
      </c>
      <c r="K74" s="34" t="n">
        <f aca="false">K$59</f>
        <v>0</v>
      </c>
      <c r="L74" s="34" t="n">
        <f aca="false">L$59</f>
        <v>0</v>
      </c>
      <c r="M74" s="34" t="n">
        <f aca="false">M$59</f>
        <v>0</v>
      </c>
      <c r="N74" s="34" t="n">
        <f aca="false">N$59</f>
        <v>0</v>
      </c>
      <c r="O74" s="34" t="n">
        <f aca="false">O$59</f>
        <v>0</v>
      </c>
      <c r="P74" s="34" t="n">
        <f aca="false">P$59</f>
        <v>0</v>
      </c>
      <c r="Q74" s="34" t="n">
        <f aca="false">Q$59</f>
        <v>0</v>
      </c>
      <c r="R74" s="34" t="n">
        <f aca="false">R$59</f>
        <v>0</v>
      </c>
      <c r="S74" s="34" t="n">
        <f aca="false">S$59</f>
        <v>0</v>
      </c>
      <c r="T74" s="34" t="n">
        <f aca="false">T$59</f>
        <v>0</v>
      </c>
      <c r="U74" s="34" t="n">
        <f aca="false">U$59</f>
        <v>0</v>
      </c>
      <c r="V74" s="34" t="n">
        <f aca="false">V$59</f>
        <v>0</v>
      </c>
      <c r="W74" s="34" t="n">
        <f aca="false">W$59</f>
        <v>0</v>
      </c>
      <c r="X74" s="34" t="n">
        <f aca="false">X$59</f>
        <v>0</v>
      </c>
      <c r="Y74" s="34" t="n">
        <f aca="false">Y$59</f>
        <v>0</v>
      </c>
      <c r="Z74" s="34" t="n">
        <f aca="false">Z$59</f>
        <v>0</v>
      </c>
      <c r="AA74" s="34" t="n">
        <f aca="false">AA$59</f>
        <v>0</v>
      </c>
      <c r="AB74" s="34" t="n">
        <f aca="false">AB$59</f>
        <v>0</v>
      </c>
      <c r="AC74" s="34" t="n">
        <f aca="false">AC$59</f>
        <v>0</v>
      </c>
      <c r="AD74" s="34" t="n">
        <f aca="false">AD$59</f>
        <v>0</v>
      </c>
      <c r="AE74" s="34" t="n">
        <f aca="false">AE$59</f>
        <v>0</v>
      </c>
      <c r="AF74" s="34" t="n">
        <f aca="false">AF$59</f>
        <v>0</v>
      </c>
      <c r="AG74" s="34" t="n">
        <f aca="false">AG$59</f>
        <v>0</v>
      </c>
      <c r="AH74" s="34" t="n">
        <f aca="false">AH$59</f>
        <v>0</v>
      </c>
      <c r="AI74" s="34" t="n">
        <f aca="false">AI$59</f>
        <v>0</v>
      </c>
      <c r="AJ74" s="34" t="n">
        <f aca="false">AJ$59</f>
        <v>0</v>
      </c>
      <c r="AK74" s="34" t="n">
        <f aca="false">AK$59</f>
        <v>0</v>
      </c>
      <c r="AL74" s="34" t="n">
        <f aca="false">AL$59</f>
        <v>0</v>
      </c>
      <c r="AM74" s="34" t="n">
        <f aca="false">AM$59</f>
        <v>0</v>
      </c>
      <c r="AN74" s="34" t="n">
        <f aca="false">AN$59</f>
        <v>0</v>
      </c>
      <c r="AO74" s="34" t="n">
        <f aca="false">AO$59</f>
        <v>0</v>
      </c>
      <c r="AP74" s="34" t="n">
        <f aca="false">AP$59</f>
        <v>0</v>
      </c>
      <c r="AQ74" s="34" t="n">
        <f aca="false">AQ$59</f>
        <v>0</v>
      </c>
      <c r="AR74" s="34" t="n">
        <f aca="false">AR$59</f>
        <v>0</v>
      </c>
      <c r="AS74" s="34" t="n">
        <f aca="false">AS$59</f>
        <v>0</v>
      </c>
      <c r="AT74" s="34" t="n">
        <f aca="false">AT$59</f>
        <v>0</v>
      </c>
      <c r="AU74" s="34" t="n">
        <f aca="false">AU$59</f>
        <v>0</v>
      </c>
      <c r="AV74" s="34" t="n">
        <f aca="false">AV$59</f>
        <v>0</v>
      </c>
      <c r="AW74" s="34" t="n">
        <f aca="false">AW$59</f>
        <v>0</v>
      </c>
      <c r="AX74" s="34" t="n">
        <f aca="false">AX$59</f>
        <v>0</v>
      </c>
      <c r="AY74" s="34" t="n">
        <f aca="false">AY$59</f>
        <v>0</v>
      </c>
      <c r="AZ74" s="34" t="n">
        <f aca="false">AZ$59</f>
        <v>0</v>
      </c>
      <c r="BA74" s="34" t="n">
        <f aca="false">BA$59</f>
        <v>0</v>
      </c>
      <c r="BB74" s="34" t="n">
        <f aca="false">BB$59</f>
        <v>0</v>
      </c>
      <c r="BC74" s="34" t="n">
        <f aca="false">BC$59</f>
        <v>0</v>
      </c>
      <c r="BD74" s="34" t="n">
        <f aca="false">BD$59</f>
        <v>0</v>
      </c>
      <c r="BE74" s="34" t="n">
        <f aca="false">BE$59</f>
        <v>0</v>
      </c>
      <c r="BF74" s="34" t="n">
        <f aca="false">BF$59</f>
        <v>0</v>
      </c>
      <c r="BG74" s="34" t="n">
        <f aca="false">BG$59</f>
        <v>0</v>
      </c>
      <c r="BH74" s="34" t="n">
        <f aca="false">BH$59</f>
        <v>0</v>
      </c>
      <c r="BI74" s="34" t="n">
        <f aca="false">BI$59</f>
        <v>0</v>
      </c>
      <c r="BJ74" s="34" t="n">
        <f aca="false">BJ$59</f>
        <v>0</v>
      </c>
      <c r="BK74" s="34" t="n">
        <f aca="false">BK$59</f>
        <v>0</v>
      </c>
      <c r="BL74" s="34" t="n">
        <f aca="false">BL$59</f>
        <v>0</v>
      </c>
      <c r="BM74" s="34" t="n">
        <f aca="false">BM$59</f>
        <v>0</v>
      </c>
      <c r="BN74" s="34" t="n">
        <f aca="false">BN$59</f>
        <v>0</v>
      </c>
      <c r="BO74" s="34" t="n">
        <f aca="false">BO$59</f>
        <v>0</v>
      </c>
      <c r="BP74" s="34" t="n">
        <f aca="false">BP$59</f>
        <v>0</v>
      </c>
      <c r="BQ74" s="34" t="n">
        <f aca="false">BQ$59</f>
        <v>0</v>
      </c>
      <c r="BR74" s="34" t="n">
        <f aca="false">BR$59</f>
        <v>0</v>
      </c>
      <c r="BS74" s="34" t="n">
        <f aca="false">BS$59</f>
        <v>0</v>
      </c>
      <c r="BT74" s="34" t="n">
        <f aca="false">BT$59</f>
        <v>0</v>
      </c>
      <c r="BU74" s="34" t="n">
        <f aca="false">BU$59</f>
        <v>0</v>
      </c>
      <c r="BV74" s="34" t="n">
        <f aca="false">BV$59</f>
        <v>0</v>
      </c>
      <c r="BW74" s="34" t="n">
        <f aca="false">BW$59</f>
        <v>0</v>
      </c>
      <c r="BX74" s="34" t="n">
        <f aca="false">BX$59</f>
        <v>0</v>
      </c>
      <c r="BY74" s="34" t="n">
        <f aca="false">BY$59</f>
        <v>0</v>
      </c>
      <c r="BZ74" s="34" t="n">
        <f aca="false">BZ$59</f>
        <v>0</v>
      </c>
      <c r="CA74" s="34" t="n">
        <f aca="false">CA$59</f>
        <v>0</v>
      </c>
      <c r="CB74" s="34" t="n">
        <f aca="false">CB$59</f>
        <v>0</v>
      </c>
      <c r="CC74" s="34" t="n">
        <f aca="false">CC$59</f>
        <v>0</v>
      </c>
      <c r="CD74" s="34" t="n">
        <f aca="false">CD$59</f>
        <v>0</v>
      </c>
      <c r="CE74" s="34" t="n">
        <f aca="false">CE$59</f>
        <v>0</v>
      </c>
      <c r="CF74" s="34" t="n">
        <f aca="false">CF$59</f>
        <v>0</v>
      </c>
      <c r="CG74" s="34" t="n">
        <f aca="false">CG$59</f>
        <v>0</v>
      </c>
      <c r="CH74" s="34" t="n">
        <f aca="false">CH$59</f>
        <v>0</v>
      </c>
      <c r="CI74" s="34" t="n">
        <f aca="false">CI$59</f>
        <v>0</v>
      </c>
      <c r="CJ74" s="34" t="n">
        <f aca="false">CJ$59</f>
        <v>0</v>
      </c>
      <c r="CK74" s="34" t="n">
        <f aca="false">CK$59</f>
        <v>0</v>
      </c>
      <c r="CL74" s="34" t="n">
        <f aca="false">CL$59</f>
        <v>0</v>
      </c>
      <c r="CM74" s="34" t="n">
        <f aca="false">CM$59</f>
        <v>0</v>
      </c>
      <c r="CN74" s="34" t="n">
        <f aca="false">CN$59</f>
        <v>0</v>
      </c>
      <c r="CO74" s="34" t="n">
        <f aca="false">CO$59</f>
        <v>0</v>
      </c>
      <c r="CP74" s="34" t="n">
        <f aca="false">CP$59</f>
        <v>0</v>
      </c>
      <c r="CQ74" s="34" t="n">
        <f aca="false">CQ$59</f>
        <v>0</v>
      </c>
      <c r="CR74" s="34" t="n">
        <f aca="false">CR$59</f>
        <v>0</v>
      </c>
      <c r="CS74" s="34" t="n">
        <f aca="false">CS$59</f>
        <v>0</v>
      </c>
      <c r="CT74" s="34" t="n">
        <f aca="false">CT$59</f>
        <v>0</v>
      </c>
      <c r="CU74" s="34" t="n">
        <f aca="false">CU$59</f>
        <v>0</v>
      </c>
      <c r="CV74" s="34" t="n">
        <f aca="false">CV$59</f>
        <v>0</v>
      </c>
      <c r="CW74" s="34" t="n">
        <f aca="false">CW$59</f>
        <v>0</v>
      </c>
      <c r="CX74" s="34" t="n">
        <f aca="false">CX$59</f>
        <v>0</v>
      </c>
      <c r="CY74" s="34" t="n">
        <f aca="false">CY$59</f>
        <v>0</v>
      </c>
      <c r="CZ74" s="34" t="n">
        <f aca="false">CZ$59</f>
        <v>0</v>
      </c>
      <c r="DA74" s="34" t="n">
        <f aca="false">DA$59</f>
        <v>0</v>
      </c>
      <c r="DB74" s="34" t="n">
        <f aca="false">DB$59</f>
        <v>0</v>
      </c>
      <c r="DC74" s="34" t="n">
        <f aca="false">DC$59</f>
        <v>0</v>
      </c>
      <c r="DD74" s="34" t="n">
        <f aca="false">DD$59</f>
        <v>0</v>
      </c>
      <c r="DE74" s="34" t="n">
        <f aca="false">DE$59</f>
        <v>0</v>
      </c>
      <c r="DF74" s="34" t="n">
        <f aca="false">DF$59</f>
        <v>0</v>
      </c>
      <c r="DG74" s="34" t="n">
        <f aca="false">DG$59</f>
        <v>0</v>
      </c>
      <c r="DH74" s="34" t="n">
        <f aca="false">DH$59</f>
        <v>0</v>
      </c>
      <c r="DI74" s="34" t="n">
        <f aca="false">DI$59</f>
        <v>0</v>
      </c>
      <c r="DJ74" s="34" t="n">
        <f aca="false">DJ$59</f>
        <v>0</v>
      </c>
      <c r="DK74" s="34" t="n">
        <f aca="false">DK$59</f>
        <v>0</v>
      </c>
      <c r="DL74" s="34" t="n">
        <f aca="false">DL$59</f>
        <v>0</v>
      </c>
      <c r="DM74" s="34" t="n">
        <f aca="false">DM$59</f>
        <v>0</v>
      </c>
      <c r="DN74" s="34" t="n">
        <f aca="false">DN$59</f>
        <v>0</v>
      </c>
      <c r="DO74" s="34" t="n">
        <f aca="false">DO$59</f>
        <v>0</v>
      </c>
      <c r="DP74" s="34" t="n">
        <f aca="false">DP$59</f>
        <v>0</v>
      </c>
      <c r="DQ74" s="34" t="n">
        <f aca="false">DQ$59</f>
        <v>0</v>
      </c>
      <c r="DR74" s="34" t="n">
        <f aca="false">DR$59</f>
        <v>0</v>
      </c>
      <c r="DS74" s="34" t="n">
        <f aca="false">DS$59</f>
        <v>0</v>
      </c>
      <c r="DT74" s="34" t="n">
        <f aca="false">DT$59</f>
        <v>0</v>
      </c>
      <c r="DU74" s="34" t="n">
        <f aca="false">DU$59</f>
        <v>0</v>
      </c>
      <c r="DV74" s="34" t="n">
        <f aca="false">DV$59</f>
        <v>0</v>
      </c>
      <c r="DW74" s="34" t="n">
        <f aca="false">DW$59</f>
        <v>0</v>
      </c>
      <c r="DX74" s="34" t="n">
        <f aca="false">DX$59</f>
        <v>0</v>
      </c>
      <c r="DY74" s="34" t="n">
        <f aca="false">DY$59</f>
        <v>0</v>
      </c>
      <c r="DZ74" s="34" t="n">
        <f aca="false">DZ$59</f>
        <v>0</v>
      </c>
      <c r="EA74" s="34" t="n">
        <f aca="false">EA$59</f>
        <v>0</v>
      </c>
      <c r="EB74" s="34" t="n">
        <f aca="false">EB$59</f>
        <v>0</v>
      </c>
      <c r="EC74" s="34" t="n">
        <f aca="false">EC$59</f>
        <v>0</v>
      </c>
      <c r="ED74" s="34" t="n">
        <f aca="false">ED$59</f>
        <v>0</v>
      </c>
      <c r="EE74" s="34" t="n">
        <f aca="false">EE$59</f>
        <v>0</v>
      </c>
      <c r="EF74" s="34" t="n">
        <f aca="false">EF$59</f>
        <v>0</v>
      </c>
      <c r="EG74" s="34" t="n">
        <f aca="false">EG$59</f>
        <v>0</v>
      </c>
      <c r="EH74" s="34" t="n">
        <f aca="false">EH$59</f>
        <v>0</v>
      </c>
      <c r="EI74" s="34" t="n">
        <f aca="false">EI$59</f>
        <v>0</v>
      </c>
      <c r="EJ74" s="34" t="n">
        <f aca="false">EJ$59</f>
        <v>0</v>
      </c>
      <c r="EK74" s="34" t="n">
        <f aca="false">EK$59</f>
        <v>0</v>
      </c>
      <c r="EL74" s="34" t="n">
        <f aca="false">EL$59</f>
        <v>0</v>
      </c>
      <c r="EM74" s="34" t="n">
        <f aca="false">EM$59</f>
        <v>0</v>
      </c>
      <c r="EN74" s="34" t="n">
        <f aca="false">EN$59</f>
        <v>0</v>
      </c>
      <c r="EO74" s="34" t="n">
        <f aca="false">EO$59</f>
        <v>0</v>
      </c>
      <c r="EP74" s="34" t="n">
        <f aca="false">EP$59</f>
        <v>0</v>
      </c>
      <c r="EQ74" s="34" t="n">
        <f aca="false">EQ$59</f>
        <v>0</v>
      </c>
      <c r="ER74" s="34" t="n">
        <f aca="false">ER$59</f>
        <v>0</v>
      </c>
      <c r="ES74" s="34" t="n">
        <f aca="false">ES$59</f>
        <v>0</v>
      </c>
    </row>
    <row r="75" customFormat="false" ht="15" hidden="false" customHeight="false" outlineLevel="0" collapsed="false">
      <c r="A75" s="2" t="s">
        <v>513</v>
      </c>
      <c r="B75" s="6" t="s">
        <v>514</v>
      </c>
      <c r="C75" s="6" t="s">
        <v>212</v>
      </c>
      <c r="E75" s="40" t="n">
        <f aca="false">SUM(F75:ES75)</f>
        <v>0</v>
      </c>
      <c r="F75" s="34" t="n">
        <f aca="false">F$65*P_IVArec</f>
        <v>0</v>
      </c>
      <c r="G75" s="34" t="n">
        <f aca="false">G$65*P_IVArec</f>
        <v>0</v>
      </c>
      <c r="H75" s="34" t="n">
        <f aca="false">H$65*P_IVArec</f>
        <v>0</v>
      </c>
      <c r="I75" s="34" t="n">
        <f aca="false">I$65*P_IVArec</f>
        <v>0</v>
      </c>
      <c r="J75" s="34" t="n">
        <f aca="false">J$65*P_IVArec</f>
        <v>0</v>
      </c>
      <c r="K75" s="34" t="n">
        <f aca="false">K$65*P_IVArec</f>
        <v>0</v>
      </c>
      <c r="L75" s="34" t="n">
        <f aca="false">L$65*P_IVArec</f>
        <v>0</v>
      </c>
      <c r="M75" s="34" t="n">
        <f aca="false">M$65*P_IVArec</f>
        <v>0</v>
      </c>
      <c r="N75" s="34" t="n">
        <f aca="false">N$65*P_IVArec</f>
        <v>0</v>
      </c>
      <c r="O75" s="34" t="n">
        <f aca="false">O$65*P_IVArec</f>
        <v>0</v>
      </c>
      <c r="P75" s="34" t="n">
        <f aca="false">P$65*P_IVArec</f>
        <v>0</v>
      </c>
      <c r="Q75" s="34" t="n">
        <f aca="false">Q$65*P_IVArec</f>
        <v>0</v>
      </c>
      <c r="R75" s="34" t="n">
        <f aca="false">R$65*P_IVArec</f>
        <v>0</v>
      </c>
      <c r="S75" s="34" t="n">
        <f aca="false">S$65*P_IVArec</f>
        <v>0</v>
      </c>
      <c r="T75" s="34" t="n">
        <f aca="false">T$65*P_IVArec</f>
        <v>0</v>
      </c>
      <c r="U75" s="34" t="n">
        <f aca="false">U$65*P_IVArec</f>
        <v>0</v>
      </c>
      <c r="V75" s="34" t="n">
        <f aca="false">V$65*P_IVArec</f>
        <v>0</v>
      </c>
      <c r="W75" s="34" t="n">
        <f aca="false">W$65*P_IVArec</f>
        <v>0</v>
      </c>
      <c r="X75" s="34" t="n">
        <f aca="false">X$65*P_IVArec</f>
        <v>0</v>
      </c>
      <c r="Y75" s="34" t="n">
        <f aca="false">Y$65*P_IVArec</f>
        <v>0</v>
      </c>
      <c r="Z75" s="34" t="n">
        <f aca="false">Z$65*P_IVArec</f>
        <v>0</v>
      </c>
      <c r="AA75" s="34" t="n">
        <f aca="false">AA$65*P_IVArec</f>
        <v>0</v>
      </c>
      <c r="AB75" s="34" t="n">
        <f aca="false">AB$65*P_IVArec</f>
        <v>0</v>
      </c>
      <c r="AC75" s="34" t="n">
        <f aca="false">AC$65*P_IVArec</f>
        <v>0</v>
      </c>
      <c r="AD75" s="34" t="n">
        <f aca="false">AD$65*P_IVArec</f>
        <v>0</v>
      </c>
      <c r="AE75" s="34" t="n">
        <f aca="false">AE$65*P_IVArec</f>
        <v>0</v>
      </c>
      <c r="AF75" s="34" t="n">
        <f aca="false">AF$65*P_IVArec</f>
        <v>0</v>
      </c>
      <c r="AG75" s="34" t="n">
        <f aca="false">AG$65*P_IVArec</f>
        <v>0</v>
      </c>
      <c r="AH75" s="34" t="n">
        <f aca="false">AH$65*P_IVArec</f>
        <v>0</v>
      </c>
      <c r="AI75" s="34" t="n">
        <f aca="false">AI$65*P_IVArec</f>
        <v>0</v>
      </c>
      <c r="AJ75" s="34" t="n">
        <f aca="false">AJ$65*P_IVArec</f>
        <v>0</v>
      </c>
      <c r="AK75" s="34" t="n">
        <f aca="false">AK$65*P_IVArec</f>
        <v>0</v>
      </c>
      <c r="AL75" s="34" t="n">
        <f aca="false">AL$65*P_IVArec</f>
        <v>0</v>
      </c>
      <c r="AM75" s="34" t="n">
        <f aca="false">AM$65*P_IVArec</f>
        <v>0</v>
      </c>
      <c r="AN75" s="34" t="n">
        <f aca="false">AN$65*P_IVArec</f>
        <v>0</v>
      </c>
      <c r="AO75" s="34" t="n">
        <f aca="false">AO$65*P_IVArec</f>
        <v>0</v>
      </c>
      <c r="AP75" s="34" t="n">
        <f aca="false">AP$65*P_IVArec</f>
        <v>0</v>
      </c>
      <c r="AQ75" s="34" t="n">
        <f aca="false">AQ$65*P_IVArec</f>
        <v>0</v>
      </c>
      <c r="AR75" s="34" t="n">
        <f aca="false">AR$65*P_IVArec</f>
        <v>0</v>
      </c>
      <c r="AS75" s="34" t="n">
        <f aca="false">AS$65*P_IVArec</f>
        <v>0</v>
      </c>
      <c r="AT75" s="34" t="n">
        <f aca="false">AT$65*P_IVArec</f>
        <v>0</v>
      </c>
      <c r="AU75" s="34" t="n">
        <f aca="false">AU$65*P_IVArec</f>
        <v>0</v>
      </c>
      <c r="AV75" s="34" t="n">
        <f aca="false">AV$65*P_IVArec</f>
        <v>0</v>
      </c>
      <c r="AW75" s="34" t="n">
        <f aca="false">AW$65*P_IVArec</f>
        <v>0</v>
      </c>
      <c r="AX75" s="34" t="n">
        <f aca="false">AX$65*P_IVArec</f>
        <v>0</v>
      </c>
      <c r="AY75" s="34" t="n">
        <f aca="false">AY$65*P_IVArec</f>
        <v>0</v>
      </c>
      <c r="AZ75" s="34" t="n">
        <f aca="false">AZ$65*P_IVArec</f>
        <v>0</v>
      </c>
      <c r="BA75" s="34" t="n">
        <f aca="false">BA$65*P_IVArec</f>
        <v>0</v>
      </c>
      <c r="BB75" s="34" t="n">
        <f aca="false">BB$65*P_IVArec</f>
        <v>0</v>
      </c>
      <c r="BC75" s="34" t="n">
        <f aca="false">BC$65*P_IVArec</f>
        <v>0</v>
      </c>
      <c r="BD75" s="34" t="n">
        <f aca="false">BD$65*P_IVArec</f>
        <v>0</v>
      </c>
      <c r="BE75" s="34" t="n">
        <f aca="false">BE$65*P_IVArec</f>
        <v>0</v>
      </c>
      <c r="BF75" s="34" t="n">
        <f aca="false">BF$65*P_IVArec</f>
        <v>0</v>
      </c>
      <c r="BG75" s="34" t="n">
        <f aca="false">BG$65*P_IVArec</f>
        <v>0</v>
      </c>
      <c r="BH75" s="34" t="n">
        <f aca="false">BH$65*P_IVArec</f>
        <v>0</v>
      </c>
      <c r="BI75" s="34" t="n">
        <f aca="false">BI$65*P_IVArec</f>
        <v>0</v>
      </c>
      <c r="BJ75" s="34" t="n">
        <f aca="false">BJ$65*P_IVArec</f>
        <v>0</v>
      </c>
      <c r="BK75" s="34" t="n">
        <f aca="false">BK$65*P_IVArec</f>
        <v>0</v>
      </c>
      <c r="BL75" s="34" t="n">
        <f aca="false">BL$65*P_IVArec</f>
        <v>0</v>
      </c>
      <c r="BM75" s="34" t="n">
        <f aca="false">BM$65*P_IVArec</f>
        <v>0</v>
      </c>
      <c r="BN75" s="34" t="n">
        <f aca="false">BN$65*P_IVArec</f>
        <v>0</v>
      </c>
      <c r="BO75" s="34" t="n">
        <f aca="false">BO$65*P_IVArec</f>
        <v>0</v>
      </c>
      <c r="BP75" s="34" t="n">
        <f aca="false">BP$65*P_IVArec</f>
        <v>0</v>
      </c>
      <c r="BQ75" s="34" t="n">
        <f aca="false">BQ$65*P_IVArec</f>
        <v>0</v>
      </c>
      <c r="BR75" s="34" t="n">
        <f aca="false">BR$65*P_IVArec</f>
        <v>0</v>
      </c>
      <c r="BS75" s="34" t="n">
        <f aca="false">BS$65*P_IVArec</f>
        <v>0</v>
      </c>
      <c r="BT75" s="34" t="n">
        <f aca="false">BT$65*P_IVArec</f>
        <v>0</v>
      </c>
      <c r="BU75" s="34" t="n">
        <f aca="false">BU$65*P_IVArec</f>
        <v>0</v>
      </c>
      <c r="BV75" s="34" t="n">
        <f aca="false">BV$65*P_IVArec</f>
        <v>0</v>
      </c>
      <c r="BW75" s="34" t="n">
        <f aca="false">BW$65*P_IVArec</f>
        <v>0</v>
      </c>
      <c r="BX75" s="34" t="n">
        <f aca="false">BX$65*P_IVArec</f>
        <v>0</v>
      </c>
      <c r="BY75" s="34" t="n">
        <f aca="false">BY$65*P_IVArec</f>
        <v>0</v>
      </c>
      <c r="BZ75" s="34" t="n">
        <f aca="false">BZ$65*P_IVArec</f>
        <v>0</v>
      </c>
      <c r="CA75" s="34" t="n">
        <f aca="false">CA$65*P_IVArec</f>
        <v>0</v>
      </c>
      <c r="CB75" s="34" t="n">
        <f aca="false">CB$65*P_IVArec</f>
        <v>0</v>
      </c>
      <c r="CC75" s="34" t="n">
        <f aca="false">CC$65*P_IVArec</f>
        <v>0</v>
      </c>
      <c r="CD75" s="34" t="n">
        <f aca="false">CD$65*P_IVArec</f>
        <v>0</v>
      </c>
      <c r="CE75" s="34" t="n">
        <f aca="false">CE$65*P_IVArec</f>
        <v>0</v>
      </c>
      <c r="CF75" s="34" t="n">
        <f aca="false">CF$65*P_IVArec</f>
        <v>0</v>
      </c>
      <c r="CG75" s="34" t="n">
        <f aca="false">CG$65*P_IVArec</f>
        <v>0</v>
      </c>
      <c r="CH75" s="34" t="n">
        <f aca="false">CH$65*P_IVArec</f>
        <v>0</v>
      </c>
      <c r="CI75" s="34" t="n">
        <f aca="false">CI$65*P_IVArec</f>
        <v>0</v>
      </c>
      <c r="CJ75" s="34" t="n">
        <f aca="false">CJ$65*P_IVArec</f>
        <v>0</v>
      </c>
      <c r="CK75" s="34" t="n">
        <f aca="false">CK$65*P_IVArec</f>
        <v>0</v>
      </c>
      <c r="CL75" s="34" t="n">
        <f aca="false">CL$65*P_IVArec</f>
        <v>0</v>
      </c>
      <c r="CM75" s="34" t="n">
        <f aca="false">CM$65*P_IVArec</f>
        <v>0</v>
      </c>
      <c r="CN75" s="34" t="n">
        <f aca="false">CN$65*P_IVArec</f>
        <v>0</v>
      </c>
      <c r="CO75" s="34" t="n">
        <f aca="false">CO$65*P_IVArec</f>
        <v>0</v>
      </c>
      <c r="CP75" s="34" t="n">
        <f aca="false">CP$65*P_IVArec</f>
        <v>0</v>
      </c>
      <c r="CQ75" s="34" t="n">
        <f aca="false">CQ$65*P_IVArec</f>
        <v>0</v>
      </c>
      <c r="CR75" s="34" t="n">
        <f aca="false">CR$65*P_IVArec</f>
        <v>0</v>
      </c>
      <c r="CS75" s="34" t="n">
        <f aca="false">CS$65*P_IVArec</f>
        <v>0</v>
      </c>
      <c r="CT75" s="34" t="n">
        <f aca="false">CT$65*P_IVArec</f>
        <v>0</v>
      </c>
      <c r="CU75" s="34" t="n">
        <f aca="false">CU$65*P_IVArec</f>
        <v>0</v>
      </c>
      <c r="CV75" s="34" t="n">
        <f aca="false">CV$65*P_IVArec</f>
        <v>0</v>
      </c>
      <c r="CW75" s="34" t="n">
        <f aca="false">CW$65*P_IVArec</f>
        <v>0</v>
      </c>
      <c r="CX75" s="34" t="n">
        <f aca="false">CX$65*P_IVArec</f>
        <v>0</v>
      </c>
      <c r="CY75" s="34" t="n">
        <f aca="false">CY$65*P_IVArec</f>
        <v>0</v>
      </c>
      <c r="CZ75" s="34" t="n">
        <f aca="false">CZ$65*P_IVArec</f>
        <v>0</v>
      </c>
      <c r="DA75" s="34" t="n">
        <f aca="false">DA$65*P_IVArec</f>
        <v>0</v>
      </c>
      <c r="DB75" s="34" t="n">
        <f aca="false">DB$65*P_IVArec</f>
        <v>0</v>
      </c>
      <c r="DC75" s="34" t="n">
        <f aca="false">DC$65*P_IVArec</f>
        <v>0</v>
      </c>
      <c r="DD75" s="34" t="n">
        <f aca="false">DD$65*P_IVArec</f>
        <v>0</v>
      </c>
      <c r="DE75" s="34" t="n">
        <f aca="false">DE$65*P_IVArec</f>
        <v>0</v>
      </c>
      <c r="DF75" s="34" t="n">
        <f aca="false">DF$65*P_IVArec</f>
        <v>0</v>
      </c>
      <c r="DG75" s="34" t="n">
        <f aca="false">DG$65*P_IVArec</f>
        <v>0</v>
      </c>
      <c r="DH75" s="34" t="n">
        <f aca="false">DH$65*P_IVArec</f>
        <v>0</v>
      </c>
      <c r="DI75" s="34" t="n">
        <f aca="false">DI$65*P_IVArec</f>
        <v>0</v>
      </c>
      <c r="DJ75" s="34" t="n">
        <f aca="false">DJ$65*P_IVArec</f>
        <v>0</v>
      </c>
      <c r="DK75" s="34" t="n">
        <f aca="false">DK$65*P_IVArec</f>
        <v>0</v>
      </c>
      <c r="DL75" s="34" t="n">
        <f aca="false">DL$65*P_IVArec</f>
        <v>0</v>
      </c>
      <c r="DM75" s="34" t="n">
        <f aca="false">DM$65*P_IVArec</f>
        <v>0</v>
      </c>
      <c r="DN75" s="34" t="n">
        <f aca="false">DN$65*P_IVArec</f>
        <v>0</v>
      </c>
      <c r="DO75" s="34" t="n">
        <f aca="false">DO$65*P_IVArec</f>
        <v>0</v>
      </c>
      <c r="DP75" s="34" t="n">
        <f aca="false">DP$65*P_IVArec</f>
        <v>0</v>
      </c>
      <c r="DQ75" s="34" t="n">
        <f aca="false">DQ$65*P_IVArec</f>
        <v>0</v>
      </c>
      <c r="DR75" s="34" t="n">
        <f aca="false">DR$65*P_IVArec</f>
        <v>0</v>
      </c>
      <c r="DS75" s="34" t="n">
        <f aca="false">DS$65*P_IVArec</f>
        <v>0</v>
      </c>
      <c r="DT75" s="34" t="n">
        <f aca="false">DT$65*P_IVArec</f>
        <v>0</v>
      </c>
      <c r="DU75" s="34" t="n">
        <f aca="false">DU$65*P_IVArec</f>
        <v>0</v>
      </c>
      <c r="DV75" s="34" t="n">
        <f aca="false">DV$65*P_IVArec</f>
        <v>0</v>
      </c>
      <c r="DW75" s="34" t="n">
        <f aca="false">DW$65*P_IVArec</f>
        <v>0</v>
      </c>
      <c r="DX75" s="34" t="n">
        <f aca="false">DX$65*P_IVArec</f>
        <v>0</v>
      </c>
      <c r="DY75" s="34" t="n">
        <f aca="false">DY$65*P_IVArec</f>
        <v>0</v>
      </c>
      <c r="DZ75" s="34" t="n">
        <f aca="false">DZ$65*P_IVArec</f>
        <v>0</v>
      </c>
      <c r="EA75" s="34" t="n">
        <f aca="false">EA$65*P_IVArec</f>
        <v>0</v>
      </c>
      <c r="EB75" s="34" t="n">
        <f aca="false">EB$65*P_IVArec</f>
        <v>0</v>
      </c>
      <c r="EC75" s="34" t="n">
        <f aca="false">EC$65*P_IVArec</f>
        <v>0</v>
      </c>
      <c r="ED75" s="34" t="n">
        <f aca="false">ED$65*P_IVArec</f>
        <v>0</v>
      </c>
      <c r="EE75" s="34" t="n">
        <f aca="false">EE$65*P_IVArec</f>
        <v>0</v>
      </c>
      <c r="EF75" s="34" t="n">
        <f aca="false">EF$65*P_IVArec</f>
        <v>0</v>
      </c>
      <c r="EG75" s="34" t="n">
        <f aca="false">EG$65*P_IVArec</f>
        <v>0</v>
      </c>
      <c r="EH75" s="34" t="n">
        <f aca="false">EH$65*P_IVArec</f>
        <v>0</v>
      </c>
      <c r="EI75" s="34" t="n">
        <f aca="false">EI$65*P_IVArec</f>
        <v>0</v>
      </c>
      <c r="EJ75" s="34" t="n">
        <f aca="false">EJ$65*P_IVArec</f>
        <v>0</v>
      </c>
      <c r="EK75" s="34" t="n">
        <f aca="false">EK$65*P_IVArec</f>
        <v>0</v>
      </c>
      <c r="EL75" s="34" t="n">
        <f aca="false">EL$65*P_IVArec</f>
        <v>0</v>
      </c>
      <c r="EM75" s="34" t="n">
        <f aca="false">EM$65*P_IVArec</f>
        <v>0</v>
      </c>
      <c r="EN75" s="34" t="n">
        <f aca="false">EN$65*P_IVArec</f>
        <v>0</v>
      </c>
      <c r="EO75" s="34" t="n">
        <f aca="false">EO$65*P_IVArec</f>
        <v>0</v>
      </c>
      <c r="EP75" s="34" t="n">
        <f aca="false">EP$65*P_IVArec</f>
        <v>0</v>
      </c>
      <c r="EQ75" s="34" t="n">
        <f aca="false">EQ$65*P_IVArec</f>
        <v>0</v>
      </c>
      <c r="ER75" s="34" t="n">
        <f aca="false">ER$65*P_IVArec</f>
        <v>0</v>
      </c>
      <c r="ES75" s="34" t="n">
        <f aca="false">ES$65*P_IVArec</f>
        <v>0</v>
      </c>
    </row>
    <row r="76" customFormat="false" ht="15" hidden="false" customHeight="false" outlineLevel="0" collapsed="false">
      <c r="A76" s="2" t="s">
        <v>515</v>
      </c>
      <c r="B76" s="52" t="s">
        <v>213</v>
      </c>
      <c r="C76" s="6" t="s">
        <v>212</v>
      </c>
      <c r="E76" s="40" t="n">
        <f aca="false">SUM(F76:ES76)</f>
        <v>0</v>
      </c>
      <c r="F76" s="10" t="n">
        <f aca="false">F$71-F$72-F$73-F$74+F$75</f>
        <v>0</v>
      </c>
      <c r="G76" s="10" t="n">
        <f aca="false">G$71-G$72-G$73-G$74+G$75</f>
        <v>0</v>
      </c>
      <c r="H76" s="10" t="n">
        <f aca="false">H$71-H$72-H$73-H$74+H$75</f>
        <v>0</v>
      </c>
      <c r="I76" s="10" t="n">
        <f aca="false">I$71-I$72-I$73-I$74+I$75</f>
        <v>0</v>
      </c>
      <c r="J76" s="10" t="n">
        <f aca="false">J$71-J$72-J$73-J$74+J$75</f>
        <v>0</v>
      </c>
      <c r="K76" s="10" t="n">
        <f aca="false">K$71-K$72-K$73-K$74+K$75</f>
        <v>0</v>
      </c>
      <c r="L76" s="10" t="n">
        <f aca="false">L$71-L$72-L$73-L$74+L$75</f>
        <v>0</v>
      </c>
      <c r="M76" s="10" t="n">
        <f aca="false">M$71-M$72-M$73-M$74+M$75</f>
        <v>0</v>
      </c>
      <c r="N76" s="10" t="n">
        <f aca="false">N$71-N$72-N$73-N$74+N$75</f>
        <v>0</v>
      </c>
      <c r="O76" s="10" t="n">
        <f aca="false">O$71-O$72-O$73-O$74+O$75</f>
        <v>0</v>
      </c>
      <c r="P76" s="10" t="n">
        <f aca="false">P$71-P$72-P$73-P$74+P$75</f>
        <v>0</v>
      </c>
      <c r="Q76" s="10" t="n">
        <f aca="false">Q$71-Q$72-Q$73-Q$74+Q$75</f>
        <v>0</v>
      </c>
      <c r="R76" s="10" t="n">
        <f aca="false">R$71-R$72-R$73-R$74+R$75</f>
        <v>0</v>
      </c>
      <c r="S76" s="10" t="n">
        <f aca="false">S$71-S$72-S$73-S$74+S$75</f>
        <v>0</v>
      </c>
      <c r="T76" s="10" t="n">
        <f aca="false">T$71-T$72-T$73-T$74+T$75</f>
        <v>0</v>
      </c>
      <c r="U76" s="10" t="n">
        <f aca="false">U$71-U$72-U$73-U$74+U$75</f>
        <v>0</v>
      </c>
      <c r="V76" s="10" t="n">
        <f aca="false">V$71-V$72-V$73-V$74+V$75</f>
        <v>0</v>
      </c>
      <c r="W76" s="10" t="n">
        <f aca="false">W$71-W$72-W$73-W$74+W$75</f>
        <v>0</v>
      </c>
      <c r="X76" s="10" t="n">
        <f aca="false">X$71-X$72-X$73-X$74+X$75</f>
        <v>0</v>
      </c>
      <c r="Y76" s="10" t="n">
        <f aca="false">Y$71-Y$72-Y$73-Y$74+Y$75</f>
        <v>0</v>
      </c>
      <c r="Z76" s="10" t="n">
        <f aca="false">Z$71-Z$72-Z$73-Z$74+Z$75</f>
        <v>0</v>
      </c>
      <c r="AA76" s="10" t="n">
        <f aca="false">AA$71-AA$72-AA$73-AA$74+AA$75</f>
        <v>0</v>
      </c>
      <c r="AB76" s="10" t="n">
        <f aca="false">AB$71-AB$72-AB$73-AB$74+AB$75</f>
        <v>0</v>
      </c>
      <c r="AC76" s="10" t="n">
        <f aca="false">AC$71-AC$72-AC$73-AC$74+AC$75</f>
        <v>0</v>
      </c>
      <c r="AD76" s="10" t="n">
        <f aca="false">AD$71-AD$72-AD$73-AD$74+AD$75</f>
        <v>0</v>
      </c>
      <c r="AE76" s="10" t="n">
        <f aca="false">AE$71-AE$72-AE$73-AE$74+AE$75</f>
        <v>0</v>
      </c>
      <c r="AF76" s="10" t="n">
        <f aca="false">AF$71-AF$72-AF$73-AF$74+AF$75</f>
        <v>0</v>
      </c>
      <c r="AG76" s="10" t="n">
        <f aca="false">AG$71-AG$72-AG$73-AG$74+AG$75</f>
        <v>0</v>
      </c>
      <c r="AH76" s="10" t="n">
        <f aca="false">AH$71-AH$72-AH$73-AH$74+AH$75</f>
        <v>0</v>
      </c>
      <c r="AI76" s="10" t="n">
        <f aca="false">AI$71-AI$72-AI$73-AI$74+AI$75</f>
        <v>0</v>
      </c>
      <c r="AJ76" s="10" t="n">
        <f aca="false">AJ$71-AJ$72-AJ$73-AJ$74+AJ$75</f>
        <v>0</v>
      </c>
      <c r="AK76" s="10" t="n">
        <f aca="false">AK$71-AK$72-AK$73-AK$74+AK$75</f>
        <v>0</v>
      </c>
      <c r="AL76" s="10" t="n">
        <f aca="false">AL$71-AL$72-AL$73-AL$74+AL$75</f>
        <v>0</v>
      </c>
      <c r="AM76" s="10" t="n">
        <f aca="false">AM$71-AM$72-AM$73-AM$74+AM$75</f>
        <v>0</v>
      </c>
      <c r="AN76" s="10" t="n">
        <f aca="false">AN$71-AN$72-AN$73-AN$74+AN$75</f>
        <v>0</v>
      </c>
      <c r="AO76" s="10" t="n">
        <f aca="false">AO$71-AO$72-AO$73-AO$74+AO$75</f>
        <v>0</v>
      </c>
      <c r="AP76" s="10" t="n">
        <f aca="false">AP$71-AP$72-AP$73-AP$74+AP$75</f>
        <v>0</v>
      </c>
      <c r="AQ76" s="10" t="n">
        <f aca="false">AQ$71-AQ$72-AQ$73-AQ$74+AQ$75</f>
        <v>0</v>
      </c>
      <c r="AR76" s="10" t="n">
        <f aca="false">AR$71-AR$72-AR$73-AR$74+AR$75</f>
        <v>0</v>
      </c>
      <c r="AS76" s="10" t="n">
        <f aca="false">AS$71-AS$72-AS$73-AS$74+AS$75</f>
        <v>0</v>
      </c>
      <c r="AT76" s="10" t="n">
        <f aca="false">AT$71-AT$72-AT$73-AT$74+AT$75</f>
        <v>0</v>
      </c>
      <c r="AU76" s="10" t="n">
        <f aca="false">AU$71-AU$72-AU$73-AU$74+AU$75</f>
        <v>0</v>
      </c>
      <c r="AV76" s="10" t="n">
        <f aca="false">AV$71-AV$72-AV$73-AV$74+AV$75</f>
        <v>0</v>
      </c>
      <c r="AW76" s="10" t="n">
        <f aca="false">AW$71-AW$72-AW$73-AW$74+AW$75</f>
        <v>0</v>
      </c>
      <c r="AX76" s="10" t="n">
        <f aca="false">AX$71-AX$72-AX$73-AX$74+AX$75</f>
        <v>0</v>
      </c>
      <c r="AY76" s="10" t="n">
        <f aca="false">AY$71-AY$72-AY$73-AY$74+AY$75</f>
        <v>0</v>
      </c>
      <c r="AZ76" s="10" t="n">
        <f aca="false">AZ$71-AZ$72-AZ$73-AZ$74+AZ$75</f>
        <v>0</v>
      </c>
      <c r="BA76" s="10" t="n">
        <f aca="false">BA$71-BA$72-BA$73-BA$74+BA$75</f>
        <v>0</v>
      </c>
      <c r="BB76" s="10" t="n">
        <f aca="false">BB$71-BB$72-BB$73-BB$74+BB$75</f>
        <v>0</v>
      </c>
      <c r="BC76" s="10" t="n">
        <f aca="false">BC$71-BC$72-BC$73-BC$74+BC$75</f>
        <v>0</v>
      </c>
      <c r="BD76" s="10" t="n">
        <f aca="false">BD$71-BD$72-BD$73-BD$74+BD$75</f>
        <v>0</v>
      </c>
      <c r="BE76" s="10" t="n">
        <f aca="false">BE$71-BE$72-BE$73-BE$74+BE$75</f>
        <v>0</v>
      </c>
      <c r="BF76" s="10" t="n">
        <f aca="false">BF$71-BF$72-BF$73-BF$74+BF$75</f>
        <v>0</v>
      </c>
      <c r="BG76" s="10" t="n">
        <f aca="false">BG$71-BG$72-BG$73-BG$74+BG$75</f>
        <v>0</v>
      </c>
      <c r="BH76" s="10" t="n">
        <f aca="false">BH$71-BH$72-BH$73-BH$74+BH$75</f>
        <v>0</v>
      </c>
      <c r="BI76" s="10" t="n">
        <f aca="false">BI$71-BI$72-BI$73-BI$74+BI$75</f>
        <v>0</v>
      </c>
      <c r="BJ76" s="10" t="n">
        <f aca="false">BJ$71-BJ$72-BJ$73-BJ$74+BJ$75</f>
        <v>0</v>
      </c>
      <c r="BK76" s="10" t="n">
        <f aca="false">BK$71-BK$72-BK$73-BK$74+BK$75</f>
        <v>0</v>
      </c>
      <c r="BL76" s="10" t="n">
        <f aca="false">BL$71-BL$72-BL$73-BL$74+BL$75</f>
        <v>0</v>
      </c>
      <c r="BM76" s="10" t="n">
        <f aca="false">BM$71-BM$72-BM$73-BM$74+BM$75</f>
        <v>0</v>
      </c>
      <c r="BN76" s="10" t="n">
        <f aca="false">BN$71-BN$72-BN$73-BN$74+BN$75</f>
        <v>0</v>
      </c>
      <c r="BO76" s="10" t="n">
        <f aca="false">BO$71-BO$72-BO$73-BO$74+BO$75</f>
        <v>0</v>
      </c>
      <c r="BP76" s="10" t="n">
        <f aca="false">BP$71-BP$72-BP$73-BP$74+BP$75</f>
        <v>0</v>
      </c>
      <c r="BQ76" s="10" t="n">
        <f aca="false">BQ$71-BQ$72-BQ$73-BQ$74+BQ$75</f>
        <v>0</v>
      </c>
      <c r="BR76" s="10" t="n">
        <f aca="false">BR$71-BR$72-BR$73-BR$74+BR$75</f>
        <v>0</v>
      </c>
      <c r="BS76" s="10" t="n">
        <f aca="false">BS$71-BS$72-BS$73-BS$74+BS$75</f>
        <v>0</v>
      </c>
      <c r="BT76" s="10" t="n">
        <f aca="false">BT$71-BT$72-BT$73-BT$74+BT$75</f>
        <v>0</v>
      </c>
      <c r="BU76" s="10" t="n">
        <f aca="false">BU$71-BU$72-BU$73-BU$74+BU$75</f>
        <v>0</v>
      </c>
      <c r="BV76" s="10" t="n">
        <f aca="false">BV$71-BV$72-BV$73-BV$74+BV$75</f>
        <v>0</v>
      </c>
      <c r="BW76" s="10" t="n">
        <f aca="false">BW$71-BW$72-BW$73-BW$74+BW$75</f>
        <v>0</v>
      </c>
      <c r="BX76" s="10" t="n">
        <f aca="false">BX$71-BX$72-BX$73-BX$74+BX$75</f>
        <v>0</v>
      </c>
      <c r="BY76" s="10" t="n">
        <f aca="false">BY$71-BY$72-BY$73-BY$74+BY$75</f>
        <v>0</v>
      </c>
      <c r="BZ76" s="10" t="n">
        <f aca="false">BZ$71-BZ$72-BZ$73-BZ$74+BZ$75</f>
        <v>0</v>
      </c>
      <c r="CA76" s="10" t="n">
        <f aca="false">CA$71-CA$72-CA$73-CA$74+CA$75</f>
        <v>0</v>
      </c>
      <c r="CB76" s="10" t="n">
        <f aca="false">CB$71-CB$72-CB$73-CB$74+CB$75</f>
        <v>0</v>
      </c>
      <c r="CC76" s="10" t="n">
        <f aca="false">CC$71-CC$72-CC$73-CC$74+CC$75</f>
        <v>0</v>
      </c>
      <c r="CD76" s="10" t="n">
        <f aca="false">CD$71-CD$72-CD$73-CD$74+CD$75</f>
        <v>0</v>
      </c>
      <c r="CE76" s="10" t="n">
        <f aca="false">CE$71-CE$72-CE$73-CE$74+CE$75</f>
        <v>0</v>
      </c>
      <c r="CF76" s="10" t="n">
        <f aca="false">CF$71-CF$72-CF$73-CF$74+CF$75</f>
        <v>0</v>
      </c>
      <c r="CG76" s="10" t="n">
        <f aca="false">CG$71-CG$72-CG$73-CG$74+CG$75</f>
        <v>0</v>
      </c>
      <c r="CH76" s="10" t="n">
        <f aca="false">CH$71-CH$72-CH$73-CH$74+CH$75</f>
        <v>0</v>
      </c>
      <c r="CI76" s="10" t="n">
        <f aca="false">CI$71-CI$72-CI$73-CI$74+CI$75</f>
        <v>0</v>
      </c>
      <c r="CJ76" s="10" t="n">
        <f aca="false">CJ$71-CJ$72-CJ$73-CJ$74+CJ$75</f>
        <v>0</v>
      </c>
      <c r="CK76" s="10" t="n">
        <f aca="false">CK$71-CK$72-CK$73-CK$74+CK$75</f>
        <v>0</v>
      </c>
      <c r="CL76" s="10" t="n">
        <f aca="false">CL$71-CL$72-CL$73-CL$74+CL$75</f>
        <v>0</v>
      </c>
      <c r="CM76" s="10" t="n">
        <f aca="false">CM$71-CM$72-CM$73-CM$74+CM$75</f>
        <v>0</v>
      </c>
      <c r="CN76" s="10" t="n">
        <f aca="false">CN$71-CN$72-CN$73-CN$74+CN$75</f>
        <v>0</v>
      </c>
      <c r="CO76" s="10" t="n">
        <f aca="false">CO$71-CO$72-CO$73-CO$74+CO$75</f>
        <v>0</v>
      </c>
      <c r="CP76" s="10" t="n">
        <f aca="false">CP$71-CP$72-CP$73-CP$74+CP$75</f>
        <v>0</v>
      </c>
      <c r="CQ76" s="10" t="n">
        <f aca="false">CQ$71-CQ$72-CQ$73-CQ$74+CQ$75</f>
        <v>0</v>
      </c>
      <c r="CR76" s="10" t="n">
        <f aca="false">CR$71-CR$72-CR$73-CR$74+CR$75</f>
        <v>0</v>
      </c>
      <c r="CS76" s="10" t="n">
        <f aca="false">CS$71-CS$72-CS$73-CS$74+CS$75</f>
        <v>0</v>
      </c>
      <c r="CT76" s="10" t="n">
        <f aca="false">CT$71-CT$72-CT$73-CT$74+CT$75</f>
        <v>0</v>
      </c>
      <c r="CU76" s="10" t="n">
        <f aca="false">CU$71-CU$72-CU$73-CU$74+CU$75</f>
        <v>0</v>
      </c>
      <c r="CV76" s="10" t="n">
        <f aca="false">CV$71-CV$72-CV$73-CV$74+CV$75</f>
        <v>0</v>
      </c>
      <c r="CW76" s="10" t="n">
        <f aca="false">CW$71-CW$72-CW$73-CW$74+CW$75</f>
        <v>0</v>
      </c>
      <c r="CX76" s="10" t="n">
        <f aca="false">CX$71-CX$72-CX$73-CX$74+CX$75</f>
        <v>0</v>
      </c>
      <c r="CY76" s="10" t="n">
        <f aca="false">CY$71-CY$72-CY$73-CY$74+CY$75</f>
        <v>0</v>
      </c>
      <c r="CZ76" s="10" t="n">
        <f aca="false">CZ$71-CZ$72-CZ$73-CZ$74+CZ$75</f>
        <v>0</v>
      </c>
      <c r="DA76" s="10" t="n">
        <f aca="false">DA$71-DA$72-DA$73-DA$74+DA$75</f>
        <v>0</v>
      </c>
      <c r="DB76" s="10" t="n">
        <f aca="false">DB$71-DB$72-DB$73-DB$74+DB$75</f>
        <v>0</v>
      </c>
      <c r="DC76" s="10" t="n">
        <f aca="false">DC$71-DC$72-DC$73-DC$74+DC$75</f>
        <v>0</v>
      </c>
      <c r="DD76" s="10" t="n">
        <f aca="false">DD$71-DD$72-DD$73-DD$74+DD$75</f>
        <v>0</v>
      </c>
      <c r="DE76" s="10" t="n">
        <f aca="false">DE$71-DE$72-DE$73-DE$74+DE$75</f>
        <v>0</v>
      </c>
      <c r="DF76" s="10" t="n">
        <f aca="false">DF$71-DF$72-DF$73-DF$74+DF$75</f>
        <v>0</v>
      </c>
      <c r="DG76" s="10" t="n">
        <f aca="false">DG$71-DG$72-DG$73-DG$74+DG$75</f>
        <v>0</v>
      </c>
      <c r="DH76" s="10" t="n">
        <f aca="false">DH$71-DH$72-DH$73-DH$74+DH$75</f>
        <v>0</v>
      </c>
      <c r="DI76" s="10" t="n">
        <f aca="false">DI$71-DI$72-DI$73-DI$74+DI$75</f>
        <v>0</v>
      </c>
      <c r="DJ76" s="10" t="n">
        <f aca="false">DJ$71-DJ$72-DJ$73-DJ$74+DJ$75</f>
        <v>0</v>
      </c>
      <c r="DK76" s="10" t="n">
        <f aca="false">DK$71-DK$72-DK$73-DK$74+DK$75</f>
        <v>0</v>
      </c>
      <c r="DL76" s="10" t="n">
        <f aca="false">DL$71-DL$72-DL$73-DL$74+DL$75</f>
        <v>0</v>
      </c>
      <c r="DM76" s="10" t="n">
        <f aca="false">DM$71-DM$72-DM$73-DM$74+DM$75</f>
        <v>0</v>
      </c>
      <c r="DN76" s="10" t="n">
        <f aca="false">DN$71-DN$72-DN$73-DN$74+DN$75</f>
        <v>0</v>
      </c>
      <c r="DO76" s="10" t="n">
        <f aca="false">DO$71-DO$72-DO$73-DO$74+DO$75</f>
        <v>0</v>
      </c>
      <c r="DP76" s="10" t="n">
        <f aca="false">DP$71-DP$72-DP$73-DP$74+DP$75</f>
        <v>0</v>
      </c>
      <c r="DQ76" s="10" t="n">
        <f aca="false">DQ$71-DQ$72-DQ$73-DQ$74+DQ$75</f>
        <v>0</v>
      </c>
      <c r="DR76" s="10" t="n">
        <f aca="false">DR$71-DR$72-DR$73-DR$74+DR$75</f>
        <v>0</v>
      </c>
      <c r="DS76" s="10" t="n">
        <f aca="false">DS$71-DS$72-DS$73-DS$74+DS$75</f>
        <v>0</v>
      </c>
      <c r="DT76" s="10" t="n">
        <f aca="false">DT$71-DT$72-DT$73-DT$74+DT$75</f>
        <v>0</v>
      </c>
      <c r="DU76" s="10" t="n">
        <f aca="false">DU$71-DU$72-DU$73-DU$74+DU$75</f>
        <v>0</v>
      </c>
      <c r="DV76" s="10" t="n">
        <f aca="false">DV$71-DV$72-DV$73-DV$74+DV$75</f>
        <v>0</v>
      </c>
      <c r="DW76" s="10" t="n">
        <f aca="false">DW$71-DW$72-DW$73-DW$74+DW$75</f>
        <v>0</v>
      </c>
      <c r="DX76" s="10" t="n">
        <f aca="false">DX$71-DX$72-DX$73-DX$74+DX$75</f>
        <v>0</v>
      </c>
      <c r="DY76" s="10" t="n">
        <f aca="false">DY$71-DY$72-DY$73-DY$74+DY$75</f>
        <v>0</v>
      </c>
      <c r="DZ76" s="10" t="n">
        <f aca="false">DZ$71-DZ$72-DZ$73-DZ$74+DZ$75</f>
        <v>0</v>
      </c>
      <c r="EA76" s="10" t="n">
        <f aca="false">EA$71-EA$72-EA$73-EA$74+EA$75</f>
        <v>0</v>
      </c>
      <c r="EB76" s="10" t="n">
        <f aca="false">EB$71-EB$72-EB$73-EB$74+EB$75</f>
        <v>0</v>
      </c>
      <c r="EC76" s="10" t="n">
        <f aca="false">EC$71-EC$72-EC$73-EC$74+EC$75</f>
        <v>0</v>
      </c>
      <c r="ED76" s="10" t="n">
        <f aca="false">ED$71-ED$72-ED$73-ED$74+ED$75</f>
        <v>0</v>
      </c>
      <c r="EE76" s="10" t="n">
        <f aca="false">EE$71-EE$72-EE$73-EE$74+EE$75</f>
        <v>0</v>
      </c>
      <c r="EF76" s="10" t="n">
        <f aca="false">EF$71-EF$72-EF$73-EF$74+EF$75</f>
        <v>0</v>
      </c>
      <c r="EG76" s="10" t="n">
        <f aca="false">EG$71-EG$72-EG$73-EG$74+EG$75</f>
        <v>0</v>
      </c>
      <c r="EH76" s="10" t="n">
        <f aca="false">EH$71-EH$72-EH$73-EH$74+EH$75</f>
        <v>0</v>
      </c>
      <c r="EI76" s="10" t="n">
        <f aca="false">EI$71-EI$72-EI$73-EI$74+EI$75</f>
        <v>0</v>
      </c>
      <c r="EJ76" s="10" t="n">
        <f aca="false">EJ$71-EJ$72-EJ$73-EJ$74+EJ$75</f>
        <v>0</v>
      </c>
      <c r="EK76" s="10" t="n">
        <f aca="false">EK$71-EK$72-EK$73-EK$74+EK$75</f>
        <v>0</v>
      </c>
      <c r="EL76" s="10" t="n">
        <f aca="false">EL$71-EL$72-EL$73-EL$74+EL$75</f>
        <v>0</v>
      </c>
      <c r="EM76" s="10" t="n">
        <f aca="false">EM$71-EM$72-EM$73-EM$74+EM$75</f>
        <v>0</v>
      </c>
      <c r="EN76" s="10" t="n">
        <f aca="false">EN$71-EN$72-EN$73-EN$74+EN$75</f>
        <v>0</v>
      </c>
      <c r="EO76" s="10" t="n">
        <f aca="false">EO$71-EO$72-EO$73-EO$74+EO$75</f>
        <v>0</v>
      </c>
      <c r="EP76" s="10" t="n">
        <f aca="false">EP$71-EP$72-EP$73-EP$74+EP$75</f>
        <v>0</v>
      </c>
      <c r="EQ76" s="10" t="n">
        <f aca="false">EQ$71-EQ$72-EQ$73-EQ$74+EQ$75</f>
        <v>0</v>
      </c>
      <c r="ER76" s="10" t="n">
        <f aca="false">ER$71-ER$72-ER$73-ER$74+ER$75</f>
        <v>0</v>
      </c>
      <c r="ES76" s="10" t="n">
        <f aca="false">ES$71-ES$72-ES$73-ES$74+ES$75</f>
        <v>0</v>
      </c>
    </row>
    <row r="77" customFormat="false" ht="15" hidden="false" customHeight="false" outlineLevel="0" collapsed="false">
      <c r="A77" s="2" t="s">
        <v>516</v>
      </c>
      <c r="B77" s="6" t="s">
        <v>517</v>
      </c>
      <c r="C77" s="6" t="s">
        <v>212</v>
      </c>
      <c r="E77" s="40" t="n">
        <f aca="false">SUM(F77:ES77)</f>
        <v>0</v>
      </c>
      <c r="F77" s="34" t="n">
        <f aca="false">SUMPRODUCT(Inv_D*(Inv_F&gt;0)*(1&gt;=Inv_SvcP)*(1&lt;Inv_SvcP+Inv_F*12)/(Inv_F*12+(Inv_F=0)))*F$9</f>
        <v>0</v>
      </c>
      <c r="G77" s="34" t="n">
        <f aca="false">SUMPRODUCT(Inv_D*(Inv_F&gt;0)*(2&gt;=Inv_SvcP)*(2&lt;Inv_SvcP+Inv_F*12)/(Inv_F*12+(Inv_F=0)))*G$9</f>
        <v>0</v>
      </c>
      <c r="H77" s="34" t="n">
        <f aca="false">SUMPRODUCT(Inv_D*(Inv_F&gt;0)*(3&gt;=Inv_SvcP)*(3&lt;Inv_SvcP+Inv_F*12)/(Inv_F*12+(Inv_F=0)))*H$9</f>
        <v>0</v>
      </c>
      <c r="I77" s="34" t="n">
        <f aca="false">SUMPRODUCT(Inv_D*(Inv_F&gt;0)*(4&gt;=Inv_SvcP)*(4&lt;Inv_SvcP+Inv_F*12)/(Inv_F*12+(Inv_F=0)))*I$9</f>
        <v>0</v>
      </c>
      <c r="J77" s="34" t="n">
        <f aca="false">SUMPRODUCT(Inv_D*(Inv_F&gt;0)*(5&gt;=Inv_SvcP)*(5&lt;Inv_SvcP+Inv_F*12)/(Inv_F*12+(Inv_F=0)))*J$9</f>
        <v>0</v>
      </c>
      <c r="K77" s="34" t="n">
        <f aca="false">SUMPRODUCT(Inv_D*(Inv_F&gt;0)*(6&gt;=Inv_SvcP)*(6&lt;Inv_SvcP+Inv_F*12)/(Inv_F*12+(Inv_F=0)))*K$9</f>
        <v>0</v>
      </c>
      <c r="L77" s="34" t="n">
        <f aca="false">SUMPRODUCT(Inv_D*(Inv_F&gt;0)*(7&gt;=Inv_SvcP)*(7&lt;Inv_SvcP+Inv_F*12)/(Inv_F*12+(Inv_F=0)))*L$9</f>
        <v>0</v>
      </c>
      <c r="M77" s="34" t="n">
        <f aca="false">SUMPRODUCT(Inv_D*(Inv_F&gt;0)*(8&gt;=Inv_SvcP)*(8&lt;Inv_SvcP+Inv_F*12)/(Inv_F*12+(Inv_F=0)))*M$9</f>
        <v>0</v>
      </c>
      <c r="N77" s="34" t="n">
        <f aca="false">SUMPRODUCT(Inv_D*(Inv_F&gt;0)*(9&gt;=Inv_SvcP)*(9&lt;Inv_SvcP+Inv_F*12)/(Inv_F*12+(Inv_F=0)))*N$9</f>
        <v>0</v>
      </c>
      <c r="O77" s="34" t="n">
        <f aca="false">SUMPRODUCT(Inv_D*(Inv_F&gt;0)*(10&gt;=Inv_SvcP)*(10&lt;Inv_SvcP+Inv_F*12)/(Inv_F*12+(Inv_F=0)))*O$9</f>
        <v>0</v>
      </c>
      <c r="P77" s="34" t="n">
        <f aca="false">SUMPRODUCT(Inv_D*(Inv_F&gt;0)*(11&gt;=Inv_SvcP)*(11&lt;Inv_SvcP+Inv_F*12)/(Inv_F*12+(Inv_F=0)))*P$9</f>
        <v>0</v>
      </c>
      <c r="Q77" s="34" t="n">
        <f aca="false">SUMPRODUCT(Inv_D*(Inv_F&gt;0)*(12&gt;=Inv_SvcP)*(12&lt;Inv_SvcP+Inv_F*12)/(Inv_F*12+(Inv_F=0)))*Q$9</f>
        <v>0</v>
      </c>
      <c r="R77" s="34" t="n">
        <f aca="false">SUMPRODUCT(Inv_D*(Inv_F&gt;0)*(13&gt;=Inv_SvcP)*(13&lt;Inv_SvcP+Inv_F*12)/(Inv_F*12+(Inv_F=0)))*R$9</f>
        <v>0</v>
      </c>
      <c r="S77" s="34" t="n">
        <f aca="false">SUMPRODUCT(Inv_D*(Inv_F&gt;0)*(14&gt;=Inv_SvcP)*(14&lt;Inv_SvcP+Inv_F*12)/(Inv_F*12+(Inv_F=0)))*S$9</f>
        <v>0</v>
      </c>
      <c r="T77" s="34" t="n">
        <f aca="false">SUMPRODUCT(Inv_D*(Inv_F&gt;0)*(15&gt;=Inv_SvcP)*(15&lt;Inv_SvcP+Inv_F*12)/(Inv_F*12+(Inv_F=0)))*T$9</f>
        <v>0</v>
      </c>
      <c r="U77" s="34" t="n">
        <f aca="false">SUMPRODUCT(Inv_D*(Inv_F&gt;0)*(16&gt;=Inv_SvcP)*(16&lt;Inv_SvcP+Inv_F*12)/(Inv_F*12+(Inv_F=0)))*U$9</f>
        <v>0</v>
      </c>
      <c r="V77" s="34" t="n">
        <f aca="false">SUMPRODUCT(Inv_D*(Inv_F&gt;0)*(17&gt;=Inv_SvcP)*(17&lt;Inv_SvcP+Inv_F*12)/(Inv_F*12+(Inv_F=0)))*V$9</f>
        <v>0</v>
      </c>
      <c r="W77" s="34" t="n">
        <f aca="false">SUMPRODUCT(Inv_D*(Inv_F&gt;0)*(18&gt;=Inv_SvcP)*(18&lt;Inv_SvcP+Inv_F*12)/(Inv_F*12+(Inv_F=0)))*W$9</f>
        <v>0</v>
      </c>
      <c r="X77" s="34" t="n">
        <f aca="false">SUMPRODUCT(Inv_D*(Inv_F&gt;0)*(19&gt;=Inv_SvcP)*(19&lt;Inv_SvcP+Inv_F*12)/(Inv_F*12+(Inv_F=0)))*X$9</f>
        <v>0</v>
      </c>
      <c r="Y77" s="34" t="n">
        <f aca="false">SUMPRODUCT(Inv_D*(Inv_F&gt;0)*(20&gt;=Inv_SvcP)*(20&lt;Inv_SvcP+Inv_F*12)/(Inv_F*12+(Inv_F=0)))*Y$9</f>
        <v>0</v>
      </c>
      <c r="Z77" s="34" t="n">
        <f aca="false">SUMPRODUCT(Inv_D*(Inv_F&gt;0)*(21&gt;=Inv_SvcP)*(21&lt;Inv_SvcP+Inv_F*12)/(Inv_F*12+(Inv_F=0)))*Z$9</f>
        <v>0</v>
      </c>
      <c r="AA77" s="34" t="n">
        <f aca="false">SUMPRODUCT(Inv_D*(Inv_F&gt;0)*(22&gt;=Inv_SvcP)*(22&lt;Inv_SvcP+Inv_F*12)/(Inv_F*12+(Inv_F=0)))*AA$9</f>
        <v>0</v>
      </c>
      <c r="AB77" s="34" t="n">
        <f aca="false">SUMPRODUCT(Inv_D*(Inv_F&gt;0)*(23&gt;=Inv_SvcP)*(23&lt;Inv_SvcP+Inv_F*12)/(Inv_F*12+(Inv_F=0)))*AB$9</f>
        <v>0</v>
      </c>
      <c r="AC77" s="34" t="n">
        <f aca="false">SUMPRODUCT(Inv_D*(Inv_F&gt;0)*(24&gt;=Inv_SvcP)*(24&lt;Inv_SvcP+Inv_F*12)/(Inv_F*12+(Inv_F=0)))*AC$9</f>
        <v>0</v>
      </c>
      <c r="AD77" s="34" t="n">
        <f aca="false">SUMPRODUCT(Inv_D*(Inv_F&gt;0)*(25&gt;=Inv_SvcP)*(25&lt;Inv_SvcP+Inv_F*12)/(Inv_F*12+(Inv_F=0)))*AD$9</f>
        <v>0</v>
      </c>
      <c r="AE77" s="34" t="n">
        <f aca="false">SUMPRODUCT(Inv_D*(Inv_F&gt;0)*(26&gt;=Inv_SvcP)*(26&lt;Inv_SvcP+Inv_F*12)/(Inv_F*12+(Inv_F=0)))*AE$9</f>
        <v>0</v>
      </c>
      <c r="AF77" s="34" t="n">
        <f aca="false">SUMPRODUCT(Inv_D*(Inv_F&gt;0)*(27&gt;=Inv_SvcP)*(27&lt;Inv_SvcP+Inv_F*12)/(Inv_F*12+(Inv_F=0)))*AF$9</f>
        <v>0</v>
      </c>
      <c r="AG77" s="34" t="n">
        <f aca="false">SUMPRODUCT(Inv_D*(Inv_F&gt;0)*(28&gt;=Inv_SvcP)*(28&lt;Inv_SvcP+Inv_F*12)/(Inv_F*12+(Inv_F=0)))*AG$9</f>
        <v>0</v>
      </c>
      <c r="AH77" s="34" t="n">
        <f aca="false">SUMPRODUCT(Inv_D*(Inv_F&gt;0)*(29&gt;=Inv_SvcP)*(29&lt;Inv_SvcP+Inv_F*12)/(Inv_F*12+(Inv_F=0)))*AH$9</f>
        <v>0</v>
      </c>
      <c r="AI77" s="34" t="n">
        <f aca="false">SUMPRODUCT(Inv_D*(Inv_F&gt;0)*(30&gt;=Inv_SvcP)*(30&lt;Inv_SvcP+Inv_F*12)/(Inv_F*12+(Inv_F=0)))*AI$9</f>
        <v>0</v>
      </c>
      <c r="AJ77" s="34" t="n">
        <f aca="false">SUMPRODUCT(Inv_D*(Inv_F&gt;0)*(31&gt;=Inv_SvcP)*(31&lt;Inv_SvcP+Inv_F*12)/(Inv_F*12+(Inv_F=0)))*AJ$9</f>
        <v>0</v>
      </c>
      <c r="AK77" s="34" t="n">
        <f aca="false">SUMPRODUCT(Inv_D*(Inv_F&gt;0)*(32&gt;=Inv_SvcP)*(32&lt;Inv_SvcP+Inv_F*12)/(Inv_F*12+(Inv_F=0)))*AK$9</f>
        <v>0</v>
      </c>
      <c r="AL77" s="34" t="n">
        <f aca="false">SUMPRODUCT(Inv_D*(Inv_F&gt;0)*(33&gt;=Inv_SvcP)*(33&lt;Inv_SvcP+Inv_F*12)/(Inv_F*12+(Inv_F=0)))*AL$9</f>
        <v>0</v>
      </c>
      <c r="AM77" s="34" t="n">
        <f aca="false">SUMPRODUCT(Inv_D*(Inv_F&gt;0)*(34&gt;=Inv_SvcP)*(34&lt;Inv_SvcP+Inv_F*12)/(Inv_F*12+(Inv_F=0)))*AM$9</f>
        <v>0</v>
      </c>
      <c r="AN77" s="34" t="n">
        <f aca="false">SUMPRODUCT(Inv_D*(Inv_F&gt;0)*(35&gt;=Inv_SvcP)*(35&lt;Inv_SvcP+Inv_F*12)/(Inv_F*12+(Inv_F=0)))*AN$9</f>
        <v>0</v>
      </c>
      <c r="AO77" s="34" t="n">
        <f aca="false">SUMPRODUCT(Inv_D*(Inv_F&gt;0)*(36&gt;=Inv_SvcP)*(36&lt;Inv_SvcP+Inv_F*12)/(Inv_F*12+(Inv_F=0)))*AO$9</f>
        <v>0</v>
      </c>
      <c r="AP77" s="34" t="n">
        <f aca="false">SUMPRODUCT(Inv_D*(Inv_F&gt;0)*(37&gt;=Inv_SvcP)*(37&lt;Inv_SvcP+Inv_F*12)/(Inv_F*12+(Inv_F=0)))*AP$9</f>
        <v>0</v>
      </c>
      <c r="AQ77" s="34" t="n">
        <f aca="false">SUMPRODUCT(Inv_D*(Inv_F&gt;0)*(38&gt;=Inv_SvcP)*(38&lt;Inv_SvcP+Inv_F*12)/(Inv_F*12+(Inv_F=0)))*AQ$9</f>
        <v>0</v>
      </c>
      <c r="AR77" s="34" t="n">
        <f aca="false">SUMPRODUCT(Inv_D*(Inv_F&gt;0)*(39&gt;=Inv_SvcP)*(39&lt;Inv_SvcP+Inv_F*12)/(Inv_F*12+(Inv_F=0)))*AR$9</f>
        <v>0</v>
      </c>
      <c r="AS77" s="34" t="n">
        <f aca="false">SUMPRODUCT(Inv_D*(Inv_F&gt;0)*(40&gt;=Inv_SvcP)*(40&lt;Inv_SvcP+Inv_F*12)/(Inv_F*12+(Inv_F=0)))*AS$9</f>
        <v>0</v>
      </c>
      <c r="AT77" s="34" t="n">
        <f aca="false">SUMPRODUCT(Inv_D*(Inv_F&gt;0)*(41&gt;=Inv_SvcP)*(41&lt;Inv_SvcP+Inv_F*12)/(Inv_F*12+(Inv_F=0)))*AT$9</f>
        <v>0</v>
      </c>
      <c r="AU77" s="34" t="n">
        <f aca="false">SUMPRODUCT(Inv_D*(Inv_F&gt;0)*(42&gt;=Inv_SvcP)*(42&lt;Inv_SvcP+Inv_F*12)/(Inv_F*12+(Inv_F=0)))*AU$9</f>
        <v>0</v>
      </c>
      <c r="AV77" s="34" t="n">
        <f aca="false">SUMPRODUCT(Inv_D*(Inv_F&gt;0)*(43&gt;=Inv_SvcP)*(43&lt;Inv_SvcP+Inv_F*12)/(Inv_F*12+(Inv_F=0)))*AV$9</f>
        <v>0</v>
      </c>
      <c r="AW77" s="34" t="n">
        <f aca="false">SUMPRODUCT(Inv_D*(Inv_F&gt;0)*(44&gt;=Inv_SvcP)*(44&lt;Inv_SvcP+Inv_F*12)/(Inv_F*12+(Inv_F=0)))*AW$9</f>
        <v>0</v>
      </c>
      <c r="AX77" s="34" t="n">
        <f aca="false">SUMPRODUCT(Inv_D*(Inv_F&gt;0)*(45&gt;=Inv_SvcP)*(45&lt;Inv_SvcP+Inv_F*12)/(Inv_F*12+(Inv_F=0)))*AX$9</f>
        <v>0</v>
      </c>
      <c r="AY77" s="34" t="n">
        <f aca="false">SUMPRODUCT(Inv_D*(Inv_F&gt;0)*(46&gt;=Inv_SvcP)*(46&lt;Inv_SvcP+Inv_F*12)/(Inv_F*12+(Inv_F=0)))*AY$9</f>
        <v>0</v>
      </c>
      <c r="AZ77" s="34" t="n">
        <f aca="false">SUMPRODUCT(Inv_D*(Inv_F&gt;0)*(47&gt;=Inv_SvcP)*(47&lt;Inv_SvcP+Inv_F*12)/(Inv_F*12+(Inv_F=0)))*AZ$9</f>
        <v>0</v>
      </c>
      <c r="BA77" s="34" t="n">
        <f aca="false">SUMPRODUCT(Inv_D*(Inv_F&gt;0)*(48&gt;=Inv_SvcP)*(48&lt;Inv_SvcP+Inv_F*12)/(Inv_F*12+(Inv_F=0)))*BA$9</f>
        <v>0</v>
      </c>
      <c r="BB77" s="34" t="n">
        <f aca="false">SUMPRODUCT(Inv_D*(Inv_F&gt;0)*(49&gt;=Inv_SvcP)*(49&lt;Inv_SvcP+Inv_F*12)/(Inv_F*12+(Inv_F=0)))*BB$9</f>
        <v>0</v>
      </c>
      <c r="BC77" s="34" t="n">
        <f aca="false">SUMPRODUCT(Inv_D*(Inv_F&gt;0)*(50&gt;=Inv_SvcP)*(50&lt;Inv_SvcP+Inv_F*12)/(Inv_F*12+(Inv_F=0)))*BC$9</f>
        <v>0</v>
      </c>
      <c r="BD77" s="34" t="n">
        <f aca="false">SUMPRODUCT(Inv_D*(Inv_F&gt;0)*(51&gt;=Inv_SvcP)*(51&lt;Inv_SvcP+Inv_F*12)/(Inv_F*12+(Inv_F=0)))*BD$9</f>
        <v>0</v>
      </c>
      <c r="BE77" s="34" t="n">
        <f aca="false">SUMPRODUCT(Inv_D*(Inv_F&gt;0)*(52&gt;=Inv_SvcP)*(52&lt;Inv_SvcP+Inv_F*12)/(Inv_F*12+(Inv_F=0)))*BE$9</f>
        <v>0</v>
      </c>
      <c r="BF77" s="34" t="n">
        <f aca="false">SUMPRODUCT(Inv_D*(Inv_F&gt;0)*(53&gt;=Inv_SvcP)*(53&lt;Inv_SvcP+Inv_F*12)/(Inv_F*12+(Inv_F=0)))*BF$9</f>
        <v>0</v>
      </c>
      <c r="BG77" s="34" t="n">
        <f aca="false">SUMPRODUCT(Inv_D*(Inv_F&gt;0)*(54&gt;=Inv_SvcP)*(54&lt;Inv_SvcP+Inv_F*12)/(Inv_F*12+(Inv_F=0)))*BG$9</f>
        <v>0</v>
      </c>
      <c r="BH77" s="34" t="n">
        <f aca="false">SUMPRODUCT(Inv_D*(Inv_F&gt;0)*(55&gt;=Inv_SvcP)*(55&lt;Inv_SvcP+Inv_F*12)/(Inv_F*12+(Inv_F=0)))*BH$9</f>
        <v>0</v>
      </c>
      <c r="BI77" s="34" t="n">
        <f aca="false">SUMPRODUCT(Inv_D*(Inv_F&gt;0)*(56&gt;=Inv_SvcP)*(56&lt;Inv_SvcP+Inv_F*12)/(Inv_F*12+(Inv_F=0)))*BI$9</f>
        <v>0</v>
      </c>
      <c r="BJ77" s="34" t="n">
        <f aca="false">SUMPRODUCT(Inv_D*(Inv_F&gt;0)*(57&gt;=Inv_SvcP)*(57&lt;Inv_SvcP+Inv_F*12)/(Inv_F*12+(Inv_F=0)))*BJ$9</f>
        <v>0</v>
      </c>
      <c r="BK77" s="34" t="n">
        <f aca="false">SUMPRODUCT(Inv_D*(Inv_F&gt;0)*(58&gt;=Inv_SvcP)*(58&lt;Inv_SvcP+Inv_F*12)/(Inv_F*12+(Inv_F=0)))*BK$9</f>
        <v>0</v>
      </c>
      <c r="BL77" s="34" t="n">
        <f aca="false">SUMPRODUCT(Inv_D*(Inv_F&gt;0)*(59&gt;=Inv_SvcP)*(59&lt;Inv_SvcP+Inv_F*12)/(Inv_F*12+(Inv_F=0)))*BL$9</f>
        <v>0</v>
      </c>
      <c r="BM77" s="34" t="n">
        <f aca="false">SUMPRODUCT(Inv_D*(Inv_F&gt;0)*(60&gt;=Inv_SvcP)*(60&lt;Inv_SvcP+Inv_F*12)/(Inv_F*12+(Inv_F=0)))*BM$9</f>
        <v>0</v>
      </c>
      <c r="BN77" s="34" t="n">
        <f aca="false">SUMPRODUCT(Inv_D*(Inv_F&gt;0)*(61&gt;=Inv_SvcP)*(61&lt;Inv_SvcP+Inv_F*12)/(Inv_F*12+(Inv_F=0)))*BN$9</f>
        <v>0</v>
      </c>
      <c r="BO77" s="34" t="n">
        <f aca="false">SUMPRODUCT(Inv_D*(Inv_F&gt;0)*(62&gt;=Inv_SvcP)*(62&lt;Inv_SvcP+Inv_F*12)/(Inv_F*12+(Inv_F=0)))*BO$9</f>
        <v>0</v>
      </c>
      <c r="BP77" s="34" t="n">
        <f aca="false">SUMPRODUCT(Inv_D*(Inv_F&gt;0)*(63&gt;=Inv_SvcP)*(63&lt;Inv_SvcP+Inv_F*12)/(Inv_F*12+(Inv_F=0)))*BP$9</f>
        <v>0</v>
      </c>
      <c r="BQ77" s="34" t="n">
        <f aca="false">SUMPRODUCT(Inv_D*(Inv_F&gt;0)*(64&gt;=Inv_SvcP)*(64&lt;Inv_SvcP+Inv_F*12)/(Inv_F*12+(Inv_F=0)))*BQ$9</f>
        <v>0</v>
      </c>
      <c r="BR77" s="34" t="n">
        <f aca="false">SUMPRODUCT(Inv_D*(Inv_F&gt;0)*(65&gt;=Inv_SvcP)*(65&lt;Inv_SvcP+Inv_F*12)/(Inv_F*12+(Inv_F=0)))*BR$9</f>
        <v>0</v>
      </c>
      <c r="BS77" s="34" t="n">
        <f aca="false">SUMPRODUCT(Inv_D*(Inv_F&gt;0)*(66&gt;=Inv_SvcP)*(66&lt;Inv_SvcP+Inv_F*12)/(Inv_F*12+(Inv_F=0)))*BS$9</f>
        <v>0</v>
      </c>
      <c r="BT77" s="34" t="n">
        <f aca="false">SUMPRODUCT(Inv_D*(Inv_F&gt;0)*(67&gt;=Inv_SvcP)*(67&lt;Inv_SvcP+Inv_F*12)/(Inv_F*12+(Inv_F=0)))*BT$9</f>
        <v>0</v>
      </c>
      <c r="BU77" s="34" t="n">
        <f aca="false">SUMPRODUCT(Inv_D*(Inv_F&gt;0)*(68&gt;=Inv_SvcP)*(68&lt;Inv_SvcP+Inv_F*12)/(Inv_F*12+(Inv_F=0)))*BU$9</f>
        <v>0</v>
      </c>
      <c r="BV77" s="34" t="n">
        <f aca="false">SUMPRODUCT(Inv_D*(Inv_F&gt;0)*(69&gt;=Inv_SvcP)*(69&lt;Inv_SvcP+Inv_F*12)/(Inv_F*12+(Inv_F=0)))*BV$9</f>
        <v>0</v>
      </c>
      <c r="BW77" s="34" t="n">
        <f aca="false">SUMPRODUCT(Inv_D*(Inv_F&gt;0)*(70&gt;=Inv_SvcP)*(70&lt;Inv_SvcP+Inv_F*12)/(Inv_F*12+(Inv_F=0)))*BW$9</f>
        <v>0</v>
      </c>
      <c r="BX77" s="34" t="n">
        <f aca="false">SUMPRODUCT(Inv_D*(Inv_F&gt;0)*(71&gt;=Inv_SvcP)*(71&lt;Inv_SvcP+Inv_F*12)/(Inv_F*12+(Inv_F=0)))*BX$9</f>
        <v>0</v>
      </c>
      <c r="BY77" s="34" t="n">
        <f aca="false">SUMPRODUCT(Inv_D*(Inv_F&gt;0)*(72&gt;=Inv_SvcP)*(72&lt;Inv_SvcP+Inv_F*12)/(Inv_F*12+(Inv_F=0)))*BY$9</f>
        <v>0</v>
      </c>
      <c r="BZ77" s="34" t="n">
        <f aca="false">SUMPRODUCT(Inv_D*(Inv_F&gt;0)*(73&gt;=Inv_SvcP)*(73&lt;Inv_SvcP+Inv_F*12)/(Inv_F*12+(Inv_F=0)))*BZ$9</f>
        <v>0</v>
      </c>
      <c r="CA77" s="34" t="n">
        <f aca="false">SUMPRODUCT(Inv_D*(Inv_F&gt;0)*(74&gt;=Inv_SvcP)*(74&lt;Inv_SvcP+Inv_F*12)/(Inv_F*12+(Inv_F=0)))*CA$9</f>
        <v>0</v>
      </c>
      <c r="CB77" s="34" t="n">
        <f aca="false">SUMPRODUCT(Inv_D*(Inv_F&gt;0)*(75&gt;=Inv_SvcP)*(75&lt;Inv_SvcP+Inv_F*12)/(Inv_F*12+(Inv_F=0)))*CB$9</f>
        <v>0</v>
      </c>
      <c r="CC77" s="34" t="n">
        <f aca="false">SUMPRODUCT(Inv_D*(Inv_F&gt;0)*(76&gt;=Inv_SvcP)*(76&lt;Inv_SvcP+Inv_F*12)/(Inv_F*12+(Inv_F=0)))*CC$9</f>
        <v>0</v>
      </c>
      <c r="CD77" s="34" t="n">
        <f aca="false">SUMPRODUCT(Inv_D*(Inv_F&gt;0)*(77&gt;=Inv_SvcP)*(77&lt;Inv_SvcP+Inv_F*12)/(Inv_F*12+(Inv_F=0)))*CD$9</f>
        <v>0</v>
      </c>
      <c r="CE77" s="34" t="n">
        <f aca="false">SUMPRODUCT(Inv_D*(Inv_F&gt;0)*(78&gt;=Inv_SvcP)*(78&lt;Inv_SvcP+Inv_F*12)/(Inv_F*12+(Inv_F=0)))*CE$9</f>
        <v>0</v>
      </c>
      <c r="CF77" s="34" t="n">
        <f aca="false">SUMPRODUCT(Inv_D*(Inv_F&gt;0)*(79&gt;=Inv_SvcP)*(79&lt;Inv_SvcP+Inv_F*12)/(Inv_F*12+(Inv_F=0)))*CF$9</f>
        <v>0</v>
      </c>
      <c r="CG77" s="34" t="n">
        <f aca="false">SUMPRODUCT(Inv_D*(Inv_F&gt;0)*(80&gt;=Inv_SvcP)*(80&lt;Inv_SvcP+Inv_F*12)/(Inv_F*12+(Inv_F=0)))*CG$9</f>
        <v>0</v>
      </c>
      <c r="CH77" s="34" t="n">
        <f aca="false">SUMPRODUCT(Inv_D*(Inv_F&gt;0)*(81&gt;=Inv_SvcP)*(81&lt;Inv_SvcP+Inv_F*12)/(Inv_F*12+(Inv_F=0)))*CH$9</f>
        <v>0</v>
      </c>
      <c r="CI77" s="34" t="n">
        <f aca="false">SUMPRODUCT(Inv_D*(Inv_F&gt;0)*(82&gt;=Inv_SvcP)*(82&lt;Inv_SvcP+Inv_F*12)/(Inv_F*12+(Inv_F=0)))*CI$9</f>
        <v>0</v>
      </c>
      <c r="CJ77" s="34" t="n">
        <f aca="false">SUMPRODUCT(Inv_D*(Inv_F&gt;0)*(83&gt;=Inv_SvcP)*(83&lt;Inv_SvcP+Inv_F*12)/(Inv_F*12+(Inv_F=0)))*CJ$9</f>
        <v>0</v>
      </c>
      <c r="CK77" s="34" t="n">
        <f aca="false">SUMPRODUCT(Inv_D*(Inv_F&gt;0)*(84&gt;=Inv_SvcP)*(84&lt;Inv_SvcP+Inv_F*12)/(Inv_F*12+(Inv_F=0)))*CK$9</f>
        <v>0</v>
      </c>
      <c r="CL77" s="34" t="n">
        <f aca="false">SUMPRODUCT(Inv_D*(Inv_F&gt;0)*(85&gt;=Inv_SvcP)*(85&lt;Inv_SvcP+Inv_F*12)/(Inv_F*12+(Inv_F=0)))*CL$9</f>
        <v>0</v>
      </c>
      <c r="CM77" s="34" t="n">
        <f aca="false">SUMPRODUCT(Inv_D*(Inv_F&gt;0)*(86&gt;=Inv_SvcP)*(86&lt;Inv_SvcP+Inv_F*12)/(Inv_F*12+(Inv_F=0)))*CM$9</f>
        <v>0</v>
      </c>
      <c r="CN77" s="34" t="n">
        <f aca="false">SUMPRODUCT(Inv_D*(Inv_F&gt;0)*(87&gt;=Inv_SvcP)*(87&lt;Inv_SvcP+Inv_F*12)/(Inv_F*12+(Inv_F=0)))*CN$9</f>
        <v>0</v>
      </c>
      <c r="CO77" s="34" t="n">
        <f aca="false">SUMPRODUCT(Inv_D*(Inv_F&gt;0)*(88&gt;=Inv_SvcP)*(88&lt;Inv_SvcP+Inv_F*12)/(Inv_F*12+(Inv_F=0)))*CO$9</f>
        <v>0</v>
      </c>
      <c r="CP77" s="34" t="n">
        <f aca="false">SUMPRODUCT(Inv_D*(Inv_F&gt;0)*(89&gt;=Inv_SvcP)*(89&lt;Inv_SvcP+Inv_F*12)/(Inv_F*12+(Inv_F=0)))*CP$9</f>
        <v>0</v>
      </c>
      <c r="CQ77" s="34" t="n">
        <f aca="false">SUMPRODUCT(Inv_D*(Inv_F&gt;0)*(90&gt;=Inv_SvcP)*(90&lt;Inv_SvcP+Inv_F*12)/(Inv_F*12+(Inv_F=0)))*CQ$9</f>
        <v>0</v>
      </c>
      <c r="CR77" s="34" t="n">
        <f aca="false">SUMPRODUCT(Inv_D*(Inv_F&gt;0)*(91&gt;=Inv_SvcP)*(91&lt;Inv_SvcP+Inv_F*12)/(Inv_F*12+(Inv_F=0)))*CR$9</f>
        <v>0</v>
      </c>
      <c r="CS77" s="34" t="n">
        <f aca="false">SUMPRODUCT(Inv_D*(Inv_F&gt;0)*(92&gt;=Inv_SvcP)*(92&lt;Inv_SvcP+Inv_F*12)/(Inv_F*12+(Inv_F=0)))*CS$9</f>
        <v>0</v>
      </c>
      <c r="CT77" s="34" t="n">
        <f aca="false">SUMPRODUCT(Inv_D*(Inv_F&gt;0)*(93&gt;=Inv_SvcP)*(93&lt;Inv_SvcP+Inv_F*12)/(Inv_F*12+(Inv_F=0)))*CT$9</f>
        <v>0</v>
      </c>
      <c r="CU77" s="34" t="n">
        <f aca="false">SUMPRODUCT(Inv_D*(Inv_F&gt;0)*(94&gt;=Inv_SvcP)*(94&lt;Inv_SvcP+Inv_F*12)/(Inv_F*12+(Inv_F=0)))*CU$9</f>
        <v>0</v>
      </c>
      <c r="CV77" s="34" t="n">
        <f aca="false">SUMPRODUCT(Inv_D*(Inv_F&gt;0)*(95&gt;=Inv_SvcP)*(95&lt;Inv_SvcP+Inv_F*12)/(Inv_F*12+(Inv_F=0)))*CV$9</f>
        <v>0</v>
      </c>
      <c r="CW77" s="34" t="n">
        <f aca="false">SUMPRODUCT(Inv_D*(Inv_F&gt;0)*(96&gt;=Inv_SvcP)*(96&lt;Inv_SvcP+Inv_F*12)/(Inv_F*12+(Inv_F=0)))*CW$9</f>
        <v>0</v>
      </c>
      <c r="CX77" s="34" t="n">
        <f aca="false">SUMPRODUCT(Inv_D*(Inv_F&gt;0)*(97&gt;=Inv_SvcP)*(97&lt;Inv_SvcP+Inv_F*12)/(Inv_F*12+(Inv_F=0)))*CX$9</f>
        <v>0</v>
      </c>
      <c r="CY77" s="34" t="n">
        <f aca="false">SUMPRODUCT(Inv_D*(Inv_F&gt;0)*(98&gt;=Inv_SvcP)*(98&lt;Inv_SvcP+Inv_F*12)/(Inv_F*12+(Inv_F=0)))*CY$9</f>
        <v>0</v>
      </c>
      <c r="CZ77" s="34" t="n">
        <f aca="false">SUMPRODUCT(Inv_D*(Inv_F&gt;0)*(99&gt;=Inv_SvcP)*(99&lt;Inv_SvcP+Inv_F*12)/(Inv_F*12+(Inv_F=0)))*CZ$9</f>
        <v>0</v>
      </c>
      <c r="DA77" s="34" t="n">
        <f aca="false">SUMPRODUCT(Inv_D*(Inv_F&gt;0)*(100&gt;=Inv_SvcP)*(100&lt;Inv_SvcP+Inv_F*12)/(Inv_F*12+(Inv_F=0)))*DA$9</f>
        <v>0</v>
      </c>
      <c r="DB77" s="34" t="n">
        <f aca="false">SUMPRODUCT(Inv_D*(Inv_F&gt;0)*(101&gt;=Inv_SvcP)*(101&lt;Inv_SvcP+Inv_F*12)/(Inv_F*12+(Inv_F=0)))*DB$9</f>
        <v>0</v>
      </c>
      <c r="DC77" s="34" t="n">
        <f aca="false">SUMPRODUCT(Inv_D*(Inv_F&gt;0)*(102&gt;=Inv_SvcP)*(102&lt;Inv_SvcP+Inv_F*12)/(Inv_F*12+(Inv_F=0)))*DC$9</f>
        <v>0</v>
      </c>
      <c r="DD77" s="34" t="n">
        <f aca="false">SUMPRODUCT(Inv_D*(Inv_F&gt;0)*(103&gt;=Inv_SvcP)*(103&lt;Inv_SvcP+Inv_F*12)/(Inv_F*12+(Inv_F=0)))*DD$9</f>
        <v>0</v>
      </c>
      <c r="DE77" s="34" t="n">
        <f aca="false">SUMPRODUCT(Inv_D*(Inv_F&gt;0)*(104&gt;=Inv_SvcP)*(104&lt;Inv_SvcP+Inv_F*12)/(Inv_F*12+(Inv_F=0)))*DE$9</f>
        <v>0</v>
      </c>
      <c r="DF77" s="34" t="n">
        <f aca="false">SUMPRODUCT(Inv_D*(Inv_F&gt;0)*(105&gt;=Inv_SvcP)*(105&lt;Inv_SvcP+Inv_F*12)/(Inv_F*12+(Inv_F=0)))*DF$9</f>
        <v>0</v>
      </c>
      <c r="DG77" s="34" t="n">
        <f aca="false">SUMPRODUCT(Inv_D*(Inv_F&gt;0)*(106&gt;=Inv_SvcP)*(106&lt;Inv_SvcP+Inv_F*12)/(Inv_F*12+(Inv_F=0)))*DG$9</f>
        <v>0</v>
      </c>
      <c r="DH77" s="34" t="n">
        <f aca="false">SUMPRODUCT(Inv_D*(Inv_F&gt;0)*(107&gt;=Inv_SvcP)*(107&lt;Inv_SvcP+Inv_F*12)/(Inv_F*12+(Inv_F=0)))*DH$9</f>
        <v>0</v>
      </c>
      <c r="DI77" s="34" t="n">
        <f aca="false">SUMPRODUCT(Inv_D*(Inv_F&gt;0)*(108&gt;=Inv_SvcP)*(108&lt;Inv_SvcP+Inv_F*12)/(Inv_F*12+(Inv_F=0)))*DI$9</f>
        <v>0</v>
      </c>
      <c r="DJ77" s="34" t="n">
        <f aca="false">SUMPRODUCT(Inv_D*(Inv_F&gt;0)*(109&gt;=Inv_SvcP)*(109&lt;Inv_SvcP+Inv_F*12)/(Inv_F*12+(Inv_F=0)))*DJ$9</f>
        <v>0</v>
      </c>
      <c r="DK77" s="34" t="n">
        <f aca="false">SUMPRODUCT(Inv_D*(Inv_F&gt;0)*(110&gt;=Inv_SvcP)*(110&lt;Inv_SvcP+Inv_F*12)/(Inv_F*12+(Inv_F=0)))*DK$9</f>
        <v>0</v>
      </c>
      <c r="DL77" s="34" t="n">
        <f aca="false">SUMPRODUCT(Inv_D*(Inv_F&gt;0)*(111&gt;=Inv_SvcP)*(111&lt;Inv_SvcP+Inv_F*12)/(Inv_F*12+(Inv_F=0)))*DL$9</f>
        <v>0</v>
      </c>
      <c r="DM77" s="34" t="n">
        <f aca="false">SUMPRODUCT(Inv_D*(Inv_F&gt;0)*(112&gt;=Inv_SvcP)*(112&lt;Inv_SvcP+Inv_F*12)/(Inv_F*12+(Inv_F=0)))*DM$9</f>
        <v>0</v>
      </c>
      <c r="DN77" s="34" t="n">
        <f aca="false">SUMPRODUCT(Inv_D*(Inv_F&gt;0)*(113&gt;=Inv_SvcP)*(113&lt;Inv_SvcP+Inv_F*12)/(Inv_F*12+(Inv_F=0)))*DN$9</f>
        <v>0</v>
      </c>
      <c r="DO77" s="34" t="n">
        <f aca="false">SUMPRODUCT(Inv_D*(Inv_F&gt;0)*(114&gt;=Inv_SvcP)*(114&lt;Inv_SvcP+Inv_F*12)/(Inv_F*12+(Inv_F=0)))*DO$9</f>
        <v>0</v>
      </c>
      <c r="DP77" s="34" t="n">
        <f aca="false">SUMPRODUCT(Inv_D*(Inv_F&gt;0)*(115&gt;=Inv_SvcP)*(115&lt;Inv_SvcP+Inv_F*12)/(Inv_F*12+(Inv_F=0)))*DP$9</f>
        <v>0</v>
      </c>
      <c r="DQ77" s="34" t="n">
        <f aca="false">SUMPRODUCT(Inv_D*(Inv_F&gt;0)*(116&gt;=Inv_SvcP)*(116&lt;Inv_SvcP+Inv_F*12)/(Inv_F*12+(Inv_F=0)))*DQ$9</f>
        <v>0</v>
      </c>
      <c r="DR77" s="34" t="n">
        <f aca="false">SUMPRODUCT(Inv_D*(Inv_F&gt;0)*(117&gt;=Inv_SvcP)*(117&lt;Inv_SvcP+Inv_F*12)/(Inv_F*12+(Inv_F=0)))*DR$9</f>
        <v>0</v>
      </c>
      <c r="DS77" s="34" t="n">
        <f aca="false">SUMPRODUCT(Inv_D*(Inv_F&gt;0)*(118&gt;=Inv_SvcP)*(118&lt;Inv_SvcP+Inv_F*12)/(Inv_F*12+(Inv_F=0)))*DS$9</f>
        <v>0</v>
      </c>
      <c r="DT77" s="34" t="n">
        <f aca="false">SUMPRODUCT(Inv_D*(Inv_F&gt;0)*(119&gt;=Inv_SvcP)*(119&lt;Inv_SvcP+Inv_F*12)/(Inv_F*12+(Inv_F=0)))*DT$9</f>
        <v>0</v>
      </c>
      <c r="DU77" s="34" t="n">
        <f aca="false">SUMPRODUCT(Inv_D*(Inv_F&gt;0)*(120&gt;=Inv_SvcP)*(120&lt;Inv_SvcP+Inv_F*12)/(Inv_F*12+(Inv_F=0)))*DU$9</f>
        <v>0</v>
      </c>
      <c r="DV77" s="34" t="n">
        <f aca="false">SUMPRODUCT(Inv_D*(Inv_F&gt;0)*(121&gt;=Inv_SvcP)*(121&lt;Inv_SvcP+Inv_F*12)/(Inv_F*12+(Inv_F=0)))*DV$9</f>
        <v>0</v>
      </c>
      <c r="DW77" s="34" t="n">
        <f aca="false">SUMPRODUCT(Inv_D*(Inv_F&gt;0)*(122&gt;=Inv_SvcP)*(122&lt;Inv_SvcP+Inv_F*12)/(Inv_F*12+(Inv_F=0)))*DW$9</f>
        <v>0</v>
      </c>
      <c r="DX77" s="34" t="n">
        <f aca="false">SUMPRODUCT(Inv_D*(Inv_F&gt;0)*(123&gt;=Inv_SvcP)*(123&lt;Inv_SvcP+Inv_F*12)/(Inv_F*12+(Inv_F=0)))*DX$9</f>
        <v>0</v>
      </c>
      <c r="DY77" s="34" t="n">
        <f aca="false">SUMPRODUCT(Inv_D*(Inv_F&gt;0)*(124&gt;=Inv_SvcP)*(124&lt;Inv_SvcP+Inv_F*12)/(Inv_F*12+(Inv_F=0)))*DY$9</f>
        <v>0</v>
      </c>
      <c r="DZ77" s="34" t="n">
        <f aca="false">SUMPRODUCT(Inv_D*(Inv_F&gt;0)*(125&gt;=Inv_SvcP)*(125&lt;Inv_SvcP+Inv_F*12)/(Inv_F*12+(Inv_F=0)))*DZ$9</f>
        <v>0</v>
      </c>
      <c r="EA77" s="34" t="n">
        <f aca="false">SUMPRODUCT(Inv_D*(Inv_F&gt;0)*(126&gt;=Inv_SvcP)*(126&lt;Inv_SvcP+Inv_F*12)/(Inv_F*12+(Inv_F=0)))*EA$9</f>
        <v>0</v>
      </c>
      <c r="EB77" s="34" t="n">
        <f aca="false">SUMPRODUCT(Inv_D*(Inv_F&gt;0)*(127&gt;=Inv_SvcP)*(127&lt;Inv_SvcP+Inv_F*12)/(Inv_F*12+(Inv_F=0)))*EB$9</f>
        <v>0</v>
      </c>
      <c r="EC77" s="34" t="n">
        <f aca="false">SUMPRODUCT(Inv_D*(Inv_F&gt;0)*(128&gt;=Inv_SvcP)*(128&lt;Inv_SvcP+Inv_F*12)/(Inv_F*12+(Inv_F=0)))*EC$9</f>
        <v>0</v>
      </c>
      <c r="ED77" s="34" t="n">
        <f aca="false">SUMPRODUCT(Inv_D*(Inv_F&gt;0)*(129&gt;=Inv_SvcP)*(129&lt;Inv_SvcP+Inv_F*12)/(Inv_F*12+(Inv_F=0)))*ED$9</f>
        <v>0</v>
      </c>
      <c r="EE77" s="34" t="n">
        <f aca="false">SUMPRODUCT(Inv_D*(Inv_F&gt;0)*(130&gt;=Inv_SvcP)*(130&lt;Inv_SvcP+Inv_F*12)/(Inv_F*12+(Inv_F=0)))*EE$9</f>
        <v>0</v>
      </c>
      <c r="EF77" s="34" t="n">
        <f aca="false">SUMPRODUCT(Inv_D*(Inv_F&gt;0)*(131&gt;=Inv_SvcP)*(131&lt;Inv_SvcP+Inv_F*12)/(Inv_F*12+(Inv_F=0)))*EF$9</f>
        <v>0</v>
      </c>
      <c r="EG77" s="34" t="n">
        <f aca="false">SUMPRODUCT(Inv_D*(Inv_F&gt;0)*(132&gt;=Inv_SvcP)*(132&lt;Inv_SvcP+Inv_F*12)/(Inv_F*12+(Inv_F=0)))*EG$9</f>
        <v>0</v>
      </c>
      <c r="EH77" s="34" t="n">
        <f aca="false">SUMPRODUCT(Inv_D*(Inv_F&gt;0)*(133&gt;=Inv_SvcP)*(133&lt;Inv_SvcP+Inv_F*12)/(Inv_F*12+(Inv_F=0)))*EH$9</f>
        <v>0</v>
      </c>
      <c r="EI77" s="34" t="n">
        <f aca="false">SUMPRODUCT(Inv_D*(Inv_F&gt;0)*(134&gt;=Inv_SvcP)*(134&lt;Inv_SvcP+Inv_F*12)/(Inv_F*12+(Inv_F=0)))*EI$9</f>
        <v>0</v>
      </c>
      <c r="EJ77" s="34" t="n">
        <f aca="false">SUMPRODUCT(Inv_D*(Inv_F&gt;0)*(135&gt;=Inv_SvcP)*(135&lt;Inv_SvcP+Inv_F*12)/(Inv_F*12+(Inv_F=0)))*EJ$9</f>
        <v>0</v>
      </c>
      <c r="EK77" s="34" t="n">
        <f aca="false">SUMPRODUCT(Inv_D*(Inv_F&gt;0)*(136&gt;=Inv_SvcP)*(136&lt;Inv_SvcP+Inv_F*12)/(Inv_F*12+(Inv_F=0)))*EK$9</f>
        <v>0</v>
      </c>
      <c r="EL77" s="34" t="n">
        <f aca="false">SUMPRODUCT(Inv_D*(Inv_F&gt;0)*(137&gt;=Inv_SvcP)*(137&lt;Inv_SvcP+Inv_F*12)/(Inv_F*12+(Inv_F=0)))*EL$9</f>
        <v>0</v>
      </c>
      <c r="EM77" s="34" t="n">
        <f aca="false">SUMPRODUCT(Inv_D*(Inv_F&gt;0)*(138&gt;=Inv_SvcP)*(138&lt;Inv_SvcP+Inv_F*12)/(Inv_F*12+(Inv_F=0)))*EM$9</f>
        <v>0</v>
      </c>
      <c r="EN77" s="34" t="n">
        <f aca="false">SUMPRODUCT(Inv_D*(Inv_F&gt;0)*(139&gt;=Inv_SvcP)*(139&lt;Inv_SvcP+Inv_F*12)/(Inv_F*12+(Inv_F=0)))*EN$9</f>
        <v>0</v>
      </c>
      <c r="EO77" s="34" t="n">
        <f aca="false">SUMPRODUCT(Inv_D*(Inv_F&gt;0)*(140&gt;=Inv_SvcP)*(140&lt;Inv_SvcP+Inv_F*12)/(Inv_F*12+(Inv_F=0)))*EO$9</f>
        <v>0</v>
      </c>
      <c r="EP77" s="34" t="n">
        <f aca="false">SUMPRODUCT(Inv_D*(Inv_F&gt;0)*(141&gt;=Inv_SvcP)*(141&lt;Inv_SvcP+Inv_F*12)/(Inv_F*12+(Inv_F=0)))*EP$9</f>
        <v>0</v>
      </c>
      <c r="EQ77" s="34" t="n">
        <f aca="false">SUMPRODUCT(Inv_D*(Inv_F&gt;0)*(142&gt;=Inv_SvcP)*(142&lt;Inv_SvcP+Inv_F*12)/(Inv_F*12+(Inv_F=0)))*EQ$9</f>
        <v>0</v>
      </c>
      <c r="ER77" s="34" t="n">
        <f aca="false">SUMPRODUCT(Inv_D*(Inv_F&gt;0)*(143&gt;=Inv_SvcP)*(143&lt;Inv_SvcP+Inv_F*12)/(Inv_F*12+(Inv_F=0)))*ER$9</f>
        <v>0</v>
      </c>
      <c r="ES77" s="34" t="n">
        <f aca="false">SUMPRODUCT(Inv_D*(Inv_F&gt;0)*(144&gt;=Inv_SvcP)*(144&lt;Inv_SvcP+Inv_F*12)/(Inv_F*12+(Inv_F=0)))*ES$9</f>
        <v>0</v>
      </c>
    </row>
    <row r="78" customFormat="false" ht="15" hidden="false" customHeight="false" outlineLevel="0" collapsed="false">
      <c r="A78" s="2" t="s">
        <v>518</v>
      </c>
      <c r="B78" s="6" t="s">
        <v>519</v>
      </c>
      <c r="C78" s="6" t="s">
        <v>212</v>
      </c>
      <c r="E78" s="40" t="n">
        <f aca="false">SUM(F78:ES78)</f>
        <v>0</v>
      </c>
      <c r="F78" s="34" t="n">
        <f aca="false">F$76-F$77</f>
        <v>0</v>
      </c>
      <c r="G78" s="34" t="n">
        <f aca="false">G$76-G$77</f>
        <v>0</v>
      </c>
      <c r="H78" s="34" t="n">
        <f aca="false">H$76-H$77</f>
        <v>0</v>
      </c>
      <c r="I78" s="34" t="n">
        <f aca="false">I$76-I$77</f>
        <v>0</v>
      </c>
      <c r="J78" s="34" t="n">
        <f aca="false">J$76-J$77</f>
        <v>0</v>
      </c>
      <c r="K78" s="34" t="n">
        <f aca="false">K$76-K$77</f>
        <v>0</v>
      </c>
      <c r="L78" s="34" t="n">
        <f aca="false">L$76-L$77</f>
        <v>0</v>
      </c>
      <c r="M78" s="34" t="n">
        <f aca="false">M$76-M$77</f>
        <v>0</v>
      </c>
      <c r="N78" s="34" t="n">
        <f aca="false">N$76-N$77</f>
        <v>0</v>
      </c>
      <c r="O78" s="34" t="n">
        <f aca="false">O$76-O$77</f>
        <v>0</v>
      </c>
      <c r="P78" s="34" t="n">
        <f aca="false">P$76-P$77</f>
        <v>0</v>
      </c>
      <c r="Q78" s="34" t="n">
        <f aca="false">Q$76-Q$77</f>
        <v>0</v>
      </c>
      <c r="R78" s="34" t="n">
        <f aca="false">R$76-R$77</f>
        <v>0</v>
      </c>
      <c r="S78" s="34" t="n">
        <f aca="false">S$76-S$77</f>
        <v>0</v>
      </c>
      <c r="T78" s="34" t="n">
        <f aca="false">T$76-T$77</f>
        <v>0</v>
      </c>
      <c r="U78" s="34" t="n">
        <f aca="false">U$76-U$77</f>
        <v>0</v>
      </c>
      <c r="V78" s="34" t="n">
        <f aca="false">V$76-V$77</f>
        <v>0</v>
      </c>
      <c r="W78" s="34" t="n">
        <f aca="false">W$76-W$77</f>
        <v>0</v>
      </c>
      <c r="X78" s="34" t="n">
        <f aca="false">X$76-X$77</f>
        <v>0</v>
      </c>
      <c r="Y78" s="34" t="n">
        <f aca="false">Y$76-Y$77</f>
        <v>0</v>
      </c>
      <c r="Z78" s="34" t="n">
        <f aca="false">Z$76-Z$77</f>
        <v>0</v>
      </c>
      <c r="AA78" s="34" t="n">
        <f aca="false">AA$76-AA$77</f>
        <v>0</v>
      </c>
      <c r="AB78" s="34" t="n">
        <f aca="false">AB$76-AB$77</f>
        <v>0</v>
      </c>
      <c r="AC78" s="34" t="n">
        <f aca="false">AC$76-AC$77</f>
        <v>0</v>
      </c>
      <c r="AD78" s="34" t="n">
        <f aca="false">AD$76-AD$77</f>
        <v>0</v>
      </c>
      <c r="AE78" s="34" t="n">
        <f aca="false">AE$76-AE$77</f>
        <v>0</v>
      </c>
      <c r="AF78" s="34" t="n">
        <f aca="false">AF$76-AF$77</f>
        <v>0</v>
      </c>
      <c r="AG78" s="34" t="n">
        <f aca="false">AG$76-AG$77</f>
        <v>0</v>
      </c>
      <c r="AH78" s="34" t="n">
        <f aca="false">AH$76-AH$77</f>
        <v>0</v>
      </c>
      <c r="AI78" s="34" t="n">
        <f aca="false">AI$76-AI$77</f>
        <v>0</v>
      </c>
      <c r="AJ78" s="34" t="n">
        <f aca="false">AJ$76-AJ$77</f>
        <v>0</v>
      </c>
      <c r="AK78" s="34" t="n">
        <f aca="false">AK$76-AK$77</f>
        <v>0</v>
      </c>
      <c r="AL78" s="34" t="n">
        <f aca="false">AL$76-AL$77</f>
        <v>0</v>
      </c>
      <c r="AM78" s="34" t="n">
        <f aca="false">AM$76-AM$77</f>
        <v>0</v>
      </c>
      <c r="AN78" s="34" t="n">
        <f aca="false">AN$76-AN$77</f>
        <v>0</v>
      </c>
      <c r="AO78" s="34" t="n">
        <f aca="false">AO$76-AO$77</f>
        <v>0</v>
      </c>
      <c r="AP78" s="34" t="n">
        <f aca="false">AP$76-AP$77</f>
        <v>0</v>
      </c>
      <c r="AQ78" s="34" t="n">
        <f aca="false">AQ$76-AQ$77</f>
        <v>0</v>
      </c>
      <c r="AR78" s="34" t="n">
        <f aca="false">AR$76-AR$77</f>
        <v>0</v>
      </c>
      <c r="AS78" s="34" t="n">
        <f aca="false">AS$76-AS$77</f>
        <v>0</v>
      </c>
      <c r="AT78" s="34" t="n">
        <f aca="false">AT$76-AT$77</f>
        <v>0</v>
      </c>
      <c r="AU78" s="34" t="n">
        <f aca="false">AU$76-AU$77</f>
        <v>0</v>
      </c>
      <c r="AV78" s="34" t="n">
        <f aca="false">AV$76-AV$77</f>
        <v>0</v>
      </c>
      <c r="AW78" s="34" t="n">
        <f aca="false">AW$76-AW$77</f>
        <v>0</v>
      </c>
      <c r="AX78" s="34" t="n">
        <f aca="false">AX$76-AX$77</f>
        <v>0</v>
      </c>
      <c r="AY78" s="34" t="n">
        <f aca="false">AY$76-AY$77</f>
        <v>0</v>
      </c>
      <c r="AZ78" s="34" t="n">
        <f aca="false">AZ$76-AZ$77</f>
        <v>0</v>
      </c>
      <c r="BA78" s="34" t="n">
        <f aca="false">BA$76-BA$77</f>
        <v>0</v>
      </c>
      <c r="BB78" s="34" t="n">
        <f aca="false">BB$76-BB$77</f>
        <v>0</v>
      </c>
      <c r="BC78" s="34" t="n">
        <f aca="false">BC$76-BC$77</f>
        <v>0</v>
      </c>
      <c r="BD78" s="34" t="n">
        <f aca="false">BD$76-BD$77</f>
        <v>0</v>
      </c>
      <c r="BE78" s="34" t="n">
        <f aca="false">BE$76-BE$77</f>
        <v>0</v>
      </c>
      <c r="BF78" s="34" t="n">
        <f aca="false">BF$76-BF$77</f>
        <v>0</v>
      </c>
      <c r="BG78" s="34" t="n">
        <f aca="false">BG$76-BG$77</f>
        <v>0</v>
      </c>
      <c r="BH78" s="34" t="n">
        <f aca="false">BH$76-BH$77</f>
        <v>0</v>
      </c>
      <c r="BI78" s="34" t="n">
        <f aca="false">BI$76-BI$77</f>
        <v>0</v>
      </c>
      <c r="BJ78" s="34" t="n">
        <f aca="false">BJ$76-BJ$77</f>
        <v>0</v>
      </c>
      <c r="BK78" s="34" t="n">
        <f aca="false">BK$76-BK$77</f>
        <v>0</v>
      </c>
      <c r="BL78" s="34" t="n">
        <f aca="false">BL$76-BL$77</f>
        <v>0</v>
      </c>
      <c r="BM78" s="34" t="n">
        <f aca="false">BM$76-BM$77</f>
        <v>0</v>
      </c>
      <c r="BN78" s="34" t="n">
        <f aca="false">BN$76-BN$77</f>
        <v>0</v>
      </c>
      <c r="BO78" s="34" t="n">
        <f aca="false">BO$76-BO$77</f>
        <v>0</v>
      </c>
      <c r="BP78" s="34" t="n">
        <f aca="false">BP$76-BP$77</f>
        <v>0</v>
      </c>
      <c r="BQ78" s="34" t="n">
        <f aca="false">BQ$76-BQ$77</f>
        <v>0</v>
      </c>
      <c r="BR78" s="34" t="n">
        <f aca="false">BR$76-BR$77</f>
        <v>0</v>
      </c>
      <c r="BS78" s="34" t="n">
        <f aca="false">BS$76-BS$77</f>
        <v>0</v>
      </c>
      <c r="BT78" s="34" t="n">
        <f aca="false">BT$76-BT$77</f>
        <v>0</v>
      </c>
      <c r="BU78" s="34" t="n">
        <f aca="false">BU$76-BU$77</f>
        <v>0</v>
      </c>
      <c r="BV78" s="34" t="n">
        <f aca="false">BV$76-BV$77</f>
        <v>0</v>
      </c>
      <c r="BW78" s="34" t="n">
        <f aca="false">BW$76-BW$77</f>
        <v>0</v>
      </c>
      <c r="BX78" s="34" t="n">
        <f aca="false">BX$76-BX$77</f>
        <v>0</v>
      </c>
      <c r="BY78" s="34" t="n">
        <f aca="false">BY$76-BY$77</f>
        <v>0</v>
      </c>
      <c r="BZ78" s="34" t="n">
        <f aca="false">BZ$76-BZ$77</f>
        <v>0</v>
      </c>
      <c r="CA78" s="34" t="n">
        <f aca="false">CA$76-CA$77</f>
        <v>0</v>
      </c>
      <c r="CB78" s="34" t="n">
        <f aca="false">CB$76-CB$77</f>
        <v>0</v>
      </c>
      <c r="CC78" s="34" t="n">
        <f aca="false">CC$76-CC$77</f>
        <v>0</v>
      </c>
      <c r="CD78" s="34" t="n">
        <f aca="false">CD$76-CD$77</f>
        <v>0</v>
      </c>
      <c r="CE78" s="34" t="n">
        <f aca="false">CE$76-CE$77</f>
        <v>0</v>
      </c>
      <c r="CF78" s="34" t="n">
        <f aca="false">CF$76-CF$77</f>
        <v>0</v>
      </c>
      <c r="CG78" s="34" t="n">
        <f aca="false">CG$76-CG$77</f>
        <v>0</v>
      </c>
      <c r="CH78" s="34" t="n">
        <f aca="false">CH$76-CH$77</f>
        <v>0</v>
      </c>
      <c r="CI78" s="34" t="n">
        <f aca="false">CI$76-CI$77</f>
        <v>0</v>
      </c>
      <c r="CJ78" s="34" t="n">
        <f aca="false">CJ$76-CJ$77</f>
        <v>0</v>
      </c>
      <c r="CK78" s="34" t="n">
        <f aca="false">CK$76-CK$77</f>
        <v>0</v>
      </c>
      <c r="CL78" s="34" t="n">
        <f aca="false">CL$76-CL$77</f>
        <v>0</v>
      </c>
      <c r="CM78" s="34" t="n">
        <f aca="false">CM$76-CM$77</f>
        <v>0</v>
      </c>
      <c r="CN78" s="34" t="n">
        <f aca="false">CN$76-CN$77</f>
        <v>0</v>
      </c>
      <c r="CO78" s="34" t="n">
        <f aca="false">CO$76-CO$77</f>
        <v>0</v>
      </c>
      <c r="CP78" s="34" t="n">
        <f aca="false">CP$76-CP$77</f>
        <v>0</v>
      </c>
      <c r="CQ78" s="34" t="n">
        <f aca="false">CQ$76-CQ$77</f>
        <v>0</v>
      </c>
      <c r="CR78" s="34" t="n">
        <f aca="false">CR$76-CR$77</f>
        <v>0</v>
      </c>
      <c r="CS78" s="34" t="n">
        <f aca="false">CS$76-CS$77</f>
        <v>0</v>
      </c>
      <c r="CT78" s="34" t="n">
        <f aca="false">CT$76-CT$77</f>
        <v>0</v>
      </c>
      <c r="CU78" s="34" t="n">
        <f aca="false">CU$76-CU$77</f>
        <v>0</v>
      </c>
      <c r="CV78" s="34" t="n">
        <f aca="false">CV$76-CV$77</f>
        <v>0</v>
      </c>
      <c r="CW78" s="34" t="n">
        <f aca="false">CW$76-CW$77</f>
        <v>0</v>
      </c>
      <c r="CX78" s="34" t="n">
        <f aca="false">CX$76-CX$77</f>
        <v>0</v>
      </c>
      <c r="CY78" s="34" t="n">
        <f aca="false">CY$76-CY$77</f>
        <v>0</v>
      </c>
      <c r="CZ78" s="34" t="n">
        <f aca="false">CZ$76-CZ$77</f>
        <v>0</v>
      </c>
      <c r="DA78" s="34" t="n">
        <f aca="false">DA$76-DA$77</f>
        <v>0</v>
      </c>
      <c r="DB78" s="34" t="n">
        <f aca="false">DB$76-DB$77</f>
        <v>0</v>
      </c>
      <c r="DC78" s="34" t="n">
        <f aca="false">DC$76-DC$77</f>
        <v>0</v>
      </c>
      <c r="DD78" s="34" t="n">
        <f aca="false">DD$76-DD$77</f>
        <v>0</v>
      </c>
      <c r="DE78" s="34" t="n">
        <f aca="false">DE$76-DE$77</f>
        <v>0</v>
      </c>
      <c r="DF78" s="34" t="n">
        <f aca="false">DF$76-DF$77</f>
        <v>0</v>
      </c>
      <c r="DG78" s="34" t="n">
        <f aca="false">DG$76-DG$77</f>
        <v>0</v>
      </c>
      <c r="DH78" s="34" t="n">
        <f aca="false">DH$76-DH$77</f>
        <v>0</v>
      </c>
      <c r="DI78" s="34" t="n">
        <f aca="false">DI$76-DI$77</f>
        <v>0</v>
      </c>
      <c r="DJ78" s="34" t="n">
        <f aca="false">DJ$76-DJ$77</f>
        <v>0</v>
      </c>
      <c r="DK78" s="34" t="n">
        <f aca="false">DK$76-DK$77</f>
        <v>0</v>
      </c>
      <c r="DL78" s="34" t="n">
        <f aca="false">DL$76-DL$77</f>
        <v>0</v>
      </c>
      <c r="DM78" s="34" t="n">
        <f aca="false">DM$76-DM$77</f>
        <v>0</v>
      </c>
      <c r="DN78" s="34" t="n">
        <f aca="false">DN$76-DN$77</f>
        <v>0</v>
      </c>
      <c r="DO78" s="34" t="n">
        <f aca="false">DO$76-DO$77</f>
        <v>0</v>
      </c>
      <c r="DP78" s="34" t="n">
        <f aca="false">DP$76-DP$77</f>
        <v>0</v>
      </c>
      <c r="DQ78" s="34" t="n">
        <f aca="false">DQ$76-DQ$77</f>
        <v>0</v>
      </c>
      <c r="DR78" s="34" t="n">
        <f aca="false">DR$76-DR$77</f>
        <v>0</v>
      </c>
      <c r="DS78" s="34" t="n">
        <f aca="false">DS$76-DS$77</f>
        <v>0</v>
      </c>
      <c r="DT78" s="34" t="n">
        <f aca="false">DT$76-DT$77</f>
        <v>0</v>
      </c>
      <c r="DU78" s="34" t="n">
        <f aca="false">DU$76-DU$77</f>
        <v>0</v>
      </c>
      <c r="DV78" s="34" t="n">
        <f aca="false">DV$76-DV$77</f>
        <v>0</v>
      </c>
      <c r="DW78" s="34" t="n">
        <f aca="false">DW$76-DW$77</f>
        <v>0</v>
      </c>
      <c r="DX78" s="34" t="n">
        <f aca="false">DX$76-DX$77</f>
        <v>0</v>
      </c>
      <c r="DY78" s="34" t="n">
        <f aca="false">DY$76-DY$77</f>
        <v>0</v>
      </c>
      <c r="DZ78" s="34" t="n">
        <f aca="false">DZ$76-DZ$77</f>
        <v>0</v>
      </c>
      <c r="EA78" s="34" t="n">
        <f aca="false">EA$76-EA$77</f>
        <v>0</v>
      </c>
      <c r="EB78" s="34" t="n">
        <f aca="false">EB$76-EB$77</f>
        <v>0</v>
      </c>
      <c r="EC78" s="34" t="n">
        <f aca="false">EC$76-EC$77</f>
        <v>0</v>
      </c>
      <c r="ED78" s="34" t="n">
        <f aca="false">ED$76-ED$77</f>
        <v>0</v>
      </c>
      <c r="EE78" s="34" t="n">
        <f aca="false">EE$76-EE$77</f>
        <v>0</v>
      </c>
      <c r="EF78" s="34" t="n">
        <f aca="false">EF$76-EF$77</f>
        <v>0</v>
      </c>
      <c r="EG78" s="34" t="n">
        <f aca="false">EG$76-EG$77</f>
        <v>0</v>
      </c>
      <c r="EH78" s="34" t="n">
        <f aca="false">EH$76-EH$77</f>
        <v>0</v>
      </c>
      <c r="EI78" s="34" t="n">
        <f aca="false">EI$76-EI$77</f>
        <v>0</v>
      </c>
      <c r="EJ78" s="34" t="n">
        <f aca="false">EJ$76-EJ$77</f>
        <v>0</v>
      </c>
      <c r="EK78" s="34" t="n">
        <f aca="false">EK$76-EK$77</f>
        <v>0</v>
      </c>
      <c r="EL78" s="34" t="n">
        <f aca="false">EL$76-EL$77</f>
        <v>0</v>
      </c>
      <c r="EM78" s="34" t="n">
        <f aca="false">EM$76-EM$77</f>
        <v>0</v>
      </c>
      <c r="EN78" s="34" t="n">
        <f aca="false">EN$76-EN$77</f>
        <v>0</v>
      </c>
      <c r="EO78" s="34" t="n">
        <f aca="false">EO$76-EO$77</f>
        <v>0</v>
      </c>
      <c r="EP78" s="34" t="n">
        <f aca="false">EP$76-EP$77</f>
        <v>0</v>
      </c>
      <c r="EQ78" s="34" t="n">
        <f aca="false">EQ$76-EQ$77</f>
        <v>0</v>
      </c>
      <c r="ER78" s="34" t="n">
        <f aca="false">ER$76-ER$77</f>
        <v>0</v>
      </c>
      <c r="ES78" s="34" t="n">
        <f aca="false">ES$76-ES$77</f>
        <v>0</v>
      </c>
    </row>
    <row r="79" customFormat="false" ht="15" hidden="false" customHeight="false" outlineLevel="0" collapsed="false">
      <c r="A79" s="2" t="s">
        <v>520</v>
      </c>
      <c r="B79" s="6" t="s">
        <v>521</v>
      </c>
      <c r="C79" s="6" t="s">
        <v>212</v>
      </c>
      <c r="E79" s="40" t="n">
        <f aca="false">SUM(F79:ES79)</f>
        <v>0</v>
      </c>
      <c r="F79" s="34" t="n">
        <f aca="false">(F$98+F$102+F$106)*(1+P_IVAint)</f>
        <v>0</v>
      </c>
      <c r="G79" s="34" t="n">
        <f aca="false">(G$98+G$102+G$106)*(1+P_IVAint)</f>
        <v>0</v>
      </c>
      <c r="H79" s="34" t="n">
        <f aca="false">(H$98+H$102+H$106)*(1+P_IVAint)</f>
        <v>0</v>
      </c>
      <c r="I79" s="34" t="n">
        <f aca="false">(I$98+I$102+I$106)*(1+P_IVAint)</f>
        <v>0</v>
      </c>
      <c r="J79" s="34" t="n">
        <f aca="false">(J$98+J$102+J$106)*(1+P_IVAint)</f>
        <v>0</v>
      </c>
      <c r="K79" s="34" t="n">
        <f aca="false">(K$98+K$102+K$106)*(1+P_IVAint)</f>
        <v>0</v>
      </c>
      <c r="L79" s="34" t="n">
        <f aca="false">(L$98+L$102+L$106)*(1+P_IVAint)</f>
        <v>0</v>
      </c>
      <c r="M79" s="34" t="n">
        <f aca="false">(M$98+M$102+M$106)*(1+P_IVAint)</f>
        <v>0</v>
      </c>
      <c r="N79" s="34" t="n">
        <f aca="false">(N$98+N$102+N$106)*(1+P_IVAint)</f>
        <v>0</v>
      </c>
      <c r="O79" s="34" t="n">
        <f aca="false">(O$98+O$102+O$106)*(1+P_IVAint)</f>
        <v>0</v>
      </c>
      <c r="P79" s="34" t="n">
        <f aca="false">(P$98+P$102+P$106)*(1+P_IVAint)</f>
        <v>0</v>
      </c>
      <c r="Q79" s="34" t="n">
        <f aca="false">(Q$98+Q$102+Q$106)*(1+P_IVAint)</f>
        <v>0</v>
      </c>
      <c r="R79" s="34" t="n">
        <f aca="false">(R$98+R$102+R$106)*(1+P_IVAint)</f>
        <v>0</v>
      </c>
      <c r="S79" s="34" t="n">
        <f aca="false">(S$98+S$102+S$106)*(1+P_IVAint)</f>
        <v>0</v>
      </c>
      <c r="T79" s="34" t="n">
        <f aca="false">(T$98+T$102+T$106)*(1+P_IVAint)</f>
        <v>0</v>
      </c>
      <c r="U79" s="34" t="n">
        <f aca="false">(U$98+U$102+U$106)*(1+P_IVAint)</f>
        <v>0</v>
      </c>
      <c r="V79" s="34" t="n">
        <f aca="false">(V$98+V$102+V$106)*(1+P_IVAint)</f>
        <v>0</v>
      </c>
      <c r="W79" s="34" t="n">
        <f aca="false">(W$98+W$102+W$106)*(1+P_IVAint)</f>
        <v>0</v>
      </c>
      <c r="X79" s="34" t="n">
        <f aca="false">(X$98+X$102+X$106)*(1+P_IVAint)</f>
        <v>0</v>
      </c>
      <c r="Y79" s="34" t="n">
        <f aca="false">(Y$98+Y$102+Y$106)*(1+P_IVAint)</f>
        <v>0</v>
      </c>
      <c r="Z79" s="34" t="n">
        <f aca="false">(Z$98+Z$102+Z$106)*(1+P_IVAint)</f>
        <v>0</v>
      </c>
      <c r="AA79" s="34" t="n">
        <f aca="false">(AA$98+AA$102+AA$106)*(1+P_IVAint)</f>
        <v>0</v>
      </c>
      <c r="AB79" s="34" t="n">
        <f aca="false">(AB$98+AB$102+AB$106)*(1+P_IVAint)</f>
        <v>0</v>
      </c>
      <c r="AC79" s="34" t="n">
        <f aca="false">(AC$98+AC$102+AC$106)*(1+P_IVAint)</f>
        <v>0</v>
      </c>
      <c r="AD79" s="34" t="n">
        <f aca="false">(AD$98+AD$102+AD$106)*(1+P_IVAint)</f>
        <v>0</v>
      </c>
      <c r="AE79" s="34" t="n">
        <f aca="false">(AE$98+AE$102+AE$106)*(1+P_IVAint)</f>
        <v>0</v>
      </c>
      <c r="AF79" s="34" t="n">
        <f aca="false">(AF$98+AF$102+AF$106)*(1+P_IVAint)</f>
        <v>0</v>
      </c>
      <c r="AG79" s="34" t="n">
        <f aca="false">(AG$98+AG$102+AG$106)*(1+P_IVAint)</f>
        <v>0</v>
      </c>
      <c r="AH79" s="34" t="n">
        <f aca="false">(AH$98+AH$102+AH$106)*(1+P_IVAint)</f>
        <v>0</v>
      </c>
      <c r="AI79" s="34" t="n">
        <f aca="false">(AI$98+AI$102+AI$106)*(1+P_IVAint)</f>
        <v>0</v>
      </c>
      <c r="AJ79" s="34" t="n">
        <f aca="false">(AJ$98+AJ$102+AJ$106)*(1+P_IVAint)</f>
        <v>0</v>
      </c>
      <c r="AK79" s="34" t="n">
        <f aca="false">(AK$98+AK$102+AK$106)*(1+P_IVAint)</f>
        <v>0</v>
      </c>
      <c r="AL79" s="34" t="n">
        <f aca="false">(AL$98+AL$102+AL$106)*(1+P_IVAint)</f>
        <v>0</v>
      </c>
      <c r="AM79" s="34" t="n">
        <f aca="false">(AM$98+AM$102+AM$106)*(1+P_IVAint)</f>
        <v>0</v>
      </c>
      <c r="AN79" s="34" t="n">
        <f aca="false">(AN$98+AN$102+AN$106)*(1+P_IVAint)</f>
        <v>0</v>
      </c>
      <c r="AO79" s="34" t="n">
        <f aca="false">(AO$98+AO$102+AO$106)*(1+P_IVAint)</f>
        <v>0</v>
      </c>
      <c r="AP79" s="34" t="n">
        <f aca="false">(AP$98+AP$102+AP$106)*(1+P_IVAint)</f>
        <v>0</v>
      </c>
      <c r="AQ79" s="34" t="n">
        <f aca="false">(AQ$98+AQ$102+AQ$106)*(1+P_IVAint)</f>
        <v>0</v>
      </c>
      <c r="AR79" s="34" t="n">
        <f aca="false">(AR$98+AR$102+AR$106)*(1+P_IVAint)</f>
        <v>0</v>
      </c>
      <c r="AS79" s="34" t="n">
        <f aca="false">(AS$98+AS$102+AS$106)*(1+P_IVAint)</f>
        <v>0</v>
      </c>
      <c r="AT79" s="34" t="n">
        <f aca="false">(AT$98+AT$102+AT$106)*(1+P_IVAint)</f>
        <v>0</v>
      </c>
      <c r="AU79" s="34" t="n">
        <f aca="false">(AU$98+AU$102+AU$106)*(1+P_IVAint)</f>
        <v>0</v>
      </c>
      <c r="AV79" s="34" t="n">
        <f aca="false">(AV$98+AV$102+AV$106)*(1+P_IVAint)</f>
        <v>0</v>
      </c>
      <c r="AW79" s="34" t="n">
        <f aca="false">(AW$98+AW$102+AW$106)*(1+P_IVAint)</f>
        <v>0</v>
      </c>
      <c r="AX79" s="34" t="n">
        <f aca="false">(AX$98+AX$102+AX$106)*(1+P_IVAint)</f>
        <v>0</v>
      </c>
      <c r="AY79" s="34" t="n">
        <f aca="false">(AY$98+AY$102+AY$106)*(1+P_IVAint)</f>
        <v>0</v>
      </c>
      <c r="AZ79" s="34" t="n">
        <f aca="false">(AZ$98+AZ$102+AZ$106)*(1+P_IVAint)</f>
        <v>0</v>
      </c>
      <c r="BA79" s="34" t="n">
        <f aca="false">(BA$98+BA$102+BA$106)*(1+P_IVAint)</f>
        <v>0</v>
      </c>
      <c r="BB79" s="34" t="n">
        <f aca="false">(BB$98+BB$102+BB$106)*(1+P_IVAint)</f>
        <v>0</v>
      </c>
      <c r="BC79" s="34" t="n">
        <f aca="false">(BC$98+BC$102+BC$106)*(1+P_IVAint)</f>
        <v>0</v>
      </c>
      <c r="BD79" s="34" t="n">
        <f aca="false">(BD$98+BD$102+BD$106)*(1+P_IVAint)</f>
        <v>0</v>
      </c>
      <c r="BE79" s="34" t="n">
        <f aca="false">(BE$98+BE$102+BE$106)*(1+P_IVAint)</f>
        <v>0</v>
      </c>
      <c r="BF79" s="34" t="n">
        <f aca="false">(BF$98+BF$102+BF$106)*(1+P_IVAint)</f>
        <v>0</v>
      </c>
      <c r="BG79" s="34" t="n">
        <f aca="false">(BG$98+BG$102+BG$106)*(1+P_IVAint)</f>
        <v>0</v>
      </c>
      <c r="BH79" s="34" t="n">
        <f aca="false">(BH$98+BH$102+BH$106)*(1+P_IVAint)</f>
        <v>0</v>
      </c>
      <c r="BI79" s="34" t="n">
        <f aca="false">(BI$98+BI$102+BI$106)*(1+P_IVAint)</f>
        <v>0</v>
      </c>
      <c r="BJ79" s="34" t="n">
        <f aca="false">(BJ$98+BJ$102+BJ$106)*(1+P_IVAint)</f>
        <v>0</v>
      </c>
      <c r="BK79" s="34" t="n">
        <f aca="false">(BK$98+BK$102+BK$106)*(1+P_IVAint)</f>
        <v>0</v>
      </c>
      <c r="BL79" s="34" t="n">
        <f aca="false">(BL$98+BL$102+BL$106)*(1+P_IVAint)</f>
        <v>0</v>
      </c>
      <c r="BM79" s="34" t="n">
        <f aca="false">(BM$98+BM$102+BM$106)*(1+P_IVAint)</f>
        <v>0</v>
      </c>
      <c r="BN79" s="34" t="n">
        <f aca="false">(BN$98+BN$102+BN$106)*(1+P_IVAint)</f>
        <v>0</v>
      </c>
      <c r="BO79" s="34" t="n">
        <f aca="false">(BO$98+BO$102+BO$106)*(1+P_IVAint)</f>
        <v>0</v>
      </c>
      <c r="BP79" s="34" t="n">
        <f aca="false">(BP$98+BP$102+BP$106)*(1+P_IVAint)</f>
        <v>0</v>
      </c>
      <c r="BQ79" s="34" t="n">
        <f aca="false">(BQ$98+BQ$102+BQ$106)*(1+P_IVAint)</f>
        <v>0</v>
      </c>
      <c r="BR79" s="34" t="n">
        <f aca="false">(BR$98+BR$102+BR$106)*(1+P_IVAint)</f>
        <v>0</v>
      </c>
      <c r="BS79" s="34" t="n">
        <f aca="false">(BS$98+BS$102+BS$106)*(1+P_IVAint)</f>
        <v>0</v>
      </c>
      <c r="BT79" s="34" t="n">
        <f aca="false">(BT$98+BT$102+BT$106)*(1+P_IVAint)</f>
        <v>0</v>
      </c>
      <c r="BU79" s="34" t="n">
        <f aca="false">(BU$98+BU$102+BU$106)*(1+P_IVAint)</f>
        <v>0</v>
      </c>
      <c r="BV79" s="34" t="n">
        <f aca="false">(BV$98+BV$102+BV$106)*(1+P_IVAint)</f>
        <v>0</v>
      </c>
      <c r="BW79" s="34" t="n">
        <f aca="false">(BW$98+BW$102+BW$106)*(1+P_IVAint)</f>
        <v>0</v>
      </c>
      <c r="BX79" s="34" t="n">
        <f aca="false">(BX$98+BX$102+BX$106)*(1+P_IVAint)</f>
        <v>0</v>
      </c>
      <c r="BY79" s="34" t="n">
        <f aca="false">(BY$98+BY$102+BY$106)*(1+P_IVAint)</f>
        <v>0</v>
      </c>
      <c r="BZ79" s="34" t="n">
        <f aca="false">(BZ$98+BZ$102+BZ$106)*(1+P_IVAint)</f>
        <v>0</v>
      </c>
      <c r="CA79" s="34" t="n">
        <f aca="false">(CA$98+CA$102+CA$106)*(1+P_IVAint)</f>
        <v>0</v>
      </c>
      <c r="CB79" s="34" t="n">
        <f aca="false">(CB$98+CB$102+CB$106)*(1+P_IVAint)</f>
        <v>0</v>
      </c>
      <c r="CC79" s="34" t="n">
        <f aca="false">(CC$98+CC$102+CC$106)*(1+P_IVAint)</f>
        <v>0</v>
      </c>
      <c r="CD79" s="34" t="n">
        <f aca="false">(CD$98+CD$102+CD$106)*(1+P_IVAint)</f>
        <v>0</v>
      </c>
      <c r="CE79" s="34" t="n">
        <f aca="false">(CE$98+CE$102+CE$106)*(1+P_IVAint)</f>
        <v>0</v>
      </c>
      <c r="CF79" s="34" t="n">
        <f aca="false">(CF$98+CF$102+CF$106)*(1+P_IVAint)</f>
        <v>0</v>
      </c>
      <c r="CG79" s="34" t="n">
        <f aca="false">(CG$98+CG$102+CG$106)*(1+P_IVAint)</f>
        <v>0</v>
      </c>
      <c r="CH79" s="34" t="n">
        <f aca="false">(CH$98+CH$102+CH$106)*(1+P_IVAint)</f>
        <v>0</v>
      </c>
      <c r="CI79" s="34" t="n">
        <f aca="false">(CI$98+CI$102+CI$106)*(1+P_IVAint)</f>
        <v>0</v>
      </c>
      <c r="CJ79" s="34" t="n">
        <f aca="false">(CJ$98+CJ$102+CJ$106)*(1+P_IVAint)</f>
        <v>0</v>
      </c>
      <c r="CK79" s="34" t="n">
        <f aca="false">(CK$98+CK$102+CK$106)*(1+P_IVAint)</f>
        <v>0</v>
      </c>
      <c r="CL79" s="34" t="n">
        <f aca="false">(CL$98+CL$102+CL$106)*(1+P_IVAint)</f>
        <v>0</v>
      </c>
      <c r="CM79" s="34" t="n">
        <f aca="false">(CM$98+CM$102+CM$106)*(1+P_IVAint)</f>
        <v>0</v>
      </c>
      <c r="CN79" s="34" t="n">
        <f aca="false">(CN$98+CN$102+CN$106)*(1+P_IVAint)</f>
        <v>0</v>
      </c>
      <c r="CO79" s="34" t="n">
        <f aca="false">(CO$98+CO$102+CO$106)*(1+P_IVAint)</f>
        <v>0</v>
      </c>
      <c r="CP79" s="34" t="n">
        <f aca="false">(CP$98+CP$102+CP$106)*(1+P_IVAint)</f>
        <v>0</v>
      </c>
      <c r="CQ79" s="34" t="n">
        <f aca="false">(CQ$98+CQ$102+CQ$106)*(1+P_IVAint)</f>
        <v>0</v>
      </c>
      <c r="CR79" s="34" t="n">
        <f aca="false">(CR$98+CR$102+CR$106)*(1+P_IVAint)</f>
        <v>0</v>
      </c>
      <c r="CS79" s="34" t="n">
        <f aca="false">(CS$98+CS$102+CS$106)*(1+P_IVAint)</f>
        <v>0</v>
      </c>
      <c r="CT79" s="34" t="n">
        <f aca="false">(CT$98+CT$102+CT$106)*(1+P_IVAint)</f>
        <v>0</v>
      </c>
      <c r="CU79" s="34" t="n">
        <f aca="false">(CU$98+CU$102+CU$106)*(1+P_IVAint)</f>
        <v>0</v>
      </c>
      <c r="CV79" s="34" t="n">
        <f aca="false">(CV$98+CV$102+CV$106)*(1+P_IVAint)</f>
        <v>0</v>
      </c>
      <c r="CW79" s="34" t="n">
        <f aca="false">(CW$98+CW$102+CW$106)*(1+P_IVAint)</f>
        <v>0</v>
      </c>
      <c r="CX79" s="34" t="n">
        <f aca="false">(CX$98+CX$102+CX$106)*(1+P_IVAint)</f>
        <v>0</v>
      </c>
      <c r="CY79" s="34" t="n">
        <f aca="false">(CY$98+CY$102+CY$106)*(1+P_IVAint)</f>
        <v>0</v>
      </c>
      <c r="CZ79" s="34" t="n">
        <f aca="false">(CZ$98+CZ$102+CZ$106)*(1+P_IVAint)</f>
        <v>0</v>
      </c>
      <c r="DA79" s="34" t="n">
        <f aca="false">(DA$98+DA$102+DA$106)*(1+P_IVAint)</f>
        <v>0</v>
      </c>
      <c r="DB79" s="34" t="n">
        <f aca="false">(DB$98+DB$102+DB$106)*(1+P_IVAint)</f>
        <v>0</v>
      </c>
      <c r="DC79" s="34" t="n">
        <f aca="false">(DC$98+DC$102+DC$106)*(1+P_IVAint)</f>
        <v>0</v>
      </c>
      <c r="DD79" s="34" t="n">
        <f aca="false">(DD$98+DD$102+DD$106)*(1+P_IVAint)</f>
        <v>0</v>
      </c>
      <c r="DE79" s="34" t="n">
        <f aca="false">(DE$98+DE$102+DE$106)*(1+P_IVAint)</f>
        <v>0</v>
      </c>
      <c r="DF79" s="34" t="n">
        <f aca="false">(DF$98+DF$102+DF$106)*(1+P_IVAint)</f>
        <v>0</v>
      </c>
      <c r="DG79" s="34" t="n">
        <f aca="false">(DG$98+DG$102+DG$106)*(1+P_IVAint)</f>
        <v>0</v>
      </c>
      <c r="DH79" s="34" t="n">
        <f aca="false">(DH$98+DH$102+DH$106)*(1+P_IVAint)</f>
        <v>0</v>
      </c>
      <c r="DI79" s="34" t="n">
        <f aca="false">(DI$98+DI$102+DI$106)*(1+P_IVAint)</f>
        <v>0</v>
      </c>
      <c r="DJ79" s="34" t="n">
        <f aca="false">(DJ$98+DJ$102+DJ$106)*(1+P_IVAint)</f>
        <v>0</v>
      </c>
      <c r="DK79" s="34" t="n">
        <f aca="false">(DK$98+DK$102+DK$106)*(1+P_IVAint)</f>
        <v>0</v>
      </c>
      <c r="DL79" s="34" t="n">
        <f aca="false">(DL$98+DL$102+DL$106)*(1+P_IVAint)</f>
        <v>0</v>
      </c>
      <c r="DM79" s="34" t="n">
        <f aca="false">(DM$98+DM$102+DM$106)*(1+P_IVAint)</f>
        <v>0</v>
      </c>
      <c r="DN79" s="34" t="n">
        <f aca="false">(DN$98+DN$102+DN$106)*(1+P_IVAint)</f>
        <v>0</v>
      </c>
      <c r="DO79" s="34" t="n">
        <f aca="false">(DO$98+DO$102+DO$106)*(1+P_IVAint)</f>
        <v>0</v>
      </c>
      <c r="DP79" s="34" t="n">
        <f aca="false">(DP$98+DP$102+DP$106)*(1+P_IVAint)</f>
        <v>0</v>
      </c>
      <c r="DQ79" s="34" t="n">
        <f aca="false">(DQ$98+DQ$102+DQ$106)*(1+P_IVAint)</f>
        <v>0</v>
      </c>
      <c r="DR79" s="34" t="n">
        <f aca="false">(DR$98+DR$102+DR$106)*(1+P_IVAint)</f>
        <v>0</v>
      </c>
      <c r="DS79" s="34" t="n">
        <f aca="false">(DS$98+DS$102+DS$106)*(1+P_IVAint)</f>
        <v>0</v>
      </c>
      <c r="DT79" s="34" t="n">
        <f aca="false">(DT$98+DT$102+DT$106)*(1+P_IVAint)</f>
        <v>0</v>
      </c>
      <c r="DU79" s="34" t="n">
        <f aca="false">(DU$98+DU$102+DU$106)*(1+P_IVAint)</f>
        <v>0</v>
      </c>
      <c r="DV79" s="34" t="n">
        <f aca="false">(DV$98+DV$102+DV$106)*(1+P_IVAint)</f>
        <v>0</v>
      </c>
      <c r="DW79" s="34" t="n">
        <f aca="false">(DW$98+DW$102+DW$106)*(1+P_IVAint)</f>
        <v>0</v>
      </c>
      <c r="DX79" s="34" t="n">
        <f aca="false">(DX$98+DX$102+DX$106)*(1+P_IVAint)</f>
        <v>0</v>
      </c>
      <c r="DY79" s="34" t="n">
        <f aca="false">(DY$98+DY$102+DY$106)*(1+P_IVAint)</f>
        <v>0</v>
      </c>
      <c r="DZ79" s="34" t="n">
        <f aca="false">(DZ$98+DZ$102+DZ$106)*(1+P_IVAint)</f>
        <v>0</v>
      </c>
      <c r="EA79" s="34" t="n">
        <f aca="false">(EA$98+EA$102+EA$106)*(1+P_IVAint)</f>
        <v>0</v>
      </c>
      <c r="EB79" s="34" t="n">
        <f aca="false">(EB$98+EB$102+EB$106)*(1+P_IVAint)</f>
        <v>0</v>
      </c>
      <c r="EC79" s="34" t="n">
        <f aca="false">(EC$98+EC$102+EC$106)*(1+P_IVAint)</f>
        <v>0</v>
      </c>
      <c r="ED79" s="34" t="n">
        <f aca="false">(ED$98+ED$102+ED$106)*(1+P_IVAint)</f>
        <v>0</v>
      </c>
      <c r="EE79" s="34" t="n">
        <f aca="false">(EE$98+EE$102+EE$106)*(1+P_IVAint)</f>
        <v>0</v>
      </c>
      <c r="EF79" s="34" t="n">
        <f aca="false">(EF$98+EF$102+EF$106)*(1+P_IVAint)</f>
        <v>0</v>
      </c>
      <c r="EG79" s="34" t="n">
        <f aca="false">(EG$98+EG$102+EG$106)*(1+P_IVAint)</f>
        <v>0</v>
      </c>
      <c r="EH79" s="34" t="n">
        <f aca="false">(EH$98+EH$102+EH$106)*(1+P_IVAint)</f>
        <v>0</v>
      </c>
      <c r="EI79" s="34" t="n">
        <f aca="false">(EI$98+EI$102+EI$106)*(1+P_IVAint)</f>
        <v>0</v>
      </c>
      <c r="EJ79" s="34" t="n">
        <f aca="false">(EJ$98+EJ$102+EJ$106)*(1+P_IVAint)</f>
        <v>0</v>
      </c>
      <c r="EK79" s="34" t="n">
        <f aca="false">(EK$98+EK$102+EK$106)*(1+P_IVAint)</f>
        <v>0</v>
      </c>
      <c r="EL79" s="34" t="n">
        <f aca="false">(EL$98+EL$102+EL$106)*(1+P_IVAint)</f>
        <v>0</v>
      </c>
      <c r="EM79" s="34" t="n">
        <f aca="false">(EM$98+EM$102+EM$106)*(1+P_IVAint)</f>
        <v>0</v>
      </c>
      <c r="EN79" s="34" t="n">
        <f aca="false">(EN$98+EN$102+EN$106)*(1+P_IVAint)</f>
        <v>0</v>
      </c>
      <c r="EO79" s="34" t="n">
        <f aca="false">(EO$98+EO$102+EO$106)*(1+P_IVAint)</f>
        <v>0</v>
      </c>
      <c r="EP79" s="34" t="n">
        <f aca="false">(EP$98+EP$102+EP$106)*(1+P_IVAint)</f>
        <v>0</v>
      </c>
      <c r="EQ79" s="34" t="n">
        <f aca="false">(EQ$98+EQ$102+EQ$106)*(1+P_IVAint)</f>
        <v>0</v>
      </c>
      <c r="ER79" s="34" t="n">
        <f aca="false">(ER$98+ER$102+ER$106)*(1+P_IVAint)</f>
        <v>0</v>
      </c>
      <c r="ES79" s="34" t="n">
        <f aca="false">(ES$98+ES$102+ES$106)*(1+P_IVAint)</f>
        <v>0</v>
      </c>
    </row>
    <row r="80" customFormat="false" ht="15" hidden="false" customHeight="false" outlineLevel="0" collapsed="false">
      <c r="A80" s="2" t="s">
        <v>522</v>
      </c>
      <c r="B80" s="6" t="s">
        <v>523</v>
      </c>
      <c r="C80" s="6" t="s">
        <v>212</v>
      </c>
      <c r="E80" s="40" t="n">
        <f aca="false">SUM(F80:ES80)</f>
        <v>0</v>
      </c>
      <c r="F80" s="34" t="n">
        <f aca="false">P_IRE*(F$78-F$79)</f>
        <v>0</v>
      </c>
      <c r="G80" s="34" t="n">
        <f aca="false">P_IRE*(G$78-G$79)</f>
        <v>0</v>
      </c>
      <c r="H80" s="34" t="n">
        <f aca="false">P_IRE*(H$78-H$79)</f>
        <v>0</v>
      </c>
      <c r="I80" s="34" t="n">
        <f aca="false">P_IRE*(I$78-I$79)</f>
        <v>0</v>
      </c>
      <c r="J80" s="34" t="n">
        <f aca="false">P_IRE*(J$78-J$79)</f>
        <v>0</v>
      </c>
      <c r="K80" s="34" t="n">
        <f aca="false">P_IRE*(K$78-K$79)</f>
        <v>0</v>
      </c>
      <c r="L80" s="34" t="n">
        <f aca="false">P_IRE*(L$78-L$79)</f>
        <v>0</v>
      </c>
      <c r="M80" s="34" t="n">
        <f aca="false">P_IRE*(M$78-M$79)</f>
        <v>0</v>
      </c>
      <c r="N80" s="34" t="n">
        <f aca="false">P_IRE*(N$78-N$79)</f>
        <v>0</v>
      </c>
      <c r="O80" s="34" t="n">
        <f aca="false">P_IRE*(O$78-O$79)</f>
        <v>0</v>
      </c>
      <c r="P80" s="34" t="n">
        <f aca="false">P_IRE*(P$78-P$79)</f>
        <v>0</v>
      </c>
      <c r="Q80" s="34" t="n">
        <f aca="false">P_IRE*(Q$78-Q$79)</f>
        <v>0</v>
      </c>
      <c r="R80" s="34" t="n">
        <f aca="false">P_IRE*(R$78-R$79)</f>
        <v>0</v>
      </c>
      <c r="S80" s="34" t="n">
        <f aca="false">P_IRE*(S$78-S$79)</f>
        <v>0</v>
      </c>
      <c r="T80" s="34" t="n">
        <f aca="false">P_IRE*(T$78-T$79)</f>
        <v>0</v>
      </c>
      <c r="U80" s="34" t="n">
        <f aca="false">P_IRE*(U$78-U$79)</f>
        <v>0</v>
      </c>
      <c r="V80" s="34" t="n">
        <f aca="false">P_IRE*(V$78-V$79)</f>
        <v>0</v>
      </c>
      <c r="W80" s="34" t="n">
        <f aca="false">P_IRE*(W$78-W$79)</f>
        <v>0</v>
      </c>
      <c r="X80" s="34" t="n">
        <f aca="false">P_IRE*(X$78-X$79)</f>
        <v>0</v>
      </c>
      <c r="Y80" s="34" t="n">
        <f aca="false">P_IRE*(Y$78-Y$79)</f>
        <v>0</v>
      </c>
      <c r="Z80" s="34" t="n">
        <f aca="false">P_IRE*(Z$78-Z$79)</f>
        <v>0</v>
      </c>
      <c r="AA80" s="34" t="n">
        <f aca="false">P_IRE*(AA$78-AA$79)</f>
        <v>0</v>
      </c>
      <c r="AB80" s="34" t="n">
        <f aca="false">P_IRE*(AB$78-AB$79)</f>
        <v>0</v>
      </c>
      <c r="AC80" s="34" t="n">
        <f aca="false">P_IRE*(AC$78-AC$79)</f>
        <v>0</v>
      </c>
      <c r="AD80" s="34" t="n">
        <f aca="false">P_IRE*(AD$78-AD$79)</f>
        <v>0</v>
      </c>
      <c r="AE80" s="34" t="n">
        <f aca="false">P_IRE*(AE$78-AE$79)</f>
        <v>0</v>
      </c>
      <c r="AF80" s="34" t="n">
        <f aca="false">P_IRE*(AF$78-AF$79)</f>
        <v>0</v>
      </c>
      <c r="AG80" s="34" t="n">
        <f aca="false">P_IRE*(AG$78-AG$79)</f>
        <v>0</v>
      </c>
      <c r="AH80" s="34" t="n">
        <f aca="false">P_IRE*(AH$78-AH$79)</f>
        <v>0</v>
      </c>
      <c r="AI80" s="34" t="n">
        <f aca="false">P_IRE*(AI$78-AI$79)</f>
        <v>0</v>
      </c>
      <c r="AJ80" s="34" t="n">
        <f aca="false">P_IRE*(AJ$78-AJ$79)</f>
        <v>0</v>
      </c>
      <c r="AK80" s="34" t="n">
        <f aca="false">P_IRE*(AK$78-AK$79)</f>
        <v>0</v>
      </c>
      <c r="AL80" s="34" t="n">
        <f aca="false">P_IRE*(AL$78-AL$79)</f>
        <v>0</v>
      </c>
      <c r="AM80" s="34" t="n">
        <f aca="false">P_IRE*(AM$78-AM$79)</f>
        <v>0</v>
      </c>
      <c r="AN80" s="34" t="n">
        <f aca="false">P_IRE*(AN$78-AN$79)</f>
        <v>0</v>
      </c>
      <c r="AO80" s="34" t="n">
        <f aca="false">P_IRE*(AO$78-AO$79)</f>
        <v>0</v>
      </c>
      <c r="AP80" s="34" t="n">
        <f aca="false">P_IRE*(AP$78-AP$79)</f>
        <v>0</v>
      </c>
      <c r="AQ80" s="34" t="n">
        <f aca="false">P_IRE*(AQ$78-AQ$79)</f>
        <v>0</v>
      </c>
      <c r="AR80" s="34" t="n">
        <f aca="false">P_IRE*(AR$78-AR$79)</f>
        <v>0</v>
      </c>
      <c r="AS80" s="34" t="n">
        <f aca="false">P_IRE*(AS$78-AS$79)</f>
        <v>0</v>
      </c>
      <c r="AT80" s="34" t="n">
        <f aca="false">P_IRE*(AT$78-AT$79)</f>
        <v>0</v>
      </c>
      <c r="AU80" s="34" t="n">
        <f aca="false">P_IRE*(AU$78-AU$79)</f>
        <v>0</v>
      </c>
      <c r="AV80" s="34" t="n">
        <f aca="false">P_IRE*(AV$78-AV$79)</f>
        <v>0</v>
      </c>
      <c r="AW80" s="34" t="n">
        <f aca="false">P_IRE*(AW$78-AW$79)</f>
        <v>0</v>
      </c>
      <c r="AX80" s="34" t="n">
        <f aca="false">P_IRE*(AX$78-AX$79)</f>
        <v>0</v>
      </c>
      <c r="AY80" s="34" t="n">
        <f aca="false">P_IRE*(AY$78-AY$79)</f>
        <v>0</v>
      </c>
      <c r="AZ80" s="34" t="n">
        <f aca="false">P_IRE*(AZ$78-AZ$79)</f>
        <v>0</v>
      </c>
      <c r="BA80" s="34" t="n">
        <f aca="false">P_IRE*(BA$78-BA$79)</f>
        <v>0</v>
      </c>
      <c r="BB80" s="34" t="n">
        <f aca="false">P_IRE*(BB$78-BB$79)</f>
        <v>0</v>
      </c>
      <c r="BC80" s="34" t="n">
        <f aca="false">P_IRE*(BC$78-BC$79)</f>
        <v>0</v>
      </c>
      <c r="BD80" s="34" t="n">
        <f aca="false">P_IRE*(BD$78-BD$79)</f>
        <v>0</v>
      </c>
      <c r="BE80" s="34" t="n">
        <f aca="false">P_IRE*(BE$78-BE$79)</f>
        <v>0</v>
      </c>
      <c r="BF80" s="34" t="n">
        <f aca="false">P_IRE*(BF$78-BF$79)</f>
        <v>0</v>
      </c>
      <c r="BG80" s="34" t="n">
        <f aca="false">P_IRE*(BG$78-BG$79)</f>
        <v>0</v>
      </c>
      <c r="BH80" s="34" t="n">
        <f aca="false">P_IRE*(BH$78-BH$79)</f>
        <v>0</v>
      </c>
      <c r="BI80" s="34" t="n">
        <f aca="false">P_IRE*(BI$78-BI$79)</f>
        <v>0</v>
      </c>
      <c r="BJ80" s="34" t="n">
        <f aca="false">P_IRE*(BJ$78-BJ$79)</f>
        <v>0</v>
      </c>
      <c r="BK80" s="34" t="n">
        <f aca="false">P_IRE*(BK$78-BK$79)</f>
        <v>0</v>
      </c>
      <c r="BL80" s="34" t="n">
        <f aca="false">P_IRE*(BL$78-BL$79)</f>
        <v>0</v>
      </c>
      <c r="BM80" s="34" t="n">
        <f aca="false">P_IRE*(BM$78-BM$79)</f>
        <v>0</v>
      </c>
      <c r="BN80" s="34" t="n">
        <f aca="false">P_IRE*(BN$78-BN$79)</f>
        <v>0</v>
      </c>
      <c r="BO80" s="34" t="n">
        <f aca="false">P_IRE*(BO$78-BO$79)</f>
        <v>0</v>
      </c>
      <c r="BP80" s="34" t="n">
        <f aca="false">P_IRE*(BP$78-BP$79)</f>
        <v>0</v>
      </c>
      <c r="BQ80" s="34" t="n">
        <f aca="false">P_IRE*(BQ$78-BQ$79)</f>
        <v>0</v>
      </c>
      <c r="BR80" s="34" t="n">
        <f aca="false">P_IRE*(BR$78-BR$79)</f>
        <v>0</v>
      </c>
      <c r="BS80" s="34" t="n">
        <f aca="false">P_IRE*(BS$78-BS$79)</f>
        <v>0</v>
      </c>
      <c r="BT80" s="34" t="n">
        <f aca="false">P_IRE*(BT$78-BT$79)</f>
        <v>0</v>
      </c>
      <c r="BU80" s="34" t="n">
        <f aca="false">P_IRE*(BU$78-BU$79)</f>
        <v>0</v>
      </c>
      <c r="BV80" s="34" t="n">
        <f aca="false">P_IRE*(BV$78-BV$79)</f>
        <v>0</v>
      </c>
      <c r="BW80" s="34" t="n">
        <f aca="false">P_IRE*(BW$78-BW$79)</f>
        <v>0</v>
      </c>
      <c r="BX80" s="34" t="n">
        <f aca="false">P_IRE*(BX$78-BX$79)</f>
        <v>0</v>
      </c>
      <c r="BY80" s="34" t="n">
        <f aca="false">P_IRE*(BY$78-BY$79)</f>
        <v>0</v>
      </c>
      <c r="BZ80" s="34" t="n">
        <f aca="false">P_IRE*(BZ$78-BZ$79)</f>
        <v>0</v>
      </c>
      <c r="CA80" s="34" t="n">
        <f aca="false">P_IRE*(CA$78-CA$79)</f>
        <v>0</v>
      </c>
      <c r="CB80" s="34" t="n">
        <f aca="false">P_IRE*(CB$78-CB$79)</f>
        <v>0</v>
      </c>
      <c r="CC80" s="34" t="n">
        <f aca="false">P_IRE*(CC$78-CC$79)</f>
        <v>0</v>
      </c>
      <c r="CD80" s="34" t="n">
        <f aca="false">P_IRE*(CD$78-CD$79)</f>
        <v>0</v>
      </c>
      <c r="CE80" s="34" t="n">
        <f aca="false">P_IRE*(CE$78-CE$79)</f>
        <v>0</v>
      </c>
      <c r="CF80" s="34" t="n">
        <f aca="false">P_IRE*(CF$78-CF$79)</f>
        <v>0</v>
      </c>
      <c r="CG80" s="34" t="n">
        <f aca="false">P_IRE*(CG$78-CG$79)</f>
        <v>0</v>
      </c>
      <c r="CH80" s="34" t="n">
        <f aca="false">P_IRE*(CH$78-CH$79)</f>
        <v>0</v>
      </c>
      <c r="CI80" s="34" t="n">
        <f aca="false">P_IRE*(CI$78-CI$79)</f>
        <v>0</v>
      </c>
      <c r="CJ80" s="34" t="n">
        <f aca="false">P_IRE*(CJ$78-CJ$79)</f>
        <v>0</v>
      </c>
      <c r="CK80" s="34" t="n">
        <f aca="false">P_IRE*(CK$78-CK$79)</f>
        <v>0</v>
      </c>
      <c r="CL80" s="34" t="n">
        <f aca="false">P_IRE*(CL$78-CL$79)</f>
        <v>0</v>
      </c>
      <c r="CM80" s="34" t="n">
        <f aca="false">P_IRE*(CM$78-CM$79)</f>
        <v>0</v>
      </c>
      <c r="CN80" s="34" t="n">
        <f aca="false">P_IRE*(CN$78-CN$79)</f>
        <v>0</v>
      </c>
      <c r="CO80" s="34" t="n">
        <f aca="false">P_IRE*(CO$78-CO$79)</f>
        <v>0</v>
      </c>
      <c r="CP80" s="34" t="n">
        <f aca="false">P_IRE*(CP$78-CP$79)</f>
        <v>0</v>
      </c>
      <c r="CQ80" s="34" t="n">
        <f aca="false">P_IRE*(CQ$78-CQ$79)</f>
        <v>0</v>
      </c>
      <c r="CR80" s="34" t="n">
        <f aca="false">P_IRE*(CR$78-CR$79)</f>
        <v>0</v>
      </c>
      <c r="CS80" s="34" t="n">
        <f aca="false">P_IRE*(CS$78-CS$79)</f>
        <v>0</v>
      </c>
      <c r="CT80" s="34" t="n">
        <f aca="false">P_IRE*(CT$78-CT$79)</f>
        <v>0</v>
      </c>
      <c r="CU80" s="34" t="n">
        <f aca="false">P_IRE*(CU$78-CU$79)</f>
        <v>0</v>
      </c>
      <c r="CV80" s="34" t="n">
        <f aca="false">P_IRE*(CV$78-CV$79)</f>
        <v>0</v>
      </c>
      <c r="CW80" s="34" t="n">
        <f aca="false">P_IRE*(CW$78-CW$79)</f>
        <v>0</v>
      </c>
      <c r="CX80" s="34" t="n">
        <f aca="false">P_IRE*(CX$78-CX$79)</f>
        <v>0</v>
      </c>
      <c r="CY80" s="34" t="n">
        <f aca="false">P_IRE*(CY$78-CY$79)</f>
        <v>0</v>
      </c>
      <c r="CZ80" s="34" t="n">
        <f aca="false">P_IRE*(CZ$78-CZ$79)</f>
        <v>0</v>
      </c>
      <c r="DA80" s="34" t="n">
        <f aca="false">P_IRE*(DA$78-DA$79)</f>
        <v>0</v>
      </c>
      <c r="DB80" s="34" t="n">
        <f aca="false">P_IRE*(DB$78-DB$79)</f>
        <v>0</v>
      </c>
      <c r="DC80" s="34" t="n">
        <f aca="false">P_IRE*(DC$78-DC$79)</f>
        <v>0</v>
      </c>
      <c r="DD80" s="34" t="n">
        <f aca="false">P_IRE*(DD$78-DD$79)</f>
        <v>0</v>
      </c>
      <c r="DE80" s="34" t="n">
        <f aca="false">P_IRE*(DE$78-DE$79)</f>
        <v>0</v>
      </c>
      <c r="DF80" s="34" t="n">
        <f aca="false">P_IRE*(DF$78-DF$79)</f>
        <v>0</v>
      </c>
      <c r="DG80" s="34" t="n">
        <f aca="false">P_IRE*(DG$78-DG$79)</f>
        <v>0</v>
      </c>
      <c r="DH80" s="34" t="n">
        <f aca="false">P_IRE*(DH$78-DH$79)</f>
        <v>0</v>
      </c>
      <c r="DI80" s="34" t="n">
        <f aca="false">P_IRE*(DI$78-DI$79)</f>
        <v>0</v>
      </c>
      <c r="DJ80" s="34" t="n">
        <f aca="false">P_IRE*(DJ$78-DJ$79)</f>
        <v>0</v>
      </c>
      <c r="DK80" s="34" t="n">
        <f aca="false">P_IRE*(DK$78-DK$79)</f>
        <v>0</v>
      </c>
      <c r="DL80" s="34" t="n">
        <f aca="false">P_IRE*(DL$78-DL$79)</f>
        <v>0</v>
      </c>
      <c r="DM80" s="34" t="n">
        <f aca="false">P_IRE*(DM$78-DM$79)</f>
        <v>0</v>
      </c>
      <c r="DN80" s="34" t="n">
        <f aca="false">P_IRE*(DN$78-DN$79)</f>
        <v>0</v>
      </c>
      <c r="DO80" s="34" t="n">
        <f aca="false">P_IRE*(DO$78-DO$79)</f>
        <v>0</v>
      </c>
      <c r="DP80" s="34" t="n">
        <f aca="false">P_IRE*(DP$78-DP$79)</f>
        <v>0</v>
      </c>
      <c r="DQ80" s="34" t="n">
        <f aca="false">P_IRE*(DQ$78-DQ$79)</f>
        <v>0</v>
      </c>
      <c r="DR80" s="34" t="n">
        <f aca="false">P_IRE*(DR$78-DR$79)</f>
        <v>0</v>
      </c>
      <c r="DS80" s="34" t="n">
        <f aca="false">P_IRE*(DS$78-DS$79)</f>
        <v>0</v>
      </c>
      <c r="DT80" s="34" t="n">
        <f aca="false">P_IRE*(DT$78-DT$79)</f>
        <v>0</v>
      </c>
      <c r="DU80" s="34" t="n">
        <f aca="false">P_IRE*(DU$78-DU$79)</f>
        <v>0</v>
      </c>
      <c r="DV80" s="34" t="n">
        <f aca="false">P_IRE*(DV$78-DV$79)</f>
        <v>0</v>
      </c>
      <c r="DW80" s="34" t="n">
        <f aca="false">P_IRE*(DW$78-DW$79)</f>
        <v>0</v>
      </c>
      <c r="DX80" s="34" t="n">
        <f aca="false">P_IRE*(DX$78-DX$79)</f>
        <v>0</v>
      </c>
      <c r="DY80" s="34" t="n">
        <f aca="false">P_IRE*(DY$78-DY$79)</f>
        <v>0</v>
      </c>
      <c r="DZ80" s="34" t="n">
        <f aca="false">P_IRE*(DZ$78-DZ$79)</f>
        <v>0</v>
      </c>
      <c r="EA80" s="34" t="n">
        <f aca="false">P_IRE*(EA$78-EA$79)</f>
        <v>0</v>
      </c>
      <c r="EB80" s="34" t="n">
        <f aca="false">P_IRE*(EB$78-EB$79)</f>
        <v>0</v>
      </c>
      <c r="EC80" s="34" t="n">
        <f aca="false">P_IRE*(EC$78-EC$79)</f>
        <v>0</v>
      </c>
      <c r="ED80" s="34" t="n">
        <f aca="false">P_IRE*(ED$78-ED$79)</f>
        <v>0</v>
      </c>
      <c r="EE80" s="34" t="n">
        <f aca="false">P_IRE*(EE$78-EE$79)</f>
        <v>0</v>
      </c>
      <c r="EF80" s="34" t="n">
        <f aca="false">P_IRE*(EF$78-EF$79)</f>
        <v>0</v>
      </c>
      <c r="EG80" s="34" t="n">
        <f aca="false">P_IRE*(EG$78-EG$79)</f>
        <v>0</v>
      </c>
      <c r="EH80" s="34" t="n">
        <f aca="false">P_IRE*(EH$78-EH$79)</f>
        <v>0</v>
      </c>
      <c r="EI80" s="34" t="n">
        <f aca="false">P_IRE*(EI$78-EI$79)</f>
        <v>0</v>
      </c>
      <c r="EJ80" s="34" t="n">
        <f aca="false">P_IRE*(EJ$78-EJ$79)</f>
        <v>0</v>
      </c>
      <c r="EK80" s="34" t="n">
        <f aca="false">P_IRE*(EK$78-EK$79)</f>
        <v>0</v>
      </c>
      <c r="EL80" s="34" t="n">
        <f aca="false">P_IRE*(EL$78-EL$79)</f>
        <v>0</v>
      </c>
      <c r="EM80" s="34" t="n">
        <f aca="false">P_IRE*(EM$78-EM$79)</f>
        <v>0</v>
      </c>
      <c r="EN80" s="34" t="n">
        <f aca="false">P_IRE*(EN$78-EN$79)</f>
        <v>0</v>
      </c>
      <c r="EO80" s="34" t="n">
        <f aca="false">P_IRE*(EO$78-EO$79)</f>
        <v>0</v>
      </c>
      <c r="EP80" s="34" t="n">
        <f aca="false">P_IRE*(EP$78-EP$79)</f>
        <v>0</v>
      </c>
      <c r="EQ80" s="34" t="n">
        <f aca="false">P_IRE*(EQ$78-EQ$79)</f>
        <v>0</v>
      </c>
      <c r="ER80" s="34" t="n">
        <f aca="false">P_IRE*(ER$78-ER$79)</f>
        <v>0</v>
      </c>
      <c r="ES80" s="34" t="n">
        <f aca="false">P_IRE*(ES$78-ES$79)</f>
        <v>0</v>
      </c>
    </row>
    <row r="81" customFormat="false" ht="15" hidden="false" customHeight="false" outlineLevel="0" collapsed="false">
      <c r="A81" s="2" t="s">
        <v>524</v>
      </c>
      <c r="B81" s="52" t="s">
        <v>525</v>
      </c>
      <c r="C81" s="6" t="s">
        <v>212</v>
      </c>
      <c r="E81" s="40" t="n">
        <f aca="false">SUM(F81:ES81)</f>
        <v>0</v>
      </c>
      <c r="F81" s="10" t="n">
        <f aca="false">F$78-F$79-F$80</f>
        <v>0</v>
      </c>
      <c r="G81" s="10" t="n">
        <f aca="false">G$78-G$79-G$80</f>
        <v>0</v>
      </c>
      <c r="H81" s="10" t="n">
        <f aca="false">H$78-H$79-H$80</f>
        <v>0</v>
      </c>
      <c r="I81" s="10" t="n">
        <f aca="false">I$78-I$79-I$80</f>
        <v>0</v>
      </c>
      <c r="J81" s="10" t="n">
        <f aca="false">J$78-J$79-J$80</f>
        <v>0</v>
      </c>
      <c r="K81" s="10" t="n">
        <f aca="false">K$78-K$79-K$80</f>
        <v>0</v>
      </c>
      <c r="L81" s="10" t="n">
        <f aca="false">L$78-L$79-L$80</f>
        <v>0</v>
      </c>
      <c r="M81" s="10" t="n">
        <f aca="false">M$78-M$79-M$80</f>
        <v>0</v>
      </c>
      <c r="N81" s="10" t="n">
        <f aca="false">N$78-N$79-N$80</f>
        <v>0</v>
      </c>
      <c r="O81" s="10" t="n">
        <f aca="false">O$78-O$79-O$80</f>
        <v>0</v>
      </c>
      <c r="P81" s="10" t="n">
        <f aca="false">P$78-P$79-P$80</f>
        <v>0</v>
      </c>
      <c r="Q81" s="10" t="n">
        <f aca="false">Q$78-Q$79-Q$80</f>
        <v>0</v>
      </c>
      <c r="R81" s="10" t="n">
        <f aca="false">R$78-R$79-R$80</f>
        <v>0</v>
      </c>
      <c r="S81" s="10" t="n">
        <f aca="false">S$78-S$79-S$80</f>
        <v>0</v>
      </c>
      <c r="T81" s="10" t="n">
        <f aca="false">T$78-T$79-T$80</f>
        <v>0</v>
      </c>
      <c r="U81" s="10" t="n">
        <f aca="false">U$78-U$79-U$80</f>
        <v>0</v>
      </c>
      <c r="V81" s="10" t="n">
        <f aca="false">V$78-V$79-V$80</f>
        <v>0</v>
      </c>
      <c r="W81" s="10" t="n">
        <f aca="false">W$78-W$79-W$80</f>
        <v>0</v>
      </c>
      <c r="X81" s="10" t="n">
        <f aca="false">X$78-X$79-X$80</f>
        <v>0</v>
      </c>
      <c r="Y81" s="10" t="n">
        <f aca="false">Y$78-Y$79-Y$80</f>
        <v>0</v>
      </c>
      <c r="Z81" s="10" t="n">
        <f aca="false">Z$78-Z$79-Z$80</f>
        <v>0</v>
      </c>
      <c r="AA81" s="10" t="n">
        <f aca="false">AA$78-AA$79-AA$80</f>
        <v>0</v>
      </c>
      <c r="AB81" s="10" t="n">
        <f aca="false">AB$78-AB$79-AB$80</f>
        <v>0</v>
      </c>
      <c r="AC81" s="10" t="n">
        <f aca="false">AC$78-AC$79-AC$80</f>
        <v>0</v>
      </c>
      <c r="AD81" s="10" t="n">
        <f aca="false">AD$78-AD$79-AD$80</f>
        <v>0</v>
      </c>
      <c r="AE81" s="10" t="n">
        <f aca="false">AE$78-AE$79-AE$80</f>
        <v>0</v>
      </c>
      <c r="AF81" s="10" t="n">
        <f aca="false">AF$78-AF$79-AF$80</f>
        <v>0</v>
      </c>
      <c r="AG81" s="10" t="n">
        <f aca="false">AG$78-AG$79-AG$80</f>
        <v>0</v>
      </c>
      <c r="AH81" s="10" t="n">
        <f aca="false">AH$78-AH$79-AH$80</f>
        <v>0</v>
      </c>
      <c r="AI81" s="10" t="n">
        <f aca="false">AI$78-AI$79-AI$80</f>
        <v>0</v>
      </c>
      <c r="AJ81" s="10" t="n">
        <f aca="false">AJ$78-AJ$79-AJ$80</f>
        <v>0</v>
      </c>
      <c r="AK81" s="10" t="n">
        <f aca="false">AK$78-AK$79-AK$80</f>
        <v>0</v>
      </c>
      <c r="AL81" s="10" t="n">
        <f aca="false">AL$78-AL$79-AL$80</f>
        <v>0</v>
      </c>
      <c r="AM81" s="10" t="n">
        <f aca="false">AM$78-AM$79-AM$80</f>
        <v>0</v>
      </c>
      <c r="AN81" s="10" t="n">
        <f aca="false">AN$78-AN$79-AN$80</f>
        <v>0</v>
      </c>
      <c r="AO81" s="10" t="n">
        <f aca="false">AO$78-AO$79-AO$80</f>
        <v>0</v>
      </c>
      <c r="AP81" s="10" t="n">
        <f aca="false">AP$78-AP$79-AP$80</f>
        <v>0</v>
      </c>
      <c r="AQ81" s="10" t="n">
        <f aca="false">AQ$78-AQ$79-AQ$80</f>
        <v>0</v>
      </c>
      <c r="AR81" s="10" t="n">
        <f aca="false">AR$78-AR$79-AR$80</f>
        <v>0</v>
      </c>
      <c r="AS81" s="10" t="n">
        <f aca="false">AS$78-AS$79-AS$80</f>
        <v>0</v>
      </c>
      <c r="AT81" s="10" t="n">
        <f aca="false">AT$78-AT$79-AT$80</f>
        <v>0</v>
      </c>
      <c r="AU81" s="10" t="n">
        <f aca="false">AU$78-AU$79-AU$80</f>
        <v>0</v>
      </c>
      <c r="AV81" s="10" t="n">
        <f aca="false">AV$78-AV$79-AV$80</f>
        <v>0</v>
      </c>
      <c r="AW81" s="10" t="n">
        <f aca="false">AW$78-AW$79-AW$80</f>
        <v>0</v>
      </c>
      <c r="AX81" s="10" t="n">
        <f aca="false">AX$78-AX$79-AX$80</f>
        <v>0</v>
      </c>
      <c r="AY81" s="10" t="n">
        <f aca="false">AY$78-AY$79-AY$80</f>
        <v>0</v>
      </c>
      <c r="AZ81" s="10" t="n">
        <f aca="false">AZ$78-AZ$79-AZ$80</f>
        <v>0</v>
      </c>
      <c r="BA81" s="10" t="n">
        <f aca="false">BA$78-BA$79-BA$80</f>
        <v>0</v>
      </c>
      <c r="BB81" s="10" t="n">
        <f aca="false">BB$78-BB$79-BB$80</f>
        <v>0</v>
      </c>
      <c r="BC81" s="10" t="n">
        <f aca="false">BC$78-BC$79-BC$80</f>
        <v>0</v>
      </c>
      <c r="BD81" s="10" t="n">
        <f aca="false">BD$78-BD$79-BD$80</f>
        <v>0</v>
      </c>
      <c r="BE81" s="10" t="n">
        <f aca="false">BE$78-BE$79-BE$80</f>
        <v>0</v>
      </c>
      <c r="BF81" s="10" t="n">
        <f aca="false">BF$78-BF$79-BF$80</f>
        <v>0</v>
      </c>
      <c r="BG81" s="10" t="n">
        <f aca="false">BG$78-BG$79-BG$80</f>
        <v>0</v>
      </c>
      <c r="BH81" s="10" t="n">
        <f aca="false">BH$78-BH$79-BH$80</f>
        <v>0</v>
      </c>
      <c r="BI81" s="10" t="n">
        <f aca="false">BI$78-BI$79-BI$80</f>
        <v>0</v>
      </c>
      <c r="BJ81" s="10" t="n">
        <f aca="false">BJ$78-BJ$79-BJ$80</f>
        <v>0</v>
      </c>
      <c r="BK81" s="10" t="n">
        <f aca="false">BK$78-BK$79-BK$80</f>
        <v>0</v>
      </c>
      <c r="BL81" s="10" t="n">
        <f aca="false">BL$78-BL$79-BL$80</f>
        <v>0</v>
      </c>
      <c r="BM81" s="10" t="n">
        <f aca="false">BM$78-BM$79-BM$80</f>
        <v>0</v>
      </c>
      <c r="BN81" s="10" t="n">
        <f aca="false">BN$78-BN$79-BN$80</f>
        <v>0</v>
      </c>
      <c r="BO81" s="10" t="n">
        <f aca="false">BO$78-BO$79-BO$80</f>
        <v>0</v>
      </c>
      <c r="BP81" s="10" t="n">
        <f aca="false">BP$78-BP$79-BP$80</f>
        <v>0</v>
      </c>
      <c r="BQ81" s="10" t="n">
        <f aca="false">BQ$78-BQ$79-BQ$80</f>
        <v>0</v>
      </c>
      <c r="BR81" s="10" t="n">
        <f aca="false">BR$78-BR$79-BR$80</f>
        <v>0</v>
      </c>
      <c r="BS81" s="10" t="n">
        <f aca="false">BS$78-BS$79-BS$80</f>
        <v>0</v>
      </c>
      <c r="BT81" s="10" t="n">
        <f aca="false">BT$78-BT$79-BT$80</f>
        <v>0</v>
      </c>
      <c r="BU81" s="10" t="n">
        <f aca="false">BU$78-BU$79-BU$80</f>
        <v>0</v>
      </c>
      <c r="BV81" s="10" t="n">
        <f aca="false">BV$78-BV$79-BV$80</f>
        <v>0</v>
      </c>
      <c r="BW81" s="10" t="n">
        <f aca="false">BW$78-BW$79-BW$80</f>
        <v>0</v>
      </c>
      <c r="BX81" s="10" t="n">
        <f aca="false">BX$78-BX$79-BX$80</f>
        <v>0</v>
      </c>
      <c r="BY81" s="10" t="n">
        <f aca="false">BY$78-BY$79-BY$80</f>
        <v>0</v>
      </c>
      <c r="BZ81" s="10" t="n">
        <f aca="false">BZ$78-BZ$79-BZ$80</f>
        <v>0</v>
      </c>
      <c r="CA81" s="10" t="n">
        <f aca="false">CA$78-CA$79-CA$80</f>
        <v>0</v>
      </c>
      <c r="CB81" s="10" t="n">
        <f aca="false">CB$78-CB$79-CB$80</f>
        <v>0</v>
      </c>
      <c r="CC81" s="10" t="n">
        <f aca="false">CC$78-CC$79-CC$80</f>
        <v>0</v>
      </c>
      <c r="CD81" s="10" t="n">
        <f aca="false">CD$78-CD$79-CD$80</f>
        <v>0</v>
      </c>
      <c r="CE81" s="10" t="n">
        <f aca="false">CE$78-CE$79-CE$80</f>
        <v>0</v>
      </c>
      <c r="CF81" s="10" t="n">
        <f aca="false">CF$78-CF$79-CF$80</f>
        <v>0</v>
      </c>
      <c r="CG81" s="10" t="n">
        <f aca="false">CG$78-CG$79-CG$80</f>
        <v>0</v>
      </c>
      <c r="CH81" s="10" t="n">
        <f aca="false">CH$78-CH$79-CH$80</f>
        <v>0</v>
      </c>
      <c r="CI81" s="10" t="n">
        <f aca="false">CI$78-CI$79-CI$80</f>
        <v>0</v>
      </c>
      <c r="CJ81" s="10" t="n">
        <f aca="false">CJ$78-CJ$79-CJ$80</f>
        <v>0</v>
      </c>
      <c r="CK81" s="10" t="n">
        <f aca="false">CK$78-CK$79-CK$80</f>
        <v>0</v>
      </c>
      <c r="CL81" s="10" t="n">
        <f aca="false">CL$78-CL$79-CL$80</f>
        <v>0</v>
      </c>
      <c r="CM81" s="10" t="n">
        <f aca="false">CM$78-CM$79-CM$80</f>
        <v>0</v>
      </c>
      <c r="CN81" s="10" t="n">
        <f aca="false">CN$78-CN$79-CN$80</f>
        <v>0</v>
      </c>
      <c r="CO81" s="10" t="n">
        <f aca="false">CO$78-CO$79-CO$80</f>
        <v>0</v>
      </c>
      <c r="CP81" s="10" t="n">
        <f aca="false">CP$78-CP$79-CP$80</f>
        <v>0</v>
      </c>
      <c r="CQ81" s="10" t="n">
        <f aca="false">CQ$78-CQ$79-CQ$80</f>
        <v>0</v>
      </c>
      <c r="CR81" s="10" t="n">
        <f aca="false">CR$78-CR$79-CR$80</f>
        <v>0</v>
      </c>
      <c r="CS81" s="10" t="n">
        <f aca="false">CS$78-CS$79-CS$80</f>
        <v>0</v>
      </c>
      <c r="CT81" s="10" t="n">
        <f aca="false">CT$78-CT$79-CT$80</f>
        <v>0</v>
      </c>
      <c r="CU81" s="10" t="n">
        <f aca="false">CU$78-CU$79-CU$80</f>
        <v>0</v>
      </c>
      <c r="CV81" s="10" t="n">
        <f aca="false">CV$78-CV$79-CV$80</f>
        <v>0</v>
      </c>
      <c r="CW81" s="10" t="n">
        <f aca="false">CW$78-CW$79-CW$80</f>
        <v>0</v>
      </c>
      <c r="CX81" s="10" t="n">
        <f aca="false">CX$78-CX$79-CX$80</f>
        <v>0</v>
      </c>
      <c r="CY81" s="10" t="n">
        <f aca="false">CY$78-CY$79-CY$80</f>
        <v>0</v>
      </c>
      <c r="CZ81" s="10" t="n">
        <f aca="false">CZ$78-CZ$79-CZ$80</f>
        <v>0</v>
      </c>
      <c r="DA81" s="10" t="n">
        <f aca="false">DA$78-DA$79-DA$80</f>
        <v>0</v>
      </c>
      <c r="DB81" s="10" t="n">
        <f aca="false">DB$78-DB$79-DB$80</f>
        <v>0</v>
      </c>
      <c r="DC81" s="10" t="n">
        <f aca="false">DC$78-DC$79-DC$80</f>
        <v>0</v>
      </c>
      <c r="DD81" s="10" t="n">
        <f aca="false">DD$78-DD$79-DD$80</f>
        <v>0</v>
      </c>
      <c r="DE81" s="10" t="n">
        <f aca="false">DE$78-DE$79-DE$80</f>
        <v>0</v>
      </c>
      <c r="DF81" s="10" t="n">
        <f aca="false">DF$78-DF$79-DF$80</f>
        <v>0</v>
      </c>
      <c r="DG81" s="10" t="n">
        <f aca="false">DG$78-DG$79-DG$80</f>
        <v>0</v>
      </c>
      <c r="DH81" s="10" t="n">
        <f aca="false">DH$78-DH$79-DH$80</f>
        <v>0</v>
      </c>
      <c r="DI81" s="10" t="n">
        <f aca="false">DI$78-DI$79-DI$80</f>
        <v>0</v>
      </c>
      <c r="DJ81" s="10" t="n">
        <f aca="false">DJ$78-DJ$79-DJ$80</f>
        <v>0</v>
      </c>
      <c r="DK81" s="10" t="n">
        <f aca="false">DK$78-DK$79-DK$80</f>
        <v>0</v>
      </c>
      <c r="DL81" s="10" t="n">
        <f aca="false">DL$78-DL$79-DL$80</f>
        <v>0</v>
      </c>
      <c r="DM81" s="10" t="n">
        <f aca="false">DM$78-DM$79-DM$80</f>
        <v>0</v>
      </c>
      <c r="DN81" s="10" t="n">
        <f aca="false">DN$78-DN$79-DN$80</f>
        <v>0</v>
      </c>
      <c r="DO81" s="10" t="n">
        <f aca="false">DO$78-DO$79-DO$80</f>
        <v>0</v>
      </c>
      <c r="DP81" s="10" t="n">
        <f aca="false">DP$78-DP$79-DP$80</f>
        <v>0</v>
      </c>
      <c r="DQ81" s="10" t="n">
        <f aca="false">DQ$78-DQ$79-DQ$80</f>
        <v>0</v>
      </c>
      <c r="DR81" s="10" t="n">
        <f aca="false">DR$78-DR$79-DR$80</f>
        <v>0</v>
      </c>
      <c r="DS81" s="10" t="n">
        <f aca="false">DS$78-DS$79-DS$80</f>
        <v>0</v>
      </c>
      <c r="DT81" s="10" t="n">
        <f aca="false">DT$78-DT$79-DT$80</f>
        <v>0</v>
      </c>
      <c r="DU81" s="10" t="n">
        <f aca="false">DU$78-DU$79-DU$80</f>
        <v>0</v>
      </c>
      <c r="DV81" s="10" t="n">
        <f aca="false">DV$78-DV$79-DV$80</f>
        <v>0</v>
      </c>
      <c r="DW81" s="10" t="n">
        <f aca="false">DW$78-DW$79-DW$80</f>
        <v>0</v>
      </c>
      <c r="DX81" s="10" t="n">
        <f aca="false">DX$78-DX$79-DX$80</f>
        <v>0</v>
      </c>
      <c r="DY81" s="10" t="n">
        <f aca="false">DY$78-DY$79-DY$80</f>
        <v>0</v>
      </c>
      <c r="DZ81" s="10" t="n">
        <f aca="false">DZ$78-DZ$79-DZ$80</f>
        <v>0</v>
      </c>
      <c r="EA81" s="10" t="n">
        <f aca="false">EA$78-EA$79-EA$80</f>
        <v>0</v>
      </c>
      <c r="EB81" s="10" t="n">
        <f aca="false">EB$78-EB$79-EB$80</f>
        <v>0</v>
      </c>
      <c r="EC81" s="10" t="n">
        <f aca="false">EC$78-EC$79-EC$80</f>
        <v>0</v>
      </c>
      <c r="ED81" s="10" t="n">
        <f aca="false">ED$78-ED$79-ED$80</f>
        <v>0</v>
      </c>
      <c r="EE81" s="10" t="n">
        <f aca="false">EE$78-EE$79-EE$80</f>
        <v>0</v>
      </c>
      <c r="EF81" s="10" t="n">
        <f aca="false">EF$78-EF$79-EF$80</f>
        <v>0</v>
      </c>
      <c r="EG81" s="10" t="n">
        <f aca="false">EG$78-EG$79-EG$80</f>
        <v>0</v>
      </c>
      <c r="EH81" s="10" t="n">
        <f aca="false">EH$78-EH$79-EH$80</f>
        <v>0</v>
      </c>
      <c r="EI81" s="10" t="n">
        <f aca="false">EI$78-EI$79-EI$80</f>
        <v>0</v>
      </c>
      <c r="EJ81" s="10" t="n">
        <f aca="false">EJ$78-EJ$79-EJ$80</f>
        <v>0</v>
      </c>
      <c r="EK81" s="10" t="n">
        <f aca="false">EK$78-EK$79-EK$80</f>
        <v>0</v>
      </c>
      <c r="EL81" s="10" t="n">
        <f aca="false">EL$78-EL$79-EL$80</f>
        <v>0</v>
      </c>
      <c r="EM81" s="10" t="n">
        <f aca="false">EM$78-EM$79-EM$80</f>
        <v>0</v>
      </c>
      <c r="EN81" s="10" t="n">
        <f aca="false">EN$78-EN$79-EN$80</f>
        <v>0</v>
      </c>
      <c r="EO81" s="10" t="n">
        <f aca="false">EO$78-EO$79-EO$80</f>
        <v>0</v>
      </c>
      <c r="EP81" s="10" t="n">
        <f aca="false">EP$78-EP$79-EP$80</f>
        <v>0</v>
      </c>
      <c r="EQ81" s="10" t="n">
        <f aca="false">EQ$78-EQ$79-EQ$80</f>
        <v>0</v>
      </c>
      <c r="ER81" s="10" t="n">
        <f aca="false">ER$78-ER$79-ER$80</f>
        <v>0</v>
      </c>
      <c r="ES81" s="10" t="n">
        <f aca="false">ES$78-ES$79-ES$80</f>
        <v>0</v>
      </c>
    </row>
    <row r="82" customFormat="false" ht="15" hidden="false" customHeight="false" outlineLevel="0" collapsed="false">
      <c r="A82" s="4"/>
      <c r="B82" s="3" t="s">
        <v>526</v>
      </c>
      <c r="C82" s="4"/>
      <c r="D82" s="4"/>
      <c r="E82" s="4"/>
    </row>
    <row r="83" customFormat="false" ht="15" hidden="false" customHeight="false" outlineLevel="0" collapsed="false">
      <c r="A83" s="2" t="s">
        <v>527</v>
      </c>
      <c r="B83" s="6" t="s">
        <v>528</v>
      </c>
      <c r="C83" s="6" t="s">
        <v>212</v>
      </c>
      <c r="E83" s="40" t="n">
        <f aca="false">INDEX(F83:ES83,1,MIN(144,Fin))</f>
        <v>0</v>
      </c>
      <c r="F83" s="34" t="n">
        <f aca="false">IF(1&gt;Fin,0,F$45*P_DSO/DiasMes)</f>
        <v>0</v>
      </c>
      <c r="G83" s="34" t="n">
        <f aca="false">IF(2&gt;Fin,F$83,G$45*P_DSO/DiasMes)</f>
        <v>0</v>
      </c>
      <c r="H83" s="34" t="n">
        <f aca="false">IF(3&gt;Fin,G$83,H$45*P_DSO/DiasMes)</f>
        <v>0</v>
      </c>
      <c r="I83" s="34" t="n">
        <f aca="false">IF(4&gt;Fin,H$83,I$45*P_DSO/DiasMes)</f>
        <v>0</v>
      </c>
      <c r="J83" s="34" t="n">
        <f aca="false">IF(5&gt;Fin,I$83,J$45*P_DSO/DiasMes)</f>
        <v>0</v>
      </c>
      <c r="K83" s="34" t="n">
        <f aca="false">IF(6&gt;Fin,J$83,K$45*P_DSO/DiasMes)</f>
        <v>0</v>
      </c>
      <c r="L83" s="34" t="n">
        <f aca="false">IF(7&gt;Fin,K$83,L$45*P_DSO/DiasMes)</f>
        <v>0</v>
      </c>
      <c r="M83" s="34" t="n">
        <f aca="false">IF(8&gt;Fin,L$83,M$45*P_DSO/DiasMes)</f>
        <v>0</v>
      </c>
      <c r="N83" s="34" t="n">
        <f aca="false">IF(9&gt;Fin,M$83,N$45*P_DSO/DiasMes)</f>
        <v>0</v>
      </c>
      <c r="O83" s="34" t="n">
        <f aca="false">IF(10&gt;Fin,N$83,O$45*P_DSO/DiasMes)</f>
        <v>0</v>
      </c>
      <c r="P83" s="34" t="n">
        <f aca="false">IF(11&gt;Fin,O$83,P$45*P_DSO/DiasMes)</f>
        <v>0</v>
      </c>
      <c r="Q83" s="34" t="n">
        <f aca="false">IF(12&gt;Fin,P$83,Q$45*P_DSO/DiasMes)</f>
        <v>0</v>
      </c>
      <c r="R83" s="34" t="n">
        <f aca="false">IF(13&gt;Fin,Q$83,R$45*P_DSO/DiasMes)</f>
        <v>0</v>
      </c>
      <c r="S83" s="34" t="n">
        <f aca="false">IF(14&gt;Fin,R$83,S$45*P_DSO/DiasMes)</f>
        <v>0</v>
      </c>
      <c r="T83" s="34" t="n">
        <f aca="false">IF(15&gt;Fin,S$83,T$45*P_DSO/DiasMes)</f>
        <v>0</v>
      </c>
      <c r="U83" s="34" t="n">
        <f aca="false">IF(16&gt;Fin,T$83,U$45*P_DSO/DiasMes)</f>
        <v>0</v>
      </c>
      <c r="V83" s="34" t="n">
        <f aca="false">IF(17&gt;Fin,U$83,V$45*P_DSO/DiasMes)</f>
        <v>0</v>
      </c>
      <c r="W83" s="34" t="n">
        <f aca="false">IF(18&gt;Fin,V$83,W$45*P_DSO/DiasMes)</f>
        <v>0</v>
      </c>
      <c r="X83" s="34" t="n">
        <f aca="false">IF(19&gt;Fin,W$83,X$45*P_DSO/DiasMes)</f>
        <v>0</v>
      </c>
      <c r="Y83" s="34" t="n">
        <f aca="false">IF(20&gt;Fin,X$83,Y$45*P_DSO/DiasMes)</f>
        <v>0</v>
      </c>
      <c r="Z83" s="34" t="n">
        <f aca="false">IF(21&gt;Fin,Y$83,Z$45*P_DSO/DiasMes)</f>
        <v>0</v>
      </c>
      <c r="AA83" s="34" t="n">
        <f aca="false">IF(22&gt;Fin,Z$83,AA$45*P_DSO/DiasMes)</f>
        <v>0</v>
      </c>
      <c r="AB83" s="34" t="n">
        <f aca="false">IF(23&gt;Fin,AA$83,AB$45*P_DSO/DiasMes)</f>
        <v>0</v>
      </c>
      <c r="AC83" s="34" t="n">
        <f aca="false">IF(24&gt;Fin,AB$83,AC$45*P_DSO/DiasMes)</f>
        <v>0</v>
      </c>
      <c r="AD83" s="34" t="n">
        <f aca="false">IF(25&gt;Fin,AC$83,AD$45*P_DSO/DiasMes)</f>
        <v>0</v>
      </c>
      <c r="AE83" s="34" t="n">
        <f aca="false">IF(26&gt;Fin,AD$83,AE$45*P_DSO/DiasMes)</f>
        <v>0</v>
      </c>
      <c r="AF83" s="34" t="n">
        <f aca="false">IF(27&gt;Fin,AE$83,AF$45*P_DSO/DiasMes)</f>
        <v>0</v>
      </c>
      <c r="AG83" s="34" t="n">
        <f aca="false">IF(28&gt;Fin,AF$83,AG$45*P_DSO/DiasMes)</f>
        <v>0</v>
      </c>
      <c r="AH83" s="34" t="n">
        <f aca="false">IF(29&gt;Fin,AG$83,AH$45*P_DSO/DiasMes)</f>
        <v>0</v>
      </c>
      <c r="AI83" s="34" t="n">
        <f aca="false">IF(30&gt;Fin,AH$83,AI$45*P_DSO/DiasMes)</f>
        <v>0</v>
      </c>
      <c r="AJ83" s="34" t="n">
        <f aca="false">IF(31&gt;Fin,AI$83,AJ$45*P_DSO/DiasMes)</f>
        <v>0</v>
      </c>
      <c r="AK83" s="34" t="n">
        <f aca="false">IF(32&gt;Fin,AJ$83,AK$45*P_DSO/DiasMes)</f>
        <v>0</v>
      </c>
      <c r="AL83" s="34" t="n">
        <f aca="false">IF(33&gt;Fin,AK$83,AL$45*P_DSO/DiasMes)</f>
        <v>0</v>
      </c>
      <c r="AM83" s="34" t="n">
        <f aca="false">IF(34&gt;Fin,AL$83,AM$45*P_DSO/DiasMes)</f>
        <v>0</v>
      </c>
      <c r="AN83" s="34" t="n">
        <f aca="false">IF(35&gt;Fin,AM$83,AN$45*P_DSO/DiasMes)</f>
        <v>0</v>
      </c>
      <c r="AO83" s="34" t="n">
        <f aca="false">IF(36&gt;Fin,AN$83,AO$45*P_DSO/DiasMes)</f>
        <v>0</v>
      </c>
      <c r="AP83" s="34" t="n">
        <f aca="false">IF(37&gt;Fin,AO$83,AP$45*P_DSO/DiasMes)</f>
        <v>0</v>
      </c>
      <c r="AQ83" s="34" t="n">
        <f aca="false">IF(38&gt;Fin,AP$83,AQ$45*P_DSO/DiasMes)</f>
        <v>0</v>
      </c>
      <c r="AR83" s="34" t="n">
        <f aca="false">IF(39&gt;Fin,AQ$83,AR$45*P_DSO/DiasMes)</f>
        <v>0</v>
      </c>
      <c r="AS83" s="34" t="n">
        <f aca="false">IF(40&gt;Fin,AR$83,AS$45*P_DSO/DiasMes)</f>
        <v>0</v>
      </c>
      <c r="AT83" s="34" t="n">
        <f aca="false">IF(41&gt;Fin,AS$83,AT$45*P_DSO/DiasMes)</f>
        <v>0</v>
      </c>
      <c r="AU83" s="34" t="n">
        <f aca="false">IF(42&gt;Fin,AT$83,AU$45*P_DSO/DiasMes)</f>
        <v>0</v>
      </c>
      <c r="AV83" s="34" t="n">
        <f aca="false">IF(43&gt;Fin,AU$83,AV$45*P_DSO/DiasMes)</f>
        <v>0</v>
      </c>
      <c r="AW83" s="34" t="n">
        <f aca="false">IF(44&gt;Fin,AV$83,AW$45*P_DSO/DiasMes)</f>
        <v>0</v>
      </c>
      <c r="AX83" s="34" t="n">
        <f aca="false">IF(45&gt;Fin,AW$83,AX$45*P_DSO/DiasMes)</f>
        <v>0</v>
      </c>
      <c r="AY83" s="34" t="n">
        <f aca="false">IF(46&gt;Fin,AX$83,AY$45*P_DSO/DiasMes)</f>
        <v>0</v>
      </c>
      <c r="AZ83" s="34" t="n">
        <f aca="false">IF(47&gt;Fin,AY$83,AZ$45*P_DSO/DiasMes)</f>
        <v>0</v>
      </c>
      <c r="BA83" s="34" t="n">
        <f aca="false">IF(48&gt;Fin,AZ$83,BA$45*P_DSO/DiasMes)</f>
        <v>0</v>
      </c>
      <c r="BB83" s="34" t="n">
        <f aca="false">IF(49&gt;Fin,BA$83,BB$45*P_DSO/DiasMes)</f>
        <v>0</v>
      </c>
      <c r="BC83" s="34" t="n">
        <f aca="false">IF(50&gt;Fin,BB$83,BC$45*P_DSO/DiasMes)</f>
        <v>0</v>
      </c>
      <c r="BD83" s="34" t="n">
        <f aca="false">IF(51&gt;Fin,BC$83,BD$45*P_DSO/DiasMes)</f>
        <v>0</v>
      </c>
      <c r="BE83" s="34" t="n">
        <f aca="false">IF(52&gt;Fin,BD$83,BE$45*P_DSO/DiasMes)</f>
        <v>0</v>
      </c>
      <c r="BF83" s="34" t="n">
        <f aca="false">IF(53&gt;Fin,BE$83,BF$45*P_DSO/DiasMes)</f>
        <v>0</v>
      </c>
      <c r="BG83" s="34" t="n">
        <f aca="false">IF(54&gt;Fin,BF$83,BG$45*P_DSO/DiasMes)</f>
        <v>0</v>
      </c>
      <c r="BH83" s="34" t="n">
        <f aca="false">IF(55&gt;Fin,BG$83,BH$45*P_DSO/DiasMes)</f>
        <v>0</v>
      </c>
      <c r="BI83" s="34" t="n">
        <f aca="false">IF(56&gt;Fin,BH$83,BI$45*P_DSO/DiasMes)</f>
        <v>0</v>
      </c>
      <c r="BJ83" s="34" t="n">
        <f aca="false">IF(57&gt;Fin,BI$83,BJ$45*P_DSO/DiasMes)</f>
        <v>0</v>
      </c>
      <c r="BK83" s="34" t="n">
        <f aca="false">IF(58&gt;Fin,BJ$83,BK$45*P_DSO/DiasMes)</f>
        <v>0</v>
      </c>
      <c r="BL83" s="34" t="n">
        <f aca="false">IF(59&gt;Fin,BK$83,BL$45*P_DSO/DiasMes)</f>
        <v>0</v>
      </c>
      <c r="BM83" s="34" t="n">
        <f aca="false">IF(60&gt;Fin,BL$83,BM$45*P_DSO/DiasMes)</f>
        <v>0</v>
      </c>
      <c r="BN83" s="34" t="n">
        <f aca="false">IF(61&gt;Fin,BM$83,BN$45*P_DSO/DiasMes)</f>
        <v>0</v>
      </c>
      <c r="BO83" s="34" t="n">
        <f aca="false">IF(62&gt;Fin,BN$83,BO$45*P_DSO/DiasMes)</f>
        <v>0</v>
      </c>
      <c r="BP83" s="34" t="n">
        <f aca="false">IF(63&gt;Fin,BO$83,BP$45*P_DSO/DiasMes)</f>
        <v>0</v>
      </c>
      <c r="BQ83" s="34" t="n">
        <f aca="false">IF(64&gt;Fin,BP$83,BQ$45*P_DSO/DiasMes)</f>
        <v>0</v>
      </c>
      <c r="BR83" s="34" t="n">
        <f aca="false">IF(65&gt;Fin,BQ$83,BR$45*P_DSO/DiasMes)</f>
        <v>0</v>
      </c>
      <c r="BS83" s="34" t="n">
        <f aca="false">IF(66&gt;Fin,BR$83,BS$45*P_DSO/DiasMes)</f>
        <v>0</v>
      </c>
      <c r="BT83" s="34" t="n">
        <f aca="false">IF(67&gt;Fin,BS$83,BT$45*P_DSO/DiasMes)</f>
        <v>0</v>
      </c>
      <c r="BU83" s="34" t="n">
        <f aca="false">IF(68&gt;Fin,BT$83,BU$45*P_DSO/DiasMes)</f>
        <v>0</v>
      </c>
      <c r="BV83" s="34" t="n">
        <f aca="false">IF(69&gt;Fin,BU$83,BV$45*P_DSO/DiasMes)</f>
        <v>0</v>
      </c>
      <c r="BW83" s="34" t="n">
        <f aca="false">IF(70&gt;Fin,BV$83,BW$45*P_DSO/DiasMes)</f>
        <v>0</v>
      </c>
      <c r="BX83" s="34" t="n">
        <f aca="false">IF(71&gt;Fin,BW$83,BX$45*P_DSO/DiasMes)</f>
        <v>0</v>
      </c>
      <c r="BY83" s="34" t="n">
        <f aca="false">IF(72&gt;Fin,BX$83,BY$45*P_DSO/DiasMes)</f>
        <v>0</v>
      </c>
      <c r="BZ83" s="34" t="n">
        <f aca="false">IF(73&gt;Fin,BY$83,BZ$45*P_DSO/DiasMes)</f>
        <v>0</v>
      </c>
      <c r="CA83" s="34" t="n">
        <f aca="false">IF(74&gt;Fin,BZ$83,CA$45*P_DSO/DiasMes)</f>
        <v>0</v>
      </c>
      <c r="CB83" s="34" t="n">
        <f aca="false">IF(75&gt;Fin,CA$83,CB$45*P_DSO/DiasMes)</f>
        <v>0</v>
      </c>
      <c r="CC83" s="34" t="n">
        <f aca="false">IF(76&gt;Fin,CB$83,CC$45*P_DSO/DiasMes)</f>
        <v>0</v>
      </c>
      <c r="CD83" s="34" t="n">
        <f aca="false">IF(77&gt;Fin,CC$83,CD$45*P_DSO/DiasMes)</f>
        <v>0</v>
      </c>
      <c r="CE83" s="34" t="n">
        <f aca="false">IF(78&gt;Fin,CD$83,CE$45*P_DSO/DiasMes)</f>
        <v>0</v>
      </c>
      <c r="CF83" s="34" t="n">
        <f aca="false">IF(79&gt;Fin,CE$83,CF$45*P_DSO/DiasMes)</f>
        <v>0</v>
      </c>
      <c r="CG83" s="34" t="n">
        <f aca="false">IF(80&gt;Fin,CF$83,CG$45*P_DSO/DiasMes)</f>
        <v>0</v>
      </c>
      <c r="CH83" s="34" t="n">
        <f aca="false">IF(81&gt;Fin,CG$83,CH$45*P_DSO/DiasMes)</f>
        <v>0</v>
      </c>
      <c r="CI83" s="34" t="n">
        <f aca="false">IF(82&gt;Fin,CH$83,CI$45*P_DSO/DiasMes)</f>
        <v>0</v>
      </c>
      <c r="CJ83" s="34" t="n">
        <f aca="false">IF(83&gt;Fin,CI$83,CJ$45*P_DSO/DiasMes)</f>
        <v>0</v>
      </c>
      <c r="CK83" s="34" t="n">
        <f aca="false">IF(84&gt;Fin,CJ$83,CK$45*P_DSO/DiasMes)</f>
        <v>0</v>
      </c>
      <c r="CL83" s="34" t="n">
        <f aca="false">IF(85&gt;Fin,CK$83,CL$45*P_DSO/DiasMes)</f>
        <v>0</v>
      </c>
      <c r="CM83" s="34" t="n">
        <f aca="false">IF(86&gt;Fin,CL$83,CM$45*P_DSO/DiasMes)</f>
        <v>0</v>
      </c>
      <c r="CN83" s="34" t="n">
        <f aca="false">IF(87&gt;Fin,CM$83,CN$45*P_DSO/DiasMes)</f>
        <v>0</v>
      </c>
      <c r="CO83" s="34" t="n">
        <f aca="false">IF(88&gt;Fin,CN$83,CO$45*P_DSO/DiasMes)</f>
        <v>0</v>
      </c>
      <c r="CP83" s="34" t="n">
        <f aca="false">IF(89&gt;Fin,CO$83,CP$45*P_DSO/DiasMes)</f>
        <v>0</v>
      </c>
      <c r="CQ83" s="34" t="n">
        <f aca="false">IF(90&gt;Fin,CP$83,CQ$45*P_DSO/DiasMes)</f>
        <v>0</v>
      </c>
      <c r="CR83" s="34" t="n">
        <f aca="false">IF(91&gt;Fin,CQ$83,CR$45*P_DSO/DiasMes)</f>
        <v>0</v>
      </c>
      <c r="CS83" s="34" t="n">
        <f aca="false">IF(92&gt;Fin,CR$83,CS$45*P_DSO/DiasMes)</f>
        <v>0</v>
      </c>
      <c r="CT83" s="34" t="n">
        <f aca="false">IF(93&gt;Fin,CS$83,CT$45*P_DSO/DiasMes)</f>
        <v>0</v>
      </c>
      <c r="CU83" s="34" t="n">
        <f aca="false">IF(94&gt;Fin,CT$83,CU$45*P_DSO/DiasMes)</f>
        <v>0</v>
      </c>
      <c r="CV83" s="34" t="n">
        <f aca="false">IF(95&gt;Fin,CU$83,CV$45*P_DSO/DiasMes)</f>
        <v>0</v>
      </c>
      <c r="CW83" s="34" t="n">
        <f aca="false">IF(96&gt;Fin,CV$83,CW$45*P_DSO/DiasMes)</f>
        <v>0</v>
      </c>
      <c r="CX83" s="34" t="n">
        <f aca="false">IF(97&gt;Fin,CW$83,CX$45*P_DSO/DiasMes)</f>
        <v>0</v>
      </c>
      <c r="CY83" s="34" t="n">
        <f aca="false">IF(98&gt;Fin,CX$83,CY$45*P_DSO/DiasMes)</f>
        <v>0</v>
      </c>
      <c r="CZ83" s="34" t="n">
        <f aca="false">IF(99&gt;Fin,CY$83,CZ$45*P_DSO/DiasMes)</f>
        <v>0</v>
      </c>
      <c r="DA83" s="34" t="n">
        <f aca="false">IF(100&gt;Fin,CZ$83,DA$45*P_DSO/DiasMes)</f>
        <v>0</v>
      </c>
      <c r="DB83" s="34" t="n">
        <f aca="false">IF(101&gt;Fin,DA$83,DB$45*P_DSO/DiasMes)</f>
        <v>0</v>
      </c>
      <c r="DC83" s="34" t="n">
        <f aca="false">IF(102&gt;Fin,DB$83,DC$45*P_DSO/DiasMes)</f>
        <v>0</v>
      </c>
      <c r="DD83" s="34" t="n">
        <f aca="false">IF(103&gt;Fin,DC$83,DD$45*P_DSO/DiasMes)</f>
        <v>0</v>
      </c>
      <c r="DE83" s="34" t="n">
        <f aca="false">IF(104&gt;Fin,DD$83,DE$45*P_DSO/DiasMes)</f>
        <v>0</v>
      </c>
      <c r="DF83" s="34" t="n">
        <f aca="false">IF(105&gt;Fin,DE$83,DF$45*P_DSO/DiasMes)</f>
        <v>0</v>
      </c>
      <c r="DG83" s="34" t="n">
        <f aca="false">IF(106&gt;Fin,DF$83,DG$45*P_DSO/DiasMes)</f>
        <v>0</v>
      </c>
      <c r="DH83" s="34" t="n">
        <f aca="false">IF(107&gt;Fin,DG$83,DH$45*P_DSO/DiasMes)</f>
        <v>0</v>
      </c>
      <c r="DI83" s="34" t="n">
        <f aca="false">IF(108&gt;Fin,DH$83,DI$45*P_DSO/DiasMes)</f>
        <v>0</v>
      </c>
      <c r="DJ83" s="34" t="n">
        <f aca="false">IF(109&gt;Fin,DI$83,DJ$45*P_DSO/DiasMes)</f>
        <v>0</v>
      </c>
      <c r="DK83" s="34" t="n">
        <f aca="false">IF(110&gt;Fin,DJ$83,DK$45*P_DSO/DiasMes)</f>
        <v>0</v>
      </c>
      <c r="DL83" s="34" t="n">
        <f aca="false">IF(111&gt;Fin,DK$83,DL$45*P_DSO/DiasMes)</f>
        <v>0</v>
      </c>
      <c r="DM83" s="34" t="n">
        <f aca="false">IF(112&gt;Fin,DL$83,DM$45*P_DSO/DiasMes)</f>
        <v>0</v>
      </c>
      <c r="DN83" s="34" t="n">
        <f aca="false">IF(113&gt;Fin,DM$83,DN$45*P_DSO/DiasMes)</f>
        <v>0</v>
      </c>
      <c r="DO83" s="34" t="n">
        <f aca="false">IF(114&gt;Fin,DN$83,DO$45*P_DSO/DiasMes)</f>
        <v>0</v>
      </c>
      <c r="DP83" s="34" t="n">
        <f aca="false">IF(115&gt;Fin,DO$83,DP$45*P_DSO/DiasMes)</f>
        <v>0</v>
      </c>
      <c r="DQ83" s="34" t="n">
        <f aca="false">IF(116&gt;Fin,DP$83,DQ$45*P_DSO/DiasMes)</f>
        <v>0</v>
      </c>
      <c r="DR83" s="34" t="n">
        <f aca="false">IF(117&gt;Fin,DQ$83,DR$45*P_DSO/DiasMes)</f>
        <v>0</v>
      </c>
      <c r="DS83" s="34" t="n">
        <f aca="false">IF(118&gt;Fin,DR$83,DS$45*P_DSO/DiasMes)</f>
        <v>0</v>
      </c>
      <c r="DT83" s="34" t="n">
        <f aca="false">IF(119&gt;Fin,DS$83,DT$45*P_DSO/DiasMes)</f>
        <v>0</v>
      </c>
      <c r="DU83" s="34" t="n">
        <f aca="false">IF(120&gt;Fin,DT$83,DU$45*P_DSO/DiasMes)</f>
        <v>0</v>
      </c>
      <c r="DV83" s="34" t="n">
        <f aca="false">IF(121&gt;Fin,DU$83,DV$45*P_DSO/DiasMes)</f>
        <v>0</v>
      </c>
      <c r="DW83" s="34" t="n">
        <f aca="false">IF(122&gt;Fin,DV$83,DW$45*P_DSO/DiasMes)</f>
        <v>0</v>
      </c>
      <c r="DX83" s="34" t="n">
        <f aca="false">IF(123&gt;Fin,DW$83,DX$45*P_DSO/DiasMes)</f>
        <v>0</v>
      </c>
      <c r="DY83" s="34" t="n">
        <f aca="false">IF(124&gt;Fin,DX$83,DY$45*P_DSO/DiasMes)</f>
        <v>0</v>
      </c>
      <c r="DZ83" s="34" t="n">
        <f aca="false">IF(125&gt;Fin,DY$83,DZ$45*P_DSO/DiasMes)</f>
        <v>0</v>
      </c>
      <c r="EA83" s="34" t="n">
        <f aca="false">IF(126&gt;Fin,DZ$83,EA$45*P_DSO/DiasMes)</f>
        <v>0</v>
      </c>
      <c r="EB83" s="34" t="n">
        <f aca="false">IF(127&gt;Fin,EA$83,EB$45*P_DSO/DiasMes)</f>
        <v>0</v>
      </c>
      <c r="EC83" s="34" t="n">
        <f aca="false">IF(128&gt;Fin,EB$83,EC$45*P_DSO/DiasMes)</f>
        <v>0</v>
      </c>
      <c r="ED83" s="34" t="n">
        <f aca="false">IF(129&gt;Fin,EC$83,ED$45*P_DSO/DiasMes)</f>
        <v>0</v>
      </c>
      <c r="EE83" s="34" t="n">
        <f aca="false">IF(130&gt;Fin,ED$83,EE$45*P_DSO/DiasMes)</f>
        <v>0</v>
      </c>
      <c r="EF83" s="34" t="n">
        <f aca="false">IF(131&gt;Fin,EE$83,EF$45*P_DSO/DiasMes)</f>
        <v>0</v>
      </c>
      <c r="EG83" s="34" t="n">
        <f aca="false">IF(132&gt;Fin,EF$83,EG$45*P_DSO/DiasMes)</f>
        <v>0</v>
      </c>
      <c r="EH83" s="34" t="n">
        <f aca="false">IF(133&gt;Fin,EG$83,EH$45*P_DSO/DiasMes)</f>
        <v>0</v>
      </c>
      <c r="EI83" s="34" t="n">
        <f aca="false">IF(134&gt;Fin,EH$83,EI$45*P_DSO/DiasMes)</f>
        <v>0</v>
      </c>
      <c r="EJ83" s="34" t="n">
        <f aca="false">IF(135&gt;Fin,EI$83,EJ$45*P_DSO/DiasMes)</f>
        <v>0</v>
      </c>
      <c r="EK83" s="34" t="n">
        <f aca="false">IF(136&gt;Fin,EJ$83,EK$45*P_DSO/DiasMes)</f>
        <v>0</v>
      </c>
      <c r="EL83" s="34" t="n">
        <f aca="false">IF(137&gt;Fin,EK$83,EL$45*P_DSO/DiasMes)</f>
        <v>0</v>
      </c>
      <c r="EM83" s="34" t="n">
        <f aca="false">IF(138&gt;Fin,EL$83,EM$45*P_DSO/DiasMes)</f>
        <v>0</v>
      </c>
      <c r="EN83" s="34" t="n">
        <f aca="false">IF(139&gt;Fin,EM$83,EN$45*P_DSO/DiasMes)</f>
        <v>0</v>
      </c>
      <c r="EO83" s="34" t="n">
        <f aca="false">IF(140&gt;Fin,EN$83,EO$45*P_DSO/DiasMes)</f>
        <v>0</v>
      </c>
      <c r="EP83" s="34" t="n">
        <f aca="false">IF(141&gt;Fin,EO$83,EP$45*P_DSO/DiasMes)</f>
        <v>0</v>
      </c>
      <c r="EQ83" s="34" t="n">
        <f aca="false">IF(142&gt;Fin,EP$83,EQ$45*P_DSO/DiasMes)</f>
        <v>0</v>
      </c>
      <c r="ER83" s="34" t="n">
        <f aca="false">IF(143&gt;Fin,EQ$83,ER$45*P_DSO/DiasMes)</f>
        <v>0</v>
      </c>
      <c r="ES83" s="34" t="n">
        <f aca="false">IF(144&gt;Fin,ER$83,ES$45*P_DSO/DiasMes)</f>
        <v>0</v>
      </c>
    </row>
    <row r="84" customFormat="false" ht="15" hidden="false" customHeight="false" outlineLevel="0" collapsed="false">
      <c r="A84" s="2" t="s">
        <v>529</v>
      </c>
      <c r="B84" s="6" t="s">
        <v>397</v>
      </c>
      <c r="C84" s="6" t="s">
        <v>212</v>
      </c>
      <c r="E84" s="40" t="n">
        <f aca="false">INDEX(F84:ES84,1,MIN(144,Fin))</f>
        <v>0</v>
      </c>
      <c r="F84" s="34" t="n">
        <f aca="false">IF(1&gt;Fin,0,F$67*P_DInv/DiasMes+(F$67+F$68+F$69+F$70)*P_DPT/DiasMes)</f>
        <v>0</v>
      </c>
      <c r="G84" s="34" t="n">
        <f aca="false">IF(2&gt;Fin,F$84,G$67*P_DInv/DiasMes+(G$67+G$68+G$69+G$70)*P_DPT/DiasMes)</f>
        <v>0</v>
      </c>
      <c r="H84" s="34" t="n">
        <f aca="false">IF(3&gt;Fin,G$84,H$67*P_DInv/DiasMes+(H$67+H$68+H$69+H$70)*P_DPT/DiasMes)</f>
        <v>0</v>
      </c>
      <c r="I84" s="34" t="n">
        <f aca="false">IF(4&gt;Fin,H$84,I$67*P_DInv/DiasMes+(I$67+I$68+I$69+I$70)*P_DPT/DiasMes)</f>
        <v>0</v>
      </c>
      <c r="J84" s="34" t="n">
        <f aca="false">IF(5&gt;Fin,I$84,J$67*P_DInv/DiasMes+(J$67+J$68+J$69+J$70)*P_DPT/DiasMes)</f>
        <v>0</v>
      </c>
      <c r="K84" s="34" t="n">
        <f aca="false">IF(6&gt;Fin,J$84,K$67*P_DInv/DiasMes+(K$67+K$68+K$69+K$70)*P_DPT/DiasMes)</f>
        <v>0</v>
      </c>
      <c r="L84" s="34" t="n">
        <f aca="false">IF(7&gt;Fin,K$84,L$67*P_DInv/DiasMes+(L$67+L$68+L$69+L$70)*P_DPT/DiasMes)</f>
        <v>0</v>
      </c>
      <c r="M84" s="34" t="n">
        <f aca="false">IF(8&gt;Fin,L$84,M$67*P_DInv/DiasMes+(M$67+M$68+M$69+M$70)*P_DPT/DiasMes)</f>
        <v>0</v>
      </c>
      <c r="N84" s="34" t="n">
        <f aca="false">IF(9&gt;Fin,M$84,N$67*P_DInv/DiasMes+(N$67+N$68+N$69+N$70)*P_DPT/DiasMes)</f>
        <v>0</v>
      </c>
      <c r="O84" s="34" t="n">
        <f aca="false">IF(10&gt;Fin,N$84,O$67*P_DInv/DiasMes+(O$67+O$68+O$69+O$70)*P_DPT/DiasMes)</f>
        <v>0</v>
      </c>
      <c r="P84" s="34" t="n">
        <f aca="false">IF(11&gt;Fin,O$84,P$67*P_DInv/DiasMes+(P$67+P$68+P$69+P$70)*P_DPT/DiasMes)</f>
        <v>0</v>
      </c>
      <c r="Q84" s="34" t="n">
        <f aca="false">IF(12&gt;Fin,P$84,Q$67*P_DInv/DiasMes+(Q$67+Q$68+Q$69+Q$70)*P_DPT/DiasMes)</f>
        <v>0</v>
      </c>
      <c r="R84" s="34" t="n">
        <f aca="false">IF(13&gt;Fin,Q$84,R$67*P_DInv/DiasMes+(R$67+R$68+R$69+R$70)*P_DPT/DiasMes)</f>
        <v>0</v>
      </c>
      <c r="S84" s="34" t="n">
        <f aca="false">IF(14&gt;Fin,R$84,S$67*P_DInv/DiasMes+(S$67+S$68+S$69+S$70)*P_DPT/DiasMes)</f>
        <v>0</v>
      </c>
      <c r="T84" s="34" t="n">
        <f aca="false">IF(15&gt;Fin,S$84,T$67*P_DInv/DiasMes+(T$67+T$68+T$69+T$70)*P_DPT/DiasMes)</f>
        <v>0</v>
      </c>
      <c r="U84" s="34" t="n">
        <f aca="false">IF(16&gt;Fin,T$84,U$67*P_DInv/DiasMes+(U$67+U$68+U$69+U$70)*P_DPT/DiasMes)</f>
        <v>0</v>
      </c>
      <c r="V84" s="34" t="n">
        <f aca="false">IF(17&gt;Fin,U$84,V$67*P_DInv/DiasMes+(V$67+V$68+V$69+V$70)*P_DPT/DiasMes)</f>
        <v>0</v>
      </c>
      <c r="W84" s="34" t="n">
        <f aca="false">IF(18&gt;Fin,V$84,W$67*P_DInv/DiasMes+(W$67+W$68+W$69+W$70)*P_DPT/DiasMes)</f>
        <v>0</v>
      </c>
      <c r="X84" s="34" t="n">
        <f aca="false">IF(19&gt;Fin,W$84,X$67*P_DInv/DiasMes+(X$67+X$68+X$69+X$70)*P_DPT/DiasMes)</f>
        <v>0</v>
      </c>
      <c r="Y84" s="34" t="n">
        <f aca="false">IF(20&gt;Fin,X$84,Y$67*P_DInv/DiasMes+(Y$67+Y$68+Y$69+Y$70)*P_DPT/DiasMes)</f>
        <v>0</v>
      </c>
      <c r="Z84" s="34" t="n">
        <f aca="false">IF(21&gt;Fin,Y$84,Z$67*P_DInv/DiasMes+(Z$67+Z$68+Z$69+Z$70)*P_DPT/DiasMes)</f>
        <v>0</v>
      </c>
      <c r="AA84" s="34" t="n">
        <f aca="false">IF(22&gt;Fin,Z$84,AA$67*P_DInv/DiasMes+(AA$67+AA$68+AA$69+AA$70)*P_DPT/DiasMes)</f>
        <v>0</v>
      </c>
      <c r="AB84" s="34" t="n">
        <f aca="false">IF(23&gt;Fin,AA$84,AB$67*P_DInv/DiasMes+(AB$67+AB$68+AB$69+AB$70)*P_DPT/DiasMes)</f>
        <v>0</v>
      </c>
      <c r="AC84" s="34" t="n">
        <f aca="false">IF(24&gt;Fin,AB$84,AC$67*P_DInv/DiasMes+(AC$67+AC$68+AC$69+AC$70)*P_DPT/DiasMes)</f>
        <v>0</v>
      </c>
      <c r="AD84" s="34" t="n">
        <f aca="false">IF(25&gt;Fin,AC$84,AD$67*P_DInv/DiasMes+(AD$67+AD$68+AD$69+AD$70)*P_DPT/DiasMes)</f>
        <v>0</v>
      </c>
      <c r="AE84" s="34" t="n">
        <f aca="false">IF(26&gt;Fin,AD$84,AE$67*P_DInv/DiasMes+(AE$67+AE$68+AE$69+AE$70)*P_DPT/DiasMes)</f>
        <v>0</v>
      </c>
      <c r="AF84" s="34" t="n">
        <f aca="false">IF(27&gt;Fin,AE$84,AF$67*P_DInv/DiasMes+(AF$67+AF$68+AF$69+AF$70)*P_DPT/DiasMes)</f>
        <v>0</v>
      </c>
      <c r="AG84" s="34" t="n">
        <f aca="false">IF(28&gt;Fin,AF$84,AG$67*P_DInv/DiasMes+(AG$67+AG$68+AG$69+AG$70)*P_DPT/DiasMes)</f>
        <v>0</v>
      </c>
      <c r="AH84" s="34" t="n">
        <f aca="false">IF(29&gt;Fin,AG$84,AH$67*P_DInv/DiasMes+(AH$67+AH$68+AH$69+AH$70)*P_DPT/DiasMes)</f>
        <v>0</v>
      </c>
      <c r="AI84" s="34" t="n">
        <f aca="false">IF(30&gt;Fin,AH$84,AI$67*P_DInv/DiasMes+(AI$67+AI$68+AI$69+AI$70)*P_DPT/DiasMes)</f>
        <v>0</v>
      </c>
      <c r="AJ84" s="34" t="n">
        <f aca="false">IF(31&gt;Fin,AI$84,AJ$67*P_DInv/DiasMes+(AJ$67+AJ$68+AJ$69+AJ$70)*P_DPT/DiasMes)</f>
        <v>0</v>
      </c>
      <c r="AK84" s="34" t="n">
        <f aca="false">IF(32&gt;Fin,AJ$84,AK$67*P_DInv/DiasMes+(AK$67+AK$68+AK$69+AK$70)*P_DPT/DiasMes)</f>
        <v>0</v>
      </c>
      <c r="AL84" s="34" t="n">
        <f aca="false">IF(33&gt;Fin,AK$84,AL$67*P_DInv/DiasMes+(AL$67+AL$68+AL$69+AL$70)*P_DPT/DiasMes)</f>
        <v>0</v>
      </c>
      <c r="AM84" s="34" t="n">
        <f aca="false">IF(34&gt;Fin,AL$84,AM$67*P_DInv/DiasMes+(AM$67+AM$68+AM$69+AM$70)*P_DPT/DiasMes)</f>
        <v>0</v>
      </c>
      <c r="AN84" s="34" t="n">
        <f aca="false">IF(35&gt;Fin,AM$84,AN$67*P_DInv/DiasMes+(AN$67+AN$68+AN$69+AN$70)*P_DPT/DiasMes)</f>
        <v>0</v>
      </c>
      <c r="AO84" s="34" t="n">
        <f aca="false">IF(36&gt;Fin,AN$84,AO$67*P_DInv/DiasMes+(AO$67+AO$68+AO$69+AO$70)*P_DPT/DiasMes)</f>
        <v>0</v>
      </c>
      <c r="AP84" s="34" t="n">
        <f aca="false">IF(37&gt;Fin,AO$84,AP$67*P_DInv/DiasMes+(AP$67+AP$68+AP$69+AP$70)*P_DPT/DiasMes)</f>
        <v>0</v>
      </c>
      <c r="AQ84" s="34" t="n">
        <f aca="false">IF(38&gt;Fin,AP$84,AQ$67*P_DInv/DiasMes+(AQ$67+AQ$68+AQ$69+AQ$70)*P_DPT/DiasMes)</f>
        <v>0</v>
      </c>
      <c r="AR84" s="34" t="n">
        <f aca="false">IF(39&gt;Fin,AQ$84,AR$67*P_DInv/DiasMes+(AR$67+AR$68+AR$69+AR$70)*P_DPT/DiasMes)</f>
        <v>0</v>
      </c>
      <c r="AS84" s="34" t="n">
        <f aca="false">IF(40&gt;Fin,AR$84,AS$67*P_DInv/DiasMes+(AS$67+AS$68+AS$69+AS$70)*P_DPT/DiasMes)</f>
        <v>0</v>
      </c>
      <c r="AT84" s="34" t="n">
        <f aca="false">IF(41&gt;Fin,AS$84,AT$67*P_DInv/DiasMes+(AT$67+AT$68+AT$69+AT$70)*P_DPT/DiasMes)</f>
        <v>0</v>
      </c>
      <c r="AU84" s="34" t="n">
        <f aca="false">IF(42&gt;Fin,AT$84,AU$67*P_DInv/DiasMes+(AU$67+AU$68+AU$69+AU$70)*P_DPT/DiasMes)</f>
        <v>0</v>
      </c>
      <c r="AV84" s="34" t="n">
        <f aca="false">IF(43&gt;Fin,AU$84,AV$67*P_DInv/DiasMes+(AV$67+AV$68+AV$69+AV$70)*P_DPT/DiasMes)</f>
        <v>0</v>
      </c>
      <c r="AW84" s="34" t="n">
        <f aca="false">IF(44&gt;Fin,AV$84,AW$67*P_DInv/DiasMes+(AW$67+AW$68+AW$69+AW$70)*P_DPT/DiasMes)</f>
        <v>0</v>
      </c>
      <c r="AX84" s="34" t="n">
        <f aca="false">IF(45&gt;Fin,AW$84,AX$67*P_DInv/DiasMes+(AX$67+AX$68+AX$69+AX$70)*P_DPT/DiasMes)</f>
        <v>0</v>
      </c>
      <c r="AY84" s="34" t="n">
        <f aca="false">IF(46&gt;Fin,AX$84,AY$67*P_DInv/DiasMes+(AY$67+AY$68+AY$69+AY$70)*P_DPT/DiasMes)</f>
        <v>0</v>
      </c>
      <c r="AZ84" s="34" t="n">
        <f aca="false">IF(47&gt;Fin,AY$84,AZ$67*P_DInv/DiasMes+(AZ$67+AZ$68+AZ$69+AZ$70)*P_DPT/DiasMes)</f>
        <v>0</v>
      </c>
      <c r="BA84" s="34" t="n">
        <f aca="false">IF(48&gt;Fin,AZ$84,BA$67*P_DInv/DiasMes+(BA$67+BA$68+BA$69+BA$70)*P_DPT/DiasMes)</f>
        <v>0</v>
      </c>
      <c r="BB84" s="34" t="n">
        <f aca="false">IF(49&gt;Fin,BA$84,BB$67*P_DInv/DiasMes+(BB$67+BB$68+BB$69+BB$70)*P_DPT/DiasMes)</f>
        <v>0</v>
      </c>
      <c r="BC84" s="34" t="n">
        <f aca="false">IF(50&gt;Fin,BB$84,BC$67*P_DInv/DiasMes+(BC$67+BC$68+BC$69+BC$70)*P_DPT/DiasMes)</f>
        <v>0</v>
      </c>
      <c r="BD84" s="34" t="n">
        <f aca="false">IF(51&gt;Fin,BC$84,BD$67*P_DInv/DiasMes+(BD$67+BD$68+BD$69+BD$70)*P_DPT/DiasMes)</f>
        <v>0</v>
      </c>
      <c r="BE84" s="34" t="n">
        <f aca="false">IF(52&gt;Fin,BD$84,BE$67*P_DInv/DiasMes+(BE$67+BE$68+BE$69+BE$70)*P_DPT/DiasMes)</f>
        <v>0</v>
      </c>
      <c r="BF84" s="34" t="n">
        <f aca="false">IF(53&gt;Fin,BE$84,BF$67*P_DInv/DiasMes+(BF$67+BF$68+BF$69+BF$70)*P_DPT/DiasMes)</f>
        <v>0</v>
      </c>
      <c r="BG84" s="34" t="n">
        <f aca="false">IF(54&gt;Fin,BF$84,BG$67*P_DInv/DiasMes+(BG$67+BG$68+BG$69+BG$70)*P_DPT/DiasMes)</f>
        <v>0</v>
      </c>
      <c r="BH84" s="34" t="n">
        <f aca="false">IF(55&gt;Fin,BG$84,BH$67*P_DInv/DiasMes+(BH$67+BH$68+BH$69+BH$70)*P_DPT/DiasMes)</f>
        <v>0</v>
      </c>
      <c r="BI84" s="34" t="n">
        <f aca="false">IF(56&gt;Fin,BH$84,BI$67*P_DInv/DiasMes+(BI$67+BI$68+BI$69+BI$70)*P_DPT/DiasMes)</f>
        <v>0</v>
      </c>
      <c r="BJ84" s="34" t="n">
        <f aca="false">IF(57&gt;Fin,BI$84,BJ$67*P_DInv/DiasMes+(BJ$67+BJ$68+BJ$69+BJ$70)*P_DPT/DiasMes)</f>
        <v>0</v>
      </c>
      <c r="BK84" s="34" t="n">
        <f aca="false">IF(58&gt;Fin,BJ$84,BK$67*P_DInv/DiasMes+(BK$67+BK$68+BK$69+BK$70)*P_DPT/DiasMes)</f>
        <v>0</v>
      </c>
      <c r="BL84" s="34" t="n">
        <f aca="false">IF(59&gt;Fin,BK$84,BL$67*P_DInv/DiasMes+(BL$67+BL$68+BL$69+BL$70)*P_DPT/DiasMes)</f>
        <v>0</v>
      </c>
      <c r="BM84" s="34" t="n">
        <f aca="false">IF(60&gt;Fin,BL$84,BM$67*P_DInv/DiasMes+(BM$67+BM$68+BM$69+BM$70)*P_DPT/DiasMes)</f>
        <v>0</v>
      </c>
      <c r="BN84" s="34" t="n">
        <f aca="false">IF(61&gt;Fin,BM$84,BN$67*P_DInv/DiasMes+(BN$67+BN$68+BN$69+BN$70)*P_DPT/DiasMes)</f>
        <v>0</v>
      </c>
      <c r="BO84" s="34" t="n">
        <f aca="false">IF(62&gt;Fin,BN$84,BO$67*P_DInv/DiasMes+(BO$67+BO$68+BO$69+BO$70)*P_DPT/DiasMes)</f>
        <v>0</v>
      </c>
      <c r="BP84" s="34" t="n">
        <f aca="false">IF(63&gt;Fin,BO$84,BP$67*P_DInv/DiasMes+(BP$67+BP$68+BP$69+BP$70)*P_DPT/DiasMes)</f>
        <v>0</v>
      </c>
      <c r="BQ84" s="34" t="n">
        <f aca="false">IF(64&gt;Fin,BP$84,BQ$67*P_DInv/DiasMes+(BQ$67+BQ$68+BQ$69+BQ$70)*P_DPT/DiasMes)</f>
        <v>0</v>
      </c>
      <c r="BR84" s="34" t="n">
        <f aca="false">IF(65&gt;Fin,BQ$84,BR$67*P_DInv/DiasMes+(BR$67+BR$68+BR$69+BR$70)*P_DPT/DiasMes)</f>
        <v>0</v>
      </c>
      <c r="BS84" s="34" t="n">
        <f aca="false">IF(66&gt;Fin,BR$84,BS$67*P_DInv/DiasMes+(BS$67+BS$68+BS$69+BS$70)*P_DPT/DiasMes)</f>
        <v>0</v>
      </c>
      <c r="BT84" s="34" t="n">
        <f aca="false">IF(67&gt;Fin,BS$84,BT$67*P_DInv/DiasMes+(BT$67+BT$68+BT$69+BT$70)*P_DPT/DiasMes)</f>
        <v>0</v>
      </c>
      <c r="BU84" s="34" t="n">
        <f aca="false">IF(68&gt;Fin,BT$84,BU$67*P_DInv/DiasMes+(BU$67+BU$68+BU$69+BU$70)*P_DPT/DiasMes)</f>
        <v>0</v>
      </c>
      <c r="BV84" s="34" t="n">
        <f aca="false">IF(69&gt;Fin,BU$84,BV$67*P_DInv/DiasMes+(BV$67+BV$68+BV$69+BV$70)*P_DPT/DiasMes)</f>
        <v>0</v>
      </c>
      <c r="BW84" s="34" t="n">
        <f aca="false">IF(70&gt;Fin,BV$84,BW$67*P_DInv/DiasMes+(BW$67+BW$68+BW$69+BW$70)*P_DPT/DiasMes)</f>
        <v>0</v>
      </c>
      <c r="BX84" s="34" t="n">
        <f aca="false">IF(71&gt;Fin,BW$84,BX$67*P_DInv/DiasMes+(BX$67+BX$68+BX$69+BX$70)*P_DPT/DiasMes)</f>
        <v>0</v>
      </c>
      <c r="BY84" s="34" t="n">
        <f aca="false">IF(72&gt;Fin,BX$84,BY$67*P_DInv/DiasMes+(BY$67+BY$68+BY$69+BY$70)*P_DPT/DiasMes)</f>
        <v>0</v>
      </c>
      <c r="BZ84" s="34" t="n">
        <f aca="false">IF(73&gt;Fin,BY$84,BZ$67*P_DInv/DiasMes+(BZ$67+BZ$68+BZ$69+BZ$70)*P_DPT/DiasMes)</f>
        <v>0</v>
      </c>
      <c r="CA84" s="34" t="n">
        <f aca="false">IF(74&gt;Fin,BZ$84,CA$67*P_DInv/DiasMes+(CA$67+CA$68+CA$69+CA$70)*P_DPT/DiasMes)</f>
        <v>0</v>
      </c>
      <c r="CB84" s="34" t="n">
        <f aca="false">IF(75&gt;Fin,CA$84,CB$67*P_DInv/DiasMes+(CB$67+CB$68+CB$69+CB$70)*P_DPT/DiasMes)</f>
        <v>0</v>
      </c>
      <c r="CC84" s="34" t="n">
        <f aca="false">IF(76&gt;Fin,CB$84,CC$67*P_DInv/DiasMes+(CC$67+CC$68+CC$69+CC$70)*P_DPT/DiasMes)</f>
        <v>0</v>
      </c>
      <c r="CD84" s="34" t="n">
        <f aca="false">IF(77&gt;Fin,CC$84,CD$67*P_DInv/DiasMes+(CD$67+CD$68+CD$69+CD$70)*P_DPT/DiasMes)</f>
        <v>0</v>
      </c>
      <c r="CE84" s="34" t="n">
        <f aca="false">IF(78&gt;Fin,CD$84,CE$67*P_DInv/DiasMes+(CE$67+CE$68+CE$69+CE$70)*P_DPT/DiasMes)</f>
        <v>0</v>
      </c>
      <c r="CF84" s="34" t="n">
        <f aca="false">IF(79&gt;Fin,CE$84,CF$67*P_DInv/DiasMes+(CF$67+CF$68+CF$69+CF$70)*P_DPT/DiasMes)</f>
        <v>0</v>
      </c>
      <c r="CG84" s="34" t="n">
        <f aca="false">IF(80&gt;Fin,CF$84,CG$67*P_DInv/DiasMes+(CG$67+CG$68+CG$69+CG$70)*P_DPT/DiasMes)</f>
        <v>0</v>
      </c>
      <c r="CH84" s="34" t="n">
        <f aca="false">IF(81&gt;Fin,CG$84,CH$67*P_DInv/DiasMes+(CH$67+CH$68+CH$69+CH$70)*P_DPT/DiasMes)</f>
        <v>0</v>
      </c>
      <c r="CI84" s="34" t="n">
        <f aca="false">IF(82&gt;Fin,CH$84,CI$67*P_DInv/DiasMes+(CI$67+CI$68+CI$69+CI$70)*P_DPT/DiasMes)</f>
        <v>0</v>
      </c>
      <c r="CJ84" s="34" t="n">
        <f aca="false">IF(83&gt;Fin,CI$84,CJ$67*P_DInv/DiasMes+(CJ$67+CJ$68+CJ$69+CJ$70)*P_DPT/DiasMes)</f>
        <v>0</v>
      </c>
      <c r="CK84" s="34" t="n">
        <f aca="false">IF(84&gt;Fin,CJ$84,CK$67*P_DInv/DiasMes+(CK$67+CK$68+CK$69+CK$70)*P_DPT/DiasMes)</f>
        <v>0</v>
      </c>
      <c r="CL84" s="34" t="n">
        <f aca="false">IF(85&gt;Fin,CK$84,CL$67*P_DInv/DiasMes+(CL$67+CL$68+CL$69+CL$70)*P_DPT/DiasMes)</f>
        <v>0</v>
      </c>
      <c r="CM84" s="34" t="n">
        <f aca="false">IF(86&gt;Fin,CL$84,CM$67*P_DInv/DiasMes+(CM$67+CM$68+CM$69+CM$70)*P_DPT/DiasMes)</f>
        <v>0</v>
      </c>
      <c r="CN84" s="34" t="n">
        <f aca="false">IF(87&gt;Fin,CM$84,CN$67*P_DInv/DiasMes+(CN$67+CN$68+CN$69+CN$70)*P_DPT/DiasMes)</f>
        <v>0</v>
      </c>
      <c r="CO84" s="34" t="n">
        <f aca="false">IF(88&gt;Fin,CN$84,CO$67*P_DInv/DiasMes+(CO$67+CO$68+CO$69+CO$70)*P_DPT/DiasMes)</f>
        <v>0</v>
      </c>
      <c r="CP84" s="34" t="n">
        <f aca="false">IF(89&gt;Fin,CO$84,CP$67*P_DInv/DiasMes+(CP$67+CP$68+CP$69+CP$70)*P_DPT/DiasMes)</f>
        <v>0</v>
      </c>
      <c r="CQ84" s="34" t="n">
        <f aca="false">IF(90&gt;Fin,CP$84,CQ$67*P_DInv/DiasMes+(CQ$67+CQ$68+CQ$69+CQ$70)*P_DPT/DiasMes)</f>
        <v>0</v>
      </c>
      <c r="CR84" s="34" t="n">
        <f aca="false">IF(91&gt;Fin,CQ$84,CR$67*P_DInv/DiasMes+(CR$67+CR$68+CR$69+CR$70)*P_DPT/DiasMes)</f>
        <v>0</v>
      </c>
      <c r="CS84" s="34" t="n">
        <f aca="false">IF(92&gt;Fin,CR$84,CS$67*P_DInv/DiasMes+(CS$67+CS$68+CS$69+CS$70)*P_DPT/DiasMes)</f>
        <v>0</v>
      </c>
      <c r="CT84" s="34" t="n">
        <f aca="false">IF(93&gt;Fin,CS$84,CT$67*P_DInv/DiasMes+(CT$67+CT$68+CT$69+CT$70)*P_DPT/DiasMes)</f>
        <v>0</v>
      </c>
      <c r="CU84" s="34" t="n">
        <f aca="false">IF(94&gt;Fin,CT$84,CU$67*P_DInv/DiasMes+(CU$67+CU$68+CU$69+CU$70)*P_DPT/DiasMes)</f>
        <v>0</v>
      </c>
      <c r="CV84" s="34" t="n">
        <f aca="false">IF(95&gt;Fin,CU$84,CV$67*P_DInv/DiasMes+(CV$67+CV$68+CV$69+CV$70)*P_DPT/DiasMes)</f>
        <v>0</v>
      </c>
      <c r="CW84" s="34" t="n">
        <f aca="false">IF(96&gt;Fin,CV$84,CW$67*P_DInv/DiasMes+(CW$67+CW$68+CW$69+CW$70)*P_DPT/DiasMes)</f>
        <v>0</v>
      </c>
      <c r="CX84" s="34" t="n">
        <f aca="false">IF(97&gt;Fin,CW$84,CX$67*P_DInv/DiasMes+(CX$67+CX$68+CX$69+CX$70)*P_DPT/DiasMes)</f>
        <v>0</v>
      </c>
      <c r="CY84" s="34" t="n">
        <f aca="false">IF(98&gt;Fin,CX$84,CY$67*P_DInv/DiasMes+(CY$67+CY$68+CY$69+CY$70)*P_DPT/DiasMes)</f>
        <v>0</v>
      </c>
      <c r="CZ84" s="34" t="n">
        <f aca="false">IF(99&gt;Fin,CY$84,CZ$67*P_DInv/DiasMes+(CZ$67+CZ$68+CZ$69+CZ$70)*P_DPT/DiasMes)</f>
        <v>0</v>
      </c>
      <c r="DA84" s="34" t="n">
        <f aca="false">IF(100&gt;Fin,CZ$84,DA$67*P_DInv/DiasMes+(DA$67+DA$68+DA$69+DA$70)*P_DPT/DiasMes)</f>
        <v>0</v>
      </c>
      <c r="DB84" s="34" t="n">
        <f aca="false">IF(101&gt;Fin,DA$84,DB$67*P_DInv/DiasMes+(DB$67+DB$68+DB$69+DB$70)*P_DPT/DiasMes)</f>
        <v>0</v>
      </c>
      <c r="DC84" s="34" t="n">
        <f aca="false">IF(102&gt;Fin,DB$84,DC$67*P_DInv/DiasMes+(DC$67+DC$68+DC$69+DC$70)*P_DPT/DiasMes)</f>
        <v>0</v>
      </c>
      <c r="DD84" s="34" t="n">
        <f aca="false">IF(103&gt;Fin,DC$84,DD$67*P_DInv/DiasMes+(DD$67+DD$68+DD$69+DD$70)*P_DPT/DiasMes)</f>
        <v>0</v>
      </c>
      <c r="DE84" s="34" t="n">
        <f aca="false">IF(104&gt;Fin,DD$84,DE$67*P_DInv/DiasMes+(DE$67+DE$68+DE$69+DE$70)*P_DPT/DiasMes)</f>
        <v>0</v>
      </c>
      <c r="DF84" s="34" t="n">
        <f aca="false">IF(105&gt;Fin,DE$84,DF$67*P_DInv/DiasMes+(DF$67+DF$68+DF$69+DF$70)*P_DPT/DiasMes)</f>
        <v>0</v>
      </c>
      <c r="DG84" s="34" t="n">
        <f aca="false">IF(106&gt;Fin,DF$84,DG$67*P_DInv/DiasMes+(DG$67+DG$68+DG$69+DG$70)*P_DPT/DiasMes)</f>
        <v>0</v>
      </c>
      <c r="DH84" s="34" t="n">
        <f aca="false">IF(107&gt;Fin,DG$84,DH$67*P_DInv/DiasMes+(DH$67+DH$68+DH$69+DH$70)*P_DPT/DiasMes)</f>
        <v>0</v>
      </c>
      <c r="DI84" s="34" t="n">
        <f aca="false">IF(108&gt;Fin,DH$84,DI$67*P_DInv/DiasMes+(DI$67+DI$68+DI$69+DI$70)*P_DPT/DiasMes)</f>
        <v>0</v>
      </c>
      <c r="DJ84" s="34" t="n">
        <f aca="false">IF(109&gt;Fin,DI$84,DJ$67*P_DInv/DiasMes+(DJ$67+DJ$68+DJ$69+DJ$70)*P_DPT/DiasMes)</f>
        <v>0</v>
      </c>
      <c r="DK84" s="34" t="n">
        <f aca="false">IF(110&gt;Fin,DJ$84,DK$67*P_DInv/DiasMes+(DK$67+DK$68+DK$69+DK$70)*P_DPT/DiasMes)</f>
        <v>0</v>
      </c>
      <c r="DL84" s="34" t="n">
        <f aca="false">IF(111&gt;Fin,DK$84,DL$67*P_DInv/DiasMes+(DL$67+DL$68+DL$69+DL$70)*P_DPT/DiasMes)</f>
        <v>0</v>
      </c>
      <c r="DM84" s="34" t="n">
        <f aca="false">IF(112&gt;Fin,DL$84,DM$67*P_DInv/DiasMes+(DM$67+DM$68+DM$69+DM$70)*P_DPT/DiasMes)</f>
        <v>0</v>
      </c>
      <c r="DN84" s="34" t="n">
        <f aca="false">IF(113&gt;Fin,DM$84,DN$67*P_DInv/DiasMes+(DN$67+DN$68+DN$69+DN$70)*P_DPT/DiasMes)</f>
        <v>0</v>
      </c>
      <c r="DO84" s="34" t="n">
        <f aca="false">IF(114&gt;Fin,DN$84,DO$67*P_DInv/DiasMes+(DO$67+DO$68+DO$69+DO$70)*P_DPT/DiasMes)</f>
        <v>0</v>
      </c>
      <c r="DP84" s="34" t="n">
        <f aca="false">IF(115&gt;Fin,DO$84,DP$67*P_DInv/DiasMes+(DP$67+DP$68+DP$69+DP$70)*P_DPT/DiasMes)</f>
        <v>0</v>
      </c>
      <c r="DQ84" s="34" t="n">
        <f aca="false">IF(116&gt;Fin,DP$84,DQ$67*P_DInv/DiasMes+(DQ$67+DQ$68+DQ$69+DQ$70)*P_DPT/DiasMes)</f>
        <v>0</v>
      </c>
      <c r="DR84" s="34" t="n">
        <f aca="false">IF(117&gt;Fin,DQ$84,DR$67*P_DInv/DiasMes+(DR$67+DR$68+DR$69+DR$70)*P_DPT/DiasMes)</f>
        <v>0</v>
      </c>
      <c r="DS84" s="34" t="n">
        <f aca="false">IF(118&gt;Fin,DR$84,DS$67*P_DInv/DiasMes+(DS$67+DS$68+DS$69+DS$70)*P_DPT/DiasMes)</f>
        <v>0</v>
      </c>
      <c r="DT84" s="34" t="n">
        <f aca="false">IF(119&gt;Fin,DS$84,DT$67*P_DInv/DiasMes+(DT$67+DT$68+DT$69+DT$70)*P_DPT/DiasMes)</f>
        <v>0</v>
      </c>
      <c r="DU84" s="34" t="n">
        <f aca="false">IF(120&gt;Fin,DT$84,DU$67*P_DInv/DiasMes+(DU$67+DU$68+DU$69+DU$70)*P_DPT/DiasMes)</f>
        <v>0</v>
      </c>
      <c r="DV84" s="34" t="n">
        <f aca="false">IF(121&gt;Fin,DU$84,DV$67*P_DInv/DiasMes+(DV$67+DV$68+DV$69+DV$70)*P_DPT/DiasMes)</f>
        <v>0</v>
      </c>
      <c r="DW84" s="34" t="n">
        <f aca="false">IF(122&gt;Fin,DV$84,DW$67*P_DInv/DiasMes+(DW$67+DW$68+DW$69+DW$70)*P_DPT/DiasMes)</f>
        <v>0</v>
      </c>
      <c r="DX84" s="34" t="n">
        <f aca="false">IF(123&gt;Fin,DW$84,DX$67*P_DInv/DiasMes+(DX$67+DX$68+DX$69+DX$70)*P_DPT/DiasMes)</f>
        <v>0</v>
      </c>
      <c r="DY84" s="34" t="n">
        <f aca="false">IF(124&gt;Fin,DX$84,DY$67*P_DInv/DiasMes+(DY$67+DY$68+DY$69+DY$70)*P_DPT/DiasMes)</f>
        <v>0</v>
      </c>
      <c r="DZ84" s="34" t="n">
        <f aca="false">IF(125&gt;Fin,DY$84,DZ$67*P_DInv/DiasMes+(DZ$67+DZ$68+DZ$69+DZ$70)*P_DPT/DiasMes)</f>
        <v>0</v>
      </c>
      <c r="EA84" s="34" t="n">
        <f aca="false">IF(126&gt;Fin,DZ$84,EA$67*P_DInv/DiasMes+(EA$67+EA$68+EA$69+EA$70)*P_DPT/DiasMes)</f>
        <v>0</v>
      </c>
      <c r="EB84" s="34" t="n">
        <f aca="false">IF(127&gt;Fin,EA$84,EB$67*P_DInv/DiasMes+(EB$67+EB$68+EB$69+EB$70)*P_DPT/DiasMes)</f>
        <v>0</v>
      </c>
      <c r="EC84" s="34" t="n">
        <f aca="false">IF(128&gt;Fin,EB$84,EC$67*P_DInv/DiasMes+(EC$67+EC$68+EC$69+EC$70)*P_DPT/DiasMes)</f>
        <v>0</v>
      </c>
      <c r="ED84" s="34" t="n">
        <f aca="false">IF(129&gt;Fin,EC$84,ED$67*P_DInv/DiasMes+(ED$67+ED$68+ED$69+ED$70)*P_DPT/DiasMes)</f>
        <v>0</v>
      </c>
      <c r="EE84" s="34" t="n">
        <f aca="false">IF(130&gt;Fin,ED$84,EE$67*P_DInv/DiasMes+(EE$67+EE$68+EE$69+EE$70)*P_DPT/DiasMes)</f>
        <v>0</v>
      </c>
      <c r="EF84" s="34" t="n">
        <f aca="false">IF(131&gt;Fin,EE$84,EF$67*P_DInv/DiasMes+(EF$67+EF$68+EF$69+EF$70)*P_DPT/DiasMes)</f>
        <v>0</v>
      </c>
      <c r="EG84" s="34" t="n">
        <f aca="false">IF(132&gt;Fin,EF$84,EG$67*P_DInv/DiasMes+(EG$67+EG$68+EG$69+EG$70)*P_DPT/DiasMes)</f>
        <v>0</v>
      </c>
      <c r="EH84" s="34" t="n">
        <f aca="false">IF(133&gt;Fin,EG$84,EH$67*P_DInv/DiasMes+(EH$67+EH$68+EH$69+EH$70)*P_DPT/DiasMes)</f>
        <v>0</v>
      </c>
      <c r="EI84" s="34" t="n">
        <f aca="false">IF(134&gt;Fin,EH$84,EI$67*P_DInv/DiasMes+(EI$67+EI$68+EI$69+EI$70)*P_DPT/DiasMes)</f>
        <v>0</v>
      </c>
      <c r="EJ84" s="34" t="n">
        <f aca="false">IF(135&gt;Fin,EI$84,EJ$67*P_DInv/DiasMes+(EJ$67+EJ$68+EJ$69+EJ$70)*P_DPT/DiasMes)</f>
        <v>0</v>
      </c>
      <c r="EK84" s="34" t="n">
        <f aca="false">IF(136&gt;Fin,EJ$84,EK$67*P_DInv/DiasMes+(EK$67+EK$68+EK$69+EK$70)*P_DPT/DiasMes)</f>
        <v>0</v>
      </c>
      <c r="EL84" s="34" t="n">
        <f aca="false">IF(137&gt;Fin,EK$84,EL$67*P_DInv/DiasMes+(EL$67+EL$68+EL$69+EL$70)*P_DPT/DiasMes)</f>
        <v>0</v>
      </c>
      <c r="EM84" s="34" t="n">
        <f aca="false">IF(138&gt;Fin,EL$84,EM$67*P_DInv/DiasMes+(EM$67+EM$68+EM$69+EM$70)*P_DPT/DiasMes)</f>
        <v>0</v>
      </c>
      <c r="EN84" s="34" t="n">
        <f aca="false">IF(139&gt;Fin,EM$84,EN$67*P_DInv/DiasMes+(EN$67+EN$68+EN$69+EN$70)*P_DPT/DiasMes)</f>
        <v>0</v>
      </c>
      <c r="EO84" s="34" t="n">
        <f aca="false">IF(140&gt;Fin,EN$84,EO$67*P_DInv/DiasMes+(EO$67+EO$68+EO$69+EO$70)*P_DPT/DiasMes)</f>
        <v>0</v>
      </c>
      <c r="EP84" s="34" t="n">
        <f aca="false">IF(141&gt;Fin,EO$84,EP$67*P_DInv/DiasMes+(EP$67+EP$68+EP$69+EP$70)*P_DPT/DiasMes)</f>
        <v>0</v>
      </c>
      <c r="EQ84" s="34" t="n">
        <f aca="false">IF(142&gt;Fin,EP$84,EQ$67*P_DInv/DiasMes+(EQ$67+EQ$68+EQ$69+EQ$70)*P_DPT/DiasMes)</f>
        <v>0</v>
      </c>
      <c r="ER84" s="34" t="n">
        <f aca="false">IF(143&gt;Fin,EQ$84,ER$67*P_DInv/DiasMes+(ER$67+ER$68+ER$69+ER$70)*P_DPT/DiasMes)</f>
        <v>0</v>
      </c>
      <c r="ES84" s="34" t="n">
        <f aca="false">IF(144&gt;Fin,ER$84,ES$67*P_DInv/DiasMes+(ES$67+ES$68+ES$69+ES$70)*P_DPT/DiasMes)</f>
        <v>0</v>
      </c>
    </row>
    <row r="85" customFormat="false" ht="15" hidden="false" customHeight="false" outlineLevel="0" collapsed="false">
      <c r="A85" s="2" t="s">
        <v>530</v>
      </c>
      <c r="B85" s="6" t="s">
        <v>531</v>
      </c>
      <c r="C85" s="6" t="s">
        <v>212</v>
      </c>
      <c r="E85" s="40" t="n">
        <f aca="false">INDEX(F85:ES85,1,MIN(144,Fin))</f>
        <v>0</v>
      </c>
      <c r="F85" s="34" t="n">
        <f aca="false">IF(1&gt;Fin,0,F$75*P_IVAmeses)</f>
        <v>0</v>
      </c>
      <c r="G85" s="34" t="n">
        <f aca="false">IF(2&gt;Fin,F$85,G$75*P_IVAmeses)</f>
        <v>0</v>
      </c>
      <c r="H85" s="34" t="n">
        <f aca="false">IF(3&gt;Fin,G$85,H$75*P_IVAmeses)</f>
        <v>0</v>
      </c>
      <c r="I85" s="34" t="n">
        <f aca="false">IF(4&gt;Fin,H$85,I$75*P_IVAmeses)</f>
        <v>0</v>
      </c>
      <c r="J85" s="34" t="n">
        <f aca="false">IF(5&gt;Fin,I$85,J$75*P_IVAmeses)</f>
        <v>0</v>
      </c>
      <c r="K85" s="34" t="n">
        <f aca="false">IF(6&gt;Fin,J$85,K$75*P_IVAmeses)</f>
        <v>0</v>
      </c>
      <c r="L85" s="34" t="n">
        <f aca="false">IF(7&gt;Fin,K$85,L$75*P_IVAmeses)</f>
        <v>0</v>
      </c>
      <c r="M85" s="34" t="n">
        <f aca="false">IF(8&gt;Fin,L$85,M$75*P_IVAmeses)</f>
        <v>0</v>
      </c>
      <c r="N85" s="34" t="n">
        <f aca="false">IF(9&gt;Fin,M$85,N$75*P_IVAmeses)</f>
        <v>0</v>
      </c>
      <c r="O85" s="34" t="n">
        <f aca="false">IF(10&gt;Fin,N$85,O$75*P_IVAmeses)</f>
        <v>0</v>
      </c>
      <c r="P85" s="34" t="n">
        <f aca="false">IF(11&gt;Fin,O$85,P$75*P_IVAmeses)</f>
        <v>0</v>
      </c>
      <c r="Q85" s="34" t="n">
        <f aca="false">IF(12&gt;Fin,P$85,Q$75*P_IVAmeses)</f>
        <v>0</v>
      </c>
      <c r="R85" s="34" t="n">
        <f aca="false">IF(13&gt;Fin,Q$85,R$75*P_IVAmeses)</f>
        <v>0</v>
      </c>
      <c r="S85" s="34" t="n">
        <f aca="false">IF(14&gt;Fin,R$85,S$75*P_IVAmeses)</f>
        <v>0</v>
      </c>
      <c r="T85" s="34" t="n">
        <f aca="false">IF(15&gt;Fin,S$85,T$75*P_IVAmeses)</f>
        <v>0</v>
      </c>
      <c r="U85" s="34" t="n">
        <f aca="false">IF(16&gt;Fin,T$85,U$75*P_IVAmeses)</f>
        <v>0</v>
      </c>
      <c r="V85" s="34" t="n">
        <f aca="false">IF(17&gt;Fin,U$85,V$75*P_IVAmeses)</f>
        <v>0</v>
      </c>
      <c r="W85" s="34" t="n">
        <f aca="false">IF(18&gt;Fin,V$85,W$75*P_IVAmeses)</f>
        <v>0</v>
      </c>
      <c r="X85" s="34" t="n">
        <f aca="false">IF(19&gt;Fin,W$85,X$75*P_IVAmeses)</f>
        <v>0</v>
      </c>
      <c r="Y85" s="34" t="n">
        <f aca="false">IF(20&gt;Fin,X$85,Y$75*P_IVAmeses)</f>
        <v>0</v>
      </c>
      <c r="Z85" s="34" t="n">
        <f aca="false">IF(21&gt;Fin,Y$85,Z$75*P_IVAmeses)</f>
        <v>0</v>
      </c>
      <c r="AA85" s="34" t="n">
        <f aca="false">IF(22&gt;Fin,Z$85,AA$75*P_IVAmeses)</f>
        <v>0</v>
      </c>
      <c r="AB85" s="34" t="n">
        <f aca="false">IF(23&gt;Fin,AA$85,AB$75*P_IVAmeses)</f>
        <v>0</v>
      </c>
      <c r="AC85" s="34" t="n">
        <f aca="false">IF(24&gt;Fin,AB$85,AC$75*P_IVAmeses)</f>
        <v>0</v>
      </c>
      <c r="AD85" s="34" t="n">
        <f aca="false">IF(25&gt;Fin,AC$85,AD$75*P_IVAmeses)</f>
        <v>0</v>
      </c>
      <c r="AE85" s="34" t="n">
        <f aca="false">IF(26&gt;Fin,AD$85,AE$75*P_IVAmeses)</f>
        <v>0</v>
      </c>
      <c r="AF85" s="34" t="n">
        <f aca="false">IF(27&gt;Fin,AE$85,AF$75*P_IVAmeses)</f>
        <v>0</v>
      </c>
      <c r="AG85" s="34" t="n">
        <f aca="false">IF(28&gt;Fin,AF$85,AG$75*P_IVAmeses)</f>
        <v>0</v>
      </c>
      <c r="AH85" s="34" t="n">
        <f aca="false">IF(29&gt;Fin,AG$85,AH$75*P_IVAmeses)</f>
        <v>0</v>
      </c>
      <c r="AI85" s="34" t="n">
        <f aca="false">IF(30&gt;Fin,AH$85,AI$75*P_IVAmeses)</f>
        <v>0</v>
      </c>
      <c r="AJ85" s="34" t="n">
        <f aca="false">IF(31&gt;Fin,AI$85,AJ$75*P_IVAmeses)</f>
        <v>0</v>
      </c>
      <c r="AK85" s="34" t="n">
        <f aca="false">IF(32&gt;Fin,AJ$85,AK$75*P_IVAmeses)</f>
        <v>0</v>
      </c>
      <c r="AL85" s="34" t="n">
        <f aca="false">IF(33&gt;Fin,AK$85,AL$75*P_IVAmeses)</f>
        <v>0</v>
      </c>
      <c r="AM85" s="34" t="n">
        <f aca="false">IF(34&gt;Fin,AL$85,AM$75*P_IVAmeses)</f>
        <v>0</v>
      </c>
      <c r="AN85" s="34" t="n">
        <f aca="false">IF(35&gt;Fin,AM$85,AN$75*P_IVAmeses)</f>
        <v>0</v>
      </c>
      <c r="AO85" s="34" t="n">
        <f aca="false">IF(36&gt;Fin,AN$85,AO$75*P_IVAmeses)</f>
        <v>0</v>
      </c>
      <c r="AP85" s="34" t="n">
        <f aca="false">IF(37&gt;Fin,AO$85,AP$75*P_IVAmeses)</f>
        <v>0</v>
      </c>
      <c r="AQ85" s="34" t="n">
        <f aca="false">IF(38&gt;Fin,AP$85,AQ$75*P_IVAmeses)</f>
        <v>0</v>
      </c>
      <c r="AR85" s="34" t="n">
        <f aca="false">IF(39&gt;Fin,AQ$85,AR$75*P_IVAmeses)</f>
        <v>0</v>
      </c>
      <c r="AS85" s="34" t="n">
        <f aca="false">IF(40&gt;Fin,AR$85,AS$75*P_IVAmeses)</f>
        <v>0</v>
      </c>
      <c r="AT85" s="34" t="n">
        <f aca="false">IF(41&gt;Fin,AS$85,AT$75*P_IVAmeses)</f>
        <v>0</v>
      </c>
      <c r="AU85" s="34" t="n">
        <f aca="false">IF(42&gt;Fin,AT$85,AU$75*P_IVAmeses)</f>
        <v>0</v>
      </c>
      <c r="AV85" s="34" t="n">
        <f aca="false">IF(43&gt;Fin,AU$85,AV$75*P_IVAmeses)</f>
        <v>0</v>
      </c>
      <c r="AW85" s="34" t="n">
        <f aca="false">IF(44&gt;Fin,AV$85,AW$75*P_IVAmeses)</f>
        <v>0</v>
      </c>
      <c r="AX85" s="34" t="n">
        <f aca="false">IF(45&gt;Fin,AW$85,AX$75*P_IVAmeses)</f>
        <v>0</v>
      </c>
      <c r="AY85" s="34" t="n">
        <f aca="false">IF(46&gt;Fin,AX$85,AY$75*P_IVAmeses)</f>
        <v>0</v>
      </c>
      <c r="AZ85" s="34" t="n">
        <f aca="false">IF(47&gt;Fin,AY$85,AZ$75*P_IVAmeses)</f>
        <v>0</v>
      </c>
      <c r="BA85" s="34" t="n">
        <f aca="false">IF(48&gt;Fin,AZ$85,BA$75*P_IVAmeses)</f>
        <v>0</v>
      </c>
      <c r="BB85" s="34" t="n">
        <f aca="false">IF(49&gt;Fin,BA$85,BB$75*P_IVAmeses)</f>
        <v>0</v>
      </c>
      <c r="BC85" s="34" t="n">
        <f aca="false">IF(50&gt;Fin,BB$85,BC$75*P_IVAmeses)</f>
        <v>0</v>
      </c>
      <c r="BD85" s="34" t="n">
        <f aca="false">IF(51&gt;Fin,BC$85,BD$75*P_IVAmeses)</f>
        <v>0</v>
      </c>
      <c r="BE85" s="34" t="n">
        <f aca="false">IF(52&gt;Fin,BD$85,BE$75*P_IVAmeses)</f>
        <v>0</v>
      </c>
      <c r="BF85" s="34" t="n">
        <f aca="false">IF(53&gt;Fin,BE$85,BF$75*P_IVAmeses)</f>
        <v>0</v>
      </c>
      <c r="BG85" s="34" t="n">
        <f aca="false">IF(54&gt;Fin,BF$85,BG$75*P_IVAmeses)</f>
        <v>0</v>
      </c>
      <c r="BH85" s="34" t="n">
        <f aca="false">IF(55&gt;Fin,BG$85,BH$75*P_IVAmeses)</f>
        <v>0</v>
      </c>
      <c r="BI85" s="34" t="n">
        <f aca="false">IF(56&gt;Fin,BH$85,BI$75*P_IVAmeses)</f>
        <v>0</v>
      </c>
      <c r="BJ85" s="34" t="n">
        <f aca="false">IF(57&gt;Fin,BI$85,BJ$75*P_IVAmeses)</f>
        <v>0</v>
      </c>
      <c r="BK85" s="34" t="n">
        <f aca="false">IF(58&gt;Fin,BJ$85,BK$75*P_IVAmeses)</f>
        <v>0</v>
      </c>
      <c r="BL85" s="34" t="n">
        <f aca="false">IF(59&gt;Fin,BK$85,BL$75*P_IVAmeses)</f>
        <v>0</v>
      </c>
      <c r="BM85" s="34" t="n">
        <f aca="false">IF(60&gt;Fin,BL$85,BM$75*P_IVAmeses)</f>
        <v>0</v>
      </c>
      <c r="BN85" s="34" t="n">
        <f aca="false">IF(61&gt;Fin,BM$85,BN$75*P_IVAmeses)</f>
        <v>0</v>
      </c>
      <c r="BO85" s="34" t="n">
        <f aca="false">IF(62&gt;Fin,BN$85,BO$75*P_IVAmeses)</f>
        <v>0</v>
      </c>
      <c r="BP85" s="34" t="n">
        <f aca="false">IF(63&gt;Fin,BO$85,BP$75*P_IVAmeses)</f>
        <v>0</v>
      </c>
      <c r="BQ85" s="34" t="n">
        <f aca="false">IF(64&gt;Fin,BP$85,BQ$75*P_IVAmeses)</f>
        <v>0</v>
      </c>
      <c r="BR85" s="34" t="n">
        <f aca="false">IF(65&gt;Fin,BQ$85,BR$75*P_IVAmeses)</f>
        <v>0</v>
      </c>
      <c r="BS85" s="34" t="n">
        <f aca="false">IF(66&gt;Fin,BR$85,BS$75*P_IVAmeses)</f>
        <v>0</v>
      </c>
      <c r="BT85" s="34" t="n">
        <f aca="false">IF(67&gt;Fin,BS$85,BT$75*P_IVAmeses)</f>
        <v>0</v>
      </c>
      <c r="BU85" s="34" t="n">
        <f aca="false">IF(68&gt;Fin,BT$85,BU$75*P_IVAmeses)</f>
        <v>0</v>
      </c>
      <c r="BV85" s="34" t="n">
        <f aca="false">IF(69&gt;Fin,BU$85,BV$75*P_IVAmeses)</f>
        <v>0</v>
      </c>
      <c r="BW85" s="34" t="n">
        <f aca="false">IF(70&gt;Fin,BV$85,BW$75*P_IVAmeses)</f>
        <v>0</v>
      </c>
      <c r="BX85" s="34" t="n">
        <f aca="false">IF(71&gt;Fin,BW$85,BX$75*P_IVAmeses)</f>
        <v>0</v>
      </c>
      <c r="BY85" s="34" t="n">
        <f aca="false">IF(72&gt;Fin,BX$85,BY$75*P_IVAmeses)</f>
        <v>0</v>
      </c>
      <c r="BZ85" s="34" t="n">
        <f aca="false">IF(73&gt;Fin,BY$85,BZ$75*P_IVAmeses)</f>
        <v>0</v>
      </c>
      <c r="CA85" s="34" t="n">
        <f aca="false">IF(74&gt;Fin,BZ$85,CA$75*P_IVAmeses)</f>
        <v>0</v>
      </c>
      <c r="CB85" s="34" t="n">
        <f aca="false">IF(75&gt;Fin,CA$85,CB$75*P_IVAmeses)</f>
        <v>0</v>
      </c>
      <c r="CC85" s="34" t="n">
        <f aca="false">IF(76&gt;Fin,CB$85,CC$75*P_IVAmeses)</f>
        <v>0</v>
      </c>
      <c r="CD85" s="34" t="n">
        <f aca="false">IF(77&gt;Fin,CC$85,CD$75*P_IVAmeses)</f>
        <v>0</v>
      </c>
      <c r="CE85" s="34" t="n">
        <f aca="false">IF(78&gt;Fin,CD$85,CE$75*P_IVAmeses)</f>
        <v>0</v>
      </c>
      <c r="CF85" s="34" t="n">
        <f aca="false">IF(79&gt;Fin,CE$85,CF$75*P_IVAmeses)</f>
        <v>0</v>
      </c>
      <c r="CG85" s="34" t="n">
        <f aca="false">IF(80&gt;Fin,CF$85,CG$75*P_IVAmeses)</f>
        <v>0</v>
      </c>
      <c r="CH85" s="34" t="n">
        <f aca="false">IF(81&gt;Fin,CG$85,CH$75*P_IVAmeses)</f>
        <v>0</v>
      </c>
      <c r="CI85" s="34" t="n">
        <f aca="false">IF(82&gt;Fin,CH$85,CI$75*P_IVAmeses)</f>
        <v>0</v>
      </c>
      <c r="CJ85" s="34" t="n">
        <f aca="false">IF(83&gt;Fin,CI$85,CJ$75*P_IVAmeses)</f>
        <v>0</v>
      </c>
      <c r="CK85" s="34" t="n">
        <f aca="false">IF(84&gt;Fin,CJ$85,CK$75*P_IVAmeses)</f>
        <v>0</v>
      </c>
      <c r="CL85" s="34" t="n">
        <f aca="false">IF(85&gt;Fin,CK$85,CL$75*P_IVAmeses)</f>
        <v>0</v>
      </c>
      <c r="CM85" s="34" t="n">
        <f aca="false">IF(86&gt;Fin,CL$85,CM$75*P_IVAmeses)</f>
        <v>0</v>
      </c>
      <c r="CN85" s="34" t="n">
        <f aca="false">IF(87&gt;Fin,CM$85,CN$75*P_IVAmeses)</f>
        <v>0</v>
      </c>
      <c r="CO85" s="34" t="n">
        <f aca="false">IF(88&gt;Fin,CN$85,CO$75*P_IVAmeses)</f>
        <v>0</v>
      </c>
      <c r="CP85" s="34" t="n">
        <f aca="false">IF(89&gt;Fin,CO$85,CP$75*P_IVAmeses)</f>
        <v>0</v>
      </c>
      <c r="CQ85" s="34" t="n">
        <f aca="false">IF(90&gt;Fin,CP$85,CQ$75*P_IVAmeses)</f>
        <v>0</v>
      </c>
      <c r="CR85" s="34" t="n">
        <f aca="false">IF(91&gt;Fin,CQ$85,CR$75*P_IVAmeses)</f>
        <v>0</v>
      </c>
      <c r="CS85" s="34" t="n">
        <f aca="false">IF(92&gt;Fin,CR$85,CS$75*P_IVAmeses)</f>
        <v>0</v>
      </c>
      <c r="CT85" s="34" t="n">
        <f aca="false">IF(93&gt;Fin,CS$85,CT$75*P_IVAmeses)</f>
        <v>0</v>
      </c>
      <c r="CU85" s="34" t="n">
        <f aca="false">IF(94&gt;Fin,CT$85,CU$75*P_IVAmeses)</f>
        <v>0</v>
      </c>
      <c r="CV85" s="34" t="n">
        <f aca="false">IF(95&gt;Fin,CU$85,CV$75*P_IVAmeses)</f>
        <v>0</v>
      </c>
      <c r="CW85" s="34" t="n">
        <f aca="false">IF(96&gt;Fin,CV$85,CW$75*P_IVAmeses)</f>
        <v>0</v>
      </c>
      <c r="CX85" s="34" t="n">
        <f aca="false">IF(97&gt;Fin,CW$85,CX$75*P_IVAmeses)</f>
        <v>0</v>
      </c>
      <c r="CY85" s="34" t="n">
        <f aca="false">IF(98&gt;Fin,CX$85,CY$75*P_IVAmeses)</f>
        <v>0</v>
      </c>
      <c r="CZ85" s="34" t="n">
        <f aca="false">IF(99&gt;Fin,CY$85,CZ$75*P_IVAmeses)</f>
        <v>0</v>
      </c>
      <c r="DA85" s="34" t="n">
        <f aca="false">IF(100&gt;Fin,CZ$85,DA$75*P_IVAmeses)</f>
        <v>0</v>
      </c>
      <c r="DB85" s="34" t="n">
        <f aca="false">IF(101&gt;Fin,DA$85,DB$75*P_IVAmeses)</f>
        <v>0</v>
      </c>
      <c r="DC85" s="34" t="n">
        <f aca="false">IF(102&gt;Fin,DB$85,DC$75*P_IVAmeses)</f>
        <v>0</v>
      </c>
      <c r="DD85" s="34" t="n">
        <f aca="false">IF(103&gt;Fin,DC$85,DD$75*P_IVAmeses)</f>
        <v>0</v>
      </c>
      <c r="DE85" s="34" t="n">
        <f aca="false">IF(104&gt;Fin,DD$85,DE$75*P_IVAmeses)</f>
        <v>0</v>
      </c>
      <c r="DF85" s="34" t="n">
        <f aca="false">IF(105&gt;Fin,DE$85,DF$75*P_IVAmeses)</f>
        <v>0</v>
      </c>
      <c r="DG85" s="34" t="n">
        <f aca="false">IF(106&gt;Fin,DF$85,DG$75*P_IVAmeses)</f>
        <v>0</v>
      </c>
      <c r="DH85" s="34" t="n">
        <f aca="false">IF(107&gt;Fin,DG$85,DH$75*P_IVAmeses)</f>
        <v>0</v>
      </c>
      <c r="DI85" s="34" t="n">
        <f aca="false">IF(108&gt;Fin,DH$85,DI$75*P_IVAmeses)</f>
        <v>0</v>
      </c>
      <c r="DJ85" s="34" t="n">
        <f aca="false">IF(109&gt;Fin,DI$85,DJ$75*P_IVAmeses)</f>
        <v>0</v>
      </c>
      <c r="DK85" s="34" t="n">
        <f aca="false">IF(110&gt;Fin,DJ$85,DK$75*P_IVAmeses)</f>
        <v>0</v>
      </c>
      <c r="DL85" s="34" t="n">
        <f aca="false">IF(111&gt;Fin,DK$85,DL$75*P_IVAmeses)</f>
        <v>0</v>
      </c>
      <c r="DM85" s="34" t="n">
        <f aca="false">IF(112&gt;Fin,DL$85,DM$75*P_IVAmeses)</f>
        <v>0</v>
      </c>
      <c r="DN85" s="34" t="n">
        <f aca="false">IF(113&gt;Fin,DM$85,DN$75*P_IVAmeses)</f>
        <v>0</v>
      </c>
      <c r="DO85" s="34" t="n">
        <f aca="false">IF(114&gt;Fin,DN$85,DO$75*P_IVAmeses)</f>
        <v>0</v>
      </c>
      <c r="DP85" s="34" t="n">
        <f aca="false">IF(115&gt;Fin,DO$85,DP$75*P_IVAmeses)</f>
        <v>0</v>
      </c>
      <c r="DQ85" s="34" t="n">
        <f aca="false">IF(116&gt;Fin,DP$85,DQ$75*P_IVAmeses)</f>
        <v>0</v>
      </c>
      <c r="DR85" s="34" t="n">
        <f aca="false">IF(117&gt;Fin,DQ$85,DR$75*P_IVAmeses)</f>
        <v>0</v>
      </c>
      <c r="DS85" s="34" t="n">
        <f aca="false">IF(118&gt;Fin,DR$85,DS$75*P_IVAmeses)</f>
        <v>0</v>
      </c>
      <c r="DT85" s="34" t="n">
        <f aca="false">IF(119&gt;Fin,DS$85,DT$75*P_IVAmeses)</f>
        <v>0</v>
      </c>
      <c r="DU85" s="34" t="n">
        <f aca="false">IF(120&gt;Fin,DT$85,DU$75*P_IVAmeses)</f>
        <v>0</v>
      </c>
      <c r="DV85" s="34" t="n">
        <f aca="false">IF(121&gt;Fin,DU$85,DV$75*P_IVAmeses)</f>
        <v>0</v>
      </c>
      <c r="DW85" s="34" t="n">
        <f aca="false">IF(122&gt;Fin,DV$85,DW$75*P_IVAmeses)</f>
        <v>0</v>
      </c>
      <c r="DX85" s="34" t="n">
        <f aca="false">IF(123&gt;Fin,DW$85,DX$75*P_IVAmeses)</f>
        <v>0</v>
      </c>
      <c r="DY85" s="34" t="n">
        <f aca="false">IF(124&gt;Fin,DX$85,DY$75*P_IVAmeses)</f>
        <v>0</v>
      </c>
      <c r="DZ85" s="34" t="n">
        <f aca="false">IF(125&gt;Fin,DY$85,DZ$75*P_IVAmeses)</f>
        <v>0</v>
      </c>
      <c r="EA85" s="34" t="n">
        <f aca="false">IF(126&gt;Fin,DZ$85,EA$75*P_IVAmeses)</f>
        <v>0</v>
      </c>
      <c r="EB85" s="34" t="n">
        <f aca="false">IF(127&gt;Fin,EA$85,EB$75*P_IVAmeses)</f>
        <v>0</v>
      </c>
      <c r="EC85" s="34" t="n">
        <f aca="false">IF(128&gt;Fin,EB$85,EC$75*P_IVAmeses)</f>
        <v>0</v>
      </c>
      <c r="ED85" s="34" t="n">
        <f aca="false">IF(129&gt;Fin,EC$85,ED$75*P_IVAmeses)</f>
        <v>0</v>
      </c>
      <c r="EE85" s="34" t="n">
        <f aca="false">IF(130&gt;Fin,ED$85,EE$75*P_IVAmeses)</f>
        <v>0</v>
      </c>
      <c r="EF85" s="34" t="n">
        <f aca="false">IF(131&gt;Fin,EE$85,EF$75*P_IVAmeses)</f>
        <v>0</v>
      </c>
      <c r="EG85" s="34" t="n">
        <f aca="false">IF(132&gt;Fin,EF$85,EG$75*P_IVAmeses)</f>
        <v>0</v>
      </c>
      <c r="EH85" s="34" t="n">
        <f aca="false">IF(133&gt;Fin,EG$85,EH$75*P_IVAmeses)</f>
        <v>0</v>
      </c>
      <c r="EI85" s="34" t="n">
        <f aca="false">IF(134&gt;Fin,EH$85,EI$75*P_IVAmeses)</f>
        <v>0</v>
      </c>
      <c r="EJ85" s="34" t="n">
        <f aca="false">IF(135&gt;Fin,EI$85,EJ$75*P_IVAmeses)</f>
        <v>0</v>
      </c>
      <c r="EK85" s="34" t="n">
        <f aca="false">IF(136&gt;Fin,EJ$85,EK$75*P_IVAmeses)</f>
        <v>0</v>
      </c>
      <c r="EL85" s="34" t="n">
        <f aca="false">IF(137&gt;Fin,EK$85,EL$75*P_IVAmeses)</f>
        <v>0</v>
      </c>
      <c r="EM85" s="34" t="n">
        <f aca="false">IF(138&gt;Fin,EL$85,EM$75*P_IVAmeses)</f>
        <v>0</v>
      </c>
      <c r="EN85" s="34" t="n">
        <f aca="false">IF(139&gt;Fin,EM$85,EN$75*P_IVAmeses)</f>
        <v>0</v>
      </c>
      <c r="EO85" s="34" t="n">
        <f aca="false">IF(140&gt;Fin,EN$85,EO$75*P_IVAmeses)</f>
        <v>0</v>
      </c>
      <c r="EP85" s="34" t="n">
        <f aca="false">IF(141&gt;Fin,EO$85,EP$75*P_IVAmeses)</f>
        <v>0</v>
      </c>
      <c r="EQ85" s="34" t="n">
        <f aca="false">IF(142&gt;Fin,EP$85,EQ$75*P_IVAmeses)</f>
        <v>0</v>
      </c>
      <c r="ER85" s="34" t="n">
        <f aca="false">IF(143&gt;Fin,EQ$85,ER$75*P_IVAmeses)</f>
        <v>0</v>
      </c>
      <c r="ES85" s="34" t="n">
        <f aca="false">IF(144&gt;Fin,ER$85,ES$75*P_IVAmeses)</f>
        <v>0</v>
      </c>
    </row>
    <row r="86" customFormat="false" ht="15" hidden="false" customHeight="false" outlineLevel="0" collapsed="false">
      <c r="A86" s="2" t="s">
        <v>532</v>
      </c>
      <c r="B86" s="6" t="s">
        <v>533</v>
      </c>
      <c r="C86" s="6" t="s">
        <v>212</v>
      </c>
      <c r="E86" s="40" t="n">
        <f aca="false">INDEX(F86:ES86,1,MIN(144,Fin))</f>
        <v>0</v>
      </c>
      <c r="F86" s="34" t="n">
        <f aca="false">IF(1&gt;Fin,0,F$67*P_DPOmp/DiasMes+(F$68+F$70+F$73+F$74)*P_DPOot/DiasMes)</f>
        <v>0</v>
      </c>
      <c r="G86" s="34" t="n">
        <f aca="false">IF(2&gt;Fin,F$86,G$67*P_DPOmp/DiasMes+(G$68+G$70+G$73+G$74)*P_DPOot/DiasMes)</f>
        <v>0</v>
      </c>
      <c r="H86" s="34" t="n">
        <f aca="false">IF(3&gt;Fin,G$86,H$67*P_DPOmp/DiasMes+(H$68+H$70+H$73+H$74)*P_DPOot/DiasMes)</f>
        <v>0</v>
      </c>
      <c r="I86" s="34" t="n">
        <f aca="false">IF(4&gt;Fin,H$86,I$67*P_DPOmp/DiasMes+(I$68+I$70+I$73+I$74)*P_DPOot/DiasMes)</f>
        <v>0</v>
      </c>
      <c r="J86" s="34" t="n">
        <f aca="false">IF(5&gt;Fin,I$86,J$67*P_DPOmp/DiasMes+(J$68+J$70+J$73+J$74)*P_DPOot/DiasMes)</f>
        <v>0</v>
      </c>
      <c r="K86" s="34" t="n">
        <f aca="false">IF(6&gt;Fin,J$86,K$67*P_DPOmp/DiasMes+(K$68+K$70+K$73+K$74)*P_DPOot/DiasMes)</f>
        <v>0</v>
      </c>
      <c r="L86" s="34" t="n">
        <f aca="false">IF(7&gt;Fin,K$86,L$67*P_DPOmp/DiasMes+(L$68+L$70+L$73+L$74)*P_DPOot/DiasMes)</f>
        <v>0</v>
      </c>
      <c r="M86" s="34" t="n">
        <f aca="false">IF(8&gt;Fin,L$86,M$67*P_DPOmp/DiasMes+(M$68+M$70+M$73+M$74)*P_DPOot/DiasMes)</f>
        <v>0</v>
      </c>
      <c r="N86" s="34" t="n">
        <f aca="false">IF(9&gt;Fin,M$86,N$67*P_DPOmp/DiasMes+(N$68+N$70+N$73+N$74)*P_DPOot/DiasMes)</f>
        <v>0</v>
      </c>
      <c r="O86" s="34" t="n">
        <f aca="false">IF(10&gt;Fin,N$86,O$67*P_DPOmp/DiasMes+(O$68+O$70+O$73+O$74)*P_DPOot/DiasMes)</f>
        <v>0</v>
      </c>
      <c r="P86" s="34" t="n">
        <f aca="false">IF(11&gt;Fin,O$86,P$67*P_DPOmp/DiasMes+(P$68+P$70+P$73+P$74)*P_DPOot/DiasMes)</f>
        <v>0</v>
      </c>
      <c r="Q86" s="34" t="n">
        <f aca="false">IF(12&gt;Fin,P$86,Q$67*P_DPOmp/DiasMes+(Q$68+Q$70+Q$73+Q$74)*P_DPOot/DiasMes)</f>
        <v>0</v>
      </c>
      <c r="R86" s="34" t="n">
        <f aca="false">IF(13&gt;Fin,Q$86,R$67*P_DPOmp/DiasMes+(R$68+R$70+R$73+R$74)*P_DPOot/DiasMes)</f>
        <v>0</v>
      </c>
      <c r="S86" s="34" t="n">
        <f aca="false">IF(14&gt;Fin,R$86,S$67*P_DPOmp/DiasMes+(S$68+S$70+S$73+S$74)*P_DPOot/DiasMes)</f>
        <v>0</v>
      </c>
      <c r="T86" s="34" t="n">
        <f aca="false">IF(15&gt;Fin,S$86,T$67*P_DPOmp/DiasMes+(T$68+T$70+T$73+T$74)*P_DPOot/DiasMes)</f>
        <v>0</v>
      </c>
      <c r="U86" s="34" t="n">
        <f aca="false">IF(16&gt;Fin,T$86,U$67*P_DPOmp/DiasMes+(U$68+U$70+U$73+U$74)*P_DPOot/DiasMes)</f>
        <v>0</v>
      </c>
      <c r="V86" s="34" t="n">
        <f aca="false">IF(17&gt;Fin,U$86,V$67*P_DPOmp/DiasMes+(V$68+V$70+V$73+V$74)*P_DPOot/DiasMes)</f>
        <v>0</v>
      </c>
      <c r="W86" s="34" t="n">
        <f aca="false">IF(18&gt;Fin,V$86,W$67*P_DPOmp/DiasMes+(W$68+W$70+W$73+W$74)*P_DPOot/DiasMes)</f>
        <v>0</v>
      </c>
      <c r="X86" s="34" t="n">
        <f aca="false">IF(19&gt;Fin,W$86,X$67*P_DPOmp/DiasMes+(X$68+X$70+X$73+X$74)*P_DPOot/DiasMes)</f>
        <v>0</v>
      </c>
      <c r="Y86" s="34" t="n">
        <f aca="false">IF(20&gt;Fin,X$86,Y$67*P_DPOmp/DiasMes+(Y$68+Y$70+Y$73+Y$74)*P_DPOot/DiasMes)</f>
        <v>0</v>
      </c>
      <c r="Z86" s="34" t="n">
        <f aca="false">IF(21&gt;Fin,Y$86,Z$67*P_DPOmp/DiasMes+(Z$68+Z$70+Z$73+Z$74)*P_DPOot/DiasMes)</f>
        <v>0</v>
      </c>
      <c r="AA86" s="34" t="n">
        <f aca="false">IF(22&gt;Fin,Z$86,AA$67*P_DPOmp/DiasMes+(AA$68+AA$70+AA$73+AA$74)*P_DPOot/DiasMes)</f>
        <v>0</v>
      </c>
      <c r="AB86" s="34" t="n">
        <f aca="false">IF(23&gt;Fin,AA$86,AB$67*P_DPOmp/DiasMes+(AB$68+AB$70+AB$73+AB$74)*P_DPOot/DiasMes)</f>
        <v>0</v>
      </c>
      <c r="AC86" s="34" t="n">
        <f aca="false">IF(24&gt;Fin,AB$86,AC$67*P_DPOmp/DiasMes+(AC$68+AC$70+AC$73+AC$74)*P_DPOot/DiasMes)</f>
        <v>0</v>
      </c>
      <c r="AD86" s="34" t="n">
        <f aca="false">IF(25&gt;Fin,AC$86,AD$67*P_DPOmp/DiasMes+(AD$68+AD$70+AD$73+AD$74)*P_DPOot/DiasMes)</f>
        <v>0</v>
      </c>
      <c r="AE86" s="34" t="n">
        <f aca="false">IF(26&gt;Fin,AD$86,AE$67*P_DPOmp/DiasMes+(AE$68+AE$70+AE$73+AE$74)*P_DPOot/DiasMes)</f>
        <v>0</v>
      </c>
      <c r="AF86" s="34" t="n">
        <f aca="false">IF(27&gt;Fin,AE$86,AF$67*P_DPOmp/DiasMes+(AF$68+AF$70+AF$73+AF$74)*P_DPOot/DiasMes)</f>
        <v>0</v>
      </c>
      <c r="AG86" s="34" t="n">
        <f aca="false">IF(28&gt;Fin,AF$86,AG$67*P_DPOmp/DiasMes+(AG$68+AG$70+AG$73+AG$74)*P_DPOot/DiasMes)</f>
        <v>0</v>
      </c>
      <c r="AH86" s="34" t="n">
        <f aca="false">IF(29&gt;Fin,AG$86,AH$67*P_DPOmp/DiasMes+(AH$68+AH$70+AH$73+AH$74)*P_DPOot/DiasMes)</f>
        <v>0</v>
      </c>
      <c r="AI86" s="34" t="n">
        <f aca="false">IF(30&gt;Fin,AH$86,AI$67*P_DPOmp/DiasMes+(AI$68+AI$70+AI$73+AI$74)*P_DPOot/DiasMes)</f>
        <v>0</v>
      </c>
      <c r="AJ86" s="34" t="n">
        <f aca="false">IF(31&gt;Fin,AI$86,AJ$67*P_DPOmp/DiasMes+(AJ$68+AJ$70+AJ$73+AJ$74)*P_DPOot/DiasMes)</f>
        <v>0</v>
      </c>
      <c r="AK86" s="34" t="n">
        <f aca="false">IF(32&gt;Fin,AJ$86,AK$67*P_DPOmp/DiasMes+(AK$68+AK$70+AK$73+AK$74)*P_DPOot/DiasMes)</f>
        <v>0</v>
      </c>
      <c r="AL86" s="34" t="n">
        <f aca="false">IF(33&gt;Fin,AK$86,AL$67*P_DPOmp/DiasMes+(AL$68+AL$70+AL$73+AL$74)*P_DPOot/DiasMes)</f>
        <v>0</v>
      </c>
      <c r="AM86" s="34" t="n">
        <f aca="false">IF(34&gt;Fin,AL$86,AM$67*P_DPOmp/DiasMes+(AM$68+AM$70+AM$73+AM$74)*P_DPOot/DiasMes)</f>
        <v>0</v>
      </c>
      <c r="AN86" s="34" t="n">
        <f aca="false">IF(35&gt;Fin,AM$86,AN$67*P_DPOmp/DiasMes+(AN$68+AN$70+AN$73+AN$74)*P_DPOot/DiasMes)</f>
        <v>0</v>
      </c>
      <c r="AO86" s="34" t="n">
        <f aca="false">IF(36&gt;Fin,AN$86,AO$67*P_DPOmp/DiasMes+(AO$68+AO$70+AO$73+AO$74)*P_DPOot/DiasMes)</f>
        <v>0</v>
      </c>
      <c r="AP86" s="34" t="n">
        <f aca="false">IF(37&gt;Fin,AO$86,AP$67*P_DPOmp/DiasMes+(AP$68+AP$70+AP$73+AP$74)*P_DPOot/DiasMes)</f>
        <v>0</v>
      </c>
      <c r="AQ86" s="34" t="n">
        <f aca="false">IF(38&gt;Fin,AP$86,AQ$67*P_DPOmp/DiasMes+(AQ$68+AQ$70+AQ$73+AQ$74)*P_DPOot/DiasMes)</f>
        <v>0</v>
      </c>
      <c r="AR86" s="34" t="n">
        <f aca="false">IF(39&gt;Fin,AQ$86,AR$67*P_DPOmp/DiasMes+(AR$68+AR$70+AR$73+AR$74)*P_DPOot/DiasMes)</f>
        <v>0</v>
      </c>
      <c r="AS86" s="34" t="n">
        <f aca="false">IF(40&gt;Fin,AR$86,AS$67*P_DPOmp/DiasMes+(AS$68+AS$70+AS$73+AS$74)*P_DPOot/DiasMes)</f>
        <v>0</v>
      </c>
      <c r="AT86" s="34" t="n">
        <f aca="false">IF(41&gt;Fin,AS$86,AT$67*P_DPOmp/DiasMes+(AT$68+AT$70+AT$73+AT$74)*P_DPOot/DiasMes)</f>
        <v>0</v>
      </c>
      <c r="AU86" s="34" t="n">
        <f aca="false">IF(42&gt;Fin,AT$86,AU$67*P_DPOmp/DiasMes+(AU$68+AU$70+AU$73+AU$74)*P_DPOot/DiasMes)</f>
        <v>0</v>
      </c>
      <c r="AV86" s="34" t="n">
        <f aca="false">IF(43&gt;Fin,AU$86,AV$67*P_DPOmp/DiasMes+(AV$68+AV$70+AV$73+AV$74)*P_DPOot/DiasMes)</f>
        <v>0</v>
      </c>
      <c r="AW86" s="34" t="n">
        <f aca="false">IF(44&gt;Fin,AV$86,AW$67*P_DPOmp/DiasMes+(AW$68+AW$70+AW$73+AW$74)*P_DPOot/DiasMes)</f>
        <v>0</v>
      </c>
      <c r="AX86" s="34" t="n">
        <f aca="false">IF(45&gt;Fin,AW$86,AX$67*P_DPOmp/DiasMes+(AX$68+AX$70+AX$73+AX$74)*P_DPOot/DiasMes)</f>
        <v>0</v>
      </c>
      <c r="AY86" s="34" t="n">
        <f aca="false">IF(46&gt;Fin,AX$86,AY$67*P_DPOmp/DiasMes+(AY$68+AY$70+AY$73+AY$74)*P_DPOot/DiasMes)</f>
        <v>0</v>
      </c>
      <c r="AZ86" s="34" t="n">
        <f aca="false">IF(47&gt;Fin,AY$86,AZ$67*P_DPOmp/DiasMes+(AZ$68+AZ$70+AZ$73+AZ$74)*P_DPOot/DiasMes)</f>
        <v>0</v>
      </c>
      <c r="BA86" s="34" t="n">
        <f aca="false">IF(48&gt;Fin,AZ$86,BA$67*P_DPOmp/DiasMes+(BA$68+BA$70+BA$73+BA$74)*P_DPOot/DiasMes)</f>
        <v>0</v>
      </c>
      <c r="BB86" s="34" t="n">
        <f aca="false">IF(49&gt;Fin,BA$86,BB$67*P_DPOmp/DiasMes+(BB$68+BB$70+BB$73+BB$74)*P_DPOot/DiasMes)</f>
        <v>0</v>
      </c>
      <c r="BC86" s="34" t="n">
        <f aca="false">IF(50&gt;Fin,BB$86,BC$67*P_DPOmp/DiasMes+(BC$68+BC$70+BC$73+BC$74)*P_DPOot/DiasMes)</f>
        <v>0</v>
      </c>
      <c r="BD86" s="34" t="n">
        <f aca="false">IF(51&gt;Fin,BC$86,BD$67*P_DPOmp/DiasMes+(BD$68+BD$70+BD$73+BD$74)*P_DPOot/DiasMes)</f>
        <v>0</v>
      </c>
      <c r="BE86" s="34" t="n">
        <f aca="false">IF(52&gt;Fin,BD$86,BE$67*P_DPOmp/DiasMes+(BE$68+BE$70+BE$73+BE$74)*P_DPOot/DiasMes)</f>
        <v>0</v>
      </c>
      <c r="BF86" s="34" t="n">
        <f aca="false">IF(53&gt;Fin,BE$86,BF$67*P_DPOmp/DiasMes+(BF$68+BF$70+BF$73+BF$74)*P_DPOot/DiasMes)</f>
        <v>0</v>
      </c>
      <c r="BG86" s="34" t="n">
        <f aca="false">IF(54&gt;Fin,BF$86,BG$67*P_DPOmp/DiasMes+(BG$68+BG$70+BG$73+BG$74)*P_DPOot/DiasMes)</f>
        <v>0</v>
      </c>
      <c r="BH86" s="34" t="n">
        <f aca="false">IF(55&gt;Fin,BG$86,BH$67*P_DPOmp/DiasMes+(BH$68+BH$70+BH$73+BH$74)*P_DPOot/DiasMes)</f>
        <v>0</v>
      </c>
      <c r="BI86" s="34" t="n">
        <f aca="false">IF(56&gt;Fin,BH$86,BI$67*P_DPOmp/DiasMes+(BI$68+BI$70+BI$73+BI$74)*P_DPOot/DiasMes)</f>
        <v>0</v>
      </c>
      <c r="BJ86" s="34" t="n">
        <f aca="false">IF(57&gt;Fin,BI$86,BJ$67*P_DPOmp/DiasMes+(BJ$68+BJ$70+BJ$73+BJ$74)*P_DPOot/DiasMes)</f>
        <v>0</v>
      </c>
      <c r="BK86" s="34" t="n">
        <f aca="false">IF(58&gt;Fin,BJ$86,BK$67*P_DPOmp/DiasMes+(BK$68+BK$70+BK$73+BK$74)*P_DPOot/DiasMes)</f>
        <v>0</v>
      </c>
      <c r="BL86" s="34" t="n">
        <f aca="false">IF(59&gt;Fin,BK$86,BL$67*P_DPOmp/DiasMes+(BL$68+BL$70+BL$73+BL$74)*P_DPOot/DiasMes)</f>
        <v>0</v>
      </c>
      <c r="BM86" s="34" t="n">
        <f aca="false">IF(60&gt;Fin,BL$86,BM$67*P_DPOmp/DiasMes+(BM$68+BM$70+BM$73+BM$74)*P_DPOot/DiasMes)</f>
        <v>0</v>
      </c>
      <c r="BN86" s="34" t="n">
        <f aca="false">IF(61&gt;Fin,BM$86,BN$67*P_DPOmp/DiasMes+(BN$68+BN$70+BN$73+BN$74)*P_DPOot/DiasMes)</f>
        <v>0</v>
      </c>
      <c r="BO86" s="34" t="n">
        <f aca="false">IF(62&gt;Fin,BN$86,BO$67*P_DPOmp/DiasMes+(BO$68+BO$70+BO$73+BO$74)*P_DPOot/DiasMes)</f>
        <v>0</v>
      </c>
      <c r="BP86" s="34" t="n">
        <f aca="false">IF(63&gt;Fin,BO$86,BP$67*P_DPOmp/DiasMes+(BP$68+BP$70+BP$73+BP$74)*P_DPOot/DiasMes)</f>
        <v>0</v>
      </c>
      <c r="BQ86" s="34" t="n">
        <f aca="false">IF(64&gt;Fin,BP$86,BQ$67*P_DPOmp/DiasMes+(BQ$68+BQ$70+BQ$73+BQ$74)*P_DPOot/DiasMes)</f>
        <v>0</v>
      </c>
      <c r="BR86" s="34" t="n">
        <f aca="false">IF(65&gt;Fin,BQ$86,BR$67*P_DPOmp/DiasMes+(BR$68+BR$70+BR$73+BR$74)*P_DPOot/DiasMes)</f>
        <v>0</v>
      </c>
      <c r="BS86" s="34" t="n">
        <f aca="false">IF(66&gt;Fin,BR$86,BS$67*P_DPOmp/DiasMes+(BS$68+BS$70+BS$73+BS$74)*P_DPOot/DiasMes)</f>
        <v>0</v>
      </c>
      <c r="BT86" s="34" t="n">
        <f aca="false">IF(67&gt;Fin,BS$86,BT$67*P_DPOmp/DiasMes+(BT$68+BT$70+BT$73+BT$74)*P_DPOot/DiasMes)</f>
        <v>0</v>
      </c>
      <c r="BU86" s="34" t="n">
        <f aca="false">IF(68&gt;Fin,BT$86,BU$67*P_DPOmp/DiasMes+(BU$68+BU$70+BU$73+BU$74)*P_DPOot/DiasMes)</f>
        <v>0</v>
      </c>
      <c r="BV86" s="34" t="n">
        <f aca="false">IF(69&gt;Fin,BU$86,BV$67*P_DPOmp/DiasMes+(BV$68+BV$70+BV$73+BV$74)*P_DPOot/DiasMes)</f>
        <v>0</v>
      </c>
      <c r="BW86" s="34" t="n">
        <f aca="false">IF(70&gt;Fin,BV$86,BW$67*P_DPOmp/DiasMes+(BW$68+BW$70+BW$73+BW$74)*P_DPOot/DiasMes)</f>
        <v>0</v>
      </c>
      <c r="BX86" s="34" t="n">
        <f aca="false">IF(71&gt;Fin,BW$86,BX$67*P_DPOmp/DiasMes+(BX$68+BX$70+BX$73+BX$74)*P_DPOot/DiasMes)</f>
        <v>0</v>
      </c>
      <c r="BY86" s="34" t="n">
        <f aca="false">IF(72&gt;Fin,BX$86,BY$67*P_DPOmp/DiasMes+(BY$68+BY$70+BY$73+BY$74)*P_DPOot/DiasMes)</f>
        <v>0</v>
      </c>
      <c r="BZ86" s="34" t="n">
        <f aca="false">IF(73&gt;Fin,BY$86,BZ$67*P_DPOmp/DiasMes+(BZ$68+BZ$70+BZ$73+BZ$74)*P_DPOot/DiasMes)</f>
        <v>0</v>
      </c>
      <c r="CA86" s="34" t="n">
        <f aca="false">IF(74&gt;Fin,BZ$86,CA$67*P_DPOmp/DiasMes+(CA$68+CA$70+CA$73+CA$74)*P_DPOot/DiasMes)</f>
        <v>0</v>
      </c>
      <c r="CB86" s="34" t="n">
        <f aca="false">IF(75&gt;Fin,CA$86,CB$67*P_DPOmp/DiasMes+(CB$68+CB$70+CB$73+CB$74)*P_DPOot/DiasMes)</f>
        <v>0</v>
      </c>
      <c r="CC86" s="34" t="n">
        <f aca="false">IF(76&gt;Fin,CB$86,CC$67*P_DPOmp/DiasMes+(CC$68+CC$70+CC$73+CC$74)*P_DPOot/DiasMes)</f>
        <v>0</v>
      </c>
      <c r="CD86" s="34" t="n">
        <f aca="false">IF(77&gt;Fin,CC$86,CD$67*P_DPOmp/DiasMes+(CD$68+CD$70+CD$73+CD$74)*P_DPOot/DiasMes)</f>
        <v>0</v>
      </c>
      <c r="CE86" s="34" t="n">
        <f aca="false">IF(78&gt;Fin,CD$86,CE$67*P_DPOmp/DiasMes+(CE$68+CE$70+CE$73+CE$74)*P_DPOot/DiasMes)</f>
        <v>0</v>
      </c>
      <c r="CF86" s="34" t="n">
        <f aca="false">IF(79&gt;Fin,CE$86,CF$67*P_DPOmp/DiasMes+(CF$68+CF$70+CF$73+CF$74)*P_DPOot/DiasMes)</f>
        <v>0</v>
      </c>
      <c r="CG86" s="34" t="n">
        <f aca="false">IF(80&gt;Fin,CF$86,CG$67*P_DPOmp/DiasMes+(CG$68+CG$70+CG$73+CG$74)*P_DPOot/DiasMes)</f>
        <v>0</v>
      </c>
      <c r="CH86" s="34" t="n">
        <f aca="false">IF(81&gt;Fin,CG$86,CH$67*P_DPOmp/DiasMes+(CH$68+CH$70+CH$73+CH$74)*P_DPOot/DiasMes)</f>
        <v>0</v>
      </c>
      <c r="CI86" s="34" t="n">
        <f aca="false">IF(82&gt;Fin,CH$86,CI$67*P_DPOmp/DiasMes+(CI$68+CI$70+CI$73+CI$74)*P_DPOot/DiasMes)</f>
        <v>0</v>
      </c>
      <c r="CJ86" s="34" t="n">
        <f aca="false">IF(83&gt;Fin,CI$86,CJ$67*P_DPOmp/DiasMes+(CJ$68+CJ$70+CJ$73+CJ$74)*P_DPOot/DiasMes)</f>
        <v>0</v>
      </c>
      <c r="CK86" s="34" t="n">
        <f aca="false">IF(84&gt;Fin,CJ$86,CK$67*P_DPOmp/DiasMes+(CK$68+CK$70+CK$73+CK$74)*P_DPOot/DiasMes)</f>
        <v>0</v>
      </c>
      <c r="CL86" s="34" t="n">
        <f aca="false">IF(85&gt;Fin,CK$86,CL$67*P_DPOmp/DiasMes+(CL$68+CL$70+CL$73+CL$74)*P_DPOot/DiasMes)</f>
        <v>0</v>
      </c>
      <c r="CM86" s="34" t="n">
        <f aca="false">IF(86&gt;Fin,CL$86,CM$67*P_DPOmp/DiasMes+(CM$68+CM$70+CM$73+CM$74)*P_DPOot/DiasMes)</f>
        <v>0</v>
      </c>
      <c r="CN86" s="34" t="n">
        <f aca="false">IF(87&gt;Fin,CM$86,CN$67*P_DPOmp/DiasMes+(CN$68+CN$70+CN$73+CN$74)*P_DPOot/DiasMes)</f>
        <v>0</v>
      </c>
      <c r="CO86" s="34" t="n">
        <f aca="false">IF(88&gt;Fin,CN$86,CO$67*P_DPOmp/DiasMes+(CO$68+CO$70+CO$73+CO$74)*P_DPOot/DiasMes)</f>
        <v>0</v>
      </c>
      <c r="CP86" s="34" t="n">
        <f aca="false">IF(89&gt;Fin,CO$86,CP$67*P_DPOmp/DiasMes+(CP$68+CP$70+CP$73+CP$74)*P_DPOot/DiasMes)</f>
        <v>0</v>
      </c>
      <c r="CQ86" s="34" t="n">
        <f aca="false">IF(90&gt;Fin,CP$86,CQ$67*P_DPOmp/DiasMes+(CQ$68+CQ$70+CQ$73+CQ$74)*P_DPOot/DiasMes)</f>
        <v>0</v>
      </c>
      <c r="CR86" s="34" t="n">
        <f aca="false">IF(91&gt;Fin,CQ$86,CR$67*P_DPOmp/DiasMes+(CR$68+CR$70+CR$73+CR$74)*P_DPOot/DiasMes)</f>
        <v>0</v>
      </c>
      <c r="CS86" s="34" t="n">
        <f aca="false">IF(92&gt;Fin,CR$86,CS$67*P_DPOmp/DiasMes+(CS$68+CS$70+CS$73+CS$74)*P_DPOot/DiasMes)</f>
        <v>0</v>
      </c>
      <c r="CT86" s="34" t="n">
        <f aca="false">IF(93&gt;Fin,CS$86,CT$67*P_DPOmp/DiasMes+(CT$68+CT$70+CT$73+CT$74)*P_DPOot/DiasMes)</f>
        <v>0</v>
      </c>
      <c r="CU86" s="34" t="n">
        <f aca="false">IF(94&gt;Fin,CT$86,CU$67*P_DPOmp/DiasMes+(CU$68+CU$70+CU$73+CU$74)*P_DPOot/DiasMes)</f>
        <v>0</v>
      </c>
      <c r="CV86" s="34" t="n">
        <f aca="false">IF(95&gt;Fin,CU$86,CV$67*P_DPOmp/DiasMes+(CV$68+CV$70+CV$73+CV$74)*P_DPOot/DiasMes)</f>
        <v>0</v>
      </c>
      <c r="CW86" s="34" t="n">
        <f aca="false">IF(96&gt;Fin,CV$86,CW$67*P_DPOmp/DiasMes+(CW$68+CW$70+CW$73+CW$74)*P_DPOot/DiasMes)</f>
        <v>0</v>
      </c>
      <c r="CX86" s="34" t="n">
        <f aca="false">IF(97&gt;Fin,CW$86,CX$67*P_DPOmp/DiasMes+(CX$68+CX$70+CX$73+CX$74)*P_DPOot/DiasMes)</f>
        <v>0</v>
      </c>
      <c r="CY86" s="34" t="n">
        <f aca="false">IF(98&gt;Fin,CX$86,CY$67*P_DPOmp/DiasMes+(CY$68+CY$70+CY$73+CY$74)*P_DPOot/DiasMes)</f>
        <v>0</v>
      </c>
      <c r="CZ86" s="34" t="n">
        <f aca="false">IF(99&gt;Fin,CY$86,CZ$67*P_DPOmp/DiasMes+(CZ$68+CZ$70+CZ$73+CZ$74)*P_DPOot/DiasMes)</f>
        <v>0</v>
      </c>
      <c r="DA86" s="34" t="n">
        <f aca="false">IF(100&gt;Fin,CZ$86,DA$67*P_DPOmp/DiasMes+(DA$68+DA$70+DA$73+DA$74)*P_DPOot/DiasMes)</f>
        <v>0</v>
      </c>
      <c r="DB86" s="34" t="n">
        <f aca="false">IF(101&gt;Fin,DA$86,DB$67*P_DPOmp/DiasMes+(DB$68+DB$70+DB$73+DB$74)*P_DPOot/DiasMes)</f>
        <v>0</v>
      </c>
      <c r="DC86" s="34" t="n">
        <f aca="false">IF(102&gt;Fin,DB$86,DC$67*P_DPOmp/DiasMes+(DC$68+DC$70+DC$73+DC$74)*P_DPOot/DiasMes)</f>
        <v>0</v>
      </c>
      <c r="DD86" s="34" t="n">
        <f aca="false">IF(103&gt;Fin,DC$86,DD$67*P_DPOmp/DiasMes+(DD$68+DD$70+DD$73+DD$74)*P_DPOot/DiasMes)</f>
        <v>0</v>
      </c>
      <c r="DE86" s="34" t="n">
        <f aca="false">IF(104&gt;Fin,DD$86,DE$67*P_DPOmp/DiasMes+(DE$68+DE$70+DE$73+DE$74)*P_DPOot/DiasMes)</f>
        <v>0</v>
      </c>
      <c r="DF86" s="34" t="n">
        <f aca="false">IF(105&gt;Fin,DE$86,DF$67*P_DPOmp/DiasMes+(DF$68+DF$70+DF$73+DF$74)*P_DPOot/DiasMes)</f>
        <v>0</v>
      </c>
      <c r="DG86" s="34" t="n">
        <f aca="false">IF(106&gt;Fin,DF$86,DG$67*P_DPOmp/DiasMes+(DG$68+DG$70+DG$73+DG$74)*P_DPOot/DiasMes)</f>
        <v>0</v>
      </c>
      <c r="DH86" s="34" t="n">
        <f aca="false">IF(107&gt;Fin,DG$86,DH$67*P_DPOmp/DiasMes+(DH$68+DH$70+DH$73+DH$74)*P_DPOot/DiasMes)</f>
        <v>0</v>
      </c>
      <c r="DI86" s="34" t="n">
        <f aca="false">IF(108&gt;Fin,DH$86,DI$67*P_DPOmp/DiasMes+(DI$68+DI$70+DI$73+DI$74)*P_DPOot/DiasMes)</f>
        <v>0</v>
      </c>
      <c r="DJ86" s="34" t="n">
        <f aca="false">IF(109&gt;Fin,DI$86,DJ$67*P_DPOmp/DiasMes+(DJ$68+DJ$70+DJ$73+DJ$74)*P_DPOot/DiasMes)</f>
        <v>0</v>
      </c>
      <c r="DK86" s="34" t="n">
        <f aca="false">IF(110&gt;Fin,DJ$86,DK$67*P_DPOmp/DiasMes+(DK$68+DK$70+DK$73+DK$74)*P_DPOot/DiasMes)</f>
        <v>0</v>
      </c>
      <c r="DL86" s="34" t="n">
        <f aca="false">IF(111&gt;Fin,DK$86,DL$67*P_DPOmp/DiasMes+(DL$68+DL$70+DL$73+DL$74)*P_DPOot/DiasMes)</f>
        <v>0</v>
      </c>
      <c r="DM86" s="34" t="n">
        <f aca="false">IF(112&gt;Fin,DL$86,DM$67*P_DPOmp/DiasMes+(DM$68+DM$70+DM$73+DM$74)*P_DPOot/DiasMes)</f>
        <v>0</v>
      </c>
      <c r="DN86" s="34" t="n">
        <f aca="false">IF(113&gt;Fin,DM$86,DN$67*P_DPOmp/DiasMes+(DN$68+DN$70+DN$73+DN$74)*P_DPOot/DiasMes)</f>
        <v>0</v>
      </c>
      <c r="DO86" s="34" t="n">
        <f aca="false">IF(114&gt;Fin,DN$86,DO$67*P_DPOmp/DiasMes+(DO$68+DO$70+DO$73+DO$74)*P_DPOot/DiasMes)</f>
        <v>0</v>
      </c>
      <c r="DP86" s="34" t="n">
        <f aca="false">IF(115&gt;Fin,DO$86,DP$67*P_DPOmp/DiasMes+(DP$68+DP$70+DP$73+DP$74)*P_DPOot/DiasMes)</f>
        <v>0</v>
      </c>
      <c r="DQ86" s="34" t="n">
        <f aca="false">IF(116&gt;Fin,DP$86,DQ$67*P_DPOmp/DiasMes+(DQ$68+DQ$70+DQ$73+DQ$74)*P_DPOot/DiasMes)</f>
        <v>0</v>
      </c>
      <c r="DR86" s="34" t="n">
        <f aca="false">IF(117&gt;Fin,DQ$86,DR$67*P_DPOmp/DiasMes+(DR$68+DR$70+DR$73+DR$74)*P_DPOot/DiasMes)</f>
        <v>0</v>
      </c>
      <c r="DS86" s="34" t="n">
        <f aca="false">IF(118&gt;Fin,DR$86,DS$67*P_DPOmp/DiasMes+(DS$68+DS$70+DS$73+DS$74)*P_DPOot/DiasMes)</f>
        <v>0</v>
      </c>
      <c r="DT86" s="34" t="n">
        <f aca="false">IF(119&gt;Fin,DS$86,DT$67*P_DPOmp/DiasMes+(DT$68+DT$70+DT$73+DT$74)*P_DPOot/DiasMes)</f>
        <v>0</v>
      </c>
      <c r="DU86" s="34" t="n">
        <f aca="false">IF(120&gt;Fin,DT$86,DU$67*P_DPOmp/DiasMes+(DU$68+DU$70+DU$73+DU$74)*P_DPOot/DiasMes)</f>
        <v>0</v>
      </c>
      <c r="DV86" s="34" t="n">
        <f aca="false">IF(121&gt;Fin,DU$86,DV$67*P_DPOmp/DiasMes+(DV$68+DV$70+DV$73+DV$74)*P_DPOot/DiasMes)</f>
        <v>0</v>
      </c>
      <c r="DW86" s="34" t="n">
        <f aca="false">IF(122&gt;Fin,DV$86,DW$67*P_DPOmp/DiasMes+(DW$68+DW$70+DW$73+DW$74)*P_DPOot/DiasMes)</f>
        <v>0</v>
      </c>
      <c r="DX86" s="34" t="n">
        <f aca="false">IF(123&gt;Fin,DW$86,DX$67*P_DPOmp/DiasMes+(DX$68+DX$70+DX$73+DX$74)*P_DPOot/DiasMes)</f>
        <v>0</v>
      </c>
      <c r="DY86" s="34" t="n">
        <f aca="false">IF(124&gt;Fin,DX$86,DY$67*P_DPOmp/DiasMes+(DY$68+DY$70+DY$73+DY$74)*P_DPOot/DiasMes)</f>
        <v>0</v>
      </c>
      <c r="DZ86" s="34" t="n">
        <f aca="false">IF(125&gt;Fin,DY$86,DZ$67*P_DPOmp/DiasMes+(DZ$68+DZ$70+DZ$73+DZ$74)*P_DPOot/DiasMes)</f>
        <v>0</v>
      </c>
      <c r="EA86" s="34" t="n">
        <f aca="false">IF(126&gt;Fin,DZ$86,EA$67*P_DPOmp/DiasMes+(EA$68+EA$70+EA$73+EA$74)*P_DPOot/DiasMes)</f>
        <v>0</v>
      </c>
      <c r="EB86" s="34" t="n">
        <f aca="false">IF(127&gt;Fin,EA$86,EB$67*P_DPOmp/DiasMes+(EB$68+EB$70+EB$73+EB$74)*P_DPOot/DiasMes)</f>
        <v>0</v>
      </c>
      <c r="EC86" s="34" t="n">
        <f aca="false">IF(128&gt;Fin,EB$86,EC$67*P_DPOmp/DiasMes+(EC$68+EC$70+EC$73+EC$74)*P_DPOot/DiasMes)</f>
        <v>0</v>
      </c>
      <c r="ED86" s="34" t="n">
        <f aca="false">IF(129&gt;Fin,EC$86,ED$67*P_DPOmp/DiasMes+(ED$68+ED$70+ED$73+ED$74)*P_DPOot/DiasMes)</f>
        <v>0</v>
      </c>
      <c r="EE86" s="34" t="n">
        <f aca="false">IF(130&gt;Fin,ED$86,EE$67*P_DPOmp/DiasMes+(EE$68+EE$70+EE$73+EE$74)*P_DPOot/DiasMes)</f>
        <v>0</v>
      </c>
      <c r="EF86" s="34" t="n">
        <f aca="false">IF(131&gt;Fin,EE$86,EF$67*P_DPOmp/DiasMes+(EF$68+EF$70+EF$73+EF$74)*P_DPOot/DiasMes)</f>
        <v>0</v>
      </c>
      <c r="EG86" s="34" t="n">
        <f aca="false">IF(132&gt;Fin,EF$86,EG$67*P_DPOmp/DiasMes+(EG$68+EG$70+EG$73+EG$74)*P_DPOot/DiasMes)</f>
        <v>0</v>
      </c>
      <c r="EH86" s="34" t="n">
        <f aca="false">IF(133&gt;Fin,EG$86,EH$67*P_DPOmp/DiasMes+(EH$68+EH$70+EH$73+EH$74)*P_DPOot/DiasMes)</f>
        <v>0</v>
      </c>
      <c r="EI86" s="34" t="n">
        <f aca="false">IF(134&gt;Fin,EH$86,EI$67*P_DPOmp/DiasMes+(EI$68+EI$70+EI$73+EI$74)*P_DPOot/DiasMes)</f>
        <v>0</v>
      </c>
      <c r="EJ86" s="34" t="n">
        <f aca="false">IF(135&gt;Fin,EI$86,EJ$67*P_DPOmp/DiasMes+(EJ$68+EJ$70+EJ$73+EJ$74)*P_DPOot/DiasMes)</f>
        <v>0</v>
      </c>
      <c r="EK86" s="34" t="n">
        <f aca="false">IF(136&gt;Fin,EJ$86,EK$67*P_DPOmp/DiasMes+(EK$68+EK$70+EK$73+EK$74)*P_DPOot/DiasMes)</f>
        <v>0</v>
      </c>
      <c r="EL86" s="34" t="n">
        <f aca="false">IF(137&gt;Fin,EK$86,EL$67*P_DPOmp/DiasMes+(EL$68+EL$70+EL$73+EL$74)*P_DPOot/DiasMes)</f>
        <v>0</v>
      </c>
      <c r="EM86" s="34" t="n">
        <f aca="false">IF(138&gt;Fin,EL$86,EM$67*P_DPOmp/DiasMes+(EM$68+EM$70+EM$73+EM$74)*P_DPOot/DiasMes)</f>
        <v>0</v>
      </c>
      <c r="EN86" s="34" t="n">
        <f aca="false">IF(139&gt;Fin,EM$86,EN$67*P_DPOmp/DiasMes+(EN$68+EN$70+EN$73+EN$74)*P_DPOot/DiasMes)</f>
        <v>0</v>
      </c>
      <c r="EO86" s="34" t="n">
        <f aca="false">IF(140&gt;Fin,EN$86,EO$67*P_DPOmp/DiasMes+(EO$68+EO$70+EO$73+EO$74)*P_DPOot/DiasMes)</f>
        <v>0</v>
      </c>
      <c r="EP86" s="34" t="n">
        <f aca="false">IF(141&gt;Fin,EO$86,EP$67*P_DPOmp/DiasMes+(EP$68+EP$70+EP$73+EP$74)*P_DPOot/DiasMes)</f>
        <v>0</v>
      </c>
      <c r="EQ86" s="34" t="n">
        <f aca="false">IF(142&gt;Fin,EP$86,EQ$67*P_DPOmp/DiasMes+(EQ$68+EQ$70+EQ$73+EQ$74)*P_DPOot/DiasMes)</f>
        <v>0</v>
      </c>
      <c r="ER86" s="34" t="n">
        <f aca="false">IF(143&gt;Fin,EQ$86,ER$67*P_DPOmp/DiasMes+(ER$68+ER$70+ER$73+ER$74)*P_DPOot/DiasMes)</f>
        <v>0</v>
      </c>
      <c r="ES86" s="34" t="n">
        <f aca="false">IF(144&gt;Fin,ER$86,ES$67*P_DPOmp/DiasMes+(ES$68+ES$70+ES$73+ES$74)*P_DPOot/DiasMes)</f>
        <v>0</v>
      </c>
    </row>
    <row r="87" customFormat="false" ht="15" hidden="false" customHeight="false" outlineLevel="0" collapsed="false">
      <c r="A87" s="2" t="s">
        <v>534</v>
      </c>
      <c r="B87" s="52" t="s">
        <v>535</v>
      </c>
      <c r="C87" s="6" t="s">
        <v>212</v>
      </c>
      <c r="E87" s="40" t="n">
        <f aca="false">MAX(F87:ES87)</f>
        <v>0</v>
      </c>
      <c r="F87" s="10" t="n">
        <f aca="false">F$83+F$84+F$85-F$86</f>
        <v>0</v>
      </c>
      <c r="G87" s="10" t="n">
        <f aca="false">G$83+G$84+G$85-G$86</f>
        <v>0</v>
      </c>
      <c r="H87" s="10" t="n">
        <f aca="false">H$83+H$84+H$85-H$86</f>
        <v>0</v>
      </c>
      <c r="I87" s="10" t="n">
        <f aca="false">I$83+I$84+I$85-I$86</f>
        <v>0</v>
      </c>
      <c r="J87" s="10" t="n">
        <f aca="false">J$83+J$84+J$85-J$86</f>
        <v>0</v>
      </c>
      <c r="K87" s="10" t="n">
        <f aca="false">K$83+K$84+K$85-K$86</f>
        <v>0</v>
      </c>
      <c r="L87" s="10" t="n">
        <f aca="false">L$83+L$84+L$85-L$86</f>
        <v>0</v>
      </c>
      <c r="M87" s="10" t="n">
        <f aca="false">M$83+M$84+M$85-M$86</f>
        <v>0</v>
      </c>
      <c r="N87" s="10" t="n">
        <f aca="false">N$83+N$84+N$85-N$86</f>
        <v>0</v>
      </c>
      <c r="O87" s="10" t="n">
        <f aca="false">O$83+O$84+O$85-O$86</f>
        <v>0</v>
      </c>
      <c r="P87" s="10" t="n">
        <f aca="false">P$83+P$84+P$85-P$86</f>
        <v>0</v>
      </c>
      <c r="Q87" s="10" t="n">
        <f aca="false">Q$83+Q$84+Q$85-Q$86</f>
        <v>0</v>
      </c>
      <c r="R87" s="10" t="n">
        <f aca="false">R$83+R$84+R$85-R$86</f>
        <v>0</v>
      </c>
      <c r="S87" s="10" t="n">
        <f aca="false">S$83+S$84+S$85-S$86</f>
        <v>0</v>
      </c>
      <c r="T87" s="10" t="n">
        <f aca="false">T$83+T$84+T$85-T$86</f>
        <v>0</v>
      </c>
      <c r="U87" s="10" t="n">
        <f aca="false">U$83+U$84+U$85-U$86</f>
        <v>0</v>
      </c>
      <c r="V87" s="10" t="n">
        <f aca="false">V$83+V$84+V$85-V$86</f>
        <v>0</v>
      </c>
      <c r="W87" s="10" t="n">
        <f aca="false">W$83+W$84+W$85-W$86</f>
        <v>0</v>
      </c>
      <c r="X87" s="10" t="n">
        <f aca="false">X$83+X$84+X$85-X$86</f>
        <v>0</v>
      </c>
      <c r="Y87" s="10" t="n">
        <f aca="false">Y$83+Y$84+Y$85-Y$86</f>
        <v>0</v>
      </c>
      <c r="Z87" s="10" t="n">
        <f aca="false">Z$83+Z$84+Z$85-Z$86</f>
        <v>0</v>
      </c>
      <c r="AA87" s="10" t="n">
        <f aca="false">AA$83+AA$84+AA$85-AA$86</f>
        <v>0</v>
      </c>
      <c r="AB87" s="10" t="n">
        <f aca="false">AB$83+AB$84+AB$85-AB$86</f>
        <v>0</v>
      </c>
      <c r="AC87" s="10" t="n">
        <f aca="false">AC$83+AC$84+AC$85-AC$86</f>
        <v>0</v>
      </c>
      <c r="AD87" s="10" t="n">
        <f aca="false">AD$83+AD$84+AD$85-AD$86</f>
        <v>0</v>
      </c>
      <c r="AE87" s="10" t="n">
        <f aca="false">AE$83+AE$84+AE$85-AE$86</f>
        <v>0</v>
      </c>
      <c r="AF87" s="10" t="n">
        <f aca="false">AF$83+AF$84+AF$85-AF$86</f>
        <v>0</v>
      </c>
      <c r="AG87" s="10" t="n">
        <f aca="false">AG$83+AG$84+AG$85-AG$86</f>
        <v>0</v>
      </c>
      <c r="AH87" s="10" t="n">
        <f aca="false">AH$83+AH$84+AH$85-AH$86</f>
        <v>0</v>
      </c>
      <c r="AI87" s="10" t="n">
        <f aca="false">AI$83+AI$84+AI$85-AI$86</f>
        <v>0</v>
      </c>
      <c r="AJ87" s="10" t="n">
        <f aca="false">AJ$83+AJ$84+AJ$85-AJ$86</f>
        <v>0</v>
      </c>
      <c r="AK87" s="10" t="n">
        <f aca="false">AK$83+AK$84+AK$85-AK$86</f>
        <v>0</v>
      </c>
      <c r="AL87" s="10" t="n">
        <f aca="false">AL$83+AL$84+AL$85-AL$86</f>
        <v>0</v>
      </c>
      <c r="AM87" s="10" t="n">
        <f aca="false">AM$83+AM$84+AM$85-AM$86</f>
        <v>0</v>
      </c>
      <c r="AN87" s="10" t="n">
        <f aca="false">AN$83+AN$84+AN$85-AN$86</f>
        <v>0</v>
      </c>
      <c r="AO87" s="10" t="n">
        <f aca="false">AO$83+AO$84+AO$85-AO$86</f>
        <v>0</v>
      </c>
      <c r="AP87" s="10" t="n">
        <f aca="false">AP$83+AP$84+AP$85-AP$86</f>
        <v>0</v>
      </c>
      <c r="AQ87" s="10" t="n">
        <f aca="false">AQ$83+AQ$84+AQ$85-AQ$86</f>
        <v>0</v>
      </c>
      <c r="AR87" s="10" t="n">
        <f aca="false">AR$83+AR$84+AR$85-AR$86</f>
        <v>0</v>
      </c>
      <c r="AS87" s="10" t="n">
        <f aca="false">AS$83+AS$84+AS$85-AS$86</f>
        <v>0</v>
      </c>
      <c r="AT87" s="10" t="n">
        <f aca="false">AT$83+AT$84+AT$85-AT$86</f>
        <v>0</v>
      </c>
      <c r="AU87" s="10" t="n">
        <f aca="false">AU$83+AU$84+AU$85-AU$86</f>
        <v>0</v>
      </c>
      <c r="AV87" s="10" t="n">
        <f aca="false">AV$83+AV$84+AV$85-AV$86</f>
        <v>0</v>
      </c>
      <c r="AW87" s="10" t="n">
        <f aca="false">AW$83+AW$84+AW$85-AW$86</f>
        <v>0</v>
      </c>
      <c r="AX87" s="10" t="n">
        <f aca="false">AX$83+AX$84+AX$85-AX$86</f>
        <v>0</v>
      </c>
      <c r="AY87" s="10" t="n">
        <f aca="false">AY$83+AY$84+AY$85-AY$86</f>
        <v>0</v>
      </c>
      <c r="AZ87" s="10" t="n">
        <f aca="false">AZ$83+AZ$84+AZ$85-AZ$86</f>
        <v>0</v>
      </c>
      <c r="BA87" s="10" t="n">
        <f aca="false">BA$83+BA$84+BA$85-BA$86</f>
        <v>0</v>
      </c>
      <c r="BB87" s="10" t="n">
        <f aca="false">BB$83+BB$84+BB$85-BB$86</f>
        <v>0</v>
      </c>
      <c r="BC87" s="10" t="n">
        <f aca="false">BC$83+BC$84+BC$85-BC$86</f>
        <v>0</v>
      </c>
      <c r="BD87" s="10" t="n">
        <f aca="false">BD$83+BD$84+BD$85-BD$86</f>
        <v>0</v>
      </c>
      <c r="BE87" s="10" t="n">
        <f aca="false">BE$83+BE$84+BE$85-BE$86</f>
        <v>0</v>
      </c>
      <c r="BF87" s="10" t="n">
        <f aca="false">BF$83+BF$84+BF$85-BF$86</f>
        <v>0</v>
      </c>
      <c r="BG87" s="10" t="n">
        <f aca="false">BG$83+BG$84+BG$85-BG$86</f>
        <v>0</v>
      </c>
      <c r="BH87" s="10" t="n">
        <f aca="false">BH$83+BH$84+BH$85-BH$86</f>
        <v>0</v>
      </c>
      <c r="BI87" s="10" t="n">
        <f aca="false">BI$83+BI$84+BI$85-BI$86</f>
        <v>0</v>
      </c>
      <c r="BJ87" s="10" t="n">
        <f aca="false">BJ$83+BJ$84+BJ$85-BJ$86</f>
        <v>0</v>
      </c>
      <c r="BK87" s="10" t="n">
        <f aca="false">BK$83+BK$84+BK$85-BK$86</f>
        <v>0</v>
      </c>
      <c r="BL87" s="10" t="n">
        <f aca="false">BL$83+BL$84+BL$85-BL$86</f>
        <v>0</v>
      </c>
      <c r="BM87" s="10" t="n">
        <f aca="false">BM$83+BM$84+BM$85-BM$86</f>
        <v>0</v>
      </c>
      <c r="BN87" s="10" t="n">
        <f aca="false">BN$83+BN$84+BN$85-BN$86</f>
        <v>0</v>
      </c>
      <c r="BO87" s="10" t="n">
        <f aca="false">BO$83+BO$84+BO$85-BO$86</f>
        <v>0</v>
      </c>
      <c r="BP87" s="10" t="n">
        <f aca="false">BP$83+BP$84+BP$85-BP$86</f>
        <v>0</v>
      </c>
      <c r="BQ87" s="10" t="n">
        <f aca="false">BQ$83+BQ$84+BQ$85-BQ$86</f>
        <v>0</v>
      </c>
      <c r="BR87" s="10" t="n">
        <f aca="false">BR$83+BR$84+BR$85-BR$86</f>
        <v>0</v>
      </c>
      <c r="BS87" s="10" t="n">
        <f aca="false">BS$83+BS$84+BS$85-BS$86</f>
        <v>0</v>
      </c>
      <c r="BT87" s="10" t="n">
        <f aca="false">BT$83+BT$84+BT$85-BT$86</f>
        <v>0</v>
      </c>
      <c r="BU87" s="10" t="n">
        <f aca="false">BU$83+BU$84+BU$85-BU$86</f>
        <v>0</v>
      </c>
      <c r="BV87" s="10" t="n">
        <f aca="false">BV$83+BV$84+BV$85-BV$86</f>
        <v>0</v>
      </c>
      <c r="BW87" s="10" t="n">
        <f aca="false">BW$83+BW$84+BW$85-BW$86</f>
        <v>0</v>
      </c>
      <c r="BX87" s="10" t="n">
        <f aca="false">BX$83+BX$84+BX$85-BX$86</f>
        <v>0</v>
      </c>
      <c r="BY87" s="10" t="n">
        <f aca="false">BY$83+BY$84+BY$85-BY$86</f>
        <v>0</v>
      </c>
      <c r="BZ87" s="10" t="n">
        <f aca="false">BZ$83+BZ$84+BZ$85-BZ$86</f>
        <v>0</v>
      </c>
      <c r="CA87" s="10" t="n">
        <f aca="false">CA$83+CA$84+CA$85-CA$86</f>
        <v>0</v>
      </c>
      <c r="CB87" s="10" t="n">
        <f aca="false">CB$83+CB$84+CB$85-CB$86</f>
        <v>0</v>
      </c>
      <c r="CC87" s="10" t="n">
        <f aca="false">CC$83+CC$84+CC$85-CC$86</f>
        <v>0</v>
      </c>
      <c r="CD87" s="10" t="n">
        <f aca="false">CD$83+CD$84+CD$85-CD$86</f>
        <v>0</v>
      </c>
      <c r="CE87" s="10" t="n">
        <f aca="false">CE$83+CE$84+CE$85-CE$86</f>
        <v>0</v>
      </c>
      <c r="CF87" s="10" t="n">
        <f aca="false">CF$83+CF$84+CF$85-CF$86</f>
        <v>0</v>
      </c>
      <c r="CG87" s="10" t="n">
        <f aca="false">CG$83+CG$84+CG$85-CG$86</f>
        <v>0</v>
      </c>
      <c r="CH87" s="10" t="n">
        <f aca="false">CH$83+CH$84+CH$85-CH$86</f>
        <v>0</v>
      </c>
      <c r="CI87" s="10" t="n">
        <f aca="false">CI$83+CI$84+CI$85-CI$86</f>
        <v>0</v>
      </c>
      <c r="CJ87" s="10" t="n">
        <f aca="false">CJ$83+CJ$84+CJ$85-CJ$86</f>
        <v>0</v>
      </c>
      <c r="CK87" s="10" t="n">
        <f aca="false">CK$83+CK$84+CK$85-CK$86</f>
        <v>0</v>
      </c>
      <c r="CL87" s="10" t="n">
        <f aca="false">CL$83+CL$84+CL$85-CL$86</f>
        <v>0</v>
      </c>
      <c r="CM87" s="10" t="n">
        <f aca="false">CM$83+CM$84+CM$85-CM$86</f>
        <v>0</v>
      </c>
      <c r="CN87" s="10" t="n">
        <f aca="false">CN$83+CN$84+CN$85-CN$86</f>
        <v>0</v>
      </c>
      <c r="CO87" s="10" t="n">
        <f aca="false">CO$83+CO$84+CO$85-CO$86</f>
        <v>0</v>
      </c>
      <c r="CP87" s="10" t="n">
        <f aca="false">CP$83+CP$84+CP$85-CP$86</f>
        <v>0</v>
      </c>
      <c r="CQ87" s="10" t="n">
        <f aca="false">CQ$83+CQ$84+CQ$85-CQ$86</f>
        <v>0</v>
      </c>
      <c r="CR87" s="10" t="n">
        <f aca="false">CR$83+CR$84+CR$85-CR$86</f>
        <v>0</v>
      </c>
      <c r="CS87" s="10" t="n">
        <f aca="false">CS$83+CS$84+CS$85-CS$86</f>
        <v>0</v>
      </c>
      <c r="CT87" s="10" t="n">
        <f aca="false">CT$83+CT$84+CT$85-CT$86</f>
        <v>0</v>
      </c>
      <c r="CU87" s="10" t="n">
        <f aca="false">CU$83+CU$84+CU$85-CU$86</f>
        <v>0</v>
      </c>
      <c r="CV87" s="10" t="n">
        <f aca="false">CV$83+CV$84+CV$85-CV$86</f>
        <v>0</v>
      </c>
      <c r="CW87" s="10" t="n">
        <f aca="false">CW$83+CW$84+CW$85-CW$86</f>
        <v>0</v>
      </c>
      <c r="CX87" s="10" t="n">
        <f aca="false">CX$83+CX$84+CX$85-CX$86</f>
        <v>0</v>
      </c>
      <c r="CY87" s="10" t="n">
        <f aca="false">CY$83+CY$84+CY$85-CY$86</f>
        <v>0</v>
      </c>
      <c r="CZ87" s="10" t="n">
        <f aca="false">CZ$83+CZ$84+CZ$85-CZ$86</f>
        <v>0</v>
      </c>
      <c r="DA87" s="10" t="n">
        <f aca="false">DA$83+DA$84+DA$85-DA$86</f>
        <v>0</v>
      </c>
      <c r="DB87" s="10" t="n">
        <f aca="false">DB$83+DB$84+DB$85-DB$86</f>
        <v>0</v>
      </c>
      <c r="DC87" s="10" t="n">
        <f aca="false">DC$83+DC$84+DC$85-DC$86</f>
        <v>0</v>
      </c>
      <c r="DD87" s="10" t="n">
        <f aca="false">DD$83+DD$84+DD$85-DD$86</f>
        <v>0</v>
      </c>
      <c r="DE87" s="10" t="n">
        <f aca="false">DE$83+DE$84+DE$85-DE$86</f>
        <v>0</v>
      </c>
      <c r="DF87" s="10" t="n">
        <f aca="false">DF$83+DF$84+DF$85-DF$86</f>
        <v>0</v>
      </c>
      <c r="DG87" s="10" t="n">
        <f aca="false">DG$83+DG$84+DG$85-DG$86</f>
        <v>0</v>
      </c>
      <c r="DH87" s="10" t="n">
        <f aca="false">DH$83+DH$84+DH$85-DH$86</f>
        <v>0</v>
      </c>
      <c r="DI87" s="10" t="n">
        <f aca="false">DI$83+DI$84+DI$85-DI$86</f>
        <v>0</v>
      </c>
      <c r="DJ87" s="10" t="n">
        <f aca="false">DJ$83+DJ$84+DJ$85-DJ$86</f>
        <v>0</v>
      </c>
      <c r="DK87" s="10" t="n">
        <f aca="false">DK$83+DK$84+DK$85-DK$86</f>
        <v>0</v>
      </c>
      <c r="DL87" s="10" t="n">
        <f aca="false">DL$83+DL$84+DL$85-DL$86</f>
        <v>0</v>
      </c>
      <c r="DM87" s="10" t="n">
        <f aca="false">DM$83+DM$84+DM$85-DM$86</f>
        <v>0</v>
      </c>
      <c r="DN87" s="10" t="n">
        <f aca="false">DN$83+DN$84+DN$85-DN$86</f>
        <v>0</v>
      </c>
      <c r="DO87" s="10" t="n">
        <f aca="false">DO$83+DO$84+DO$85-DO$86</f>
        <v>0</v>
      </c>
      <c r="DP87" s="10" t="n">
        <f aca="false">DP$83+DP$84+DP$85-DP$86</f>
        <v>0</v>
      </c>
      <c r="DQ87" s="10" t="n">
        <f aca="false">DQ$83+DQ$84+DQ$85-DQ$86</f>
        <v>0</v>
      </c>
      <c r="DR87" s="10" t="n">
        <f aca="false">DR$83+DR$84+DR$85-DR$86</f>
        <v>0</v>
      </c>
      <c r="DS87" s="10" t="n">
        <f aca="false">DS$83+DS$84+DS$85-DS$86</f>
        <v>0</v>
      </c>
      <c r="DT87" s="10" t="n">
        <f aca="false">DT$83+DT$84+DT$85-DT$86</f>
        <v>0</v>
      </c>
      <c r="DU87" s="10" t="n">
        <f aca="false">DU$83+DU$84+DU$85-DU$86</f>
        <v>0</v>
      </c>
      <c r="DV87" s="10" t="n">
        <f aca="false">DV$83+DV$84+DV$85-DV$86</f>
        <v>0</v>
      </c>
      <c r="DW87" s="10" t="n">
        <f aca="false">DW$83+DW$84+DW$85-DW$86</f>
        <v>0</v>
      </c>
      <c r="DX87" s="10" t="n">
        <f aca="false">DX$83+DX$84+DX$85-DX$86</f>
        <v>0</v>
      </c>
      <c r="DY87" s="10" t="n">
        <f aca="false">DY$83+DY$84+DY$85-DY$86</f>
        <v>0</v>
      </c>
      <c r="DZ87" s="10" t="n">
        <f aca="false">DZ$83+DZ$84+DZ$85-DZ$86</f>
        <v>0</v>
      </c>
      <c r="EA87" s="10" t="n">
        <f aca="false">EA$83+EA$84+EA$85-EA$86</f>
        <v>0</v>
      </c>
      <c r="EB87" s="10" t="n">
        <f aca="false">EB$83+EB$84+EB$85-EB$86</f>
        <v>0</v>
      </c>
      <c r="EC87" s="10" t="n">
        <f aca="false">EC$83+EC$84+EC$85-EC$86</f>
        <v>0</v>
      </c>
      <c r="ED87" s="10" t="n">
        <f aca="false">ED$83+ED$84+ED$85-ED$86</f>
        <v>0</v>
      </c>
      <c r="EE87" s="10" t="n">
        <f aca="false">EE$83+EE$84+EE$85-EE$86</f>
        <v>0</v>
      </c>
      <c r="EF87" s="10" t="n">
        <f aca="false">EF$83+EF$84+EF$85-EF$86</f>
        <v>0</v>
      </c>
      <c r="EG87" s="10" t="n">
        <f aca="false">EG$83+EG$84+EG$85-EG$86</f>
        <v>0</v>
      </c>
      <c r="EH87" s="10" t="n">
        <f aca="false">EH$83+EH$84+EH$85-EH$86</f>
        <v>0</v>
      </c>
      <c r="EI87" s="10" t="n">
        <f aca="false">EI$83+EI$84+EI$85-EI$86</f>
        <v>0</v>
      </c>
      <c r="EJ87" s="10" t="n">
        <f aca="false">EJ$83+EJ$84+EJ$85-EJ$86</f>
        <v>0</v>
      </c>
      <c r="EK87" s="10" t="n">
        <f aca="false">EK$83+EK$84+EK$85-EK$86</f>
        <v>0</v>
      </c>
      <c r="EL87" s="10" t="n">
        <f aca="false">EL$83+EL$84+EL$85-EL$86</f>
        <v>0</v>
      </c>
      <c r="EM87" s="10" t="n">
        <f aca="false">EM$83+EM$84+EM$85-EM$86</f>
        <v>0</v>
      </c>
      <c r="EN87" s="10" t="n">
        <f aca="false">EN$83+EN$84+EN$85-EN$86</f>
        <v>0</v>
      </c>
      <c r="EO87" s="10" t="n">
        <f aca="false">EO$83+EO$84+EO$85-EO$86</f>
        <v>0</v>
      </c>
      <c r="EP87" s="10" t="n">
        <f aca="false">EP$83+EP$84+EP$85-EP$86</f>
        <v>0</v>
      </c>
      <c r="EQ87" s="10" t="n">
        <f aca="false">EQ$83+EQ$84+EQ$85-EQ$86</f>
        <v>0</v>
      </c>
      <c r="ER87" s="10" t="n">
        <f aca="false">ER$83+ER$84+ER$85-ER$86</f>
        <v>0</v>
      </c>
      <c r="ES87" s="10" t="n">
        <f aca="false">ES$83+ES$84+ES$85-ES$86</f>
        <v>0</v>
      </c>
    </row>
    <row r="88" customFormat="false" ht="15" hidden="false" customHeight="false" outlineLevel="0" collapsed="false">
      <c r="A88" s="2" t="s">
        <v>536</v>
      </c>
      <c r="B88" s="6" t="s">
        <v>537</v>
      </c>
      <c r="C88" s="6" t="s">
        <v>212</v>
      </c>
      <c r="E88" s="40" t="n">
        <f aca="false">SUM(F88:ES88)</f>
        <v>0</v>
      </c>
      <c r="F88" s="34" t="n">
        <f aca="false">F$87-0</f>
        <v>0</v>
      </c>
      <c r="G88" s="34" t="n">
        <f aca="false">G$87-F$87</f>
        <v>0</v>
      </c>
      <c r="H88" s="34" t="n">
        <f aca="false">H$87-G$87</f>
        <v>0</v>
      </c>
      <c r="I88" s="34" t="n">
        <f aca="false">I$87-H$87</f>
        <v>0</v>
      </c>
      <c r="J88" s="34" t="n">
        <f aca="false">J$87-I$87</f>
        <v>0</v>
      </c>
      <c r="K88" s="34" t="n">
        <f aca="false">K$87-J$87</f>
        <v>0</v>
      </c>
      <c r="L88" s="34" t="n">
        <f aca="false">L$87-K$87</f>
        <v>0</v>
      </c>
      <c r="M88" s="34" t="n">
        <f aca="false">M$87-L$87</f>
        <v>0</v>
      </c>
      <c r="N88" s="34" t="n">
        <f aca="false">N$87-M$87</f>
        <v>0</v>
      </c>
      <c r="O88" s="34" t="n">
        <f aca="false">O$87-N$87</f>
        <v>0</v>
      </c>
      <c r="P88" s="34" t="n">
        <f aca="false">P$87-O$87</f>
        <v>0</v>
      </c>
      <c r="Q88" s="34" t="n">
        <f aca="false">Q$87-P$87</f>
        <v>0</v>
      </c>
      <c r="R88" s="34" t="n">
        <f aca="false">R$87-Q$87</f>
        <v>0</v>
      </c>
      <c r="S88" s="34" t="n">
        <f aca="false">S$87-R$87</f>
        <v>0</v>
      </c>
      <c r="T88" s="34" t="n">
        <f aca="false">T$87-S$87</f>
        <v>0</v>
      </c>
      <c r="U88" s="34" t="n">
        <f aca="false">U$87-T$87</f>
        <v>0</v>
      </c>
      <c r="V88" s="34" t="n">
        <f aca="false">V$87-U$87</f>
        <v>0</v>
      </c>
      <c r="W88" s="34" t="n">
        <f aca="false">W$87-V$87</f>
        <v>0</v>
      </c>
      <c r="X88" s="34" t="n">
        <f aca="false">X$87-W$87</f>
        <v>0</v>
      </c>
      <c r="Y88" s="34" t="n">
        <f aca="false">Y$87-X$87</f>
        <v>0</v>
      </c>
      <c r="Z88" s="34" t="n">
        <f aca="false">Z$87-Y$87</f>
        <v>0</v>
      </c>
      <c r="AA88" s="34" t="n">
        <f aca="false">AA$87-Z$87</f>
        <v>0</v>
      </c>
      <c r="AB88" s="34" t="n">
        <f aca="false">AB$87-AA$87</f>
        <v>0</v>
      </c>
      <c r="AC88" s="34" t="n">
        <f aca="false">AC$87-AB$87</f>
        <v>0</v>
      </c>
      <c r="AD88" s="34" t="n">
        <f aca="false">AD$87-AC$87</f>
        <v>0</v>
      </c>
      <c r="AE88" s="34" t="n">
        <f aca="false">AE$87-AD$87</f>
        <v>0</v>
      </c>
      <c r="AF88" s="34" t="n">
        <f aca="false">AF$87-AE$87</f>
        <v>0</v>
      </c>
      <c r="AG88" s="34" t="n">
        <f aca="false">AG$87-AF$87</f>
        <v>0</v>
      </c>
      <c r="AH88" s="34" t="n">
        <f aca="false">AH$87-AG$87</f>
        <v>0</v>
      </c>
      <c r="AI88" s="34" t="n">
        <f aca="false">AI$87-AH$87</f>
        <v>0</v>
      </c>
      <c r="AJ88" s="34" t="n">
        <f aca="false">AJ$87-AI$87</f>
        <v>0</v>
      </c>
      <c r="AK88" s="34" t="n">
        <f aca="false">AK$87-AJ$87</f>
        <v>0</v>
      </c>
      <c r="AL88" s="34" t="n">
        <f aca="false">AL$87-AK$87</f>
        <v>0</v>
      </c>
      <c r="AM88" s="34" t="n">
        <f aca="false">AM$87-AL$87</f>
        <v>0</v>
      </c>
      <c r="AN88" s="34" t="n">
        <f aca="false">AN$87-AM$87</f>
        <v>0</v>
      </c>
      <c r="AO88" s="34" t="n">
        <f aca="false">AO$87-AN$87</f>
        <v>0</v>
      </c>
      <c r="AP88" s="34" t="n">
        <f aca="false">AP$87-AO$87</f>
        <v>0</v>
      </c>
      <c r="AQ88" s="34" t="n">
        <f aca="false">AQ$87-AP$87</f>
        <v>0</v>
      </c>
      <c r="AR88" s="34" t="n">
        <f aca="false">AR$87-AQ$87</f>
        <v>0</v>
      </c>
      <c r="AS88" s="34" t="n">
        <f aca="false">AS$87-AR$87</f>
        <v>0</v>
      </c>
      <c r="AT88" s="34" t="n">
        <f aca="false">AT$87-AS$87</f>
        <v>0</v>
      </c>
      <c r="AU88" s="34" t="n">
        <f aca="false">AU$87-AT$87</f>
        <v>0</v>
      </c>
      <c r="AV88" s="34" t="n">
        <f aca="false">AV$87-AU$87</f>
        <v>0</v>
      </c>
      <c r="AW88" s="34" t="n">
        <f aca="false">AW$87-AV$87</f>
        <v>0</v>
      </c>
      <c r="AX88" s="34" t="n">
        <f aca="false">AX$87-AW$87</f>
        <v>0</v>
      </c>
      <c r="AY88" s="34" t="n">
        <f aca="false">AY$87-AX$87</f>
        <v>0</v>
      </c>
      <c r="AZ88" s="34" t="n">
        <f aca="false">AZ$87-AY$87</f>
        <v>0</v>
      </c>
      <c r="BA88" s="34" t="n">
        <f aca="false">BA$87-AZ$87</f>
        <v>0</v>
      </c>
      <c r="BB88" s="34" t="n">
        <f aca="false">BB$87-BA$87</f>
        <v>0</v>
      </c>
      <c r="BC88" s="34" t="n">
        <f aca="false">BC$87-BB$87</f>
        <v>0</v>
      </c>
      <c r="BD88" s="34" t="n">
        <f aca="false">BD$87-BC$87</f>
        <v>0</v>
      </c>
      <c r="BE88" s="34" t="n">
        <f aca="false">BE$87-BD$87</f>
        <v>0</v>
      </c>
      <c r="BF88" s="34" t="n">
        <f aca="false">BF$87-BE$87</f>
        <v>0</v>
      </c>
      <c r="BG88" s="34" t="n">
        <f aca="false">BG$87-BF$87</f>
        <v>0</v>
      </c>
      <c r="BH88" s="34" t="n">
        <f aca="false">BH$87-BG$87</f>
        <v>0</v>
      </c>
      <c r="BI88" s="34" t="n">
        <f aca="false">BI$87-BH$87</f>
        <v>0</v>
      </c>
      <c r="BJ88" s="34" t="n">
        <f aca="false">BJ$87-BI$87</f>
        <v>0</v>
      </c>
      <c r="BK88" s="34" t="n">
        <f aca="false">BK$87-BJ$87</f>
        <v>0</v>
      </c>
      <c r="BL88" s="34" t="n">
        <f aca="false">BL$87-BK$87</f>
        <v>0</v>
      </c>
      <c r="BM88" s="34" t="n">
        <f aca="false">BM$87-BL$87</f>
        <v>0</v>
      </c>
      <c r="BN88" s="34" t="n">
        <f aca="false">BN$87-BM$87</f>
        <v>0</v>
      </c>
      <c r="BO88" s="34" t="n">
        <f aca="false">BO$87-BN$87</f>
        <v>0</v>
      </c>
      <c r="BP88" s="34" t="n">
        <f aca="false">BP$87-BO$87</f>
        <v>0</v>
      </c>
      <c r="BQ88" s="34" t="n">
        <f aca="false">BQ$87-BP$87</f>
        <v>0</v>
      </c>
      <c r="BR88" s="34" t="n">
        <f aca="false">BR$87-BQ$87</f>
        <v>0</v>
      </c>
      <c r="BS88" s="34" t="n">
        <f aca="false">BS$87-BR$87</f>
        <v>0</v>
      </c>
      <c r="BT88" s="34" t="n">
        <f aca="false">BT$87-BS$87</f>
        <v>0</v>
      </c>
      <c r="BU88" s="34" t="n">
        <f aca="false">BU$87-BT$87</f>
        <v>0</v>
      </c>
      <c r="BV88" s="34" t="n">
        <f aca="false">BV$87-BU$87</f>
        <v>0</v>
      </c>
      <c r="BW88" s="34" t="n">
        <f aca="false">BW$87-BV$87</f>
        <v>0</v>
      </c>
      <c r="BX88" s="34" t="n">
        <f aca="false">BX$87-BW$87</f>
        <v>0</v>
      </c>
      <c r="BY88" s="34" t="n">
        <f aca="false">BY$87-BX$87</f>
        <v>0</v>
      </c>
      <c r="BZ88" s="34" t="n">
        <f aca="false">BZ$87-BY$87</f>
        <v>0</v>
      </c>
      <c r="CA88" s="34" t="n">
        <f aca="false">CA$87-BZ$87</f>
        <v>0</v>
      </c>
      <c r="CB88" s="34" t="n">
        <f aca="false">CB$87-CA$87</f>
        <v>0</v>
      </c>
      <c r="CC88" s="34" t="n">
        <f aca="false">CC$87-CB$87</f>
        <v>0</v>
      </c>
      <c r="CD88" s="34" t="n">
        <f aca="false">CD$87-CC$87</f>
        <v>0</v>
      </c>
      <c r="CE88" s="34" t="n">
        <f aca="false">CE$87-CD$87</f>
        <v>0</v>
      </c>
      <c r="CF88" s="34" t="n">
        <f aca="false">CF$87-CE$87</f>
        <v>0</v>
      </c>
      <c r="CG88" s="34" t="n">
        <f aca="false">CG$87-CF$87</f>
        <v>0</v>
      </c>
      <c r="CH88" s="34" t="n">
        <f aca="false">CH$87-CG$87</f>
        <v>0</v>
      </c>
      <c r="CI88" s="34" t="n">
        <f aca="false">CI$87-CH$87</f>
        <v>0</v>
      </c>
      <c r="CJ88" s="34" t="n">
        <f aca="false">CJ$87-CI$87</f>
        <v>0</v>
      </c>
      <c r="CK88" s="34" t="n">
        <f aca="false">CK$87-CJ$87</f>
        <v>0</v>
      </c>
      <c r="CL88" s="34" t="n">
        <f aca="false">CL$87-CK$87</f>
        <v>0</v>
      </c>
      <c r="CM88" s="34" t="n">
        <f aca="false">CM$87-CL$87</f>
        <v>0</v>
      </c>
      <c r="CN88" s="34" t="n">
        <f aca="false">CN$87-CM$87</f>
        <v>0</v>
      </c>
      <c r="CO88" s="34" t="n">
        <f aca="false">CO$87-CN$87</f>
        <v>0</v>
      </c>
      <c r="CP88" s="34" t="n">
        <f aca="false">CP$87-CO$87</f>
        <v>0</v>
      </c>
      <c r="CQ88" s="34" t="n">
        <f aca="false">CQ$87-CP$87</f>
        <v>0</v>
      </c>
      <c r="CR88" s="34" t="n">
        <f aca="false">CR$87-CQ$87</f>
        <v>0</v>
      </c>
      <c r="CS88" s="34" t="n">
        <f aca="false">CS$87-CR$87</f>
        <v>0</v>
      </c>
      <c r="CT88" s="34" t="n">
        <f aca="false">CT$87-CS$87</f>
        <v>0</v>
      </c>
      <c r="CU88" s="34" t="n">
        <f aca="false">CU$87-CT$87</f>
        <v>0</v>
      </c>
      <c r="CV88" s="34" t="n">
        <f aca="false">CV$87-CU$87</f>
        <v>0</v>
      </c>
      <c r="CW88" s="34" t="n">
        <f aca="false">CW$87-CV$87</f>
        <v>0</v>
      </c>
      <c r="CX88" s="34" t="n">
        <f aca="false">CX$87-CW$87</f>
        <v>0</v>
      </c>
      <c r="CY88" s="34" t="n">
        <f aca="false">CY$87-CX$87</f>
        <v>0</v>
      </c>
      <c r="CZ88" s="34" t="n">
        <f aca="false">CZ$87-CY$87</f>
        <v>0</v>
      </c>
      <c r="DA88" s="34" t="n">
        <f aca="false">DA$87-CZ$87</f>
        <v>0</v>
      </c>
      <c r="DB88" s="34" t="n">
        <f aca="false">DB$87-DA$87</f>
        <v>0</v>
      </c>
      <c r="DC88" s="34" t="n">
        <f aca="false">DC$87-DB$87</f>
        <v>0</v>
      </c>
      <c r="DD88" s="34" t="n">
        <f aca="false">DD$87-DC$87</f>
        <v>0</v>
      </c>
      <c r="DE88" s="34" t="n">
        <f aca="false">DE$87-DD$87</f>
        <v>0</v>
      </c>
      <c r="DF88" s="34" t="n">
        <f aca="false">DF$87-DE$87</f>
        <v>0</v>
      </c>
      <c r="DG88" s="34" t="n">
        <f aca="false">DG$87-DF$87</f>
        <v>0</v>
      </c>
      <c r="DH88" s="34" t="n">
        <f aca="false">DH$87-DG$87</f>
        <v>0</v>
      </c>
      <c r="DI88" s="34" t="n">
        <f aca="false">DI$87-DH$87</f>
        <v>0</v>
      </c>
      <c r="DJ88" s="34" t="n">
        <f aca="false">DJ$87-DI$87</f>
        <v>0</v>
      </c>
      <c r="DK88" s="34" t="n">
        <f aca="false">DK$87-DJ$87</f>
        <v>0</v>
      </c>
      <c r="DL88" s="34" t="n">
        <f aca="false">DL$87-DK$87</f>
        <v>0</v>
      </c>
      <c r="DM88" s="34" t="n">
        <f aca="false">DM$87-DL$87</f>
        <v>0</v>
      </c>
      <c r="DN88" s="34" t="n">
        <f aca="false">DN$87-DM$87</f>
        <v>0</v>
      </c>
      <c r="DO88" s="34" t="n">
        <f aca="false">DO$87-DN$87</f>
        <v>0</v>
      </c>
      <c r="DP88" s="34" t="n">
        <f aca="false">DP$87-DO$87</f>
        <v>0</v>
      </c>
      <c r="DQ88" s="34" t="n">
        <f aca="false">DQ$87-DP$87</f>
        <v>0</v>
      </c>
      <c r="DR88" s="34" t="n">
        <f aca="false">DR$87-DQ$87</f>
        <v>0</v>
      </c>
      <c r="DS88" s="34" t="n">
        <f aca="false">DS$87-DR$87</f>
        <v>0</v>
      </c>
      <c r="DT88" s="34" t="n">
        <f aca="false">DT$87-DS$87</f>
        <v>0</v>
      </c>
      <c r="DU88" s="34" t="n">
        <f aca="false">DU$87-DT$87</f>
        <v>0</v>
      </c>
      <c r="DV88" s="34" t="n">
        <f aca="false">DV$87-DU$87</f>
        <v>0</v>
      </c>
      <c r="DW88" s="34" t="n">
        <f aca="false">DW$87-DV$87</f>
        <v>0</v>
      </c>
      <c r="DX88" s="34" t="n">
        <f aca="false">DX$87-DW$87</f>
        <v>0</v>
      </c>
      <c r="DY88" s="34" t="n">
        <f aca="false">DY$87-DX$87</f>
        <v>0</v>
      </c>
      <c r="DZ88" s="34" t="n">
        <f aca="false">DZ$87-DY$87</f>
        <v>0</v>
      </c>
      <c r="EA88" s="34" t="n">
        <f aca="false">EA$87-DZ$87</f>
        <v>0</v>
      </c>
      <c r="EB88" s="34" t="n">
        <f aca="false">EB$87-EA$87</f>
        <v>0</v>
      </c>
      <c r="EC88" s="34" t="n">
        <f aca="false">EC$87-EB$87</f>
        <v>0</v>
      </c>
      <c r="ED88" s="34" t="n">
        <f aca="false">ED$87-EC$87</f>
        <v>0</v>
      </c>
      <c r="EE88" s="34" t="n">
        <f aca="false">EE$87-ED$87</f>
        <v>0</v>
      </c>
      <c r="EF88" s="34" t="n">
        <f aca="false">EF$87-EE$87</f>
        <v>0</v>
      </c>
      <c r="EG88" s="34" t="n">
        <f aca="false">EG$87-EF$87</f>
        <v>0</v>
      </c>
      <c r="EH88" s="34" t="n">
        <f aca="false">EH$87-EG$87</f>
        <v>0</v>
      </c>
      <c r="EI88" s="34" t="n">
        <f aca="false">EI$87-EH$87</f>
        <v>0</v>
      </c>
      <c r="EJ88" s="34" t="n">
        <f aca="false">EJ$87-EI$87</f>
        <v>0</v>
      </c>
      <c r="EK88" s="34" t="n">
        <f aca="false">EK$87-EJ$87</f>
        <v>0</v>
      </c>
      <c r="EL88" s="34" t="n">
        <f aca="false">EL$87-EK$87</f>
        <v>0</v>
      </c>
      <c r="EM88" s="34" t="n">
        <f aca="false">EM$87-EL$87</f>
        <v>0</v>
      </c>
      <c r="EN88" s="34" t="n">
        <f aca="false">EN$87-EM$87</f>
        <v>0</v>
      </c>
      <c r="EO88" s="34" t="n">
        <f aca="false">EO$87-EN$87</f>
        <v>0</v>
      </c>
      <c r="EP88" s="34" t="n">
        <f aca="false">EP$87-EO$87</f>
        <v>0</v>
      </c>
      <c r="EQ88" s="34" t="n">
        <f aca="false">EQ$87-EP$87</f>
        <v>0</v>
      </c>
      <c r="ER88" s="34" t="n">
        <f aca="false">ER$87-EQ$87</f>
        <v>0</v>
      </c>
      <c r="ES88" s="34" t="n">
        <f aca="false">ES$87-ER$87</f>
        <v>0</v>
      </c>
    </row>
    <row r="89" customFormat="false" ht="15" hidden="false" customHeight="false" outlineLevel="0" collapsed="false">
      <c r="A89" s="4"/>
      <c r="B89" s="3" t="s">
        <v>538</v>
      </c>
      <c r="C89" s="4"/>
      <c r="D89" s="4"/>
      <c r="E89" s="4"/>
    </row>
    <row r="90" customFormat="false" ht="15" hidden="false" customHeight="false" outlineLevel="0" collapsed="false">
      <c r="A90" s="2" t="s">
        <v>539</v>
      </c>
      <c r="B90" s="52" t="s">
        <v>540</v>
      </c>
      <c r="C90" s="6" t="s">
        <v>212</v>
      </c>
      <c r="E90" s="40" t="n">
        <f aca="false">SUM(F90:ES90)</f>
        <v>0</v>
      </c>
      <c r="F90" s="10" t="n">
        <f aca="false">(F$76-F$80-F$88)*F$9</f>
        <v>0</v>
      </c>
      <c r="G90" s="10" t="n">
        <f aca="false">(G$76-G$80-G$88)*G$9</f>
        <v>0</v>
      </c>
      <c r="H90" s="10" t="n">
        <f aca="false">(H$76-H$80-H$88)*H$9</f>
        <v>0</v>
      </c>
      <c r="I90" s="10" t="n">
        <f aca="false">(I$76-I$80-I$88)*I$9</f>
        <v>0</v>
      </c>
      <c r="J90" s="10" t="n">
        <f aca="false">(J$76-J$80-J$88)*J$9</f>
        <v>0</v>
      </c>
      <c r="K90" s="10" t="n">
        <f aca="false">(K$76-K$80-K$88)*K$9</f>
        <v>0</v>
      </c>
      <c r="L90" s="10" t="n">
        <f aca="false">(L$76-L$80-L$88)*L$9</f>
        <v>0</v>
      </c>
      <c r="M90" s="10" t="n">
        <f aca="false">(M$76-M$80-M$88)*M$9</f>
        <v>0</v>
      </c>
      <c r="N90" s="10" t="n">
        <f aca="false">(N$76-N$80-N$88)*N$9</f>
        <v>0</v>
      </c>
      <c r="O90" s="10" t="n">
        <f aca="false">(O$76-O$80-O$88)*O$9</f>
        <v>0</v>
      </c>
      <c r="P90" s="10" t="n">
        <f aca="false">(P$76-P$80-P$88)*P$9</f>
        <v>0</v>
      </c>
      <c r="Q90" s="10" t="n">
        <f aca="false">(Q$76-Q$80-Q$88)*Q$9</f>
        <v>0</v>
      </c>
      <c r="R90" s="10" t="n">
        <f aca="false">(R$76-R$80-R$88)*R$9</f>
        <v>0</v>
      </c>
      <c r="S90" s="10" t="n">
        <f aca="false">(S$76-S$80-S$88)*S$9</f>
        <v>0</v>
      </c>
      <c r="T90" s="10" t="n">
        <f aca="false">(T$76-T$80-T$88)*T$9</f>
        <v>0</v>
      </c>
      <c r="U90" s="10" t="n">
        <f aca="false">(U$76-U$80-U$88)*U$9</f>
        <v>0</v>
      </c>
      <c r="V90" s="10" t="n">
        <f aca="false">(V$76-V$80-V$88)*V$9</f>
        <v>0</v>
      </c>
      <c r="W90" s="10" t="n">
        <f aca="false">(W$76-W$80-W$88)*W$9</f>
        <v>0</v>
      </c>
      <c r="X90" s="10" t="n">
        <f aca="false">(X$76-X$80-X$88)*X$9</f>
        <v>0</v>
      </c>
      <c r="Y90" s="10" t="n">
        <f aca="false">(Y$76-Y$80-Y$88)*Y$9</f>
        <v>0</v>
      </c>
      <c r="Z90" s="10" t="n">
        <f aca="false">(Z$76-Z$80-Z$88)*Z$9</f>
        <v>0</v>
      </c>
      <c r="AA90" s="10" t="n">
        <f aca="false">(AA$76-AA$80-AA$88)*AA$9</f>
        <v>0</v>
      </c>
      <c r="AB90" s="10" t="n">
        <f aca="false">(AB$76-AB$80-AB$88)*AB$9</f>
        <v>0</v>
      </c>
      <c r="AC90" s="10" t="n">
        <f aca="false">(AC$76-AC$80-AC$88)*AC$9</f>
        <v>0</v>
      </c>
      <c r="AD90" s="10" t="n">
        <f aca="false">(AD$76-AD$80-AD$88)*AD$9</f>
        <v>0</v>
      </c>
      <c r="AE90" s="10" t="n">
        <f aca="false">(AE$76-AE$80-AE$88)*AE$9</f>
        <v>0</v>
      </c>
      <c r="AF90" s="10" t="n">
        <f aca="false">(AF$76-AF$80-AF$88)*AF$9</f>
        <v>0</v>
      </c>
      <c r="AG90" s="10" t="n">
        <f aca="false">(AG$76-AG$80-AG$88)*AG$9</f>
        <v>0</v>
      </c>
      <c r="AH90" s="10" t="n">
        <f aca="false">(AH$76-AH$80-AH$88)*AH$9</f>
        <v>0</v>
      </c>
      <c r="AI90" s="10" t="n">
        <f aca="false">(AI$76-AI$80-AI$88)*AI$9</f>
        <v>0</v>
      </c>
      <c r="AJ90" s="10" t="n">
        <f aca="false">(AJ$76-AJ$80-AJ$88)*AJ$9</f>
        <v>0</v>
      </c>
      <c r="AK90" s="10" t="n">
        <f aca="false">(AK$76-AK$80-AK$88)*AK$9</f>
        <v>0</v>
      </c>
      <c r="AL90" s="10" t="n">
        <f aca="false">(AL$76-AL$80-AL$88)*AL$9</f>
        <v>0</v>
      </c>
      <c r="AM90" s="10" t="n">
        <f aca="false">(AM$76-AM$80-AM$88)*AM$9</f>
        <v>0</v>
      </c>
      <c r="AN90" s="10" t="n">
        <f aca="false">(AN$76-AN$80-AN$88)*AN$9</f>
        <v>0</v>
      </c>
      <c r="AO90" s="10" t="n">
        <f aca="false">(AO$76-AO$80-AO$88)*AO$9</f>
        <v>0</v>
      </c>
      <c r="AP90" s="10" t="n">
        <f aca="false">(AP$76-AP$80-AP$88)*AP$9</f>
        <v>0</v>
      </c>
      <c r="AQ90" s="10" t="n">
        <f aca="false">(AQ$76-AQ$80-AQ$88)*AQ$9</f>
        <v>0</v>
      </c>
      <c r="AR90" s="10" t="n">
        <f aca="false">(AR$76-AR$80-AR$88)*AR$9</f>
        <v>0</v>
      </c>
      <c r="AS90" s="10" t="n">
        <f aca="false">(AS$76-AS$80-AS$88)*AS$9</f>
        <v>0</v>
      </c>
      <c r="AT90" s="10" t="n">
        <f aca="false">(AT$76-AT$80-AT$88)*AT$9</f>
        <v>0</v>
      </c>
      <c r="AU90" s="10" t="n">
        <f aca="false">(AU$76-AU$80-AU$88)*AU$9</f>
        <v>0</v>
      </c>
      <c r="AV90" s="10" t="n">
        <f aca="false">(AV$76-AV$80-AV$88)*AV$9</f>
        <v>0</v>
      </c>
      <c r="AW90" s="10" t="n">
        <f aca="false">(AW$76-AW$80-AW$88)*AW$9</f>
        <v>0</v>
      </c>
      <c r="AX90" s="10" t="n">
        <f aca="false">(AX$76-AX$80-AX$88)*AX$9</f>
        <v>0</v>
      </c>
      <c r="AY90" s="10" t="n">
        <f aca="false">(AY$76-AY$80-AY$88)*AY$9</f>
        <v>0</v>
      </c>
      <c r="AZ90" s="10" t="n">
        <f aca="false">(AZ$76-AZ$80-AZ$88)*AZ$9</f>
        <v>0</v>
      </c>
      <c r="BA90" s="10" t="n">
        <f aca="false">(BA$76-BA$80-BA$88)*BA$9</f>
        <v>0</v>
      </c>
      <c r="BB90" s="10" t="n">
        <f aca="false">(BB$76-BB$80-BB$88)*BB$9</f>
        <v>0</v>
      </c>
      <c r="BC90" s="10" t="n">
        <f aca="false">(BC$76-BC$80-BC$88)*BC$9</f>
        <v>0</v>
      </c>
      <c r="BD90" s="10" t="n">
        <f aca="false">(BD$76-BD$80-BD$88)*BD$9</f>
        <v>0</v>
      </c>
      <c r="BE90" s="10" t="n">
        <f aca="false">(BE$76-BE$80-BE$88)*BE$9</f>
        <v>0</v>
      </c>
      <c r="BF90" s="10" t="n">
        <f aca="false">(BF$76-BF$80-BF$88)*BF$9</f>
        <v>0</v>
      </c>
      <c r="BG90" s="10" t="n">
        <f aca="false">(BG$76-BG$80-BG$88)*BG$9</f>
        <v>0</v>
      </c>
      <c r="BH90" s="10" t="n">
        <f aca="false">(BH$76-BH$80-BH$88)*BH$9</f>
        <v>0</v>
      </c>
      <c r="BI90" s="10" t="n">
        <f aca="false">(BI$76-BI$80-BI$88)*BI$9</f>
        <v>0</v>
      </c>
      <c r="BJ90" s="10" t="n">
        <f aca="false">(BJ$76-BJ$80-BJ$88)*BJ$9</f>
        <v>0</v>
      </c>
      <c r="BK90" s="10" t="n">
        <f aca="false">(BK$76-BK$80-BK$88)*BK$9</f>
        <v>0</v>
      </c>
      <c r="BL90" s="10" t="n">
        <f aca="false">(BL$76-BL$80-BL$88)*BL$9</f>
        <v>0</v>
      </c>
      <c r="BM90" s="10" t="n">
        <f aca="false">(BM$76-BM$80-BM$88)*BM$9</f>
        <v>0</v>
      </c>
      <c r="BN90" s="10" t="n">
        <f aca="false">(BN$76-BN$80-BN$88)*BN$9</f>
        <v>0</v>
      </c>
      <c r="BO90" s="10" t="n">
        <f aca="false">(BO$76-BO$80-BO$88)*BO$9</f>
        <v>0</v>
      </c>
      <c r="BP90" s="10" t="n">
        <f aca="false">(BP$76-BP$80-BP$88)*BP$9</f>
        <v>0</v>
      </c>
      <c r="BQ90" s="10" t="n">
        <f aca="false">(BQ$76-BQ$80-BQ$88)*BQ$9</f>
        <v>0</v>
      </c>
      <c r="BR90" s="10" t="n">
        <f aca="false">(BR$76-BR$80-BR$88)*BR$9</f>
        <v>0</v>
      </c>
      <c r="BS90" s="10" t="n">
        <f aca="false">(BS$76-BS$80-BS$88)*BS$9</f>
        <v>0</v>
      </c>
      <c r="BT90" s="10" t="n">
        <f aca="false">(BT$76-BT$80-BT$88)*BT$9</f>
        <v>0</v>
      </c>
      <c r="BU90" s="10" t="n">
        <f aca="false">(BU$76-BU$80-BU$88)*BU$9</f>
        <v>0</v>
      </c>
      <c r="BV90" s="10" t="n">
        <f aca="false">(BV$76-BV$80-BV$88)*BV$9</f>
        <v>0</v>
      </c>
      <c r="BW90" s="10" t="n">
        <f aca="false">(BW$76-BW$80-BW$88)*BW$9</f>
        <v>0</v>
      </c>
      <c r="BX90" s="10" t="n">
        <f aca="false">(BX$76-BX$80-BX$88)*BX$9</f>
        <v>0</v>
      </c>
      <c r="BY90" s="10" t="n">
        <f aca="false">(BY$76-BY$80-BY$88)*BY$9</f>
        <v>0</v>
      </c>
      <c r="BZ90" s="10" t="n">
        <f aca="false">(BZ$76-BZ$80-BZ$88)*BZ$9</f>
        <v>0</v>
      </c>
      <c r="CA90" s="10" t="n">
        <f aca="false">(CA$76-CA$80-CA$88)*CA$9</f>
        <v>0</v>
      </c>
      <c r="CB90" s="10" t="n">
        <f aca="false">(CB$76-CB$80-CB$88)*CB$9</f>
        <v>0</v>
      </c>
      <c r="CC90" s="10" t="n">
        <f aca="false">(CC$76-CC$80-CC$88)*CC$9</f>
        <v>0</v>
      </c>
      <c r="CD90" s="10" t="n">
        <f aca="false">(CD$76-CD$80-CD$88)*CD$9</f>
        <v>0</v>
      </c>
      <c r="CE90" s="10" t="n">
        <f aca="false">(CE$76-CE$80-CE$88)*CE$9</f>
        <v>0</v>
      </c>
      <c r="CF90" s="10" t="n">
        <f aca="false">(CF$76-CF$80-CF$88)*CF$9</f>
        <v>0</v>
      </c>
      <c r="CG90" s="10" t="n">
        <f aca="false">(CG$76-CG$80-CG$88)*CG$9</f>
        <v>0</v>
      </c>
      <c r="CH90" s="10" t="n">
        <f aca="false">(CH$76-CH$80-CH$88)*CH$9</f>
        <v>0</v>
      </c>
      <c r="CI90" s="10" t="n">
        <f aca="false">(CI$76-CI$80-CI$88)*CI$9</f>
        <v>0</v>
      </c>
      <c r="CJ90" s="10" t="n">
        <f aca="false">(CJ$76-CJ$80-CJ$88)*CJ$9</f>
        <v>0</v>
      </c>
      <c r="CK90" s="10" t="n">
        <f aca="false">(CK$76-CK$80-CK$88)*CK$9</f>
        <v>0</v>
      </c>
      <c r="CL90" s="10" t="n">
        <f aca="false">(CL$76-CL$80-CL$88)*CL$9</f>
        <v>0</v>
      </c>
      <c r="CM90" s="10" t="n">
        <f aca="false">(CM$76-CM$80-CM$88)*CM$9</f>
        <v>0</v>
      </c>
      <c r="CN90" s="10" t="n">
        <f aca="false">(CN$76-CN$80-CN$88)*CN$9</f>
        <v>0</v>
      </c>
      <c r="CO90" s="10" t="n">
        <f aca="false">(CO$76-CO$80-CO$88)*CO$9</f>
        <v>0</v>
      </c>
      <c r="CP90" s="10" t="n">
        <f aca="false">(CP$76-CP$80-CP$88)*CP$9</f>
        <v>0</v>
      </c>
      <c r="CQ90" s="10" t="n">
        <f aca="false">(CQ$76-CQ$80-CQ$88)*CQ$9</f>
        <v>0</v>
      </c>
      <c r="CR90" s="10" t="n">
        <f aca="false">(CR$76-CR$80-CR$88)*CR$9</f>
        <v>0</v>
      </c>
      <c r="CS90" s="10" t="n">
        <f aca="false">(CS$76-CS$80-CS$88)*CS$9</f>
        <v>0</v>
      </c>
      <c r="CT90" s="10" t="n">
        <f aca="false">(CT$76-CT$80-CT$88)*CT$9</f>
        <v>0</v>
      </c>
      <c r="CU90" s="10" t="n">
        <f aca="false">(CU$76-CU$80-CU$88)*CU$9</f>
        <v>0</v>
      </c>
      <c r="CV90" s="10" t="n">
        <f aca="false">(CV$76-CV$80-CV$88)*CV$9</f>
        <v>0</v>
      </c>
      <c r="CW90" s="10" t="n">
        <f aca="false">(CW$76-CW$80-CW$88)*CW$9</f>
        <v>0</v>
      </c>
      <c r="CX90" s="10" t="n">
        <f aca="false">(CX$76-CX$80-CX$88)*CX$9</f>
        <v>0</v>
      </c>
      <c r="CY90" s="10" t="n">
        <f aca="false">(CY$76-CY$80-CY$88)*CY$9</f>
        <v>0</v>
      </c>
      <c r="CZ90" s="10" t="n">
        <f aca="false">(CZ$76-CZ$80-CZ$88)*CZ$9</f>
        <v>0</v>
      </c>
      <c r="DA90" s="10" t="n">
        <f aca="false">(DA$76-DA$80-DA$88)*DA$9</f>
        <v>0</v>
      </c>
      <c r="DB90" s="10" t="n">
        <f aca="false">(DB$76-DB$80-DB$88)*DB$9</f>
        <v>0</v>
      </c>
      <c r="DC90" s="10" t="n">
        <f aca="false">(DC$76-DC$80-DC$88)*DC$9</f>
        <v>0</v>
      </c>
      <c r="DD90" s="10" t="n">
        <f aca="false">(DD$76-DD$80-DD$88)*DD$9</f>
        <v>0</v>
      </c>
      <c r="DE90" s="10" t="n">
        <f aca="false">(DE$76-DE$80-DE$88)*DE$9</f>
        <v>0</v>
      </c>
      <c r="DF90" s="10" t="n">
        <f aca="false">(DF$76-DF$80-DF$88)*DF$9</f>
        <v>0</v>
      </c>
      <c r="DG90" s="10" t="n">
        <f aca="false">(DG$76-DG$80-DG$88)*DG$9</f>
        <v>0</v>
      </c>
      <c r="DH90" s="10" t="n">
        <f aca="false">(DH$76-DH$80-DH$88)*DH$9</f>
        <v>0</v>
      </c>
      <c r="DI90" s="10" t="n">
        <f aca="false">(DI$76-DI$80-DI$88)*DI$9</f>
        <v>0</v>
      </c>
      <c r="DJ90" s="10" t="n">
        <f aca="false">(DJ$76-DJ$80-DJ$88)*DJ$9</f>
        <v>0</v>
      </c>
      <c r="DK90" s="10" t="n">
        <f aca="false">(DK$76-DK$80-DK$88)*DK$9</f>
        <v>0</v>
      </c>
      <c r="DL90" s="10" t="n">
        <f aca="false">(DL$76-DL$80-DL$88)*DL$9</f>
        <v>0</v>
      </c>
      <c r="DM90" s="10" t="n">
        <f aca="false">(DM$76-DM$80-DM$88)*DM$9</f>
        <v>0</v>
      </c>
      <c r="DN90" s="10" t="n">
        <f aca="false">(DN$76-DN$80-DN$88)*DN$9</f>
        <v>0</v>
      </c>
      <c r="DO90" s="10" t="n">
        <f aca="false">(DO$76-DO$80-DO$88)*DO$9</f>
        <v>0</v>
      </c>
      <c r="DP90" s="10" t="n">
        <f aca="false">(DP$76-DP$80-DP$88)*DP$9</f>
        <v>0</v>
      </c>
      <c r="DQ90" s="10" t="n">
        <f aca="false">(DQ$76-DQ$80-DQ$88)*DQ$9</f>
        <v>0</v>
      </c>
      <c r="DR90" s="10" t="n">
        <f aca="false">(DR$76-DR$80-DR$88)*DR$9</f>
        <v>0</v>
      </c>
      <c r="DS90" s="10" t="n">
        <f aca="false">(DS$76-DS$80-DS$88)*DS$9</f>
        <v>0</v>
      </c>
      <c r="DT90" s="10" t="n">
        <f aca="false">(DT$76-DT$80-DT$88)*DT$9</f>
        <v>0</v>
      </c>
      <c r="DU90" s="10" t="n">
        <f aca="false">(DU$76-DU$80-DU$88)*DU$9</f>
        <v>0</v>
      </c>
      <c r="DV90" s="10" t="n">
        <f aca="false">(DV$76-DV$80-DV$88)*DV$9</f>
        <v>0</v>
      </c>
      <c r="DW90" s="10" t="n">
        <f aca="false">(DW$76-DW$80-DW$88)*DW$9</f>
        <v>0</v>
      </c>
      <c r="DX90" s="10" t="n">
        <f aca="false">(DX$76-DX$80-DX$88)*DX$9</f>
        <v>0</v>
      </c>
      <c r="DY90" s="10" t="n">
        <f aca="false">(DY$76-DY$80-DY$88)*DY$9</f>
        <v>0</v>
      </c>
      <c r="DZ90" s="10" t="n">
        <f aca="false">(DZ$76-DZ$80-DZ$88)*DZ$9</f>
        <v>0</v>
      </c>
      <c r="EA90" s="10" t="n">
        <f aca="false">(EA$76-EA$80-EA$88)*EA$9</f>
        <v>0</v>
      </c>
      <c r="EB90" s="10" t="n">
        <f aca="false">(EB$76-EB$80-EB$88)*EB$9</f>
        <v>0</v>
      </c>
      <c r="EC90" s="10" t="n">
        <f aca="false">(EC$76-EC$80-EC$88)*EC$9</f>
        <v>0</v>
      </c>
      <c r="ED90" s="10" t="n">
        <f aca="false">(ED$76-ED$80-ED$88)*ED$9</f>
        <v>0</v>
      </c>
      <c r="EE90" s="10" t="n">
        <f aca="false">(EE$76-EE$80-EE$88)*EE$9</f>
        <v>0</v>
      </c>
      <c r="EF90" s="10" t="n">
        <f aca="false">(EF$76-EF$80-EF$88)*EF$9</f>
        <v>0</v>
      </c>
      <c r="EG90" s="10" t="n">
        <f aca="false">(EG$76-EG$80-EG$88)*EG$9</f>
        <v>0</v>
      </c>
      <c r="EH90" s="10" t="n">
        <f aca="false">(EH$76-EH$80-EH$88)*EH$9</f>
        <v>0</v>
      </c>
      <c r="EI90" s="10" t="n">
        <f aca="false">(EI$76-EI$80-EI$88)*EI$9</f>
        <v>0</v>
      </c>
      <c r="EJ90" s="10" t="n">
        <f aca="false">(EJ$76-EJ$80-EJ$88)*EJ$9</f>
        <v>0</v>
      </c>
      <c r="EK90" s="10" t="n">
        <f aca="false">(EK$76-EK$80-EK$88)*EK$9</f>
        <v>0</v>
      </c>
      <c r="EL90" s="10" t="n">
        <f aca="false">(EL$76-EL$80-EL$88)*EL$9</f>
        <v>0</v>
      </c>
      <c r="EM90" s="10" t="n">
        <f aca="false">(EM$76-EM$80-EM$88)*EM$9</f>
        <v>0</v>
      </c>
      <c r="EN90" s="10" t="n">
        <f aca="false">(EN$76-EN$80-EN$88)*EN$9</f>
        <v>0</v>
      </c>
      <c r="EO90" s="10" t="n">
        <f aca="false">(EO$76-EO$80-EO$88)*EO$9</f>
        <v>0</v>
      </c>
      <c r="EP90" s="10" t="n">
        <f aca="false">(EP$76-EP$80-EP$88)*EP$9</f>
        <v>0</v>
      </c>
      <c r="EQ90" s="10" t="n">
        <f aca="false">(EQ$76-EQ$80-EQ$88)*EQ$9</f>
        <v>0</v>
      </c>
      <c r="ER90" s="10" t="n">
        <f aca="false">(ER$76-ER$80-ER$88)*ER$9</f>
        <v>0</v>
      </c>
      <c r="ES90" s="10" t="n">
        <f aca="false">(ES$76-ES$80-ES$88)*ES$9</f>
        <v>0</v>
      </c>
    </row>
    <row r="91" customFormat="false" ht="15" hidden="false" customHeight="false" outlineLevel="0" collapsed="false">
      <c r="A91" s="2" t="s">
        <v>541</v>
      </c>
      <c r="B91" s="6" t="s">
        <v>380</v>
      </c>
      <c r="C91" s="6" t="s">
        <v>212</v>
      </c>
      <c r="E91" s="40" t="n">
        <f aca="false">SUM(F91:ES91)</f>
        <v>0</v>
      </c>
      <c r="F91" s="34" t="n">
        <f aca="false">SUMIF(Inv_E,1,Inv_D)*F$9</f>
        <v>0</v>
      </c>
      <c r="G91" s="34" t="n">
        <f aca="false">SUMIF(Inv_E,2,Inv_D)*G$9</f>
        <v>0</v>
      </c>
      <c r="H91" s="34" t="n">
        <f aca="false">SUMIF(Inv_E,3,Inv_D)*H$9</f>
        <v>0</v>
      </c>
      <c r="I91" s="34" t="n">
        <f aca="false">SUMIF(Inv_E,4,Inv_D)*I$9</f>
        <v>0</v>
      </c>
      <c r="J91" s="34" t="n">
        <f aca="false">SUMIF(Inv_E,5,Inv_D)*J$9</f>
        <v>0</v>
      </c>
      <c r="K91" s="34" t="n">
        <f aca="false">SUMIF(Inv_E,6,Inv_D)*K$9</f>
        <v>0</v>
      </c>
      <c r="L91" s="34" t="n">
        <f aca="false">SUMIF(Inv_E,7,Inv_D)*L$9</f>
        <v>0</v>
      </c>
      <c r="M91" s="34" t="n">
        <f aca="false">SUMIF(Inv_E,8,Inv_D)*M$9</f>
        <v>0</v>
      </c>
      <c r="N91" s="34" t="n">
        <f aca="false">SUMIF(Inv_E,9,Inv_D)*N$9</f>
        <v>0</v>
      </c>
      <c r="O91" s="34" t="n">
        <f aca="false">SUMIF(Inv_E,10,Inv_D)*O$9</f>
        <v>0</v>
      </c>
      <c r="P91" s="34" t="n">
        <f aca="false">SUMIF(Inv_E,11,Inv_D)*P$9</f>
        <v>0</v>
      </c>
      <c r="Q91" s="34" t="n">
        <f aca="false">SUMIF(Inv_E,12,Inv_D)*Q$9</f>
        <v>0</v>
      </c>
      <c r="R91" s="34" t="n">
        <f aca="false">SUMIF(Inv_E,13,Inv_D)*R$9</f>
        <v>0</v>
      </c>
      <c r="S91" s="34" t="n">
        <f aca="false">SUMIF(Inv_E,14,Inv_D)*S$9</f>
        <v>0</v>
      </c>
      <c r="T91" s="34" t="n">
        <f aca="false">SUMIF(Inv_E,15,Inv_D)*T$9</f>
        <v>0</v>
      </c>
      <c r="U91" s="34" t="n">
        <f aca="false">SUMIF(Inv_E,16,Inv_D)*U$9</f>
        <v>0</v>
      </c>
      <c r="V91" s="34" t="n">
        <f aca="false">SUMIF(Inv_E,17,Inv_D)*V$9</f>
        <v>0</v>
      </c>
      <c r="W91" s="34" t="n">
        <f aca="false">SUMIF(Inv_E,18,Inv_D)*W$9</f>
        <v>0</v>
      </c>
      <c r="X91" s="34" t="n">
        <f aca="false">SUMIF(Inv_E,19,Inv_D)*X$9</f>
        <v>0</v>
      </c>
      <c r="Y91" s="34" t="n">
        <f aca="false">SUMIF(Inv_E,20,Inv_D)*Y$9</f>
        <v>0</v>
      </c>
      <c r="Z91" s="34" t="n">
        <f aca="false">SUMIF(Inv_E,21,Inv_D)*Z$9</f>
        <v>0</v>
      </c>
      <c r="AA91" s="34" t="n">
        <f aca="false">SUMIF(Inv_E,22,Inv_D)*AA$9</f>
        <v>0</v>
      </c>
      <c r="AB91" s="34" t="n">
        <f aca="false">SUMIF(Inv_E,23,Inv_D)*AB$9</f>
        <v>0</v>
      </c>
      <c r="AC91" s="34" t="n">
        <f aca="false">SUMIF(Inv_E,24,Inv_D)*AC$9</f>
        <v>0</v>
      </c>
      <c r="AD91" s="34" t="n">
        <f aca="false">SUMIF(Inv_E,25,Inv_D)*AD$9</f>
        <v>0</v>
      </c>
      <c r="AE91" s="34" t="n">
        <f aca="false">SUMIF(Inv_E,26,Inv_D)*AE$9</f>
        <v>0</v>
      </c>
      <c r="AF91" s="34" t="n">
        <f aca="false">SUMIF(Inv_E,27,Inv_D)*AF$9</f>
        <v>0</v>
      </c>
      <c r="AG91" s="34" t="n">
        <f aca="false">SUMIF(Inv_E,28,Inv_D)*AG$9</f>
        <v>0</v>
      </c>
      <c r="AH91" s="34" t="n">
        <f aca="false">SUMIF(Inv_E,29,Inv_D)*AH$9</f>
        <v>0</v>
      </c>
      <c r="AI91" s="34" t="n">
        <f aca="false">SUMIF(Inv_E,30,Inv_D)*AI$9</f>
        <v>0</v>
      </c>
      <c r="AJ91" s="34" t="n">
        <f aca="false">SUMIF(Inv_E,31,Inv_D)*AJ$9</f>
        <v>0</v>
      </c>
      <c r="AK91" s="34" t="n">
        <f aca="false">SUMIF(Inv_E,32,Inv_D)*AK$9</f>
        <v>0</v>
      </c>
      <c r="AL91" s="34" t="n">
        <f aca="false">SUMIF(Inv_E,33,Inv_D)*AL$9</f>
        <v>0</v>
      </c>
      <c r="AM91" s="34" t="n">
        <f aca="false">SUMIF(Inv_E,34,Inv_D)*AM$9</f>
        <v>0</v>
      </c>
      <c r="AN91" s="34" t="n">
        <f aca="false">SUMIF(Inv_E,35,Inv_D)*AN$9</f>
        <v>0</v>
      </c>
      <c r="AO91" s="34" t="n">
        <f aca="false">SUMIF(Inv_E,36,Inv_D)*AO$9</f>
        <v>0</v>
      </c>
      <c r="AP91" s="34" t="n">
        <f aca="false">SUMIF(Inv_E,37,Inv_D)*AP$9</f>
        <v>0</v>
      </c>
      <c r="AQ91" s="34" t="n">
        <f aca="false">SUMIF(Inv_E,38,Inv_D)*AQ$9</f>
        <v>0</v>
      </c>
      <c r="AR91" s="34" t="n">
        <f aca="false">SUMIF(Inv_E,39,Inv_D)*AR$9</f>
        <v>0</v>
      </c>
      <c r="AS91" s="34" t="n">
        <f aca="false">SUMIF(Inv_E,40,Inv_D)*AS$9</f>
        <v>0</v>
      </c>
      <c r="AT91" s="34" t="n">
        <f aca="false">SUMIF(Inv_E,41,Inv_D)*AT$9</f>
        <v>0</v>
      </c>
      <c r="AU91" s="34" t="n">
        <f aca="false">SUMIF(Inv_E,42,Inv_D)*AU$9</f>
        <v>0</v>
      </c>
      <c r="AV91" s="34" t="n">
        <f aca="false">SUMIF(Inv_E,43,Inv_D)*AV$9</f>
        <v>0</v>
      </c>
      <c r="AW91" s="34" t="n">
        <f aca="false">SUMIF(Inv_E,44,Inv_D)*AW$9</f>
        <v>0</v>
      </c>
      <c r="AX91" s="34" t="n">
        <f aca="false">SUMIF(Inv_E,45,Inv_D)*AX$9</f>
        <v>0</v>
      </c>
      <c r="AY91" s="34" t="n">
        <f aca="false">SUMIF(Inv_E,46,Inv_D)*AY$9</f>
        <v>0</v>
      </c>
      <c r="AZ91" s="34" t="n">
        <f aca="false">SUMIF(Inv_E,47,Inv_D)*AZ$9</f>
        <v>0</v>
      </c>
      <c r="BA91" s="34" t="n">
        <f aca="false">SUMIF(Inv_E,48,Inv_D)*BA$9</f>
        <v>0</v>
      </c>
      <c r="BB91" s="34" t="n">
        <f aca="false">SUMIF(Inv_E,49,Inv_D)*BB$9</f>
        <v>0</v>
      </c>
      <c r="BC91" s="34" t="n">
        <f aca="false">SUMIF(Inv_E,50,Inv_D)*BC$9</f>
        <v>0</v>
      </c>
      <c r="BD91" s="34" t="n">
        <f aca="false">SUMIF(Inv_E,51,Inv_D)*BD$9</f>
        <v>0</v>
      </c>
      <c r="BE91" s="34" t="n">
        <f aca="false">SUMIF(Inv_E,52,Inv_D)*BE$9</f>
        <v>0</v>
      </c>
      <c r="BF91" s="34" t="n">
        <f aca="false">SUMIF(Inv_E,53,Inv_D)*BF$9</f>
        <v>0</v>
      </c>
      <c r="BG91" s="34" t="n">
        <f aca="false">SUMIF(Inv_E,54,Inv_D)*BG$9</f>
        <v>0</v>
      </c>
      <c r="BH91" s="34" t="n">
        <f aca="false">SUMIF(Inv_E,55,Inv_D)*BH$9</f>
        <v>0</v>
      </c>
      <c r="BI91" s="34" t="n">
        <f aca="false">SUMIF(Inv_E,56,Inv_D)*BI$9</f>
        <v>0</v>
      </c>
      <c r="BJ91" s="34" t="n">
        <f aca="false">SUMIF(Inv_E,57,Inv_D)*BJ$9</f>
        <v>0</v>
      </c>
      <c r="BK91" s="34" t="n">
        <f aca="false">SUMIF(Inv_E,58,Inv_D)*BK$9</f>
        <v>0</v>
      </c>
      <c r="BL91" s="34" t="n">
        <f aca="false">SUMIF(Inv_E,59,Inv_D)*BL$9</f>
        <v>0</v>
      </c>
      <c r="BM91" s="34" t="n">
        <f aca="false">SUMIF(Inv_E,60,Inv_D)*BM$9</f>
        <v>0</v>
      </c>
      <c r="BN91" s="34" t="n">
        <f aca="false">SUMIF(Inv_E,61,Inv_D)*BN$9</f>
        <v>0</v>
      </c>
      <c r="BO91" s="34" t="n">
        <f aca="false">SUMIF(Inv_E,62,Inv_D)*BO$9</f>
        <v>0</v>
      </c>
      <c r="BP91" s="34" t="n">
        <f aca="false">SUMIF(Inv_E,63,Inv_D)*BP$9</f>
        <v>0</v>
      </c>
      <c r="BQ91" s="34" t="n">
        <f aca="false">SUMIF(Inv_E,64,Inv_D)*BQ$9</f>
        <v>0</v>
      </c>
      <c r="BR91" s="34" t="n">
        <f aca="false">SUMIF(Inv_E,65,Inv_D)*BR$9</f>
        <v>0</v>
      </c>
      <c r="BS91" s="34" t="n">
        <f aca="false">SUMIF(Inv_E,66,Inv_D)*BS$9</f>
        <v>0</v>
      </c>
      <c r="BT91" s="34" t="n">
        <f aca="false">SUMIF(Inv_E,67,Inv_D)*BT$9</f>
        <v>0</v>
      </c>
      <c r="BU91" s="34" t="n">
        <f aca="false">SUMIF(Inv_E,68,Inv_D)*BU$9</f>
        <v>0</v>
      </c>
      <c r="BV91" s="34" t="n">
        <f aca="false">SUMIF(Inv_E,69,Inv_D)*BV$9</f>
        <v>0</v>
      </c>
      <c r="BW91" s="34" t="n">
        <f aca="false">SUMIF(Inv_E,70,Inv_D)*BW$9</f>
        <v>0</v>
      </c>
      <c r="BX91" s="34" t="n">
        <f aca="false">SUMIF(Inv_E,71,Inv_D)*BX$9</f>
        <v>0</v>
      </c>
      <c r="BY91" s="34" t="n">
        <f aca="false">SUMIF(Inv_E,72,Inv_D)*BY$9</f>
        <v>0</v>
      </c>
      <c r="BZ91" s="34" t="n">
        <f aca="false">SUMIF(Inv_E,73,Inv_D)*BZ$9</f>
        <v>0</v>
      </c>
      <c r="CA91" s="34" t="n">
        <f aca="false">SUMIF(Inv_E,74,Inv_D)*CA$9</f>
        <v>0</v>
      </c>
      <c r="CB91" s="34" t="n">
        <f aca="false">SUMIF(Inv_E,75,Inv_D)*CB$9</f>
        <v>0</v>
      </c>
      <c r="CC91" s="34" t="n">
        <f aca="false">SUMIF(Inv_E,76,Inv_D)*CC$9</f>
        <v>0</v>
      </c>
      <c r="CD91" s="34" t="n">
        <f aca="false">SUMIF(Inv_E,77,Inv_D)*CD$9</f>
        <v>0</v>
      </c>
      <c r="CE91" s="34" t="n">
        <f aca="false">SUMIF(Inv_E,78,Inv_D)*CE$9</f>
        <v>0</v>
      </c>
      <c r="CF91" s="34" t="n">
        <f aca="false">SUMIF(Inv_E,79,Inv_D)*CF$9</f>
        <v>0</v>
      </c>
      <c r="CG91" s="34" t="n">
        <f aca="false">SUMIF(Inv_E,80,Inv_D)*CG$9</f>
        <v>0</v>
      </c>
      <c r="CH91" s="34" t="n">
        <f aca="false">SUMIF(Inv_E,81,Inv_D)*CH$9</f>
        <v>0</v>
      </c>
      <c r="CI91" s="34" t="n">
        <f aca="false">SUMIF(Inv_E,82,Inv_D)*CI$9</f>
        <v>0</v>
      </c>
      <c r="CJ91" s="34" t="n">
        <f aca="false">SUMIF(Inv_E,83,Inv_D)*CJ$9</f>
        <v>0</v>
      </c>
      <c r="CK91" s="34" t="n">
        <f aca="false">SUMIF(Inv_E,84,Inv_D)*CK$9</f>
        <v>0</v>
      </c>
      <c r="CL91" s="34" t="n">
        <f aca="false">SUMIF(Inv_E,85,Inv_D)*CL$9</f>
        <v>0</v>
      </c>
      <c r="CM91" s="34" t="n">
        <f aca="false">SUMIF(Inv_E,86,Inv_D)*CM$9</f>
        <v>0</v>
      </c>
      <c r="CN91" s="34" t="n">
        <f aca="false">SUMIF(Inv_E,87,Inv_D)*CN$9</f>
        <v>0</v>
      </c>
      <c r="CO91" s="34" t="n">
        <f aca="false">SUMIF(Inv_E,88,Inv_D)*CO$9</f>
        <v>0</v>
      </c>
      <c r="CP91" s="34" t="n">
        <f aca="false">SUMIF(Inv_E,89,Inv_D)*CP$9</f>
        <v>0</v>
      </c>
      <c r="CQ91" s="34" t="n">
        <f aca="false">SUMIF(Inv_E,90,Inv_D)*CQ$9</f>
        <v>0</v>
      </c>
      <c r="CR91" s="34" t="n">
        <f aca="false">SUMIF(Inv_E,91,Inv_D)*CR$9</f>
        <v>0</v>
      </c>
      <c r="CS91" s="34" t="n">
        <f aca="false">SUMIF(Inv_E,92,Inv_D)*CS$9</f>
        <v>0</v>
      </c>
      <c r="CT91" s="34" t="n">
        <f aca="false">SUMIF(Inv_E,93,Inv_D)*CT$9</f>
        <v>0</v>
      </c>
      <c r="CU91" s="34" t="n">
        <f aca="false">SUMIF(Inv_E,94,Inv_D)*CU$9</f>
        <v>0</v>
      </c>
      <c r="CV91" s="34" t="n">
        <f aca="false">SUMIF(Inv_E,95,Inv_D)*CV$9</f>
        <v>0</v>
      </c>
      <c r="CW91" s="34" t="n">
        <f aca="false">SUMIF(Inv_E,96,Inv_D)*CW$9</f>
        <v>0</v>
      </c>
      <c r="CX91" s="34" t="n">
        <f aca="false">SUMIF(Inv_E,97,Inv_D)*CX$9</f>
        <v>0</v>
      </c>
      <c r="CY91" s="34" t="n">
        <f aca="false">SUMIF(Inv_E,98,Inv_D)*CY$9</f>
        <v>0</v>
      </c>
      <c r="CZ91" s="34" t="n">
        <f aca="false">SUMIF(Inv_E,99,Inv_D)*CZ$9</f>
        <v>0</v>
      </c>
      <c r="DA91" s="34" t="n">
        <f aca="false">SUMIF(Inv_E,100,Inv_D)*DA$9</f>
        <v>0</v>
      </c>
      <c r="DB91" s="34" t="n">
        <f aca="false">SUMIF(Inv_E,101,Inv_D)*DB$9</f>
        <v>0</v>
      </c>
      <c r="DC91" s="34" t="n">
        <f aca="false">SUMIF(Inv_E,102,Inv_D)*DC$9</f>
        <v>0</v>
      </c>
      <c r="DD91" s="34" t="n">
        <f aca="false">SUMIF(Inv_E,103,Inv_D)*DD$9</f>
        <v>0</v>
      </c>
      <c r="DE91" s="34" t="n">
        <f aca="false">SUMIF(Inv_E,104,Inv_D)*DE$9</f>
        <v>0</v>
      </c>
      <c r="DF91" s="34" t="n">
        <f aca="false">SUMIF(Inv_E,105,Inv_D)*DF$9</f>
        <v>0</v>
      </c>
      <c r="DG91" s="34" t="n">
        <f aca="false">SUMIF(Inv_E,106,Inv_D)*DG$9</f>
        <v>0</v>
      </c>
      <c r="DH91" s="34" t="n">
        <f aca="false">SUMIF(Inv_E,107,Inv_D)*DH$9</f>
        <v>0</v>
      </c>
      <c r="DI91" s="34" t="n">
        <f aca="false">SUMIF(Inv_E,108,Inv_D)*DI$9</f>
        <v>0</v>
      </c>
      <c r="DJ91" s="34" t="n">
        <f aca="false">SUMIF(Inv_E,109,Inv_D)*DJ$9</f>
        <v>0</v>
      </c>
      <c r="DK91" s="34" t="n">
        <f aca="false">SUMIF(Inv_E,110,Inv_D)*DK$9</f>
        <v>0</v>
      </c>
      <c r="DL91" s="34" t="n">
        <f aca="false">SUMIF(Inv_E,111,Inv_D)*DL$9</f>
        <v>0</v>
      </c>
      <c r="DM91" s="34" t="n">
        <f aca="false">SUMIF(Inv_E,112,Inv_D)*DM$9</f>
        <v>0</v>
      </c>
      <c r="DN91" s="34" t="n">
        <f aca="false">SUMIF(Inv_E,113,Inv_D)*DN$9</f>
        <v>0</v>
      </c>
      <c r="DO91" s="34" t="n">
        <f aca="false">SUMIF(Inv_E,114,Inv_D)*DO$9</f>
        <v>0</v>
      </c>
      <c r="DP91" s="34" t="n">
        <f aca="false">SUMIF(Inv_E,115,Inv_D)*DP$9</f>
        <v>0</v>
      </c>
      <c r="DQ91" s="34" t="n">
        <f aca="false">SUMIF(Inv_E,116,Inv_D)*DQ$9</f>
        <v>0</v>
      </c>
      <c r="DR91" s="34" t="n">
        <f aca="false">SUMIF(Inv_E,117,Inv_D)*DR$9</f>
        <v>0</v>
      </c>
      <c r="DS91" s="34" t="n">
        <f aca="false">SUMIF(Inv_E,118,Inv_D)*DS$9</f>
        <v>0</v>
      </c>
      <c r="DT91" s="34" t="n">
        <f aca="false">SUMIF(Inv_E,119,Inv_D)*DT$9</f>
        <v>0</v>
      </c>
      <c r="DU91" s="34" t="n">
        <f aca="false">SUMIF(Inv_E,120,Inv_D)*DU$9</f>
        <v>0</v>
      </c>
      <c r="DV91" s="34" t="n">
        <f aca="false">SUMIF(Inv_E,121,Inv_D)*DV$9</f>
        <v>0</v>
      </c>
      <c r="DW91" s="34" t="n">
        <f aca="false">SUMIF(Inv_E,122,Inv_D)*DW$9</f>
        <v>0</v>
      </c>
      <c r="DX91" s="34" t="n">
        <f aca="false">SUMIF(Inv_E,123,Inv_D)*DX$9</f>
        <v>0</v>
      </c>
      <c r="DY91" s="34" t="n">
        <f aca="false">SUMIF(Inv_E,124,Inv_D)*DY$9</f>
        <v>0</v>
      </c>
      <c r="DZ91" s="34" t="n">
        <f aca="false">SUMIF(Inv_E,125,Inv_D)*DZ$9</f>
        <v>0</v>
      </c>
      <c r="EA91" s="34" t="n">
        <f aca="false">SUMIF(Inv_E,126,Inv_D)*EA$9</f>
        <v>0</v>
      </c>
      <c r="EB91" s="34" t="n">
        <f aca="false">SUMIF(Inv_E,127,Inv_D)*EB$9</f>
        <v>0</v>
      </c>
      <c r="EC91" s="34" t="n">
        <f aca="false">SUMIF(Inv_E,128,Inv_D)*EC$9</f>
        <v>0</v>
      </c>
      <c r="ED91" s="34" t="n">
        <f aca="false">SUMIF(Inv_E,129,Inv_D)*ED$9</f>
        <v>0</v>
      </c>
      <c r="EE91" s="34" t="n">
        <f aca="false">SUMIF(Inv_E,130,Inv_D)*EE$9</f>
        <v>0</v>
      </c>
      <c r="EF91" s="34" t="n">
        <f aca="false">SUMIF(Inv_E,131,Inv_D)*EF$9</f>
        <v>0</v>
      </c>
      <c r="EG91" s="34" t="n">
        <f aca="false">SUMIF(Inv_E,132,Inv_D)*EG$9</f>
        <v>0</v>
      </c>
      <c r="EH91" s="34" t="n">
        <f aca="false">SUMIF(Inv_E,133,Inv_D)*EH$9</f>
        <v>0</v>
      </c>
      <c r="EI91" s="34" t="n">
        <f aca="false">SUMIF(Inv_E,134,Inv_D)*EI$9</f>
        <v>0</v>
      </c>
      <c r="EJ91" s="34" t="n">
        <f aca="false">SUMIF(Inv_E,135,Inv_D)*EJ$9</f>
        <v>0</v>
      </c>
      <c r="EK91" s="34" t="n">
        <f aca="false">SUMIF(Inv_E,136,Inv_D)*EK$9</f>
        <v>0</v>
      </c>
      <c r="EL91" s="34" t="n">
        <f aca="false">SUMIF(Inv_E,137,Inv_D)*EL$9</f>
        <v>0</v>
      </c>
      <c r="EM91" s="34" t="n">
        <f aca="false">SUMIF(Inv_E,138,Inv_D)*EM$9</f>
        <v>0</v>
      </c>
      <c r="EN91" s="34" t="n">
        <f aca="false">SUMIF(Inv_E,139,Inv_D)*EN$9</f>
        <v>0</v>
      </c>
      <c r="EO91" s="34" t="n">
        <f aca="false">SUMIF(Inv_E,140,Inv_D)*EO$9</f>
        <v>0</v>
      </c>
      <c r="EP91" s="34" t="n">
        <f aca="false">SUMIF(Inv_E,141,Inv_D)*EP$9</f>
        <v>0</v>
      </c>
      <c r="EQ91" s="34" t="n">
        <f aca="false">SUMIF(Inv_E,142,Inv_D)*EQ$9</f>
        <v>0</v>
      </c>
      <c r="ER91" s="34" t="n">
        <f aca="false">SUMIF(Inv_E,143,Inv_D)*ER$9</f>
        <v>0</v>
      </c>
      <c r="ES91" s="34" t="n">
        <f aca="false">SUMIF(Inv_E,144,Inv_D)*ES$9</f>
        <v>0</v>
      </c>
    </row>
    <row r="92" customFormat="false" ht="15" hidden="false" customHeight="false" outlineLevel="0" collapsed="false">
      <c r="A92" s="2" t="s">
        <v>542</v>
      </c>
      <c r="B92" s="6" t="s">
        <v>543</v>
      </c>
      <c r="C92" s="6" t="s">
        <v>212</v>
      </c>
      <c r="E92" s="40" t="n">
        <f aca="false">INDEX(F92:ES92,1,MIN(144,Fin))</f>
        <v>0</v>
      </c>
      <c r="F92" s="34" t="n">
        <f aca="false">0+F$91-F$77</f>
        <v>0</v>
      </c>
      <c r="G92" s="34" t="n">
        <f aca="false">F$92+G$91-G$77</f>
        <v>0</v>
      </c>
      <c r="H92" s="34" t="n">
        <f aca="false">G$92+H$91-H$77</f>
        <v>0</v>
      </c>
      <c r="I92" s="34" t="n">
        <f aca="false">H$92+I$91-I$77</f>
        <v>0</v>
      </c>
      <c r="J92" s="34" t="n">
        <f aca="false">I$92+J$91-J$77</f>
        <v>0</v>
      </c>
      <c r="K92" s="34" t="n">
        <f aca="false">J$92+K$91-K$77</f>
        <v>0</v>
      </c>
      <c r="L92" s="34" t="n">
        <f aca="false">K$92+L$91-L$77</f>
        <v>0</v>
      </c>
      <c r="M92" s="34" t="n">
        <f aca="false">L$92+M$91-M$77</f>
        <v>0</v>
      </c>
      <c r="N92" s="34" t="n">
        <f aca="false">M$92+N$91-N$77</f>
        <v>0</v>
      </c>
      <c r="O92" s="34" t="n">
        <f aca="false">N$92+O$91-O$77</f>
        <v>0</v>
      </c>
      <c r="P92" s="34" t="n">
        <f aca="false">O$92+P$91-P$77</f>
        <v>0</v>
      </c>
      <c r="Q92" s="34" t="n">
        <f aca="false">P$92+Q$91-Q$77</f>
        <v>0</v>
      </c>
      <c r="R92" s="34" t="n">
        <f aca="false">Q$92+R$91-R$77</f>
        <v>0</v>
      </c>
      <c r="S92" s="34" t="n">
        <f aca="false">R$92+S$91-S$77</f>
        <v>0</v>
      </c>
      <c r="T92" s="34" t="n">
        <f aca="false">S$92+T$91-T$77</f>
        <v>0</v>
      </c>
      <c r="U92" s="34" t="n">
        <f aca="false">T$92+U$91-U$77</f>
        <v>0</v>
      </c>
      <c r="V92" s="34" t="n">
        <f aca="false">U$92+V$91-V$77</f>
        <v>0</v>
      </c>
      <c r="W92" s="34" t="n">
        <f aca="false">V$92+W$91-W$77</f>
        <v>0</v>
      </c>
      <c r="X92" s="34" t="n">
        <f aca="false">W$92+X$91-X$77</f>
        <v>0</v>
      </c>
      <c r="Y92" s="34" t="n">
        <f aca="false">X$92+Y$91-Y$77</f>
        <v>0</v>
      </c>
      <c r="Z92" s="34" t="n">
        <f aca="false">Y$92+Z$91-Z$77</f>
        <v>0</v>
      </c>
      <c r="AA92" s="34" t="n">
        <f aca="false">Z$92+AA$91-AA$77</f>
        <v>0</v>
      </c>
      <c r="AB92" s="34" t="n">
        <f aca="false">AA$92+AB$91-AB$77</f>
        <v>0</v>
      </c>
      <c r="AC92" s="34" t="n">
        <f aca="false">AB$92+AC$91-AC$77</f>
        <v>0</v>
      </c>
      <c r="AD92" s="34" t="n">
        <f aca="false">AC$92+AD$91-AD$77</f>
        <v>0</v>
      </c>
      <c r="AE92" s="34" t="n">
        <f aca="false">AD$92+AE$91-AE$77</f>
        <v>0</v>
      </c>
      <c r="AF92" s="34" t="n">
        <f aca="false">AE$92+AF$91-AF$77</f>
        <v>0</v>
      </c>
      <c r="AG92" s="34" t="n">
        <f aca="false">AF$92+AG$91-AG$77</f>
        <v>0</v>
      </c>
      <c r="AH92" s="34" t="n">
        <f aca="false">AG$92+AH$91-AH$77</f>
        <v>0</v>
      </c>
      <c r="AI92" s="34" t="n">
        <f aca="false">AH$92+AI$91-AI$77</f>
        <v>0</v>
      </c>
      <c r="AJ92" s="34" t="n">
        <f aca="false">AI$92+AJ$91-AJ$77</f>
        <v>0</v>
      </c>
      <c r="AK92" s="34" t="n">
        <f aca="false">AJ$92+AK$91-AK$77</f>
        <v>0</v>
      </c>
      <c r="AL92" s="34" t="n">
        <f aca="false">AK$92+AL$91-AL$77</f>
        <v>0</v>
      </c>
      <c r="AM92" s="34" t="n">
        <f aca="false">AL$92+AM$91-AM$77</f>
        <v>0</v>
      </c>
      <c r="AN92" s="34" t="n">
        <f aca="false">AM$92+AN$91-AN$77</f>
        <v>0</v>
      </c>
      <c r="AO92" s="34" t="n">
        <f aca="false">AN$92+AO$91-AO$77</f>
        <v>0</v>
      </c>
      <c r="AP92" s="34" t="n">
        <f aca="false">AO$92+AP$91-AP$77</f>
        <v>0</v>
      </c>
      <c r="AQ92" s="34" t="n">
        <f aca="false">AP$92+AQ$91-AQ$77</f>
        <v>0</v>
      </c>
      <c r="AR92" s="34" t="n">
        <f aca="false">AQ$92+AR$91-AR$77</f>
        <v>0</v>
      </c>
      <c r="AS92" s="34" t="n">
        <f aca="false">AR$92+AS$91-AS$77</f>
        <v>0</v>
      </c>
      <c r="AT92" s="34" t="n">
        <f aca="false">AS$92+AT$91-AT$77</f>
        <v>0</v>
      </c>
      <c r="AU92" s="34" t="n">
        <f aca="false">AT$92+AU$91-AU$77</f>
        <v>0</v>
      </c>
      <c r="AV92" s="34" t="n">
        <f aca="false">AU$92+AV$91-AV$77</f>
        <v>0</v>
      </c>
      <c r="AW92" s="34" t="n">
        <f aca="false">AV$92+AW$91-AW$77</f>
        <v>0</v>
      </c>
      <c r="AX92" s="34" t="n">
        <f aca="false">AW$92+AX$91-AX$77</f>
        <v>0</v>
      </c>
      <c r="AY92" s="34" t="n">
        <f aca="false">AX$92+AY$91-AY$77</f>
        <v>0</v>
      </c>
      <c r="AZ92" s="34" t="n">
        <f aca="false">AY$92+AZ$91-AZ$77</f>
        <v>0</v>
      </c>
      <c r="BA92" s="34" t="n">
        <f aca="false">AZ$92+BA$91-BA$77</f>
        <v>0</v>
      </c>
      <c r="BB92" s="34" t="n">
        <f aca="false">BA$92+BB$91-BB$77</f>
        <v>0</v>
      </c>
      <c r="BC92" s="34" t="n">
        <f aca="false">BB$92+BC$91-BC$77</f>
        <v>0</v>
      </c>
      <c r="BD92" s="34" t="n">
        <f aca="false">BC$92+BD$91-BD$77</f>
        <v>0</v>
      </c>
      <c r="BE92" s="34" t="n">
        <f aca="false">BD$92+BE$91-BE$77</f>
        <v>0</v>
      </c>
      <c r="BF92" s="34" t="n">
        <f aca="false">BE$92+BF$91-BF$77</f>
        <v>0</v>
      </c>
      <c r="BG92" s="34" t="n">
        <f aca="false">BF$92+BG$91-BG$77</f>
        <v>0</v>
      </c>
      <c r="BH92" s="34" t="n">
        <f aca="false">BG$92+BH$91-BH$77</f>
        <v>0</v>
      </c>
      <c r="BI92" s="34" t="n">
        <f aca="false">BH$92+BI$91-BI$77</f>
        <v>0</v>
      </c>
      <c r="BJ92" s="34" t="n">
        <f aca="false">BI$92+BJ$91-BJ$77</f>
        <v>0</v>
      </c>
      <c r="BK92" s="34" t="n">
        <f aca="false">BJ$92+BK$91-BK$77</f>
        <v>0</v>
      </c>
      <c r="BL92" s="34" t="n">
        <f aca="false">BK$92+BL$91-BL$77</f>
        <v>0</v>
      </c>
      <c r="BM92" s="34" t="n">
        <f aca="false">BL$92+BM$91-BM$77</f>
        <v>0</v>
      </c>
      <c r="BN92" s="34" t="n">
        <f aca="false">BM$92+BN$91-BN$77</f>
        <v>0</v>
      </c>
      <c r="BO92" s="34" t="n">
        <f aca="false">BN$92+BO$91-BO$77</f>
        <v>0</v>
      </c>
      <c r="BP92" s="34" t="n">
        <f aca="false">BO$92+BP$91-BP$77</f>
        <v>0</v>
      </c>
      <c r="BQ92" s="34" t="n">
        <f aca="false">BP$92+BQ$91-BQ$77</f>
        <v>0</v>
      </c>
      <c r="BR92" s="34" t="n">
        <f aca="false">BQ$92+BR$91-BR$77</f>
        <v>0</v>
      </c>
      <c r="BS92" s="34" t="n">
        <f aca="false">BR$92+BS$91-BS$77</f>
        <v>0</v>
      </c>
      <c r="BT92" s="34" t="n">
        <f aca="false">BS$92+BT$91-BT$77</f>
        <v>0</v>
      </c>
      <c r="BU92" s="34" t="n">
        <f aca="false">BT$92+BU$91-BU$77</f>
        <v>0</v>
      </c>
      <c r="BV92" s="34" t="n">
        <f aca="false">BU$92+BV$91-BV$77</f>
        <v>0</v>
      </c>
      <c r="BW92" s="34" t="n">
        <f aca="false">BV$92+BW$91-BW$77</f>
        <v>0</v>
      </c>
      <c r="BX92" s="34" t="n">
        <f aca="false">BW$92+BX$91-BX$77</f>
        <v>0</v>
      </c>
      <c r="BY92" s="34" t="n">
        <f aca="false">BX$92+BY$91-BY$77</f>
        <v>0</v>
      </c>
      <c r="BZ92" s="34" t="n">
        <f aca="false">BY$92+BZ$91-BZ$77</f>
        <v>0</v>
      </c>
      <c r="CA92" s="34" t="n">
        <f aca="false">BZ$92+CA$91-CA$77</f>
        <v>0</v>
      </c>
      <c r="CB92" s="34" t="n">
        <f aca="false">CA$92+CB$91-CB$77</f>
        <v>0</v>
      </c>
      <c r="CC92" s="34" t="n">
        <f aca="false">CB$92+CC$91-CC$77</f>
        <v>0</v>
      </c>
      <c r="CD92" s="34" t="n">
        <f aca="false">CC$92+CD$91-CD$77</f>
        <v>0</v>
      </c>
      <c r="CE92" s="34" t="n">
        <f aca="false">CD$92+CE$91-CE$77</f>
        <v>0</v>
      </c>
      <c r="CF92" s="34" t="n">
        <f aca="false">CE$92+CF$91-CF$77</f>
        <v>0</v>
      </c>
      <c r="CG92" s="34" t="n">
        <f aca="false">CF$92+CG$91-CG$77</f>
        <v>0</v>
      </c>
      <c r="CH92" s="34" t="n">
        <f aca="false">CG$92+CH$91-CH$77</f>
        <v>0</v>
      </c>
      <c r="CI92" s="34" t="n">
        <f aca="false">CH$92+CI$91-CI$77</f>
        <v>0</v>
      </c>
      <c r="CJ92" s="34" t="n">
        <f aca="false">CI$92+CJ$91-CJ$77</f>
        <v>0</v>
      </c>
      <c r="CK92" s="34" t="n">
        <f aca="false">CJ$92+CK$91-CK$77</f>
        <v>0</v>
      </c>
      <c r="CL92" s="34" t="n">
        <f aca="false">CK$92+CL$91-CL$77</f>
        <v>0</v>
      </c>
      <c r="CM92" s="34" t="n">
        <f aca="false">CL$92+CM$91-CM$77</f>
        <v>0</v>
      </c>
      <c r="CN92" s="34" t="n">
        <f aca="false">CM$92+CN$91-CN$77</f>
        <v>0</v>
      </c>
      <c r="CO92" s="34" t="n">
        <f aca="false">CN$92+CO$91-CO$77</f>
        <v>0</v>
      </c>
      <c r="CP92" s="34" t="n">
        <f aca="false">CO$92+CP$91-CP$77</f>
        <v>0</v>
      </c>
      <c r="CQ92" s="34" t="n">
        <f aca="false">CP$92+CQ$91-CQ$77</f>
        <v>0</v>
      </c>
      <c r="CR92" s="34" t="n">
        <f aca="false">CQ$92+CR$91-CR$77</f>
        <v>0</v>
      </c>
      <c r="CS92" s="34" t="n">
        <f aca="false">CR$92+CS$91-CS$77</f>
        <v>0</v>
      </c>
      <c r="CT92" s="34" t="n">
        <f aca="false">CS$92+CT$91-CT$77</f>
        <v>0</v>
      </c>
      <c r="CU92" s="34" t="n">
        <f aca="false">CT$92+CU$91-CU$77</f>
        <v>0</v>
      </c>
      <c r="CV92" s="34" t="n">
        <f aca="false">CU$92+CV$91-CV$77</f>
        <v>0</v>
      </c>
      <c r="CW92" s="34" t="n">
        <f aca="false">CV$92+CW$91-CW$77</f>
        <v>0</v>
      </c>
      <c r="CX92" s="34" t="n">
        <f aca="false">CW$92+CX$91-CX$77</f>
        <v>0</v>
      </c>
      <c r="CY92" s="34" t="n">
        <f aca="false">CX$92+CY$91-CY$77</f>
        <v>0</v>
      </c>
      <c r="CZ92" s="34" t="n">
        <f aca="false">CY$92+CZ$91-CZ$77</f>
        <v>0</v>
      </c>
      <c r="DA92" s="34" t="n">
        <f aca="false">CZ$92+DA$91-DA$77</f>
        <v>0</v>
      </c>
      <c r="DB92" s="34" t="n">
        <f aca="false">DA$92+DB$91-DB$77</f>
        <v>0</v>
      </c>
      <c r="DC92" s="34" t="n">
        <f aca="false">DB$92+DC$91-DC$77</f>
        <v>0</v>
      </c>
      <c r="DD92" s="34" t="n">
        <f aca="false">DC$92+DD$91-DD$77</f>
        <v>0</v>
      </c>
      <c r="DE92" s="34" t="n">
        <f aca="false">DD$92+DE$91-DE$77</f>
        <v>0</v>
      </c>
      <c r="DF92" s="34" t="n">
        <f aca="false">DE$92+DF$91-DF$77</f>
        <v>0</v>
      </c>
      <c r="DG92" s="34" t="n">
        <f aca="false">DF$92+DG$91-DG$77</f>
        <v>0</v>
      </c>
      <c r="DH92" s="34" t="n">
        <f aca="false">DG$92+DH$91-DH$77</f>
        <v>0</v>
      </c>
      <c r="DI92" s="34" t="n">
        <f aca="false">DH$92+DI$91-DI$77</f>
        <v>0</v>
      </c>
      <c r="DJ92" s="34" t="n">
        <f aca="false">DI$92+DJ$91-DJ$77</f>
        <v>0</v>
      </c>
      <c r="DK92" s="34" t="n">
        <f aca="false">DJ$92+DK$91-DK$77</f>
        <v>0</v>
      </c>
      <c r="DL92" s="34" t="n">
        <f aca="false">DK$92+DL$91-DL$77</f>
        <v>0</v>
      </c>
      <c r="DM92" s="34" t="n">
        <f aca="false">DL$92+DM$91-DM$77</f>
        <v>0</v>
      </c>
      <c r="DN92" s="34" t="n">
        <f aca="false">DM$92+DN$91-DN$77</f>
        <v>0</v>
      </c>
      <c r="DO92" s="34" t="n">
        <f aca="false">DN$92+DO$91-DO$77</f>
        <v>0</v>
      </c>
      <c r="DP92" s="34" t="n">
        <f aca="false">DO$92+DP$91-DP$77</f>
        <v>0</v>
      </c>
      <c r="DQ92" s="34" t="n">
        <f aca="false">DP$92+DQ$91-DQ$77</f>
        <v>0</v>
      </c>
      <c r="DR92" s="34" t="n">
        <f aca="false">DQ$92+DR$91-DR$77</f>
        <v>0</v>
      </c>
      <c r="DS92" s="34" t="n">
        <f aca="false">DR$92+DS$91-DS$77</f>
        <v>0</v>
      </c>
      <c r="DT92" s="34" t="n">
        <f aca="false">DS$92+DT$91-DT$77</f>
        <v>0</v>
      </c>
      <c r="DU92" s="34" t="n">
        <f aca="false">DT$92+DU$91-DU$77</f>
        <v>0</v>
      </c>
      <c r="DV92" s="34" t="n">
        <f aca="false">DU$92+DV$91-DV$77</f>
        <v>0</v>
      </c>
      <c r="DW92" s="34" t="n">
        <f aca="false">DV$92+DW$91-DW$77</f>
        <v>0</v>
      </c>
      <c r="DX92" s="34" t="n">
        <f aca="false">DW$92+DX$91-DX$77</f>
        <v>0</v>
      </c>
      <c r="DY92" s="34" t="n">
        <f aca="false">DX$92+DY$91-DY$77</f>
        <v>0</v>
      </c>
      <c r="DZ92" s="34" t="n">
        <f aca="false">DY$92+DZ$91-DZ$77</f>
        <v>0</v>
      </c>
      <c r="EA92" s="34" t="n">
        <f aca="false">DZ$92+EA$91-EA$77</f>
        <v>0</v>
      </c>
      <c r="EB92" s="34" t="n">
        <f aca="false">EA$92+EB$91-EB$77</f>
        <v>0</v>
      </c>
      <c r="EC92" s="34" t="n">
        <f aca="false">EB$92+EC$91-EC$77</f>
        <v>0</v>
      </c>
      <c r="ED92" s="34" t="n">
        <f aca="false">EC$92+ED$91-ED$77</f>
        <v>0</v>
      </c>
      <c r="EE92" s="34" t="n">
        <f aca="false">ED$92+EE$91-EE$77</f>
        <v>0</v>
      </c>
      <c r="EF92" s="34" t="n">
        <f aca="false">EE$92+EF$91-EF$77</f>
        <v>0</v>
      </c>
      <c r="EG92" s="34" t="n">
        <f aca="false">EF$92+EG$91-EG$77</f>
        <v>0</v>
      </c>
      <c r="EH92" s="34" t="n">
        <f aca="false">EG$92+EH$91-EH$77</f>
        <v>0</v>
      </c>
      <c r="EI92" s="34" t="n">
        <f aca="false">EH$92+EI$91-EI$77</f>
        <v>0</v>
      </c>
      <c r="EJ92" s="34" t="n">
        <f aca="false">EI$92+EJ$91-EJ$77</f>
        <v>0</v>
      </c>
      <c r="EK92" s="34" t="n">
        <f aca="false">EJ$92+EK$91-EK$77</f>
        <v>0</v>
      </c>
      <c r="EL92" s="34" t="n">
        <f aca="false">EK$92+EL$91-EL$77</f>
        <v>0</v>
      </c>
      <c r="EM92" s="34" t="n">
        <f aca="false">EL$92+EM$91-EM$77</f>
        <v>0</v>
      </c>
      <c r="EN92" s="34" t="n">
        <f aca="false">EM$92+EN$91-EN$77</f>
        <v>0</v>
      </c>
      <c r="EO92" s="34" t="n">
        <f aca="false">EN$92+EO$91-EO$77</f>
        <v>0</v>
      </c>
      <c r="EP92" s="34" t="n">
        <f aca="false">EO$92+EP$91-EP$77</f>
        <v>0</v>
      </c>
      <c r="EQ92" s="34" t="n">
        <f aca="false">EP$92+EQ$91-EQ$77</f>
        <v>0</v>
      </c>
      <c r="ER92" s="34" t="n">
        <f aca="false">EQ$92+ER$91-ER$77</f>
        <v>0</v>
      </c>
      <c r="ES92" s="34" t="n">
        <f aca="false">ER$92+ES$91-ES$77</f>
        <v>0</v>
      </c>
    </row>
    <row r="93" customFormat="false" ht="15" hidden="false" customHeight="false" outlineLevel="0" collapsed="false">
      <c r="A93" s="2" t="s">
        <v>544</v>
      </c>
      <c r="B93" s="6" t="s">
        <v>545</v>
      </c>
      <c r="C93" s="6" t="s">
        <v>212</v>
      </c>
      <c r="E93" s="40" t="n">
        <f aca="false">SUM(F93:ES93)</f>
        <v>0</v>
      </c>
      <c r="F93" s="34" t="n">
        <f aca="false">IF(1=Fin,F$87*P_RealCT+F$92*P_RealAF,0)</f>
        <v>0</v>
      </c>
      <c r="G93" s="34" t="n">
        <f aca="false">IF(2=Fin,G$87*P_RealCT+G$92*P_RealAF,0)</f>
        <v>0</v>
      </c>
      <c r="H93" s="34" t="n">
        <f aca="false">IF(3=Fin,H$87*P_RealCT+H$92*P_RealAF,0)</f>
        <v>0</v>
      </c>
      <c r="I93" s="34" t="n">
        <f aca="false">IF(4=Fin,I$87*P_RealCT+I$92*P_RealAF,0)</f>
        <v>0</v>
      </c>
      <c r="J93" s="34" t="n">
        <f aca="false">IF(5=Fin,J$87*P_RealCT+J$92*P_RealAF,0)</f>
        <v>0</v>
      </c>
      <c r="K93" s="34" t="n">
        <f aca="false">IF(6=Fin,K$87*P_RealCT+K$92*P_RealAF,0)</f>
        <v>0</v>
      </c>
      <c r="L93" s="34" t="n">
        <f aca="false">IF(7=Fin,L$87*P_RealCT+L$92*P_RealAF,0)</f>
        <v>0</v>
      </c>
      <c r="M93" s="34" t="n">
        <f aca="false">IF(8=Fin,M$87*P_RealCT+M$92*P_RealAF,0)</f>
        <v>0</v>
      </c>
      <c r="N93" s="34" t="n">
        <f aca="false">IF(9=Fin,N$87*P_RealCT+N$92*P_RealAF,0)</f>
        <v>0</v>
      </c>
      <c r="O93" s="34" t="n">
        <f aca="false">IF(10=Fin,O$87*P_RealCT+O$92*P_RealAF,0)</f>
        <v>0</v>
      </c>
      <c r="P93" s="34" t="n">
        <f aca="false">IF(11=Fin,P$87*P_RealCT+P$92*P_RealAF,0)</f>
        <v>0</v>
      </c>
      <c r="Q93" s="34" t="n">
        <f aca="false">IF(12=Fin,Q$87*P_RealCT+Q$92*P_RealAF,0)</f>
        <v>0</v>
      </c>
      <c r="R93" s="34" t="n">
        <f aca="false">IF(13=Fin,R$87*P_RealCT+R$92*P_RealAF,0)</f>
        <v>0</v>
      </c>
      <c r="S93" s="34" t="n">
        <f aca="false">IF(14=Fin,S$87*P_RealCT+S$92*P_RealAF,0)</f>
        <v>0</v>
      </c>
      <c r="T93" s="34" t="n">
        <f aca="false">IF(15=Fin,T$87*P_RealCT+T$92*P_RealAF,0)</f>
        <v>0</v>
      </c>
      <c r="U93" s="34" t="n">
        <f aca="false">IF(16=Fin,U$87*P_RealCT+U$92*P_RealAF,0)</f>
        <v>0</v>
      </c>
      <c r="V93" s="34" t="n">
        <f aca="false">IF(17=Fin,V$87*P_RealCT+V$92*P_RealAF,0)</f>
        <v>0</v>
      </c>
      <c r="W93" s="34" t="n">
        <f aca="false">IF(18=Fin,W$87*P_RealCT+W$92*P_RealAF,0)</f>
        <v>0</v>
      </c>
      <c r="X93" s="34" t="n">
        <f aca="false">IF(19=Fin,X$87*P_RealCT+X$92*P_RealAF,0)</f>
        <v>0</v>
      </c>
      <c r="Y93" s="34" t="n">
        <f aca="false">IF(20=Fin,Y$87*P_RealCT+Y$92*P_RealAF,0)</f>
        <v>0</v>
      </c>
      <c r="Z93" s="34" t="n">
        <f aca="false">IF(21=Fin,Z$87*P_RealCT+Z$92*P_RealAF,0)</f>
        <v>0</v>
      </c>
      <c r="AA93" s="34" t="n">
        <f aca="false">IF(22=Fin,AA$87*P_RealCT+AA$92*P_RealAF,0)</f>
        <v>0</v>
      </c>
      <c r="AB93" s="34" t="n">
        <f aca="false">IF(23=Fin,AB$87*P_RealCT+AB$92*P_RealAF,0)</f>
        <v>0</v>
      </c>
      <c r="AC93" s="34" t="n">
        <f aca="false">IF(24=Fin,AC$87*P_RealCT+AC$92*P_RealAF,0)</f>
        <v>0</v>
      </c>
      <c r="AD93" s="34" t="n">
        <f aca="false">IF(25=Fin,AD$87*P_RealCT+AD$92*P_RealAF,0)</f>
        <v>0</v>
      </c>
      <c r="AE93" s="34" t="n">
        <f aca="false">IF(26=Fin,AE$87*P_RealCT+AE$92*P_RealAF,0)</f>
        <v>0</v>
      </c>
      <c r="AF93" s="34" t="n">
        <f aca="false">IF(27=Fin,AF$87*P_RealCT+AF$92*P_RealAF,0)</f>
        <v>0</v>
      </c>
      <c r="AG93" s="34" t="n">
        <f aca="false">IF(28=Fin,AG$87*P_RealCT+AG$92*P_RealAF,0)</f>
        <v>0</v>
      </c>
      <c r="AH93" s="34" t="n">
        <f aca="false">IF(29=Fin,AH$87*P_RealCT+AH$92*P_RealAF,0)</f>
        <v>0</v>
      </c>
      <c r="AI93" s="34" t="n">
        <f aca="false">IF(30=Fin,AI$87*P_RealCT+AI$92*P_RealAF,0)</f>
        <v>0</v>
      </c>
      <c r="AJ93" s="34" t="n">
        <f aca="false">IF(31=Fin,AJ$87*P_RealCT+AJ$92*P_RealAF,0)</f>
        <v>0</v>
      </c>
      <c r="AK93" s="34" t="n">
        <f aca="false">IF(32=Fin,AK$87*P_RealCT+AK$92*P_RealAF,0)</f>
        <v>0</v>
      </c>
      <c r="AL93" s="34" t="n">
        <f aca="false">IF(33=Fin,AL$87*P_RealCT+AL$92*P_RealAF,0)</f>
        <v>0</v>
      </c>
      <c r="AM93" s="34" t="n">
        <f aca="false">IF(34=Fin,AM$87*P_RealCT+AM$92*P_RealAF,0)</f>
        <v>0</v>
      </c>
      <c r="AN93" s="34" t="n">
        <f aca="false">IF(35=Fin,AN$87*P_RealCT+AN$92*P_RealAF,0)</f>
        <v>0</v>
      </c>
      <c r="AO93" s="34" t="n">
        <f aca="false">IF(36=Fin,AO$87*P_RealCT+AO$92*P_RealAF,0)</f>
        <v>0</v>
      </c>
      <c r="AP93" s="34" t="n">
        <f aca="false">IF(37=Fin,AP$87*P_RealCT+AP$92*P_RealAF,0)</f>
        <v>0</v>
      </c>
      <c r="AQ93" s="34" t="n">
        <f aca="false">IF(38=Fin,AQ$87*P_RealCT+AQ$92*P_RealAF,0)</f>
        <v>0</v>
      </c>
      <c r="AR93" s="34" t="n">
        <f aca="false">IF(39=Fin,AR$87*P_RealCT+AR$92*P_RealAF,0)</f>
        <v>0</v>
      </c>
      <c r="AS93" s="34" t="n">
        <f aca="false">IF(40=Fin,AS$87*P_RealCT+AS$92*P_RealAF,0)</f>
        <v>0</v>
      </c>
      <c r="AT93" s="34" t="n">
        <f aca="false">IF(41=Fin,AT$87*P_RealCT+AT$92*P_RealAF,0)</f>
        <v>0</v>
      </c>
      <c r="AU93" s="34" t="n">
        <f aca="false">IF(42=Fin,AU$87*P_RealCT+AU$92*P_RealAF,0)</f>
        <v>0</v>
      </c>
      <c r="AV93" s="34" t="n">
        <f aca="false">IF(43=Fin,AV$87*P_RealCT+AV$92*P_RealAF,0)</f>
        <v>0</v>
      </c>
      <c r="AW93" s="34" t="n">
        <f aca="false">IF(44=Fin,AW$87*P_RealCT+AW$92*P_RealAF,0)</f>
        <v>0</v>
      </c>
      <c r="AX93" s="34" t="n">
        <f aca="false">IF(45=Fin,AX$87*P_RealCT+AX$92*P_RealAF,0)</f>
        <v>0</v>
      </c>
      <c r="AY93" s="34" t="n">
        <f aca="false">IF(46=Fin,AY$87*P_RealCT+AY$92*P_RealAF,0)</f>
        <v>0</v>
      </c>
      <c r="AZ93" s="34" t="n">
        <f aca="false">IF(47=Fin,AZ$87*P_RealCT+AZ$92*P_RealAF,0)</f>
        <v>0</v>
      </c>
      <c r="BA93" s="34" t="n">
        <f aca="false">IF(48=Fin,BA$87*P_RealCT+BA$92*P_RealAF,0)</f>
        <v>0</v>
      </c>
      <c r="BB93" s="34" t="n">
        <f aca="false">IF(49=Fin,BB$87*P_RealCT+BB$92*P_RealAF,0)</f>
        <v>0</v>
      </c>
      <c r="BC93" s="34" t="n">
        <f aca="false">IF(50=Fin,BC$87*P_RealCT+BC$92*P_RealAF,0)</f>
        <v>0</v>
      </c>
      <c r="BD93" s="34" t="n">
        <f aca="false">IF(51=Fin,BD$87*P_RealCT+BD$92*P_RealAF,0)</f>
        <v>0</v>
      </c>
      <c r="BE93" s="34" t="n">
        <f aca="false">IF(52=Fin,BE$87*P_RealCT+BE$92*P_RealAF,0)</f>
        <v>0</v>
      </c>
      <c r="BF93" s="34" t="n">
        <f aca="false">IF(53=Fin,BF$87*P_RealCT+BF$92*P_RealAF,0)</f>
        <v>0</v>
      </c>
      <c r="BG93" s="34" t="n">
        <f aca="false">IF(54=Fin,BG$87*P_RealCT+BG$92*P_RealAF,0)</f>
        <v>0</v>
      </c>
      <c r="BH93" s="34" t="n">
        <f aca="false">IF(55=Fin,BH$87*P_RealCT+BH$92*P_RealAF,0)</f>
        <v>0</v>
      </c>
      <c r="BI93" s="34" t="n">
        <f aca="false">IF(56=Fin,BI$87*P_RealCT+BI$92*P_RealAF,0)</f>
        <v>0</v>
      </c>
      <c r="BJ93" s="34" t="n">
        <f aca="false">IF(57=Fin,BJ$87*P_RealCT+BJ$92*P_RealAF,0)</f>
        <v>0</v>
      </c>
      <c r="BK93" s="34" t="n">
        <f aca="false">IF(58=Fin,BK$87*P_RealCT+BK$92*P_RealAF,0)</f>
        <v>0</v>
      </c>
      <c r="BL93" s="34" t="n">
        <f aca="false">IF(59=Fin,BL$87*P_RealCT+BL$92*P_RealAF,0)</f>
        <v>0</v>
      </c>
      <c r="BM93" s="34" t="n">
        <f aca="false">IF(60=Fin,BM$87*P_RealCT+BM$92*P_RealAF,0)</f>
        <v>0</v>
      </c>
      <c r="BN93" s="34" t="n">
        <f aca="false">IF(61=Fin,BN$87*P_RealCT+BN$92*P_RealAF,0)</f>
        <v>0</v>
      </c>
      <c r="BO93" s="34" t="n">
        <f aca="false">IF(62=Fin,BO$87*P_RealCT+BO$92*P_RealAF,0)</f>
        <v>0</v>
      </c>
      <c r="BP93" s="34" t="n">
        <f aca="false">IF(63=Fin,BP$87*P_RealCT+BP$92*P_RealAF,0)</f>
        <v>0</v>
      </c>
      <c r="BQ93" s="34" t="n">
        <f aca="false">IF(64=Fin,BQ$87*P_RealCT+BQ$92*P_RealAF,0)</f>
        <v>0</v>
      </c>
      <c r="BR93" s="34" t="n">
        <f aca="false">IF(65=Fin,BR$87*P_RealCT+BR$92*P_RealAF,0)</f>
        <v>0</v>
      </c>
      <c r="BS93" s="34" t="n">
        <f aca="false">IF(66=Fin,BS$87*P_RealCT+BS$92*P_RealAF,0)</f>
        <v>0</v>
      </c>
      <c r="BT93" s="34" t="n">
        <f aca="false">IF(67=Fin,BT$87*P_RealCT+BT$92*P_RealAF,0)</f>
        <v>0</v>
      </c>
      <c r="BU93" s="34" t="n">
        <f aca="false">IF(68=Fin,BU$87*P_RealCT+BU$92*P_RealAF,0)</f>
        <v>0</v>
      </c>
      <c r="BV93" s="34" t="n">
        <f aca="false">IF(69=Fin,BV$87*P_RealCT+BV$92*P_RealAF,0)</f>
        <v>0</v>
      </c>
      <c r="BW93" s="34" t="n">
        <f aca="false">IF(70=Fin,BW$87*P_RealCT+BW$92*P_RealAF,0)</f>
        <v>0</v>
      </c>
      <c r="BX93" s="34" t="n">
        <f aca="false">IF(71=Fin,BX$87*P_RealCT+BX$92*P_RealAF,0)</f>
        <v>0</v>
      </c>
      <c r="BY93" s="34" t="n">
        <f aca="false">IF(72=Fin,BY$87*P_RealCT+BY$92*P_RealAF,0)</f>
        <v>0</v>
      </c>
      <c r="BZ93" s="34" t="n">
        <f aca="false">IF(73=Fin,BZ$87*P_RealCT+BZ$92*P_RealAF,0)</f>
        <v>0</v>
      </c>
      <c r="CA93" s="34" t="n">
        <f aca="false">IF(74=Fin,CA$87*P_RealCT+CA$92*P_RealAF,0)</f>
        <v>0</v>
      </c>
      <c r="CB93" s="34" t="n">
        <f aca="false">IF(75=Fin,CB$87*P_RealCT+CB$92*P_RealAF,0)</f>
        <v>0</v>
      </c>
      <c r="CC93" s="34" t="n">
        <f aca="false">IF(76=Fin,CC$87*P_RealCT+CC$92*P_RealAF,0)</f>
        <v>0</v>
      </c>
      <c r="CD93" s="34" t="n">
        <f aca="false">IF(77=Fin,CD$87*P_RealCT+CD$92*P_RealAF,0)</f>
        <v>0</v>
      </c>
      <c r="CE93" s="34" t="n">
        <f aca="false">IF(78=Fin,CE$87*P_RealCT+CE$92*P_RealAF,0)</f>
        <v>0</v>
      </c>
      <c r="CF93" s="34" t="n">
        <f aca="false">IF(79=Fin,CF$87*P_RealCT+CF$92*P_RealAF,0)</f>
        <v>0</v>
      </c>
      <c r="CG93" s="34" t="n">
        <f aca="false">IF(80=Fin,CG$87*P_RealCT+CG$92*P_RealAF,0)</f>
        <v>0</v>
      </c>
      <c r="CH93" s="34" t="n">
        <f aca="false">IF(81=Fin,CH$87*P_RealCT+CH$92*P_RealAF,0)</f>
        <v>0</v>
      </c>
      <c r="CI93" s="34" t="n">
        <f aca="false">IF(82=Fin,CI$87*P_RealCT+CI$92*P_RealAF,0)</f>
        <v>0</v>
      </c>
      <c r="CJ93" s="34" t="n">
        <f aca="false">IF(83=Fin,CJ$87*P_RealCT+CJ$92*P_RealAF,0)</f>
        <v>0</v>
      </c>
      <c r="CK93" s="34" t="n">
        <f aca="false">IF(84=Fin,CK$87*P_RealCT+CK$92*P_RealAF,0)</f>
        <v>0</v>
      </c>
      <c r="CL93" s="34" t="n">
        <f aca="false">IF(85=Fin,CL$87*P_RealCT+CL$92*P_RealAF,0)</f>
        <v>0</v>
      </c>
      <c r="CM93" s="34" t="n">
        <f aca="false">IF(86=Fin,CM$87*P_RealCT+CM$92*P_RealAF,0)</f>
        <v>0</v>
      </c>
      <c r="CN93" s="34" t="n">
        <f aca="false">IF(87=Fin,CN$87*P_RealCT+CN$92*P_RealAF,0)</f>
        <v>0</v>
      </c>
      <c r="CO93" s="34" t="n">
        <f aca="false">IF(88=Fin,CO$87*P_RealCT+CO$92*P_RealAF,0)</f>
        <v>0</v>
      </c>
      <c r="CP93" s="34" t="n">
        <f aca="false">IF(89=Fin,CP$87*P_RealCT+CP$92*P_RealAF,0)</f>
        <v>0</v>
      </c>
      <c r="CQ93" s="34" t="n">
        <f aca="false">IF(90=Fin,CQ$87*P_RealCT+CQ$92*P_RealAF,0)</f>
        <v>0</v>
      </c>
      <c r="CR93" s="34" t="n">
        <f aca="false">IF(91=Fin,CR$87*P_RealCT+CR$92*P_RealAF,0)</f>
        <v>0</v>
      </c>
      <c r="CS93" s="34" t="n">
        <f aca="false">IF(92=Fin,CS$87*P_RealCT+CS$92*P_RealAF,0)</f>
        <v>0</v>
      </c>
      <c r="CT93" s="34" t="n">
        <f aca="false">IF(93=Fin,CT$87*P_RealCT+CT$92*P_RealAF,0)</f>
        <v>0</v>
      </c>
      <c r="CU93" s="34" t="n">
        <f aca="false">IF(94=Fin,CU$87*P_RealCT+CU$92*P_RealAF,0)</f>
        <v>0</v>
      </c>
      <c r="CV93" s="34" t="n">
        <f aca="false">IF(95=Fin,CV$87*P_RealCT+CV$92*P_RealAF,0)</f>
        <v>0</v>
      </c>
      <c r="CW93" s="34" t="n">
        <f aca="false">IF(96=Fin,CW$87*P_RealCT+CW$92*P_RealAF,0)</f>
        <v>0</v>
      </c>
      <c r="CX93" s="34" t="n">
        <f aca="false">IF(97=Fin,CX$87*P_RealCT+CX$92*P_RealAF,0)</f>
        <v>0</v>
      </c>
      <c r="CY93" s="34" t="n">
        <f aca="false">IF(98=Fin,CY$87*P_RealCT+CY$92*P_RealAF,0)</f>
        <v>0</v>
      </c>
      <c r="CZ93" s="34" t="n">
        <f aca="false">IF(99=Fin,CZ$87*P_RealCT+CZ$92*P_RealAF,0)</f>
        <v>0</v>
      </c>
      <c r="DA93" s="34" t="n">
        <f aca="false">IF(100=Fin,DA$87*P_RealCT+DA$92*P_RealAF,0)</f>
        <v>0</v>
      </c>
      <c r="DB93" s="34" t="n">
        <f aca="false">IF(101=Fin,DB$87*P_RealCT+DB$92*P_RealAF,0)</f>
        <v>0</v>
      </c>
      <c r="DC93" s="34" t="n">
        <f aca="false">IF(102=Fin,DC$87*P_RealCT+DC$92*P_RealAF,0)</f>
        <v>0</v>
      </c>
      <c r="DD93" s="34" t="n">
        <f aca="false">IF(103=Fin,DD$87*P_RealCT+DD$92*P_RealAF,0)</f>
        <v>0</v>
      </c>
      <c r="DE93" s="34" t="n">
        <f aca="false">IF(104=Fin,DE$87*P_RealCT+DE$92*P_RealAF,0)</f>
        <v>0</v>
      </c>
      <c r="DF93" s="34" t="n">
        <f aca="false">IF(105=Fin,DF$87*P_RealCT+DF$92*P_RealAF,0)</f>
        <v>0</v>
      </c>
      <c r="DG93" s="34" t="n">
        <f aca="false">IF(106=Fin,DG$87*P_RealCT+DG$92*P_RealAF,0)</f>
        <v>0</v>
      </c>
      <c r="DH93" s="34" t="n">
        <f aca="false">IF(107=Fin,DH$87*P_RealCT+DH$92*P_RealAF,0)</f>
        <v>0</v>
      </c>
      <c r="DI93" s="34" t="n">
        <f aca="false">IF(108=Fin,DI$87*P_RealCT+DI$92*P_RealAF,0)</f>
        <v>0</v>
      </c>
      <c r="DJ93" s="34" t="n">
        <f aca="false">IF(109=Fin,DJ$87*P_RealCT+DJ$92*P_RealAF,0)</f>
        <v>0</v>
      </c>
      <c r="DK93" s="34" t="n">
        <f aca="false">IF(110=Fin,DK$87*P_RealCT+DK$92*P_RealAF,0)</f>
        <v>0</v>
      </c>
      <c r="DL93" s="34" t="n">
        <f aca="false">IF(111=Fin,DL$87*P_RealCT+DL$92*P_RealAF,0)</f>
        <v>0</v>
      </c>
      <c r="DM93" s="34" t="n">
        <f aca="false">IF(112=Fin,DM$87*P_RealCT+DM$92*P_RealAF,0)</f>
        <v>0</v>
      </c>
      <c r="DN93" s="34" t="n">
        <f aca="false">IF(113=Fin,DN$87*P_RealCT+DN$92*P_RealAF,0)</f>
        <v>0</v>
      </c>
      <c r="DO93" s="34" t="n">
        <f aca="false">IF(114=Fin,DO$87*P_RealCT+DO$92*P_RealAF,0)</f>
        <v>0</v>
      </c>
      <c r="DP93" s="34" t="n">
        <f aca="false">IF(115=Fin,DP$87*P_RealCT+DP$92*P_RealAF,0)</f>
        <v>0</v>
      </c>
      <c r="DQ93" s="34" t="n">
        <f aca="false">IF(116=Fin,DQ$87*P_RealCT+DQ$92*P_RealAF,0)</f>
        <v>0</v>
      </c>
      <c r="DR93" s="34" t="n">
        <f aca="false">IF(117=Fin,DR$87*P_RealCT+DR$92*P_RealAF,0)</f>
        <v>0</v>
      </c>
      <c r="DS93" s="34" t="n">
        <f aca="false">IF(118=Fin,DS$87*P_RealCT+DS$92*P_RealAF,0)</f>
        <v>0</v>
      </c>
      <c r="DT93" s="34" t="n">
        <f aca="false">IF(119=Fin,DT$87*P_RealCT+DT$92*P_RealAF,0)</f>
        <v>0</v>
      </c>
      <c r="DU93" s="34" t="n">
        <f aca="false">IF(120=Fin,DU$87*P_RealCT+DU$92*P_RealAF,0)</f>
        <v>0</v>
      </c>
      <c r="DV93" s="34" t="n">
        <f aca="false">IF(121=Fin,DV$87*P_RealCT+DV$92*P_RealAF,0)</f>
        <v>0</v>
      </c>
      <c r="DW93" s="34" t="n">
        <f aca="false">IF(122=Fin,DW$87*P_RealCT+DW$92*P_RealAF,0)</f>
        <v>0</v>
      </c>
      <c r="DX93" s="34" t="n">
        <f aca="false">IF(123=Fin,DX$87*P_RealCT+DX$92*P_RealAF,0)</f>
        <v>0</v>
      </c>
      <c r="DY93" s="34" t="n">
        <f aca="false">IF(124=Fin,DY$87*P_RealCT+DY$92*P_RealAF,0)</f>
        <v>0</v>
      </c>
      <c r="DZ93" s="34" t="n">
        <f aca="false">IF(125=Fin,DZ$87*P_RealCT+DZ$92*P_RealAF,0)</f>
        <v>0</v>
      </c>
      <c r="EA93" s="34" t="n">
        <f aca="false">IF(126=Fin,EA$87*P_RealCT+EA$92*P_RealAF,0)</f>
        <v>0</v>
      </c>
      <c r="EB93" s="34" t="n">
        <f aca="false">IF(127=Fin,EB$87*P_RealCT+EB$92*P_RealAF,0)</f>
        <v>0</v>
      </c>
      <c r="EC93" s="34" t="n">
        <f aca="false">IF(128=Fin,EC$87*P_RealCT+EC$92*P_RealAF,0)</f>
        <v>0</v>
      </c>
      <c r="ED93" s="34" t="n">
        <f aca="false">IF(129=Fin,ED$87*P_RealCT+ED$92*P_RealAF,0)</f>
        <v>0</v>
      </c>
      <c r="EE93" s="34" t="n">
        <f aca="false">IF(130=Fin,EE$87*P_RealCT+EE$92*P_RealAF,0)</f>
        <v>0</v>
      </c>
      <c r="EF93" s="34" t="n">
        <f aca="false">IF(131=Fin,EF$87*P_RealCT+EF$92*P_RealAF,0)</f>
        <v>0</v>
      </c>
      <c r="EG93" s="34" t="n">
        <f aca="false">IF(132=Fin,EG$87*P_RealCT+EG$92*P_RealAF,0)</f>
        <v>0</v>
      </c>
      <c r="EH93" s="34" t="n">
        <f aca="false">IF(133=Fin,EH$87*P_RealCT+EH$92*P_RealAF,0)</f>
        <v>0</v>
      </c>
      <c r="EI93" s="34" t="n">
        <f aca="false">IF(134=Fin,EI$87*P_RealCT+EI$92*P_RealAF,0)</f>
        <v>0</v>
      </c>
      <c r="EJ93" s="34" t="n">
        <f aca="false">IF(135=Fin,EJ$87*P_RealCT+EJ$92*P_RealAF,0)</f>
        <v>0</v>
      </c>
      <c r="EK93" s="34" t="n">
        <f aca="false">IF(136=Fin,EK$87*P_RealCT+EK$92*P_RealAF,0)</f>
        <v>0</v>
      </c>
      <c r="EL93" s="34" t="n">
        <f aca="false">IF(137=Fin,EL$87*P_RealCT+EL$92*P_RealAF,0)</f>
        <v>0</v>
      </c>
      <c r="EM93" s="34" t="n">
        <f aca="false">IF(138=Fin,EM$87*P_RealCT+EM$92*P_RealAF,0)</f>
        <v>0</v>
      </c>
      <c r="EN93" s="34" t="n">
        <f aca="false">IF(139=Fin,EN$87*P_RealCT+EN$92*P_RealAF,0)</f>
        <v>0</v>
      </c>
      <c r="EO93" s="34" t="n">
        <f aca="false">IF(140=Fin,EO$87*P_RealCT+EO$92*P_RealAF,0)</f>
        <v>0</v>
      </c>
      <c r="EP93" s="34" t="n">
        <f aca="false">IF(141=Fin,EP$87*P_RealCT+EP$92*P_RealAF,0)</f>
        <v>0</v>
      </c>
      <c r="EQ93" s="34" t="n">
        <f aca="false">IF(142=Fin,EQ$87*P_RealCT+EQ$92*P_RealAF,0)</f>
        <v>0</v>
      </c>
      <c r="ER93" s="34" t="n">
        <f aca="false">IF(143=Fin,ER$87*P_RealCT+ER$92*P_RealAF,0)</f>
        <v>0</v>
      </c>
      <c r="ES93" s="34" t="n">
        <f aca="false">IF(144=Fin,ES$87*P_RealCT+ES$92*P_RealAF,0)</f>
        <v>0</v>
      </c>
    </row>
    <row r="94" customFormat="false" ht="15" hidden="false" customHeight="false" outlineLevel="0" collapsed="false">
      <c r="A94" s="2" t="s">
        <v>546</v>
      </c>
      <c r="B94" s="52" t="s">
        <v>547</v>
      </c>
      <c r="C94" s="6" t="s">
        <v>212</v>
      </c>
      <c r="E94" s="40" t="n">
        <f aca="false">SUM(F94:ES94)</f>
        <v>0</v>
      </c>
      <c r="F94" s="10" t="n">
        <f aca="false">F$90-F$91+F$93</f>
        <v>0</v>
      </c>
      <c r="G94" s="10" t="n">
        <f aca="false">G$90-G$91+G$93</f>
        <v>0</v>
      </c>
      <c r="H94" s="10" t="n">
        <f aca="false">H$90-H$91+H$93</f>
        <v>0</v>
      </c>
      <c r="I94" s="10" t="n">
        <f aca="false">I$90-I$91+I$93</f>
        <v>0</v>
      </c>
      <c r="J94" s="10" t="n">
        <f aca="false">J$90-J$91+J$93</f>
        <v>0</v>
      </c>
      <c r="K94" s="10" t="n">
        <f aca="false">K$90-K$91+K$93</f>
        <v>0</v>
      </c>
      <c r="L94" s="10" t="n">
        <f aca="false">L$90-L$91+L$93</f>
        <v>0</v>
      </c>
      <c r="M94" s="10" t="n">
        <f aca="false">M$90-M$91+M$93</f>
        <v>0</v>
      </c>
      <c r="N94" s="10" t="n">
        <f aca="false">N$90-N$91+N$93</f>
        <v>0</v>
      </c>
      <c r="O94" s="10" t="n">
        <f aca="false">O$90-O$91+O$93</f>
        <v>0</v>
      </c>
      <c r="P94" s="10" t="n">
        <f aca="false">P$90-P$91+P$93</f>
        <v>0</v>
      </c>
      <c r="Q94" s="10" t="n">
        <f aca="false">Q$90-Q$91+Q$93</f>
        <v>0</v>
      </c>
      <c r="R94" s="10" t="n">
        <f aca="false">R$90-R$91+R$93</f>
        <v>0</v>
      </c>
      <c r="S94" s="10" t="n">
        <f aca="false">S$90-S$91+S$93</f>
        <v>0</v>
      </c>
      <c r="T94" s="10" t="n">
        <f aca="false">T$90-T$91+T$93</f>
        <v>0</v>
      </c>
      <c r="U94" s="10" t="n">
        <f aca="false">U$90-U$91+U$93</f>
        <v>0</v>
      </c>
      <c r="V94" s="10" t="n">
        <f aca="false">V$90-V$91+V$93</f>
        <v>0</v>
      </c>
      <c r="W94" s="10" t="n">
        <f aca="false">W$90-W$91+W$93</f>
        <v>0</v>
      </c>
      <c r="X94" s="10" t="n">
        <f aca="false">X$90-X$91+X$93</f>
        <v>0</v>
      </c>
      <c r="Y94" s="10" t="n">
        <f aca="false">Y$90-Y$91+Y$93</f>
        <v>0</v>
      </c>
      <c r="Z94" s="10" t="n">
        <f aca="false">Z$90-Z$91+Z$93</f>
        <v>0</v>
      </c>
      <c r="AA94" s="10" t="n">
        <f aca="false">AA$90-AA$91+AA$93</f>
        <v>0</v>
      </c>
      <c r="AB94" s="10" t="n">
        <f aca="false">AB$90-AB$91+AB$93</f>
        <v>0</v>
      </c>
      <c r="AC94" s="10" t="n">
        <f aca="false">AC$90-AC$91+AC$93</f>
        <v>0</v>
      </c>
      <c r="AD94" s="10" t="n">
        <f aca="false">AD$90-AD$91+AD$93</f>
        <v>0</v>
      </c>
      <c r="AE94" s="10" t="n">
        <f aca="false">AE$90-AE$91+AE$93</f>
        <v>0</v>
      </c>
      <c r="AF94" s="10" t="n">
        <f aca="false">AF$90-AF$91+AF$93</f>
        <v>0</v>
      </c>
      <c r="AG94" s="10" t="n">
        <f aca="false">AG$90-AG$91+AG$93</f>
        <v>0</v>
      </c>
      <c r="AH94" s="10" t="n">
        <f aca="false">AH$90-AH$91+AH$93</f>
        <v>0</v>
      </c>
      <c r="AI94" s="10" t="n">
        <f aca="false">AI$90-AI$91+AI$93</f>
        <v>0</v>
      </c>
      <c r="AJ94" s="10" t="n">
        <f aca="false">AJ$90-AJ$91+AJ$93</f>
        <v>0</v>
      </c>
      <c r="AK94" s="10" t="n">
        <f aca="false">AK$90-AK$91+AK$93</f>
        <v>0</v>
      </c>
      <c r="AL94" s="10" t="n">
        <f aca="false">AL$90-AL$91+AL$93</f>
        <v>0</v>
      </c>
      <c r="AM94" s="10" t="n">
        <f aca="false">AM$90-AM$91+AM$93</f>
        <v>0</v>
      </c>
      <c r="AN94" s="10" t="n">
        <f aca="false">AN$90-AN$91+AN$93</f>
        <v>0</v>
      </c>
      <c r="AO94" s="10" t="n">
        <f aca="false">AO$90-AO$91+AO$93</f>
        <v>0</v>
      </c>
      <c r="AP94" s="10" t="n">
        <f aca="false">AP$90-AP$91+AP$93</f>
        <v>0</v>
      </c>
      <c r="AQ94" s="10" t="n">
        <f aca="false">AQ$90-AQ$91+AQ$93</f>
        <v>0</v>
      </c>
      <c r="AR94" s="10" t="n">
        <f aca="false">AR$90-AR$91+AR$93</f>
        <v>0</v>
      </c>
      <c r="AS94" s="10" t="n">
        <f aca="false">AS$90-AS$91+AS$93</f>
        <v>0</v>
      </c>
      <c r="AT94" s="10" t="n">
        <f aca="false">AT$90-AT$91+AT$93</f>
        <v>0</v>
      </c>
      <c r="AU94" s="10" t="n">
        <f aca="false">AU$90-AU$91+AU$93</f>
        <v>0</v>
      </c>
      <c r="AV94" s="10" t="n">
        <f aca="false">AV$90-AV$91+AV$93</f>
        <v>0</v>
      </c>
      <c r="AW94" s="10" t="n">
        <f aca="false">AW$90-AW$91+AW$93</f>
        <v>0</v>
      </c>
      <c r="AX94" s="10" t="n">
        <f aca="false">AX$90-AX$91+AX$93</f>
        <v>0</v>
      </c>
      <c r="AY94" s="10" t="n">
        <f aca="false">AY$90-AY$91+AY$93</f>
        <v>0</v>
      </c>
      <c r="AZ94" s="10" t="n">
        <f aca="false">AZ$90-AZ$91+AZ$93</f>
        <v>0</v>
      </c>
      <c r="BA94" s="10" t="n">
        <f aca="false">BA$90-BA$91+BA$93</f>
        <v>0</v>
      </c>
      <c r="BB94" s="10" t="n">
        <f aca="false">BB$90-BB$91+BB$93</f>
        <v>0</v>
      </c>
      <c r="BC94" s="10" t="n">
        <f aca="false">BC$90-BC$91+BC$93</f>
        <v>0</v>
      </c>
      <c r="BD94" s="10" t="n">
        <f aca="false">BD$90-BD$91+BD$93</f>
        <v>0</v>
      </c>
      <c r="BE94" s="10" t="n">
        <f aca="false">BE$90-BE$91+BE$93</f>
        <v>0</v>
      </c>
      <c r="BF94" s="10" t="n">
        <f aca="false">BF$90-BF$91+BF$93</f>
        <v>0</v>
      </c>
      <c r="BG94" s="10" t="n">
        <f aca="false">BG$90-BG$91+BG$93</f>
        <v>0</v>
      </c>
      <c r="BH94" s="10" t="n">
        <f aca="false">BH$90-BH$91+BH$93</f>
        <v>0</v>
      </c>
      <c r="BI94" s="10" t="n">
        <f aca="false">BI$90-BI$91+BI$93</f>
        <v>0</v>
      </c>
      <c r="BJ94" s="10" t="n">
        <f aca="false">BJ$90-BJ$91+BJ$93</f>
        <v>0</v>
      </c>
      <c r="BK94" s="10" t="n">
        <f aca="false">BK$90-BK$91+BK$93</f>
        <v>0</v>
      </c>
      <c r="BL94" s="10" t="n">
        <f aca="false">BL$90-BL$91+BL$93</f>
        <v>0</v>
      </c>
      <c r="BM94" s="10" t="n">
        <f aca="false">BM$90-BM$91+BM$93</f>
        <v>0</v>
      </c>
      <c r="BN94" s="10" t="n">
        <f aca="false">BN$90-BN$91+BN$93</f>
        <v>0</v>
      </c>
      <c r="BO94" s="10" t="n">
        <f aca="false">BO$90-BO$91+BO$93</f>
        <v>0</v>
      </c>
      <c r="BP94" s="10" t="n">
        <f aca="false">BP$90-BP$91+BP$93</f>
        <v>0</v>
      </c>
      <c r="BQ94" s="10" t="n">
        <f aca="false">BQ$90-BQ$91+BQ$93</f>
        <v>0</v>
      </c>
      <c r="BR94" s="10" t="n">
        <f aca="false">BR$90-BR$91+BR$93</f>
        <v>0</v>
      </c>
      <c r="BS94" s="10" t="n">
        <f aca="false">BS$90-BS$91+BS$93</f>
        <v>0</v>
      </c>
      <c r="BT94" s="10" t="n">
        <f aca="false">BT$90-BT$91+BT$93</f>
        <v>0</v>
      </c>
      <c r="BU94" s="10" t="n">
        <f aca="false">BU$90-BU$91+BU$93</f>
        <v>0</v>
      </c>
      <c r="BV94" s="10" t="n">
        <f aca="false">BV$90-BV$91+BV$93</f>
        <v>0</v>
      </c>
      <c r="BW94" s="10" t="n">
        <f aca="false">BW$90-BW$91+BW$93</f>
        <v>0</v>
      </c>
      <c r="BX94" s="10" t="n">
        <f aca="false">BX$90-BX$91+BX$93</f>
        <v>0</v>
      </c>
      <c r="BY94" s="10" t="n">
        <f aca="false">BY$90-BY$91+BY$93</f>
        <v>0</v>
      </c>
      <c r="BZ94" s="10" t="n">
        <f aca="false">BZ$90-BZ$91+BZ$93</f>
        <v>0</v>
      </c>
      <c r="CA94" s="10" t="n">
        <f aca="false">CA$90-CA$91+CA$93</f>
        <v>0</v>
      </c>
      <c r="CB94" s="10" t="n">
        <f aca="false">CB$90-CB$91+CB$93</f>
        <v>0</v>
      </c>
      <c r="CC94" s="10" t="n">
        <f aca="false">CC$90-CC$91+CC$93</f>
        <v>0</v>
      </c>
      <c r="CD94" s="10" t="n">
        <f aca="false">CD$90-CD$91+CD$93</f>
        <v>0</v>
      </c>
      <c r="CE94" s="10" t="n">
        <f aca="false">CE$90-CE$91+CE$93</f>
        <v>0</v>
      </c>
      <c r="CF94" s="10" t="n">
        <f aca="false">CF$90-CF$91+CF$93</f>
        <v>0</v>
      </c>
      <c r="CG94" s="10" t="n">
        <f aca="false">CG$90-CG$91+CG$93</f>
        <v>0</v>
      </c>
      <c r="CH94" s="10" t="n">
        <f aca="false">CH$90-CH$91+CH$93</f>
        <v>0</v>
      </c>
      <c r="CI94" s="10" t="n">
        <f aca="false">CI$90-CI$91+CI$93</f>
        <v>0</v>
      </c>
      <c r="CJ94" s="10" t="n">
        <f aca="false">CJ$90-CJ$91+CJ$93</f>
        <v>0</v>
      </c>
      <c r="CK94" s="10" t="n">
        <f aca="false">CK$90-CK$91+CK$93</f>
        <v>0</v>
      </c>
      <c r="CL94" s="10" t="n">
        <f aca="false">CL$90-CL$91+CL$93</f>
        <v>0</v>
      </c>
      <c r="CM94" s="10" t="n">
        <f aca="false">CM$90-CM$91+CM$93</f>
        <v>0</v>
      </c>
      <c r="CN94" s="10" t="n">
        <f aca="false">CN$90-CN$91+CN$93</f>
        <v>0</v>
      </c>
      <c r="CO94" s="10" t="n">
        <f aca="false">CO$90-CO$91+CO$93</f>
        <v>0</v>
      </c>
      <c r="CP94" s="10" t="n">
        <f aca="false">CP$90-CP$91+CP$93</f>
        <v>0</v>
      </c>
      <c r="CQ94" s="10" t="n">
        <f aca="false">CQ$90-CQ$91+CQ$93</f>
        <v>0</v>
      </c>
      <c r="CR94" s="10" t="n">
        <f aca="false">CR$90-CR$91+CR$93</f>
        <v>0</v>
      </c>
      <c r="CS94" s="10" t="n">
        <f aca="false">CS$90-CS$91+CS$93</f>
        <v>0</v>
      </c>
      <c r="CT94" s="10" t="n">
        <f aca="false">CT$90-CT$91+CT$93</f>
        <v>0</v>
      </c>
      <c r="CU94" s="10" t="n">
        <f aca="false">CU$90-CU$91+CU$93</f>
        <v>0</v>
      </c>
      <c r="CV94" s="10" t="n">
        <f aca="false">CV$90-CV$91+CV$93</f>
        <v>0</v>
      </c>
      <c r="CW94" s="10" t="n">
        <f aca="false">CW$90-CW$91+CW$93</f>
        <v>0</v>
      </c>
      <c r="CX94" s="10" t="n">
        <f aca="false">CX$90-CX$91+CX$93</f>
        <v>0</v>
      </c>
      <c r="CY94" s="10" t="n">
        <f aca="false">CY$90-CY$91+CY$93</f>
        <v>0</v>
      </c>
      <c r="CZ94" s="10" t="n">
        <f aca="false">CZ$90-CZ$91+CZ$93</f>
        <v>0</v>
      </c>
      <c r="DA94" s="10" t="n">
        <f aca="false">DA$90-DA$91+DA$93</f>
        <v>0</v>
      </c>
      <c r="DB94" s="10" t="n">
        <f aca="false">DB$90-DB$91+DB$93</f>
        <v>0</v>
      </c>
      <c r="DC94" s="10" t="n">
        <f aca="false">DC$90-DC$91+DC$93</f>
        <v>0</v>
      </c>
      <c r="DD94" s="10" t="n">
        <f aca="false">DD$90-DD$91+DD$93</f>
        <v>0</v>
      </c>
      <c r="DE94" s="10" t="n">
        <f aca="false">DE$90-DE$91+DE$93</f>
        <v>0</v>
      </c>
      <c r="DF94" s="10" t="n">
        <f aca="false">DF$90-DF$91+DF$93</f>
        <v>0</v>
      </c>
      <c r="DG94" s="10" t="n">
        <f aca="false">DG$90-DG$91+DG$93</f>
        <v>0</v>
      </c>
      <c r="DH94" s="10" t="n">
        <f aca="false">DH$90-DH$91+DH$93</f>
        <v>0</v>
      </c>
      <c r="DI94" s="10" t="n">
        <f aca="false">DI$90-DI$91+DI$93</f>
        <v>0</v>
      </c>
      <c r="DJ94" s="10" t="n">
        <f aca="false">DJ$90-DJ$91+DJ$93</f>
        <v>0</v>
      </c>
      <c r="DK94" s="10" t="n">
        <f aca="false">DK$90-DK$91+DK$93</f>
        <v>0</v>
      </c>
      <c r="DL94" s="10" t="n">
        <f aca="false">DL$90-DL$91+DL$93</f>
        <v>0</v>
      </c>
      <c r="DM94" s="10" t="n">
        <f aca="false">DM$90-DM$91+DM$93</f>
        <v>0</v>
      </c>
      <c r="DN94" s="10" t="n">
        <f aca="false">DN$90-DN$91+DN$93</f>
        <v>0</v>
      </c>
      <c r="DO94" s="10" t="n">
        <f aca="false">DO$90-DO$91+DO$93</f>
        <v>0</v>
      </c>
      <c r="DP94" s="10" t="n">
        <f aca="false">DP$90-DP$91+DP$93</f>
        <v>0</v>
      </c>
      <c r="DQ94" s="10" t="n">
        <f aca="false">DQ$90-DQ$91+DQ$93</f>
        <v>0</v>
      </c>
      <c r="DR94" s="10" t="n">
        <f aca="false">DR$90-DR$91+DR$93</f>
        <v>0</v>
      </c>
      <c r="DS94" s="10" t="n">
        <f aca="false">DS$90-DS$91+DS$93</f>
        <v>0</v>
      </c>
      <c r="DT94" s="10" t="n">
        <f aca="false">DT$90-DT$91+DT$93</f>
        <v>0</v>
      </c>
      <c r="DU94" s="10" t="n">
        <f aca="false">DU$90-DU$91+DU$93</f>
        <v>0</v>
      </c>
      <c r="DV94" s="10" t="n">
        <f aca="false">DV$90-DV$91+DV$93</f>
        <v>0</v>
      </c>
      <c r="DW94" s="10" t="n">
        <f aca="false">DW$90-DW$91+DW$93</f>
        <v>0</v>
      </c>
      <c r="DX94" s="10" t="n">
        <f aca="false">DX$90-DX$91+DX$93</f>
        <v>0</v>
      </c>
      <c r="DY94" s="10" t="n">
        <f aca="false">DY$90-DY$91+DY$93</f>
        <v>0</v>
      </c>
      <c r="DZ94" s="10" t="n">
        <f aca="false">DZ$90-DZ$91+DZ$93</f>
        <v>0</v>
      </c>
      <c r="EA94" s="10" t="n">
        <f aca="false">EA$90-EA$91+EA$93</f>
        <v>0</v>
      </c>
      <c r="EB94" s="10" t="n">
        <f aca="false">EB$90-EB$91+EB$93</f>
        <v>0</v>
      </c>
      <c r="EC94" s="10" t="n">
        <f aca="false">EC$90-EC$91+EC$93</f>
        <v>0</v>
      </c>
      <c r="ED94" s="10" t="n">
        <f aca="false">ED$90-ED$91+ED$93</f>
        <v>0</v>
      </c>
      <c r="EE94" s="10" t="n">
        <f aca="false">EE$90-EE$91+EE$93</f>
        <v>0</v>
      </c>
      <c r="EF94" s="10" t="n">
        <f aca="false">EF$90-EF$91+EF$93</f>
        <v>0</v>
      </c>
      <c r="EG94" s="10" t="n">
        <f aca="false">EG$90-EG$91+EG$93</f>
        <v>0</v>
      </c>
      <c r="EH94" s="10" t="n">
        <f aca="false">EH$90-EH$91+EH$93</f>
        <v>0</v>
      </c>
      <c r="EI94" s="10" t="n">
        <f aca="false">EI$90-EI$91+EI$93</f>
        <v>0</v>
      </c>
      <c r="EJ94" s="10" t="n">
        <f aca="false">EJ$90-EJ$91+EJ$93</f>
        <v>0</v>
      </c>
      <c r="EK94" s="10" t="n">
        <f aca="false">EK$90-EK$91+EK$93</f>
        <v>0</v>
      </c>
      <c r="EL94" s="10" t="n">
        <f aca="false">EL$90-EL$91+EL$93</f>
        <v>0</v>
      </c>
      <c r="EM94" s="10" t="n">
        <f aca="false">EM$90-EM$91+EM$93</f>
        <v>0</v>
      </c>
      <c r="EN94" s="10" t="n">
        <f aca="false">EN$90-EN$91+EN$93</f>
        <v>0</v>
      </c>
      <c r="EO94" s="10" t="n">
        <f aca="false">EO$90-EO$91+EO$93</f>
        <v>0</v>
      </c>
      <c r="EP94" s="10" t="n">
        <f aca="false">EP$90-EP$91+EP$93</f>
        <v>0</v>
      </c>
      <c r="EQ94" s="10" t="n">
        <f aca="false">EQ$90-EQ$91+EQ$93</f>
        <v>0</v>
      </c>
      <c r="ER94" s="10" t="n">
        <f aca="false">ER$90-ER$91+ER$93</f>
        <v>0</v>
      </c>
      <c r="ES94" s="10" t="n">
        <f aca="false">ES$90-ES$91+ES$93</f>
        <v>0</v>
      </c>
    </row>
    <row r="95" customFormat="false" ht="15" hidden="false" customHeight="false" outlineLevel="0" collapsed="false">
      <c r="A95" s="2" t="s">
        <v>548</v>
      </c>
      <c r="B95" s="6" t="s">
        <v>549</v>
      </c>
      <c r="C95" s="6" t="s">
        <v>212</v>
      </c>
      <c r="E95" s="40" t="n">
        <f aca="false">MIN(F95:ES95)</f>
        <v>0</v>
      </c>
      <c r="F95" s="34" t="n">
        <f aca="false">0+F$90-F$91</f>
        <v>0</v>
      </c>
      <c r="G95" s="34" t="n">
        <f aca="false">F$95+G$90-G$91</f>
        <v>0</v>
      </c>
      <c r="H95" s="34" t="n">
        <f aca="false">G$95+H$90-H$91</f>
        <v>0</v>
      </c>
      <c r="I95" s="34" t="n">
        <f aca="false">H$95+I$90-I$91</f>
        <v>0</v>
      </c>
      <c r="J95" s="34" t="n">
        <f aca="false">I$95+J$90-J$91</f>
        <v>0</v>
      </c>
      <c r="K95" s="34" t="n">
        <f aca="false">J$95+K$90-K$91</f>
        <v>0</v>
      </c>
      <c r="L95" s="34" t="n">
        <f aca="false">K$95+L$90-L$91</f>
        <v>0</v>
      </c>
      <c r="M95" s="34" t="n">
        <f aca="false">L$95+M$90-M$91</f>
        <v>0</v>
      </c>
      <c r="N95" s="34" t="n">
        <f aca="false">M$95+N$90-N$91</f>
        <v>0</v>
      </c>
      <c r="O95" s="34" t="n">
        <f aca="false">N$95+O$90-O$91</f>
        <v>0</v>
      </c>
      <c r="P95" s="34" t="n">
        <f aca="false">O$95+P$90-P$91</f>
        <v>0</v>
      </c>
      <c r="Q95" s="34" t="n">
        <f aca="false">P$95+Q$90-Q$91</f>
        <v>0</v>
      </c>
      <c r="R95" s="34" t="n">
        <f aca="false">Q$95+R$90-R$91</f>
        <v>0</v>
      </c>
      <c r="S95" s="34" t="n">
        <f aca="false">R$95+S$90-S$91</f>
        <v>0</v>
      </c>
      <c r="T95" s="34" t="n">
        <f aca="false">S$95+T$90-T$91</f>
        <v>0</v>
      </c>
      <c r="U95" s="34" t="n">
        <f aca="false">T$95+U$90-U$91</f>
        <v>0</v>
      </c>
      <c r="V95" s="34" t="n">
        <f aca="false">U$95+V$90-V$91</f>
        <v>0</v>
      </c>
      <c r="W95" s="34" t="n">
        <f aca="false">V$95+W$90-W$91</f>
        <v>0</v>
      </c>
      <c r="X95" s="34" t="n">
        <f aca="false">W$95+X$90-X$91</f>
        <v>0</v>
      </c>
      <c r="Y95" s="34" t="n">
        <f aca="false">X$95+Y$90-Y$91</f>
        <v>0</v>
      </c>
      <c r="Z95" s="34" t="n">
        <f aca="false">Y$95+Z$90-Z$91</f>
        <v>0</v>
      </c>
      <c r="AA95" s="34" t="n">
        <f aca="false">Z$95+AA$90-AA$91</f>
        <v>0</v>
      </c>
      <c r="AB95" s="34" t="n">
        <f aca="false">AA$95+AB$90-AB$91</f>
        <v>0</v>
      </c>
      <c r="AC95" s="34" t="n">
        <f aca="false">AB$95+AC$90-AC$91</f>
        <v>0</v>
      </c>
      <c r="AD95" s="34" t="n">
        <f aca="false">AC$95+AD$90-AD$91</f>
        <v>0</v>
      </c>
      <c r="AE95" s="34" t="n">
        <f aca="false">AD$95+AE$90-AE$91</f>
        <v>0</v>
      </c>
      <c r="AF95" s="34" t="n">
        <f aca="false">AE$95+AF$90-AF$91</f>
        <v>0</v>
      </c>
      <c r="AG95" s="34" t="n">
        <f aca="false">AF$95+AG$90-AG$91</f>
        <v>0</v>
      </c>
      <c r="AH95" s="34" t="n">
        <f aca="false">AG$95+AH$90-AH$91</f>
        <v>0</v>
      </c>
      <c r="AI95" s="34" t="n">
        <f aca="false">AH$95+AI$90-AI$91</f>
        <v>0</v>
      </c>
      <c r="AJ95" s="34" t="n">
        <f aca="false">AI$95+AJ$90-AJ$91</f>
        <v>0</v>
      </c>
      <c r="AK95" s="34" t="n">
        <f aca="false">AJ$95+AK$90-AK$91</f>
        <v>0</v>
      </c>
      <c r="AL95" s="34" t="n">
        <f aca="false">AK$95+AL$90-AL$91</f>
        <v>0</v>
      </c>
      <c r="AM95" s="34" t="n">
        <f aca="false">AL$95+AM$90-AM$91</f>
        <v>0</v>
      </c>
      <c r="AN95" s="34" t="n">
        <f aca="false">AM$95+AN$90-AN$91</f>
        <v>0</v>
      </c>
      <c r="AO95" s="34" t="n">
        <f aca="false">AN$95+AO$90-AO$91</f>
        <v>0</v>
      </c>
      <c r="AP95" s="34" t="n">
        <f aca="false">AO$95+AP$90-AP$91</f>
        <v>0</v>
      </c>
      <c r="AQ95" s="34" t="n">
        <f aca="false">AP$95+AQ$90-AQ$91</f>
        <v>0</v>
      </c>
      <c r="AR95" s="34" t="n">
        <f aca="false">AQ$95+AR$90-AR$91</f>
        <v>0</v>
      </c>
      <c r="AS95" s="34" t="n">
        <f aca="false">AR$95+AS$90-AS$91</f>
        <v>0</v>
      </c>
      <c r="AT95" s="34" t="n">
        <f aca="false">AS$95+AT$90-AT$91</f>
        <v>0</v>
      </c>
      <c r="AU95" s="34" t="n">
        <f aca="false">AT$95+AU$90-AU$91</f>
        <v>0</v>
      </c>
      <c r="AV95" s="34" t="n">
        <f aca="false">AU$95+AV$90-AV$91</f>
        <v>0</v>
      </c>
      <c r="AW95" s="34" t="n">
        <f aca="false">AV$95+AW$90-AW$91</f>
        <v>0</v>
      </c>
      <c r="AX95" s="34" t="n">
        <f aca="false">AW$95+AX$90-AX$91</f>
        <v>0</v>
      </c>
      <c r="AY95" s="34" t="n">
        <f aca="false">AX$95+AY$90-AY$91</f>
        <v>0</v>
      </c>
      <c r="AZ95" s="34" t="n">
        <f aca="false">AY$95+AZ$90-AZ$91</f>
        <v>0</v>
      </c>
      <c r="BA95" s="34" t="n">
        <f aca="false">AZ$95+BA$90-BA$91</f>
        <v>0</v>
      </c>
      <c r="BB95" s="34" t="n">
        <f aca="false">BA$95+BB$90-BB$91</f>
        <v>0</v>
      </c>
      <c r="BC95" s="34" t="n">
        <f aca="false">BB$95+BC$90-BC$91</f>
        <v>0</v>
      </c>
      <c r="BD95" s="34" t="n">
        <f aca="false">BC$95+BD$90-BD$91</f>
        <v>0</v>
      </c>
      <c r="BE95" s="34" t="n">
        <f aca="false">BD$95+BE$90-BE$91</f>
        <v>0</v>
      </c>
      <c r="BF95" s="34" t="n">
        <f aca="false">BE$95+BF$90-BF$91</f>
        <v>0</v>
      </c>
      <c r="BG95" s="34" t="n">
        <f aca="false">BF$95+BG$90-BG$91</f>
        <v>0</v>
      </c>
      <c r="BH95" s="34" t="n">
        <f aca="false">BG$95+BH$90-BH$91</f>
        <v>0</v>
      </c>
      <c r="BI95" s="34" t="n">
        <f aca="false">BH$95+BI$90-BI$91</f>
        <v>0</v>
      </c>
      <c r="BJ95" s="34" t="n">
        <f aca="false">BI$95+BJ$90-BJ$91</f>
        <v>0</v>
      </c>
      <c r="BK95" s="34" t="n">
        <f aca="false">BJ$95+BK$90-BK$91</f>
        <v>0</v>
      </c>
      <c r="BL95" s="34" t="n">
        <f aca="false">BK$95+BL$90-BL$91</f>
        <v>0</v>
      </c>
      <c r="BM95" s="34" t="n">
        <f aca="false">BL$95+BM$90-BM$91</f>
        <v>0</v>
      </c>
      <c r="BN95" s="34" t="n">
        <f aca="false">BM$95+BN$90-BN$91</f>
        <v>0</v>
      </c>
      <c r="BO95" s="34" t="n">
        <f aca="false">BN$95+BO$90-BO$91</f>
        <v>0</v>
      </c>
      <c r="BP95" s="34" t="n">
        <f aca="false">BO$95+BP$90-BP$91</f>
        <v>0</v>
      </c>
      <c r="BQ95" s="34" t="n">
        <f aca="false">BP$95+BQ$90-BQ$91</f>
        <v>0</v>
      </c>
      <c r="BR95" s="34" t="n">
        <f aca="false">BQ$95+BR$90-BR$91</f>
        <v>0</v>
      </c>
      <c r="BS95" s="34" t="n">
        <f aca="false">BR$95+BS$90-BS$91</f>
        <v>0</v>
      </c>
      <c r="BT95" s="34" t="n">
        <f aca="false">BS$95+BT$90-BT$91</f>
        <v>0</v>
      </c>
      <c r="BU95" s="34" t="n">
        <f aca="false">BT$95+BU$90-BU$91</f>
        <v>0</v>
      </c>
      <c r="BV95" s="34" t="n">
        <f aca="false">BU$95+BV$90-BV$91</f>
        <v>0</v>
      </c>
      <c r="BW95" s="34" t="n">
        <f aca="false">BV$95+BW$90-BW$91</f>
        <v>0</v>
      </c>
      <c r="BX95" s="34" t="n">
        <f aca="false">BW$95+BX$90-BX$91</f>
        <v>0</v>
      </c>
      <c r="BY95" s="34" t="n">
        <f aca="false">BX$95+BY$90-BY$91</f>
        <v>0</v>
      </c>
      <c r="BZ95" s="34" t="n">
        <f aca="false">BY$95+BZ$90-BZ$91</f>
        <v>0</v>
      </c>
      <c r="CA95" s="34" t="n">
        <f aca="false">BZ$95+CA$90-CA$91</f>
        <v>0</v>
      </c>
      <c r="CB95" s="34" t="n">
        <f aca="false">CA$95+CB$90-CB$91</f>
        <v>0</v>
      </c>
      <c r="CC95" s="34" t="n">
        <f aca="false">CB$95+CC$90-CC$91</f>
        <v>0</v>
      </c>
      <c r="CD95" s="34" t="n">
        <f aca="false">CC$95+CD$90-CD$91</f>
        <v>0</v>
      </c>
      <c r="CE95" s="34" t="n">
        <f aca="false">CD$95+CE$90-CE$91</f>
        <v>0</v>
      </c>
      <c r="CF95" s="34" t="n">
        <f aca="false">CE$95+CF$90-CF$91</f>
        <v>0</v>
      </c>
      <c r="CG95" s="34" t="n">
        <f aca="false">CF$95+CG$90-CG$91</f>
        <v>0</v>
      </c>
      <c r="CH95" s="34" t="n">
        <f aca="false">CG$95+CH$90-CH$91</f>
        <v>0</v>
      </c>
      <c r="CI95" s="34" t="n">
        <f aca="false">CH$95+CI$90-CI$91</f>
        <v>0</v>
      </c>
      <c r="CJ95" s="34" t="n">
        <f aca="false">CI$95+CJ$90-CJ$91</f>
        <v>0</v>
      </c>
      <c r="CK95" s="34" t="n">
        <f aca="false">CJ$95+CK$90-CK$91</f>
        <v>0</v>
      </c>
      <c r="CL95" s="34" t="n">
        <f aca="false">CK$95+CL$90-CL$91</f>
        <v>0</v>
      </c>
      <c r="CM95" s="34" t="n">
        <f aca="false">CL$95+CM$90-CM$91</f>
        <v>0</v>
      </c>
      <c r="CN95" s="34" t="n">
        <f aca="false">CM$95+CN$90-CN$91</f>
        <v>0</v>
      </c>
      <c r="CO95" s="34" t="n">
        <f aca="false">CN$95+CO$90-CO$91</f>
        <v>0</v>
      </c>
      <c r="CP95" s="34" t="n">
        <f aca="false">CO$95+CP$90-CP$91</f>
        <v>0</v>
      </c>
      <c r="CQ95" s="34" t="n">
        <f aca="false">CP$95+CQ$90-CQ$91</f>
        <v>0</v>
      </c>
      <c r="CR95" s="34" t="n">
        <f aca="false">CQ$95+CR$90-CR$91</f>
        <v>0</v>
      </c>
      <c r="CS95" s="34" t="n">
        <f aca="false">CR$95+CS$90-CS$91</f>
        <v>0</v>
      </c>
      <c r="CT95" s="34" t="n">
        <f aca="false">CS$95+CT$90-CT$91</f>
        <v>0</v>
      </c>
      <c r="CU95" s="34" t="n">
        <f aca="false">CT$95+CU$90-CU$91</f>
        <v>0</v>
      </c>
      <c r="CV95" s="34" t="n">
        <f aca="false">CU$95+CV$90-CV$91</f>
        <v>0</v>
      </c>
      <c r="CW95" s="34" t="n">
        <f aca="false">CV$95+CW$90-CW$91</f>
        <v>0</v>
      </c>
      <c r="CX95" s="34" t="n">
        <f aca="false">CW$95+CX$90-CX$91</f>
        <v>0</v>
      </c>
      <c r="CY95" s="34" t="n">
        <f aca="false">CX$95+CY$90-CY$91</f>
        <v>0</v>
      </c>
      <c r="CZ95" s="34" t="n">
        <f aca="false">CY$95+CZ$90-CZ$91</f>
        <v>0</v>
      </c>
      <c r="DA95" s="34" t="n">
        <f aca="false">CZ$95+DA$90-DA$91</f>
        <v>0</v>
      </c>
      <c r="DB95" s="34" t="n">
        <f aca="false">DA$95+DB$90-DB$91</f>
        <v>0</v>
      </c>
      <c r="DC95" s="34" t="n">
        <f aca="false">DB$95+DC$90-DC$91</f>
        <v>0</v>
      </c>
      <c r="DD95" s="34" t="n">
        <f aca="false">DC$95+DD$90-DD$91</f>
        <v>0</v>
      </c>
      <c r="DE95" s="34" t="n">
        <f aca="false">DD$95+DE$90-DE$91</f>
        <v>0</v>
      </c>
      <c r="DF95" s="34" t="n">
        <f aca="false">DE$95+DF$90-DF$91</f>
        <v>0</v>
      </c>
      <c r="DG95" s="34" t="n">
        <f aca="false">DF$95+DG$90-DG$91</f>
        <v>0</v>
      </c>
      <c r="DH95" s="34" t="n">
        <f aca="false">DG$95+DH$90-DH$91</f>
        <v>0</v>
      </c>
      <c r="DI95" s="34" t="n">
        <f aca="false">DH$95+DI$90-DI$91</f>
        <v>0</v>
      </c>
      <c r="DJ95" s="34" t="n">
        <f aca="false">DI$95+DJ$90-DJ$91</f>
        <v>0</v>
      </c>
      <c r="DK95" s="34" t="n">
        <f aca="false">DJ$95+DK$90-DK$91</f>
        <v>0</v>
      </c>
      <c r="DL95" s="34" t="n">
        <f aca="false">DK$95+DL$90-DL$91</f>
        <v>0</v>
      </c>
      <c r="DM95" s="34" t="n">
        <f aca="false">DL$95+DM$90-DM$91</f>
        <v>0</v>
      </c>
      <c r="DN95" s="34" t="n">
        <f aca="false">DM$95+DN$90-DN$91</f>
        <v>0</v>
      </c>
      <c r="DO95" s="34" t="n">
        <f aca="false">DN$95+DO$90-DO$91</f>
        <v>0</v>
      </c>
      <c r="DP95" s="34" t="n">
        <f aca="false">DO$95+DP$90-DP$91</f>
        <v>0</v>
      </c>
      <c r="DQ95" s="34" t="n">
        <f aca="false">DP$95+DQ$90-DQ$91</f>
        <v>0</v>
      </c>
      <c r="DR95" s="34" t="n">
        <f aca="false">DQ$95+DR$90-DR$91</f>
        <v>0</v>
      </c>
      <c r="DS95" s="34" t="n">
        <f aca="false">DR$95+DS$90-DS$91</f>
        <v>0</v>
      </c>
      <c r="DT95" s="34" t="n">
        <f aca="false">DS$95+DT$90-DT$91</f>
        <v>0</v>
      </c>
      <c r="DU95" s="34" t="n">
        <f aca="false">DT$95+DU$90-DU$91</f>
        <v>0</v>
      </c>
      <c r="DV95" s="34" t="n">
        <f aca="false">DU$95+DV$90-DV$91</f>
        <v>0</v>
      </c>
      <c r="DW95" s="34" t="n">
        <f aca="false">DV$95+DW$90-DW$91</f>
        <v>0</v>
      </c>
      <c r="DX95" s="34" t="n">
        <f aca="false">DW$95+DX$90-DX$91</f>
        <v>0</v>
      </c>
      <c r="DY95" s="34" t="n">
        <f aca="false">DX$95+DY$90-DY$91</f>
        <v>0</v>
      </c>
      <c r="DZ95" s="34" t="n">
        <f aca="false">DY$95+DZ$90-DZ$91</f>
        <v>0</v>
      </c>
      <c r="EA95" s="34" t="n">
        <f aca="false">DZ$95+EA$90-EA$91</f>
        <v>0</v>
      </c>
      <c r="EB95" s="34" t="n">
        <f aca="false">EA$95+EB$90-EB$91</f>
        <v>0</v>
      </c>
      <c r="EC95" s="34" t="n">
        <f aca="false">EB$95+EC$90-EC$91</f>
        <v>0</v>
      </c>
      <c r="ED95" s="34" t="n">
        <f aca="false">EC$95+ED$90-ED$91</f>
        <v>0</v>
      </c>
      <c r="EE95" s="34" t="n">
        <f aca="false">ED$95+EE$90-EE$91</f>
        <v>0</v>
      </c>
      <c r="EF95" s="34" t="n">
        <f aca="false">EE$95+EF$90-EF$91</f>
        <v>0</v>
      </c>
      <c r="EG95" s="34" t="n">
        <f aca="false">EF$95+EG$90-EG$91</f>
        <v>0</v>
      </c>
      <c r="EH95" s="34" t="n">
        <f aca="false">EG$95+EH$90-EH$91</f>
        <v>0</v>
      </c>
      <c r="EI95" s="34" t="n">
        <f aca="false">EH$95+EI$90-EI$91</f>
        <v>0</v>
      </c>
      <c r="EJ95" s="34" t="n">
        <f aca="false">EI$95+EJ$90-EJ$91</f>
        <v>0</v>
      </c>
      <c r="EK95" s="34" t="n">
        <f aca="false">EJ$95+EK$90-EK$91</f>
        <v>0</v>
      </c>
      <c r="EL95" s="34" t="n">
        <f aca="false">EK$95+EL$90-EL$91</f>
        <v>0</v>
      </c>
      <c r="EM95" s="34" t="n">
        <f aca="false">EL$95+EM$90-EM$91</f>
        <v>0</v>
      </c>
      <c r="EN95" s="34" t="n">
        <f aca="false">EM$95+EN$90-EN$91</f>
        <v>0</v>
      </c>
      <c r="EO95" s="34" t="n">
        <f aca="false">EN$95+EO$90-EO$91</f>
        <v>0</v>
      </c>
      <c r="EP95" s="34" t="n">
        <f aca="false">EO$95+EP$90-EP$91</f>
        <v>0</v>
      </c>
      <c r="EQ95" s="34" t="n">
        <f aca="false">EP$95+EQ$90-EQ$91</f>
        <v>0</v>
      </c>
      <c r="ER95" s="34" t="n">
        <f aca="false">EQ$95+ER$90-ER$91</f>
        <v>0</v>
      </c>
      <c r="ES95" s="34" t="n">
        <f aca="false">ER$95+ES$90-ES$91</f>
        <v>0</v>
      </c>
    </row>
    <row r="96" customFormat="false" ht="15" hidden="false" customHeight="false" outlineLevel="0" collapsed="false">
      <c r="A96" s="4"/>
      <c r="B96" s="3" t="s">
        <v>550</v>
      </c>
      <c r="C96" s="4"/>
      <c r="D96" s="4"/>
      <c r="E96" s="4"/>
    </row>
    <row r="97" customFormat="false" ht="15" hidden="false" customHeight="false" outlineLevel="0" collapsed="false">
      <c r="A97" s="2" t="s">
        <v>551</v>
      </c>
      <c r="B97" s="6" t="s">
        <v>552</v>
      </c>
      <c r="C97" s="6" t="s">
        <v>212</v>
      </c>
      <c r="E97" s="40" t="n">
        <f aca="false">SUM(F97:ES97)</f>
        <v>0</v>
      </c>
      <c r="F97" s="34" t="n">
        <f aca="false">IF((1-N(P_L1_Mes)+1)=1,N(P_L1_Monto),0)*F$9</f>
        <v>0</v>
      </c>
      <c r="G97" s="34" t="n">
        <f aca="false">IF((2-N(P_L1_Mes)+1)=1,N(P_L1_Monto),0)*G$9</f>
        <v>0</v>
      </c>
      <c r="H97" s="34" t="n">
        <f aca="false">IF((3-N(P_L1_Mes)+1)=1,N(P_L1_Monto),0)*H$9</f>
        <v>0</v>
      </c>
      <c r="I97" s="34" t="n">
        <f aca="false">IF((4-N(P_L1_Mes)+1)=1,N(P_L1_Monto),0)*I$9</f>
        <v>0</v>
      </c>
      <c r="J97" s="34" t="n">
        <f aca="false">IF((5-N(P_L1_Mes)+1)=1,N(P_L1_Monto),0)*J$9</f>
        <v>0</v>
      </c>
      <c r="K97" s="34" t="n">
        <f aca="false">IF((6-N(P_L1_Mes)+1)=1,N(P_L1_Monto),0)*K$9</f>
        <v>0</v>
      </c>
      <c r="L97" s="34" t="n">
        <f aca="false">IF((7-N(P_L1_Mes)+1)=1,N(P_L1_Monto),0)*L$9</f>
        <v>0</v>
      </c>
      <c r="M97" s="34" t="n">
        <f aca="false">IF((8-N(P_L1_Mes)+1)=1,N(P_L1_Monto),0)*M$9</f>
        <v>0</v>
      </c>
      <c r="N97" s="34" t="n">
        <f aca="false">IF((9-N(P_L1_Mes)+1)=1,N(P_L1_Monto),0)*N$9</f>
        <v>0</v>
      </c>
      <c r="O97" s="34" t="n">
        <f aca="false">IF((10-N(P_L1_Mes)+1)=1,N(P_L1_Monto),0)*O$9</f>
        <v>0</v>
      </c>
      <c r="P97" s="34" t="n">
        <f aca="false">IF((11-N(P_L1_Mes)+1)=1,N(P_L1_Monto),0)*P$9</f>
        <v>0</v>
      </c>
      <c r="Q97" s="34" t="n">
        <f aca="false">IF((12-N(P_L1_Mes)+1)=1,N(P_L1_Monto),0)*Q$9</f>
        <v>0</v>
      </c>
      <c r="R97" s="34" t="n">
        <f aca="false">IF((13-N(P_L1_Mes)+1)=1,N(P_L1_Monto),0)*R$9</f>
        <v>0</v>
      </c>
      <c r="S97" s="34" t="n">
        <f aca="false">IF((14-N(P_L1_Mes)+1)=1,N(P_L1_Monto),0)*S$9</f>
        <v>0</v>
      </c>
      <c r="T97" s="34" t="n">
        <f aca="false">IF((15-N(P_L1_Mes)+1)=1,N(P_L1_Monto),0)*T$9</f>
        <v>0</v>
      </c>
      <c r="U97" s="34" t="n">
        <f aca="false">IF((16-N(P_L1_Mes)+1)=1,N(P_L1_Monto),0)*U$9</f>
        <v>0</v>
      </c>
      <c r="V97" s="34" t="n">
        <f aca="false">IF((17-N(P_L1_Mes)+1)=1,N(P_L1_Monto),0)*V$9</f>
        <v>0</v>
      </c>
      <c r="W97" s="34" t="n">
        <f aca="false">IF((18-N(P_L1_Mes)+1)=1,N(P_L1_Monto),0)*W$9</f>
        <v>0</v>
      </c>
      <c r="X97" s="34" t="n">
        <f aca="false">IF((19-N(P_L1_Mes)+1)=1,N(P_L1_Monto),0)*X$9</f>
        <v>0</v>
      </c>
      <c r="Y97" s="34" t="n">
        <f aca="false">IF((20-N(P_L1_Mes)+1)=1,N(P_L1_Monto),0)*Y$9</f>
        <v>0</v>
      </c>
      <c r="Z97" s="34" t="n">
        <f aca="false">IF((21-N(P_L1_Mes)+1)=1,N(P_L1_Monto),0)*Z$9</f>
        <v>0</v>
      </c>
      <c r="AA97" s="34" t="n">
        <f aca="false">IF((22-N(P_L1_Mes)+1)=1,N(P_L1_Monto),0)*AA$9</f>
        <v>0</v>
      </c>
      <c r="AB97" s="34" t="n">
        <f aca="false">IF((23-N(P_L1_Mes)+1)=1,N(P_L1_Monto),0)*AB$9</f>
        <v>0</v>
      </c>
      <c r="AC97" s="34" t="n">
        <f aca="false">IF((24-N(P_L1_Mes)+1)=1,N(P_L1_Monto),0)*AC$9</f>
        <v>0</v>
      </c>
      <c r="AD97" s="34" t="n">
        <f aca="false">IF((25-N(P_L1_Mes)+1)=1,N(P_L1_Monto),0)*AD$9</f>
        <v>0</v>
      </c>
      <c r="AE97" s="34" t="n">
        <f aca="false">IF((26-N(P_L1_Mes)+1)=1,N(P_L1_Monto),0)*AE$9</f>
        <v>0</v>
      </c>
      <c r="AF97" s="34" t="n">
        <f aca="false">IF((27-N(P_L1_Mes)+1)=1,N(P_L1_Monto),0)*AF$9</f>
        <v>0</v>
      </c>
      <c r="AG97" s="34" t="n">
        <f aca="false">IF((28-N(P_L1_Mes)+1)=1,N(P_L1_Monto),0)*AG$9</f>
        <v>0</v>
      </c>
      <c r="AH97" s="34" t="n">
        <f aca="false">IF((29-N(P_L1_Mes)+1)=1,N(P_L1_Monto),0)*AH$9</f>
        <v>0</v>
      </c>
      <c r="AI97" s="34" t="n">
        <f aca="false">IF((30-N(P_L1_Mes)+1)=1,N(P_L1_Monto),0)*AI$9</f>
        <v>0</v>
      </c>
      <c r="AJ97" s="34" t="n">
        <f aca="false">IF((31-N(P_L1_Mes)+1)=1,N(P_L1_Monto),0)*AJ$9</f>
        <v>0</v>
      </c>
      <c r="AK97" s="34" t="n">
        <f aca="false">IF((32-N(P_L1_Mes)+1)=1,N(P_L1_Monto),0)*AK$9</f>
        <v>0</v>
      </c>
      <c r="AL97" s="34" t="n">
        <f aca="false">IF((33-N(P_L1_Mes)+1)=1,N(P_L1_Monto),0)*AL$9</f>
        <v>0</v>
      </c>
      <c r="AM97" s="34" t="n">
        <f aca="false">IF((34-N(P_L1_Mes)+1)=1,N(P_L1_Monto),0)*AM$9</f>
        <v>0</v>
      </c>
      <c r="AN97" s="34" t="n">
        <f aca="false">IF((35-N(P_L1_Mes)+1)=1,N(P_L1_Monto),0)*AN$9</f>
        <v>0</v>
      </c>
      <c r="AO97" s="34" t="n">
        <f aca="false">IF((36-N(P_L1_Mes)+1)=1,N(P_L1_Monto),0)*AO$9</f>
        <v>0</v>
      </c>
      <c r="AP97" s="34" t="n">
        <f aca="false">IF((37-N(P_L1_Mes)+1)=1,N(P_L1_Monto),0)*AP$9</f>
        <v>0</v>
      </c>
      <c r="AQ97" s="34" t="n">
        <f aca="false">IF((38-N(P_L1_Mes)+1)=1,N(P_L1_Monto),0)*AQ$9</f>
        <v>0</v>
      </c>
      <c r="AR97" s="34" t="n">
        <f aca="false">IF((39-N(P_L1_Mes)+1)=1,N(P_L1_Monto),0)*AR$9</f>
        <v>0</v>
      </c>
      <c r="AS97" s="34" t="n">
        <f aca="false">IF((40-N(P_L1_Mes)+1)=1,N(P_L1_Monto),0)*AS$9</f>
        <v>0</v>
      </c>
      <c r="AT97" s="34" t="n">
        <f aca="false">IF((41-N(P_L1_Mes)+1)=1,N(P_L1_Monto),0)*AT$9</f>
        <v>0</v>
      </c>
      <c r="AU97" s="34" t="n">
        <f aca="false">IF((42-N(P_L1_Mes)+1)=1,N(P_L1_Monto),0)*AU$9</f>
        <v>0</v>
      </c>
      <c r="AV97" s="34" t="n">
        <f aca="false">IF((43-N(P_L1_Mes)+1)=1,N(P_L1_Monto),0)*AV$9</f>
        <v>0</v>
      </c>
      <c r="AW97" s="34" t="n">
        <f aca="false">IF((44-N(P_L1_Mes)+1)=1,N(P_L1_Monto),0)*AW$9</f>
        <v>0</v>
      </c>
      <c r="AX97" s="34" t="n">
        <f aca="false">IF((45-N(P_L1_Mes)+1)=1,N(P_L1_Monto),0)*AX$9</f>
        <v>0</v>
      </c>
      <c r="AY97" s="34" t="n">
        <f aca="false">IF((46-N(P_L1_Mes)+1)=1,N(P_L1_Monto),0)*AY$9</f>
        <v>0</v>
      </c>
      <c r="AZ97" s="34" t="n">
        <f aca="false">IF((47-N(P_L1_Mes)+1)=1,N(P_L1_Monto),0)*AZ$9</f>
        <v>0</v>
      </c>
      <c r="BA97" s="34" t="n">
        <f aca="false">IF((48-N(P_L1_Mes)+1)=1,N(P_L1_Monto),0)*BA$9</f>
        <v>0</v>
      </c>
      <c r="BB97" s="34" t="n">
        <f aca="false">IF((49-N(P_L1_Mes)+1)=1,N(P_L1_Monto),0)*BB$9</f>
        <v>0</v>
      </c>
      <c r="BC97" s="34" t="n">
        <f aca="false">IF((50-N(P_L1_Mes)+1)=1,N(P_L1_Monto),0)*BC$9</f>
        <v>0</v>
      </c>
      <c r="BD97" s="34" t="n">
        <f aca="false">IF((51-N(P_L1_Mes)+1)=1,N(P_L1_Monto),0)*BD$9</f>
        <v>0</v>
      </c>
      <c r="BE97" s="34" t="n">
        <f aca="false">IF((52-N(P_L1_Mes)+1)=1,N(P_L1_Monto),0)*BE$9</f>
        <v>0</v>
      </c>
      <c r="BF97" s="34" t="n">
        <f aca="false">IF((53-N(P_L1_Mes)+1)=1,N(P_L1_Monto),0)*BF$9</f>
        <v>0</v>
      </c>
      <c r="BG97" s="34" t="n">
        <f aca="false">IF((54-N(P_L1_Mes)+1)=1,N(P_L1_Monto),0)*BG$9</f>
        <v>0</v>
      </c>
      <c r="BH97" s="34" t="n">
        <f aca="false">IF((55-N(P_L1_Mes)+1)=1,N(P_L1_Monto),0)*BH$9</f>
        <v>0</v>
      </c>
      <c r="BI97" s="34" t="n">
        <f aca="false">IF((56-N(P_L1_Mes)+1)=1,N(P_L1_Monto),0)*BI$9</f>
        <v>0</v>
      </c>
      <c r="BJ97" s="34" t="n">
        <f aca="false">IF((57-N(P_L1_Mes)+1)=1,N(P_L1_Monto),0)*BJ$9</f>
        <v>0</v>
      </c>
      <c r="BK97" s="34" t="n">
        <f aca="false">IF((58-N(P_L1_Mes)+1)=1,N(P_L1_Monto),0)*BK$9</f>
        <v>0</v>
      </c>
      <c r="BL97" s="34" t="n">
        <f aca="false">IF((59-N(P_L1_Mes)+1)=1,N(P_L1_Monto),0)*BL$9</f>
        <v>0</v>
      </c>
      <c r="BM97" s="34" t="n">
        <f aca="false">IF((60-N(P_L1_Mes)+1)=1,N(P_L1_Monto),0)*BM$9</f>
        <v>0</v>
      </c>
      <c r="BN97" s="34" t="n">
        <f aca="false">IF((61-N(P_L1_Mes)+1)=1,N(P_L1_Monto),0)*BN$9</f>
        <v>0</v>
      </c>
      <c r="BO97" s="34" t="n">
        <f aca="false">IF((62-N(P_L1_Mes)+1)=1,N(P_L1_Monto),0)*BO$9</f>
        <v>0</v>
      </c>
      <c r="BP97" s="34" t="n">
        <f aca="false">IF((63-N(P_L1_Mes)+1)=1,N(P_L1_Monto),0)*BP$9</f>
        <v>0</v>
      </c>
      <c r="BQ97" s="34" t="n">
        <f aca="false">IF((64-N(P_L1_Mes)+1)=1,N(P_L1_Monto),0)*BQ$9</f>
        <v>0</v>
      </c>
      <c r="BR97" s="34" t="n">
        <f aca="false">IF((65-N(P_L1_Mes)+1)=1,N(P_L1_Monto),0)*BR$9</f>
        <v>0</v>
      </c>
      <c r="BS97" s="34" t="n">
        <f aca="false">IF((66-N(P_L1_Mes)+1)=1,N(P_L1_Monto),0)*BS$9</f>
        <v>0</v>
      </c>
      <c r="BT97" s="34" t="n">
        <f aca="false">IF((67-N(P_L1_Mes)+1)=1,N(P_L1_Monto),0)*BT$9</f>
        <v>0</v>
      </c>
      <c r="BU97" s="34" t="n">
        <f aca="false">IF((68-N(P_L1_Mes)+1)=1,N(P_L1_Monto),0)*BU$9</f>
        <v>0</v>
      </c>
      <c r="BV97" s="34" t="n">
        <f aca="false">IF((69-N(P_L1_Mes)+1)=1,N(P_L1_Monto),0)*BV$9</f>
        <v>0</v>
      </c>
      <c r="BW97" s="34" t="n">
        <f aca="false">IF((70-N(P_L1_Mes)+1)=1,N(P_L1_Monto),0)*BW$9</f>
        <v>0</v>
      </c>
      <c r="BX97" s="34" t="n">
        <f aca="false">IF((71-N(P_L1_Mes)+1)=1,N(P_L1_Monto),0)*BX$9</f>
        <v>0</v>
      </c>
      <c r="BY97" s="34" t="n">
        <f aca="false">IF((72-N(P_L1_Mes)+1)=1,N(P_L1_Monto),0)*BY$9</f>
        <v>0</v>
      </c>
      <c r="BZ97" s="34" t="n">
        <f aca="false">IF((73-N(P_L1_Mes)+1)=1,N(P_L1_Monto),0)*BZ$9</f>
        <v>0</v>
      </c>
      <c r="CA97" s="34" t="n">
        <f aca="false">IF((74-N(P_L1_Mes)+1)=1,N(P_L1_Monto),0)*CA$9</f>
        <v>0</v>
      </c>
      <c r="CB97" s="34" t="n">
        <f aca="false">IF((75-N(P_L1_Mes)+1)=1,N(P_L1_Monto),0)*CB$9</f>
        <v>0</v>
      </c>
      <c r="CC97" s="34" t="n">
        <f aca="false">IF((76-N(P_L1_Mes)+1)=1,N(P_L1_Monto),0)*CC$9</f>
        <v>0</v>
      </c>
      <c r="CD97" s="34" t="n">
        <f aca="false">IF((77-N(P_L1_Mes)+1)=1,N(P_L1_Monto),0)*CD$9</f>
        <v>0</v>
      </c>
      <c r="CE97" s="34" t="n">
        <f aca="false">IF((78-N(P_L1_Mes)+1)=1,N(P_L1_Monto),0)*CE$9</f>
        <v>0</v>
      </c>
      <c r="CF97" s="34" t="n">
        <f aca="false">IF((79-N(P_L1_Mes)+1)=1,N(P_L1_Monto),0)*CF$9</f>
        <v>0</v>
      </c>
      <c r="CG97" s="34" t="n">
        <f aca="false">IF((80-N(P_L1_Mes)+1)=1,N(P_L1_Monto),0)*CG$9</f>
        <v>0</v>
      </c>
      <c r="CH97" s="34" t="n">
        <f aca="false">IF((81-N(P_L1_Mes)+1)=1,N(P_L1_Monto),0)*CH$9</f>
        <v>0</v>
      </c>
      <c r="CI97" s="34" t="n">
        <f aca="false">IF((82-N(P_L1_Mes)+1)=1,N(P_L1_Monto),0)*CI$9</f>
        <v>0</v>
      </c>
      <c r="CJ97" s="34" t="n">
        <f aca="false">IF((83-N(P_L1_Mes)+1)=1,N(P_L1_Monto),0)*CJ$9</f>
        <v>0</v>
      </c>
      <c r="CK97" s="34" t="n">
        <f aca="false">IF((84-N(P_L1_Mes)+1)=1,N(P_L1_Monto),0)*CK$9</f>
        <v>0</v>
      </c>
      <c r="CL97" s="34" t="n">
        <f aca="false">IF((85-N(P_L1_Mes)+1)=1,N(P_L1_Monto),0)*CL$9</f>
        <v>0</v>
      </c>
      <c r="CM97" s="34" t="n">
        <f aca="false">IF((86-N(P_L1_Mes)+1)=1,N(P_L1_Monto),0)*CM$9</f>
        <v>0</v>
      </c>
      <c r="CN97" s="34" t="n">
        <f aca="false">IF((87-N(P_L1_Mes)+1)=1,N(P_L1_Monto),0)*CN$9</f>
        <v>0</v>
      </c>
      <c r="CO97" s="34" t="n">
        <f aca="false">IF((88-N(P_L1_Mes)+1)=1,N(P_L1_Monto),0)*CO$9</f>
        <v>0</v>
      </c>
      <c r="CP97" s="34" t="n">
        <f aca="false">IF((89-N(P_L1_Mes)+1)=1,N(P_L1_Monto),0)*CP$9</f>
        <v>0</v>
      </c>
      <c r="CQ97" s="34" t="n">
        <f aca="false">IF((90-N(P_L1_Mes)+1)=1,N(P_L1_Monto),0)*CQ$9</f>
        <v>0</v>
      </c>
      <c r="CR97" s="34" t="n">
        <f aca="false">IF((91-N(P_L1_Mes)+1)=1,N(P_L1_Monto),0)*CR$9</f>
        <v>0</v>
      </c>
      <c r="CS97" s="34" t="n">
        <f aca="false">IF((92-N(P_L1_Mes)+1)=1,N(P_L1_Monto),0)*CS$9</f>
        <v>0</v>
      </c>
      <c r="CT97" s="34" t="n">
        <f aca="false">IF((93-N(P_L1_Mes)+1)=1,N(P_L1_Monto),0)*CT$9</f>
        <v>0</v>
      </c>
      <c r="CU97" s="34" t="n">
        <f aca="false">IF((94-N(P_L1_Mes)+1)=1,N(P_L1_Monto),0)*CU$9</f>
        <v>0</v>
      </c>
      <c r="CV97" s="34" t="n">
        <f aca="false">IF((95-N(P_L1_Mes)+1)=1,N(P_L1_Monto),0)*CV$9</f>
        <v>0</v>
      </c>
      <c r="CW97" s="34" t="n">
        <f aca="false">IF((96-N(P_L1_Mes)+1)=1,N(P_L1_Monto),0)*CW$9</f>
        <v>0</v>
      </c>
      <c r="CX97" s="34" t="n">
        <f aca="false">IF((97-N(P_L1_Mes)+1)=1,N(P_L1_Monto),0)*CX$9</f>
        <v>0</v>
      </c>
      <c r="CY97" s="34" t="n">
        <f aca="false">IF((98-N(P_L1_Mes)+1)=1,N(P_L1_Monto),0)*CY$9</f>
        <v>0</v>
      </c>
      <c r="CZ97" s="34" t="n">
        <f aca="false">IF((99-N(P_L1_Mes)+1)=1,N(P_L1_Monto),0)*CZ$9</f>
        <v>0</v>
      </c>
      <c r="DA97" s="34" t="n">
        <f aca="false">IF((100-N(P_L1_Mes)+1)=1,N(P_L1_Monto),0)*DA$9</f>
        <v>0</v>
      </c>
      <c r="DB97" s="34" t="n">
        <f aca="false">IF((101-N(P_L1_Mes)+1)=1,N(P_L1_Monto),0)*DB$9</f>
        <v>0</v>
      </c>
      <c r="DC97" s="34" t="n">
        <f aca="false">IF((102-N(P_L1_Mes)+1)=1,N(P_L1_Monto),0)*DC$9</f>
        <v>0</v>
      </c>
      <c r="DD97" s="34" t="n">
        <f aca="false">IF((103-N(P_L1_Mes)+1)=1,N(P_L1_Monto),0)*DD$9</f>
        <v>0</v>
      </c>
      <c r="DE97" s="34" t="n">
        <f aca="false">IF((104-N(P_L1_Mes)+1)=1,N(P_L1_Monto),0)*DE$9</f>
        <v>0</v>
      </c>
      <c r="DF97" s="34" t="n">
        <f aca="false">IF((105-N(P_L1_Mes)+1)=1,N(P_L1_Monto),0)*DF$9</f>
        <v>0</v>
      </c>
      <c r="DG97" s="34" t="n">
        <f aca="false">IF((106-N(P_L1_Mes)+1)=1,N(P_L1_Monto),0)*DG$9</f>
        <v>0</v>
      </c>
      <c r="DH97" s="34" t="n">
        <f aca="false">IF((107-N(P_L1_Mes)+1)=1,N(P_L1_Monto),0)*DH$9</f>
        <v>0</v>
      </c>
      <c r="DI97" s="34" t="n">
        <f aca="false">IF((108-N(P_L1_Mes)+1)=1,N(P_L1_Monto),0)*DI$9</f>
        <v>0</v>
      </c>
      <c r="DJ97" s="34" t="n">
        <f aca="false">IF((109-N(P_L1_Mes)+1)=1,N(P_L1_Monto),0)*DJ$9</f>
        <v>0</v>
      </c>
      <c r="DK97" s="34" t="n">
        <f aca="false">IF((110-N(P_L1_Mes)+1)=1,N(P_L1_Monto),0)*DK$9</f>
        <v>0</v>
      </c>
      <c r="DL97" s="34" t="n">
        <f aca="false">IF((111-N(P_L1_Mes)+1)=1,N(P_L1_Monto),0)*DL$9</f>
        <v>0</v>
      </c>
      <c r="DM97" s="34" t="n">
        <f aca="false">IF((112-N(P_L1_Mes)+1)=1,N(P_L1_Monto),0)*DM$9</f>
        <v>0</v>
      </c>
      <c r="DN97" s="34" t="n">
        <f aca="false">IF((113-N(P_L1_Mes)+1)=1,N(P_L1_Monto),0)*DN$9</f>
        <v>0</v>
      </c>
      <c r="DO97" s="34" t="n">
        <f aca="false">IF((114-N(P_L1_Mes)+1)=1,N(P_L1_Monto),0)*DO$9</f>
        <v>0</v>
      </c>
      <c r="DP97" s="34" t="n">
        <f aca="false">IF((115-N(P_L1_Mes)+1)=1,N(P_L1_Monto),0)*DP$9</f>
        <v>0</v>
      </c>
      <c r="DQ97" s="34" t="n">
        <f aca="false">IF((116-N(P_L1_Mes)+1)=1,N(P_L1_Monto),0)*DQ$9</f>
        <v>0</v>
      </c>
      <c r="DR97" s="34" t="n">
        <f aca="false">IF((117-N(P_L1_Mes)+1)=1,N(P_L1_Monto),0)*DR$9</f>
        <v>0</v>
      </c>
      <c r="DS97" s="34" t="n">
        <f aca="false">IF((118-N(P_L1_Mes)+1)=1,N(P_L1_Monto),0)*DS$9</f>
        <v>0</v>
      </c>
      <c r="DT97" s="34" t="n">
        <f aca="false">IF((119-N(P_L1_Mes)+1)=1,N(P_L1_Monto),0)*DT$9</f>
        <v>0</v>
      </c>
      <c r="DU97" s="34" t="n">
        <f aca="false">IF((120-N(P_L1_Mes)+1)=1,N(P_L1_Monto),0)*DU$9</f>
        <v>0</v>
      </c>
      <c r="DV97" s="34" t="n">
        <f aca="false">IF((121-N(P_L1_Mes)+1)=1,N(P_L1_Monto),0)*DV$9</f>
        <v>0</v>
      </c>
      <c r="DW97" s="34" t="n">
        <f aca="false">IF((122-N(P_L1_Mes)+1)=1,N(P_L1_Monto),0)*DW$9</f>
        <v>0</v>
      </c>
      <c r="DX97" s="34" t="n">
        <f aca="false">IF((123-N(P_L1_Mes)+1)=1,N(P_L1_Monto),0)*DX$9</f>
        <v>0</v>
      </c>
      <c r="DY97" s="34" t="n">
        <f aca="false">IF((124-N(P_L1_Mes)+1)=1,N(P_L1_Monto),0)*DY$9</f>
        <v>0</v>
      </c>
      <c r="DZ97" s="34" t="n">
        <f aca="false">IF((125-N(P_L1_Mes)+1)=1,N(P_L1_Monto),0)*DZ$9</f>
        <v>0</v>
      </c>
      <c r="EA97" s="34" t="n">
        <f aca="false">IF((126-N(P_L1_Mes)+1)=1,N(P_L1_Monto),0)*EA$9</f>
        <v>0</v>
      </c>
      <c r="EB97" s="34" t="n">
        <f aca="false">IF((127-N(P_L1_Mes)+1)=1,N(P_L1_Monto),0)*EB$9</f>
        <v>0</v>
      </c>
      <c r="EC97" s="34" t="n">
        <f aca="false">IF((128-N(P_L1_Mes)+1)=1,N(P_L1_Monto),0)*EC$9</f>
        <v>0</v>
      </c>
      <c r="ED97" s="34" t="n">
        <f aca="false">IF((129-N(P_L1_Mes)+1)=1,N(P_L1_Monto),0)*ED$9</f>
        <v>0</v>
      </c>
      <c r="EE97" s="34" t="n">
        <f aca="false">IF((130-N(P_L1_Mes)+1)=1,N(P_L1_Monto),0)*EE$9</f>
        <v>0</v>
      </c>
      <c r="EF97" s="34" t="n">
        <f aca="false">IF((131-N(P_L1_Mes)+1)=1,N(P_L1_Monto),0)*EF$9</f>
        <v>0</v>
      </c>
      <c r="EG97" s="34" t="n">
        <f aca="false">IF((132-N(P_L1_Mes)+1)=1,N(P_L1_Monto),0)*EG$9</f>
        <v>0</v>
      </c>
      <c r="EH97" s="34" t="n">
        <f aca="false">IF((133-N(P_L1_Mes)+1)=1,N(P_L1_Monto),0)*EH$9</f>
        <v>0</v>
      </c>
      <c r="EI97" s="34" t="n">
        <f aca="false">IF((134-N(P_L1_Mes)+1)=1,N(P_L1_Monto),0)*EI$9</f>
        <v>0</v>
      </c>
      <c r="EJ97" s="34" t="n">
        <f aca="false">IF((135-N(P_L1_Mes)+1)=1,N(P_L1_Monto),0)*EJ$9</f>
        <v>0</v>
      </c>
      <c r="EK97" s="34" t="n">
        <f aca="false">IF((136-N(P_L1_Mes)+1)=1,N(P_L1_Monto),0)*EK$9</f>
        <v>0</v>
      </c>
      <c r="EL97" s="34" t="n">
        <f aca="false">IF((137-N(P_L1_Mes)+1)=1,N(P_L1_Monto),0)*EL$9</f>
        <v>0</v>
      </c>
      <c r="EM97" s="34" t="n">
        <f aca="false">IF((138-N(P_L1_Mes)+1)=1,N(P_L1_Monto),0)*EM$9</f>
        <v>0</v>
      </c>
      <c r="EN97" s="34" t="n">
        <f aca="false">IF((139-N(P_L1_Mes)+1)=1,N(P_L1_Monto),0)*EN$9</f>
        <v>0</v>
      </c>
      <c r="EO97" s="34" t="n">
        <f aca="false">IF((140-N(P_L1_Mes)+1)=1,N(P_L1_Monto),0)*EO$9</f>
        <v>0</v>
      </c>
      <c r="EP97" s="34" t="n">
        <f aca="false">IF((141-N(P_L1_Mes)+1)=1,N(P_L1_Monto),0)*EP$9</f>
        <v>0</v>
      </c>
      <c r="EQ97" s="34" t="n">
        <f aca="false">IF((142-N(P_L1_Mes)+1)=1,N(P_L1_Monto),0)*EQ$9</f>
        <v>0</v>
      </c>
      <c r="ER97" s="34" t="n">
        <f aca="false">IF((143-N(P_L1_Mes)+1)=1,N(P_L1_Monto),0)*ER$9</f>
        <v>0</v>
      </c>
      <c r="ES97" s="34" t="n">
        <f aca="false">IF((144-N(P_L1_Mes)+1)=1,N(P_L1_Monto),0)*ES$9</f>
        <v>0</v>
      </c>
    </row>
    <row r="98" customFormat="false" ht="15" hidden="false" customHeight="false" outlineLevel="0" collapsed="false">
      <c r="A98" s="2" t="s">
        <v>553</v>
      </c>
      <c r="B98" s="6" t="s">
        <v>554</v>
      </c>
      <c r="C98" s="6" t="s">
        <v>212</v>
      </c>
      <c r="E98" s="40" t="n">
        <f aca="false">SUM(F98:ES98)</f>
        <v>0</v>
      </c>
      <c r="F98" s="34" t="n">
        <f aca="false">IF((1-N(P_L1_Mes)+1)&gt;=1,IF((1-N(P_L1_Mes)+1)=1,N(P_L1_Monto),0)*N(P_L1_Tasa)/12,0)*F$9</f>
        <v>0</v>
      </c>
      <c r="G98" s="34" t="n">
        <f aca="false">IF((2-N(P_L1_Mes)+1)&gt;=1,IF((2-N(P_L1_Mes)+1)=1,N(P_L1_Monto),F$100)*N(P_L1_Tasa)/12,0)*G$9</f>
        <v>0</v>
      </c>
      <c r="H98" s="34" t="n">
        <f aca="false">IF((3-N(P_L1_Mes)+1)&gt;=1,IF((3-N(P_L1_Mes)+1)=1,N(P_L1_Monto),G$100)*N(P_L1_Tasa)/12,0)*H$9</f>
        <v>0</v>
      </c>
      <c r="I98" s="34" t="n">
        <f aca="false">IF((4-N(P_L1_Mes)+1)&gt;=1,IF((4-N(P_L1_Mes)+1)=1,N(P_L1_Monto),H$100)*N(P_L1_Tasa)/12,0)*I$9</f>
        <v>0</v>
      </c>
      <c r="J98" s="34" t="n">
        <f aca="false">IF((5-N(P_L1_Mes)+1)&gt;=1,IF((5-N(P_L1_Mes)+1)=1,N(P_L1_Monto),I$100)*N(P_L1_Tasa)/12,0)*J$9</f>
        <v>0</v>
      </c>
      <c r="K98" s="34" t="n">
        <f aca="false">IF((6-N(P_L1_Mes)+1)&gt;=1,IF((6-N(P_L1_Mes)+1)=1,N(P_L1_Monto),J$100)*N(P_L1_Tasa)/12,0)*K$9</f>
        <v>0</v>
      </c>
      <c r="L98" s="34" t="n">
        <f aca="false">IF((7-N(P_L1_Mes)+1)&gt;=1,IF((7-N(P_L1_Mes)+1)=1,N(P_L1_Monto),K$100)*N(P_L1_Tasa)/12,0)*L$9</f>
        <v>0</v>
      </c>
      <c r="M98" s="34" t="n">
        <f aca="false">IF((8-N(P_L1_Mes)+1)&gt;=1,IF((8-N(P_L1_Mes)+1)=1,N(P_L1_Monto),L$100)*N(P_L1_Tasa)/12,0)*M$9</f>
        <v>0</v>
      </c>
      <c r="N98" s="34" t="n">
        <f aca="false">IF((9-N(P_L1_Mes)+1)&gt;=1,IF((9-N(P_L1_Mes)+1)=1,N(P_L1_Monto),M$100)*N(P_L1_Tasa)/12,0)*N$9</f>
        <v>0</v>
      </c>
      <c r="O98" s="34" t="n">
        <f aca="false">IF((10-N(P_L1_Mes)+1)&gt;=1,IF((10-N(P_L1_Mes)+1)=1,N(P_L1_Monto),N$100)*N(P_L1_Tasa)/12,0)*O$9</f>
        <v>0</v>
      </c>
      <c r="P98" s="34" t="n">
        <f aca="false">IF((11-N(P_L1_Mes)+1)&gt;=1,IF((11-N(P_L1_Mes)+1)=1,N(P_L1_Monto),O$100)*N(P_L1_Tasa)/12,0)*P$9</f>
        <v>0</v>
      </c>
      <c r="Q98" s="34" t="n">
        <f aca="false">IF((12-N(P_L1_Mes)+1)&gt;=1,IF((12-N(P_L1_Mes)+1)=1,N(P_L1_Monto),P$100)*N(P_L1_Tasa)/12,0)*Q$9</f>
        <v>0</v>
      </c>
      <c r="R98" s="34" t="n">
        <f aca="false">IF((13-N(P_L1_Mes)+1)&gt;=1,IF((13-N(P_L1_Mes)+1)=1,N(P_L1_Monto),Q$100)*N(P_L1_Tasa)/12,0)*R$9</f>
        <v>0</v>
      </c>
      <c r="S98" s="34" t="n">
        <f aca="false">IF((14-N(P_L1_Mes)+1)&gt;=1,IF((14-N(P_L1_Mes)+1)=1,N(P_L1_Monto),R$100)*N(P_L1_Tasa)/12,0)*S$9</f>
        <v>0</v>
      </c>
      <c r="T98" s="34" t="n">
        <f aca="false">IF((15-N(P_L1_Mes)+1)&gt;=1,IF((15-N(P_L1_Mes)+1)=1,N(P_L1_Monto),S$100)*N(P_L1_Tasa)/12,0)*T$9</f>
        <v>0</v>
      </c>
      <c r="U98" s="34" t="n">
        <f aca="false">IF((16-N(P_L1_Mes)+1)&gt;=1,IF((16-N(P_L1_Mes)+1)=1,N(P_L1_Monto),T$100)*N(P_L1_Tasa)/12,0)*U$9</f>
        <v>0</v>
      </c>
      <c r="V98" s="34" t="n">
        <f aca="false">IF((17-N(P_L1_Mes)+1)&gt;=1,IF((17-N(P_L1_Mes)+1)=1,N(P_L1_Monto),U$100)*N(P_L1_Tasa)/12,0)*V$9</f>
        <v>0</v>
      </c>
      <c r="W98" s="34" t="n">
        <f aca="false">IF((18-N(P_L1_Mes)+1)&gt;=1,IF((18-N(P_L1_Mes)+1)=1,N(P_L1_Monto),V$100)*N(P_L1_Tasa)/12,0)*W$9</f>
        <v>0</v>
      </c>
      <c r="X98" s="34" t="n">
        <f aca="false">IF((19-N(P_L1_Mes)+1)&gt;=1,IF((19-N(P_L1_Mes)+1)=1,N(P_L1_Monto),W$100)*N(P_L1_Tasa)/12,0)*X$9</f>
        <v>0</v>
      </c>
      <c r="Y98" s="34" t="n">
        <f aca="false">IF((20-N(P_L1_Mes)+1)&gt;=1,IF((20-N(P_L1_Mes)+1)=1,N(P_L1_Monto),X$100)*N(P_L1_Tasa)/12,0)*Y$9</f>
        <v>0</v>
      </c>
      <c r="Z98" s="34" t="n">
        <f aca="false">IF((21-N(P_L1_Mes)+1)&gt;=1,IF((21-N(P_L1_Mes)+1)=1,N(P_L1_Monto),Y$100)*N(P_L1_Tasa)/12,0)*Z$9</f>
        <v>0</v>
      </c>
      <c r="AA98" s="34" t="n">
        <f aca="false">IF((22-N(P_L1_Mes)+1)&gt;=1,IF((22-N(P_L1_Mes)+1)=1,N(P_L1_Monto),Z$100)*N(P_L1_Tasa)/12,0)*AA$9</f>
        <v>0</v>
      </c>
      <c r="AB98" s="34" t="n">
        <f aca="false">IF((23-N(P_L1_Mes)+1)&gt;=1,IF((23-N(P_L1_Mes)+1)=1,N(P_L1_Monto),AA$100)*N(P_L1_Tasa)/12,0)*AB$9</f>
        <v>0</v>
      </c>
      <c r="AC98" s="34" t="n">
        <f aca="false">IF((24-N(P_L1_Mes)+1)&gt;=1,IF((24-N(P_L1_Mes)+1)=1,N(P_L1_Monto),AB$100)*N(P_L1_Tasa)/12,0)*AC$9</f>
        <v>0</v>
      </c>
      <c r="AD98" s="34" t="n">
        <f aca="false">IF((25-N(P_L1_Mes)+1)&gt;=1,IF((25-N(P_L1_Mes)+1)=1,N(P_L1_Monto),AC$100)*N(P_L1_Tasa)/12,0)*AD$9</f>
        <v>0</v>
      </c>
      <c r="AE98" s="34" t="n">
        <f aca="false">IF((26-N(P_L1_Mes)+1)&gt;=1,IF((26-N(P_L1_Mes)+1)=1,N(P_L1_Monto),AD$100)*N(P_L1_Tasa)/12,0)*AE$9</f>
        <v>0</v>
      </c>
      <c r="AF98" s="34" t="n">
        <f aca="false">IF((27-N(P_L1_Mes)+1)&gt;=1,IF((27-N(P_L1_Mes)+1)=1,N(P_L1_Monto),AE$100)*N(P_L1_Tasa)/12,0)*AF$9</f>
        <v>0</v>
      </c>
      <c r="AG98" s="34" t="n">
        <f aca="false">IF((28-N(P_L1_Mes)+1)&gt;=1,IF((28-N(P_L1_Mes)+1)=1,N(P_L1_Monto),AF$100)*N(P_L1_Tasa)/12,0)*AG$9</f>
        <v>0</v>
      </c>
      <c r="AH98" s="34" t="n">
        <f aca="false">IF((29-N(P_L1_Mes)+1)&gt;=1,IF((29-N(P_L1_Mes)+1)=1,N(P_L1_Monto),AG$100)*N(P_L1_Tasa)/12,0)*AH$9</f>
        <v>0</v>
      </c>
      <c r="AI98" s="34" t="n">
        <f aca="false">IF((30-N(P_L1_Mes)+1)&gt;=1,IF((30-N(P_L1_Mes)+1)=1,N(P_L1_Monto),AH$100)*N(P_L1_Tasa)/12,0)*AI$9</f>
        <v>0</v>
      </c>
      <c r="AJ98" s="34" t="n">
        <f aca="false">IF((31-N(P_L1_Mes)+1)&gt;=1,IF((31-N(P_L1_Mes)+1)=1,N(P_L1_Monto),AI$100)*N(P_L1_Tasa)/12,0)*AJ$9</f>
        <v>0</v>
      </c>
      <c r="AK98" s="34" t="n">
        <f aca="false">IF((32-N(P_L1_Mes)+1)&gt;=1,IF((32-N(P_L1_Mes)+1)=1,N(P_L1_Monto),AJ$100)*N(P_L1_Tasa)/12,0)*AK$9</f>
        <v>0</v>
      </c>
      <c r="AL98" s="34" t="n">
        <f aca="false">IF((33-N(P_L1_Mes)+1)&gt;=1,IF((33-N(P_L1_Mes)+1)=1,N(P_L1_Monto),AK$100)*N(P_L1_Tasa)/12,0)*AL$9</f>
        <v>0</v>
      </c>
      <c r="AM98" s="34" t="n">
        <f aca="false">IF((34-N(P_L1_Mes)+1)&gt;=1,IF((34-N(P_L1_Mes)+1)=1,N(P_L1_Monto),AL$100)*N(P_L1_Tasa)/12,0)*AM$9</f>
        <v>0</v>
      </c>
      <c r="AN98" s="34" t="n">
        <f aca="false">IF((35-N(P_L1_Mes)+1)&gt;=1,IF((35-N(P_L1_Mes)+1)=1,N(P_L1_Monto),AM$100)*N(P_L1_Tasa)/12,0)*AN$9</f>
        <v>0</v>
      </c>
      <c r="AO98" s="34" t="n">
        <f aca="false">IF((36-N(P_L1_Mes)+1)&gt;=1,IF((36-N(P_L1_Mes)+1)=1,N(P_L1_Monto),AN$100)*N(P_L1_Tasa)/12,0)*AO$9</f>
        <v>0</v>
      </c>
      <c r="AP98" s="34" t="n">
        <f aca="false">IF((37-N(P_L1_Mes)+1)&gt;=1,IF((37-N(P_L1_Mes)+1)=1,N(P_L1_Monto),AO$100)*N(P_L1_Tasa)/12,0)*AP$9</f>
        <v>0</v>
      </c>
      <c r="AQ98" s="34" t="n">
        <f aca="false">IF((38-N(P_L1_Mes)+1)&gt;=1,IF((38-N(P_L1_Mes)+1)=1,N(P_L1_Monto),AP$100)*N(P_L1_Tasa)/12,0)*AQ$9</f>
        <v>0</v>
      </c>
      <c r="AR98" s="34" t="n">
        <f aca="false">IF((39-N(P_L1_Mes)+1)&gt;=1,IF((39-N(P_L1_Mes)+1)=1,N(P_L1_Monto),AQ$100)*N(P_L1_Tasa)/12,0)*AR$9</f>
        <v>0</v>
      </c>
      <c r="AS98" s="34" t="n">
        <f aca="false">IF((40-N(P_L1_Mes)+1)&gt;=1,IF((40-N(P_L1_Mes)+1)=1,N(P_L1_Monto),AR$100)*N(P_L1_Tasa)/12,0)*AS$9</f>
        <v>0</v>
      </c>
      <c r="AT98" s="34" t="n">
        <f aca="false">IF((41-N(P_L1_Mes)+1)&gt;=1,IF((41-N(P_L1_Mes)+1)=1,N(P_L1_Monto),AS$100)*N(P_L1_Tasa)/12,0)*AT$9</f>
        <v>0</v>
      </c>
      <c r="AU98" s="34" t="n">
        <f aca="false">IF((42-N(P_L1_Mes)+1)&gt;=1,IF((42-N(P_L1_Mes)+1)=1,N(P_L1_Monto),AT$100)*N(P_L1_Tasa)/12,0)*AU$9</f>
        <v>0</v>
      </c>
      <c r="AV98" s="34" t="n">
        <f aca="false">IF((43-N(P_L1_Mes)+1)&gt;=1,IF((43-N(P_L1_Mes)+1)=1,N(P_L1_Monto),AU$100)*N(P_L1_Tasa)/12,0)*AV$9</f>
        <v>0</v>
      </c>
      <c r="AW98" s="34" t="n">
        <f aca="false">IF((44-N(P_L1_Mes)+1)&gt;=1,IF((44-N(P_L1_Mes)+1)=1,N(P_L1_Monto),AV$100)*N(P_L1_Tasa)/12,0)*AW$9</f>
        <v>0</v>
      </c>
      <c r="AX98" s="34" t="n">
        <f aca="false">IF((45-N(P_L1_Mes)+1)&gt;=1,IF((45-N(P_L1_Mes)+1)=1,N(P_L1_Monto),AW$100)*N(P_L1_Tasa)/12,0)*AX$9</f>
        <v>0</v>
      </c>
      <c r="AY98" s="34" t="n">
        <f aca="false">IF((46-N(P_L1_Mes)+1)&gt;=1,IF((46-N(P_L1_Mes)+1)=1,N(P_L1_Monto),AX$100)*N(P_L1_Tasa)/12,0)*AY$9</f>
        <v>0</v>
      </c>
      <c r="AZ98" s="34" t="n">
        <f aca="false">IF((47-N(P_L1_Mes)+1)&gt;=1,IF((47-N(P_L1_Mes)+1)=1,N(P_L1_Monto),AY$100)*N(P_L1_Tasa)/12,0)*AZ$9</f>
        <v>0</v>
      </c>
      <c r="BA98" s="34" t="n">
        <f aca="false">IF((48-N(P_L1_Mes)+1)&gt;=1,IF((48-N(P_L1_Mes)+1)=1,N(P_L1_Monto),AZ$100)*N(P_L1_Tasa)/12,0)*BA$9</f>
        <v>0</v>
      </c>
      <c r="BB98" s="34" t="n">
        <f aca="false">IF((49-N(P_L1_Mes)+1)&gt;=1,IF((49-N(P_L1_Mes)+1)=1,N(P_L1_Monto),BA$100)*N(P_L1_Tasa)/12,0)*BB$9</f>
        <v>0</v>
      </c>
      <c r="BC98" s="34" t="n">
        <f aca="false">IF((50-N(P_L1_Mes)+1)&gt;=1,IF((50-N(P_L1_Mes)+1)=1,N(P_L1_Monto),BB$100)*N(P_L1_Tasa)/12,0)*BC$9</f>
        <v>0</v>
      </c>
      <c r="BD98" s="34" t="n">
        <f aca="false">IF((51-N(P_L1_Mes)+1)&gt;=1,IF((51-N(P_L1_Mes)+1)=1,N(P_L1_Monto),BC$100)*N(P_L1_Tasa)/12,0)*BD$9</f>
        <v>0</v>
      </c>
      <c r="BE98" s="34" t="n">
        <f aca="false">IF((52-N(P_L1_Mes)+1)&gt;=1,IF((52-N(P_L1_Mes)+1)=1,N(P_L1_Monto),BD$100)*N(P_L1_Tasa)/12,0)*BE$9</f>
        <v>0</v>
      </c>
      <c r="BF98" s="34" t="n">
        <f aca="false">IF((53-N(P_L1_Mes)+1)&gt;=1,IF((53-N(P_L1_Mes)+1)=1,N(P_L1_Monto),BE$100)*N(P_L1_Tasa)/12,0)*BF$9</f>
        <v>0</v>
      </c>
      <c r="BG98" s="34" t="n">
        <f aca="false">IF((54-N(P_L1_Mes)+1)&gt;=1,IF((54-N(P_L1_Mes)+1)=1,N(P_L1_Monto),BF$100)*N(P_L1_Tasa)/12,0)*BG$9</f>
        <v>0</v>
      </c>
      <c r="BH98" s="34" t="n">
        <f aca="false">IF((55-N(P_L1_Mes)+1)&gt;=1,IF((55-N(P_L1_Mes)+1)=1,N(P_L1_Monto),BG$100)*N(P_L1_Tasa)/12,0)*BH$9</f>
        <v>0</v>
      </c>
      <c r="BI98" s="34" t="n">
        <f aca="false">IF((56-N(P_L1_Mes)+1)&gt;=1,IF((56-N(P_L1_Mes)+1)=1,N(P_L1_Monto),BH$100)*N(P_L1_Tasa)/12,0)*BI$9</f>
        <v>0</v>
      </c>
      <c r="BJ98" s="34" t="n">
        <f aca="false">IF((57-N(P_L1_Mes)+1)&gt;=1,IF((57-N(P_L1_Mes)+1)=1,N(P_L1_Monto),BI$100)*N(P_L1_Tasa)/12,0)*BJ$9</f>
        <v>0</v>
      </c>
      <c r="BK98" s="34" t="n">
        <f aca="false">IF((58-N(P_L1_Mes)+1)&gt;=1,IF((58-N(P_L1_Mes)+1)=1,N(P_L1_Monto),BJ$100)*N(P_L1_Tasa)/12,0)*BK$9</f>
        <v>0</v>
      </c>
      <c r="BL98" s="34" t="n">
        <f aca="false">IF((59-N(P_L1_Mes)+1)&gt;=1,IF((59-N(P_L1_Mes)+1)=1,N(P_L1_Monto),BK$100)*N(P_L1_Tasa)/12,0)*BL$9</f>
        <v>0</v>
      </c>
      <c r="BM98" s="34" t="n">
        <f aca="false">IF((60-N(P_L1_Mes)+1)&gt;=1,IF((60-N(P_L1_Mes)+1)=1,N(P_L1_Monto),BL$100)*N(P_L1_Tasa)/12,0)*BM$9</f>
        <v>0</v>
      </c>
      <c r="BN98" s="34" t="n">
        <f aca="false">IF((61-N(P_L1_Mes)+1)&gt;=1,IF((61-N(P_L1_Mes)+1)=1,N(P_L1_Monto),BM$100)*N(P_L1_Tasa)/12,0)*BN$9</f>
        <v>0</v>
      </c>
      <c r="BO98" s="34" t="n">
        <f aca="false">IF((62-N(P_L1_Mes)+1)&gt;=1,IF((62-N(P_L1_Mes)+1)=1,N(P_L1_Monto),BN$100)*N(P_L1_Tasa)/12,0)*BO$9</f>
        <v>0</v>
      </c>
      <c r="BP98" s="34" t="n">
        <f aca="false">IF((63-N(P_L1_Mes)+1)&gt;=1,IF((63-N(P_L1_Mes)+1)=1,N(P_L1_Monto),BO$100)*N(P_L1_Tasa)/12,0)*BP$9</f>
        <v>0</v>
      </c>
      <c r="BQ98" s="34" t="n">
        <f aca="false">IF((64-N(P_L1_Mes)+1)&gt;=1,IF((64-N(P_L1_Mes)+1)=1,N(P_L1_Monto),BP$100)*N(P_L1_Tasa)/12,0)*BQ$9</f>
        <v>0</v>
      </c>
      <c r="BR98" s="34" t="n">
        <f aca="false">IF((65-N(P_L1_Mes)+1)&gt;=1,IF((65-N(P_L1_Mes)+1)=1,N(P_L1_Monto),BQ$100)*N(P_L1_Tasa)/12,0)*BR$9</f>
        <v>0</v>
      </c>
      <c r="BS98" s="34" t="n">
        <f aca="false">IF((66-N(P_L1_Mes)+1)&gt;=1,IF((66-N(P_L1_Mes)+1)=1,N(P_L1_Monto),BR$100)*N(P_L1_Tasa)/12,0)*BS$9</f>
        <v>0</v>
      </c>
      <c r="BT98" s="34" t="n">
        <f aca="false">IF((67-N(P_L1_Mes)+1)&gt;=1,IF((67-N(P_L1_Mes)+1)=1,N(P_L1_Monto),BS$100)*N(P_L1_Tasa)/12,0)*BT$9</f>
        <v>0</v>
      </c>
      <c r="BU98" s="34" t="n">
        <f aca="false">IF((68-N(P_L1_Mes)+1)&gt;=1,IF((68-N(P_L1_Mes)+1)=1,N(P_L1_Monto),BT$100)*N(P_L1_Tasa)/12,0)*BU$9</f>
        <v>0</v>
      </c>
      <c r="BV98" s="34" t="n">
        <f aca="false">IF((69-N(P_L1_Mes)+1)&gt;=1,IF((69-N(P_L1_Mes)+1)=1,N(P_L1_Monto),BU$100)*N(P_L1_Tasa)/12,0)*BV$9</f>
        <v>0</v>
      </c>
      <c r="BW98" s="34" t="n">
        <f aca="false">IF((70-N(P_L1_Mes)+1)&gt;=1,IF((70-N(P_L1_Mes)+1)=1,N(P_L1_Monto),BV$100)*N(P_L1_Tasa)/12,0)*BW$9</f>
        <v>0</v>
      </c>
      <c r="BX98" s="34" t="n">
        <f aca="false">IF((71-N(P_L1_Mes)+1)&gt;=1,IF((71-N(P_L1_Mes)+1)=1,N(P_L1_Monto),BW$100)*N(P_L1_Tasa)/12,0)*BX$9</f>
        <v>0</v>
      </c>
      <c r="BY98" s="34" t="n">
        <f aca="false">IF((72-N(P_L1_Mes)+1)&gt;=1,IF((72-N(P_L1_Mes)+1)=1,N(P_L1_Monto),BX$100)*N(P_L1_Tasa)/12,0)*BY$9</f>
        <v>0</v>
      </c>
      <c r="BZ98" s="34" t="n">
        <f aca="false">IF((73-N(P_L1_Mes)+1)&gt;=1,IF((73-N(P_L1_Mes)+1)=1,N(P_L1_Monto),BY$100)*N(P_L1_Tasa)/12,0)*BZ$9</f>
        <v>0</v>
      </c>
      <c r="CA98" s="34" t="n">
        <f aca="false">IF((74-N(P_L1_Mes)+1)&gt;=1,IF((74-N(P_L1_Mes)+1)=1,N(P_L1_Monto),BZ$100)*N(P_L1_Tasa)/12,0)*CA$9</f>
        <v>0</v>
      </c>
      <c r="CB98" s="34" t="n">
        <f aca="false">IF((75-N(P_L1_Mes)+1)&gt;=1,IF((75-N(P_L1_Mes)+1)=1,N(P_L1_Monto),CA$100)*N(P_L1_Tasa)/12,0)*CB$9</f>
        <v>0</v>
      </c>
      <c r="CC98" s="34" t="n">
        <f aca="false">IF((76-N(P_L1_Mes)+1)&gt;=1,IF((76-N(P_L1_Mes)+1)=1,N(P_L1_Monto),CB$100)*N(P_L1_Tasa)/12,0)*CC$9</f>
        <v>0</v>
      </c>
      <c r="CD98" s="34" t="n">
        <f aca="false">IF((77-N(P_L1_Mes)+1)&gt;=1,IF((77-N(P_L1_Mes)+1)=1,N(P_L1_Monto),CC$100)*N(P_L1_Tasa)/12,0)*CD$9</f>
        <v>0</v>
      </c>
      <c r="CE98" s="34" t="n">
        <f aca="false">IF((78-N(P_L1_Mes)+1)&gt;=1,IF((78-N(P_L1_Mes)+1)=1,N(P_L1_Monto),CD$100)*N(P_L1_Tasa)/12,0)*CE$9</f>
        <v>0</v>
      </c>
      <c r="CF98" s="34" t="n">
        <f aca="false">IF((79-N(P_L1_Mes)+1)&gt;=1,IF((79-N(P_L1_Mes)+1)=1,N(P_L1_Monto),CE$100)*N(P_L1_Tasa)/12,0)*CF$9</f>
        <v>0</v>
      </c>
      <c r="CG98" s="34" t="n">
        <f aca="false">IF((80-N(P_L1_Mes)+1)&gt;=1,IF((80-N(P_L1_Mes)+1)=1,N(P_L1_Monto),CF$100)*N(P_L1_Tasa)/12,0)*CG$9</f>
        <v>0</v>
      </c>
      <c r="CH98" s="34" t="n">
        <f aca="false">IF((81-N(P_L1_Mes)+1)&gt;=1,IF((81-N(P_L1_Mes)+1)=1,N(P_L1_Monto),CG$100)*N(P_L1_Tasa)/12,0)*CH$9</f>
        <v>0</v>
      </c>
      <c r="CI98" s="34" t="n">
        <f aca="false">IF((82-N(P_L1_Mes)+1)&gt;=1,IF((82-N(P_L1_Mes)+1)=1,N(P_L1_Monto),CH$100)*N(P_L1_Tasa)/12,0)*CI$9</f>
        <v>0</v>
      </c>
      <c r="CJ98" s="34" t="n">
        <f aca="false">IF((83-N(P_L1_Mes)+1)&gt;=1,IF((83-N(P_L1_Mes)+1)=1,N(P_L1_Monto),CI$100)*N(P_L1_Tasa)/12,0)*CJ$9</f>
        <v>0</v>
      </c>
      <c r="CK98" s="34" t="n">
        <f aca="false">IF((84-N(P_L1_Mes)+1)&gt;=1,IF((84-N(P_L1_Mes)+1)=1,N(P_L1_Monto),CJ$100)*N(P_L1_Tasa)/12,0)*CK$9</f>
        <v>0</v>
      </c>
      <c r="CL98" s="34" t="n">
        <f aca="false">IF((85-N(P_L1_Mes)+1)&gt;=1,IF((85-N(P_L1_Mes)+1)=1,N(P_L1_Monto),CK$100)*N(P_L1_Tasa)/12,0)*CL$9</f>
        <v>0</v>
      </c>
      <c r="CM98" s="34" t="n">
        <f aca="false">IF((86-N(P_L1_Mes)+1)&gt;=1,IF((86-N(P_L1_Mes)+1)=1,N(P_L1_Monto),CL$100)*N(P_L1_Tasa)/12,0)*CM$9</f>
        <v>0</v>
      </c>
      <c r="CN98" s="34" t="n">
        <f aca="false">IF((87-N(P_L1_Mes)+1)&gt;=1,IF((87-N(P_L1_Mes)+1)=1,N(P_L1_Monto),CM$100)*N(P_L1_Tasa)/12,0)*CN$9</f>
        <v>0</v>
      </c>
      <c r="CO98" s="34" t="n">
        <f aca="false">IF((88-N(P_L1_Mes)+1)&gt;=1,IF((88-N(P_L1_Mes)+1)=1,N(P_L1_Monto),CN$100)*N(P_L1_Tasa)/12,0)*CO$9</f>
        <v>0</v>
      </c>
      <c r="CP98" s="34" t="n">
        <f aca="false">IF((89-N(P_L1_Mes)+1)&gt;=1,IF((89-N(P_L1_Mes)+1)=1,N(P_L1_Monto),CO$100)*N(P_L1_Tasa)/12,0)*CP$9</f>
        <v>0</v>
      </c>
      <c r="CQ98" s="34" t="n">
        <f aca="false">IF((90-N(P_L1_Mes)+1)&gt;=1,IF((90-N(P_L1_Mes)+1)=1,N(P_L1_Monto),CP$100)*N(P_L1_Tasa)/12,0)*CQ$9</f>
        <v>0</v>
      </c>
      <c r="CR98" s="34" t="n">
        <f aca="false">IF((91-N(P_L1_Mes)+1)&gt;=1,IF((91-N(P_L1_Mes)+1)=1,N(P_L1_Monto),CQ$100)*N(P_L1_Tasa)/12,0)*CR$9</f>
        <v>0</v>
      </c>
      <c r="CS98" s="34" t="n">
        <f aca="false">IF((92-N(P_L1_Mes)+1)&gt;=1,IF((92-N(P_L1_Mes)+1)=1,N(P_L1_Monto),CR$100)*N(P_L1_Tasa)/12,0)*CS$9</f>
        <v>0</v>
      </c>
      <c r="CT98" s="34" t="n">
        <f aca="false">IF((93-N(P_L1_Mes)+1)&gt;=1,IF((93-N(P_L1_Mes)+1)=1,N(P_L1_Monto),CS$100)*N(P_L1_Tasa)/12,0)*CT$9</f>
        <v>0</v>
      </c>
      <c r="CU98" s="34" t="n">
        <f aca="false">IF((94-N(P_L1_Mes)+1)&gt;=1,IF((94-N(P_L1_Mes)+1)=1,N(P_L1_Monto),CT$100)*N(P_L1_Tasa)/12,0)*CU$9</f>
        <v>0</v>
      </c>
      <c r="CV98" s="34" t="n">
        <f aca="false">IF((95-N(P_L1_Mes)+1)&gt;=1,IF((95-N(P_L1_Mes)+1)=1,N(P_L1_Monto),CU$100)*N(P_L1_Tasa)/12,0)*CV$9</f>
        <v>0</v>
      </c>
      <c r="CW98" s="34" t="n">
        <f aca="false">IF((96-N(P_L1_Mes)+1)&gt;=1,IF((96-N(P_L1_Mes)+1)=1,N(P_L1_Monto),CV$100)*N(P_L1_Tasa)/12,0)*CW$9</f>
        <v>0</v>
      </c>
      <c r="CX98" s="34" t="n">
        <f aca="false">IF((97-N(P_L1_Mes)+1)&gt;=1,IF((97-N(P_L1_Mes)+1)=1,N(P_L1_Monto),CW$100)*N(P_L1_Tasa)/12,0)*CX$9</f>
        <v>0</v>
      </c>
      <c r="CY98" s="34" t="n">
        <f aca="false">IF((98-N(P_L1_Mes)+1)&gt;=1,IF((98-N(P_L1_Mes)+1)=1,N(P_L1_Monto),CX$100)*N(P_L1_Tasa)/12,0)*CY$9</f>
        <v>0</v>
      </c>
      <c r="CZ98" s="34" t="n">
        <f aca="false">IF((99-N(P_L1_Mes)+1)&gt;=1,IF((99-N(P_L1_Mes)+1)=1,N(P_L1_Monto),CY$100)*N(P_L1_Tasa)/12,0)*CZ$9</f>
        <v>0</v>
      </c>
      <c r="DA98" s="34" t="n">
        <f aca="false">IF((100-N(P_L1_Mes)+1)&gt;=1,IF((100-N(P_L1_Mes)+1)=1,N(P_L1_Monto),CZ$100)*N(P_L1_Tasa)/12,0)*DA$9</f>
        <v>0</v>
      </c>
      <c r="DB98" s="34" t="n">
        <f aca="false">IF((101-N(P_L1_Mes)+1)&gt;=1,IF((101-N(P_L1_Mes)+1)=1,N(P_L1_Monto),DA$100)*N(P_L1_Tasa)/12,0)*DB$9</f>
        <v>0</v>
      </c>
      <c r="DC98" s="34" t="n">
        <f aca="false">IF((102-N(P_L1_Mes)+1)&gt;=1,IF((102-N(P_L1_Mes)+1)=1,N(P_L1_Monto),DB$100)*N(P_L1_Tasa)/12,0)*DC$9</f>
        <v>0</v>
      </c>
      <c r="DD98" s="34" t="n">
        <f aca="false">IF((103-N(P_L1_Mes)+1)&gt;=1,IF((103-N(P_L1_Mes)+1)=1,N(P_L1_Monto),DC$100)*N(P_L1_Tasa)/12,0)*DD$9</f>
        <v>0</v>
      </c>
      <c r="DE98" s="34" t="n">
        <f aca="false">IF((104-N(P_L1_Mes)+1)&gt;=1,IF((104-N(P_L1_Mes)+1)=1,N(P_L1_Monto),DD$100)*N(P_L1_Tasa)/12,0)*DE$9</f>
        <v>0</v>
      </c>
      <c r="DF98" s="34" t="n">
        <f aca="false">IF((105-N(P_L1_Mes)+1)&gt;=1,IF((105-N(P_L1_Mes)+1)=1,N(P_L1_Monto),DE$100)*N(P_L1_Tasa)/12,0)*DF$9</f>
        <v>0</v>
      </c>
      <c r="DG98" s="34" t="n">
        <f aca="false">IF((106-N(P_L1_Mes)+1)&gt;=1,IF((106-N(P_L1_Mes)+1)=1,N(P_L1_Monto),DF$100)*N(P_L1_Tasa)/12,0)*DG$9</f>
        <v>0</v>
      </c>
      <c r="DH98" s="34" t="n">
        <f aca="false">IF((107-N(P_L1_Mes)+1)&gt;=1,IF((107-N(P_L1_Mes)+1)=1,N(P_L1_Monto),DG$100)*N(P_L1_Tasa)/12,0)*DH$9</f>
        <v>0</v>
      </c>
      <c r="DI98" s="34" t="n">
        <f aca="false">IF((108-N(P_L1_Mes)+1)&gt;=1,IF((108-N(P_L1_Mes)+1)=1,N(P_L1_Monto),DH$100)*N(P_L1_Tasa)/12,0)*DI$9</f>
        <v>0</v>
      </c>
      <c r="DJ98" s="34" t="n">
        <f aca="false">IF((109-N(P_L1_Mes)+1)&gt;=1,IF((109-N(P_L1_Mes)+1)=1,N(P_L1_Monto),DI$100)*N(P_L1_Tasa)/12,0)*DJ$9</f>
        <v>0</v>
      </c>
      <c r="DK98" s="34" t="n">
        <f aca="false">IF((110-N(P_L1_Mes)+1)&gt;=1,IF((110-N(P_L1_Mes)+1)=1,N(P_L1_Monto),DJ$100)*N(P_L1_Tasa)/12,0)*DK$9</f>
        <v>0</v>
      </c>
      <c r="DL98" s="34" t="n">
        <f aca="false">IF((111-N(P_L1_Mes)+1)&gt;=1,IF((111-N(P_L1_Mes)+1)=1,N(P_L1_Monto),DK$100)*N(P_L1_Tasa)/12,0)*DL$9</f>
        <v>0</v>
      </c>
      <c r="DM98" s="34" t="n">
        <f aca="false">IF((112-N(P_L1_Mes)+1)&gt;=1,IF((112-N(P_L1_Mes)+1)=1,N(P_L1_Monto),DL$100)*N(P_L1_Tasa)/12,0)*DM$9</f>
        <v>0</v>
      </c>
      <c r="DN98" s="34" t="n">
        <f aca="false">IF((113-N(P_L1_Mes)+1)&gt;=1,IF((113-N(P_L1_Mes)+1)=1,N(P_L1_Monto),DM$100)*N(P_L1_Tasa)/12,0)*DN$9</f>
        <v>0</v>
      </c>
      <c r="DO98" s="34" t="n">
        <f aca="false">IF((114-N(P_L1_Mes)+1)&gt;=1,IF((114-N(P_L1_Mes)+1)=1,N(P_L1_Monto),DN$100)*N(P_L1_Tasa)/12,0)*DO$9</f>
        <v>0</v>
      </c>
      <c r="DP98" s="34" t="n">
        <f aca="false">IF((115-N(P_L1_Mes)+1)&gt;=1,IF((115-N(P_L1_Mes)+1)=1,N(P_L1_Monto),DO$100)*N(P_L1_Tasa)/12,0)*DP$9</f>
        <v>0</v>
      </c>
      <c r="DQ98" s="34" t="n">
        <f aca="false">IF((116-N(P_L1_Mes)+1)&gt;=1,IF((116-N(P_L1_Mes)+1)=1,N(P_L1_Monto),DP$100)*N(P_L1_Tasa)/12,0)*DQ$9</f>
        <v>0</v>
      </c>
      <c r="DR98" s="34" t="n">
        <f aca="false">IF((117-N(P_L1_Mes)+1)&gt;=1,IF((117-N(P_L1_Mes)+1)=1,N(P_L1_Monto),DQ$100)*N(P_L1_Tasa)/12,0)*DR$9</f>
        <v>0</v>
      </c>
      <c r="DS98" s="34" t="n">
        <f aca="false">IF((118-N(P_L1_Mes)+1)&gt;=1,IF((118-N(P_L1_Mes)+1)=1,N(P_L1_Monto),DR$100)*N(P_L1_Tasa)/12,0)*DS$9</f>
        <v>0</v>
      </c>
      <c r="DT98" s="34" t="n">
        <f aca="false">IF((119-N(P_L1_Mes)+1)&gt;=1,IF((119-N(P_L1_Mes)+1)=1,N(P_L1_Monto),DS$100)*N(P_L1_Tasa)/12,0)*DT$9</f>
        <v>0</v>
      </c>
      <c r="DU98" s="34" t="n">
        <f aca="false">IF((120-N(P_L1_Mes)+1)&gt;=1,IF((120-N(P_L1_Mes)+1)=1,N(P_L1_Monto),DT$100)*N(P_L1_Tasa)/12,0)*DU$9</f>
        <v>0</v>
      </c>
      <c r="DV98" s="34" t="n">
        <f aca="false">IF((121-N(P_L1_Mes)+1)&gt;=1,IF((121-N(P_L1_Mes)+1)=1,N(P_L1_Monto),DU$100)*N(P_L1_Tasa)/12,0)*DV$9</f>
        <v>0</v>
      </c>
      <c r="DW98" s="34" t="n">
        <f aca="false">IF((122-N(P_L1_Mes)+1)&gt;=1,IF((122-N(P_L1_Mes)+1)=1,N(P_L1_Monto),DV$100)*N(P_L1_Tasa)/12,0)*DW$9</f>
        <v>0</v>
      </c>
      <c r="DX98" s="34" t="n">
        <f aca="false">IF((123-N(P_L1_Mes)+1)&gt;=1,IF((123-N(P_L1_Mes)+1)=1,N(P_L1_Monto),DW$100)*N(P_L1_Tasa)/12,0)*DX$9</f>
        <v>0</v>
      </c>
      <c r="DY98" s="34" t="n">
        <f aca="false">IF((124-N(P_L1_Mes)+1)&gt;=1,IF((124-N(P_L1_Mes)+1)=1,N(P_L1_Monto),DX$100)*N(P_L1_Tasa)/12,0)*DY$9</f>
        <v>0</v>
      </c>
      <c r="DZ98" s="34" t="n">
        <f aca="false">IF((125-N(P_L1_Mes)+1)&gt;=1,IF((125-N(P_L1_Mes)+1)=1,N(P_L1_Monto),DY$100)*N(P_L1_Tasa)/12,0)*DZ$9</f>
        <v>0</v>
      </c>
      <c r="EA98" s="34" t="n">
        <f aca="false">IF((126-N(P_L1_Mes)+1)&gt;=1,IF((126-N(P_L1_Mes)+1)=1,N(P_L1_Monto),DZ$100)*N(P_L1_Tasa)/12,0)*EA$9</f>
        <v>0</v>
      </c>
      <c r="EB98" s="34" t="n">
        <f aca="false">IF((127-N(P_L1_Mes)+1)&gt;=1,IF((127-N(P_L1_Mes)+1)=1,N(P_L1_Monto),EA$100)*N(P_L1_Tasa)/12,0)*EB$9</f>
        <v>0</v>
      </c>
      <c r="EC98" s="34" t="n">
        <f aca="false">IF((128-N(P_L1_Mes)+1)&gt;=1,IF((128-N(P_L1_Mes)+1)=1,N(P_L1_Monto),EB$100)*N(P_L1_Tasa)/12,0)*EC$9</f>
        <v>0</v>
      </c>
      <c r="ED98" s="34" t="n">
        <f aca="false">IF((129-N(P_L1_Mes)+1)&gt;=1,IF((129-N(P_L1_Mes)+1)=1,N(P_L1_Monto),EC$100)*N(P_L1_Tasa)/12,0)*ED$9</f>
        <v>0</v>
      </c>
      <c r="EE98" s="34" t="n">
        <f aca="false">IF((130-N(P_L1_Mes)+1)&gt;=1,IF((130-N(P_L1_Mes)+1)=1,N(P_L1_Monto),ED$100)*N(P_L1_Tasa)/12,0)*EE$9</f>
        <v>0</v>
      </c>
      <c r="EF98" s="34" t="n">
        <f aca="false">IF((131-N(P_L1_Mes)+1)&gt;=1,IF((131-N(P_L1_Mes)+1)=1,N(P_L1_Monto),EE$100)*N(P_L1_Tasa)/12,0)*EF$9</f>
        <v>0</v>
      </c>
      <c r="EG98" s="34" t="n">
        <f aca="false">IF((132-N(P_L1_Mes)+1)&gt;=1,IF((132-N(P_L1_Mes)+1)=1,N(P_L1_Monto),EF$100)*N(P_L1_Tasa)/12,0)*EG$9</f>
        <v>0</v>
      </c>
      <c r="EH98" s="34" t="n">
        <f aca="false">IF((133-N(P_L1_Mes)+1)&gt;=1,IF((133-N(P_L1_Mes)+1)=1,N(P_L1_Monto),EG$100)*N(P_L1_Tasa)/12,0)*EH$9</f>
        <v>0</v>
      </c>
      <c r="EI98" s="34" t="n">
        <f aca="false">IF((134-N(P_L1_Mes)+1)&gt;=1,IF((134-N(P_L1_Mes)+1)=1,N(P_L1_Monto),EH$100)*N(P_L1_Tasa)/12,0)*EI$9</f>
        <v>0</v>
      </c>
      <c r="EJ98" s="34" t="n">
        <f aca="false">IF((135-N(P_L1_Mes)+1)&gt;=1,IF((135-N(P_L1_Mes)+1)=1,N(P_L1_Monto),EI$100)*N(P_L1_Tasa)/12,0)*EJ$9</f>
        <v>0</v>
      </c>
      <c r="EK98" s="34" t="n">
        <f aca="false">IF((136-N(P_L1_Mes)+1)&gt;=1,IF((136-N(P_L1_Mes)+1)=1,N(P_L1_Monto),EJ$100)*N(P_L1_Tasa)/12,0)*EK$9</f>
        <v>0</v>
      </c>
      <c r="EL98" s="34" t="n">
        <f aca="false">IF((137-N(P_L1_Mes)+1)&gt;=1,IF((137-N(P_L1_Mes)+1)=1,N(P_L1_Monto),EK$100)*N(P_L1_Tasa)/12,0)*EL$9</f>
        <v>0</v>
      </c>
      <c r="EM98" s="34" t="n">
        <f aca="false">IF((138-N(P_L1_Mes)+1)&gt;=1,IF((138-N(P_L1_Mes)+1)=1,N(P_L1_Monto),EL$100)*N(P_L1_Tasa)/12,0)*EM$9</f>
        <v>0</v>
      </c>
      <c r="EN98" s="34" t="n">
        <f aca="false">IF((139-N(P_L1_Mes)+1)&gt;=1,IF((139-N(P_L1_Mes)+1)=1,N(P_L1_Monto),EM$100)*N(P_L1_Tasa)/12,0)*EN$9</f>
        <v>0</v>
      </c>
      <c r="EO98" s="34" t="n">
        <f aca="false">IF((140-N(P_L1_Mes)+1)&gt;=1,IF((140-N(P_L1_Mes)+1)=1,N(P_L1_Monto),EN$100)*N(P_L1_Tasa)/12,0)*EO$9</f>
        <v>0</v>
      </c>
      <c r="EP98" s="34" t="n">
        <f aca="false">IF((141-N(P_L1_Mes)+1)&gt;=1,IF((141-N(P_L1_Mes)+1)=1,N(P_L1_Monto),EO$100)*N(P_L1_Tasa)/12,0)*EP$9</f>
        <v>0</v>
      </c>
      <c r="EQ98" s="34" t="n">
        <f aca="false">IF((142-N(P_L1_Mes)+1)&gt;=1,IF((142-N(P_L1_Mes)+1)=1,N(P_L1_Monto),EP$100)*N(P_L1_Tasa)/12,0)*EQ$9</f>
        <v>0</v>
      </c>
      <c r="ER98" s="34" t="n">
        <f aca="false">IF((143-N(P_L1_Mes)+1)&gt;=1,IF((143-N(P_L1_Mes)+1)=1,N(P_L1_Monto),EQ$100)*N(P_L1_Tasa)/12,0)*ER$9</f>
        <v>0</v>
      </c>
      <c r="ES98" s="34" t="n">
        <f aca="false">IF((144-N(P_L1_Mes)+1)&gt;=1,IF((144-N(P_L1_Mes)+1)=1,N(P_L1_Monto),ER$100)*N(P_L1_Tasa)/12,0)*ES$9</f>
        <v>0</v>
      </c>
    </row>
    <row r="99" customFormat="false" ht="15" hidden="false" customHeight="false" outlineLevel="0" collapsed="false">
      <c r="A99" s="2" t="s">
        <v>555</v>
      </c>
      <c r="B99" s="6" t="s">
        <v>556</v>
      </c>
      <c r="C99" s="6" t="s">
        <v>212</v>
      </c>
      <c r="E99" s="40" t="n">
        <f aca="false">SUM(F99:ES99)</f>
        <v>0</v>
      </c>
      <c r="F99" s="34" t="n">
        <f aca="false">IF(AND((1-N(P_L1_Mes)+1)&gt;N(P_L1_Gracia),(1-N(P_L1_Mes)+1)&lt;=N(P_L1_Gracia)+N(P_L1_Cuotas),N(P_L1_Cuotas)&gt;0),IF((1-N(P_L1_Mes)+1)=N(P_L1_Gracia)+N(P_L1_Cuotas),IF((1-N(P_L1_Mes)+1)=1,N(P_L1_Monto),0),PMT(N(P_L1_Tasa)/12,N(P_L1_Cuotas),-N(P_L1_Monto))-F$98),0)*F$9</f>
        <v>0</v>
      </c>
      <c r="G99" s="34" t="n">
        <f aca="false">IF(AND((2-N(P_L1_Mes)+1)&gt;N(P_L1_Gracia),(2-N(P_L1_Mes)+1)&lt;=N(P_L1_Gracia)+N(P_L1_Cuotas),N(P_L1_Cuotas)&gt;0),IF((2-N(P_L1_Mes)+1)=N(P_L1_Gracia)+N(P_L1_Cuotas),IF((2-N(P_L1_Mes)+1)=1,N(P_L1_Monto),F$100),PMT(N(P_L1_Tasa)/12,N(P_L1_Cuotas),-N(P_L1_Monto))-G$98),0)*G$9</f>
        <v>0</v>
      </c>
      <c r="H99" s="34" t="n">
        <f aca="false">IF(AND((3-N(P_L1_Mes)+1)&gt;N(P_L1_Gracia),(3-N(P_L1_Mes)+1)&lt;=N(P_L1_Gracia)+N(P_L1_Cuotas),N(P_L1_Cuotas)&gt;0),IF((3-N(P_L1_Mes)+1)=N(P_L1_Gracia)+N(P_L1_Cuotas),IF((3-N(P_L1_Mes)+1)=1,N(P_L1_Monto),G$100),PMT(N(P_L1_Tasa)/12,N(P_L1_Cuotas),-N(P_L1_Monto))-H$98),0)*H$9</f>
        <v>0</v>
      </c>
      <c r="I99" s="34" t="n">
        <f aca="false">IF(AND((4-N(P_L1_Mes)+1)&gt;N(P_L1_Gracia),(4-N(P_L1_Mes)+1)&lt;=N(P_L1_Gracia)+N(P_L1_Cuotas),N(P_L1_Cuotas)&gt;0),IF((4-N(P_L1_Mes)+1)=N(P_L1_Gracia)+N(P_L1_Cuotas),IF((4-N(P_L1_Mes)+1)=1,N(P_L1_Monto),H$100),PMT(N(P_L1_Tasa)/12,N(P_L1_Cuotas),-N(P_L1_Monto))-I$98),0)*I$9</f>
        <v>0</v>
      </c>
      <c r="J99" s="34" t="n">
        <f aca="false">IF(AND((5-N(P_L1_Mes)+1)&gt;N(P_L1_Gracia),(5-N(P_L1_Mes)+1)&lt;=N(P_L1_Gracia)+N(P_L1_Cuotas),N(P_L1_Cuotas)&gt;0),IF((5-N(P_L1_Mes)+1)=N(P_L1_Gracia)+N(P_L1_Cuotas),IF((5-N(P_L1_Mes)+1)=1,N(P_L1_Monto),I$100),PMT(N(P_L1_Tasa)/12,N(P_L1_Cuotas),-N(P_L1_Monto))-J$98),0)*J$9</f>
        <v>0</v>
      </c>
      <c r="K99" s="34" t="n">
        <f aca="false">IF(AND((6-N(P_L1_Mes)+1)&gt;N(P_L1_Gracia),(6-N(P_L1_Mes)+1)&lt;=N(P_L1_Gracia)+N(P_L1_Cuotas),N(P_L1_Cuotas)&gt;0),IF((6-N(P_L1_Mes)+1)=N(P_L1_Gracia)+N(P_L1_Cuotas),IF((6-N(P_L1_Mes)+1)=1,N(P_L1_Monto),J$100),PMT(N(P_L1_Tasa)/12,N(P_L1_Cuotas),-N(P_L1_Monto))-K$98),0)*K$9</f>
        <v>0</v>
      </c>
      <c r="L99" s="34" t="n">
        <f aca="false">IF(AND((7-N(P_L1_Mes)+1)&gt;N(P_L1_Gracia),(7-N(P_L1_Mes)+1)&lt;=N(P_L1_Gracia)+N(P_L1_Cuotas),N(P_L1_Cuotas)&gt;0),IF((7-N(P_L1_Mes)+1)=N(P_L1_Gracia)+N(P_L1_Cuotas),IF((7-N(P_L1_Mes)+1)=1,N(P_L1_Monto),K$100),PMT(N(P_L1_Tasa)/12,N(P_L1_Cuotas),-N(P_L1_Monto))-L$98),0)*L$9</f>
        <v>0</v>
      </c>
      <c r="M99" s="34" t="n">
        <f aca="false">IF(AND((8-N(P_L1_Mes)+1)&gt;N(P_L1_Gracia),(8-N(P_L1_Mes)+1)&lt;=N(P_L1_Gracia)+N(P_L1_Cuotas),N(P_L1_Cuotas)&gt;0),IF((8-N(P_L1_Mes)+1)=N(P_L1_Gracia)+N(P_L1_Cuotas),IF((8-N(P_L1_Mes)+1)=1,N(P_L1_Monto),L$100),PMT(N(P_L1_Tasa)/12,N(P_L1_Cuotas),-N(P_L1_Monto))-M$98),0)*M$9</f>
        <v>0</v>
      </c>
      <c r="N99" s="34" t="n">
        <f aca="false">IF(AND((9-N(P_L1_Mes)+1)&gt;N(P_L1_Gracia),(9-N(P_L1_Mes)+1)&lt;=N(P_L1_Gracia)+N(P_L1_Cuotas),N(P_L1_Cuotas)&gt;0),IF((9-N(P_L1_Mes)+1)=N(P_L1_Gracia)+N(P_L1_Cuotas),IF((9-N(P_L1_Mes)+1)=1,N(P_L1_Monto),M$100),PMT(N(P_L1_Tasa)/12,N(P_L1_Cuotas),-N(P_L1_Monto))-N$98),0)*N$9</f>
        <v>0</v>
      </c>
      <c r="O99" s="34" t="n">
        <f aca="false">IF(AND((10-N(P_L1_Mes)+1)&gt;N(P_L1_Gracia),(10-N(P_L1_Mes)+1)&lt;=N(P_L1_Gracia)+N(P_L1_Cuotas),N(P_L1_Cuotas)&gt;0),IF((10-N(P_L1_Mes)+1)=N(P_L1_Gracia)+N(P_L1_Cuotas),IF((10-N(P_L1_Mes)+1)=1,N(P_L1_Monto),N$100),PMT(N(P_L1_Tasa)/12,N(P_L1_Cuotas),-N(P_L1_Monto))-O$98),0)*O$9</f>
        <v>0</v>
      </c>
      <c r="P99" s="34" t="n">
        <f aca="false">IF(AND((11-N(P_L1_Mes)+1)&gt;N(P_L1_Gracia),(11-N(P_L1_Mes)+1)&lt;=N(P_L1_Gracia)+N(P_L1_Cuotas),N(P_L1_Cuotas)&gt;0),IF((11-N(P_L1_Mes)+1)=N(P_L1_Gracia)+N(P_L1_Cuotas),IF((11-N(P_L1_Mes)+1)=1,N(P_L1_Monto),O$100),PMT(N(P_L1_Tasa)/12,N(P_L1_Cuotas),-N(P_L1_Monto))-P$98),0)*P$9</f>
        <v>0</v>
      </c>
      <c r="Q99" s="34" t="n">
        <f aca="false">IF(AND((12-N(P_L1_Mes)+1)&gt;N(P_L1_Gracia),(12-N(P_L1_Mes)+1)&lt;=N(P_L1_Gracia)+N(P_L1_Cuotas),N(P_L1_Cuotas)&gt;0),IF((12-N(P_L1_Mes)+1)=N(P_L1_Gracia)+N(P_L1_Cuotas),IF((12-N(P_L1_Mes)+1)=1,N(P_L1_Monto),P$100),PMT(N(P_L1_Tasa)/12,N(P_L1_Cuotas),-N(P_L1_Monto))-Q$98),0)*Q$9</f>
        <v>0</v>
      </c>
      <c r="R99" s="34" t="n">
        <f aca="false">IF(AND((13-N(P_L1_Mes)+1)&gt;N(P_L1_Gracia),(13-N(P_L1_Mes)+1)&lt;=N(P_L1_Gracia)+N(P_L1_Cuotas),N(P_L1_Cuotas)&gt;0),IF((13-N(P_L1_Mes)+1)=N(P_L1_Gracia)+N(P_L1_Cuotas),IF((13-N(P_L1_Mes)+1)=1,N(P_L1_Monto),Q$100),PMT(N(P_L1_Tasa)/12,N(P_L1_Cuotas),-N(P_L1_Monto))-R$98),0)*R$9</f>
        <v>0</v>
      </c>
      <c r="S99" s="34" t="n">
        <f aca="false">IF(AND((14-N(P_L1_Mes)+1)&gt;N(P_L1_Gracia),(14-N(P_L1_Mes)+1)&lt;=N(P_L1_Gracia)+N(P_L1_Cuotas),N(P_L1_Cuotas)&gt;0),IF((14-N(P_L1_Mes)+1)=N(P_L1_Gracia)+N(P_L1_Cuotas),IF((14-N(P_L1_Mes)+1)=1,N(P_L1_Monto),R$100),PMT(N(P_L1_Tasa)/12,N(P_L1_Cuotas),-N(P_L1_Monto))-S$98),0)*S$9</f>
        <v>0</v>
      </c>
      <c r="T99" s="34" t="n">
        <f aca="false">IF(AND((15-N(P_L1_Mes)+1)&gt;N(P_L1_Gracia),(15-N(P_L1_Mes)+1)&lt;=N(P_L1_Gracia)+N(P_L1_Cuotas),N(P_L1_Cuotas)&gt;0),IF((15-N(P_L1_Mes)+1)=N(P_L1_Gracia)+N(P_L1_Cuotas),IF((15-N(P_L1_Mes)+1)=1,N(P_L1_Monto),S$100),PMT(N(P_L1_Tasa)/12,N(P_L1_Cuotas),-N(P_L1_Monto))-T$98),0)*T$9</f>
        <v>0</v>
      </c>
      <c r="U99" s="34" t="n">
        <f aca="false">IF(AND((16-N(P_L1_Mes)+1)&gt;N(P_L1_Gracia),(16-N(P_L1_Mes)+1)&lt;=N(P_L1_Gracia)+N(P_L1_Cuotas),N(P_L1_Cuotas)&gt;0),IF((16-N(P_L1_Mes)+1)=N(P_L1_Gracia)+N(P_L1_Cuotas),IF((16-N(P_L1_Mes)+1)=1,N(P_L1_Monto),T$100),PMT(N(P_L1_Tasa)/12,N(P_L1_Cuotas),-N(P_L1_Monto))-U$98),0)*U$9</f>
        <v>0</v>
      </c>
      <c r="V99" s="34" t="n">
        <f aca="false">IF(AND((17-N(P_L1_Mes)+1)&gt;N(P_L1_Gracia),(17-N(P_L1_Mes)+1)&lt;=N(P_L1_Gracia)+N(P_L1_Cuotas),N(P_L1_Cuotas)&gt;0),IF((17-N(P_L1_Mes)+1)=N(P_L1_Gracia)+N(P_L1_Cuotas),IF((17-N(P_L1_Mes)+1)=1,N(P_L1_Monto),U$100),PMT(N(P_L1_Tasa)/12,N(P_L1_Cuotas),-N(P_L1_Monto))-V$98),0)*V$9</f>
        <v>0</v>
      </c>
      <c r="W99" s="34" t="n">
        <f aca="false">IF(AND((18-N(P_L1_Mes)+1)&gt;N(P_L1_Gracia),(18-N(P_L1_Mes)+1)&lt;=N(P_L1_Gracia)+N(P_L1_Cuotas),N(P_L1_Cuotas)&gt;0),IF((18-N(P_L1_Mes)+1)=N(P_L1_Gracia)+N(P_L1_Cuotas),IF((18-N(P_L1_Mes)+1)=1,N(P_L1_Monto),V$100),PMT(N(P_L1_Tasa)/12,N(P_L1_Cuotas),-N(P_L1_Monto))-W$98),0)*W$9</f>
        <v>0</v>
      </c>
      <c r="X99" s="34" t="n">
        <f aca="false">IF(AND((19-N(P_L1_Mes)+1)&gt;N(P_L1_Gracia),(19-N(P_L1_Mes)+1)&lt;=N(P_L1_Gracia)+N(P_L1_Cuotas),N(P_L1_Cuotas)&gt;0),IF((19-N(P_L1_Mes)+1)=N(P_L1_Gracia)+N(P_L1_Cuotas),IF((19-N(P_L1_Mes)+1)=1,N(P_L1_Monto),W$100),PMT(N(P_L1_Tasa)/12,N(P_L1_Cuotas),-N(P_L1_Monto))-X$98),0)*X$9</f>
        <v>0</v>
      </c>
      <c r="Y99" s="34" t="n">
        <f aca="false">IF(AND((20-N(P_L1_Mes)+1)&gt;N(P_L1_Gracia),(20-N(P_L1_Mes)+1)&lt;=N(P_L1_Gracia)+N(P_L1_Cuotas),N(P_L1_Cuotas)&gt;0),IF((20-N(P_L1_Mes)+1)=N(P_L1_Gracia)+N(P_L1_Cuotas),IF((20-N(P_L1_Mes)+1)=1,N(P_L1_Monto),X$100),PMT(N(P_L1_Tasa)/12,N(P_L1_Cuotas),-N(P_L1_Monto))-Y$98),0)*Y$9</f>
        <v>0</v>
      </c>
      <c r="Z99" s="34" t="n">
        <f aca="false">IF(AND((21-N(P_L1_Mes)+1)&gt;N(P_L1_Gracia),(21-N(P_L1_Mes)+1)&lt;=N(P_L1_Gracia)+N(P_L1_Cuotas),N(P_L1_Cuotas)&gt;0),IF((21-N(P_L1_Mes)+1)=N(P_L1_Gracia)+N(P_L1_Cuotas),IF((21-N(P_L1_Mes)+1)=1,N(P_L1_Monto),Y$100),PMT(N(P_L1_Tasa)/12,N(P_L1_Cuotas),-N(P_L1_Monto))-Z$98),0)*Z$9</f>
        <v>0</v>
      </c>
      <c r="AA99" s="34" t="n">
        <f aca="false">IF(AND((22-N(P_L1_Mes)+1)&gt;N(P_L1_Gracia),(22-N(P_L1_Mes)+1)&lt;=N(P_L1_Gracia)+N(P_L1_Cuotas),N(P_L1_Cuotas)&gt;0),IF((22-N(P_L1_Mes)+1)=N(P_L1_Gracia)+N(P_L1_Cuotas),IF((22-N(P_L1_Mes)+1)=1,N(P_L1_Monto),Z$100),PMT(N(P_L1_Tasa)/12,N(P_L1_Cuotas),-N(P_L1_Monto))-AA$98),0)*AA$9</f>
        <v>0</v>
      </c>
      <c r="AB99" s="34" t="n">
        <f aca="false">IF(AND((23-N(P_L1_Mes)+1)&gt;N(P_L1_Gracia),(23-N(P_L1_Mes)+1)&lt;=N(P_L1_Gracia)+N(P_L1_Cuotas),N(P_L1_Cuotas)&gt;0),IF((23-N(P_L1_Mes)+1)=N(P_L1_Gracia)+N(P_L1_Cuotas),IF((23-N(P_L1_Mes)+1)=1,N(P_L1_Monto),AA$100),PMT(N(P_L1_Tasa)/12,N(P_L1_Cuotas),-N(P_L1_Monto))-AB$98),0)*AB$9</f>
        <v>0</v>
      </c>
      <c r="AC99" s="34" t="n">
        <f aca="false">IF(AND((24-N(P_L1_Mes)+1)&gt;N(P_L1_Gracia),(24-N(P_L1_Mes)+1)&lt;=N(P_L1_Gracia)+N(P_L1_Cuotas),N(P_L1_Cuotas)&gt;0),IF((24-N(P_L1_Mes)+1)=N(P_L1_Gracia)+N(P_L1_Cuotas),IF((24-N(P_L1_Mes)+1)=1,N(P_L1_Monto),AB$100),PMT(N(P_L1_Tasa)/12,N(P_L1_Cuotas),-N(P_L1_Monto))-AC$98),0)*AC$9</f>
        <v>0</v>
      </c>
      <c r="AD99" s="34" t="n">
        <f aca="false">IF(AND((25-N(P_L1_Mes)+1)&gt;N(P_L1_Gracia),(25-N(P_L1_Mes)+1)&lt;=N(P_L1_Gracia)+N(P_L1_Cuotas),N(P_L1_Cuotas)&gt;0),IF((25-N(P_L1_Mes)+1)=N(P_L1_Gracia)+N(P_L1_Cuotas),IF((25-N(P_L1_Mes)+1)=1,N(P_L1_Monto),AC$100),PMT(N(P_L1_Tasa)/12,N(P_L1_Cuotas),-N(P_L1_Monto))-AD$98),0)*AD$9</f>
        <v>0</v>
      </c>
      <c r="AE99" s="34" t="n">
        <f aca="false">IF(AND((26-N(P_L1_Mes)+1)&gt;N(P_L1_Gracia),(26-N(P_L1_Mes)+1)&lt;=N(P_L1_Gracia)+N(P_L1_Cuotas),N(P_L1_Cuotas)&gt;0),IF((26-N(P_L1_Mes)+1)=N(P_L1_Gracia)+N(P_L1_Cuotas),IF((26-N(P_L1_Mes)+1)=1,N(P_L1_Monto),AD$100),PMT(N(P_L1_Tasa)/12,N(P_L1_Cuotas),-N(P_L1_Monto))-AE$98),0)*AE$9</f>
        <v>0</v>
      </c>
      <c r="AF99" s="34" t="n">
        <f aca="false">IF(AND((27-N(P_L1_Mes)+1)&gt;N(P_L1_Gracia),(27-N(P_L1_Mes)+1)&lt;=N(P_L1_Gracia)+N(P_L1_Cuotas),N(P_L1_Cuotas)&gt;0),IF((27-N(P_L1_Mes)+1)=N(P_L1_Gracia)+N(P_L1_Cuotas),IF((27-N(P_L1_Mes)+1)=1,N(P_L1_Monto),AE$100),PMT(N(P_L1_Tasa)/12,N(P_L1_Cuotas),-N(P_L1_Monto))-AF$98),0)*AF$9</f>
        <v>0</v>
      </c>
      <c r="AG99" s="34" t="n">
        <f aca="false">IF(AND((28-N(P_L1_Mes)+1)&gt;N(P_L1_Gracia),(28-N(P_L1_Mes)+1)&lt;=N(P_L1_Gracia)+N(P_L1_Cuotas),N(P_L1_Cuotas)&gt;0),IF((28-N(P_L1_Mes)+1)=N(P_L1_Gracia)+N(P_L1_Cuotas),IF((28-N(P_L1_Mes)+1)=1,N(P_L1_Monto),AF$100),PMT(N(P_L1_Tasa)/12,N(P_L1_Cuotas),-N(P_L1_Monto))-AG$98),0)*AG$9</f>
        <v>0</v>
      </c>
      <c r="AH99" s="34" t="n">
        <f aca="false">IF(AND((29-N(P_L1_Mes)+1)&gt;N(P_L1_Gracia),(29-N(P_L1_Mes)+1)&lt;=N(P_L1_Gracia)+N(P_L1_Cuotas),N(P_L1_Cuotas)&gt;0),IF((29-N(P_L1_Mes)+1)=N(P_L1_Gracia)+N(P_L1_Cuotas),IF((29-N(P_L1_Mes)+1)=1,N(P_L1_Monto),AG$100),PMT(N(P_L1_Tasa)/12,N(P_L1_Cuotas),-N(P_L1_Monto))-AH$98),0)*AH$9</f>
        <v>0</v>
      </c>
      <c r="AI99" s="34" t="n">
        <f aca="false">IF(AND((30-N(P_L1_Mes)+1)&gt;N(P_L1_Gracia),(30-N(P_L1_Mes)+1)&lt;=N(P_L1_Gracia)+N(P_L1_Cuotas),N(P_L1_Cuotas)&gt;0),IF((30-N(P_L1_Mes)+1)=N(P_L1_Gracia)+N(P_L1_Cuotas),IF((30-N(P_L1_Mes)+1)=1,N(P_L1_Monto),AH$100),PMT(N(P_L1_Tasa)/12,N(P_L1_Cuotas),-N(P_L1_Monto))-AI$98),0)*AI$9</f>
        <v>0</v>
      </c>
      <c r="AJ99" s="34" t="n">
        <f aca="false">IF(AND((31-N(P_L1_Mes)+1)&gt;N(P_L1_Gracia),(31-N(P_L1_Mes)+1)&lt;=N(P_L1_Gracia)+N(P_L1_Cuotas),N(P_L1_Cuotas)&gt;0),IF((31-N(P_L1_Mes)+1)=N(P_L1_Gracia)+N(P_L1_Cuotas),IF((31-N(P_L1_Mes)+1)=1,N(P_L1_Monto),AI$100),PMT(N(P_L1_Tasa)/12,N(P_L1_Cuotas),-N(P_L1_Monto))-AJ$98),0)*AJ$9</f>
        <v>0</v>
      </c>
      <c r="AK99" s="34" t="n">
        <f aca="false">IF(AND((32-N(P_L1_Mes)+1)&gt;N(P_L1_Gracia),(32-N(P_L1_Mes)+1)&lt;=N(P_L1_Gracia)+N(P_L1_Cuotas),N(P_L1_Cuotas)&gt;0),IF((32-N(P_L1_Mes)+1)=N(P_L1_Gracia)+N(P_L1_Cuotas),IF((32-N(P_L1_Mes)+1)=1,N(P_L1_Monto),AJ$100),PMT(N(P_L1_Tasa)/12,N(P_L1_Cuotas),-N(P_L1_Monto))-AK$98),0)*AK$9</f>
        <v>0</v>
      </c>
      <c r="AL99" s="34" t="n">
        <f aca="false">IF(AND((33-N(P_L1_Mes)+1)&gt;N(P_L1_Gracia),(33-N(P_L1_Mes)+1)&lt;=N(P_L1_Gracia)+N(P_L1_Cuotas),N(P_L1_Cuotas)&gt;0),IF((33-N(P_L1_Mes)+1)=N(P_L1_Gracia)+N(P_L1_Cuotas),IF((33-N(P_L1_Mes)+1)=1,N(P_L1_Monto),AK$100),PMT(N(P_L1_Tasa)/12,N(P_L1_Cuotas),-N(P_L1_Monto))-AL$98),0)*AL$9</f>
        <v>0</v>
      </c>
      <c r="AM99" s="34" t="n">
        <f aca="false">IF(AND((34-N(P_L1_Mes)+1)&gt;N(P_L1_Gracia),(34-N(P_L1_Mes)+1)&lt;=N(P_L1_Gracia)+N(P_L1_Cuotas),N(P_L1_Cuotas)&gt;0),IF((34-N(P_L1_Mes)+1)=N(P_L1_Gracia)+N(P_L1_Cuotas),IF((34-N(P_L1_Mes)+1)=1,N(P_L1_Monto),AL$100),PMT(N(P_L1_Tasa)/12,N(P_L1_Cuotas),-N(P_L1_Monto))-AM$98),0)*AM$9</f>
        <v>0</v>
      </c>
      <c r="AN99" s="34" t="n">
        <f aca="false">IF(AND((35-N(P_L1_Mes)+1)&gt;N(P_L1_Gracia),(35-N(P_L1_Mes)+1)&lt;=N(P_L1_Gracia)+N(P_L1_Cuotas),N(P_L1_Cuotas)&gt;0),IF((35-N(P_L1_Mes)+1)=N(P_L1_Gracia)+N(P_L1_Cuotas),IF((35-N(P_L1_Mes)+1)=1,N(P_L1_Monto),AM$100),PMT(N(P_L1_Tasa)/12,N(P_L1_Cuotas),-N(P_L1_Monto))-AN$98),0)*AN$9</f>
        <v>0</v>
      </c>
      <c r="AO99" s="34" t="n">
        <f aca="false">IF(AND((36-N(P_L1_Mes)+1)&gt;N(P_L1_Gracia),(36-N(P_L1_Mes)+1)&lt;=N(P_L1_Gracia)+N(P_L1_Cuotas),N(P_L1_Cuotas)&gt;0),IF((36-N(P_L1_Mes)+1)=N(P_L1_Gracia)+N(P_L1_Cuotas),IF((36-N(P_L1_Mes)+1)=1,N(P_L1_Monto),AN$100),PMT(N(P_L1_Tasa)/12,N(P_L1_Cuotas),-N(P_L1_Monto))-AO$98),0)*AO$9</f>
        <v>0</v>
      </c>
      <c r="AP99" s="34" t="n">
        <f aca="false">IF(AND((37-N(P_L1_Mes)+1)&gt;N(P_L1_Gracia),(37-N(P_L1_Mes)+1)&lt;=N(P_L1_Gracia)+N(P_L1_Cuotas),N(P_L1_Cuotas)&gt;0),IF((37-N(P_L1_Mes)+1)=N(P_L1_Gracia)+N(P_L1_Cuotas),IF((37-N(P_L1_Mes)+1)=1,N(P_L1_Monto),AO$100),PMT(N(P_L1_Tasa)/12,N(P_L1_Cuotas),-N(P_L1_Monto))-AP$98),0)*AP$9</f>
        <v>0</v>
      </c>
      <c r="AQ99" s="34" t="n">
        <f aca="false">IF(AND((38-N(P_L1_Mes)+1)&gt;N(P_L1_Gracia),(38-N(P_L1_Mes)+1)&lt;=N(P_L1_Gracia)+N(P_L1_Cuotas),N(P_L1_Cuotas)&gt;0),IF((38-N(P_L1_Mes)+1)=N(P_L1_Gracia)+N(P_L1_Cuotas),IF((38-N(P_L1_Mes)+1)=1,N(P_L1_Monto),AP$100),PMT(N(P_L1_Tasa)/12,N(P_L1_Cuotas),-N(P_L1_Monto))-AQ$98),0)*AQ$9</f>
        <v>0</v>
      </c>
      <c r="AR99" s="34" t="n">
        <f aca="false">IF(AND((39-N(P_L1_Mes)+1)&gt;N(P_L1_Gracia),(39-N(P_L1_Mes)+1)&lt;=N(P_L1_Gracia)+N(P_L1_Cuotas),N(P_L1_Cuotas)&gt;0),IF((39-N(P_L1_Mes)+1)=N(P_L1_Gracia)+N(P_L1_Cuotas),IF((39-N(P_L1_Mes)+1)=1,N(P_L1_Monto),AQ$100),PMT(N(P_L1_Tasa)/12,N(P_L1_Cuotas),-N(P_L1_Monto))-AR$98),0)*AR$9</f>
        <v>0</v>
      </c>
      <c r="AS99" s="34" t="n">
        <f aca="false">IF(AND((40-N(P_L1_Mes)+1)&gt;N(P_L1_Gracia),(40-N(P_L1_Mes)+1)&lt;=N(P_L1_Gracia)+N(P_L1_Cuotas),N(P_L1_Cuotas)&gt;0),IF((40-N(P_L1_Mes)+1)=N(P_L1_Gracia)+N(P_L1_Cuotas),IF((40-N(P_L1_Mes)+1)=1,N(P_L1_Monto),AR$100),PMT(N(P_L1_Tasa)/12,N(P_L1_Cuotas),-N(P_L1_Monto))-AS$98),0)*AS$9</f>
        <v>0</v>
      </c>
      <c r="AT99" s="34" t="n">
        <f aca="false">IF(AND((41-N(P_L1_Mes)+1)&gt;N(P_L1_Gracia),(41-N(P_L1_Mes)+1)&lt;=N(P_L1_Gracia)+N(P_L1_Cuotas),N(P_L1_Cuotas)&gt;0),IF((41-N(P_L1_Mes)+1)=N(P_L1_Gracia)+N(P_L1_Cuotas),IF((41-N(P_L1_Mes)+1)=1,N(P_L1_Monto),AS$100),PMT(N(P_L1_Tasa)/12,N(P_L1_Cuotas),-N(P_L1_Monto))-AT$98),0)*AT$9</f>
        <v>0</v>
      </c>
      <c r="AU99" s="34" t="n">
        <f aca="false">IF(AND((42-N(P_L1_Mes)+1)&gt;N(P_L1_Gracia),(42-N(P_L1_Mes)+1)&lt;=N(P_L1_Gracia)+N(P_L1_Cuotas),N(P_L1_Cuotas)&gt;0),IF((42-N(P_L1_Mes)+1)=N(P_L1_Gracia)+N(P_L1_Cuotas),IF((42-N(P_L1_Mes)+1)=1,N(P_L1_Monto),AT$100),PMT(N(P_L1_Tasa)/12,N(P_L1_Cuotas),-N(P_L1_Monto))-AU$98),0)*AU$9</f>
        <v>0</v>
      </c>
      <c r="AV99" s="34" t="n">
        <f aca="false">IF(AND((43-N(P_L1_Mes)+1)&gt;N(P_L1_Gracia),(43-N(P_L1_Mes)+1)&lt;=N(P_L1_Gracia)+N(P_L1_Cuotas),N(P_L1_Cuotas)&gt;0),IF((43-N(P_L1_Mes)+1)=N(P_L1_Gracia)+N(P_L1_Cuotas),IF((43-N(P_L1_Mes)+1)=1,N(P_L1_Monto),AU$100),PMT(N(P_L1_Tasa)/12,N(P_L1_Cuotas),-N(P_L1_Monto))-AV$98),0)*AV$9</f>
        <v>0</v>
      </c>
      <c r="AW99" s="34" t="n">
        <f aca="false">IF(AND((44-N(P_L1_Mes)+1)&gt;N(P_L1_Gracia),(44-N(P_L1_Mes)+1)&lt;=N(P_L1_Gracia)+N(P_L1_Cuotas),N(P_L1_Cuotas)&gt;0),IF((44-N(P_L1_Mes)+1)=N(P_L1_Gracia)+N(P_L1_Cuotas),IF((44-N(P_L1_Mes)+1)=1,N(P_L1_Monto),AV$100),PMT(N(P_L1_Tasa)/12,N(P_L1_Cuotas),-N(P_L1_Monto))-AW$98),0)*AW$9</f>
        <v>0</v>
      </c>
      <c r="AX99" s="34" t="n">
        <f aca="false">IF(AND((45-N(P_L1_Mes)+1)&gt;N(P_L1_Gracia),(45-N(P_L1_Mes)+1)&lt;=N(P_L1_Gracia)+N(P_L1_Cuotas),N(P_L1_Cuotas)&gt;0),IF((45-N(P_L1_Mes)+1)=N(P_L1_Gracia)+N(P_L1_Cuotas),IF((45-N(P_L1_Mes)+1)=1,N(P_L1_Monto),AW$100),PMT(N(P_L1_Tasa)/12,N(P_L1_Cuotas),-N(P_L1_Monto))-AX$98),0)*AX$9</f>
        <v>0</v>
      </c>
      <c r="AY99" s="34" t="n">
        <f aca="false">IF(AND((46-N(P_L1_Mes)+1)&gt;N(P_L1_Gracia),(46-N(P_L1_Mes)+1)&lt;=N(P_L1_Gracia)+N(P_L1_Cuotas),N(P_L1_Cuotas)&gt;0),IF((46-N(P_L1_Mes)+1)=N(P_L1_Gracia)+N(P_L1_Cuotas),IF((46-N(P_L1_Mes)+1)=1,N(P_L1_Monto),AX$100),PMT(N(P_L1_Tasa)/12,N(P_L1_Cuotas),-N(P_L1_Monto))-AY$98),0)*AY$9</f>
        <v>0</v>
      </c>
      <c r="AZ99" s="34" t="n">
        <f aca="false">IF(AND((47-N(P_L1_Mes)+1)&gt;N(P_L1_Gracia),(47-N(P_L1_Mes)+1)&lt;=N(P_L1_Gracia)+N(P_L1_Cuotas),N(P_L1_Cuotas)&gt;0),IF((47-N(P_L1_Mes)+1)=N(P_L1_Gracia)+N(P_L1_Cuotas),IF((47-N(P_L1_Mes)+1)=1,N(P_L1_Monto),AY$100),PMT(N(P_L1_Tasa)/12,N(P_L1_Cuotas),-N(P_L1_Monto))-AZ$98),0)*AZ$9</f>
        <v>0</v>
      </c>
      <c r="BA99" s="34" t="n">
        <f aca="false">IF(AND((48-N(P_L1_Mes)+1)&gt;N(P_L1_Gracia),(48-N(P_L1_Mes)+1)&lt;=N(P_L1_Gracia)+N(P_L1_Cuotas),N(P_L1_Cuotas)&gt;0),IF((48-N(P_L1_Mes)+1)=N(P_L1_Gracia)+N(P_L1_Cuotas),IF((48-N(P_L1_Mes)+1)=1,N(P_L1_Monto),AZ$100),PMT(N(P_L1_Tasa)/12,N(P_L1_Cuotas),-N(P_L1_Monto))-BA$98),0)*BA$9</f>
        <v>0</v>
      </c>
      <c r="BB99" s="34" t="n">
        <f aca="false">IF(AND((49-N(P_L1_Mes)+1)&gt;N(P_L1_Gracia),(49-N(P_L1_Mes)+1)&lt;=N(P_L1_Gracia)+N(P_L1_Cuotas),N(P_L1_Cuotas)&gt;0),IF((49-N(P_L1_Mes)+1)=N(P_L1_Gracia)+N(P_L1_Cuotas),IF((49-N(P_L1_Mes)+1)=1,N(P_L1_Monto),BA$100),PMT(N(P_L1_Tasa)/12,N(P_L1_Cuotas),-N(P_L1_Monto))-BB$98),0)*BB$9</f>
        <v>0</v>
      </c>
      <c r="BC99" s="34" t="n">
        <f aca="false">IF(AND((50-N(P_L1_Mes)+1)&gt;N(P_L1_Gracia),(50-N(P_L1_Mes)+1)&lt;=N(P_L1_Gracia)+N(P_L1_Cuotas),N(P_L1_Cuotas)&gt;0),IF((50-N(P_L1_Mes)+1)=N(P_L1_Gracia)+N(P_L1_Cuotas),IF((50-N(P_L1_Mes)+1)=1,N(P_L1_Monto),BB$100),PMT(N(P_L1_Tasa)/12,N(P_L1_Cuotas),-N(P_L1_Monto))-BC$98),0)*BC$9</f>
        <v>0</v>
      </c>
      <c r="BD99" s="34" t="n">
        <f aca="false">IF(AND((51-N(P_L1_Mes)+1)&gt;N(P_L1_Gracia),(51-N(P_L1_Mes)+1)&lt;=N(P_L1_Gracia)+N(P_L1_Cuotas),N(P_L1_Cuotas)&gt;0),IF((51-N(P_L1_Mes)+1)=N(P_L1_Gracia)+N(P_L1_Cuotas),IF((51-N(P_L1_Mes)+1)=1,N(P_L1_Monto),BC$100),PMT(N(P_L1_Tasa)/12,N(P_L1_Cuotas),-N(P_L1_Monto))-BD$98),0)*BD$9</f>
        <v>0</v>
      </c>
      <c r="BE99" s="34" t="n">
        <f aca="false">IF(AND((52-N(P_L1_Mes)+1)&gt;N(P_L1_Gracia),(52-N(P_L1_Mes)+1)&lt;=N(P_L1_Gracia)+N(P_L1_Cuotas),N(P_L1_Cuotas)&gt;0),IF((52-N(P_L1_Mes)+1)=N(P_L1_Gracia)+N(P_L1_Cuotas),IF((52-N(P_L1_Mes)+1)=1,N(P_L1_Monto),BD$100),PMT(N(P_L1_Tasa)/12,N(P_L1_Cuotas),-N(P_L1_Monto))-BE$98),0)*BE$9</f>
        <v>0</v>
      </c>
      <c r="BF99" s="34" t="n">
        <f aca="false">IF(AND((53-N(P_L1_Mes)+1)&gt;N(P_L1_Gracia),(53-N(P_L1_Mes)+1)&lt;=N(P_L1_Gracia)+N(P_L1_Cuotas),N(P_L1_Cuotas)&gt;0),IF((53-N(P_L1_Mes)+1)=N(P_L1_Gracia)+N(P_L1_Cuotas),IF((53-N(P_L1_Mes)+1)=1,N(P_L1_Monto),BE$100),PMT(N(P_L1_Tasa)/12,N(P_L1_Cuotas),-N(P_L1_Monto))-BF$98),0)*BF$9</f>
        <v>0</v>
      </c>
      <c r="BG99" s="34" t="n">
        <f aca="false">IF(AND((54-N(P_L1_Mes)+1)&gt;N(P_L1_Gracia),(54-N(P_L1_Mes)+1)&lt;=N(P_L1_Gracia)+N(P_L1_Cuotas),N(P_L1_Cuotas)&gt;0),IF((54-N(P_L1_Mes)+1)=N(P_L1_Gracia)+N(P_L1_Cuotas),IF((54-N(P_L1_Mes)+1)=1,N(P_L1_Monto),BF$100),PMT(N(P_L1_Tasa)/12,N(P_L1_Cuotas),-N(P_L1_Monto))-BG$98),0)*BG$9</f>
        <v>0</v>
      </c>
      <c r="BH99" s="34" t="n">
        <f aca="false">IF(AND((55-N(P_L1_Mes)+1)&gt;N(P_L1_Gracia),(55-N(P_L1_Mes)+1)&lt;=N(P_L1_Gracia)+N(P_L1_Cuotas),N(P_L1_Cuotas)&gt;0),IF((55-N(P_L1_Mes)+1)=N(P_L1_Gracia)+N(P_L1_Cuotas),IF((55-N(P_L1_Mes)+1)=1,N(P_L1_Monto),BG$100),PMT(N(P_L1_Tasa)/12,N(P_L1_Cuotas),-N(P_L1_Monto))-BH$98),0)*BH$9</f>
        <v>0</v>
      </c>
      <c r="BI99" s="34" t="n">
        <f aca="false">IF(AND((56-N(P_L1_Mes)+1)&gt;N(P_L1_Gracia),(56-N(P_L1_Mes)+1)&lt;=N(P_L1_Gracia)+N(P_L1_Cuotas),N(P_L1_Cuotas)&gt;0),IF((56-N(P_L1_Mes)+1)=N(P_L1_Gracia)+N(P_L1_Cuotas),IF((56-N(P_L1_Mes)+1)=1,N(P_L1_Monto),BH$100),PMT(N(P_L1_Tasa)/12,N(P_L1_Cuotas),-N(P_L1_Monto))-BI$98),0)*BI$9</f>
        <v>0</v>
      </c>
      <c r="BJ99" s="34" t="n">
        <f aca="false">IF(AND((57-N(P_L1_Mes)+1)&gt;N(P_L1_Gracia),(57-N(P_L1_Mes)+1)&lt;=N(P_L1_Gracia)+N(P_L1_Cuotas),N(P_L1_Cuotas)&gt;0),IF((57-N(P_L1_Mes)+1)=N(P_L1_Gracia)+N(P_L1_Cuotas),IF((57-N(P_L1_Mes)+1)=1,N(P_L1_Monto),BI$100),PMT(N(P_L1_Tasa)/12,N(P_L1_Cuotas),-N(P_L1_Monto))-BJ$98),0)*BJ$9</f>
        <v>0</v>
      </c>
      <c r="BK99" s="34" t="n">
        <f aca="false">IF(AND((58-N(P_L1_Mes)+1)&gt;N(P_L1_Gracia),(58-N(P_L1_Mes)+1)&lt;=N(P_L1_Gracia)+N(P_L1_Cuotas),N(P_L1_Cuotas)&gt;0),IF((58-N(P_L1_Mes)+1)=N(P_L1_Gracia)+N(P_L1_Cuotas),IF((58-N(P_L1_Mes)+1)=1,N(P_L1_Monto),BJ$100),PMT(N(P_L1_Tasa)/12,N(P_L1_Cuotas),-N(P_L1_Monto))-BK$98),0)*BK$9</f>
        <v>0</v>
      </c>
      <c r="BL99" s="34" t="n">
        <f aca="false">IF(AND((59-N(P_L1_Mes)+1)&gt;N(P_L1_Gracia),(59-N(P_L1_Mes)+1)&lt;=N(P_L1_Gracia)+N(P_L1_Cuotas),N(P_L1_Cuotas)&gt;0),IF((59-N(P_L1_Mes)+1)=N(P_L1_Gracia)+N(P_L1_Cuotas),IF((59-N(P_L1_Mes)+1)=1,N(P_L1_Monto),BK$100),PMT(N(P_L1_Tasa)/12,N(P_L1_Cuotas),-N(P_L1_Monto))-BL$98),0)*BL$9</f>
        <v>0</v>
      </c>
      <c r="BM99" s="34" t="n">
        <f aca="false">IF(AND((60-N(P_L1_Mes)+1)&gt;N(P_L1_Gracia),(60-N(P_L1_Mes)+1)&lt;=N(P_L1_Gracia)+N(P_L1_Cuotas),N(P_L1_Cuotas)&gt;0),IF((60-N(P_L1_Mes)+1)=N(P_L1_Gracia)+N(P_L1_Cuotas),IF((60-N(P_L1_Mes)+1)=1,N(P_L1_Monto),BL$100),PMT(N(P_L1_Tasa)/12,N(P_L1_Cuotas),-N(P_L1_Monto))-BM$98),0)*BM$9</f>
        <v>0</v>
      </c>
      <c r="BN99" s="34" t="n">
        <f aca="false">IF(AND((61-N(P_L1_Mes)+1)&gt;N(P_L1_Gracia),(61-N(P_L1_Mes)+1)&lt;=N(P_L1_Gracia)+N(P_L1_Cuotas),N(P_L1_Cuotas)&gt;0),IF((61-N(P_L1_Mes)+1)=N(P_L1_Gracia)+N(P_L1_Cuotas),IF((61-N(P_L1_Mes)+1)=1,N(P_L1_Monto),BM$100),PMT(N(P_L1_Tasa)/12,N(P_L1_Cuotas),-N(P_L1_Monto))-BN$98),0)*BN$9</f>
        <v>0</v>
      </c>
      <c r="BO99" s="34" t="n">
        <f aca="false">IF(AND((62-N(P_L1_Mes)+1)&gt;N(P_L1_Gracia),(62-N(P_L1_Mes)+1)&lt;=N(P_L1_Gracia)+N(P_L1_Cuotas),N(P_L1_Cuotas)&gt;0),IF((62-N(P_L1_Mes)+1)=N(P_L1_Gracia)+N(P_L1_Cuotas),IF((62-N(P_L1_Mes)+1)=1,N(P_L1_Monto),BN$100),PMT(N(P_L1_Tasa)/12,N(P_L1_Cuotas),-N(P_L1_Monto))-BO$98),0)*BO$9</f>
        <v>0</v>
      </c>
      <c r="BP99" s="34" t="n">
        <f aca="false">IF(AND((63-N(P_L1_Mes)+1)&gt;N(P_L1_Gracia),(63-N(P_L1_Mes)+1)&lt;=N(P_L1_Gracia)+N(P_L1_Cuotas),N(P_L1_Cuotas)&gt;0),IF((63-N(P_L1_Mes)+1)=N(P_L1_Gracia)+N(P_L1_Cuotas),IF((63-N(P_L1_Mes)+1)=1,N(P_L1_Monto),BO$100),PMT(N(P_L1_Tasa)/12,N(P_L1_Cuotas),-N(P_L1_Monto))-BP$98),0)*BP$9</f>
        <v>0</v>
      </c>
      <c r="BQ99" s="34" t="n">
        <f aca="false">IF(AND((64-N(P_L1_Mes)+1)&gt;N(P_L1_Gracia),(64-N(P_L1_Mes)+1)&lt;=N(P_L1_Gracia)+N(P_L1_Cuotas),N(P_L1_Cuotas)&gt;0),IF((64-N(P_L1_Mes)+1)=N(P_L1_Gracia)+N(P_L1_Cuotas),IF((64-N(P_L1_Mes)+1)=1,N(P_L1_Monto),BP$100),PMT(N(P_L1_Tasa)/12,N(P_L1_Cuotas),-N(P_L1_Monto))-BQ$98),0)*BQ$9</f>
        <v>0</v>
      </c>
      <c r="BR99" s="34" t="n">
        <f aca="false">IF(AND((65-N(P_L1_Mes)+1)&gt;N(P_L1_Gracia),(65-N(P_L1_Mes)+1)&lt;=N(P_L1_Gracia)+N(P_L1_Cuotas),N(P_L1_Cuotas)&gt;0),IF((65-N(P_L1_Mes)+1)=N(P_L1_Gracia)+N(P_L1_Cuotas),IF((65-N(P_L1_Mes)+1)=1,N(P_L1_Monto),BQ$100),PMT(N(P_L1_Tasa)/12,N(P_L1_Cuotas),-N(P_L1_Monto))-BR$98),0)*BR$9</f>
        <v>0</v>
      </c>
      <c r="BS99" s="34" t="n">
        <f aca="false">IF(AND((66-N(P_L1_Mes)+1)&gt;N(P_L1_Gracia),(66-N(P_L1_Mes)+1)&lt;=N(P_L1_Gracia)+N(P_L1_Cuotas),N(P_L1_Cuotas)&gt;0),IF((66-N(P_L1_Mes)+1)=N(P_L1_Gracia)+N(P_L1_Cuotas),IF((66-N(P_L1_Mes)+1)=1,N(P_L1_Monto),BR$100),PMT(N(P_L1_Tasa)/12,N(P_L1_Cuotas),-N(P_L1_Monto))-BS$98),0)*BS$9</f>
        <v>0</v>
      </c>
      <c r="BT99" s="34" t="n">
        <f aca="false">IF(AND((67-N(P_L1_Mes)+1)&gt;N(P_L1_Gracia),(67-N(P_L1_Mes)+1)&lt;=N(P_L1_Gracia)+N(P_L1_Cuotas),N(P_L1_Cuotas)&gt;0),IF((67-N(P_L1_Mes)+1)=N(P_L1_Gracia)+N(P_L1_Cuotas),IF((67-N(P_L1_Mes)+1)=1,N(P_L1_Monto),BS$100),PMT(N(P_L1_Tasa)/12,N(P_L1_Cuotas),-N(P_L1_Monto))-BT$98),0)*BT$9</f>
        <v>0</v>
      </c>
      <c r="BU99" s="34" t="n">
        <f aca="false">IF(AND((68-N(P_L1_Mes)+1)&gt;N(P_L1_Gracia),(68-N(P_L1_Mes)+1)&lt;=N(P_L1_Gracia)+N(P_L1_Cuotas),N(P_L1_Cuotas)&gt;0),IF((68-N(P_L1_Mes)+1)=N(P_L1_Gracia)+N(P_L1_Cuotas),IF((68-N(P_L1_Mes)+1)=1,N(P_L1_Monto),BT$100),PMT(N(P_L1_Tasa)/12,N(P_L1_Cuotas),-N(P_L1_Monto))-BU$98),0)*BU$9</f>
        <v>0</v>
      </c>
      <c r="BV99" s="34" t="n">
        <f aca="false">IF(AND((69-N(P_L1_Mes)+1)&gt;N(P_L1_Gracia),(69-N(P_L1_Mes)+1)&lt;=N(P_L1_Gracia)+N(P_L1_Cuotas),N(P_L1_Cuotas)&gt;0),IF((69-N(P_L1_Mes)+1)=N(P_L1_Gracia)+N(P_L1_Cuotas),IF((69-N(P_L1_Mes)+1)=1,N(P_L1_Monto),BU$100),PMT(N(P_L1_Tasa)/12,N(P_L1_Cuotas),-N(P_L1_Monto))-BV$98),0)*BV$9</f>
        <v>0</v>
      </c>
      <c r="BW99" s="34" t="n">
        <f aca="false">IF(AND((70-N(P_L1_Mes)+1)&gt;N(P_L1_Gracia),(70-N(P_L1_Mes)+1)&lt;=N(P_L1_Gracia)+N(P_L1_Cuotas),N(P_L1_Cuotas)&gt;0),IF((70-N(P_L1_Mes)+1)=N(P_L1_Gracia)+N(P_L1_Cuotas),IF((70-N(P_L1_Mes)+1)=1,N(P_L1_Monto),BV$100),PMT(N(P_L1_Tasa)/12,N(P_L1_Cuotas),-N(P_L1_Monto))-BW$98),0)*BW$9</f>
        <v>0</v>
      </c>
      <c r="BX99" s="34" t="n">
        <f aca="false">IF(AND((71-N(P_L1_Mes)+1)&gt;N(P_L1_Gracia),(71-N(P_L1_Mes)+1)&lt;=N(P_L1_Gracia)+N(P_L1_Cuotas),N(P_L1_Cuotas)&gt;0),IF((71-N(P_L1_Mes)+1)=N(P_L1_Gracia)+N(P_L1_Cuotas),IF((71-N(P_L1_Mes)+1)=1,N(P_L1_Monto),BW$100),PMT(N(P_L1_Tasa)/12,N(P_L1_Cuotas),-N(P_L1_Monto))-BX$98),0)*BX$9</f>
        <v>0</v>
      </c>
      <c r="BY99" s="34" t="n">
        <f aca="false">IF(AND((72-N(P_L1_Mes)+1)&gt;N(P_L1_Gracia),(72-N(P_L1_Mes)+1)&lt;=N(P_L1_Gracia)+N(P_L1_Cuotas),N(P_L1_Cuotas)&gt;0),IF((72-N(P_L1_Mes)+1)=N(P_L1_Gracia)+N(P_L1_Cuotas),IF((72-N(P_L1_Mes)+1)=1,N(P_L1_Monto),BX$100),PMT(N(P_L1_Tasa)/12,N(P_L1_Cuotas),-N(P_L1_Monto))-BY$98),0)*BY$9</f>
        <v>0</v>
      </c>
      <c r="BZ99" s="34" t="n">
        <f aca="false">IF(AND((73-N(P_L1_Mes)+1)&gt;N(P_L1_Gracia),(73-N(P_L1_Mes)+1)&lt;=N(P_L1_Gracia)+N(P_L1_Cuotas),N(P_L1_Cuotas)&gt;0),IF((73-N(P_L1_Mes)+1)=N(P_L1_Gracia)+N(P_L1_Cuotas),IF((73-N(P_L1_Mes)+1)=1,N(P_L1_Monto),BY$100),PMT(N(P_L1_Tasa)/12,N(P_L1_Cuotas),-N(P_L1_Monto))-BZ$98),0)*BZ$9</f>
        <v>0</v>
      </c>
      <c r="CA99" s="34" t="n">
        <f aca="false">IF(AND((74-N(P_L1_Mes)+1)&gt;N(P_L1_Gracia),(74-N(P_L1_Mes)+1)&lt;=N(P_L1_Gracia)+N(P_L1_Cuotas),N(P_L1_Cuotas)&gt;0),IF((74-N(P_L1_Mes)+1)=N(P_L1_Gracia)+N(P_L1_Cuotas),IF((74-N(P_L1_Mes)+1)=1,N(P_L1_Monto),BZ$100),PMT(N(P_L1_Tasa)/12,N(P_L1_Cuotas),-N(P_L1_Monto))-CA$98),0)*CA$9</f>
        <v>0</v>
      </c>
      <c r="CB99" s="34" t="n">
        <f aca="false">IF(AND((75-N(P_L1_Mes)+1)&gt;N(P_L1_Gracia),(75-N(P_L1_Mes)+1)&lt;=N(P_L1_Gracia)+N(P_L1_Cuotas),N(P_L1_Cuotas)&gt;0),IF((75-N(P_L1_Mes)+1)=N(P_L1_Gracia)+N(P_L1_Cuotas),IF((75-N(P_L1_Mes)+1)=1,N(P_L1_Monto),CA$100),PMT(N(P_L1_Tasa)/12,N(P_L1_Cuotas),-N(P_L1_Monto))-CB$98),0)*CB$9</f>
        <v>0</v>
      </c>
      <c r="CC99" s="34" t="n">
        <f aca="false">IF(AND((76-N(P_L1_Mes)+1)&gt;N(P_L1_Gracia),(76-N(P_L1_Mes)+1)&lt;=N(P_L1_Gracia)+N(P_L1_Cuotas),N(P_L1_Cuotas)&gt;0),IF((76-N(P_L1_Mes)+1)=N(P_L1_Gracia)+N(P_L1_Cuotas),IF((76-N(P_L1_Mes)+1)=1,N(P_L1_Monto),CB$100),PMT(N(P_L1_Tasa)/12,N(P_L1_Cuotas),-N(P_L1_Monto))-CC$98),0)*CC$9</f>
        <v>0</v>
      </c>
      <c r="CD99" s="34" t="n">
        <f aca="false">IF(AND((77-N(P_L1_Mes)+1)&gt;N(P_L1_Gracia),(77-N(P_L1_Mes)+1)&lt;=N(P_L1_Gracia)+N(P_L1_Cuotas),N(P_L1_Cuotas)&gt;0),IF((77-N(P_L1_Mes)+1)=N(P_L1_Gracia)+N(P_L1_Cuotas),IF((77-N(P_L1_Mes)+1)=1,N(P_L1_Monto),CC$100),PMT(N(P_L1_Tasa)/12,N(P_L1_Cuotas),-N(P_L1_Monto))-CD$98),0)*CD$9</f>
        <v>0</v>
      </c>
      <c r="CE99" s="34" t="n">
        <f aca="false">IF(AND((78-N(P_L1_Mes)+1)&gt;N(P_L1_Gracia),(78-N(P_L1_Mes)+1)&lt;=N(P_L1_Gracia)+N(P_L1_Cuotas),N(P_L1_Cuotas)&gt;0),IF((78-N(P_L1_Mes)+1)=N(P_L1_Gracia)+N(P_L1_Cuotas),IF((78-N(P_L1_Mes)+1)=1,N(P_L1_Monto),CD$100),PMT(N(P_L1_Tasa)/12,N(P_L1_Cuotas),-N(P_L1_Monto))-CE$98),0)*CE$9</f>
        <v>0</v>
      </c>
      <c r="CF99" s="34" t="n">
        <f aca="false">IF(AND((79-N(P_L1_Mes)+1)&gt;N(P_L1_Gracia),(79-N(P_L1_Mes)+1)&lt;=N(P_L1_Gracia)+N(P_L1_Cuotas),N(P_L1_Cuotas)&gt;0),IF((79-N(P_L1_Mes)+1)=N(P_L1_Gracia)+N(P_L1_Cuotas),IF((79-N(P_L1_Mes)+1)=1,N(P_L1_Monto),CE$100),PMT(N(P_L1_Tasa)/12,N(P_L1_Cuotas),-N(P_L1_Monto))-CF$98),0)*CF$9</f>
        <v>0</v>
      </c>
      <c r="CG99" s="34" t="n">
        <f aca="false">IF(AND((80-N(P_L1_Mes)+1)&gt;N(P_L1_Gracia),(80-N(P_L1_Mes)+1)&lt;=N(P_L1_Gracia)+N(P_L1_Cuotas),N(P_L1_Cuotas)&gt;0),IF((80-N(P_L1_Mes)+1)=N(P_L1_Gracia)+N(P_L1_Cuotas),IF((80-N(P_L1_Mes)+1)=1,N(P_L1_Monto),CF$100),PMT(N(P_L1_Tasa)/12,N(P_L1_Cuotas),-N(P_L1_Monto))-CG$98),0)*CG$9</f>
        <v>0</v>
      </c>
      <c r="CH99" s="34" t="n">
        <f aca="false">IF(AND((81-N(P_L1_Mes)+1)&gt;N(P_L1_Gracia),(81-N(P_L1_Mes)+1)&lt;=N(P_L1_Gracia)+N(P_L1_Cuotas),N(P_L1_Cuotas)&gt;0),IF((81-N(P_L1_Mes)+1)=N(P_L1_Gracia)+N(P_L1_Cuotas),IF((81-N(P_L1_Mes)+1)=1,N(P_L1_Monto),CG$100),PMT(N(P_L1_Tasa)/12,N(P_L1_Cuotas),-N(P_L1_Monto))-CH$98),0)*CH$9</f>
        <v>0</v>
      </c>
      <c r="CI99" s="34" t="n">
        <f aca="false">IF(AND((82-N(P_L1_Mes)+1)&gt;N(P_L1_Gracia),(82-N(P_L1_Mes)+1)&lt;=N(P_L1_Gracia)+N(P_L1_Cuotas),N(P_L1_Cuotas)&gt;0),IF((82-N(P_L1_Mes)+1)=N(P_L1_Gracia)+N(P_L1_Cuotas),IF((82-N(P_L1_Mes)+1)=1,N(P_L1_Monto),CH$100),PMT(N(P_L1_Tasa)/12,N(P_L1_Cuotas),-N(P_L1_Monto))-CI$98),0)*CI$9</f>
        <v>0</v>
      </c>
      <c r="CJ99" s="34" t="n">
        <f aca="false">IF(AND((83-N(P_L1_Mes)+1)&gt;N(P_L1_Gracia),(83-N(P_L1_Mes)+1)&lt;=N(P_L1_Gracia)+N(P_L1_Cuotas),N(P_L1_Cuotas)&gt;0),IF((83-N(P_L1_Mes)+1)=N(P_L1_Gracia)+N(P_L1_Cuotas),IF((83-N(P_L1_Mes)+1)=1,N(P_L1_Monto),CI$100),PMT(N(P_L1_Tasa)/12,N(P_L1_Cuotas),-N(P_L1_Monto))-CJ$98),0)*CJ$9</f>
        <v>0</v>
      </c>
      <c r="CK99" s="34" t="n">
        <f aca="false">IF(AND((84-N(P_L1_Mes)+1)&gt;N(P_L1_Gracia),(84-N(P_L1_Mes)+1)&lt;=N(P_L1_Gracia)+N(P_L1_Cuotas),N(P_L1_Cuotas)&gt;0),IF((84-N(P_L1_Mes)+1)=N(P_L1_Gracia)+N(P_L1_Cuotas),IF((84-N(P_L1_Mes)+1)=1,N(P_L1_Monto),CJ$100),PMT(N(P_L1_Tasa)/12,N(P_L1_Cuotas),-N(P_L1_Monto))-CK$98),0)*CK$9</f>
        <v>0</v>
      </c>
      <c r="CL99" s="34" t="n">
        <f aca="false">IF(AND((85-N(P_L1_Mes)+1)&gt;N(P_L1_Gracia),(85-N(P_L1_Mes)+1)&lt;=N(P_L1_Gracia)+N(P_L1_Cuotas),N(P_L1_Cuotas)&gt;0),IF((85-N(P_L1_Mes)+1)=N(P_L1_Gracia)+N(P_L1_Cuotas),IF((85-N(P_L1_Mes)+1)=1,N(P_L1_Monto),CK$100),PMT(N(P_L1_Tasa)/12,N(P_L1_Cuotas),-N(P_L1_Monto))-CL$98),0)*CL$9</f>
        <v>0</v>
      </c>
      <c r="CM99" s="34" t="n">
        <f aca="false">IF(AND((86-N(P_L1_Mes)+1)&gt;N(P_L1_Gracia),(86-N(P_L1_Mes)+1)&lt;=N(P_L1_Gracia)+N(P_L1_Cuotas),N(P_L1_Cuotas)&gt;0),IF((86-N(P_L1_Mes)+1)=N(P_L1_Gracia)+N(P_L1_Cuotas),IF((86-N(P_L1_Mes)+1)=1,N(P_L1_Monto),CL$100),PMT(N(P_L1_Tasa)/12,N(P_L1_Cuotas),-N(P_L1_Monto))-CM$98),0)*CM$9</f>
        <v>0</v>
      </c>
      <c r="CN99" s="34" t="n">
        <f aca="false">IF(AND((87-N(P_L1_Mes)+1)&gt;N(P_L1_Gracia),(87-N(P_L1_Mes)+1)&lt;=N(P_L1_Gracia)+N(P_L1_Cuotas),N(P_L1_Cuotas)&gt;0),IF((87-N(P_L1_Mes)+1)=N(P_L1_Gracia)+N(P_L1_Cuotas),IF((87-N(P_L1_Mes)+1)=1,N(P_L1_Monto),CM$100),PMT(N(P_L1_Tasa)/12,N(P_L1_Cuotas),-N(P_L1_Monto))-CN$98),0)*CN$9</f>
        <v>0</v>
      </c>
      <c r="CO99" s="34" t="n">
        <f aca="false">IF(AND((88-N(P_L1_Mes)+1)&gt;N(P_L1_Gracia),(88-N(P_L1_Mes)+1)&lt;=N(P_L1_Gracia)+N(P_L1_Cuotas),N(P_L1_Cuotas)&gt;0),IF((88-N(P_L1_Mes)+1)=N(P_L1_Gracia)+N(P_L1_Cuotas),IF((88-N(P_L1_Mes)+1)=1,N(P_L1_Monto),CN$100),PMT(N(P_L1_Tasa)/12,N(P_L1_Cuotas),-N(P_L1_Monto))-CO$98),0)*CO$9</f>
        <v>0</v>
      </c>
      <c r="CP99" s="34" t="n">
        <f aca="false">IF(AND((89-N(P_L1_Mes)+1)&gt;N(P_L1_Gracia),(89-N(P_L1_Mes)+1)&lt;=N(P_L1_Gracia)+N(P_L1_Cuotas),N(P_L1_Cuotas)&gt;0),IF((89-N(P_L1_Mes)+1)=N(P_L1_Gracia)+N(P_L1_Cuotas),IF((89-N(P_L1_Mes)+1)=1,N(P_L1_Monto),CO$100),PMT(N(P_L1_Tasa)/12,N(P_L1_Cuotas),-N(P_L1_Monto))-CP$98),0)*CP$9</f>
        <v>0</v>
      </c>
      <c r="CQ99" s="34" t="n">
        <f aca="false">IF(AND((90-N(P_L1_Mes)+1)&gt;N(P_L1_Gracia),(90-N(P_L1_Mes)+1)&lt;=N(P_L1_Gracia)+N(P_L1_Cuotas),N(P_L1_Cuotas)&gt;0),IF((90-N(P_L1_Mes)+1)=N(P_L1_Gracia)+N(P_L1_Cuotas),IF((90-N(P_L1_Mes)+1)=1,N(P_L1_Monto),CP$100),PMT(N(P_L1_Tasa)/12,N(P_L1_Cuotas),-N(P_L1_Monto))-CQ$98),0)*CQ$9</f>
        <v>0</v>
      </c>
      <c r="CR99" s="34" t="n">
        <f aca="false">IF(AND((91-N(P_L1_Mes)+1)&gt;N(P_L1_Gracia),(91-N(P_L1_Mes)+1)&lt;=N(P_L1_Gracia)+N(P_L1_Cuotas),N(P_L1_Cuotas)&gt;0),IF((91-N(P_L1_Mes)+1)=N(P_L1_Gracia)+N(P_L1_Cuotas),IF((91-N(P_L1_Mes)+1)=1,N(P_L1_Monto),CQ$100),PMT(N(P_L1_Tasa)/12,N(P_L1_Cuotas),-N(P_L1_Monto))-CR$98),0)*CR$9</f>
        <v>0</v>
      </c>
      <c r="CS99" s="34" t="n">
        <f aca="false">IF(AND((92-N(P_L1_Mes)+1)&gt;N(P_L1_Gracia),(92-N(P_L1_Mes)+1)&lt;=N(P_L1_Gracia)+N(P_L1_Cuotas),N(P_L1_Cuotas)&gt;0),IF((92-N(P_L1_Mes)+1)=N(P_L1_Gracia)+N(P_L1_Cuotas),IF((92-N(P_L1_Mes)+1)=1,N(P_L1_Monto),CR$100),PMT(N(P_L1_Tasa)/12,N(P_L1_Cuotas),-N(P_L1_Monto))-CS$98),0)*CS$9</f>
        <v>0</v>
      </c>
      <c r="CT99" s="34" t="n">
        <f aca="false">IF(AND((93-N(P_L1_Mes)+1)&gt;N(P_L1_Gracia),(93-N(P_L1_Mes)+1)&lt;=N(P_L1_Gracia)+N(P_L1_Cuotas),N(P_L1_Cuotas)&gt;0),IF((93-N(P_L1_Mes)+1)=N(P_L1_Gracia)+N(P_L1_Cuotas),IF((93-N(P_L1_Mes)+1)=1,N(P_L1_Monto),CS$100),PMT(N(P_L1_Tasa)/12,N(P_L1_Cuotas),-N(P_L1_Monto))-CT$98),0)*CT$9</f>
        <v>0</v>
      </c>
      <c r="CU99" s="34" t="n">
        <f aca="false">IF(AND((94-N(P_L1_Mes)+1)&gt;N(P_L1_Gracia),(94-N(P_L1_Mes)+1)&lt;=N(P_L1_Gracia)+N(P_L1_Cuotas),N(P_L1_Cuotas)&gt;0),IF((94-N(P_L1_Mes)+1)=N(P_L1_Gracia)+N(P_L1_Cuotas),IF((94-N(P_L1_Mes)+1)=1,N(P_L1_Monto),CT$100),PMT(N(P_L1_Tasa)/12,N(P_L1_Cuotas),-N(P_L1_Monto))-CU$98),0)*CU$9</f>
        <v>0</v>
      </c>
      <c r="CV99" s="34" t="n">
        <f aca="false">IF(AND((95-N(P_L1_Mes)+1)&gt;N(P_L1_Gracia),(95-N(P_L1_Mes)+1)&lt;=N(P_L1_Gracia)+N(P_L1_Cuotas),N(P_L1_Cuotas)&gt;0),IF((95-N(P_L1_Mes)+1)=N(P_L1_Gracia)+N(P_L1_Cuotas),IF((95-N(P_L1_Mes)+1)=1,N(P_L1_Monto),CU$100),PMT(N(P_L1_Tasa)/12,N(P_L1_Cuotas),-N(P_L1_Monto))-CV$98),0)*CV$9</f>
        <v>0</v>
      </c>
      <c r="CW99" s="34" t="n">
        <f aca="false">IF(AND((96-N(P_L1_Mes)+1)&gt;N(P_L1_Gracia),(96-N(P_L1_Mes)+1)&lt;=N(P_L1_Gracia)+N(P_L1_Cuotas),N(P_L1_Cuotas)&gt;0),IF((96-N(P_L1_Mes)+1)=N(P_L1_Gracia)+N(P_L1_Cuotas),IF((96-N(P_L1_Mes)+1)=1,N(P_L1_Monto),CV$100),PMT(N(P_L1_Tasa)/12,N(P_L1_Cuotas),-N(P_L1_Monto))-CW$98),0)*CW$9</f>
        <v>0</v>
      </c>
      <c r="CX99" s="34" t="n">
        <f aca="false">IF(AND((97-N(P_L1_Mes)+1)&gt;N(P_L1_Gracia),(97-N(P_L1_Mes)+1)&lt;=N(P_L1_Gracia)+N(P_L1_Cuotas),N(P_L1_Cuotas)&gt;0),IF((97-N(P_L1_Mes)+1)=N(P_L1_Gracia)+N(P_L1_Cuotas),IF((97-N(P_L1_Mes)+1)=1,N(P_L1_Monto),CW$100),PMT(N(P_L1_Tasa)/12,N(P_L1_Cuotas),-N(P_L1_Monto))-CX$98),0)*CX$9</f>
        <v>0</v>
      </c>
      <c r="CY99" s="34" t="n">
        <f aca="false">IF(AND((98-N(P_L1_Mes)+1)&gt;N(P_L1_Gracia),(98-N(P_L1_Mes)+1)&lt;=N(P_L1_Gracia)+N(P_L1_Cuotas),N(P_L1_Cuotas)&gt;0),IF((98-N(P_L1_Mes)+1)=N(P_L1_Gracia)+N(P_L1_Cuotas),IF((98-N(P_L1_Mes)+1)=1,N(P_L1_Monto),CX$100),PMT(N(P_L1_Tasa)/12,N(P_L1_Cuotas),-N(P_L1_Monto))-CY$98),0)*CY$9</f>
        <v>0</v>
      </c>
      <c r="CZ99" s="34" t="n">
        <f aca="false">IF(AND((99-N(P_L1_Mes)+1)&gt;N(P_L1_Gracia),(99-N(P_L1_Mes)+1)&lt;=N(P_L1_Gracia)+N(P_L1_Cuotas),N(P_L1_Cuotas)&gt;0),IF((99-N(P_L1_Mes)+1)=N(P_L1_Gracia)+N(P_L1_Cuotas),IF((99-N(P_L1_Mes)+1)=1,N(P_L1_Monto),CY$100),PMT(N(P_L1_Tasa)/12,N(P_L1_Cuotas),-N(P_L1_Monto))-CZ$98),0)*CZ$9</f>
        <v>0</v>
      </c>
      <c r="DA99" s="34" t="n">
        <f aca="false">IF(AND((100-N(P_L1_Mes)+1)&gt;N(P_L1_Gracia),(100-N(P_L1_Mes)+1)&lt;=N(P_L1_Gracia)+N(P_L1_Cuotas),N(P_L1_Cuotas)&gt;0),IF((100-N(P_L1_Mes)+1)=N(P_L1_Gracia)+N(P_L1_Cuotas),IF((100-N(P_L1_Mes)+1)=1,N(P_L1_Monto),CZ$100),PMT(N(P_L1_Tasa)/12,N(P_L1_Cuotas),-N(P_L1_Monto))-DA$98),0)*DA$9</f>
        <v>0</v>
      </c>
      <c r="DB99" s="34" t="n">
        <f aca="false">IF(AND((101-N(P_L1_Mes)+1)&gt;N(P_L1_Gracia),(101-N(P_L1_Mes)+1)&lt;=N(P_L1_Gracia)+N(P_L1_Cuotas),N(P_L1_Cuotas)&gt;0),IF((101-N(P_L1_Mes)+1)=N(P_L1_Gracia)+N(P_L1_Cuotas),IF((101-N(P_L1_Mes)+1)=1,N(P_L1_Monto),DA$100),PMT(N(P_L1_Tasa)/12,N(P_L1_Cuotas),-N(P_L1_Monto))-DB$98),0)*DB$9</f>
        <v>0</v>
      </c>
      <c r="DC99" s="34" t="n">
        <f aca="false">IF(AND((102-N(P_L1_Mes)+1)&gt;N(P_L1_Gracia),(102-N(P_L1_Mes)+1)&lt;=N(P_L1_Gracia)+N(P_L1_Cuotas),N(P_L1_Cuotas)&gt;0),IF((102-N(P_L1_Mes)+1)=N(P_L1_Gracia)+N(P_L1_Cuotas),IF((102-N(P_L1_Mes)+1)=1,N(P_L1_Monto),DB$100),PMT(N(P_L1_Tasa)/12,N(P_L1_Cuotas),-N(P_L1_Monto))-DC$98),0)*DC$9</f>
        <v>0</v>
      </c>
      <c r="DD99" s="34" t="n">
        <f aca="false">IF(AND((103-N(P_L1_Mes)+1)&gt;N(P_L1_Gracia),(103-N(P_L1_Mes)+1)&lt;=N(P_L1_Gracia)+N(P_L1_Cuotas),N(P_L1_Cuotas)&gt;0),IF((103-N(P_L1_Mes)+1)=N(P_L1_Gracia)+N(P_L1_Cuotas),IF((103-N(P_L1_Mes)+1)=1,N(P_L1_Monto),DC$100),PMT(N(P_L1_Tasa)/12,N(P_L1_Cuotas),-N(P_L1_Monto))-DD$98),0)*DD$9</f>
        <v>0</v>
      </c>
      <c r="DE99" s="34" t="n">
        <f aca="false">IF(AND((104-N(P_L1_Mes)+1)&gt;N(P_L1_Gracia),(104-N(P_L1_Mes)+1)&lt;=N(P_L1_Gracia)+N(P_L1_Cuotas),N(P_L1_Cuotas)&gt;0),IF((104-N(P_L1_Mes)+1)=N(P_L1_Gracia)+N(P_L1_Cuotas),IF((104-N(P_L1_Mes)+1)=1,N(P_L1_Monto),DD$100),PMT(N(P_L1_Tasa)/12,N(P_L1_Cuotas),-N(P_L1_Monto))-DE$98),0)*DE$9</f>
        <v>0</v>
      </c>
      <c r="DF99" s="34" t="n">
        <f aca="false">IF(AND((105-N(P_L1_Mes)+1)&gt;N(P_L1_Gracia),(105-N(P_L1_Mes)+1)&lt;=N(P_L1_Gracia)+N(P_L1_Cuotas),N(P_L1_Cuotas)&gt;0),IF((105-N(P_L1_Mes)+1)=N(P_L1_Gracia)+N(P_L1_Cuotas),IF((105-N(P_L1_Mes)+1)=1,N(P_L1_Monto),DE$100),PMT(N(P_L1_Tasa)/12,N(P_L1_Cuotas),-N(P_L1_Monto))-DF$98),0)*DF$9</f>
        <v>0</v>
      </c>
      <c r="DG99" s="34" t="n">
        <f aca="false">IF(AND((106-N(P_L1_Mes)+1)&gt;N(P_L1_Gracia),(106-N(P_L1_Mes)+1)&lt;=N(P_L1_Gracia)+N(P_L1_Cuotas),N(P_L1_Cuotas)&gt;0),IF((106-N(P_L1_Mes)+1)=N(P_L1_Gracia)+N(P_L1_Cuotas),IF((106-N(P_L1_Mes)+1)=1,N(P_L1_Monto),DF$100),PMT(N(P_L1_Tasa)/12,N(P_L1_Cuotas),-N(P_L1_Monto))-DG$98),0)*DG$9</f>
        <v>0</v>
      </c>
      <c r="DH99" s="34" t="n">
        <f aca="false">IF(AND((107-N(P_L1_Mes)+1)&gt;N(P_L1_Gracia),(107-N(P_L1_Mes)+1)&lt;=N(P_L1_Gracia)+N(P_L1_Cuotas),N(P_L1_Cuotas)&gt;0),IF((107-N(P_L1_Mes)+1)=N(P_L1_Gracia)+N(P_L1_Cuotas),IF((107-N(P_L1_Mes)+1)=1,N(P_L1_Monto),DG$100),PMT(N(P_L1_Tasa)/12,N(P_L1_Cuotas),-N(P_L1_Monto))-DH$98),0)*DH$9</f>
        <v>0</v>
      </c>
      <c r="DI99" s="34" t="n">
        <f aca="false">IF(AND((108-N(P_L1_Mes)+1)&gt;N(P_L1_Gracia),(108-N(P_L1_Mes)+1)&lt;=N(P_L1_Gracia)+N(P_L1_Cuotas),N(P_L1_Cuotas)&gt;0),IF((108-N(P_L1_Mes)+1)=N(P_L1_Gracia)+N(P_L1_Cuotas),IF((108-N(P_L1_Mes)+1)=1,N(P_L1_Monto),DH$100),PMT(N(P_L1_Tasa)/12,N(P_L1_Cuotas),-N(P_L1_Monto))-DI$98),0)*DI$9</f>
        <v>0</v>
      </c>
      <c r="DJ99" s="34" t="n">
        <f aca="false">IF(AND((109-N(P_L1_Mes)+1)&gt;N(P_L1_Gracia),(109-N(P_L1_Mes)+1)&lt;=N(P_L1_Gracia)+N(P_L1_Cuotas),N(P_L1_Cuotas)&gt;0),IF((109-N(P_L1_Mes)+1)=N(P_L1_Gracia)+N(P_L1_Cuotas),IF((109-N(P_L1_Mes)+1)=1,N(P_L1_Monto),DI$100),PMT(N(P_L1_Tasa)/12,N(P_L1_Cuotas),-N(P_L1_Monto))-DJ$98),0)*DJ$9</f>
        <v>0</v>
      </c>
      <c r="DK99" s="34" t="n">
        <f aca="false">IF(AND((110-N(P_L1_Mes)+1)&gt;N(P_L1_Gracia),(110-N(P_L1_Mes)+1)&lt;=N(P_L1_Gracia)+N(P_L1_Cuotas),N(P_L1_Cuotas)&gt;0),IF((110-N(P_L1_Mes)+1)=N(P_L1_Gracia)+N(P_L1_Cuotas),IF((110-N(P_L1_Mes)+1)=1,N(P_L1_Monto),DJ$100),PMT(N(P_L1_Tasa)/12,N(P_L1_Cuotas),-N(P_L1_Monto))-DK$98),0)*DK$9</f>
        <v>0</v>
      </c>
      <c r="DL99" s="34" t="n">
        <f aca="false">IF(AND((111-N(P_L1_Mes)+1)&gt;N(P_L1_Gracia),(111-N(P_L1_Mes)+1)&lt;=N(P_L1_Gracia)+N(P_L1_Cuotas),N(P_L1_Cuotas)&gt;0),IF((111-N(P_L1_Mes)+1)=N(P_L1_Gracia)+N(P_L1_Cuotas),IF((111-N(P_L1_Mes)+1)=1,N(P_L1_Monto),DK$100),PMT(N(P_L1_Tasa)/12,N(P_L1_Cuotas),-N(P_L1_Monto))-DL$98),0)*DL$9</f>
        <v>0</v>
      </c>
      <c r="DM99" s="34" t="n">
        <f aca="false">IF(AND((112-N(P_L1_Mes)+1)&gt;N(P_L1_Gracia),(112-N(P_L1_Mes)+1)&lt;=N(P_L1_Gracia)+N(P_L1_Cuotas),N(P_L1_Cuotas)&gt;0),IF((112-N(P_L1_Mes)+1)=N(P_L1_Gracia)+N(P_L1_Cuotas),IF((112-N(P_L1_Mes)+1)=1,N(P_L1_Monto),DL$100),PMT(N(P_L1_Tasa)/12,N(P_L1_Cuotas),-N(P_L1_Monto))-DM$98),0)*DM$9</f>
        <v>0</v>
      </c>
      <c r="DN99" s="34" t="n">
        <f aca="false">IF(AND((113-N(P_L1_Mes)+1)&gt;N(P_L1_Gracia),(113-N(P_L1_Mes)+1)&lt;=N(P_L1_Gracia)+N(P_L1_Cuotas),N(P_L1_Cuotas)&gt;0),IF((113-N(P_L1_Mes)+1)=N(P_L1_Gracia)+N(P_L1_Cuotas),IF((113-N(P_L1_Mes)+1)=1,N(P_L1_Monto),DM$100),PMT(N(P_L1_Tasa)/12,N(P_L1_Cuotas),-N(P_L1_Monto))-DN$98),0)*DN$9</f>
        <v>0</v>
      </c>
      <c r="DO99" s="34" t="n">
        <f aca="false">IF(AND((114-N(P_L1_Mes)+1)&gt;N(P_L1_Gracia),(114-N(P_L1_Mes)+1)&lt;=N(P_L1_Gracia)+N(P_L1_Cuotas),N(P_L1_Cuotas)&gt;0),IF((114-N(P_L1_Mes)+1)=N(P_L1_Gracia)+N(P_L1_Cuotas),IF((114-N(P_L1_Mes)+1)=1,N(P_L1_Monto),DN$100),PMT(N(P_L1_Tasa)/12,N(P_L1_Cuotas),-N(P_L1_Monto))-DO$98),0)*DO$9</f>
        <v>0</v>
      </c>
      <c r="DP99" s="34" t="n">
        <f aca="false">IF(AND((115-N(P_L1_Mes)+1)&gt;N(P_L1_Gracia),(115-N(P_L1_Mes)+1)&lt;=N(P_L1_Gracia)+N(P_L1_Cuotas),N(P_L1_Cuotas)&gt;0),IF((115-N(P_L1_Mes)+1)=N(P_L1_Gracia)+N(P_L1_Cuotas),IF((115-N(P_L1_Mes)+1)=1,N(P_L1_Monto),DO$100),PMT(N(P_L1_Tasa)/12,N(P_L1_Cuotas),-N(P_L1_Monto))-DP$98),0)*DP$9</f>
        <v>0</v>
      </c>
      <c r="DQ99" s="34" t="n">
        <f aca="false">IF(AND((116-N(P_L1_Mes)+1)&gt;N(P_L1_Gracia),(116-N(P_L1_Mes)+1)&lt;=N(P_L1_Gracia)+N(P_L1_Cuotas),N(P_L1_Cuotas)&gt;0),IF((116-N(P_L1_Mes)+1)=N(P_L1_Gracia)+N(P_L1_Cuotas),IF((116-N(P_L1_Mes)+1)=1,N(P_L1_Monto),DP$100),PMT(N(P_L1_Tasa)/12,N(P_L1_Cuotas),-N(P_L1_Monto))-DQ$98),0)*DQ$9</f>
        <v>0</v>
      </c>
      <c r="DR99" s="34" t="n">
        <f aca="false">IF(AND((117-N(P_L1_Mes)+1)&gt;N(P_L1_Gracia),(117-N(P_L1_Mes)+1)&lt;=N(P_L1_Gracia)+N(P_L1_Cuotas),N(P_L1_Cuotas)&gt;0),IF((117-N(P_L1_Mes)+1)=N(P_L1_Gracia)+N(P_L1_Cuotas),IF((117-N(P_L1_Mes)+1)=1,N(P_L1_Monto),DQ$100),PMT(N(P_L1_Tasa)/12,N(P_L1_Cuotas),-N(P_L1_Monto))-DR$98),0)*DR$9</f>
        <v>0</v>
      </c>
      <c r="DS99" s="34" t="n">
        <f aca="false">IF(AND((118-N(P_L1_Mes)+1)&gt;N(P_L1_Gracia),(118-N(P_L1_Mes)+1)&lt;=N(P_L1_Gracia)+N(P_L1_Cuotas),N(P_L1_Cuotas)&gt;0),IF((118-N(P_L1_Mes)+1)=N(P_L1_Gracia)+N(P_L1_Cuotas),IF((118-N(P_L1_Mes)+1)=1,N(P_L1_Monto),DR$100),PMT(N(P_L1_Tasa)/12,N(P_L1_Cuotas),-N(P_L1_Monto))-DS$98),0)*DS$9</f>
        <v>0</v>
      </c>
      <c r="DT99" s="34" t="n">
        <f aca="false">IF(AND((119-N(P_L1_Mes)+1)&gt;N(P_L1_Gracia),(119-N(P_L1_Mes)+1)&lt;=N(P_L1_Gracia)+N(P_L1_Cuotas),N(P_L1_Cuotas)&gt;0),IF((119-N(P_L1_Mes)+1)=N(P_L1_Gracia)+N(P_L1_Cuotas),IF((119-N(P_L1_Mes)+1)=1,N(P_L1_Monto),DS$100),PMT(N(P_L1_Tasa)/12,N(P_L1_Cuotas),-N(P_L1_Monto))-DT$98),0)*DT$9</f>
        <v>0</v>
      </c>
      <c r="DU99" s="34" t="n">
        <f aca="false">IF(AND((120-N(P_L1_Mes)+1)&gt;N(P_L1_Gracia),(120-N(P_L1_Mes)+1)&lt;=N(P_L1_Gracia)+N(P_L1_Cuotas),N(P_L1_Cuotas)&gt;0),IF((120-N(P_L1_Mes)+1)=N(P_L1_Gracia)+N(P_L1_Cuotas),IF((120-N(P_L1_Mes)+1)=1,N(P_L1_Monto),DT$100),PMT(N(P_L1_Tasa)/12,N(P_L1_Cuotas),-N(P_L1_Monto))-DU$98),0)*DU$9</f>
        <v>0</v>
      </c>
      <c r="DV99" s="34" t="n">
        <f aca="false">IF(AND((121-N(P_L1_Mes)+1)&gt;N(P_L1_Gracia),(121-N(P_L1_Mes)+1)&lt;=N(P_L1_Gracia)+N(P_L1_Cuotas),N(P_L1_Cuotas)&gt;0),IF((121-N(P_L1_Mes)+1)=N(P_L1_Gracia)+N(P_L1_Cuotas),IF((121-N(P_L1_Mes)+1)=1,N(P_L1_Monto),DU$100),PMT(N(P_L1_Tasa)/12,N(P_L1_Cuotas),-N(P_L1_Monto))-DV$98),0)*DV$9</f>
        <v>0</v>
      </c>
      <c r="DW99" s="34" t="n">
        <f aca="false">IF(AND((122-N(P_L1_Mes)+1)&gt;N(P_L1_Gracia),(122-N(P_L1_Mes)+1)&lt;=N(P_L1_Gracia)+N(P_L1_Cuotas),N(P_L1_Cuotas)&gt;0),IF((122-N(P_L1_Mes)+1)=N(P_L1_Gracia)+N(P_L1_Cuotas),IF((122-N(P_L1_Mes)+1)=1,N(P_L1_Monto),DV$100),PMT(N(P_L1_Tasa)/12,N(P_L1_Cuotas),-N(P_L1_Monto))-DW$98),0)*DW$9</f>
        <v>0</v>
      </c>
      <c r="DX99" s="34" t="n">
        <f aca="false">IF(AND((123-N(P_L1_Mes)+1)&gt;N(P_L1_Gracia),(123-N(P_L1_Mes)+1)&lt;=N(P_L1_Gracia)+N(P_L1_Cuotas),N(P_L1_Cuotas)&gt;0),IF((123-N(P_L1_Mes)+1)=N(P_L1_Gracia)+N(P_L1_Cuotas),IF((123-N(P_L1_Mes)+1)=1,N(P_L1_Monto),DW$100),PMT(N(P_L1_Tasa)/12,N(P_L1_Cuotas),-N(P_L1_Monto))-DX$98),0)*DX$9</f>
        <v>0</v>
      </c>
      <c r="DY99" s="34" t="n">
        <f aca="false">IF(AND((124-N(P_L1_Mes)+1)&gt;N(P_L1_Gracia),(124-N(P_L1_Mes)+1)&lt;=N(P_L1_Gracia)+N(P_L1_Cuotas),N(P_L1_Cuotas)&gt;0),IF((124-N(P_L1_Mes)+1)=N(P_L1_Gracia)+N(P_L1_Cuotas),IF((124-N(P_L1_Mes)+1)=1,N(P_L1_Monto),DX$100),PMT(N(P_L1_Tasa)/12,N(P_L1_Cuotas),-N(P_L1_Monto))-DY$98),0)*DY$9</f>
        <v>0</v>
      </c>
      <c r="DZ99" s="34" t="n">
        <f aca="false">IF(AND((125-N(P_L1_Mes)+1)&gt;N(P_L1_Gracia),(125-N(P_L1_Mes)+1)&lt;=N(P_L1_Gracia)+N(P_L1_Cuotas),N(P_L1_Cuotas)&gt;0),IF((125-N(P_L1_Mes)+1)=N(P_L1_Gracia)+N(P_L1_Cuotas),IF((125-N(P_L1_Mes)+1)=1,N(P_L1_Monto),DY$100),PMT(N(P_L1_Tasa)/12,N(P_L1_Cuotas),-N(P_L1_Monto))-DZ$98),0)*DZ$9</f>
        <v>0</v>
      </c>
      <c r="EA99" s="34" t="n">
        <f aca="false">IF(AND((126-N(P_L1_Mes)+1)&gt;N(P_L1_Gracia),(126-N(P_L1_Mes)+1)&lt;=N(P_L1_Gracia)+N(P_L1_Cuotas),N(P_L1_Cuotas)&gt;0),IF((126-N(P_L1_Mes)+1)=N(P_L1_Gracia)+N(P_L1_Cuotas),IF((126-N(P_L1_Mes)+1)=1,N(P_L1_Monto),DZ$100),PMT(N(P_L1_Tasa)/12,N(P_L1_Cuotas),-N(P_L1_Monto))-EA$98),0)*EA$9</f>
        <v>0</v>
      </c>
      <c r="EB99" s="34" t="n">
        <f aca="false">IF(AND((127-N(P_L1_Mes)+1)&gt;N(P_L1_Gracia),(127-N(P_L1_Mes)+1)&lt;=N(P_L1_Gracia)+N(P_L1_Cuotas),N(P_L1_Cuotas)&gt;0),IF((127-N(P_L1_Mes)+1)=N(P_L1_Gracia)+N(P_L1_Cuotas),IF((127-N(P_L1_Mes)+1)=1,N(P_L1_Monto),EA$100),PMT(N(P_L1_Tasa)/12,N(P_L1_Cuotas),-N(P_L1_Monto))-EB$98),0)*EB$9</f>
        <v>0</v>
      </c>
      <c r="EC99" s="34" t="n">
        <f aca="false">IF(AND((128-N(P_L1_Mes)+1)&gt;N(P_L1_Gracia),(128-N(P_L1_Mes)+1)&lt;=N(P_L1_Gracia)+N(P_L1_Cuotas),N(P_L1_Cuotas)&gt;0),IF((128-N(P_L1_Mes)+1)=N(P_L1_Gracia)+N(P_L1_Cuotas),IF((128-N(P_L1_Mes)+1)=1,N(P_L1_Monto),EB$100),PMT(N(P_L1_Tasa)/12,N(P_L1_Cuotas),-N(P_L1_Monto))-EC$98),0)*EC$9</f>
        <v>0</v>
      </c>
      <c r="ED99" s="34" t="n">
        <f aca="false">IF(AND((129-N(P_L1_Mes)+1)&gt;N(P_L1_Gracia),(129-N(P_L1_Mes)+1)&lt;=N(P_L1_Gracia)+N(P_L1_Cuotas),N(P_L1_Cuotas)&gt;0),IF((129-N(P_L1_Mes)+1)=N(P_L1_Gracia)+N(P_L1_Cuotas),IF((129-N(P_L1_Mes)+1)=1,N(P_L1_Monto),EC$100),PMT(N(P_L1_Tasa)/12,N(P_L1_Cuotas),-N(P_L1_Monto))-ED$98),0)*ED$9</f>
        <v>0</v>
      </c>
      <c r="EE99" s="34" t="n">
        <f aca="false">IF(AND((130-N(P_L1_Mes)+1)&gt;N(P_L1_Gracia),(130-N(P_L1_Mes)+1)&lt;=N(P_L1_Gracia)+N(P_L1_Cuotas),N(P_L1_Cuotas)&gt;0),IF((130-N(P_L1_Mes)+1)=N(P_L1_Gracia)+N(P_L1_Cuotas),IF((130-N(P_L1_Mes)+1)=1,N(P_L1_Monto),ED$100),PMT(N(P_L1_Tasa)/12,N(P_L1_Cuotas),-N(P_L1_Monto))-EE$98),0)*EE$9</f>
        <v>0</v>
      </c>
      <c r="EF99" s="34" t="n">
        <f aca="false">IF(AND((131-N(P_L1_Mes)+1)&gt;N(P_L1_Gracia),(131-N(P_L1_Mes)+1)&lt;=N(P_L1_Gracia)+N(P_L1_Cuotas),N(P_L1_Cuotas)&gt;0),IF((131-N(P_L1_Mes)+1)=N(P_L1_Gracia)+N(P_L1_Cuotas),IF((131-N(P_L1_Mes)+1)=1,N(P_L1_Monto),EE$100),PMT(N(P_L1_Tasa)/12,N(P_L1_Cuotas),-N(P_L1_Monto))-EF$98),0)*EF$9</f>
        <v>0</v>
      </c>
      <c r="EG99" s="34" t="n">
        <f aca="false">IF(AND((132-N(P_L1_Mes)+1)&gt;N(P_L1_Gracia),(132-N(P_L1_Mes)+1)&lt;=N(P_L1_Gracia)+N(P_L1_Cuotas),N(P_L1_Cuotas)&gt;0),IF((132-N(P_L1_Mes)+1)=N(P_L1_Gracia)+N(P_L1_Cuotas),IF((132-N(P_L1_Mes)+1)=1,N(P_L1_Monto),EF$100),PMT(N(P_L1_Tasa)/12,N(P_L1_Cuotas),-N(P_L1_Monto))-EG$98),0)*EG$9</f>
        <v>0</v>
      </c>
      <c r="EH99" s="34" t="n">
        <f aca="false">IF(AND((133-N(P_L1_Mes)+1)&gt;N(P_L1_Gracia),(133-N(P_L1_Mes)+1)&lt;=N(P_L1_Gracia)+N(P_L1_Cuotas),N(P_L1_Cuotas)&gt;0),IF((133-N(P_L1_Mes)+1)=N(P_L1_Gracia)+N(P_L1_Cuotas),IF((133-N(P_L1_Mes)+1)=1,N(P_L1_Monto),EG$100),PMT(N(P_L1_Tasa)/12,N(P_L1_Cuotas),-N(P_L1_Monto))-EH$98),0)*EH$9</f>
        <v>0</v>
      </c>
      <c r="EI99" s="34" t="n">
        <f aca="false">IF(AND((134-N(P_L1_Mes)+1)&gt;N(P_L1_Gracia),(134-N(P_L1_Mes)+1)&lt;=N(P_L1_Gracia)+N(P_L1_Cuotas),N(P_L1_Cuotas)&gt;0),IF((134-N(P_L1_Mes)+1)=N(P_L1_Gracia)+N(P_L1_Cuotas),IF((134-N(P_L1_Mes)+1)=1,N(P_L1_Monto),EH$100),PMT(N(P_L1_Tasa)/12,N(P_L1_Cuotas),-N(P_L1_Monto))-EI$98),0)*EI$9</f>
        <v>0</v>
      </c>
      <c r="EJ99" s="34" t="n">
        <f aca="false">IF(AND((135-N(P_L1_Mes)+1)&gt;N(P_L1_Gracia),(135-N(P_L1_Mes)+1)&lt;=N(P_L1_Gracia)+N(P_L1_Cuotas),N(P_L1_Cuotas)&gt;0),IF((135-N(P_L1_Mes)+1)=N(P_L1_Gracia)+N(P_L1_Cuotas),IF((135-N(P_L1_Mes)+1)=1,N(P_L1_Monto),EI$100),PMT(N(P_L1_Tasa)/12,N(P_L1_Cuotas),-N(P_L1_Monto))-EJ$98),0)*EJ$9</f>
        <v>0</v>
      </c>
      <c r="EK99" s="34" t="n">
        <f aca="false">IF(AND((136-N(P_L1_Mes)+1)&gt;N(P_L1_Gracia),(136-N(P_L1_Mes)+1)&lt;=N(P_L1_Gracia)+N(P_L1_Cuotas),N(P_L1_Cuotas)&gt;0),IF((136-N(P_L1_Mes)+1)=N(P_L1_Gracia)+N(P_L1_Cuotas),IF((136-N(P_L1_Mes)+1)=1,N(P_L1_Monto),EJ$100),PMT(N(P_L1_Tasa)/12,N(P_L1_Cuotas),-N(P_L1_Monto))-EK$98),0)*EK$9</f>
        <v>0</v>
      </c>
      <c r="EL99" s="34" t="n">
        <f aca="false">IF(AND((137-N(P_L1_Mes)+1)&gt;N(P_L1_Gracia),(137-N(P_L1_Mes)+1)&lt;=N(P_L1_Gracia)+N(P_L1_Cuotas),N(P_L1_Cuotas)&gt;0),IF((137-N(P_L1_Mes)+1)=N(P_L1_Gracia)+N(P_L1_Cuotas),IF((137-N(P_L1_Mes)+1)=1,N(P_L1_Monto),EK$100),PMT(N(P_L1_Tasa)/12,N(P_L1_Cuotas),-N(P_L1_Monto))-EL$98),0)*EL$9</f>
        <v>0</v>
      </c>
      <c r="EM99" s="34" t="n">
        <f aca="false">IF(AND((138-N(P_L1_Mes)+1)&gt;N(P_L1_Gracia),(138-N(P_L1_Mes)+1)&lt;=N(P_L1_Gracia)+N(P_L1_Cuotas),N(P_L1_Cuotas)&gt;0),IF((138-N(P_L1_Mes)+1)=N(P_L1_Gracia)+N(P_L1_Cuotas),IF((138-N(P_L1_Mes)+1)=1,N(P_L1_Monto),EL$100),PMT(N(P_L1_Tasa)/12,N(P_L1_Cuotas),-N(P_L1_Monto))-EM$98),0)*EM$9</f>
        <v>0</v>
      </c>
      <c r="EN99" s="34" t="n">
        <f aca="false">IF(AND((139-N(P_L1_Mes)+1)&gt;N(P_L1_Gracia),(139-N(P_L1_Mes)+1)&lt;=N(P_L1_Gracia)+N(P_L1_Cuotas),N(P_L1_Cuotas)&gt;0),IF((139-N(P_L1_Mes)+1)=N(P_L1_Gracia)+N(P_L1_Cuotas),IF((139-N(P_L1_Mes)+1)=1,N(P_L1_Monto),EM$100),PMT(N(P_L1_Tasa)/12,N(P_L1_Cuotas),-N(P_L1_Monto))-EN$98),0)*EN$9</f>
        <v>0</v>
      </c>
      <c r="EO99" s="34" t="n">
        <f aca="false">IF(AND((140-N(P_L1_Mes)+1)&gt;N(P_L1_Gracia),(140-N(P_L1_Mes)+1)&lt;=N(P_L1_Gracia)+N(P_L1_Cuotas),N(P_L1_Cuotas)&gt;0),IF((140-N(P_L1_Mes)+1)=N(P_L1_Gracia)+N(P_L1_Cuotas),IF((140-N(P_L1_Mes)+1)=1,N(P_L1_Monto),EN$100),PMT(N(P_L1_Tasa)/12,N(P_L1_Cuotas),-N(P_L1_Monto))-EO$98),0)*EO$9</f>
        <v>0</v>
      </c>
      <c r="EP99" s="34" t="n">
        <f aca="false">IF(AND((141-N(P_L1_Mes)+1)&gt;N(P_L1_Gracia),(141-N(P_L1_Mes)+1)&lt;=N(P_L1_Gracia)+N(P_L1_Cuotas),N(P_L1_Cuotas)&gt;0),IF((141-N(P_L1_Mes)+1)=N(P_L1_Gracia)+N(P_L1_Cuotas),IF((141-N(P_L1_Mes)+1)=1,N(P_L1_Monto),EO$100),PMT(N(P_L1_Tasa)/12,N(P_L1_Cuotas),-N(P_L1_Monto))-EP$98),0)*EP$9</f>
        <v>0</v>
      </c>
      <c r="EQ99" s="34" t="n">
        <f aca="false">IF(AND((142-N(P_L1_Mes)+1)&gt;N(P_L1_Gracia),(142-N(P_L1_Mes)+1)&lt;=N(P_L1_Gracia)+N(P_L1_Cuotas),N(P_L1_Cuotas)&gt;0),IF((142-N(P_L1_Mes)+1)=N(P_L1_Gracia)+N(P_L1_Cuotas),IF((142-N(P_L1_Mes)+1)=1,N(P_L1_Monto),EP$100),PMT(N(P_L1_Tasa)/12,N(P_L1_Cuotas),-N(P_L1_Monto))-EQ$98),0)*EQ$9</f>
        <v>0</v>
      </c>
      <c r="ER99" s="34" t="n">
        <f aca="false">IF(AND((143-N(P_L1_Mes)+1)&gt;N(P_L1_Gracia),(143-N(P_L1_Mes)+1)&lt;=N(P_L1_Gracia)+N(P_L1_Cuotas),N(P_L1_Cuotas)&gt;0),IF((143-N(P_L1_Mes)+1)=N(P_L1_Gracia)+N(P_L1_Cuotas),IF((143-N(P_L1_Mes)+1)=1,N(P_L1_Monto),EQ$100),PMT(N(P_L1_Tasa)/12,N(P_L1_Cuotas),-N(P_L1_Monto))-ER$98),0)*ER$9</f>
        <v>0</v>
      </c>
      <c r="ES99" s="34" t="n">
        <f aca="false">IF(AND((144-N(P_L1_Mes)+1)&gt;N(P_L1_Gracia),(144-N(P_L1_Mes)+1)&lt;=N(P_L1_Gracia)+N(P_L1_Cuotas),N(P_L1_Cuotas)&gt;0),IF((144-N(P_L1_Mes)+1)=N(P_L1_Gracia)+N(P_L1_Cuotas),IF((144-N(P_L1_Mes)+1)=1,N(P_L1_Monto),ER$100),PMT(N(P_L1_Tasa)/12,N(P_L1_Cuotas),-N(P_L1_Monto))-ES$98),0)*ES$9</f>
        <v>0</v>
      </c>
    </row>
    <row r="100" customFormat="false" ht="15" hidden="false" customHeight="false" outlineLevel="0" collapsed="false">
      <c r="A100" s="2" t="s">
        <v>557</v>
      </c>
      <c r="B100" s="6" t="s">
        <v>558</v>
      </c>
      <c r="C100" s="6" t="s">
        <v>212</v>
      </c>
      <c r="E100" s="40" t="n">
        <f aca="false">INDEX(F100:ES100,1,MIN(144,Fin))</f>
        <v>0</v>
      </c>
      <c r="F100" s="34" t="n">
        <f aca="false">IF((1-N(P_L1_Mes)+1)&lt;1,0,IF((1-N(P_L1_Mes)+1)=1,N(P_L1_Monto),0)-F$99)</f>
        <v>0</v>
      </c>
      <c r="G100" s="34" t="n">
        <f aca="false">IF((2-N(P_L1_Mes)+1)&lt;1,0,IF((2-N(P_L1_Mes)+1)=1,N(P_L1_Monto),F$100)-G$99)</f>
        <v>0</v>
      </c>
      <c r="H100" s="34" t="n">
        <f aca="false">IF((3-N(P_L1_Mes)+1)&lt;1,0,IF((3-N(P_L1_Mes)+1)=1,N(P_L1_Monto),G$100)-H$99)</f>
        <v>0</v>
      </c>
      <c r="I100" s="34" t="n">
        <f aca="false">IF((4-N(P_L1_Mes)+1)&lt;1,0,IF((4-N(P_L1_Mes)+1)=1,N(P_L1_Monto),H$100)-I$99)</f>
        <v>0</v>
      </c>
      <c r="J100" s="34" t="n">
        <f aca="false">IF((5-N(P_L1_Mes)+1)&lt;1,0,IF((5-N(P_L1_Mes)+1)=1,N(P_L1_Monto),I$100)-J$99)</f>
        <v>0</v>
      </c>
      <c r="K100" s="34" t="n">
        <f aca="false">IF((6-N(P_L1_Mes)+1)&lt;1,0,IF((6-N(P_L1_Mes)+1)=1,N(P_L1_Monto),J$100)-K$99)</f>
        <v>0</v>
      </c>
      <c r="L100" s="34" t="n">
        <f aca="false">IF((7-N(P_L1_Mes)+1)&lt;1,0,IF((7-N(P_L1_Mes)+1)=1,N(P_L1_Monto),K$100)-L$99)</f>
        <v>0</v>
      </c>
      <c r="M100" s="34" t="n">
        <f aca="false">IF((8-N(P_L1_Mes)+1)&lt;1,0,IF((8-N(P_L1_Mes)+1)=1,N(P_L1_Monto),L$100)-M$99)</f>
        <v>0</v>
      </c>
      <c r="N100" s="34" t="n">
        <f aca="false">IF((9-N(P_L1_Mes)+1)&lt;1,0,IF((9-N(P_L1_Mes)+1)=1,N(P_L1_Monto),M$100)-N$99)</f>
        <v>0</v>
      </c>
      <c r="O100" s="34" t="n">
        <f aca="false">IF((10-N(P_L1_Mes)+1)&lt;1,0,IF((10-N(P_L1_Mes)+1)=1,N(P_L1_Monto),N$100)-O$99)</f>
        <v>0</v>
      </c>
      <c r="P100" s="34" t="n">
        <f aca="false">IF((11-N(P_L1_Mes)+1)&lt;1,0,IF((11-N(P_L1_Mes)+1)=1,N(P_L1_Monto),O$100)-P$99)</f>
        <v>0</v>
      </c>
      <c r="Q100" s="34" t="n">
        <f aca="false">IF((12-N(P_L1_Mes)+1)&lt;1,0,IF((12-N(P_L1_Mes)+1)=1,N(P_L1_Monto),P$100)-Q$99)</f>
        <v>0</v>
      </c>
      <c r="R100" s="34" t="n">
        <f aca="false">IF((13-N(P_L1_Mes)+1)&lt;1,0,IF((13-N(P_L1_Mes)+1)=1,N(P_L1_Monto),Q$100)-R$99)</f>
        <v>0</v>
      </c>
      <c r="S100" s="34" t="n">
        <f aca="false">IF((14-N(P_L1_Mes)+1)&lt;1,0,IF((14-N(P_L1_Mes)+1)=1,N(P_L1_Monto),R$100)-S$99)</f>
        <v>0</v>
      </c>
      <c r="T100" s="34" t="n">
        <f aca="false">IF((15-N(P_L1_Mes)+1)&lt;1,0,IF((15-N(P_L1_Mes)+1)=1,N(P_L1_Monto),S$100)-T$99)</f>
        <v>0</v>
      </c>
      <c r="U100" s="34" t="n">
        <f aca="false">IF((16-N(P_L1_Mes)+1)&lt;1,0,IF((16-N(P_L1_Mes)+1)=1,N(P_L1_Monto),T$100)-U$99)</f>
        <v>0</v>
      </c>
      <c r="V100" s="34" t="n">
        <f aca="false">IF((17-N(P_L1_Mes)+1)&lt;1,0,IF((17-N(P_L1_Mes)+1)=1,N(P_L1_Monto),U$100)-V$99)</f>
        <v>0</v>
      </c>
      <c r="W100" s="34" t="n">
        <f aca="false">IF((18-N(P_L1_Mes)+1)&lt;1,0,IF((18-N(P_L1_Mes)+1)=1,N(P_L1_Monto),V$100)-W$99)</f>
        <v>0</v>
      </c>
      <c r="X100" s="34" t="n">
        <f aca="false">IF((19-N(P_L1_Mes)+1)&lt;1,0,IF((19-N(P_L1_Mes)+1)=1,N(P_L1_Monto),W$100)-X$99)</f>
        <v>0</v>
      </c>
      <c r="Y100" s="34" t="n">
        <f aca="false">IF((20-N(P_L1_Mes)+1)&lt;1,0,IF((20-N(P_L1_Mes)+1)=1,N(P_L1_Monto),X$100)-Y$99)</f>
        <v>0</v>
      </c>
      <c r="Z100" s="34" t="n">
        <f aca="false">IF((21-N(P_L1_Mes)+1)&lt;1,0,IF((21-N(P_L1_Mes)+1)=1,N(P_L1_Monto),Y$100)-Z$99)</f>
        <v>0</v>
      </c>
      <c r="AA100" s="34" t="n">
        <f aca="false">IF((22-N(P_L1_Mes)+1)&lt;1,0,IF((22-N(P_L1_Mes)+1)=1,N(P_L1_Monto),Z$100)-AA$99)</f>
        <v>0</v>
      </c>
      <c r="AB100" s="34" t="n">
        <f aca="false">IF((23-N(P_L1_Mes)+1)&lt;1,0,IF((23-N(P_L1_Mes)+1)=1,N(P_L1_Monto),AA$100)-AB$99)</f>
        <v>0</v>
      </c>
      <c r="AC100" s="34" t="n">
        <f aca="false">IF((24-N(P_L1_Mes)+1)&lt;1,0,IF((24-N(P_L1_Mes)+1)=1,N(P_L1_Monto),AB$100)-AC$99)</f>
        <v>0</v>
      </c>
      <c r="AD100" s="34" t="n">
        <f aca="false">IF((25-N(P_L1_Mes)+1)&lt;1,0,IF((25-N(P_L1_Mes)+1)=1,N(P_L1_Monto),AC$100)-AD$99)</f>
        <v>0</v>
      </c>
      <c r="AE100" s="34" t="n">
        <f aca="false">IF((26-N(P_L1_Mes)+1)&lt;1,0,IF((26-N(P_L1_Mes)+1)=1,N(P_L1_Monto),AD$100)-AE$99)</f>
        <v>0</v>
      </c>
      <c r="AF100" s="34" t="n">
        <f aca="false">IF((27-N(P_L1_Mes)+1)&lt;1,0,IF((27-N(P_L1_Mes)+1)=1,N(P_L1_Monto),AE$100)-AF$99)</f>
        <v>0</v>
      </c>
      <c r="AG100" s="34" t="n">
        <f aca="false">IF((28-N(P_L1_Mes)+1)&lt;1,0,IF((28-N(P_L1_Mes)+1)=1,N(P_L1_Monto),AF$100)-AG$99)</f>
        <v>0</v>
      </c>
      <c r="AH100" s="34" t="n">
        <f aca="false">IF((29-N(P_L1_Mes)+1)&lt;1,0,IF((29-N(P_L1_Mes)+1)=1,N(P_L1_Monto),AG$100)-AH$99)</f>
        <v>0</v>
      </c>
      <c r="AI100" s="34" t="n">
        <f aca="false">IF((30-N(P_L1_Mes)+1)&lt;1,0,IF((30-N(P_L1_Mes)+1)=1,N(P_L1_Monto),AH$100)-AI$99)</f>
        <v>0</v>
      </c>
      <c r="AJ100" s="34" t="n">
        <f aca="false">IF((31-N(P_L1_Mes)+1)&lt;1,0,IF((31-N(P_L1_Mes)+1)=1,N(P_L1_Monto),AI$100)-AJ$99)</f>
        <v>0</v>
      </c>
      <c r="AK100" s="34" t="n">
        <f aca="false">IF((32-N(P_L1_Mes)+1)&lt;1,0,IF((32-N(P_L1_Mes)+1)=1,N(P_L1_Monto),AJ$100)-AK$99)</f>
        <v>0</v>
      </c>
      <c r="AL100" s="34" t="n">
        <f aca="false">IF((33-N(P_L1_Mes)+1)&lt;1,0,IF((33-N(P_L1_Mes)+1)=1,N(P_L1_Monto),AK$100)-AL$99)</f>
        <v>0</v>
      </c>
      <c r="AM100" s="34" t="n">
        <f aca="false">IF((34-N(P_L1_Mes)+1)&lt;1,0,IF((34-N(P_L1_Mes)+1)=1,N(P_L1_Monto),AL$100)-AM$99)</f>
        <v>0</v>
      </c>
      <c r="AN100" s="34" t="n">
        <f aca="false">IF((35-N(P_L1_Mes)+1)&lt;1,0,IF((35-N(P_L1_Mes)+1)=1,N(P_L1_Monto),AM$100)-AN$99)</f>
        <v>0</v>
      </c>
      <c r="AO100" s="34" t="n">
        <f aca="false">IF((36-N(P_L1_Mes)+1)&lt;1,0,IF((36-N(P_L1_Mes)+1)=1,N(P_L1_Monto),AN$100)-AO$99)</f>
        <v>0</v>
      </c>
      <c r="AP100" s="34" t="n">
        <f aca="false">IF((37-N(P_L1_Mes)+1)&lt;1,0,IF((37-N(P_L1_Mes)+1)=1,N(P_L1_Monto),AO$100)-AP$99)</f>
        <v>0</v>
      </c>
      <c r="AQ100" s="34" t="n">
        <f aca="false">IF((38-N(P_L1_Mes)+1)&lt;1,0,IF((38-N(P_L1_Mes)+1)=1,N(P_L1_Monto),AP$100)-AQ$99)</f>
        <v>0</v>
      </c>
      <c r="AR100" s="34" t="n">
        <f aca="false">IF((39-N(P_L1_Mes)+1)&lt;1,0,IF((39-N(P_L1_Mes)+1)=1,N(P_L1_Monto),AQ$100)-AR$99)</f>
        <v>0</v>
      </c>
      <c r="AS100" s="34" t="n">
        <f aca="false">IF((40-N(P_L1_Mes)+1)&lt;1,0,IF((40-N(P_L1_Mes)+1)=1,N(P_L1_Monto),AR$100)-AS$99)</f>
        <v>0</v>
      </c>
      <c r="AT100" s="34" t="n">
        <f aca="false">IF((41-N(P_L1_Mes)+1)&lt;1,0,IF((41-N(P_L1_Mes)+1)=1,N(P_L1_Monto),AS$100)-AT$99)</f>
        <v>0</v>
      </c>
      <c r="AU100" s="34" t="n">
        <f aca="false">IF((42-N(P_L1_Mes)+1)&lt;1,0,IF((42-N(P_L1_Mes)+1)=1,N(P_L1_Monto),AT$100)-AU$99)</f>
        <v>0</v>
      </c>
      <c r="AV100" s="34" t="n">
        <f aca="false">IF((43-N(P_L1_Mes)+1)&lt;1,0,IF((43-N(P_L1_Mes)+1)=1,N(P_L1_Monto),AU$100)-AV$99)</f>
        <v>0</v>
      </c>
      <c r="AW100" s="34" t="n">
        <f aca="false">IF((44-N(P_L1_Mes)+1)&lt;1,0,IF((44-N(P_L1_Mes)+1)=1,N(P_L1_Monto),AV$100)-AW$99)</f>
        <v>0</v>
      </c>
      <c r="AX100" s="34" t="n">
        <f aca="false">IF((45-N(P_L1_Mes)+1)&lt;1,0,IF((45-N(P_L1_Mes)+1)=1,N(P_L1_Monto),AW$100)-AX$99)</f>
        <v>0</v>
      </c>
      <c r="AY100" s="34" t="n">
        <f aca="false">IF((46-N(P_L1_Mes)+1)&lt;1,0,IF((46-N(P_L1_Mes)+1)=1,N(P_L1_Monto),AX$100)-AY$99)</f>
        <v>0</v>
      </c>
      <c r="AZ100" s="34" t="n">
        <f aca="false">IF((47-N(P_L1_Mes)+1)&lt;1,0,IF((47-N(P_L1_Mes)+1)=1,N(P_L1_Monto),AY$100)-AZ$99)</f>
        <v>0</v>
      </c>
      <c r="BA100" s="34" t="n">
        <f aca="false">IF((48-N(P_L1_Mes)+1)&lt;1,0,IF((48-N(P_L1_Mes)+1)=1,N(P_L1_Monto),AZ$100)-BA$99)</f>
        <v>0</v>
      </c>
      <c r="BB100" s="34" t="n">
        <f aca="false">IF((49-N(P_L1_Mes)+1)&lt;1,0,IF((49-N(P_L1_Mes)+1)=1,N(P_L1_Monto),BA$100)-BB$99)</f>
        <v>0</v>
      </c>
      <c r="BC100" s="34" t="n">
        <f aca="false">IF((50-N(P_L1_Mes)+1)&lt;1,0,IF((50-N(P_L1_Mes)+1)=1,N(P_L1_Monto),BB$100)-BC$99)</f>
        <v>0</v>
      </c>
      <c r="BD100" s="34" t="n">
        <f aca="false">IF((51-N(P_L1_Mes)+1)&lt;1,0,IF((51-N(P_L1_Mes)+1)=1,N(P_L1_Monto),BC$100)-BD$99)</f>
        <v>0</v>
      </c>
      <c r="BE100" s="34" t="n">
        <f aca="false">IF((52-N(P_L1_Mes)+1)&lt;1,0,IF((52-N(P_L1_Mes)+1)=1,N(P_L1_Monto),BD$100)-BE$99)</f>
        <v>0</v>
      </c>
      <c r="BF100" s="34" t="n">
        <f aca="false">IF((53-N(P_L1_Mes)+1)&lt;1,0,IF((53-N(P_L1_Mes)+1)=1,N(P_L1_Monto),BE$100)-BF$99)</f>
        <v>0</v>
      </c>
      <c r="BG100" s="34" t="n">
        <f aca="false">IF((54-N(P_L1_Mes)+1)&lt;1,0,IF((54-N(P_L1_Mes)+1)=1,N(P_L1_Monto),BF$100)-BG$99)</f>
        <v>0</v>
      </c>
      <c r="BH100" s="34" t="n">
        <f aca="false">IF((55-N(P_L1_Mes)+1)&lt;1,0,IF((55-N(P_L1_Mes)+1)=1,N(P_L1_Monto),BG$100)-BH$99)</f>
        <v>0</v>
      </c>
      <c r="BI100" s="34" t="n">
        <f aca="false">IF((56-N(P_L1_Mes)+1)&lt;1,0,IF((56-N(P_L1_Mes)+1)=1,N(P_L1_Monto),BH$100)-BI$99)</f>
        <v>0</v>
      </c>
      <c r="BJ100" s="34" t="n">
        <f aca="false">IF((57-N(P_L1_Mes)+1)&lt;1,0,IF((57-N(P_L1_Mes)+1)=1,N(P_L1_Monto),BI$100)-BJ$99)</f>
        <v>0</v>
      </c>
      <c r="BK100" s="34" t="n">
        <f aca="false">IF((58-N(P_L1_Mes)+1)&lt;1,0,IF((58-N(P_L1_Mes)+1)=1,N(P_L1_Monto),BJ$100)-BK$99)</f>
        <v>0</v>
      </c>
      <c r="BL100" s="34" t="n">
        <f aca="false">IF((59-N(P_L1_Mes)+1)&lt;1,0,IF((59-N(P_L1_Mes)+1)=1,N(P_L1_Monto),BK$100)-BL$99)</f>
        <v>0</v>
      </c>
      <c r="BM100" s="34" t="n">
        <f aca="false">IF((60-N(P_L1_Mes)+1)&lt;1,0,IF((60-N(P_L1_Mes)+1)=1,N(P_L1_Monto),BL$100)-BM$99)</f>
        <v>0</v>
      </c>
      <c r="BN100" s="34" t="n">
        <f aca="false">IF((61-N(P_L1_Mes)+1)&lt;1,0,IF((61-N(P_L1_Mes)+1)=1,N(P_L1_Monto),BM$100)-BN$99)</f>
        <v>0</v>
      </c>
      <c r="BO100" s="34" t="n">
        <f aca="false">IF((62-N(P_L1_Mes)+1)&lt;1,0,IF((62-N(P_L1_Mes)+1)=1,N(P_L1_Monto),BN$100)-BO$99)</f>
        <v>0</v>
      </c>
      <c r="BP100" s="34" t="n">
        <f aca="false">IF((63-N(P_L1_Mes)+1)&lt;1,0,IF((63-N(P_L1_Mes)+1)=1,N(P_L1_Monto),BO$100)-BP$99)</f>
        <v>0</v>
      </c>
      <c r="BQ100" s="34" t="n">
        <f aca="false">IF((64-N(P_L1_Mes)+1)&lt;1,0,IF((64-N(P_L1_Mes)+1)=1,N(P_L1_Monto),BP$100)-BQ$99)</f>
        <v>0</v>
      </c>
      <c r="BR100" s="34" t="n">
        <f aca="false">IF((65-N(P_L1_Mes)+1)&lt;1,0,IF((65-N(P_L1_Mes)+1)=1,N(P_L1_Monto),BQ$100)-BR$99)</f>
        <v>0</v>
      </c>
      <c r="BS100" s="34" t="n">
        <f aca="false">IF((66-N(P_L1_Mes)+1)&lt;1,0,IF((66-N(P_L1_Mes)+1)=1,N(P_L1_Monto),BR$100)-BS$99)</f>
        <v>0</v>
      </c>
      <c r="BT100" s="34" t="n">
        <f aca="false">IF((67-N(P_L1_Mes)+1)&lt;1,0,IF((67-N(P_L1_Mes)+1)=1,N(P_L1_Monto),BS$100)-BT$99)</f>
        <v>0</v>
      </c>
      <c r="BU100" s="34" t="n">
        <f aca="false">IF((68-N(P_L1_Mes)+1)&lt;1,0,IF((68-N(P_L1_Mes)+1)=1,N(P_L1_Monto),BT$100)-BU$99)</f>
        <v>0</v>
      </c>
      <c r="BV100" s="34" t="n">
        <f aca="false">IF((69-N(P_L1_Mes)+1)&lt;1,0,IF((69-N(P_L1_Mes)+1)=1,N(P_L1_Monto),BU$100)-BV$99)</f>
        <v>0</v>
      </c>
      <c r="BW100" s="34" t="n">
        <f aca="false">IF((70-N(P_L1_Mes)+1)&lt;1,0,IF((70-N(P_L1_Mes)+1)=1,N(P_L1_Monto),BV$100)-BW$99)</f>
        <v>0</v>
      </c>
      <c r="BX100" s="34" t="n">
        <f aca="false">IF((71-N(P_L1_Mes)+1)&lt;1,0,IF((71-N(P_L1_Mes)+1)=1,N(P_L1_Monto),BW$100)-BX$99)</f>
        <v>0</v>
      </c>
      <c r="BY100" s="34" t="n">
        <f aca="false">IF((72-N(P_L1_Mes)+1)&lt;1,0,IF((72-N(P_L1_Mes)+1)=1,N(P_L1_Monto),BX$100)-BY$99)</f>
        <v>0</v>
      </c>
      <c r="BZ100" s="34" t="n">
        <f aca="false">IF((73-N(P_L1_Mes)+1)&lt;1,0,IF((73-N(P_L1_Mes)+1)=1,N(P_L1_Monto),BY$100)-BZ$99)</f>
        <v>0</v>
      </c>
      <c r="CA100" s="34" t="n">
        <f aca="false">IF((74-N(P_L1_Mes)+1)&lt;1,0,IF((74-N(P_L1_Mes)+1)=1,N(P_L1_Monto),BZ$100)-CA$99)</f>
        <v>0</v>
      </c>
      <c r="CB100" s="34" t="n">
        <f aca="false">IF((75-N(P_L1_Mes)+1)&lt;1,0,IF((75-N(P_L1_Mes)+1)=1,N(P_L1_Monto),CA$100)-CB$99)</f>
        <v>0</v>
      </c>
      <c r="CC100" s="34" t="n">
        <f aca="false">IF((76-N(P_L1_Mes)+1)&lt;1,0,IF((76-N(P_L1_Mes)+1)=1,N(P_L1_Monto),CB$100)-CC$99)</f>
        <v>0</v>
      </c>
      <c r="CD100" s="34" t="n">
        <f aca="false">IF((77-N(P_L1_Mes)+1)&lt;1,0,IF((77-N(P_L1_Mes)+1)=1,N(P_L1_Monto),CC$100)-CD$99)</f>
        <v>0</v>
      </c>
      <c r="CE100" s="34" t="n">
        <f aca="false">IF((78-N(P_L1_Mes)+1)&lt;1,0,IF((78-N(P_L1_Mes)+1)=1,N(P_L1_Monto),CD$100)-CE$99)</f>
        <v>0</v>
      </c>
      <c r="CF100" s="34" t="n">
        <f aca="false">IF((79-N(P_L1_Mes)+1)&lt;1,0,IF((79-N(P_L1_Mes)+1)=1,N(P_L1_Monto),CE$100)-CF$99)</f>
        <v>0</v>
      </c>
      <c r="CG100" s="34" t="n">
        <f aca="false">IF((80-N(P_L1_Mes)+1)&lt;1,0,IF((80-N(P_L1_Mes)+1)=1,N(P_L1_Monto),CF$100)-CG$99)</f>
        <v>0</v>
      </c>
      <c r="CH100" s="34" t="n">
        <f aca="false">IF((81-N(P_L1_Mes)+1)&lt;1,0,IF((81-N(P_L1_Mes)+1)=1,N(P_L1_Monto),CG$100)-CH$99)</f>
        <v>0</v>
      </c>
      <c r="CI100" s="34" t="n">
        <f aca="false">IF((82-N(P_L1_Mes)+1)&lt;1,0,IF((82-N(P_L1_Mes)+1)=1,N(P_L1_Monto),CH$100)-CI$99)</f>
        <v>0</v>
      </c>
      <c r="CJ100" s="34" t="n">
        <f aca="false">IF((83-N(P_L1_Mes)+1)&lt;1,0,IF((83-N(P_L1_Mes)+1)=1,N(P_L1_Monto),CI$100)-CJ$99)</f>
        <v>0</v>
      </c>
      <c r="CK100" s="34" t="n">
        <f aca="false">IF((84-N(P_L1_Mes)+1)&lt;1,0,IF((84-N(P_L1_Mes)+1)=1,N(P_L1_Monto),CJ$100)-CK$99)</f>
        <v>0</v>
      </c>
      <c r="CL100" s="34" t="n">
        <f aca="false">IF((85-N(P_L1_Mes)+1)&lt;1,0,IF((85-N(P_L1_Mes)+1)=1,N(P_L1_Monto),CK$100)-CL$99)</f>
        <v>0</v>
      </c>
      <c r="CM100" s="34" t="n">
        <f aca="false">IF((86-N(P_L1_Mes)+1)&lt;1,0,IF((86-N(P_L1_Mes)+1)=1,N(P_L1_Monto),CL$100)-CM$99)</f>
        <v>0</v>
      </c>
      <c r="CN100" s="34" t="n">
        <f aca="false">IF((87-N(P_L1_Mes)+1)&lt;1,0,IF((87-N(P_L1_Mes)+1)=1,N(P_L1_Monto),CM$100)-CN$99)</f>
        <v>0</v>
      </c>
      <c r="CO100" s="34" t="n">
        <f aca="false">IF((88-N(P_L1_Mes)+1)&lt;1,0,IF((88-N(P_L1_Mes)+1)=1,N(P_L1_Monto),CN$100)-CO$99)</f>
        <v>0</v>
      </c>
      <c r="CP100" s="34" t="n">
        <f aca="false">IF((89-N(P_L1_Mes)+1)&lt;1,0,IF((89-N(P_L1_Mes)+1)=1,N(P_L1_Monto),CO$100)-CP$99)</f>
        <v>0</v>
      </c>
      <c r="CQ100" s="34" t="n">
        <f aca="false">IF((90-N(P_L1_Mes)+1)&lt;1,0,IF((90-N(P_L1_Mes)+1)=1,N(P_L1_Monto),CP$100)-CQ$99)</f>
        <v>0</v>
      </c>
      <c r="CR100" s="34" t="n">
        <f aca="false">IF((91-N(P_L1_Mes)+1)&lt;1,0,IF((91-N(P_L1_Mes)+1)=1,N(P_L1_Monto),CQ$100)-CR$99)</f>
        <v>0</v>
      </c>
      <c r="CS100" s="34" t="n">
        <f aca="false">IF((92-N(P_L1_Mes)+1)&lt;1,0,IF((92-N(P_L1_Mes)+1)=1,N(P_L1_Monto),CR$100)-CS$99)</f>
        <v>0</v>
      </c>
      <c r="CT100" s="34" t="n">
        <f aca="false">IF((93-N(P_L1_Mes)+1)&lt;1,0,IF((93-N(P_L1_Mes)+1)=1,N(P_L1_Monto),CS$100)-CT$99)</f>
        <v>0</v>
      </c>
      <c r="CU100" s="34" t="n">
        <f aca="false">IF((94-N(P_L1_Mes)+1)&lt;1,0,IF((94-N(P_L1_Mes)+1)=1,N(P_L1_Monto),CT$100)-CU$99)</f>
        <v>0</v>
      </c>
      <c r="CV100" s="34" t="n">
        <f aca="false">IF((95-N(P_L1_Mes)+1)&lt;1,0,IF((95-N(P_L1_Mes)+1)=1,N(P_L1_Monto),CU$100)-CV$99)</f>
        <v>0</v>
      </c>
      <c r="CW100" s="34" t="n">
        <f aca="false">IF((96-N(P_L1_Mes)+1)&lt;1,0,IF((96-N(P_L1_Mes)+1)=1,N(P_L1_Monto),CV$100)-CW$99)</f>
        <v>0</v>
      </c>
      <c r="CX100" s="34" t="n">
        <f aca="false">IF((97-N(P_L1_Mes)+1)&lt;1,0,IF((97-N(P_L1_Mes)+1)=1,N(P_L1_Monto),CW$100)-CX$99)</f>
        <v>0</v>
      </c>
      <c r="CY100" s="34" t="n">
        <f aca="false">IF((98-N(P_L1_Mes)+1)&lt;1,0,IF((98-N(P_L1_Mes)+1)=1,N(P_L1_Monto),CX$100)-CY$99)</f>
        <v>0</v>
      </c>
      <c r="CZ100" s="34" t="n">
        <f aca="false">IF((99-N(P_L1_Mes)+1)&lt;1,0,IF((99-N(P_L1_Mes)+1)=1,N(P_L1_Monto),CY$100)-CZ$99)</f>
        <v>0</v>
      </c>
      <c r="DA100" s="34" t="n">
        <f aca="false">IF((100-N(P_L1_Mes)+1)&lt;1,0,IF((100-N(P_L1_Mes)+1)=1,N(P_L1_Monto),CZ$100)-DA$99)</f>
        <v>0</v>
      </c>
      <c r="DB100" s="34" t="n">
        <f aca="false">IF((101-N(P_L1_Mes)+1)&lt;1,0,IF((101-N(P_L1_Mes)+1)=1,N(P_L1_Monto),DA$100)-DB$99)</f>
        <v>0</v>
      </c>
      <c r="DC100" s="34" t="n">
        <f aca="false">IF((102-N(P_L1_Mes)+1)&lt;1,0,IF((102-N(P_L1_Mes)+1)=1,N(P_L1_Monto),DB$100)-DC$99)</f>
        <v>0</v>
      </c>
      <c r="DD100" s="34" t="n">
        <f aca="false">IF((103-N(P_L1_Mes)+1)&lt;1,0,IF((103-N(P_L1_Mes)+1)=1,N(P_L1_Monto),DC$100)-DD$99)</f>
        <v>0</v>
      </c>
      <c r="DE100" s="34" t="n">
        <f aca="false">IF((104-N(P_L1_Mes)+1)&lt;1,0,IF((104-N(P_L1_Mes)+1)=1,N(P_L1_Monto),DD$100)-DE$99)</f>
        <v>0</v>
      </c>
      <c r="DF100" s="34" t="n">
        <f aca="false">IF((105-N(P_L1_Mes)+1)&lt;1,0,IF((105-N(P_L1_Mes)+1)=1,N(P_L1_Monto),DE$100)-DF$99)</f>
        <v>0</v>
      </c>
      <c r="DG100" s="34" t="n">
        <f aca="false">IF((106-N(P_L1_Mes)+1)&lt;1,0,IF((106-N(P_L1_Mes)+1)=1,N(P_L1_Monto),DF$100)-DG$99)</f>
        <v>0</v>
      </c>
      <c r="DH100" s="34" t="n">
        <f aca="false">IF((107-N(P_L1_Mes)+1)&lt;1,0,IF((107-N(P_L1_Mes)+1)=1,N(P_L1_Monto),DG$100)-DH$99)</f>
        <v>0</v>
      </c>
      <c r="DI100" s="34" t="n">
        <f aca="false">IF((108-N(P_L1_Mes)+1)&lt;1,0,IF((108-N(P_L1_Mes)+1)=1,N(P_L1_Monto),DH$100)-DI$99)</f>
        <v>0</v>
      </c>
      <c r="DJ100" s="34" t="n">
        <f aca="false">IF((109-N(P_L1_Mes)+1)&lt;1,0,IF((109-N(P_L1_Mes)+1)=1,N(P_L1_Monto),DI$100)-DJ$99)</f>
        <v>0</v>
      </c>
      <c r="DK100" s="34" t="n">
        <f aca="false">IF((110-N(P_L1_Mes)+1)&lt;1,0,IF((110-N(P_L1_Mes)+1)=1,N(P_L1_Monto),DJ$100)-DK$99)</f>
        <v>0</v>
      </c>
      <c r="DL100" s="34" t="n">
        <f aca="false">IF((111-N(P_L1_Mes)+1)&lt;1,0,IF((111-N(P_L1_Mes)+1)=1,N(P_L1_Monto),DK$100)-DL$99)</f>
        <v>0</v>
      </c>
      <c r="DM100" s="34" t="n">
        <f aca="false">IF((112-N(P_L1_Mes)+1)&lt;1,0,IF((112-N(P_L1_Mes)+1)=1,N(P_L1_Monto),DL$100)-DM$99)</f>
        <v>0</v>
      </c>
      <c r="DN100" s="34" t="n">
        <f aca="false">IF((113-N(P_L1_Mes)+1)&lt;1,0,IF((113-N(P_L1_Mes)+1)=1,N(P_L1_Monto),DM$100)-DN$99)</f>
        <v>0</v>
      </c>
      <c r="DO100" s="34" t="n">
        <f aca="false">IF((114-N(P_L1_Mes)+1)&lt;1,0,IF((114-N(P_L1_Mes)+1)=1,N(P_L1_Monto),DN$100)-DO$99)</f>
        <v>0</v>
      </c>
      <c r="DP100" s="34" t="n">
        <f aca="false">IF((115-N(P_L1_Mes)+1)&lt;1,0,IF((115-N(P_L1_Mes)+1)=1,N(P_L1_Monto),DO$100)-DP$99)</f>
        <v>0</v>
      </c>
      <c r="DQ100" s="34" t="n">
        <f aca="false">IF((116-N(P_L1_Mes)+1)&lt;1,0,IF((116-N(P_L1_Mes)+1)=1,N(P_L1_Monto),DP$100)-DQ$99)</f>
        <v>0</v>
      </c>
      <c r="DR100" s="34" t="n">
        <f aca="false">IF((117-N(P_L1_Mes)+1)&lt;1,0,IF((117-N(P_L1_Mes)+1)=1,N(P_L1_Monto),DQ$100)-DR$99)</f>
        <v>0</v>
      </c>
      <c r="DS100" s="34" t="n">
        <f aca="false">IF((118-N(P_L1_Mes)+1)&lt;1,0,IF((118-N(P_L1_Mes)+1)=1,N(P_L1_Monto),DR$100)-DS$99)</f>
        <v>0</v>
      </c>
      <c r="DT100" s="34" t="n">
        <f aca="false">IF((119-N(P_L1_Mes)+1)&lt;1,0,IF((119-N(P_L1_Mes)+1)=1,N(P_L1_Monto),DS$100)-DT$99)</f>
        <v>0</v>
      </c>
      <c r="DU100" s="34" t="n">
        <f aca="false">IF((120-N(P_L1_Mes)+1)&lt;1,0,IF((120-N(P_L1_Mes)+1)=1,N(P_L1_Monto),DT$100)-DU$99)</f>
        <v>0</v>
      </c>
      <c r="DV100" s="34" t="n">
        <f aca="false">IF((121-N(P_L1_Mes)+1)&lt;1,0,IF((121-N(P_L1_Mes)+1)=1,N(P_L1_Monto),DU$100)-DV$99)</f>
        <v>0</v>
      </c>
      <c r="DW100" s="34" t="n">
        <f aca="false">IF((122-N(P_L1_Mes)+1)&lt;1,0,IF((122-N(P_L1_Mes)+1)=1,N(P_L1_Monto),DV$100)-DW$99)</f>
        <v>0</v>
      </c>
      <c r="DX100" s="34" t="n">
        <f aca="false">IF((123-N(P_L1_Mes)+1)&lt;1,0,IF((123-N(P_L1_Mes)+1)=1,N(P_L1_Monto),DW$100)-DX$99)</f>
        <v>0</v>
      </c>
      <c r="DY100" s="34" t="n">
        <f aca="false">IF((124-N(P_L1_Mes)+1)&lt;1,0,IF((124-N(P_L1_Mes)+1)=1,N(P_L1_Monto),DX$100)-DY$99)</f>
        <v>0</v>
      </c>
      <c r="DZ100" s="34" t="n">
        <f aca="false">IF((125-N(P_L1_Mes)+1)&lt;1,0,IF((125-N(P_L1_Mes)+1)=1,N(P_L1_Monto),DY$100)-DZ$99)</f>
        <v>0</v>
      </c>
      <c r="EA100" s="34" t="n">
        <f aca="false">IF((126-N(P_L1_Mes)+1)&lt;1,0,IF((126-N(P_L1_Mes)+1)=1,N(P_L1_Monto),DZ$100)-EA$99)</f>
        <v>0</v>
      </c>
      <c r="EB100" s="34" t="n">
        <f aca="false">IF((127-N(P_L1_Mes)+1)&lt;1,0,IF((127-N(P_L1_Mes)+1)=1,N(P_L1_Monto),EA$100)-EB$99)</f>
        <v>0</v>
      </c>
      <c r="EC100" s="34" t="n">
        <f aca="false">IF((128-N(P_L1_Mes)+1)&lt;1,0,IF((128-N(P_L1_Mes)+1)=1,N(P_L1_Monto),EB$100)-EC$99)</f>
        <v>0</v>
      </c>
      <c r="ED100" s="34" t="n">
        <f aca="false">IF((129-N(P_L1_Mes)+1)&lt;1,0,IF((129-N(P_L1_Mes)+1)=1,N(P_L1_Monto),EC$100)-ED$99)</f>
        <v>0</v>
      </c>
      <c r="EE100" s="34" t="n">
        <f aca="false">IF((130-N(P_L1_Mes)+1)&lt;1,0,IF((130-N(P_L1_Mes)+1)=1,N(P_L1_Monto),ED$100)-EE$99)</f>
        <v>0</v>
      </c>
      <c r="EF100" s="34" t="n">
        <f aca="false">IF((131-N(P_L1_Mes)+1)&lt;1,0,IF((131-N(P_L1_Mes)+1)=1,N(P_L1_Monto),EE$100)-EF$99)</f>
        <v>0</v>
      </c>
      <c r="EG100" s="34" t="n">
        <f aca="false">IF((132-N(P_L1_Mes)+1)&lt;1,0,IF((132-N(P_L1_Mes)+1)=1,N(P_L1_Monto),EF$100)-EG$99)</f>
        <v>0</v>
      </c>
      <c r="EH100" s="34" t="n">
        <f aca="false">IF((133-N(P_L1_Mes)+1)&lt;1,0,IF((133-N(P_L1_Mes)+1)=1,N(P_L1_Monto),EG$100)-EH$99)</f>
        <v>0</v>
      </c>
      <c r="EI100" s="34" t="n">
        <f aca="false">IF((134-N(P_L1_Mes)+1)&lt;1,0,IF((134-N(P_L1_Mes)+1)=1,N(P_L1_Monto),EH$100)-EI$99)</f>
        <v>0</v>
      </c>
      <c r="EJ100" s="34" t="n">
        <f aca="false">IF((135-N(P_L1_Mes)+1)&lt;1,0,IF((135-N(P_L1_Mes)+1)=1,N(P_L1_Monto),EI$100)-EJ$99)</f>
        <v>0</v>
      </c>
      <c r="EK100" s="34" t="n">
        <f aca="false">IF((136-N(P_L1_Mes)+1)&lt;1,0,IF((136-N(P_L1_Mes)+1)=1,N(P_L1_Monto),EJ$100)-EK$99)</f>
        <v>0</v>
      </c>
      <c r="EL100" s="34" t="n">
        <f aca="false">IF((137-N(P_L1_Mes)+1)&lt;1,0,IF((137-N(P_L1_Mes)+1)=1,N(P_L1_Monto),EK$100)-EL$99)</f>
        <v>0</v>
      </c>
      <c r="EM100" s="34" t="n">
        <f aca="false">IF((138-N(P_L1_Mes)+1)&lt;1,0,IF((138-N(P_L1_Mes)+1)=1,N(P_L1_Monto),EL$100)-EM$99)</f>
        <v>0</v>
      </c>
      <c r="EN100" s="34" t="n">
        <f aca="false">IF((139-N(P_L1_Mes)+1)&lt;1,0,IF((139-N(P_L1_Mes)+1)=1,N(P_L1_Monto),EM$100)-EN$99)</f>
        <v>0</v>
      </c>
      <c r="EO100" s="34" t="n">
        <f aca="false">IF((140-N(P_L1_Mes)+1)&lt;1,0,IF((140-N(P_L1_Mes)+1)=1,N(P_L1_Monto),EN$100)-EO$99)</f>
        <v>0</v>
      </c>
      <c r="EP100" s="34" t="n">
        <f aca="false">IF((141-N(P_L1_Mes)+1)&lt;1,0,IF((141-N(P_L1_Mes)+1)=1,N(P_L1_Monto),EO$100)-EP$99)</f>
        <v>0</v>
      </c>
      <c r="EQ100" s="34" t="n">
        <f aca="false">IF((142-N(P_L1_Mes)+1)&lt;1,0,IF((142-N(P_L1_Mes)+1)=1,N(P_L1_Monto),EP$100)-EQ$99)</f>
        <v>0</v>
      </c>
      <c r="ER100" s="34" t="n">
        <f aca="false">IF((143-N(P_L1_Mes)+1)&lt;1,0,IF((143-N(P_L1_Mes)+1)=1,N(P_L1_Monto),EQ$100)-ER$99)</f>
        <v>0</v>
      </c>
      <c r="ES100" s="34" t="n">
        <f aca="false">IF((144-N(P_L1_Mes)+1)&lt;1,0,IF((144-N(P_L1_Mes)+1)=1,N(P_L1_Monto),ER$100)-ES$99)</f>
        <v>0</v>
      </c>
    </row>
    <row r="101" customFormat="false" ht="15" hidden="false" customHeight="false" outlineLevel="0" collapsed="false">
      <c r="A101" s="2" t="s">
        <v>559</v>
      </c>
      <c r="B101" s="6" t="s">
        <v>560</v>
      </c>
      <c r="C101" s="6" t="s">
        <v>212</v>
      </c>
      <c r="E101" s="40" t="n">
        <f aca="false">SUM(F101:ES101)</f>
        <v>0</v>
      </c>
      <c r="F101" s="34" t="n">
        <f aca="false">IF((1-N(P_L2_Mes)+1)=1,N(P_L2_Monto),0)*F$9</f>
        <v>0</v>
      </c>
      <c r="G101" s="34" t="n">
        <f aca="false">IF((2-N(P_L2_Mes)+1)=1,N(P_L2_Monto),0)*G$9</f>
        <v>0</v>
      </c>
      <c r="H101" s="34" t="n">
        <f aca="false">IF((3-N(P_L2_Mes)+1)=1,N(P_L2_Monto),0)*H$9</f>
        <v>0</v>
      </c>
      <c r="I101" s="34" t="n">
        <f aca="false">IF((4-N(P_L2_Mes)+1)=1,N(P_L2_Monto),0)*I$9</f>
        <v>0</v>
      </c>
      <c r="J101" s="34" t="n">
        <f aca="false">IF((5-N(P_L2_Mes)+1)=1,N(P_L2_Monto),0)*J$9</f>
        <v>0</v>
      </c>
      <c r="K101" s="34" t="n">
        <f aca="false">IF((6-N(P_L2_Mes)+1)=1,N(P_L2_Monto),0)*K$9</f>
        <v>0</v>
      </c>
      <c r="L101" s="34" t="n">
        <f aca="false">IF((7-N(P_L2_Mes)+1)=1,N(P_L2_Monto),0)*L$9</f>
        <v>0</v>
      </c>
      <c r="M101" s="34" t="n">
        <f aca="false">IF((8-N(P_L2_Mes)+1)=1,N(P_L2_Monto),0)*M$9</f>
        <v>0</v>
      </c>
      <c r="N101" s="34" t="n">
        <f aca="false">IF((9-N(P_L2_Mes)+1)=1,N(P_L2_Monto),0)*N$9</f>
        <v>0</v>
      </c>
      <c r="O101" s="34" t="n">
        <f aca="false">IF((10-N(P_L2_Mes)+1)=1,N(P_L2_Monto),0)*O$9</f>
        <v>0</v>
      </c>
      <c r="P101" s="34" t="n">
        <f aca="false">IF((11-N(P_L2_Mes)+1)=1,N(P_L2_Monto),0)*P$9</f>
        <v>0</v>
      </c>
      <c r="Q101" s="34" t="n">
        <f aca="false">IF((12-N(P_L2_Mes)+1)=1,N(P_L2_Monto),0)*Q$9</f>
        <v>0</v>
      </c>
      <c r="R101" s="34" t="n">
        <f aca="false">IF((13-N(P_L2_Mes)+1)=1,N(P_L2_Monto),0)*R$9</f>
        <v>0</v>
      </c>
      <c r="S101" s="34" t="n">
        <f aca="false">IF((14-N(P_L2_Mes)+1)=1,N(P_L2_Monto),0)*S$9</f>
        <v>0</v>
      </c>
      <c r="T101" s="34" t="n">
        <f aca="false">IF((15-N(P_L2_Mes)+1)=1,N(P_L2_Monto),0)*T$9</f>
        <v>0</v>
      </c>
      <c r="U101" s="34" t="n">
        <f aca="false">IF((16-N(P_L2_Mes)+1)=1,N(P_L2_Monto),0)*U$9</f>
        <v>0</v>
      </c>
      <c r="V101" s="34" t="n">
        <f aca="false">IF((17-N(P_L2_Mes)+1)=1,N(P_L2_Monto),0)*V$9</f>
        <v>0</v>
      </c>
      <c r="W101" s="34" t="n">
        <f aca="false">IF((18-N(P_L2_Mes)+1)=1,N(P_L2_Monto),0)*W$9</f>
        <v>0</v>
      </c>
      <c r="X101" s="34" t="n">
        <f aca="false">IF((19-N(P_L2_Mes)+1)=1,N(P_L2_Monto),0)*X$9</f>
        <v>0</v>
      </c>
      <c r="Y101" s="34" t="n">
        <f aca="false">IF((20-N(P_L2_Mes)+1)=1,N(P_L2_Monto),0)*Y$9</f>
        <v>0</v>
      </c>
      <c r="Z101" s="34" t="n">
        <f aca="false">IF((21-N(P_L2_Mes)+1)=1,N(P_L2_Monto),0)*Z$9</f>
        <v>0</v>
      </c>
      <c r="AA101" s="34" t="n">
        <f aca="false">IF((22-N(P_L2_Mes)+1)=1,N(P_L2_Monto),0)*AA$9</f>
        <v>0</v>
      </c>
      <c r="AB101" s="34" t="n">
        <f aca="false">IF((23-N(P_L2_Mes)+1)=1,N(P_L2_Monto),0)*AB$9</f>
        <v>0</v>
      </c>
      <c r="AC101" s="34" t="n">
        <f aca="false">IF((24-N(P_L2_Mes)+1)=1,N(P_L2_Monto),0)*AC$9</f>
        <v>0</v>
      </c>
      <c r="AD101" s="34" t="n">
        <f aca="false">IF((25-N(P_L2_Mes)+1)=1,N(P_L2_Monto),0)*AD$9</f>
        <v>0</v>
      </c>
      <c r="AE101" s="34" t="n">
        <f aca="false">IF((26-N(P_L2_Mes)+1)=1,N(P_L2_Monto),0)*AE$9</f>
        <v>0</v>
      </c>
      <c r="AF101" s="34" t="n">
        <f aca="false">IF((27-N(P_L2_Mes)+1)=1,N(P_L2_Monto),0)*AF$9</f>
        <v>0</v>
      </c>
      <c r="AG101" s="34" t="n">
        <f aca="false">IF((28-N(P_L2_Mes)+1)=1,N(P_L2_Monto),0)*AG$9</f>
        <v>0</v>
      </c>
      <c r="AH101" s="34" t="n">
        <f aca="false">IF((29-N(P_L2_Mes)+1)=1,N(P_L2_Monto),0)*AH$9</f>
        <v>0</v>
      </c>
      <c r="AI101" s="34" t="n">
        <f aca="false">IF((30-N(P_L2_Mes)+1)=1,N(P_L2_Monto),0)*AI$9</f>
        <v>0</v>
      </c>
      <c r="AJ101" s="34" t="n">
        <f aca="false">IF((31-N(P_L2_Mes)+1)=1,N(P_L2_Monto),0)*AJ$9</f>
        <v>0</v>
      </c>
      <c r="AK101" s="34" t="n">
        <f aca="false">IF((32-N(P_L2_Mes)+1)=1,N(P_L2_Monto),0)*AK$9</f>
        <v>0</v>
      </c>
      <c r="AL101" s="34" t="n">
        <f aca="false">IF((33-N(P_L2_Mes)+1)=1,N(P_L2_Monto),0)*AL$9</f>
        <v>0</v>
      </c>
      <c r="AM101" s="34" t="n">
        <f aca="false">IF((34-N(P_L2_Mes)+1)=1,N(P_L2_Monto),0)*AM$9</f>
        <v>0</v>
      </c>
      <c r="AN101" s="34" t="n">
        <f aca="false">IF((35-N(P_L2_Mes)+1)=1,N(P_L2_Monto),0)*AN$9</f>
        <v>0</v>
      </c>
      <c r="AO101" s="34" t="n">
        <f aca="false">IF((36-N(P_L2_Mes)+1)=1,N(P_L2_Monto),0)*AO$9</f>
        <v>0</v>
      </c>
      <c r="AP101" s="34" t="n">
        <f aca="false">IF((37-N(P_L2_Mes)+1)=1,N(P_L2_Monto),0)*AP$9</f>
        <v>0</v>
      </c>
      <c r="AQ101" s="34" t="n">
        <f aca="false">IF((38-N(P_L2_Mes)+1)=1,N(P_L2_Monto),0)*AQ$9</f>
        <v>0</v>
      </c>
      <c r="AR101" s="34" t="n">
        <f aca="false">IF((39-N(P_L2_Mes)+1)=1,N(P_L2_Monto),0)*AR$9</f>
        <v>0</v>
      </c>
      <c r="AS101" s="34" t="n">
        <f aca="false">IF((40-N(P_L2_Mes)+1)=1,N(P_L2_Monto),0)*AS$9</f>
        <v>0</v>
      </c>
      <c r="AT101" s="34" t="n">
        <f aca="false">IF((41-N(P_L2_Mes)+1)=1,N(P_L2_Monto),0)*AT$9</f>
        <v>0</v>
      </c>
      <c r="AU101" s="34" t="n">
        <f aca="false">IF((42-N(P_L2_Mes)+1)=1,N(P_L2_Monto),0)*AU$9</f>
        <v>0</v>
      </c>
      <c r="AV101" s="34" t="n">
        <f aca="false">IF((43-N(P_L2_Mes)+1)=1,N(P_L2_Monto),0)*AV$9</f>
        <v>0</v>
      </c>
      <c r="AW101" s="34" t="n">
        <f aca="false">IF((44-N(P_L2_Mes)+1)=1,N(P_L2_Monto),0)*AW$9</f>
        <v>0</v>
      </c>
      <c r="AX101" s="34" t="n">
        <f aca="false">IF((45-N(P_L2_Mes)+1)=1,N(P_L2_Monto),0)*AX$9</f>
        <v>0</v>
      </c>
      <c r="AY101" s="34" t="n">
        <f aca="false">IF((46-N(P_L2_Mes)+1)=1,N(P_L2_Monto),0)*AY$9</f>
        <v>0</v>
      </c>
      <c r="AZ101" s="34" t="n">
        <f aca="false">IF((47-N(P_L2_Mes)+1)=1,N(P_L2_Monto),0)*AZ$9</f>
        <v>0</v>
      </c>
      <c r="BA101" s="34" t="n">
        <f aca="false">IF((48-N(P_L2_Mes)+1)=1,N(P_L2_Monto),0)*BA$9</f>
        <v>0</v>
      </c>
      <c r="BB101" s="34" t="n">
        <f aca="false">IF((49-N(P_L2_Mes)+1)=1,N(P_L2_Monto),0)*BB$9</f>
        <v>0</v>
      </c>
      <c r="BC101" s="34" t="n">
        <f aca="false">IF((50-N(P_L2_Mes)+1)=1,N(P_L2_Monto),0)*BC$9</f>
        <v>0</v>
      </c>
      <c r="BD101" s="34" t="n">
        <f aca="false">IF((51-N(P_L2_Mes)+1)=1,N(P_L2_Monto),0)*BD$9</f>
        <v>0</v>
      </c>
      <c r="BE101" s="34" t="n">
        <f aca="false">IF((52-N(P_L2_Mes)+1)=1,N(P_L2_Monto),0)*BE$9</f>
        <v>0</v>
      </c>
      <c r="BF101" s="34" t="n">
        <f aca="false">IF((53-N(P_L2_Mes)+1)=1,N(P_L2_Monto),0)*BF$9</f>
        <v>0</v>
      </c>
      <c r="BG101" s="34" t="n">
        <f aca="false">IF((54-N(P_L2_Mes)+1)=1,N(P_L2_Monto),0)*BG$9</f>
        <v>0</v>
      </c>
      <c r="BH101" s="34" t="n">
        <f aca="false">IF((55-N(P_L2_Mes)+1)=1,N(P_L2_Monto),0)*BH$9</f>
        <v>0</v>
      </c>
      <c r="BI101" s="34" t="n">
        <f aca="false">IF((56-N(P_L2_Mes)+1)=1,N(P_L2_Monto),0)*BI$9</f>
        <v>0</v>
      </c>
      <c r="BJ101" s="34" t="n">
        <f aca="false">IF((57-N(P_L2_Mes)+1)=1,N(P_L2_Monto),0)*BJ$9</f>
        <v>0</v>
      </c>
      <c r="BK101" s="34" t="n">
        <f aca="false">IF((58-N(P_L2_Mes)+1)=1,N(P_L2_Monto),0)*BK$9</f>
        <v>0</v>
      </c>
      <c r="BL101" s="34" t="n">
        <f aca="false">IF((59-N(P_L2_Mes)+1)=1,N(P_L2_Monto),0)*BL$9</f>
        <v>0</v>
      </c>
      <c r="BM101" s="34" t="n">
        <f aca="false">IF((60-N(P_L2_Mes)+1)=1,N(P_L2_Monto),0)*BM$9</f>
        <v>0</v>
      </c>
      <c r="BN101" s="34" t="n">
        <f aca="false">IF((61-N(P_L2_Mes)+1)=1,N(P_L2_Monto),0)*BN$9</f>
        <v>0</v>
      </c>
      <c r="BO101" s="34" t="n">
        <f aca="false">IF((62-N(P_L2_Mes)+1)=1,N(P_L2_Monto),0)*BO$9</f>
        <v>0</v>
      </c>
      <c r="BP101" s="34" t="n">
        <f aca="false">IF((63-N(P_L2_Mes)+1)=1,N(P_L2_Monto),0)*BP$9</f>
        <v>0</v>
      </c>
      <c r="BQ101" s="34" t="n">
        <f aca="false">IF((64-N(P_L2_Mes)+1)=1,N(P_L2_Monto),0)*BQ$9</f>
        <v>0</v>
      </c>
      <c r="BR101" s="34" t="n">
        <f aca="false">IF((65-N(P_L2_Mes)+1)=1,N(P_L2_Monto),0)*BR$9</f>
        <v>0</v>
      </c>
      <c r="BS101" s="34" t="n">
        <f aca="false">IF((66-N(P_L2_Mes)+1)=1,N(P_L2_Monto),0)*BS$9</f>
        <v>0</v>
      </c>
      <c r="BT101" s="34" t="n">
        <f aca="false">IF((67-N(P_L2_Mes)+1)=1,N(P_L2_Monto),0)*BT$9</f>
        <v>0</v>
      </c>
      <c r="BU101" s="34" t="n">
        <f aca="false">IF((68-N(P_L2_Mes)+1)=1,N(P_L2_Monto),0)*BU$9</f>
        <v>0</v>
      </c>
      <c r="BV101" s="34" t="n">
        <f aca="false">IF((69-N(P_L2_Mes)+1)=1,N(P_L2_Monto),0)*BV$9</f>
        <v>0</v>
      </c>
      <c r="BW101" s="34" t="n">
        <f aca="false">IF((70-N(P_L2_Mes)+1)=1,N(P_L2_Monto),0)*BW$9</f>
        <v>0</v>
      </c>
      <c r="BX101" s="34" t="n">
        <f aca="false">IF((71-N(P_L2_Mes)+1)=1,N(P_L2_Monto),0)*BX$9</f>
        <v>0</v>
      </c>
      <c r="BY101" s="34" t="n">
        <f aca="false">IF((72-N(P_L2_Mes)+1)=1,N(P_L2_Monto),0)*BY$9</f>
        <v>0</v>
      </c>
      <c r="BZ101" s="34" t="n">
        <f aca="false">IF((73-N(P_L2_Mes)+1)=1,N(P_L2_Monto),0)*BZ$9</f>
        <v>0</v>
      </c>
      <c r="CA101" s="34" t="n">
        <f aca="false">IF((74-N(P_L2_Mes)+1)=1,N(P_L2_Monto),0)*CA$9</f>
        <v>0</v>
      </c>
      <c r="CB101" s="34" t="n">
        <f aca="false">IF((75-N(P_L2_Mes)+1)=1,N(P_L2_Monto),0)*CB$9</f>
        <v>0</v>
      </c>
      <c r="CC101" s="34" t="n">
        <f aca="false">IF((76-N(P_L2_Mes)+1)=1,N(P_L2_Monto),0)*CC$9</f>
        <v>0</v>
      </c>
      <c r="CD101" s="34" t="n">
        <f aca="false">IF((77-N(P_L2_Mes)+1)=1,N(P_L2_Monto),0)*CD$9</f>
        <v>0</v>
      </c>
      <c r="CE101" s="34" t="n">
        <f aca="false">IF((78-N(P_L2_Mes)+1)=1,N(P_L2_Monto),0)*CE$9</f>
        <v>0</v>
      </c>
      <c r="CF101" s="34" t="n">
        <f aca="false">IF((79-N(P_L2_Mes)+1)=1,N(P_L2_Monto),0)*CF$9</f>
        <v>0</v>
      </c>
      <c r="CG101" s="34" t="n">
        <f aca="false">IF((80-N(P_L2_Mes)+1)=1,N(P_L2_Monto),0)*CG$9</f>
        <v>0</v>
      </c>
      <c r="CH101" s="34" t="n">
        <f aca="false">IF((81-N(P_L2_Mes)+1)=1,N(P_L2_Monto),0)*CH$9</f>
        <v>0</v>
      </c>
      <c r="CI101" s="34" t="n">
        <f aca="false">IF((82-N(P_L2_Mes)+1)=1,N(P_L2_Monto),0)*CI$9</f>
        <v>0</v>
      </c>
      <c r="CJ101" s="34" t="n">
        <f aca="false">IF((83-N(P_L2_Mes)+1)=1,N(P_L2_Monto),0)*CJ$9</f>
        <v>0</v>
      </c>
      <c r="CK101" s="34" t="n">
        <f aca="false">IF((84-N(P_L2_Mes)+1)=1,N(P_L2_Monto),0)*CK$9</f>
        <v>0</v>
      </c>
      <c r="CL101" s="34" t="n">
        <f aca="false">IF((85-N(P_L2_Mes)+1)=1,N(P_L2_Monto),0)*CL$9</f>
        <v>0</v>
      </c>
      <c r="CM101" s="34" t="n">
        <f aca="false">IF((86-N(P_L2_Mes)+1)=1,N(P_L2_Monto),0)*CM$9</f>
        <v>0</v>
      </c>
      <c r="CN101" s="34" t="n">
        <f aca="false">IF((87-N(P_L2_Mes)+1)=1,N(P_L2_Monto),0)*CN$9</f>
        <v>0</v>
      </c>
      <c r="CO101" s="34" t="n">
        <f aca="false">IF((88-N(P_L2_Mes)+1)=1,N(P_L2_Monto),0)*CO$9</f>
        <v>0</v>
      </c>
      <c r="CP101" s="34" t="n">
        <f aca="false">IF((89-N(P_L2_Mes)+1)=1,N(P_L2_Monto),0)*CP$9</f>
        <v>0</v>
      </c>
      <c r="CQ101" s="34" t="n">
        <f aca="false">IF((90-N(P_L2_Mes)+1)=1,N(P_L2_Monto),0)*CQ$9</f>
        <v>0</v>
      </c>
      <c r="CR101" s="34" t="n">
        <f aca="false">IF((91-N(P_L2_Mes)+1)=1,N(P_L2_Monto),0)*CR$9</f>
        <v>0</v>
      </c>
      <c r="CS101" s="34" t="n">
        <f aca="false">IF((92-N(P_L2_Mes)+1)=1,N(P_L2_Monto),0)*CS$9</f>
        <v>0</v>
      </c>
      <c r="CT101" s="34" t="n">
        <f aca="false">IF((93-N(P_L2_Mes)+1)=1,N(P_L2_Monto),0)*CT$9</f>
        <v>0</v>
      </c>
      <c r="CU101" s="34" t="n">
        <f aca="false">IF((94-N(P_L2_Mes)+1)=1,N(P_L2_Monto),0)*CU$9</f>
        <v>0</v>
      </c>
      <c r="CV101" s="34" t="n">
        <f aca="false">IF((95-N(P_L2_Mes)+1)=1,N(P_L2_Monto),0)*CV$9</f>
        <v>0</v>
      </c>
      <c r="CW101" s="34" t="n">
        <f aca="false">IF((96-N(P_L2_Mes)+1)=1,N(P_L2_Monto),0)*CW$9</f>
        <v>0</v>
      </c>
      <c r="CX101" s="34" t="n">
        <f aca="false">IF((97-N(P_L2_Mes)+1)=1,N(P_L2_Monto),0)*CX$9</f>
        <v>0</v>
      </c>
      <c r="CY101" s="34" t="n">
        <f aca="false">IF((98-N(P_L2_Mes)+1)=1,N(P_L2_Monto),0)*CY$9</f>
        <v>0</v>
      </c>
      <c r="CZ101" s="34" t="n">
        <f aca="false">IF((99-N(P_L2_Mes)+1)=1,N(P_L2_Monto),0)*CZ$9</f>
        <v>0</v>
      </c>
      <c r="DA101" s="34" t="n">
        <f aca="false">IF((100-N(P_L2_Mes)+1)=1,N(P_L2_Monto),0)*DA$9</f>
        <v>0</v>
      </c>
      <c r="DB101" s="34" t="n">
        <f aca="false">IF((101-N(P_L2_Mes)+1)=1,N(P_L2_Monto),0)*DB$9</f>
        <v>0</v>
      </c>
      <c r="DC101" s="34" t="n">
        <f aca="false">IF((102-N(P_L2_Mes)+1)=1,N(P_L2_Monto),0)*DC$9</f>
        <v>0</v>
      </c>
      <c r="DD101" s="34" t="n">
        <f aca="false">IF((103-N(P_L2_Mes)+1)=1,N(P_L2_Monto),0)*DD$9</f>
        <v>0</v>
      </c>
      <c r="DE101" s="34" t="n">
        <f aca="false">IF((104-N(P_L2_Mes)+1)=1,N(P_L2_Monto),0)*DE$9</f>
        <v>0</v>
      </c>
      <c r="DF101" s="34" t="n">
        <f aca="false">IF((105-N(P_L2_Mes)+1)=1,N(P_L2_Monto),0)*DF$9</f>
        <v>0</v>
      </c>
      <c r="DG101" s="34" t="n">
        <f aca="false">IF((106-N(P_L2_Mes)+1)=1,N(P_L2_Monto),0)*DG$9</f>
        <v>0</v>
      </c>
      <c r="DH101" s="34" t="n">
        <f aca="false">IF((107-N(P_L2_Mes)+1)=1,N(P_L2_Monto),0)*DH$9</f>
        <v>0</v>
      </c>
      <c r="DI101" s="34" t="n">
        <f aca="false">IF((108-N(P_L2_Mes)+1)=1,N(P_L2_Monto),0)*DI$9</f>
        <v>0</v>
      </c>
      <c r="DJ101" s="34" t="n">
        <f aca="false">IF((109-N(P_L2_Mes)+1)=1,N(P_L2_Monto),0)*DJ$9</f>
        <v>0</v>
      </c>
      <c r="DK101" s="34" t="n">
        <f aca="false">IF((110-N(P_L2_Mes)+1)=1,N(P_L2_Monto),0)*DK$9</f>
        <v>0</v>
      </c>
      <c r="DL101" s="34" t="n">
        <f aca="false">IF((111-N(P_L2_Mes)+1)=1,N(P_L2_Monto),0)*DL$9</f>
        <v>0</v>
      </c>
      <c r="DM101" s="34" t="n">
        <f aca="false">IF((112-N(P_L2_Mes)+1)=1,N(P_L2_Monto),0)*DM$9</f>
        <v>0</v>
      </c>
      <c r="DN101" s="34" t="n">
        <f aca="false">IF((113-N(P_L2_Mes)+1)=1,N(P_L2_Monto),0)*DN$9</f>
        <v>0</v>
      </c>
      <c r="DO101" s="34" t="n">
        <f aca="false">IF((114-N(P_L2_Mes)+1)=1,N(P_L2_Monto),0)*DO$9</f>
        <v>0</v>
      </c>
      <c r="DP101" s="34" t="n">
        <f aca="false">IF((115-N(P_L2_Mes)+1)=1,N(P_L2_Monto),0)*DP$9</f>
        <v>0</v>
      </c>
      <c r="DQ101" s="34" t="n">
        <f aca="false">IF((116-N(P_L2_Mes)+1)=1,N(P_L2_Monto),0)*DQ$9</f>
        <v>0</v>
      </c>
      <c r="DR101" s="34" t="n">
        <f aca="false">IF((117-N(P_L2_Mes)+1)=1,N(P_L2_Monto),0)*DR$9</f>
        <v>0</v>
      </c>
      <c r="DS101" s="34" t="n">
        <f aca="false">IF((118-N(P_L2_Mes)+1)=1,N(P_L2_Monto),0)*DS$9</f>
        <v>0</v>
      </c>
      <c r="DT101" s="34" t="n">
        <f aca="false">IF((119-N(P_L2_Mes)+1)=1,N(P_L2_Monto),0)*DT$9</f>
        <v>0</v>
      </c>
      <c r="DU101" s="34" t="n">
        <f aca="false">IF((120-N(P_L2_Mes)+1)=1,N(P_L2_Monto),0)*DU$9</f>
        <v>0</v>
      </c>
      <c r="DV101" s="34" t="n">
        <f aca="false">IF((121-N(P_L2_Mes)+1)=1,N(P_L2_Monto),0)*DV$9</f>
        <v>0</v>
      </c>
      <c r="DW101" s="34" t="n">
        <f aca="false">IF((122-N(P_L2_Mes)+1)=1,N(P_L2_Monto),0)*DW$9</f>
        <v>0</v>
      </c>
      <c r="DX101" s="34" t="n">
        <f aca="false">IF((123-N(P_L2_Mes)+1)=1,N(P_L2_Monto),0)*DX$9</f>
        <v>0</v>
      </c>
      <c r="DY101" s="34" t="n">
        <f aca="false">IF((124-N(P_L2_Mes)+1)=1,N(P_L2_Monto),0)*DY$9</f>
        <v>0</v>
      </c>
      <c r="DZ101" s="34" t="n">
        <f aca="false">IF((125-N(P_L2_Mes)+1)=1,N(P_L2_Monto),0)*DZ$9</f>
        <v>0</v>
      </c>
      <c r="EA101" s="34" t="n">
        <f aca="false">IF((126-N(P_L2_Mes)+1)=1,N(P_L2_Monto),0)*EA$9</f>
        <v>0</v>
      </c>
      <c r="EB101" s="34" t="n">
        <f aca="false">IF((127-N(P_L2_Mes)+1)=1,N(P_L2_Monto),0)*EB$9</f>
        <v>0</v>
      </c>
      <c r="EC101" s="34" t="n">
        <f aca="false">IF((128-N(P_L2_Mes)+1)=1,N(P_L2_Monto),0)*EC$9</f>
        <v>0</v>
      </c>
      <c r="ED101" s="34" t="n">
        <f aca="false">IF((129-N(P_L2_Mes)+1)=1,N(P_L2_Monto),0)*ED$9</f>
        <v>0</v>
      </c>
      <c r="EE101" s="34" t="n">
        <f aca="false">IF((130-N(P_L2_Mes)+1)=1,N(P_L2_Monto),0)*EE$9</f>
        <v>0</v>
      </c>
      <c r="EF101" s="34" t="n">
        <f aca="false">IF((131-N(P_L2_Mes)+1)=1,N(P_L2_Monto),0)*EF$9</f>
        <v>0</v>
      </c>
      <c r="EG101" s="34" t="n">
        <f aca="false">IF((132-N(P_L2_Mes)+1)=1,N(P_L2_Monto),0)*EG$9</f>
        <v>0</v>
      </c>
      <c r="EH101" s="34" t="n">
        <f aca="false">IF((133-N(P_L2_Mes)+1)=1,N(P_L2_Monto),0)*EH$9</f>
        <v>0</v>
      </c>
      <c r="EI101" s="34" t="n">
        <f aca="false">IF((134-N(P_L2_Mes)+1)=1,N(P_L2_Monto),0)*EI$9</f>
        <v>0</v>
      </c>
      <c r="EJ101" s="34" t="n">
        <f aca="false">IF((135-N(P_L2_Mes)+1)=1,N(P_L2_Monto),0)*EJ$9</f>
        <v>0</v>
      </c>
      <c r="EK101" s="34" t="n">
        <f aca="false">IF((136-N(P_L2_Mes)+1)=1,N(P_L2_Monto),0)*EK$9</f>
        <v>0</v>
      </c>
      <c r="EL101" s="34" t="n">
        <f aca="false">IF((137-N(P_L2_Mes)+1)=1,N(P_L2_Monto),0)*EL$9</f>
        <v>0</v>
      </c>
      <c r="EM101" s="34" t="n">
        <f aca="false">IF((138-N(P_L2_Mes)+1)=1,N(P_L2_Monto),0)*EM$9</f>
        <v>0</v>
      </c>
      <c r="EN101" s="34" t="n">
        <f aca="false">IF((139-N(P_L2_Mes)+1)=1,N(P_L2_Monto),0)*EN$9</f>
        <v>0</v>
      </c>
      <c r="EO101" s="34" t="n">
        <f aca="false">IF((140-N(P_L2_Mes)+1)=1,N(P_L2_Monto),0)*EO$9</f>
        <v>0</v>
      </c>
      <c r="EP101" s="34" t="n">
        <f aca="false">IF((141-N(P_L2_Mes)+1)=1,N(P_L2_Monto),0)*EP$9</f>
        <v>0</v>
      </c>
      <c r="EQ101" s="34" t="n">
        <f aca="false">IF((142-N(P_L2_Mes)+1)=1,N(P_L2_Monto),0)*EQ$9</f>
        <v>0</v>
      </c>
      <c r="ER101" s="34" t="n">
        <f aca="false">IF((143-N(P_L2_Mes)+1)=1,N(P_L2_Monto),0)*ER$9</f>
        <v>0</v>
      </c>
      <c r="ES101" s="34" t="n">
        <f aca="false">IF((144-N(P_L2_Mes)+1)=1,N(P_L2_Monto),0)*ES$9</f>
        <v>0</v>
      </c>
    </row>
    <row r="102" customFormat="false" ht="15" hidden="false" customHeight="false" outlineLevel="0" collapsed="false">
      <c r="A102" s="2" t="s">
        <v>561</v>
      </c>
      <c r="B102" s="6" t="s">
        <v>562</v>
      </c>
      <c r="C102" s="6" t="s">
        <v>212</v>
      </c>
      <c r="E102" s="40" t="n">
        <f aca="false">SUM(F102:ES102)</f>
        <v>0</v>
      </c>
      <c r="F102" s="34" t="n">
        <f aca="false">IF((1-N(P_L2_Mes)+1)&gt;=1,IF((1-N(P_L2_Mes)+1)=1,N(P_L2_Monto),0)*N(P_L2_Tasa)/12,0)*F$9</f>
        <v>0</v>
      </c>
      <c r="G102" s="34" t="n">
        <f aca="false">IF((2-N(P_L2_Mes)+1)&gt;=1,IF((2-N(P_L2_Mes)+1)=1,N(P_L2_Monto),F$104)*N(P_L2_Tasa)/12,0)*G$9</f>
        <v>0</v>
      </c>
      <c r="H102" s="34" t="n">
        <f aca="false">IF((3-N(P_L2_Mes)+1)&gt;=1,IF((3-N(P_L2_Mes)+1)=1,N(P_L2_Monto),G$104)*N(P_L2_Tasa)/12,0)*H$9</f>
        <v>0</v>
      </c>
      <c r="I102" s="34" t="n">
        <f aca="false">IF((4-N(P_L2_Mes)+1)&gt;=1,IF((4-N(P_L2_Mes)+1)=1,N(P_L2_Monto),H$104)*N(P_L2_Tasa)/12,0)*I$9</f>
        <v>0</v>
      </c>
      <c r="J102" s="34" t="n">
        <f aca="false">IF((5-N(P_L2_Mes)+1)&gt;=1,IF((5-N(P_L2_Mes)+1)=1,N(P_L2_Monto),I$104)*N(P_L2_Tasa)/12,0)*J$9</f>
        <v>0</v>
      </c>
      <c r="K102" s="34" t="n">
        <f aca="false">IF((6-N(P_L2_Mes)+1)&gt;=1,IF((6-N(P_L2_Mes)+1)=1,N(P_L2_Monto),J$104)*N(P_L2_Tasa)/12,0)*K$9</f>
        <v>0</v>
      </c>
      <c r="L102" s="34" t="n">
        <f aca="false">IF((7-N(P_L2_Mes)+1)&gt;=1,IF((7-N(P_L2_Mes)+1)=1,N(P_L2_Monto),K$104)*N(P_L2_Tasa)/12,0)*L$9</f>
        <v>0</v>
      </c>
      <c r="M102" s="34" t="n">
        <f aca="false">IF((8-N(P_L2_Mes)+1)&gt;=1,IF((8-N(P_L2_Mes)+1)=1,N(P_L2_Monto),L$104)*N(P_L2_Tasa)/12,0)*M$9</f>
        <v>0</v>
      </c>
      <c r="N102" s="34" t="n">
        <f aca="false">IF((9-N(P_L2_Mes)+1)&gt;=1,IF((9-N(P_L2_Mes)+1)=1,N(P_L2_Monto),M$104)*N(P_L2_Tasa)/12,0)*N$9</f>
        <v>0</v>
      </c>
      <c r="O102" s="34" t="n">
        <f aca="false">IF((10-N(P_L2_Mes)+1)&gt;=1,IF((10-N(P_L2_Mes)+1)=1,N(P_L2_Monto),N$104)*N(P_L2_Tasa)/12,0)*O$9</f>
        <v>0</v>
      </c>
      <c r="P102" s="34" t="n">
        <f aca="false">IF((11-N(P_L2_Mes)+1)&gt;=1,IF((11-N(P_L2_Mes)+1)=1,N(P_L2_Monto),O$104)*N(P_L2_Tasa)/12,0)*P$9</f>
        <v>0</v>
      </c>
      <c r="Q102" s="34" t="n">
        <f aca="false">IF((12-N(P_L2_Mes)+1)&gt;=1,IF((12-N(P_L2_Mes)+1)=1,N(P_L2_Monto),P$104)*N(P_L2_Tasa)/12,0)*Q$9</f>
        <v>0</v>
      </c>
      <c r="R102" s="34" t="n">
        <f aca="false">IF((13-N(P_L2_Mes)+1)&gt;=1,IF((13-N(P_L2_Mes)+1)=1,N(P_L2_Monto),Q$104)*N(P_L2_Tasa)/12,0)*R$9</f>
        <v>0</v>
      </c>
      <c r="S102" s="34" t="n">
        <f aca="false">IF((14-N(P_L2_Mes)+1)&gt;=1,IF((14-N(P_L2_Mes)+1)=1,N(P_L2_Monto),R$104)*N(P_L2_Tasa)/12,0)*S$9</f>
        <v>0</v>
      </c>
      <c r="T102" s="34" t="n">
        <f aca="false">IF((15-N(P_L2_Mes)+1)&gt;=1,IF((15-N(P_L2_Mes)+1)=1,N(P_L2_Monto),S$104)*N(P_L2_Tasa)/12,0)*T$9</f>
        <v>0</v>
      </c>
      <c r="U102" s="34" t="n">
        <f aca="false">IF((16-N(P_L2_Mes)+1)&gt;=1,IF((16-N(P_L2_Mes)+1)=1,N(P_L2_Monto),T$104)*N(P_L2_Tasa)/12,0)*U$9</f>
        <v>0</v>
      </c>
      <c r="V102" s="34" t="n">
        <f aca="false">IF((17-N(P_L2_Mes)+1)&gt;=1,IF((17-N(P_L2_Mes)+1)=1,N(P_L2_Monto),U$104)*N(P_L2_Tasa)/12,0)*V$9</f>
        <v>0</v>
      </c>
      <c r="W102" s="34" t="n">
        <f aca="false">IF((18-N(P_L2_Mes)+1)&gt;=1,IF((18-N(P_L2_Mes)+1)=1,N(P_L2_Monto),V$104)*N(P_L2_Tasa)/12,0)*W$9</f>
        <v>0</v>
      </c>
      <c r="X102" s="34" t="n">
        <f aca="false">IF((19-N(P_L2_Mes)+1)&gt;=1,IF((19-N(P_L2_Mes)+1)=1,N(P_L2_Monto),W$104)*N(P_L2_Tasa)/12,0)*X$9</f>
        <v>0</v>
      </c>
      <c r="Y102" s="34" t="n">
        <f aca="false">IF((20-N(P_L2_Mes)+1)&gt;=1,IF((20-N(P_L2_Mes)+1)=1,N(P_L2_Monto),X$104)*N(P_L2_Tasa)/12,0)*Y$9</f>
        <v>0</v>
      </c>
      <c r="Z102" s="34" t="n">
        <f aca="false">IF((21-N(P_L2_Mes)+1)&gt;=1,IF((21-N(P_L2_Mes)+1)=1,N(P_L2_Monto),Y$104)*N(P_L2_Tasa)/12,0)*Z$9</f>
        <v>0</v>
      </c>
      <c r="AA102" s="34" t="n">
        <f aca="false">IF((22-N(P_L2_Mes)+1)&gt;=1,IF((22-N(P_L2_Mes)+1)=1,N(P_L2_Monto),Z$104)*N(P_L2_Tasa)/12,0)*AA$9</f>
        <v>0</v>
      </c>
      <c r="AB102" s="34" t="n">
        <f aca="false">IF((23-N(P_L2_Mes)+1)&gt;=1,IF((23-N(P_L2_Mes)+1)=1,N(P_L2_Monto),AA$104)*N(P_L2_Tasa)/12,0)*AB$9</f>
        <v>0</v>
      </c>
      <c r="AC102" s="34" t="n">
        <f aca="false">IF((24-N(P_L2_Mes)+1)&gt;=1,IF((24-N(P_L2_Mes)+1)=1,N(P_L2_Monto),AB$104)*N(P_L2_Tasa)/12,0)*AC$9</f>
        <v>0</v>
      </c>
      <c r="AD102" s="34" t="n">
        <f aca="false">IF((25-N(P_L2_Mes)+1)&gt;=1,IF((25-N(P_L2_Mes)+1)=1,N(P_L2_Monto),AC$104)*N(P_L2_Tasa)/12,0)*AD$9</f>
        <v>0</v>
      </c>
      <c r="AE102" s="34" t="n">
        <f aca="false">IF((26-N(P_L2_Mes)+1)&gt;=1,IF((26-N(P_L2_Mes)+1)=1,N(P_L2_Monto),AD$104)*N(P_L2_Tasa)/12,0)*AE$9</f>
        <v>0</v>
      </c>
      <c r="AF102" s="34" t="n">
        <f aca="false">IF((27-N(P_L2_Mes)+1)&gt;=1,IF((27-N(P_L2_Mes)+1)=1,N(P_L2_Monto),AE$104)*N(P_L2_Tasa)/12,0)*AF$9</f>
        <v>0</v>
      </c>
      <c r="AG102" s="34" t="n">
        <f aca="false">IF((28-N(P_L2_Mes)+1)&gt;=1,IF((28-N(P_L2_Mes)+1)=1,N(P_L2_Monto),AF$104)*N(P_L2_Tasa)/12,0)*AG$9</f>
        <v>0</v>
      </c>
      <c r="AH102" s="34" t="n">
        <f aca="false">IF((29-N(P_L2_Mes)+1)&gt;=1,IF((29-N(P_L2_Mes)+1)=1,N(P_L2_Monto),AG$104)*N(P_L2_Tasa)/12,0)*AH$9</f>
        <v>0</v>
      </c>
      <c r="AI102" s="34" t="n">
        <f aca="false">IF((30-N(P_L2_Mes)+1)&gt;=1,IF((30-N(P_L2_Mes)+1)=1,N(P_L2_Monto),AH$104)*N(P_L2_Tasa)/12,0)*AI$9</f>
        <v>0</v>
      </c>
      <c r="AJ102" s="34" t="n">
        <f aca="false">IF((31-N(P_L2_Mes)+1)&gt;=1,IF((31-N(P_L2_Mes)+1)=1,N(P_L2_Monto),AI$104)*N(P_L2_Tasa)/12,0)*AJ$9</f>
        <v>0</v>
      </c>
      <c r="AK102" s="34" t="n">
        <f aca="false">IF((32-N(P_L2_Mes)+1)&gt;=1,IF((32-N(P_L2_Mes)+1)=1,N(P_L2_Monto),AJ$104)*N(P_L2_Tasa)/12,0)*AK$9</f>
        <v>0</v>
      </c>
      <c r="AL102" s="34" t="n">
        <f aca="false">IF((33-N(P_L2_Mes)+1)&gt;=1,IF((33-N(P_L2_Mes)+1)=1,N(P_L2_Monto),AK$104)*N(P_L2_Tasa)/12,0)*AL$9</f>
        <v>0</v>
      </c>
      <c r="AM102" s="34" t="n">
        <f aca="false">IF((34-N(P_L2_Mes)+1)&gt;=1,IF((34-N(P_L2_Mes)+1)=1,N(P_L2_Monto),AL$104)*N(P_L2_Tasa)/12,0)*AM$9</f>
        <v>0</v>
      </c>
      <c r="AN102" s="34" t="n">
        <f aca="false">IF((35-N(P_L2_Mes)+1)&gt;=1,IF((35-N(P_L2_Mes)+1)=1,N(P_L2_Monto),AM$104)*N(P_L2_Tasa)/12,0)*AN$9</f>
        <v>0</v>
      </c>
      <c r="AO102" s="34" t="n">
        <f aca="false">IF((36-N(P_L2_Mes)+1)&gt;=1,IF((36-N(P_L2_Mes)+1)=1,N(P_L2_Monto),AN$104)*N(P_L2_Tasa)/12,0)*AO$9</f>
        <v>0</v>
      </c>
      <c r="AP102" s="34" t="n">
        <f aca="false">IF((37-N(P_L2_Mes)+1)&gt;=1,IF((37-N(P_L2_Mes)+1)=1,N(P_L2_Monto),AO$104)*N(P_L2_Tasa)/12,0)*AP$9</f>
        <v>0</v>
      </c>
      <c r="AQ102" s="34" t="n">
        <f aca="false">IF((38-N(P_L2_Mes)+1)&gt;=1,IF((38-N(P_L2_Mes)+1)=1,N(P_L2_Monto),AP$104)*N(P_L2_Tasa)/12,0)*AQ$9</f>
        <v>0</v>
      </c>
      <c r="AR102" s="34" t="n">
        <f aca="false">IF((39-N(P_L2_Mes)+1)&gt;=1,IF((39-N(P_L2_Mes)+1)=1,N(P_L2_Monto),AQ$104)*N(P_L2_Tasa)/12,0)*AR$9</f>
        <v>0</v>
      </c>
      <c r="AS102" s="34" t="n">
        <f aca="false">IF((40-N(P_L2_Mes)+1)&gt;=1,IF((40-N(P_L2_Mes)+1)=1,N(P_L2_Monto),AR$104)*N(P_L2_Tasa)/12,0)*AS$9</f>
        <v>0</v>
      </c>
      <c r="AT102" s="34" t="n">
        <f aca="false">IF((41-N(P_L2_Mes)+1)&gt;=1,IF((41-N(P_L2_Mes)+1)=1,N(P_L2_Monto),AS$104)*N(P_L2_Tasa)/12,0)*AT$9</f>
        <v>0</v>
      </c>
      <c r="AU102" s="34" t="n">
        <f aca="false">IF((42-N(P_L2_Mes)+1)&gt;=1,IF((42-N(P_L2_Mes)+1)=1,N(P_L2_Monto),AT$104)*N(P_L2_Tasa)/12,0)*AU$9</f>
        <v>0</v>
      </c>
      <c r="AV102" s="34" t="n">
        <f aca="false">IF((43-N(P_L2_Mes)+1)&gt;=1,IF((43-N(P_L2_Mes)+1)=1,N(P_L2_Monto),AU$104)*N(P_L2_Tasa)/12,0)*AV$9</f>
        <v>0</v>
      </c>
      <c r="AW102" s="34" t="n">
        <f aca="false">IF((44-N(P_L2_Mes)+1)&gt;=1,IF((44-N(P_L2_Mes)+1)=1,N(P_L2_Monto),AV$104)*N(P_L2_Tasa)/12,0)*AW$9</f>
        <v>0</v>
      </c>
      <c r="AX102" s="34" t="n">
        <f aca="false">IF((45-N(P_L2_Mes)+1)&gt;=1,IF((45-N(P_L2_Mes)+1)=1,N(P_L2_Monto),AW$104)*N(P_L2_Tasa)/12,0)*AX$9</f>
        <v>0</v>
      </c>
      <c r="AY102" s="34" t="n">
        <f aca="false">IF((46-N(P_L2_Mes)+1)&gt;=1,IF((46-N(P_L2_Mes)+1)=1,N(P_L2_Monto),AX$104)*N(P_L2_Tasa)/12,0)*AY$9</f>
        <v>0</v>
      </c>
      <c r="AZ102" s="34" t="n">
        <f aca="false">IF((47-N(P_L2_Mes)+1)&gt;=1,IF((47-N(P_L2_Mes)+1)=1,N(P_L2_Monto),AY$104)*N(P_L2_Tasa)/12,0)*AZ$9</f>
        <v>0</v>
      </c>
      <c r="BA102" s="34" t="n">
        <f aca="false">IF((48-N(P_L2_Mes)+1)&gt;=1,IF((48-N(P_L2_Mes)+1)=1,N(P_L2_Monto),AZ$104)*N(P_L2_Tasa)/12,0)*BA$9</f>
        <v>0</v>
      </c>
      <c r="BB102" s="34" t="n">
        <f aca="false">IF((49-N(P_L2_Mes)+1)&gt;=1,IF((49-N(P_L2_Mes)+1)=1,N(P_L2_Monto),BA$104)*N(P_L2_Tasa)/12,0)*BB$9</f>
        <v>0</v>
      </c>
      <c r="BC102" s="34" t="n">
        <f aca="false">IF((50-N(P_L2_Mes)+1)&gt;=1,IF((50-N(P_L2_Mes)+1)=1,N(P_L2_Monto),BB$104)*N(P_L2_Tasa)/12,0)*BC$9</f>
        <v>0</v>
      </c>
      <c r="BD102" s="34" t="n">
        <f aca="false">IF((51-N(P_L2_Mes)+1)&gt;=1,IF((51-N(P_L2_Mes)+1)=1,N(P_L2_Monto),BC$104)*N(P_L2_Tasa)/12,0)*BD$9</f>
        <v>0</v>
      </c>
      <c r="BE102" s="34" t="n">
        <f aca="false">IF((52-N(P_L2_Mes)+1)&gt;=1,IF((52-N(P_L2_Mes)+1)=1,N(P_L2_Monto),BD$104)*N(P_L2_Tasa)/12,0)*BE$9</f>
        <v>0</v>
      </c>
      <c r="BF102" s="34" t="n">
        <f aca="false">IF((53-N(P_L2_Mes)+1)&gt;=1,IF((53-N(P_L2_Mes)+1)=1,N(P_L2_Monto),BE$104)*N(P_L2_Tasa)/12,0)*BF$9</f>
        <v>0</v>
      </c>
      <c r="BG102" s="34" t="n">
        <f aca="false">IF((54-N(P_L2_Mes)+1)&gt;=1,IF((54-N(P_L2_Mes)+1)=1,N(P_L2_Monto),BF$104)*N(P_L2_Tasa)/12,0)*BG$9</f>
        <v>0</v>
      </c>
      <c r="BH102" s="34" t="n">
        <f aca="false">IF((55-N(P_L2_Mes)+1)&gt;=1,IF((55-N(P_L2_Mes)+1)=1,N(P_L2_Monto),BG$104)*N(P_L2_Tasa)/12,0)*BH$9</f>
        <v>0</v>
      </c>
      <c r="BI102" s="34" t="n">
        <f aca="false">IF((56-N(P_L2_Mes)+1)&gt;=1,IF((56-N(P_L2_Mes)+1)=1,N(P_L2_Monto),BH$104)*N(P_L2_Tasa)/12,0)*BI$9</f>
        <v>0</v>
      </c>
      <c r="BJ102" s="34" t="n">
        <f aca="false">IF((57-N(P_L2_Mes)+1)&gt;=1,IF((57-N(P_L2_Mes)+1)=1,N(P_L2_Monto),BI$104)*N(P_L2_Tasa)/12,0)*BJ$9</f>
        <v>0</v>
      </c>
      <c r="BK102" s="34" t="n">
        <f aca="false">IF((58-N(P_L2_Mes)+1)&gt;=1,IF((58-N(P_L2_Mes)+1)=1,N(P_L2_Monto),BJ$104)*N(P_L2_Tasa)/12,0)*BK$9</f>
        <v>0</v>
      </c>
      <c r="BL102" s="34" t="n">
        <f aca="false">IF((59-N(P_L2_Mes)+1)&gt;=1,IF((59-N(P_L2_Mes)+1)=1,N(P_L2_Monto),BK$104)*N(P_L2_Tasa)/12,0)*BL$9</f>
        <v>0</v>
      </c>
      <c r="BM102" s="34" t="n">
        <f aca="false">IF((60-N(P_L2_Mes)+1)&gt;=1,IF((60-N(P_L2_Mes)+1)=1,N(P_L2_Monto),BL$104)*N(P_L2_Tasa)/12,0)*BM$9</f>
        <v>0</v>
      </c>
      <c r="BN102" s="34" t="n">
        <f aca="false">IF((61-N(P_L2_Mes)+1)&gt;=1,IF((61-N(P_L2_Mes)+1)=1,N(P_L2_Monto),BM$104)*N(P_L2_Tasa)/12,0)*BN$9</f>
        <v>0</v>
      </c>
      <c r="BO102" s="34" t="n">
        <f aca="false">IF((62-N(P_L2_Mes)+1)&gt;=1,IF((62-N(P_L2_Mes)+1)=1,N(P_L2_Monto),BN$104)*N(P_L2_Tasa)/12,0)*BO$9</f>
        <v>0</v>
      </c>
      <c r="BP102" s="34" t="n">
        <f aca="false">IF((63-N(P_L2_Mes)+1)&gt;=1,IF((63-N(P_L2_Mes)+1)=1,N(P_L2_Monto),BO$104)*N(P_L2_Tasa)/12,0)*BP$9</f>
        <v>0</v>
      </c>
      <c r="BQ102" s="34" t="n">
        <f aca="false">IF((64-N(P_L2_Mes)+1)&gt;=1,IF((64-N(P_L2_Mes)+1)=1,N(P_L2_Monto),BP$104)*N(P_L2_Tasa)/12,0)*BQ$9</f>
        <v>0</v>
      </c>
      <c r="BR102" s="34" t="n">
        <f aca="false">IF((65-N(P_L2_Mes)+1)&gt;=1,IF((65-N(P_L2_Mes)+1)=1,N(P_L2_Monto),BQ$104)*N(P_L2_Tasa)/12,0)*BR$9</f>
        <v>0</v>
      </c>
      <c r="BS102" s="34" t="n">
        <f aca="false">IF((66-N(P_L2_Mes)+1)&gt;=1,IF((66-N(P_L2_Mes)+1)=1,N(P_L2_Monto),BR$104)*N(P_L2_Tasa)/12,0)*BS$9</f>
        <v>0</v>
      </c>
      <c r="BT102" s="34" t="n">
        <f aca="false">IF((67-N(P_L2_Mes)+1)&gt;=1,IF((67-N(P_L2_Mes)+1)=1,N(P_L2_Monto),BS$104)*N(P_L2_Tasa)/12,0)*BT$9</f>
        <v>0</v>
      </c>
      <c r="BU102" s="34" t="n">
        <f aca="false">IF((68-N(P_L2_Mes)+1)&gt;=1,IF((68-N(P_L2_Mes)+1)=1,N(P_L2_Monto),BT$104)*N(P_L2_Tasa)/12,0)*BU$9</f>
        <v>0</v>
      </c>
      <c r="BV102" s="34" t="n">
        <f aca="false">IF((69-N(P_L2_Mes)+1)&gt;=1,IF((69-N(P_L2_Mes)+1)=1,N(P_L2_Monto),BU$104)*N(P_L2_Tasa)/12,0)*BV$9</f>
        <v>0</v>
      </c>
      <c r="BW102" s="34" t="n">
        <f aca="false">IF((70-N(P_L2_Mes)+1)&gt;=1,IF((70-N(P_L2_Mes)+1)=1,N(P_L2_Monto),BV$104)*N(P_L2_Tasa)/12,0)*BW$9</f>
        <v>0</v>
      </c>
      <c r="BX102" s="34" t="n">
        <f aca="false">IF((71-N(P_L2_Mes)+1)&gt;=1,IF((71-N(P_L2_Mes)+1)=1,N(P_L2_Monto),BW$104)*N(P_L2_Tasa)/12,0)*BX$9</f>
        <v>0</v>
      </c>
      <c r="BY102" s="34" t="n">
        <f aca="false">IF((72-N(P_L2_Mes)+1)&gt;=1,IF((72-N(P_L2_Mes)+1)=1,N(P_L2_Monto),BX$104)*N(P_L2_Tasa)/12,0)*BY$9</f>
        <v>0</v>
      </c>
      <c r="BZ102" s="34" t="n">
        <f aca="false">IF((73-N(P_L2_Mes)+1)&gt;=1,IF((73-N(P_L2_Mes)+1)=1,N(P_L2_Monto),BY$104)*N(P_L2_Tasa)/12,0)*BZ$9</f>
        <v>0</v>
      </c>
      <c r="CA102" s="34" t="n">
        <f aca="false">IF((74-N(P_L2_Mes)+1)&gt;=1,IF((74-N(P_L2_Mes)+1)=1,N(P_L2_Monto),BZ$104)*N(P_L2_Tasa)/12,0)*CA$9</f>
        <v>0</v>
      </c>
      <c r="CB102" s="34" t="n">
        <f aca="false">IF((75-N(P_L2_Mes)+1)&gt;=1,IF((75-N(P_L2_Mes)+1)=1,N(P_L2_Monto),CA$104)*N(P_L2_Tasa)/12,0)*CB$9</f>
        <v>0</v>
      </c>
      <c r="CC102" s="34" t="n">
        <f aca="false">IF((76-N(P_L2_Mes)+1)&gt;=1,IF((76-N(P_L2_Mes)+1)=1,N(P_L2_Monto),CB$104)*N(P_L2_Tasa)/12,0)*CC$9</f>
        <v>0</v>
      </c>
      <c r="CD102" s="34" t="n">
        <f aca="false">IF((77-N(P_L2_Mes)+1)&gt;=1,IF((77-N(P_L2_Mes)+1)=1,N(P_L2_Monto),CC$104)*N(P_L2_Tasa)/12,0)*CD$9</f>
        <v>0</v>
      </c>
      <c r="CE102" s="34" t="n">
        <f aca="false">IF((78-N(P_L2_Mes)+1)&gt;=1,IF((78-N(P_L2_Mes)+1)=1,N(P_L2_Monto),CD$104)*N(P_L2_Tasa)/12,0)*CE$9</f>
        <v>0</v>
      </c>
      <c r="CF102" s="34" t="n">
        <f aca="false">IF((79-N(P_L2_Mes)+1)&gt;=1,IF((79-N(P_L2_Mes)+1)=1,N(P_L2_Monto),CE$104)*N(P_L2_Tasa)/12,0)*CF$9</f>
        <v>0</v>
      </c>
      <c r="CG102" s="34" t="n">
        <f aca="false">IF((80-N(P_L2_Mes)+1)&gt;=1,IF((80-N(P_L2_Mes)+1)=1,N(P_L2_Monto),CF$104)*N(P_L2_Tasa)/12,0)*CG$9</f>
        <v>0</v>
      </c>
      <c r="CH102" s="34" t="n">
        <f aca="false">IF((81-N(P_L2_Mes)+1)&gt;=1,IF((81-N(P_L2_Mes)+1)=1,N(P_L2_Monto),CG$104)*N(P_L2_Tasa)/12,0)*CH$9</f>
        <v>0</v>
      </c>
      <c r="CI102" s="34" t="n">
        <f aca="false">IF((82-N(P_L2_Mes)+1)&gt;=1,IF((82-N(P_L2_Mes)+1)=1,N(P_L2_Monto),CH$104)*N(P_L2_Tasa)/12,0)*CI$9</f>
        <v>0</v>
      </c>
      <c r="CJ102" s="34" t="n">
        <f aca="false">IF((83-N(P_L2_Mes)+1)&gt;=1,IF((83-N(P_L2_Mes)+1)=1,N(P_L2_Monto),CI$104)*N(P_L2_Tasa)/12,0)*CJ$9</f>
        <v>0</v>
      </c>
      <c r="CK102" s="34" t="n">
        <f aca="false">IF((84-N(P_L2_Mes)+1)&gt;=1,IF((84-N(P_L2_Mes)+1)=1,N(P_L2_Monto),CJ$104)*N(P_L2_Tasa)/12,0)*CK$9</f>
        <v>0</v>
      </c>
      <c r="CL102" s="34" t="n">
        <f aca="false">IF((85-N(P_L2_Mes)+1)&gt;=1,IF((85-N(P_L2_Mes)+1)=1,N(P_L2_Monto),CK$104)*N(P_L2_Tasa)/12,0)*CL$9</f>
        <v>0</v>
      </c>
      <c r="CM102" s="34" t="n">
        <f aca="false">IF((86-N(P_L2_Mes)+1)&gt;=1,IF((86-N(P_L2_Mes)+1)=1,N(P_L2_Monto),CL$104)*N(P_L2_Tasa)/12,0)*CM$9</f>
        <v>0</v>
      </c>
      <c r="CN102" s="34" t="n">
        <f aca="false">IF((87-N(P_L2_Mes)+1)&gt;=1,IF((87-N(P_L2_Mes)+1)=1,N(P_L2_Monto),CM$104)*N(P_L2_Tasa)/12,0)*CN$9</f>
        <v>0</v>
      </c>
      <c r="CO102" s="34" t="n">
        <f aca="false">IF((88-N(P_L2_Mes)+1)&gt;=1,IF((88-N(P_L2_Mes)+1)=1,N(P_L2_Monto),CN$104)*N(P_L2_Tasa)/12,0)*CO$9</f>
        <v>0</v>
      </c>
      <c r="CP102" s="34" t="n">
        <f aca="false">IF((89-N(P_L2_Mes)+1)&gt;=1,IF((89-N(P_L2_Mes)+1)=1,N(P_L2_Monto),CO$104)*N(P_L2_Tasa)/12,0)*CP$9</f>
        <v>0</v>
      </c>
      <c r="CQ102" s="34" t="n">
        <f aca="false">IF((90-N(P_L2_Mes)+1)&gt;=1,IF((90-N(P_L2_Mes)+1)=1,N(P_L2_Monto),CP$104)*N(P_L2_Tasa)/12,0)*CQ$9</f>
        <v>0</v>
      </c>
      <c r="CR102" s="34" t="n">
        <f aca="false">IF((91-N(P_L2_Mes)+1)&gt;=1,IF((91-N(P_L2_Mes)+1)=1,N(P_L2_Monto),CQ$104)*N(P_L2_Tasa)/12,0)*CR$9</f>
        <v>0</v>
      </c>
      <c r="CS102" s="34" t="n">
        <f aca="false">IF((92-N(P_L2_Mes)+1)&gt;=1,IF((92-N(P_L2_Mes)+1)=1,N(P_L2_Monto),CR$104)*N(P_L2_Tasa)/12,0)*CS$9</f>
        <v>0</v>
      </c>
      <c r="CT102" s="34" t="n">
        <f aca="false">IF((93-N(P_L2_Mes)+1)&gt;=1,IF((93-N(P_L2_Mes)+1)=1,N(P_L2_Monto),CS$104)*N(P_L2_Tasa)/12,0)*CT$9</f>
        <v>0</v>
      </c>
      <c r="CU102" s="34" t="n">
        <f aca="false">IF((94-N(P_L2_Mes)+1)&gt;=1,IF((94-N(P_L2_Mes)+1)=1,N(P_L2_Monto),CT$104)*N(P_L2_Tasa)/12,0)*CU$9</f>
        <v>0</v>
      </c>
      <c r="CV102" s="34" t="n">
        <f aca="false">IF((95-N(P_L2_Mes)+1)&gt;=1,IF((95-N(P_L2_Mes)+1)=1,N(P_L2_Monto),CU$104)*N(P_L2_Tasa)/12,0)*CV$9</f>
        <v>0</v>
      </c>
      <c r="CW102" s="34" t="n">
        <f aca="false">IF((96-N(P_L2_Mes)+1)&gt;=1,IF((96-N(P_L2_Mes)+1)=1,N(P_L2_Monto),CV$104)*N(P_L2_Tasa)/12,0)*CW$9</f>
        <v>0</v>
      </c>
      <c r="CX102" s="34" t="n">
        <f aca="false">IF((97-N(P_L2_Mes)+1)&gt;=1,IF((97-N(P_L2_Mes)+1)=1,N(P_L2_Monto),CW$104)*N(P_L2_Tasa)/12,0)*CX$9</f>
        <v>0</v>
      </c>
      <c r="CY102" s="34" t="n">
        <f aca="false">IF((98-N(P_L2_Mes)+1)&gt;=1,IF((98-N(P_L2_Mes)+1)=1,N(P_L2_Monto),CX$104)*N(P_L2_Tasa)/12,0)*CY$9</f>
        <v>0</v>
      </c>
      <c r="CZ102" s="34" t="n">
        <f aca="false">IF((99-N(P_L2_Mes)+1)&gt;=1,IF((99-N(P_L2_Mes)+1)=1,N(P_L2_Monto),CY$104)*N(P_L2_Tasa)/12,0)*CZ$9</f>
        <v>0</v>
      </c>
      <c r="DA102" s="34" t="n">
        <f aca="false">IF((100-N(P_L2_Mes)+1)&gt;=1,IF((100-N(P_L2_Mes)+1)=1,N(P_L2_Monto),CZ$104)*N(P_L2_Tasa)/12,0)*DA$9</f>
        <v>0</v>
      </c>
      <c r="DB102" s="34" t="n">
        <f aca="false">IF((101-N(P_L2_Mes)+1)&gt;=1,IF((101-N(P_L2_Mes)+1)=1,N(P_L2_Monto),DA$104)*N(P_L2_Tasa)/12,0)*DB$9</f>
        <v>0</v>
      </c>
      <c r="DC102" s="34" t="n">
        <f aca="false">IF((102-N(P_L2_Mes)+1)&gt;=1,IF((102-N(P_L2_Mes)+1)=1,N(P_L2_Monto),DB$104)*N(P_L2_Tasa)/12,0)*DC$9</f>
        <v>0</v>
      </c>
      <c r="DD102" s="34" t="n">
        <f aca="false">IF((103-N(P_L2_Mes)+1)&gt;=1,IF((103-N(P_L2_Mes)+1)=1,N(P_L2_Monto),DC$104)*N(P_L2_Tasa)/12,0)*DD$9</f>
        <v>0</v>
      </c>
      <c r="DE102" s="34" t="n">
        <f aca="false">IF((104-N(P_L2_Mes)+1)&gt;=1,IF((104-N(P_L2_Mes)+1)=1,N(P_L2_Monto),DD$104)*N(P_L2_Tasa)/12,0)*DE$9</f>
        <v>0</v>
      </c>
      <c r="DF102" s="34" t="n">
        <f aca="false">IF((105-N(P_L2_Mes)+1)&gt;=1,IF((105-N(P_L2_Mes)+1)=1,N(P_L2_Monto),DE$104)*N(P_L2_Tasa)/12,0)*DF$9</f>
        <v>0</v>
      </c>
      <c r="DG102" s="34" t="n">
        <f aca="false">IF((106-N(P_L2_Mes)+1)&gt;=1,IF((106-N(P_L2_Mes)+1)=1,N(P_L2_Monto),DF$104)*N(P_L2_Tasa)/12,0)*DG$9</f>
        <v>0</v>
      </c>
      <c r="DH102" s="34" t="n">
        <f aca="false">IF((107-N(P_L2_Mes)+1)&gt;=1,IF((107-N(P_L2_Mes)+1)=1,N(P_L2_Monto),DG$104)*N(P_L2_Tasa)/12,0)*DH$9</f>
        <v>0</v>
      </c>
      <c r="DI102" s="34" t="n">
        <f aca="false">IF((108-N(P_L2_Mes)+1)&gt;=1,IF((108-N(P_L2_Mes)+1)=1,N(P_L2_Monto),DH$104)*N(P_L2_Tasa)/12,0)*DI$9</f>
        <v>0</v>
      </c>
      <c r="DJ102" s="34" t="n">
        <f aca="false">IF((109-N(P_L2_Mes)+1)&gt;=1,IF((109-N(P_L2_Mes)+1)=1,N(P_L2_Monto),DI$104)*N(P_L2_Tasa)/12,0)*DJ$9</f>
        <v>0</v>
      </c>
      <c r="DK102" s="34" t="n">
        <f aca="false">IF((110-N(P_L2_Mes)+1)&gt;=1,IF((110-N(P_L2_Mes)+1)=1,N(P_L2_Monto),DJ$104)*N(P_L2_Tasa)/12,0)*DK$9</f>
        <v>0</v>
      </c>
      <c r="DL102" s="34" t="n">
        <f aca="false">IF((111-N(P_L2_Mes)+1)&gt;=1,IF((111-N(P_L2_Mes)+1)=1,N(P_L2_Monto),DK$104)*N(P_L2_Tasa)/12,0)*DL$9</f>
        <v>0</v>
      </c>
      <c r="DM102" s="34" t="n">
        <f aca="false">IF((112-N(P_L2_Mes)+1)&gt;=1,IF((112-N(P_L2_Mes)+1)=1,N(P_L2_Monto),DL$104)*N(P_L2_Tasa)/12,0)*DM$9</f>
        <v>0</v>
      </c>
      <c r="DN102" s="34" t="n">
        <f aca="false">IF((113-N(P_L2_Mes)+1)&gt;=1,IF((113-N(P_L2_Mes)+1)=1,N(P_L2_Monto),DM$104)*N(P_L2_Tasa)/12,0)*DN$9</f>
        <v>0</v>
      </c>
      <c r="DO102" s="34" t="n">
        <f aca="false">IF((114-N(P_L2_Mes)+1)&gt;=1,IF((114-N(P_L2_Mes)+1)=1,N(P_L2_Monto),DN$104)*N(P_L2_Tasa)/12,0)*DO$9</f>
        <v>0</v>
      </c>
      <c r="DP102" s="34" t="n">
        <f aca="false">IF((115-N(P_L2_Mes)+1)&gt;=1,IF((115-N(P_L2_Mes)+1)=1,N(P_L2_Monto),DO$104)*N(P_L2_Tasa)/12,0)*DP$9</f>
        <v>0</v>
      </c>
      <c r="DQ102" s="34" t="n">
        <f aca="false">IF((116-N(P_L2_Mes)+1)&gt;=1,IF((116-N(P_L2_Mes)+1)=1,N(P_L2_Monto),DP$104)*N(P_L2_Tasa)/12,0)*DQ$9</f>
        <v>0</v>
      </c>
      <c r="DR102" s="34" t="n">
        <f aca="false">IF((117-N(P_L2_Mes)+1)&gt;=1,IF((117-N(P_L2_Mes)+1)=1,N(P_L2_Monto),DQ$104)*N(P_L2_Tasa)/12,0)*DR$9</f>
        <v>0</v>
      </c>
      <c r="DS102" s="34" t="n">
        <f aca="false">IF((118-N(P_L2_Mes)+1)&gt;=1,IF((118-N(P_L2_Mes)+1)=1,N(P_L2_Monto),DR$104)*N(P_L2_Tasa)/12,0)*DS$9</f>
        <v>0</v>
      </c>
      <c r="DT102" s="34" t="n">
        <f aca="false">IF((119-N(P_L2_Mes)+1)&gt;=1,IF((119-N(P_L2_Mes)+1)=1,N(P_L2_Monto),DS$104)*N(P_L2_Tasa)/12,0)*DT$9</f>
        <v>0</v>
      </c>
      <c r="DU102" s="34" t="n">
        <f aca="false">IF((120-N(P_L2_Mes)+1)&gt;=1,IF((120-N(P_L2_Mes)+1)=1,N(P_L2_Monto),DT$104)*N(P_L2_Tasa)/12,0)*DU$9</f>
        <v>0</v>
      </c>
      <c r="DV102" s="34" t="n">
        <f aca="false">IF((121-N(P_L2_Mes)+1)&gt;=1,IF((121-N(P_L2_Mes)+1)=1,N(P_L2_Monto),DU$104)*N(P_L2_Tasa)/12,0)*DV$9</f>
        <v>0</v>
      </c>
      <c r="DW102" s="34" t="n">
        <f aca="false">IF((122-N(P_L2_Mes)+1)&gt;=1,IF((122-N(P_L2_Mes)+1)=1,N(P_L2_Monto),DV$104)*N(P_L2_Tasa)/12,0)*DW$9</f>
        <v>0</v>
      </c>
      <c r="DX102" s="34" t="n">
        <f aca="false">IF((123-N(P_L2_Mes)+1)&gt;=1,IF((123-N(P_L2_Mes)+1)=1,N(P_L2_Monto),DW$104)*N(P_L2_Tasa)/12,0)*DX$9</f>
        <v>0</v>
      </c>
      <c r="DY102" s="34" t="n">
        <f aca="false">IF((124-N(P_L2_Mes)+1)&gt;=1,IF((124-N(P_L2_Mes)+1)=1,N(P_L2_Monto),DX$104)*N(P_L2_Tasa)/12,0)*DY$9</f>
        <v>0</v>
      </c>
      <c r="DZ102" s="34" t="n">
        <f aca="false">IF((125-N(P_L2_Mes)+1)&gt;=1,IF((125-N(P_L2_Mes)+1)=1,N(P_L2_Monto),DY$104)*N(P_L2_Tasa)/12,0)*DZ$9</f>
        <v>0</v>
      </c>
      <c r="EA102" s="34" t="n">
        <f aca="false">IF((126-N(P_L2_Mes)+1)&gt;=1,IF((126-N(P_L2_Mes)+1)=1,N(P_L2_Monto),DZ$104)*N(P_L2_Tasa)/12,0)*EA$9</f>
        <v>0</v>
      </c>
      <c r="EB102" s="34" t="n">
        <f aca="false">IF((127-N(P_L2_Mes)+1)&gt;=1,IF((127-N(P_L2_Mes)+1)=1,N(P_L2_Monto),EA$104)*N(P_L2_Tasa)/12,0)*EB$9</f>
        <v>0</v>
      </c>
      <c r="EC102" s="34" t="n">
        <f aca="false">IF((128-N(P_L2_Mes)+1)&gt;=1,IF((128-N(P_L2_Mes)+1)=1,N(P_L2_Monto),EB$104)*N(P_L2_Tasa)/12,0)*EC$9</f>
        <v>0</v>
      </c>
      <c r="ED102" s="34" t="n">
        <f aca="false">IF((129-N(P_L2_Mes)+1)&gt;=1,IF((129-N(P_L2_Mes)+1)=1,N(P_L2_Monto),EC$104)*N(P_L2_Tasa)/12,0)*ED$9</f>
        <v>0</v>
      </c>
      <c r="EE102" s="34" t="n">
        <f aca="false">IF((130-N(P_L2_Mes)+1)&gt;=1,IF((130-N(P_L2_Mes)+1)=1,N(P_L2_Monto),ED$104)*N(P_L2_Tasa)/12,0)*EE$9</f>
        <v>0</v>
      </c>
      <c r="EF102" s="34" t="n">
        <f aca="false">IF((131-N(P_L2_Mes)+1)&gt;=1,IF((131-N(P_L2_Mes)+1)=1,N(P_L2_Monto),EE$104)*N(P_L2_Tasa)/12,0)*EF$9</f>
        <v>0</v>
      </c>
      <c r="EG102" s="34" t="n">
        <f aca="false">IF((132-N(P_L2_Mes)+1)&gt;=1,IF((132-N(P_L2_Mes)+1)=1,N(P_L2_Monto),EF$104)*N(P_L2_Tasa)/12,0)*EG$9</f>
        <v>0</v>
      </c>
      <c r="EH102" s="34" t="n">
        <f aca="false">IF((133-N(P_L2_Mes)+1)&gt;=1,IF((133-N(P_L2_Mes)+1)=1,N(P_L2_Monto),EG$104)*N(P_L2_Tasa)/12,0)*EH$9</f>
        <v>0</v>
      </c>
      <c r="EI102" s="34" t="n">
        <f aca="false">IF((134-N(P_L2_Mes)+1)&gt;=1,IF((134-N(P_L2_Mes)+1)=1,N(P_L2_Monto),EH$104)*N(P_L2_Tasa)/12,0)*EI$9</f>
        <v>0</v>
      </c>
      <c r="EJ102" s="34" t="n">
        <f aca="false">IF((135-N(P_L2_Mes)+1)&gt;=1,IF((135-N(P_L2_Mes)+1)=1,N(P_L2_Monto),EI$104)*N(P_L2_Tasa)/12,0)*EJ$9</f>
        <v>0</v>
      </c>
      <c r="EK102" s="34" t="n">
        <f aca="false">IF((136-N(P_L2_Mes)+1)&gt;=1,IF((136-N(P_L2_Mes)+1)=1,N(P_L2_Monto),EJ$104)*N(P_L2_Tasa)/12,0)*EK$9</f>
        <v>0</v>
      </c>
      <c r="EL102" s="34" t="n">
        <f aca="false">IF((137-N(P_L2_Mes)+1)&gt;=1,IF((137-N(P_L2_Mes)+1)=1,N(P_L2_Monto),EK$104)*N(P_L2_Tasa)/12,0)*EL$9</f>
        <v>0</v>
      </c>
      <c r="EM102" s="34" t="n">
        <f aca="false">IF((138-N(P_L2_Mes)+1)&gt;=1,IF((138-N(P_L2_Mes)+1)=1,N(P_L2_Monto),EL$104)*N(P_L2_Tasa)/12,0)*EM$9</f>
        <v>0</v>
      </c>
      <c r="EN102" s="34" t="n">
        <f aca="false">IF((139-N(P_L2_Mes)+1)&gt;=1,IF((139-N(P_L2_Mes)+1)=1,N(P_L2_Monto),EM$104)*N(P_L2_Tasa)/12,0)*EN$9</f>
        <v>0</v>
      </c>
      <c r="EO102" s="34" t="n">
        <f aca="false">IF((140-N(P_L2_Mes)+1)&gt;=1,IF((140-N(P_L2_Mes)+1)=1,N(P_L2_Monto),EN$104)*N(P_L2_Tasa)/12,0)*EO$9</f>
        <v>0</v>
      </c>
      <c r="EP102" s="34" t="n">
        <f aca="false">IF((141-N(P_L2_Mes)+1)&gt;=1,IF((141-N(P_L2_Mes)+1)=1,N(P_L2_Monto),EO$104)*N(P_L2_Tasa)/12,0)*EP$9</f>
        <v>0</v>
      </c>
      <c r="EQ102" s="34" t="n">
        <f aca="false">IF((142-N(P_L2_Mes)+1)&gt;=1,IF((142-N(P_L2_Mes)+1)=1,N(P_L2_Monto),EP$104)*N(P_L2_Tasa)/12,0)*EQ$9</f>
        <v>0</v>
      </c>
      <c r="ER102" s="34" t="n">
        <f aca="false">IF((143-N(P_L2_Mes)+1)&gt;=1,IF((143-N(P_L2_Mes)+1)=1,N(P_L2_Monto),EQ$104)*N(P_L2_Tasa)/12,0)*ER$9</f>
        <v>0</v>
      </c>
      <c r="ES102" s="34" t="n">
        <f aca="false">IF((144-N(P_L2_Mes)+1)&gt;=1,IF((144-N(P_L2_Mes)+1)=1,N(P_L2_Monto),ER$104)*N(P_L2_Tasa)/12,0)*ES$9</f>
        <v>0</v>
      </c>
    </row>
    <row r="103" customFormat="false" ht="15" hidden="false" customHeight="false" outlineLevel="0" collapsed="false">
      <c r="A103" s="2" t="s">
        <v>563</v>
      </c>
      <c r="B103" s="6" t="s">
        <v>564</v>
      </c>
      <c r="C103" s="6" t="s">
        <v>212</v>
      </c>
      <c r="E103" s="40" t="n">
        <f aca="false">SUM(F103:ES103)</f>
        <v>0</v>
      </c>
      <c r="F103" s="34" t="n">
        <f aca="false">IF(AND((1-N(P_L2_Mes)+1)&gt;N(P_L2_Gracia),(1-N(P_L2_Mes)+1)&lt;=N(P_L2_Gracia)+N(P_L2_Cuotas),N(P_L2_Cuotas)&gt;0),IF((1-N(P_L2_Mes)+1)=N(P_L2_Gracia)+N(P_L2_Cuotas),IF((1-N(P_L2_Mes)+1)=1,N(P_L2_Monto),0),PMT(N(P_L2_Tasa)/12,N(P_L2_Cuotas),-N(P_L2_Monto))-F$102),0)*F$9</f>
        <v>0</v>
      </c>
      <c r="G103" s="34" t="n">
        <f aca="false">IF(AND((2-N(P_L2_Mes)+1)&gt;N(P_L2_Gracia),(2-N(P_L2_Mes)+1)&lt;=N(P_L2_Gracia)+N(P_L2_Cuotas),N(P_L2_Cuotas)&gt;0),IF((2-N(P_L2_Mes)+1)=N(P_L2_Gracia)+N(P_L2_Cuotas),IF((2-N(P_L2_Mes)+1)=1,N(P_L2_Monto),F$104),PMT(N(P_L2_Tasa)/12,N(P_L2_Cuotas),-N(P_L2_Monto))-G$102),0)*G$9</f>
        <v>0</v>
      </c>
      <c r="H103" s="34" t="n">
        <f aca="false">IF(AND((3-N(P_L2_Mes)+1)&gt;N(P_L2_Gracia),(3-N(P_L2_Mes)+1)&lt;=N(P_L2_Gracia)+N(P_L2_Cuotas),N(P_L2_Cuotas)&gt;0),IF((3-N(P_L2_Mes)+1)=N(P_L2_Gracia)+N(P_L2_Cuotas),IF((3-N(P_L2_Mes)+1)=1,N(P_L2_Monto),G$104),PMT(N(P_L2_Tasa)/12,N(P_L2_Cuotas),-N(P_L2_Monto))-H$102),0)*H$9</f>
        <v>0</v>
      </c>
      <c r="I103" s="34" t="n">
        <f aca="false">IF(AND((4-N(P_L2_Mes)+1)&gt;N(P_L2_Gracia),(4-N(P_L2_Mes)+1)&lt;=N(P_L2_Gracia)+N(P_L2_Cuotas),N(P_L2_Cuotas)&gt;0),IF((4-N(P_L2_Mes)+1)=N(P_L2_Gracia)+N(P_L2_Cuotas),IF((4-N(P_L2_Mes)+1)=1,N(P_L2_Monto),H$104),PMT(N(P_L2_Tasa)/12,N(P_L2_Cuotas),-N(P_L2_Monto))-I$102),0)*I$9</f>
        <v>0</v>
      </c>
      <c r="J103" s="34" t="n">
        <f aca="false">IF(AND((5-N(P_L2_Mes)+1)&gt;N(P_L2_Gracia),(5-N(P_L2_Mes)+1)&lt;=N(P_L2_Gracia)+N(P_L2_Cuotas),N(P_L2_Cuotas)&gt;0),IF((5-N(P_L2_Mes)+1)=N(P_L2_Gracia)+N(P_L2_Cuotas),IF((5-N(P_L2_Mes)+1)=1,N(P_L2_Monto),I$104),PMT(N(P_L2_Tasa)/12,N(P_L2_Cuotas),-N(P_L2_Monto))-J$102),0)*J$9</f>
        <v>0</v>
      </c>
      <c r="K103" s="34" t="n">
        <f aca="false">IF(AND((6-N(P_L2_Mes)+1)&gt;N(P_L2_Gracia),(6-N(P_L2_Mes)+1)&lt;=N(P_L2_Gracia)+N(P_L2_Cuotas),N(P_L2_Cuotas)&gt;0),IF((6-N(P_L2_Mes)+1)=N(P_L2_Gracia)+N(P_L2_Cuotas),IF((6-N(P_L2_Mes)+1)=1,N(P_L2_Monto),J$104),PMT(N(P_L2_Tasa)/12,N(P_L2_Cuotas),-N(P_L2_Monto))-K$102),0)*K$9</f>
        <v>0</v>
      </c>
      <c r="L103" s="34" t="n">
        <f aca="false">IF(AND((7-N(P_L2_Mes)+1)&gt;N(P_L2_Gracia),(7-N(P_L2_Mes)+1)&lt;=N(P_L2_Gracia)+N(P_L2_Cuotas),N(P_L2_Cuotas)&gt;0),IF((7-N(P_L2_Mes)+1)=N(P_L2_Gracia)+N(P_L2_Cuotas),IF((7-N(P_L2_Mes)+1)=1,N(P_L2_Monto),K$104),PMT(N(P_L2_Tasa)/12,N(P_L2_Cuotas),-N(P_L2_Monto))-L$102),0)*L$9</f>
        <v>0</v>
      </c>
      <c r="M103" s="34" t="n">
        <f aca="false">IF(AND((8-N(P_L2_Mes)+1)&gt;N(P_L2_Gracia),(8-N(P_L2_Mes)+1)&lt;=N(P_L2_Gracia)+N(P_L2_Cuotas),N(P_L2_Cuotas)&gt;0),IF((8-N(P_L2_Mes)+1)=N(P_L2_Gracia)+N(P_L2_Cuotas),IF((8-N(P_L2_Mes)+1)=1,N(P_L2_Monto),L$104),PMT(N(P_L2_Tasa)/12,N(P_L2_Cuotas),-N(P_L2_Monto))-M$102),0)*M$9</f>
        <v>0</v>
      </c>
      <c r="N103" s="34" t="n">
        <f aca="false">IF(AND((9-N(P_L2_Mes)+1)&gt;N(P_L2_Gracia),(9-N(P_L2_Mes)+1)&lt;=N(P_L2_Gracia)+N(P_L2_Cuotas),N(P_L2_Cuotas)&gt;0),IF((9-N(P_L2_Mes)+1)=N(P_L2_Gracia)+N(P_L2_Cuotas),IF((9-N(P_L2_Mes)+1)=1,N(P_L2_Monto),M$104),PMT(N(P_L2_Tasa)/12,N(P_L2_Cuotas),-N(P_L2_Monto))-N$102),0)*N$9</f>
        <v>0</v>
      </c>
      <c r="O103" s="34" t="n">
        <f aca="false">IF(AND((10-N(P_L2_Mes)+1)&gt;N(P_L2_Gracia),(10-N(P_L2_Mes)+1)&lt;=N(P_L2_Gracia)+N(P_L2_Cuotas),N(P_L2_Cuotas)&gt;0),IF((10-N(P_L2_Mes)+1)=N(P_L2_Gracia)+N(P_L2_Cuotas),IF((10-N(P_L2_Mes)+1)=1,N(P_L2_Monto),N$104),PMT(N(P_L2_Tasa)/12,N(P_L2_Cuotas),-N(P_L2_Monto))-O$102),0)*O$9</f>
        <v>0</v>
      </c>
      <c r="P103" s="34" t="n">
        <f aca="false">IF(AND((11-N(P_L2_Mes)+1)&gt;N(P_L2_Gracia),(11-N(P_L2_Mes)+1)&lt;=N(P_L2_Gracia)+N(P_L2_Cuotas),N(P_L2_Cuotas)&gt;0),IF((11-N(P_L2_Mes)+1)=N(P_L2_Gracia)+N(P_L2_Cuotas),IF((11-N(P_L2_Mes)+1)=1,N(P_L2_Monto),O$104),PMT(N(P_L2_Tasa)/12,N(P_L2_Cuotas),-N(P_L2_Monto))-P$102),0)*P$9</f>
        <v>0</v>
      </c>
      <c r="Q103" s="34" t="n">
        <f aca="false">IF(AND((12-N(P_L2_Mes)+1)&gt;N(P_L2_Gracia),(12-N(P_L2_Mes)+1)&lt;=N(P_L2_Gracia)+N(P_L2_Cuotas),N(P_L2_Cuotas)&gt;0),IF((12-N(P_L2_Mes)+1)=N(P_L2_Gracia)+N(P_L2_Cuotas),IF((12-N(P_L2_Mes)+1)=1,N(P_L2_Monto),P$104),PMT(N(P_L2_Tasa)/12,N(P_L2_Cuotas),-N(P_L2_Monto))-Q$102),0)*Q$9</f>
        <v>0</v>
      </c>
      <c r="R103" s="34" t="n">
        <f aca="false">IF(AND((13-N(P_L2_Mes)+1)&gt;N(P_L2_Gracia),(13-N(P_L2_Mes)+1)&lt;=N(P_L2_Gracia)+N(P_L2_Cuotas),N(P_L2_Cuotas)&gt;0),IF((13-N(P_L2_Mes)+1)=N(P_L2_Gracia)+N(P_L2_Cuotas),IF((13-N(P_L2_Mes)+1)=1,N(P_L2_Monto),Q$104),PMT(N(P_L2_Tasa)/12,N(P_L2_Cuotas),-N(P_L2_Monto))-R$102),0)*R$9</f>
        <v>0</v>
      </c>
      <c r="S103" s="34" t="n">
        <f aca="false">IF(AND((14-N(P_L2_Mes)+1)&gt;N(P_L2_Gracia),(14-N(P_L2_Mes)+1)&lt;=N(P_L2_Gracia)+N(P_L2_Cuotas),N(P_L2_Cuotas)&gt;0),IF((14-N(P_L2_Mes)+1)=N(P_L2_Gracia)+N(P_L2_Cuotas),IF((14-N(P_L2_Mes)+1)=1,N(P_L2_Monto),R$104),PMT(N(P_L2_Tasa)/12,N(P_L2_Cuotas),-N(P_L2_Monto))-S$102),0)*S$9</f>
        <v>0</v>
      </c>
      <c r="T103" s="34" t="n">
        <f aca="false">IF(AND((15-N(P_L2_Mes)+1)&gt;N(P_L2_Gracia),(15-N(P_L2_Mes)+1)&lt;=N(P_L2_Gracia)+N(P_L2_Cuotas),N(P_L2_Cuotas)&gt;0),IF((15-N(P_L2_Mes)+1)=N(P_L2_Gracia)+N(P_L2_Cuotas),IF((15-N(P_L2_Mes)+1)=1,N(P_L2_Monto),S$104),PMT(N(P_L2_Tasa)/12,N(P_L2_Cuotas),-N(P_L2_Monto))-T$102),0)*T$9</f>
        <v>0</v>
      </c>
      <c r="U103" s="34" t="n">
        <f aca="false">IF(AND((16-N(P_L2_Mes)+1)&gt;N(P_L2_Gracia),(16-N(P_L2_Mes)+1)&lt;=N(P_L2_Gracia)+N(P_L2_Cuotas),N(P_L2_Cuotas)&gt;0),IF((16-N(P_L2_Mes)+1)=N(P_L2_Gracia)+N(P_L2_Cuotas),IF((16-N(P_L2_Mes)+1)=1,N(P_L2_Monto),T$104),PMT(N(P_L2_Tasa)/12,N(P_L2_Cuotas),-N(P_L2_Monto))-U$102),0)*U$9</f>
        <v>0</v>
      </c>
      <c r="V103" s="34" t="n">
        <f aca="false">IF(AND((17-N(P_L2_Mes)+1)&gt;N(P_L2_Gracia),(17-N(P_L2_Mes)+1)&lt;=N(P_L2_Gracia)+N(P_L2_Cuotas),N(P_L2_Cuotas)&gt;0),IF((17-N(P_L2_Mes)+1)=N(P_L2_Gracia)+N(P_L2_Cuotas),IF((17-N(P_L2_Mes)+1)=1,N(P_L2_Monto),U$104),PMT(N(P_L2_Tasa)/12,N(P_L2_Cuotas),-N(P_L2_Monto))-V$102),0)*V$9</f>
        <v>0</v>
      </c>
      <c r="W103" s="34" t="n">
        <f aca="false">IF(AND((18-N(P_L2_Mes)+1)&gt;N(P_L2_Gracia),(18-N(P_L2_Mes)+1)&lt;=N(P_L2_Gracia)+N(P_L2_Cuotas),N(P_L2_Cuotas)&gt;0),IF((18-N(P_L2_Mes)+1)=N(P_L2_Gracia)+N(P_L2_Cuotas),IF((18-N(P_L2_Mes)+1)=1,N(P_L2_Monto),V$104),PMT(N(P_L2_Tasa)/12,N(P_L2_Cuotas),-N(P_L2_Monto))-W$102),0)*W$9</f>
        <v>0</v>
      </c>
      <c r="X103" s="34" t="n">
        <f aca="false">IF(AND((19-N(P_L2_Mes)+1)&gt;N(P_L2_Gracia),(19-N(P_L2_Mes)+1)&lt;=N(P_L2_Gracia)+N(P_L2_Cuotas),N(P_L2_Cuotas)&gt;0),IF((19-N(P_L2_Mes)+1)=N(P_L2_Gracia)+N(P_L2_Cuotas),IF((19-N(P_L2_Mes)+1)=1,N(P_L2_Monto),W$104),PMT(N(P_L2_Tasa)/12,N(P_L2_Cuotas),-N(P_L2_Monto))-X$102),0)*X$9</f>
        <v>0</v>
      </c>
      <c r="Y103" s="34" t="n">
        <f aca="false">IF(AND((20-N(P_L2_Mes)+1)&gt;N(P_L2_Gracia),(20-N(P_L2_Mes)+1)&lt;=N(P_L2_Gracia)+N(P_L2_Cuotas),N(P_L2_Cuotas)&gt;0),IF((20-N(P_L2_Mes)+1)=N(P_L2_Gracia)+N(P_L2_Cuotas),IF((20-N(P_L2_Mes)+1)=1,N(P_L2_Monto),X$104),PMT(N(P_L2_Tasa)/12,N(P_L2_Cuotas),-N(P_L2_Monto))-Y$102),0)*Y$9</f>
        <v>0</v>
      </c>
      <c r="Z103" s="34" t="n">
        <f aca="false">IF(AND((21-N(P_L2_Mes)+1)&gt;N(P_L2_Gracia),(21-N(P_L2_Mes)+1)&lt;=N(P_L2_Gracia)+N(P_L2_Cuotas),N(P_L2_Cuotas)&gt;0),IF((21-N(P_L2_Mes)+1)=N(P_L2_Gracia)+N(P_L2_Cuotas),IF((21-N(P_L2_Mes)+1)=1,N(P_L2_Monto),Y$104),PMT(N(P_L2_Tasa)/12,N(P_L2_Cuotas),-N(P_L2_Monto))-Z$102),0)*Z$9</f>
        <v>0</v>
      </c>
      <c r="AA103" s="34" t="n">
        <f aca="false">IF(AND((22-N(P_L2_Mes)+1)&gt;N(P_L2_Gracia),(22-N(P_L2_Mes)+1)&lt;=N(P_L2_Gracia)+N(P_L2_Cuotas),N(P_L2_Cuotas)&gt;0),IF((22-N(P_L2_Mes)+1)=N(P_L2_Gracia)+N(P_L2_Cuotas),IF((22-N(P_L2_Mes)+1)=1,N(P_L2_Monto),Z$104),PMT(N(P_L2_Tasa)/12,N(P_L2_Cuotas),-N(P_L2_Monto))-AA$102),0)*AA$9</f>
        <v>0</v>
      </c>
      <c r="AB103" s="34" t="n">
        <f aca="false">IF(AND((23-N(P_L2_Mes)+1)&gt;N(P_L2_Gracia),(23-N(P_L2_Mes)+1)&lt;=N(P_L2_Gracia)+N(P_L2_Cuotas),N(P_L2_Cuotas)&gt;0),IF((23-N(P_L2_Mes)+1)=N(P_L2_Gracia)+N(P_L2_Cuotas),IF((23-N(P_L2_Mes)+1)=1,N(P_L2_Monto),AA$104),PMT(N(P_L2_Tasa)/12,N(P_L2_Cuotas),-N(P_L2_Monto))-AB$102),0)*AB$9</f>
        <v>0</v>
      </c>
      <c r="AC103" s="34" t="n">
        <f aca="false">IF(AND((24-N(P_L2_Mes)+1)&gt;N(P_L2_Gracia),(24-N(P_L2_Mes)+1)&lt;=N(P_L2_Gracia)+N(P_L2_Cuotas),N(P_L2_Cuotas)&gt;0),IF((24-N(P_L2_Mes)+1)=N(P_L2_Gracia)+N(P_L2_Cuotas),IF((24-N(P_L2_Mes)+1)=1,N(P_L2_Monto),AB$104),PMT(N(P_L2_Tasa)/12,N(P_L2_Cuotas),-N(P_L2_Monto))-AC$102),0)*AC$9</f>
        <v>0</v>
      </c>
      <c r="AD103" s="34" t="n">
        <f aca="false">IF(AND((25-N(P_L2_Mes)+1)&gt;N(P_L2_Gracia),(25-N(P_L2_Mes)+1)&lt;=N(P_L2_Gracia)+N(P_L2_Cuotas),N(P_L2_Cuotas)&gt;0),IF((25-N(P_L2_Mes)+1)=N(P_L2_Gracia)+N(P_L2_Cuotas),IF((25-N(P_L2_Mes)+1)=1,N(P_L2_Monto),AC$104),PMT(N(P_L2_Tasa)/12,N(P_L2_Cuotas),-N(P_L2_Monto))-AD$102),0)*AD$9</f>
        <v>0</v>
      </c>
      <c r="AE103" s="34" t="n">
        <f aca="false">IF(AND((26-N(P_L2_Mes)+1)&gt;N(P_L2_Gracia),(26-N(P_L2_Mes)+1)&lt;=N(P_L2_Gracia)+N(P_L2_Cuotas),N(P_L2_Cuotas)&gt;0),IF((26-N(P_L2_Mes)+1)=N(P_L2_Gracia)+N(P_L2_Cuotas),IF((26-N(P_L2_Mes)+1)=1,N(P_L2_Monto),AD$104),PMT(N(P_L2_Tasa)/12,N(P_L2_Cuotas),-N(P_L2_Monto))-AE$102),0)*AE$9</f>
        <v>0</v>
      </c>
      <c r="AF103" s="34" t="n">
        <f aca="false">IF(AND((27-N(P_L2_Mes)+1)&gt;N(P_L2_Gracia),(27-N(P_L2_Mes)+1)&lt;=N(P_L2_Gracia)+N(P_L2_Cuotas),N(P_L2_Cuotas)&gt;0),IF((27-N(P_L2_Mes)+1)=N(P_L2_Gracia)+N(P_L2_Cuotas),IF((27-N(P_L2_Mes)+1)=1,N(P_L2_Monto),AE$104),PMT(N(P_L2_Tasa)/12,N(P_L2_Cuotas),-N(P_L2_Monto))-AF$102),0)*AF$9</f>
        <v>0</v>
      </c>
      <c r="AG103" s="34" t="n">
        <f aca="false">IF(AND((28-N(P_L2_Mes)+1)&gt;N(P_L2_Gracia),(28-N(P_L2_Mes)+1)&lt;=N(P_L2_Gracia)+N(P_L2_Cuotas),N(P_L2_Cuotas)&gt;0),IF((28-N(P_L2_Mes)+1)=N(P_L2_Gracia)+N(P_L2_Cuotas),IF((28-N(P_L2_Mes)+1)=1,N(P_L2_Monto),AF$104),PMT(N(P_L2_Tasa)/12,N(P_L2_Cuotas),-N(P_L2_Monto))-AG$102),0)*AG$9</f>
        <v>0</v>
      </c>
      <c r="AH103" s="34" t="n">
        <f aca="false">IF(AND((29-N(P_L2_Mes)+1)&gt;N(P_L2_Gracia),(29-N(P_L2_Mes)+1)&lt;=N(P_L2_Gracia)+N(P_L2_Cuotas),N(P_L2_Cuotas)&gt;0),IF((29-N(P_L2_Mes)+1)=N(P_L2_Gracia)+N(P_L2_Cuotas),IF((29-N(P_L2_Mes)+1)=1,N(P_L2_Monto),AG$104),PMT(N(P_L2_Tasa)/12,N(P_L2_Cuotas),-N(P_L2_Monto))-AH$102),0)*AH$9</f>
        <v>0</v>
      </c>
      <c r="AI103" s="34" t="n">
        <f aca="false">IF(AND((30-N(P_L2_Mes)+1)&gt;N(P_L2_Gracia),(30-N(P_L2_Mes)+1)&lt;=N(P_L2_Gracia)+N(P_L2_Cuotas),N(P_L2_Cuotas)&gt;0),IF((30-N(P_L2_Mes)+1)=N(P_L2_Gracia)+N(P_L2_Cuotas),IF((30-N(P_L2_Mes)+1)=1,N(P_L2_Monto),AH$104),PMT(N(P_L2_Tasa)/12,N(P_L2_Cuotas),-N(P_L2_Monto))-AI$102),0)*AI$9</f>
        <v>0</v>
      </c>
      <c r="AJ103" s="34" t="n">
        <f aca="false">IF(AND((31-N(P_L2_Mes)+1)&gt;N(P_L2_Gracia),(31-N(P_L2_Mes)+1)&lt;=N(P_L2_Gracia)+N(P_L2_Cuotas),N(P_L2_Cuotas)&gt;0),IF((31-N(P_L2_Mes)+1)=N(P_L2_Gracia)+N(P_L2_Cuotas),IF((31-N(P_L2_Mes)+1)=1,N(P_L2_Monto),AI$104),PMT(N(P_L2_Tasa)/12,N(P_L2_Cuotas),-N(P_L2_Monto))-AJ$102),0)*AJ$9</f>
        <v>0</v>
      </c>
      <c r="AK103" s="34" t="n">
        <f aca="false">IF(AND((32-N(P_L2_Mes)+1)&gt;N(P_L2_Gracia),(32-N(P_L2_Mes)+1)&lt;=N(P_L2_Gracia)+N(P_L2_Cuotas),N(P_L2_Cuotas)&gt;0),IF((32-N(P_L2_Mes)+1)=N(P_L2_Gracia)+N(P_L2_Cuotas),IF((32-N(P_L2_Mes)+1)=1,N(P_L2_Monto),AJ$104),PMT(N(P_L2_Tasa)/12,N(P_L2_Cuotas),-N(P_L2_Monto))-AK$102),0)*AK$9</f>
        <v>0</v>
      </c>
      <c r="AL103" s="34" t="n">
        <f aca="false">IF(AND((33-N(P_L2_Mes)+1)&gt;N(P_L2_Gracia),(33-N(P_L2_Mes)+1)&lt;=N(P_L2_Gracia)+N(P_L2_Cuotas),N(P_L2_Cuotas)&gt;0),IF((33-N(P_L2_Mes)+1)=N(P_L2_Gracia)+N(P_L2_Cuotas),IF((33-N(P_L2_Mes)+1)=1,N(P_L2_Monto),AK$104),PMT(N(P_L2_Tasa)/12,N(P_L2_Cuotas),-N(P_L2_Monto))-AL$102),0)*AL$9</f>
        <v>0</v>
      </c>
      <c r="AM103" s="34" t="n">
        <f aca="false">IF(AND((34-N(P_L2_Mes)+1)&gt;N(P_L2_Gracia),(34-N(P_L2_Mes)+1)&lt;=N(P_L2_Gracia)+N(P_L2_Cuotas),N(P_L2_Cuotas)&gt;0),IF((34-N(P_L2_Mes)+1)=N(P_L2_Gracia)+N(P_L2_Cuotas),IF((34-N(P_L2_Mes)+1)=1,N(P_L2_Monto),AL$104),PMT(N(P_L2_Tasa)/12,N(P_L2_Cuotas),-N(P_L2_Monto))-AM$102),0)*AM$9</f>
        <v>0</v>
      </c>
      <c r="AN103" s="34" t="n">
        <f aca="false">IF(AND((35-N(P_L2_Mes)+1)&gt;N(P_L2_Gracia),(35-N(P_L2_Mes)+1)&lt;=N(P_L2_Gracia)+N(P_L2_Cuotas),N(P_L2_Cuotas)&gt;0),IF((35-N(P_L2_Mes)+1)=N(P_L2_Gracia)+N(P_L2_Cuotas),IF((35-N(P_L2_Mes)+1)=1,N(P_L2_Monto),AM$104),PMT(N(P_L2_Tasa)/12,N(P_L2_Cuotas),-N(P_L2_Monto))-AN$102),0)*AN$9</f>
        <v>0</v>
      </c>
      <c r="AO103" s="34" t="n">
        <f aca="false">IF(AND((36-N(P_L2_Mes)+1)&gt;N(P_L2_Gracia),(36-N(P_L2_Mes)+1)&lt;=N(P_L2_Gracia)+N(P_L2_Cuotas),N(P_L2_Cuotas)&gt;0),IF((36-N(P_L2_Mes)+1)=N(P_L2_Gracia)+N(P_L2_Cuotas),IF((36-N(P_L2_Mes)+1)=1,N(P_L2_Monto),AN$104),PMT(N(P_L2_Tasa)/12,N(P_L2_Cuotas),-N(P_L2_Monto))-AO$102),0)*AO$9</f>
        <v>0</v>
      </c>
      <c r="AP103" s="34" t="n">
        <f aca="false">IF(AND((37-N(P_L2_Mes)+1)&gt;N(P_L2_Gracia),(37-N(P_L2_Mes)+1)&lt;=N(P_L2_Gracia)+N(P_L2_Cuotas),N(P_L2_Cuotas)&gt;0),IF((37-N(P_L2_Mes)+1)=N(P_L2_Gracia)+N(P_L2_Cuotas),IF((37-N(P_L2_Mes)+1)=1,N(P_L2_Monto),AO$104),PMT(N(P_L2_Tasa)/12,N(P_L2_Cuotas),-N(P_L2_Monto))-AP$102),0)*AP$9</f>
        <v>0</v>
      </c>
      <c r="AQ103" s="34" t="n">
        <f aca="false">IF(AND((38-N(P_L2_Mes)+1)&gt;N(P_L2_Gracia),(38-N(P_L2_Mes)+1)&lt;=N(P_L2_Gracia)+N(P_L2_Cuotas),N(P_L2_Cuotas)&gt;0),IF((38-N(P_L2_Mes)+1)=N(P_L2_Gracia)+N(P_L2_Cuotas),IF((38-N(P_L2_Mes)+1)=1,N(P_L2_Monto),AP$104),PMT(N(P_L2_Tasa)/12,N(P_L2_Cuotas),-N(P_L2_Monto))-AQ$102),0)*AQ$9</f>
        <v>0</v>
      </c>
      <c r="AR103" s="34" t="n">
        <f aca="false">IF(AND((39-N(P_L2_Mes)+1)&gt;N(P_L2_Gracia),(39-N(P_L2_Mes)+1)&lt;=N(P_L2_Gracia)+N(P_L2_Cuotas),N(P_L2_Cuotas)&gt;0),IF((39-N(P_L2_Mes)+1)=N(P_L2_Gracia)+N(P_L2_Cuotas),IF((39-N(P_L2_Mes)+1)=1,N(P_L2_Monto),AQ$104),PMT(N(P_L2_Tasa)/12,N(P_L2_Cuotas),-N(P_L2_Monto))-AR$102),0)*AR$9</f>
        <v>0</v>
      </c>
      <c r="AS103" s="34" t="n">
        <f aca="false">IF(AND((40-N(P_L2_Mes)+1)&gt;N(P_L2_Gracia),(40-N(P_L2_Mes)+1)&lt;=N(P_L2_Gracia)+N(P_L2_Cuotas),N(P_L2_Cuotas)&gt;0),IF((40-N(P_L2_Mes)+1)=N(P_L2_Gracia)+N(P_L2_Cuotas),IF((40-N(P_L2_Mes)+1)=1,N(P_L2_Monto),AR$104),PMT(N(P_L2_Tasa)/12,N(P_L2_Cuotas),-N(P_L2_Monto))-AS$102),0)*AS$9</f>
        <v>0</v>
      </c>
      <c r="AT103" s="34" t="n">
        <f aca="false">IF(AND((41-N(P_L2_Mes)+1)&gt;N(P_L2_Gracia),(41-N(P_L2_Mes)+1)&lt;=N(P_L2_Gracia)+N(P_L2_Cuotas),N(P_L2_Cuotas)&gt;0),IF((41-N(P_L2_Mes)+1)=N(P_L2_Gracia)+N(P_L2_Cuotas),IF((41-N(P_L2_Mes)+1)=1,N(P_L2_Monto),AS$104),PMT(N(P_L2_Tasa)/12,N(P_L2_Cuotas),-N(P_L2_Monto))-AT$102),0)*AT$9</f>
        <v>0</v>
      </c>
      <c r="AU103" s="34" t="n">
        <f aca="false">IF(AND((42-N(P_L2_Mes)+1)&gt;N(P_L2_Gracia),(42-N(P_L2_Mes)+1)&lt;=N(P_L2_Gracia)+N(P_L2_Cuotas),N(P_L2_Cuotas)&gt;0),IF((42-N(P_L2_Mes)+1)=N(P_L2_Gracia)+N(P_L2_Cuotas),IF((42-N(P_L2_Mes)+1)=1,N(P_L2_Monto),AT$104),PMT(N(P_L2_Tasa)/12,N(P_L2_Cuotas),-N(P_L2_Monto))-AU$102),0)*AU$9</f>
        <v>0</v>
      </c>
      <c r="AV103" s="34" t="n">
        <f aca="false">IF(AND((43-N(P_L2_Mes)+1)&gt;N(P_L2_Gracia),(43-N(P_L2_Mes)+1)&lt;=N(P_L2_Gracia)+N(P_L2_Cuotas),N(P_L2_Cuotas)&gt;0),IF((43-N(P_L2_Mes)+1)=N(P_L2_Gracia)+N(P_L2_Cuotas),IF((43-N(P_L2_Mes)+1)=1,N(P_L2_Monto),AU$104),PMT(N(P_L2_Tasa)/12,N(P_L2_Cuotas),-N(P_L2_Monto))-AV$102),0)*AV$9</f>
        <v>0</v>
      </c>
      <c r="AW103" s="34" t="n">
        <f aca="false">IF(AND((44-N(P_L2_Mes)+1)&gt;N(P_L2_Gracia),(44-N(P_L2_Mes)+1)&lt;=N(P_L2_Gracia)+N(P_L2_Cuotas),N(P_L2_Cuotas)&gt;0),IF((44-N(P_L2_Mes)+1)=N(P_L2_Gracia)+N(P_L2_Cuotas),IF((44-N(P_L2_Mes)+1)=1,N(P_L2_Monto),AV$104),PMT(N(P_L2_Tasa)/12,N(P_L2_Cuotas),-N(P_L2_Monto))-AW$102),0)*AW$9</f>
        <v>0</v>
      </c>
      <c r="AX103" s="34" t="n">
        <f aca="false">IF(AND((45-N(P_L2_Mes)+1)&gt;N(P_L2_Gracia),(45-N(P_L2_Mes)+1)&lt;=N(P_L2_Gracia)+N(P_L2_Cuotas),N(P_L2_Cuotas)&gt;0),IF((45-N(P_L2_Mes)+1)=N(P_L2_Gracia)+N(P_L2_Cuotas),IF((45-N(P_L2_Mes)+1)=1,N(P_L2_Monto),AW$104),PMT(N(P_L2_Tasa)/12,N(P_L2_Cuotas),-N(P_L2_Monto))-AX$102),0)*AX$9</f>
        <v>0</v>
      </c>
      <c r="AY103" s="34" t="n">
        <f aca="false">IF(AND((46-N(P_L2_Mes)+1)&gt;N(P_L2_Gracia),(46-N(P_L2_Mes)+1)&lt;=N(P_L2_Gracia)+N(P_L2_Cuotas),N(P_L2_Cuotas)&gt;0),IF((46-N(P_L2_Mes)+1)=N(P_L2_Gracia)+N(P_L2_Cuotas),IF((46-N(P_L2_Mes)+1)=1,N(P_L2_Monto),AX$104),PMT(N(P_L2_Tasa)/12,N(P_L2_Cuotas),-N(P_L2_Monto))-AY$102),0)*AY$9</f>
        <v>0</v>
      </c>
      <c r="AZ103" s="34" t="n">
        <f aca="false">IF(AND((47-N(P_L2_Mes)+1)&gt;N(P_L2_Gracia),(47-N(P_L2_Mes)+1)&lt;=N(P_L2_Gracia)+N(P_L2_Cuotas),N(P_L2_Cuotas)&gt;0),IF((47-N(P_L2_Mes)+1)=N(P_L2_Gracia)+N(P_L2_Cuotas),IF((47-N(P_L2_Mes)+1)=1,N(P_L2_Monto),AY$104),PMT(N(P_L2_Tasa)/12,N(P_L2_Cuotas),-N(P_L2_Monto))-AZ$102),0)*AZ$9</f>
        <v>0</v>
      </c>
      <c r="BA103" s="34" t="n">
        <f aca="false">IF(AND((48-N(P_L2_Mes)+1)&gt;N(P_L2_Gracia),(48-N(P_L2_Mes)+1)&lt;=N(P_L2_Gracia)+N(P_L2_Cuotas),N(P_L2_Cuotas)&gt;0),IF((48-N(P_L2_Mes)+1)=N(P_L2_Gracia)+N(P_L2_Cuotas),IF((48-N(P_L2_Mes)+1)=1,N(P_L2_Monto),AZ$104),PMT(N(P_L2_Tasa)/12,N(P_L2_Cuotas),-N(P_L2_Monto))-BA$102),0)*BA$9</f>
        <v>0</v>
      </c>
      <c r="BB103" s="34" t="n">
        <f aca="false">IF(AND((49-N(P_L2_Mes)+1)&gt;N(P_L2_Gracia),(49-N(P_L2_Mes)+1)&lt;=N(P_L2_Gracia)+N(P_L2_Cuotas),N(P_L2_Cuotas)&gt;0),IF((49-N(P_L2_Mes)+1)=N(P_L2_Gracia)+N(P_L2_Cuotas),IF((49-N(P_L2_Mes)+1)=1,N(P_L2_Monto),BA$104),PMT(N(P_L2_Tasa)/12,N(P_L2_Cuotas),-N(P_L2_Monto))-BB$102),0)*BB$9</f>
        <v>0</v>
      </c>
      <c r="BC103" s="34" t="n">
        <f aca="false">IF(AND((50-N(P_L2_Mes)+1)&gt;N(P_L2_Gracia),(50-N(P_L2_Mes)+1)&lt;=N(P_L2_Gracia)+N(P_L2_Cuotas),N(P_L2_Cuotas)&gt;0),IF((50-N(P_L2_Mes)+1)=N(P_L2_Gracia)+N(P_L2_Cuotas),IF((50-N(P_L2_Mes)+1)=1,N(P_L2_Monto),BB$104),PMT(N(P_L2_Tasa)/12,N(P_L2_Cuotas),-N(P_L2_Monto))-BC$102),0)*BC$9</f>
        <v>0</v>
      </c>
      <c r="BD103" s="34" t="n">
        <f aca="false">IF(AND((51-N(P_L2_Mes)+1)&gt;N(P_L2_Gracia),(51-N(P_L2_Mes)+1)&lt;=N(P_L2_Gracia)+N(P_L2_Cuotas),N(P_L2_Cuotas)&gt;0),IF((51-N(P_L2_Mes)+1)=N(P_L2_Gracia)+N(P_L2_Cuotas),IF((51-N(P_L2_Mes)+1)=1,N(P_L2_Monto),BC$104),PMT(N(P_L2_Tasa)/12,N(P_L2_Cuotas),-N(P_L2_Monto))-BD$102),0)*BD$9</f>
        <v>0</v>
      </c>
      <c r="BE103" s="34" t="n">
        <f aca="false">IF(AND((52-N(P_L2_Mes)+1)&gt;N(P_L2_Gracia),(52-N(P_L2_Mes)+1)&lt;=N(P_L2_Gracia)+N(P_L2_Cuotas),N(P_L2_Cuotas)&gt;0),IF((52-N(P_L2_Mes)+1)=N(P_L2_Gracia)+N(P_L2_Cuotas),IF((52-N(P_L2_Mes)+1)=1,N(P_L2_Monto),BD$104),PMT(N(P_L2_Tasa)/12,N(P_L2_Cuotas),-N(P_L2_Monto))-BE$102),0)*BE$9</f>
        <v>0</v>
      </c>
      <c r="BF103" s="34" t="n">
        <f aca="false">IF(AND((53-N(P_L2_Mes)+1)&gt;N(P_L2_Gracia),(53-N(P_L2_Mes)+1)&lt;=N(P_L2_Gracia)+N(P_L2_Cuotas),N(P_L2_Cuotas)&gt;0),IF((53-N(P_L2_Mes)+1)=N(P_L2_Gracia)+N(P_L2_Cuotas),IF((53-N(P_L2_Mes)+1)=1,N(P_L2_Monto),BE$104),PMT(N(P_L2_Tasa)/12,N(P_L2_Cuotas),-N(P_L2_Monto))-BF$102),0)*BF$9</f>
        <v>0</v>
      </c>
      <c r="BG103" s="34" t="n">
        <f aca="false">IF(AND((54-N(P_L2_Mes)+1)&gt;N(P_L2_Gracia),(54-N(P_L2_Mes)+1)&lt;=N(P_L2_Gracia)+N(P_L2_Cuotas),N(P_L2_Cuotas)&gt;0),IF((54-N(P_L2_Mes)+1)=N(P_L2_Gracia)+N(P_L2_Cuotas),IF((54-N(P_L2_Mes)+1)=1,N(P_L2_Monto),BF$104),PMT(N(P_L2_Tasa)/12,N(P_L2_Cuotas),-N(P_L2_Monto))-BG$102),0)*BG$9</f>
        <v>0</v>
      </c>
      <c r="BH103" s="34" t="n">
        <f aca="false">IF(AND((55-N(P_L2_Mes)+1)&gt;N(P_L2_Gracia),(55-N(P_L2_Mes)+1)&lt;=N(P_L2_Gracia)+N(P_L2_Cuotas),N(P_L2_Cuotas)&gt;0),IF((55-N(P_L2_Mes)+1)=N(P_L2_Gracia)+N(P_L2_Cuotas),IF((55-N(P_L2_Mes)+1)=1,N(P_L2_Monto),BG$104),PMT(N(P_L2_Tasa)/12,N(P_L2_Cuotas),-N(P_L2_Monto))-BH$102),0)*BH$9</f>
        <v>0</v>
      </c>
      <c r="BI103" s="34" t="n">
        <f aca="false">IF(AND((56-N(P_L2_Mes)+1)&gt;N(P_L2_Gracia),(56-N(P_L2_Mes)+1)&lt;=N(P_L2_Gracia)+N(P_L2_Cuotas),N(P_L2_Cuotas)&gt;0),IF((56-N(P_L2_Mes)+1)=N(P_L2_Gracia)+N(P_L2_Cuotas),IF((56-N(P_L2_Mes)+1)=1,N(P_L2_Monto),BH$104),PMT(N(P_L2_Tasa)/12,N(P_L2_Cuotas),-N(P_L2_Monto))-BI$102),0)*BI$9</f>
        <v>0</v>
      </c>
      <c r="BJ103" s="34" t="n">
        <f aca="false">IF(AND((57-N(P_L2_Mes)+1)&gt;N(P_L2_Gracia),(57-N(P_L2_Mes)+1)&lt;=N(P_L2_Gracia)+N(P_L2_Cuotas),N(P_L2_Cuotas)&gt;0),IF((57-N(P_L2_Mes)+1)=N(P_L2_Gracia)+N(P_L2_Cuotas),IF((57-N(P_L2_Mes)+1)=1,N(P_L2_Monto),BI$104),PMT(N(P_L2_Tasa)/12,N(P_L2_Cuotas),-N(P_L2_Monto))-BJ$102),0)*BJ$9</f>
        <v>0</v>
      </c>
      <c r="BK103" s="34" t="n">
        <f aca="false">IF(AND((58-N(P_L2_Mes)+1)&gt;N(P_L2_Gracia),(58-N(P_L2_Mes)+1)&lt;=N(P_L2_Gracia)+N(P_L2_Cuotas),N(P_L2_Cuotas)&gt;0),IF((58-N(P_L2_Mes)+1)=N(P_L2_Gracia)+N(P_L2_Cuotas),IF((58-N(P_L2_Mes)+1)=1,N(P_L2_Monto),BJ$104),PMT(N(P_L2_Tasa)/12,N(P_L2_Cuotas),-N(P_L2_Monto))-BK$102),0)*BK$9</f>
        <v>0</v>
      </c>
      <c r="BL103" s="34" t="n">
        <f aca="false">IF(AND((59-N(P_L2_Mes)+1)&gt;N(P_L2_Gracia),(59-N(P_L2_Mes)+1)&lt;=N(P_L2_Gracia)+N(P_L2_Cuotas),N(P_L2_Cuotas)&gt;0),IF((59-N(P_L2_Mes)+1)=N(P_L2_Gracia)+N(P_L2_Cuotas),IF((59-N(P_L2_Mes)+1)=1,N(P_L2_Monto),BK$104),PMT(N(P_L2_Tasa)/12,N(P_L2_Cuotas),-N(P_L2_Monto))-BL$102),0)*BL$9</f>
        <v>0</v>
      </c>
      <c r="BM103" s="34" t="n">
        <f aca="false">IF(AND((60-N(P_L2_Mes)+1)&gt;N(P_L2_Gracia),(60-N(P_L2_Mes)+1)&lt;=N(P_L2_Gracia)+N(P_L2_Cuotas),N(P_L2_Cuotas)&gt;0),IF((60-N(P_L2_Mes)+1)=N(P_L2_Gracia)+N(P_L2_Cuotas),IF((60-N(P_L2_Mes)+1)=1,N(P_L2_Monto),BL$104),PMT(N(P_L2_Tasa)/12,N(P_L2_Cuotas),-N(P_L2_Monto))-BM$102),0)*BM$9</f>
        <v>0</v>
      </c>
      <c r="BN103" s="34" t="n">
        <f aca="false">IF(AND((61-N(P_L2_Mes)+1)&gt;N(P_L2_Gracia),(61-N(P_L2_Mes)+1)&lt;=N(P_L2_Gracia)+N(P_L2_Cuotas),N(P_L2_Cuotas)&gt;0),IF((61-N(P_L2_Mes)+1)=N(P_L2_Gracia)+N(P_L2_Cuotas),IF((61-N(P_L2_Mes)+1)=1,N(P_L2_Monto),BM$104),PMT(N(P_L2_Tasa)/12,N(P_L2_Cuotas),-N(P_L2_Monto))-BN$102),0)*BN$9</f>
        <v>0</v>
      </c>
      <c r="BO103" s="34" t="n">
        <f aca="false">IF(AND((62-N(P_L2_Mes)+1)&gt;N(P_L2_Gracia),(62-N(P_L2_Mes)+1)&lt;=N(P_L2_Gracia)+N(P_L2_Cuotas),N(P_L2_Cuotas)&gt;0),IF((62-N(P_L2_Mes)+1)=N(P_L2_Gracia)+N(P_L2_Cuotas),IF((62-N(P_L2_Mes)+1)=1,N(P_L2_Monto),BN$104),PMT(N(P_L2_Tasa)/12,N(P_L2_Cuotas),-N(P_L2_Monto))-BO$102),0)*BO$9</f>
        <v>0</v>
      </c>
      <c r="BP103" s="34" t="n">
        <f aca="false">IF(AND((63-N(P_L2_Mes)+1)&gt;N(P_L2_Gracia),(63-N(P_L2_Mes)+1)&lt;=N(P_L2_Gracia)+N(P_L2_Cuotas),N(P_L2_Cuotas)&gt;0),IF((63-N(P_L2_Mes)+1)=N(P_L2_Gracia)+N(P_L2_Cuotas),IF((63-N(P_L2_Mes)+1)=1,N(P_L2_Monto),BO$104),PMT(N(P_L2_Tasa)/12,N(P_L2_Cuotas),-N(P_L2_Monto))-BP$102),0)*BP$9</f>
        <v>0</v>
      </c>
      <c r="BQ103" s="34" t="n">
        <f aca="false">IF(AND((64-N(P_L2_Mes)+1)&gt;N(P_L2_Gracia),(64-N(P_L2_Mes)+1)&lt;=N(P_L2_Gracia)+N(P_L2_Cuotas),N(P_L2_Cuotas)&gt;0),IF((64-N(P_L2_Mes)+1)=N(P_L2_Gracia)+N(P_L2_Cuotas),IF((64-N(P_L2_Mes)+1)=1,N(P_L2_Monto),BP$104),PMT(N(P_L2_Tasa)/12,N(P_L2_Cuotas),-N(P_L2_Monto))-BQ$102),0)*BQ$9</f>
        <v>0</v>
      </c>
      <c r="BR103" s="34" t="n">
        <f aca="false">IF(AND((65-N(P_L2_Mes)+1)&gt;N(P_L2_Gracia),(65-N(P_L2_Mes)+1)&lt;=N(P_L2_Gracia)+N(P_L2_Cuotas),N(P_L2_Cuotas)&gt;0),IF((65-N(P_L2_Mes)+1)=N(P_L2_Gracia)+N(P_L2_Cuotas),IF((65-N(P_L2_Mes)+1)=1,N(P_L2_Monto),BQ$104),PMT(N(P_L2_Tasa)/12,N(P_L2_Cuotas),-N(P_L2_Monto))-BR$102),0)*BR$9</f>
        <v>0</v>
      </c>
      <c r="BS103" s="34" t="n">
        <f aca="false">IF(AND((66-N(P_L2_Mes)+1)&gt;N(P_L2_Gracia),(66-N(P_L2_Mes)+1)&lt;=N(P_L2_Gracia)+N(P_L2_Cuotas),N(P_L2_Cuotas)&gt;0),IF((66-N(P_L2_Mes)+1)=N(P_L2_Gracia)+N(P_L2_Cuotas),IF((66-N(P_L2_Mes)+1)=1,N(P_L2_Monto),BR$104),PMT(N(P_L2_Tasa)/12,N(P_L2_Cuotas),-N(P_L2_Monto))-BS$102),0)*BS$9</f>
        <v>0</v>
      </c>
      <c r="BT103" s="34" t="n">
        <f aca="false">IF(AND((67-N(P_L2_Mes)+1)&gt;N(P_L2_Gracia),(67-N(P_L2_Mes)+1)&lt;=N(P_L2_Gracia)+N(P_L2_Cuotas),N(P_L2_Cuotas)&gt;0),IF((67-N(P_L2_Mes)+1)=N(P_L2_Gracia)+N(P_L2_Cuotas),IF((67-N(P_L2_Mes)+1)=1,N(P_L2_Monto),BS$104),PMT(N(P_L2_Tasa)/12,N(P_L2_Cuotas),-N(P_L2_Monto))-BT$102),0)*BT$9</f>
        <v>0</v>
      </c>
      <c r="BU103" s="34" t="n">
        <f aca="false">IF(AND((68-N(P_L2_Mes)+1)&gt;N(P_L2_Gracia),(68-N(P_L2_Mes)+1)&lt;=N(P_L2_Gracia)+N(P_L2_Cuotas),N(P_L2_Cuotas)&gt;0),IF((68-N(P_L2_Mes)+1)=N(P_L2_Gracia)+N(P_L2_Cuotas),IF((68-N(P_L2_Mes)+1)=1,N(P_L2_Monto),BT$104),PMT(N(P_L2_Tasa)/12,N(P_L2_Cuotas),-N(P_L2_Monto))-BU$102),0)*BU$9</f>
        <v>0</v>
      </c>
      <c r="BV103" s="34" t="n">
        <f aca="false">IF(AND((69-N(P_L2_Mes)+1)&gt;N(P_L2_Gracia),(69-N(P_L2_Mes)+1)&lt;=N(P_L2_Gracia)+N(P_L2_Cuotas),N(P_L2_Cuotas)&gt;0),IF((69-N(P_L2_Mes)+1)=N(P_L2_Gracia)+N(P_L2_Cuotas),IF((69-N(P_L2_Mes)+1)=1,N(P_L2_Monto),BU$104),PMT(N(P_L2_Tasa)/12,N(P_L2_Cuotas),-N(P_L2_Monto))-BV$102),0)*BV$9</f>
        <v>0</v>
      </c>
      <c r="BW103" s="34" t="n">
        <f aca="false">IF(AND((70-N(P_L2_Mes)+1)&gt;N(P_L2_Gracia),(70-N(P_L2_Mes)+1)&lt;=N(P_L2_Gracia)+N(P_L2_Cuotas),N(P_L2_Cuotas)&gt;0),IF((70-N(P_L2_Mes)+1)=N(P_L2_Gracia)+N(P_L2_Cuotas),IF((70-N(P_L2_Mes)+1)=1,N(P_L2_Monto),BV$104),PMT(N(P_L2_Tasa)/12,N(P_L2_Cuotas),-N(P_L2_Monto))-BW$102),0)*BW$9</f>
        <v>0</v>
      </c>
      <c r="BX103" s="34" t="n">
        <f aca="false">IF(AND((71-N(P_L2_Mes)+1)&gt;N(P_L2_Gracia),(71-N(P_L2_Mes)+1)&lt;=N(P_L2_Gracia)+N(P_L2_Cuotas),N(P_L2_Cuotas)&gt;0),IF((71-N(P_L2_Mes)+1)=N(P_L2_Gracia)+N(P_L2_Cuotas),IF((71-N(P_L2_Mes)+1)=1,N(P_L2_Monto),BW$104),PMT(N(P_L2_Tasa)/12,N(P_L2_Cuotas),-N(P_L2_Monto))-BX$102),0)*BX$9</f>
        <v>0</v>
      </c>
      <c r="BY103" s="34" t="n">
        <f aca="false">IF(AND((72-N(P_L2_Mes)+1)&gt;N(P_L2_Gracia),(72-N(P_L2_Mes)+1)&lt;=N(P_L2_Gracia)+N(P_L2_Cuotas),N(P_L2_Cuotas)&gt;0),IF((72-N(P_L2_Mes)+1)=N(P_L2_Gracia)+N(P_L2_Cuotas),IF((72-N(P_L2_Mes)+1)=1,N(P_L2_Monto),BX$104),PMT(N(P_L2_Tasa)/12,N(P_L2_Cuotas),-N(P_L2_Monto))-BY$102),0)*BY$9</f>
        <v>0</v>
      </c>
      <c r="BZ103" s="34" t="n">
        <f aca="false">IF(AND((73-N(P_L2_Mes)+1)&gt;N(P_L2_Gracia),(73-N(P_L2_Mes)+1)&lt;=N(P_L2_Gracia)+N(P_L2_Cuotas),N(P_L2_Cuotas)&gt;0),IF((73-N(P_L2_Mes)+1)=N(P_L2_Gracia)+N(P_L2_Cuotas),IF((73-N(P_L2_Mes)+1)=1,N(P_L2_Monto),BY$104),PMT(N(P_L2_Tasa)/12,N(P_L2_Cuotas),-N(P_L2_Monto))-BZ$102),0)*BZ$9</f>
        <v>0</v>
      </c>
      <c r="CA103" s="34" t="n">
        <f aca="false">IF(AND((74-N(P_L2_Mes)+1)&gt;N(P_L2_Gracia),(74-N(P_L2_Mes)+1)&lt;=N(P_L2_Gracia)+N(P_L2_Cuotas),N(P_L2_Cuotas)&gt;0),IF((74-N(P_L2_Mes)+1)=N(P_L2_Gracia)+N(P_L2_Cuotas),IF((74-N(P_L2_Mes)+1)=1,N(P_L2_Monto),BZ$104),PMT(N(P_L2_Tasa)/12,N(P_L2_Cuotas),-N(P_L2_Monto))-CA$102),0)*CA$9</f>
        <v>0</v>
      </c>
      <c r="CB103" s="34" t="n">
        <f aca="false">IF(AND((75-N(P_L2_Mes)+1)&gt;N(P_L2_Gracia),(75-N(P_L2_Mes)+1)&lt;=N(P_L2_Gracia)+N(P_L2_Cuotas),N(P_L2_Cuotas)&gt;0),IF((75-N(P_L2_Mes)+1)=N(P_L2_Gracia)+N(P_L2_Cuotas),IF((75-N(P_L2_Mes)+1)=1,N(P_L2_Monto),CA$104),PMT(N(P_L2_Tasa)/12,N(P_L2_Cuotas),-N(P_L2_Monto))-CB$102),0)*CB$9</f>
        <v>0</v>
      </c>
      <c r="CC103" s="34" t="n">
        <f aca="false">IF(AND((76-N(P_L2_Mes)+1)&gt;N(P_L2_Gracia),(76-N(P_L2_Mes)+1)&lt;=N(P_L2_Gracia)+N(P_L2_Cuotas),N(P_L2_Cuotas)&gt;0),IF((76-N(P_L2_Mes)+1)=N(P_L2_Gracia)+N(P_L2_Cuotas),IF((76-N(P_L2_Mes)+1)=1,N(P_L2_Monto),CB$104),PMT(N(P_L2_Tasa)/12,N(P_L2_Cuotas),-N(P_L2_Monto))-CC$102),0)*CC$9</f>
        <v>0</v>
      </c>
      <c r="CD103" s="34" t="n">
        <f aca="false">IF(AND((77-N(P_L2_Mes)+1)&gt;N(P_L2_Gracia),(77-N(P_L2_Mes)+1)&lt;=N(P_L2_Gracia)+N(P_L2_Cuotas),N(P_L2_Cuotas)&gt;0),IF((77-N(P_L2_Mes)+1)=N(P_L2_Gracia)+N(P_L2_Cuotas),IF((77-N(P_L2_Mes)+1)=1,N(P_L2_Monto),CC$104),PMT(N(P_L2_Tasa)/12,N(P_L2_Cuotas),-N(P_L2_Monto))-CD$102),0)*CD$9</f>
        <v>0</v>
      </c>
      <c r="CE103" s="34" t="n">
        <f aca="false">IF(AND((78-N(P_L2_Mes)+1)&gt;N(P_L2_Gracia),(78-N(P_L2_Mes)+1)&lt;=N(P_L2_Gracia)+N(P_L2_Cuotas),N(P_L2_Cuotas)&gt;0),IF((78-N(P_L2_Mes)+1)=N(P_L2_Gracia)+N(P_L2_Cuotas),IF((78-N(P_L2_Mes)+1)=1,N(P_L2_Monto),CD$104),PMT(N(P_L2_Tasa)/12,N(P_L2_Cuotas),-N(P_L2_Monto))-CE$102),0)*CE$9</f>
        <v>0</v>
      </c>
      <c r="CF103" s="34" t="n">
        <f aca="false">IF(AND((79-N(P_L2_Mes)+1)&gt;N(P_L2_Gracia),(79-N(P_L2_Mes)+1)&lt;=N(P_L2_Gracia)+N(P_L2_Cuotas),N(P_L2_Cuotas)&gt;0),IF((79-N(P_L2_Mes)+1)=N(P_L2_Gracia)+N(P_L2_Cuotas),IF((79-N(P_L2_Mes)+1)=1,N(P_L2_Monto),CE$104),PMT(N(P_L2_Tasa)/12,N(P_L2_Cuotas),-N(P_L2_Monto))-CF$102),0)*CF$9</f>
        <v>0</v>
      </c>
      <c r="CG103" s="34" t="n">
        <f aca="false">IF(AND((80-N(P_L2_Mes)+1)&gt;N(P_L2_Gracia),(80-N(P_L2_Mes)+1)&lt;=N(P_L2_Gracia)+N(P_L2_Cuotas),N(P_L2_Cuotas)&gt;0),IF((80-N(P_L2_Mes)+1)=N(P_L2_Gracia)+N(P_L2_Cuotas),IF((80-N(P_L2_Mes)+1)=1,N(P_L2_Monto),CF$104),PMT(N(P_L2_Tasa)/12,N(P_L2_Cuotas),-N(P_L2_Monto))-CG$102),0)*CG$9</f>
        <v>0</v>
      </c>
      <c r="CH103" s="34" t="n">
        <f aca="false">IF(AND((81-N(P_L2_Mes)+1)&gt;N(P_L2_Gracia),(81-N(P_L2_Mes)+1)&lt;=N(P_L2_Gracia)+N(P_L2_Cuotas),N(P_L2_Cuotas)&gt;0),IF((81-N(P_L2_Mes)+1)=N(P_L2_Gracia)+N(P_L2_Cuotas),IF((81-N(P_L2_Mes)+1)=1,N(P_L2_Monto),CG$104),PMT(N(P_L2_Tasa)/12,N(P_L2_Cuotas),-N(P_L2_Monto))-CH$102),0)*CH$9</f>
        <v>0</v>
      </c>
      <c r="CI103" s="34" t="n">
        <f aca="false">IF(AND((82-N(P_L2_Mes)+1)&gt;N(P_L2_Gracia),(82-N(P_L2_Mes)+1)&lt;=N(P_L2_Gracia)+N(P_L2_Cuotas),N(P_L2_Cuotas)&gt;0),IF((82-N(P_L2_Mes)+1)=N(P_L2_Gracia)+N(P_L2_Cuotas),IF((82-N(P_L2_Mes)+1)=1,N(P_L2_Monto),CH$104),PMT(N(P_L2_Tasa)/12,N(P_L2_Cuotas),-N(P_L2_Monto))-CI$102),0)*CI$9</f>
        <v>0</v>
      </c>
      <c r="CJ103" s="34" t="n">
        <f aca="false">IF(AND((83-N(P_L2_Mes)+1)&gt;N(P_L2_Gracia),(83-N(P_L2_Mes)+1)&lt;=N(P_L2_Gracia)+N(P_L2_Cuotas),N(P_L2_Cuotas)&gt;0),IF((83-N(P_L2_Mes)+1)=N(P_L2_Gracia)+N(P_L2_Cuotas),IF((83-N(P_L2_Mes)+1)=1,N(P_L2_Monto),CI$104),PMT(N(P_L2_Tasa)/12,N(P_L2_Cuotas),-N(P_L2_Monto))-CJ$102),0)*CJ$9</f>
        <v>0</v>
      </c>
      <c r="CK103" s="34" t="n">
        <f aca="false">IF(AND((84-N(P_L2_Mes)+1)&gt;N(P_L2_Gracia),(84-N(P_L2_Mes)+1)&lt;=N(P_L2_Gracia)+N(P_L2_Cuotas),N(P_L2_Cuotas)&gt;0),IF((84-N(P_L2_Mes)+1)=N(P_L2_Gracia)+N(P_L2_Cuotas),IF((84-N(P_L2_Mes)+1)=1,N(P_L2_Monto),CJ$104),PMT(N(P_L2_Tasa)/12,N(P_L2_Cuotas),-N(P_L2_Monto))-CK$102),0)*CK$9</f>
        <v>0</v>
      </c>
      <c r="CL103" s="34" t="n">
        <f aca="false">IF(AND((85-N(P_L2_Mes)+1)&gt;N(P_L2_Gracia),(85-N(P_L2_Mes)+1)&lt;=N(P_L2_Gracia)+N(P_L2_Cuotas),N(P_L2_Cuotas)&gt;0),IF((85-N(P_L2_Mes)+1)=N(P_L2_Gracia)+N(P_L2_Cuotas),IF((85-N(P_L2_Mes)+1)=1,N(P_L2_Monto),CK$104),PMT(N(P_L2_Tasa)/12,N(P_L2_Cuotas),-N(P_L2_Monto))-CL$102),0)*CL$9</f>
        <v>0</v>
      </c>
      <c r="CM103" s="34" t="n">
        <f aca="false">IF(AND((86-N(P_L2_Mes)+1)&gt;N(P_L2_Gracia),(86-N(P_L2_Mes)+1)&lt;=N(P_L2_Gracia)+N(P_L2_Cuotas),N(P_L2_Cuotas)&gt;0),IF((86-N(P_L2_Mes)+1)=N(P_L2_Gracia)+N(P_L2_Cuotas),IF((86-N(P_L2_Mes)+1)=1,N(P_L2_Monto),CL$104),PMT(N(P_L2_Tasa)/12,N(P_L2_Cuotas),-N(P_L2_Monto))-CM$102),0)*CM$9</f>
        <v>0</v>
      </c>
      <c r="CN103" s="34" t="n">
        <f aca="false">IF(AND((87-N(P_L2_Mes)+1)&gt;N(P_L2_Gracia),(87-N(P_L2_Mes)+1)&lt;=N(P_L2_Gracia)+N(P_L2_Cuotas),N(P_L2_Cuotas)&gt;0),IF((87-N(P_L2_Mes)+1)=N(P_L2_Gracia)+N(P_L2_Cuotas),IF((87-N(P_L2_Mes)+1)=1,N(P_L2_Monto),CM$104),PMT(N(P_L2_Tasa)/12,N(P_L2_Cuotas),-N(P_L2_Monto))-CN$102),0)*CN$9</f>
        <v>0</v>
      </c>
      <c r="CO103" s="34" t="n">
        <f aca="false">IF(AND((88-N(P_L2_Mes)+1)&gt;N(P_L2_Gracia),(88-N(P_L2_Mes)+1)&lt;=N(P_L2_Gracia)+N(P_L2_Cuotas),N(P_L2_Cuotas)&gt;0),IF((88-N(P_L2_Mes)+1)=N(P_L2_Gracia)+N(P_L2_Cuotas),IF((88-N(P_L2_Mes)+1)=1,N(P_L2_Monto),CN$104),PMT(N(P_L2_Tasa)/12,N(P_L2_Cuotas),-N(P_L2_Monto))-CO$102),0)*CO$9</f>
        <v>0</v>
      </c>
      <c r="CP103" s="34" t="n">
        <f aca="false">IF(AND((89-N(P_L2_Mes)+1)&gt;N(P_L2_Gracia),(89-N(P_L2_Mes)+1)&lt;=N(P_L2_Gracia)+N(P_L2_Cuotas),N(P_L2_Cuotas)&gt;0),IF((89-N(P_L2_Mes)+1)=N(P_L2_Gracia)+N(P_L2_Cuotas),IF((89-N(P_L2_Mes)+1)=1,N(P_L2_Monto),CO$104),PMT(N(P_L2_Tasa)/12,N(P_L2_Cuotas),-N(P_L2_Monto))-CP$102),0)*CP$9</f>
        <v>0</v>
      </c>
      <c r="CQ103" s="34" t="n">
        <f aca="false">IF(AND((90-N(P_L2_Mes)+1)&gt;N(P_L2_Gracia),(90-N(P_L2_Mes)+1)&lt;=N(P_L2_Gracia)+N(P_L2_Cuotas),N(P_L2_Cuotas)&gt;0),IF((90-N(P_L2_Mes)+1)=N(P_L2_Gracia)+N(P_L2_Cuotas),IF((90-N(P_L2_Mes)+1)=1,N(P_L2_Monto),CP$104),PMT(N(P_L2_Tasa)/12,N(P_L2_Cuotas),-N(P_L2_Monto))-CQ$102),0)*CQ$9</f>
        <v>0</v>
      </c>
      <c r="CR103" s="34" t="n">
        <f aca="false">IF(AND((91-N(P_L2_Mes)+1)&gt;N(P_L2_Gracia),(91-N(P_L2_Mes)+1)&lt;=N(P_L2_Gracia)+N(P_L2_Cuotas),N(P_L2_Cuotas)&gt;0),IF((91-N(P_L2_Mes)+1)=N(P_L2_Gracia)+N(P_L2_Cuotas),IF((91-N(P_L2_Mes)+1)=1,N(P_L2_Monto),CQ$104),PMT(N(P_L2_Tasa)/12,N(P_L2_Cuotas),-N(P_L2_Monto))-CR$102),0)*CR$9</f>
        <v>0</v>
      </c>
      <c r="CS103" s="34" t="n">
        <f aca="false">IF(AND((92-N(P_L2_Mes)+1)&gt;N(P_L2_Gracia),(92-N(P_L2_Mes)+1)&lt;=N(P_L2_Gracia)+N(P_L2_Cuotas),N(P_L2_Cuotas)&gt;0),IF((92-N(P_L2_Mes)+1)=N(P_L2_Gracia)+N(P_L2_Cuotas),IF((92-N(P_L2_Mes)+1)=1,N(P_L2_Monto),CR$104),PMT(N(P_L2_Tasa)/12,N(P_L2_Cuotas),-N(P_L2_Monto))-CS$102),0)*CS$9</f>
        <v>0</v>
      </c>
      <c r="CT103" s="34" t="n">
        <f aca="false">IF(AND((93-N(P_L2_Mes)+1)&gt;N(P_L2_Gracia),(93-N(P_L2_Mes)+1)&lt;=N(P_L2_Gracia)+N(P_L2_Cuotas),N(P_L2_Cuotas)&gt;0),IF((93-N(P_L2_Mes)+1)=N(P_L2_Gracia)+N(P_L2_Cuotas),IF((93-N(P_L2_Mes)+1)=1,N(P_L2_Monto),CS$104),PMT(N(P_L2_Tasa)/12,N(P_L2_Cuotas),-N(P_L2_Monto))-CT$102),0)*CT$9</f>
        <v>0</v>
      </c>
      <c r="CU103" s="34" t="n">
        <f aca="false">IF(AND((94-N(P_L2_Mes)+1)&gt;N(P_L2_Gracia),(94-N(P_L2_Mes)+1)&lt;=N(P_L2_Gracia)+N(P_L2_Cuotas),N(P_L2_Cuotas)&gt;0),IF((94-N(P_L2_Mes)+1)=N(P_L2_Gracia)+N(P_L2_Cuotas),IF((94-N(P_L2_Mes)+1)=1,N(P_L2_Monto),CT$104),PMT(N(P_L2_Tasa)/12,N(P_L2_Cuotas),-N(P_L2_Monto))-CU$102),0)*CU$9</f>
        <v>0</v>
      </c>
      <c r="CV103" s="34" t="n">
        <f aca="false">IF(AND((95-N(P_L2_Mes)+1)&gt;N(P_L2_Gracia),(95-N(P_L2_Mes)+1)&lt;=N(P_L2_Gracia)+N(P_L2_Cuotas),N(P_L2_Cuotas)&gt;0),IF((95-N(P_L2_Mes)+1)=N(P_L2_Gracia)+N(P_L2_Cuotas),IF((95-N(P_L2_Mes)+1)=1,N(P_L2_Monto),CU$104),PMT(N(P_L2_Tasa)/12,N(P_L2_Cuotas),-N(P_L2_Monto))-CV$102),0)*CV$9</f>
        <v>0</v>
      </c>
      <c r="CW103" s="34" t="n">
        <f aca="false">IF(AND((96-N(P_L2_Mes)+1)&gt;N(P_L2_Gracia),(96-N(P_L2_Mes)+1)&lt;=N(P_L2_Gracia)+N(P_L2_Cuotas),N(P_L2_Cuotas)&gt;0),IF((96-N(P_L2_Mes)+1)=N(P_L2_Gracia)+N(P_L2_Cuotas),IF((96-N(P_L2_Mes)+1)=1,N(P_L2_Monto),CV$104),PMT(N(P_L2_Tasa)/12,N(P_L2_Cuotas),-N(P_L2_Monto))-CW$102),0)*CW$9</f>
        <v>0</v>
      </c>
      <c r="CX103" s="34" t="n">
        <f aca="false">IF(AND((97-N(P_L2_Mes)+1)&gt;N(P_L2_Gracia),(97-N(P_L2_Mes)+1)&lt;=N(P_L2_Gracia)+N(P_L2_Cuotas),N(P_L2_Cuotas)&gt;0),IF((97-N(P_L2_Mes)+1)=N(P_L2_Gracia)+N(P_L2_Cuotas),IF((97-N(P_L2_Mes)+1)=1,N(P_L2_Monto),CW$104),PMT(N(P_L2_Tasa)/12,N(P_L2_Cuotas),-N(P_L2_Monto))-CX$102),0)*CX$9</f>
        <v>0</v>
      </c>
      <c r="CY103" s="34" t="n">
        <f aca="false">IF(AND((98-N(P_L2_Mes)+1)&gt;N(P_L2_Gracia),(98-N(P_L2_Mes)+1)&lt;=N(P_L2_Gracia)+N(P_L2_Cuotas),N(P_L2_Cuotas)&gt;0),IF((98-N(P_L2_Mes)+1)=N(P_L2_Gracia)+N(P_L2_Cuotas),IF((98-N(P_L2_Mes)+1)=1,N(P_L2_Monto),CX$104),PMT(N(P_L2_Tasa)/12,N(P_L2_Cuotas),-N(P_L2_Monto))-CY$102),0)*CY$9</f>
        <v>0</v>
      </c>
      <c r="CZ103" s="34" t="n">
        <f aca="false">IF(AND((99-N(P_L2_Mes)+1)&gt;N(P_L2_Gracia),(99-N(P_L2_Mes)+1)&lt;=N(P_L2_Gracia)+N(P_L2_Cuotas),N(P_L2_Cuotas)&gt;0),IF((99-N(P_L2_Mes)+1)=N(P_L2_Gracia)+N(P_L2_Cuotas),IF((99-N(P_L2_Mes)+1)=1,N(P_L2_Monto),CY$104),PMT(N(P_L2_Tasa)/12,N(P_L2_Cuotas),-N(P_L2_Monto))-CZ$102),0)*CZ$9</f>
        <v>0</v>
      </c>
      <c r="DA103" s="34" t="n">
        <f aca="false">IF(AND((100-N(P_L2_Mes)+1)&gt;N(P_L2_Gracia),(100-N(P_L2_Mes)+1)&lt;=N(P_L2_Gracia)+N(P_L2_Cuotas),N(P_L2_Cuotas)&gt;0),IF((100-N(P_L2_Mes)+1)=N(P_L2_Gracia)+N(P_L2_Cuotas),IF((100-N(P_L2_Mes)+1)=1,N(P_L2_Monto),CZ$104),PMT(N(P_L2_Tasa)/12,N(P_L2_Cuotas),-N(P_L2_Monto))-DA$102),0)*DA$9</f>
        <v>0</v>
      </c>
      <c r="DB103" s="34" t="n">
        <f aca="false">IF(AND((101-N(P_L2_Mes)+1)&gt;N(P_L2_Gracia),(101-N(P_L2_Mes)+1)&lt;=N(P_L2_Gracia)+N(P_L2_Cuotas),N(P_L2_Cuotas)&gt;0),IF((101-N(P_L2_Mes)+1)=N(P_L2_Gracia)+N(P_L2_Cuotas),IF((101-N(P_L2_Mes)+1)=1,N(P_L2_Monto),DA$104),PMT(N(P_L2_Tasa)/12,N(P_L2_Cuotas),-N(P_L2_Monto))-DB$102),0)*DB$9</f>
        <v>0</v>
      </c>
      <c r="DC103" s="34" t="n">
        <f aca="false">IF(AND((102-N(P_L2_Mes)+1)&gt;N(P_L2_Gracia),(102-N(P_L2_Mes)+1)&lt;=N(P_L2_Gracia)+N(P_L2_Cuotas),N(P_L2_Cuotas)&gt;0),IF((102-N(P_L2_Mes)+1)=N(P_L2_Gracia)+N(P_L2_Cuotas),IF((102-N(P_L2_Mes)+1)=1,N(P_L2_Monto),DB$104),PMT(N(P_L2_Tasa)/12,N(P_L2_Cuotas),-N(P_L2_Monto))-DC$102),0)*DC$9</f>
        <v>0</v>
      </c>
      <c r="DD103" s="34" t="n">
        <f aca="false">IF(AND((103-N(P_L2_Mes)+1)&gt;N(P_L2_Gracia),(103-N(P_L2_Mes)+1)&lt;=N(P_L2_Gracia)+N(P_L2_Cuotas),N(P_L2_Cuotas)&gt;0),IF((103-N(P_L2_Mes)+1)=N(P_L2_Gracia)+N(P_L2_Cuotas),IF((103-N(P_L2_Mes)+1)=1,N(P_L2_Monto),DC$104),PMT(N(P_L2_Tasa)/12,N(P_L2_Cuotas),-N(P_L2_Monto))-DD$102),0)*DD$9</f>
        <v>0</v>
      </c>
      <c r="DE103" s="34" t="n">
        <f aca="false">IF(AND((104-N(P_L2_Mes)+1)&gt;N(P_L2_Gracia),(104-N(P_L2_Mes)+1)&lt;=N(P_L2_Gracia)+N(P_L2_Cuotas),N(P_L2_Cuotas)&gt;0),IF((104-N(P_L2_Mes)+1)=N(P_L2_Gracia)+N(P_L2_Cuotas),IF((104-N(P_L2_Mes)+1)=1,N(P_L2_Monto),DD$104),PMT(N(P_L2_Tasa)/12,N(P_L2_Cuotas),-N(P_L2_Monto))-DE$102),0)*DE$9</f>
        <v>0</v>
      </c>
      <c r="DF103" s="34" t="n">
        <f aca="false">IF(AND((105-N(P_L2_Mes)+1)&gt;N(P_L2_Gracia),(105-N(P_L2_Mes)+1)&lt;=N(P_L2_Gracia)+N(P_L2_Cuotas),N(P_L2_Cuotas)&gt;0),IF((105-N(P_L2_Mes)+1)=N(P_L2_Gracia)+N(P_L2_Cuotas),IF((105-N(P_L2_Mes)+1)=1,N(P_L2_Monto),DE$104),PMT(N(P_L2_Tasa)/12,N(P_L2_Cuotas),-N(P_L2_Monto))-DF$102),0)*DF$9</f>
        <v>0</v>
      </c>
      <c r="DG103" s="34" t="n">
        <f aca="false">IF(AND((106-N(P_L2_Mes)+1)&gt;N(P_L2_Gracia),(106-N(P_L2_Mes)+1)&lt;=N(P_L2_Gracia)+N(P_L2_Cuotas),N(P_L2_Cuotas)&gt;0),IF((106-N(P_L2_Mes)+1)=N(P_L2_Gracia)+N(P_L2_Cuotas),IF((106-N(P_L2_Mes)+1)=1,N(P_L2_Monto),DF$104),PMT(N(P_L2_Tasa)/12,N(P_L2_Cuotas),-N(P_L2_Monto))-DG$102),0)*DG$9</f>
        <v>0</v>
      </c>
      <c r="DH103" s="34" t="n">
        <f aca="false">IF(AND((107-N(P_L2_Mes)+1)&gt;N(P_L2_Gracia),(107-N(P_L2_Mes)+1)&lt;=N(P_L2_Gracia)+N(P_L2_Cuotas),N(P_L2_Cuotas)&gt;0),IF((107-N(P_L2_Mes)+1)=N(P_L2_Gracia)+N(P_L2_Cuotas),IF((107-N(P_L2_Mes)+1)=1,N(P_L2_Monto),DG$104),PMT(N(P_L2_Tasa)/12,N(P_L2_Cuotas),-N(P_L2_Monto))-DH$102),0)*DH$9</f>
        <v>0</v>
      </c>
      <c r="DI103" s="34" t="n">
        <f aca="false">IF(AND((108-N(P_L2_Mes)+1)&gt;N(P_L2_Gracia),(108-N(P_L2_Mes)+1)&lt;=N(P_L2_Gracia)+N(P_L2_Cuotas),N(P_L2_Cuotas)&gt;0),IF((108-N(P_L2_Mes)+1)=N(P_L2_Gracia)+N(P_L2_Cuotas),IF((108-N(P_L2_Mes)+1)=1,N(P_L2_Monto),DH$104),PMT(N(P_L2_Tasa)/12,N(P_L2_Cuotas),-N(P_L2_Monto))-DI$102),0)*DI$9</f>
        <v>0</v>
      </c>
      <c r="DJ103" s="34" t="n">
        <f aca="false">IF(AND((109-N(P_L2_Mes)+1)&gt;N(P_L2_Gracia),(109-N(P_L2_Mes)+1)&lt;=N(P_L2_Gracia)+N(P_L2_Cuotas),N(P_L2_Cuotas)&gt;0),IF((109-N(P_L2_Mes)+1)=N(P_L2_Gracia)+N(P_L2_Cuotas),IF((109-N(P_L2_Mes)+1)=1,N(P_L2_Monto),DI$104),PMT(N(P_L2_Tasa)/12,N(P_L2_Cuotas),-N(P_L2_Monto))-DJ$102),0)*DJ$9</f>
        <v>0</v>
      </c>
      <c r="DK103" s="34" t="n">
        <f aca="false">IF(AND((110-N(P_L2_Mes)+1)&gt;N(P_L2_Gracia),(110-N(P_L2_Mes)+1)&lt;=N(P_L2_Gracia)+N(P_L2_Cuotas),N(P_L2_Cuotas)&gt;0),IF((110-N(P_L2_Mes)+1)=N(P_L2_Gracia)+N(P_L2_Cuotas),IF((110-N(P_L2_Mes)+1)=1,N(P_L2_Monto),DJ$104),PMT(N(P_L2_Tasa)/12,N(P_L2_Cuotas),-N(P_L2_Monto))-DK$102),0)*DK$9</f>
        <v>0</v>
      </c>
      <c r="DL103" s="34" t="n">
        <f aca="false">IF(AND((111-N(P_L2_Mes)+1)&gt;N(P_L2_Gracia),(111-N(P_L2_Mes)+1)&lt;=N(P_L2_Gracia)+N(P_L2_Cuotas),N(P_L2_Cuotas)&gt;0),IF((111-N(P_L2_Mes)+1)=N(P_L2_Gracia)+N(P_L2_Cuotas),IF((111-N(P_L2_Mes)+1)=1,N(P_L2_Monto),DK$104),PMT(N(P_L2_Tasa)/12,N(P_L2_Cuotas),-N(P_L2_Monto))-DL$102),0)*DL$9</f>
        <v>0</v>
      </c>
      <c r="DM103" s="34" t="n">
        <f aca="false">IF(AND((112-N(P_L2_Mes)+1)&gt;N(P_L2_Gracia),(112-N(P_L2_Mes)+1)&lt;=N(P_L2_Gracia)+N(P_L2_Cuotas),N(P_L2_Cuotas)&gt;0),IF((112-N(P_L2_Mes)+1)=N(P_L2_Gracia)+N(P_L2_Cuotas),IF((112-N(P_L2_Mes)+1)=1,N(P_L2_Monto),DL$104),PMT(N(P_L2_Tasa)/12,N(P_L2_Cuotas),-N(P_L2_Monto))-DM$102),0)*DM$9</f>
        <v>0</v>
      </c>
      <c r="DN103" s="34" t="n">
        <f aca="false">IF(AND((113-N(P_L2_Mes)+1)&gt;N(P_L2_Gracia),(113-N(P_L2_Mes)+1)&lt;=N(P_L2_Gracia)+N(P_L2_Cuotas),N(P_L2_Cuotas)&gt;0),IF((113-N(P_L2_Mes)+1)=N(P_L2_Gracia)+N(P_L2_Cuotas),IF((113-N(P_L2_Mes)+1)=1,N(P_L2_Monto),DM$104),PMT(N(P_L2_Tasa)/12,N(P_L2_Cuotas),-N(P_L2_Monto))-DN$102),0)*DN$9</f>
        <v>0</v>
      </c>
      <c r="DO103" s="34" t="n">
        <f aca="false">IF(AND((114-N(P_L2_Mes)+1)&gt;N(P_L2_Gracia),(114-N(P_L2_Mes)+1)&lt;=N(P_L2_Gracia)+N(P_L2_Cuotas),N(P_L2_Cuotas)&gt;0),IF((114-N(P_L2_Mes)+1)=N(P_L2_Gracia)+N(P_L2_Cuotas),IF((114-N(P_L2_Mes)+1)=1,N(P_L2_Monto),DN$104),PMT(N(P_L2_Tasa)/12,N(P_L2_Cuotas),-N(P_L2_Monto))-DO$102),0)*DO$9</f>
        <v>0</v>
      </c>
      <c r="DP103" s="34" t="n">
        <f aca="false">IF(AND((115-N(P_L2_Mes)+1)&gt;N(P_L2_Gracia),(115-N(P_L2_Mes)+1)&lt;=N(P_L2_Gracia)+N(P_L2_Cuotas),N(P_L2_Cuotas)&gt;0),IF((115-N(P_L2_Mes)+1)=N(P_L2_Gracia)+N(P_L2_Cuotas),IF((115-N(P_L2_Mes)+1)=1,N(P_L2_Monto),DO$104),PMT(N(P_L2_Tasa)/12,N(P_L2_Cuotas),-N(P_L2_Monto))-DP$102),0)*DP$9</f>
        <v>0</v>
      </c>
      <c r="DQ103" s="34" t="n">
        <f aca="false">IF(AND((116-N(P_L2_Mes)+1)&gt;N(P_L2_Gracia),(116-N(P_L2_Mes)+1)&lt;=N(P_L2_Gracia)+N(P_L2_Cuotas),N(P_L2_Cuotas)&gt;0),IF((116-N(P_L2_Mes)+1)=N(P_L2_Gracia)+N(P_L2_Cuotas),IF((116-N(P_L2_Mes)+1)=1,N(P_L2_Monto),DP$104),PMT(N(P_L2_Tasa)/12,N(P_L2_Cuotas),-N(P_L2_Monto))-DQ$102),0)*DQ$9</f>
        <v>0</v>
      </c>
      <c r="DR103" s="34" t="n">
        <f aca="false">IF(AND((117-N(P_L2_Mes)+1)&gt;N(P_L2_Gracia),(117-N(P_L2_Mes)+1)&lt;=N(P_L2_Gracia)+N(P_L2_Cuotas),N(P_L2_Cuotas)&gt;0),IF((117-N(P_L2_Mes)+1)=N(P_L2_Gracia)+N(P_L2_Cuotas),IF((117-N(P_L2_Mes)+1)=1,N(P_L2_Monto),DQ$104),PMT(N(P_L2_Tasa)/12,N(P_L2_Cuotas),-N(P_L2_Monto))-DR$102),0)*DR$9</f>
        <v>0</v>
      </c>
      <c r="DS103" s="34" t="n">
        <f aca="false">IF(AND((118-N(P_L2_Mes)+1)&gt;N(P_L2_Gracia),(118-N(P_L2_Mes)+1)&lt;=N(P_L2_Gracia)+N(P_L2_Cuotas),N(P_L2_Cuotas)&gt;0),IF((118-N(P_L2_Mes)+1)=N(P_L2_Gracia)+N(P_L2_Cuotas),IF((118-N(P_L2_Mes)+1)=1,N(P_L2_Monto),DR$104),PMT(N(P_L2_Tasa)/12,N(P_L2_Cuotas),-N(P_L2_Monto))-DS$102),0)*DS$9</f>
        <v>0</v>
      </c>
      <c r="DT103" s="34" t="n">
        <f aca="false">IF(AND((119-N(P_L2_Mes)+1)&gt;N(P_L2_Gracia),(119-N(P_L2_Mes)+1)&lt;=N(P_L2_Gracia)+N(P_L2_Cuotas),N(P_L2_Cuotas)&gt;0),IF((119-N(P_L2_Mes)+1)=N(P_L2_Gracia)+N(P_L2_Cuotas),IF((119-N(P_L2_Mes)+1)=1,N(P_L2_Monto),DS$104),PMT(N(P_L2_Tasa)/12,N(P_L2_Cuotas),-N(P_L2_Monto))-DT$102),0)*DT$9</f>
        <v>0</v>
      </c>
      <c r="DU103" s="34" t="n">
        <f aca="false">IF(AND((120-N(P_L2_Mes)+1)&gt;N(P_L2_Gracia),(120-N(P_L2_Mes)+1)&lt;=N(P_L2_Gracia)+N(P_L2_Cuotas),N(P_L2_Cuotas)&gt;0),IF((120-N(P_L2_Mes)+1)=N(P_L2_Gracia)+N(P_L2_Cuotas),IF((120-N(P_L2_Mes)+1)=1,N(P_L2_Monto),DT$104),PMT(N(P_L2_Tasa)/12,N(P_L2_Cuotas),-N(P_L2_Monto))-DU$102),0)*DU$9</f>
        <v>0</v>
      </c>
      <c r="DV103" s="34" t="n">
        <f aca="false">IF(AND((121-N(P_L2_Mes)+1)&gt;N(P_L2_Gracia),(121-N(P_L2_Mes)+1)&lt;=N(P_L2_Gracia)+N(P_L2_Cuotas),N(P_L2_Cuotas)&gt;0),IF((121-N(P_L2_Mes)+1)=N(P_L2_Gracia)+N(P_L2_Cuotas),IF((121-N(P_L2_Mes)+1)=1,N(P_L2_Monto),DU$104),PMT(N(P_L2_Tasa)/12,N(P_L2_Cuotas),-N(P_L2_Monto))-DV$102),0)*DV$9</f>
        <v>0</v>
      </c>
      <c r="DW103" s="34" t="n">
        <f aca="false">IF(AND((122-N(P_L2_Mes)+1)&gt;N(P_L2_Gracia),(122-N(P_L2_Mes)+1)&lt;=N(P_L2_Gracia)+N(P_L2_Cuotas),N(P_L2_Cuotas)&gt;0),IF((122-N(P_L2_Mes)+1)=N(P_L2_Gracia)+N(P_L2_Cuotas),IF((122-N(P_L2_Mes)+1)=1,N(P_L2_Monto),DV$104),PMT(N(P_L2_Tasa)/12,N(P_L2_Cuotas),-N(P_L2_Monto))-DW$102),0)*DW$9</f>
        <v>0</v>
      </c>
      <c r="DX103" s="34" t="n">
        <f aca="false">IF(AND((123-N(P_L2_Mes)+1)&gt;N(P_L2_Gracia),(123-N(P_L2_Mes)+1)&lt;=N(P_L2_Gracia)+N(P_L2_Cuotas),N(P_L2_Cuotas)&gt;0),IF((123-N(P_L2_Mes)+1)=N(P_L2_Gracia)+N(P_L2_Cuotas),IF((123-N(P_L2_Mes)+1)=1,N(P_L2_Monto),DW$104),PMT(N(P_L2_Tasa)/12,N(P_L2_Cuotas),-N(P_L2_Monto))-DX$102),0)*DX$9</f>
        <v>0</v>
      </c>
      <c r="DY103" s="34" t="n">
        <f aca="false">IF(AND((124-N(P_L2_Mes)+1)&gt;N(P_L2_Gracia),(124-N(P_L2_Mes)+1)&lt;=N(P_L2_Gracia)+N(P_L2_Cuotas),N(P_L2_Cuotas)&gt;0),IF((124-N(P_L2_Mes)+1)=N(P_L2_Gracia)+N(P_L2_Cuotas),IF((124-N(P_L2_Mes)+1)=1,N(P_L2_Monto),DX$104),PMT(N(P_L2_Tasa)/12,N(P_L2_Cuotas),-N(P_L2_Monto))-DY$102),0)*DY$9</f>
        <v>0</v>
      </c>
      <c r="DZ103" s="34" t="n">
        <f aca="false">IF(AND((125-N(P_L2_Mes)+1)&gt;N(P_L2_Gracia),(125-N(P_L2_Mes)+1)&lt;=N(P_L2_Gracia)+N(P_L2_Cuotas),N(P_L2_Cuotas)&gt;0),IF((125-N(P_L2_Mes)+1)=N(P_L2_Gracia)+N(P_L2_Cuotas),IF((125-N(P_L2_Mes)+1)=1,N(P_L2_Monto),DY$104),PMT(N(P_L2_Tasa)/12,N(P_L2_Cuotas),-N(P_L2_Monto))-DZ$102),0)*DZ$9</f>
        <v>0</v>
      </c>
      <c r="EA103" s="34" t="n">
        <f aca="false">IF(AND((126-N(P_L2_Mes)+1)&gt;N(P_L2_Gracia),(126-N(P_L2_Mes)+1)&lt;=N(P_L2_Gracia)+N(P_L2_Cuotas),N(P_L2_Cuotas)&gt;0),IF((126-N(P_L2_Mes)+1)=N(P_L2_Gracia)+N(P_L2_Cuotas),IF((126-N(P_L2_Mes)+1)=1,N(P_L2_Monto),DZ$104),PMT(N(P_L2_Tasa)/12,N(P_L2_Cuotas),-N(P_L2_Monto))-EA$102),0)*EA$9</f>
        <v>0</v>
      </c>
      <c r="EB103" s="34" t="n">
        <f aca="false">IF(AND((127-N(P_L2_Mes)+1)&gt;N(P_L2_Gracia),(127-N(P_L2_Mes)+1)&lt;=N(P_L2_Gracia)+N(P_L2_Cuotas),N(P_L2_Cuotas)&gt;0),IF((127-N(P_L2_Mes)+1)=N(P_L2_Gracia)+N(P_L2_Cuotas),IF((127-N(P_L2_Mes)+1)=1,N(P_L2_Monto),EA$104),PMT(N(P_L2_Tasa)/12,N(P_L2_Cuotas),-N(P_L2_Monto))-EB$102),0)*EB$9</f>
        <v>0</v>
      </c>
      <c r="EC103" s="34" t="n">
        <f aca="false">IF(AND((128-N(P_L2_Mes)+1)&gt;N(P_L2_Gracia),(128-N(P_L2_Mes)+1)&lt;=N(P_L2_Gracia)+N(P_L2_Cuotas),N(P_L2_Cuotas)&gt;0),IF((128-N(P_L2_Mes)+1)=N(P_L2_Gracia)+N(P_L2_Cuotas),IF((128-N(P_L2_Mes)+1)=1,N(P_L2_Monto),EB$104),PMT(N(P_L2_Tasa)/12,N(P_L2_Cuotas),-N(P_L2_Monto))-EC$102),0)*EC$9</f>
        <v>0</v>
      </c>
      <c r="ED103" s="34" t="n">
        <f aca="false">IF(AND((129-N(P_L2_Mes)+1)&gt;N(P_L2_Gracia),(129-N(P_L2_Mes)+1)&lt;=N(P_L2_Gracia)+N(P_L2_Cuotas),N(P_L2_Cuotas)&gt;0),IF((129-N(P_L2_Mes)+1)=N(P_L2_Gracia)+N(P_L2_Cuotas),IF((129-N(P_L2_Mes)+1)=1,N(P_L2_Monto),EC$104),PMT(N(P_L2_Tasa)/12,N(P_L2_Cuotas),-N(P_L2_Monto))-ED$102),0)*ED$9</f>
        <v>0</v>
      </c>
      <c r="EE103" s="34" t="n">
        <f aca="false">IF(AND((130-N(P_L2_Mes)+1)&gt;N(P_L2_Gracia),(130-N(P_L2_Mes)+1)&lt;=N(P_L2_Gracia)+N(P_L2_Cuotas),N(P_L2_Cuotas)&gt;0),IF((130-N(P_L2_Mes)+1)=N(P_L2_Gracia)+N(P_L2_Cuotas),IF((130-N(P_L2_Mes)+1)=1,N(P_L2_Monto),ED$104),PMT(N(P_L2_Tasa)/12,N(P_L2_Cuotas),-N(P_L2_Monto))-EE$102),0)*EE$9</f>
        <v>0</v>
      </c>
      <c r="EF103" s="34" t="n">
        <f aca="false">IF(AND((131-N(P_L2_Mes)+1)&gt;N(P_L2_Gracia),(131-N(P_L2_Mes)+1)&lt;=N(P_L2_Gracia)+N(P_L2_Cuotas),N(P_L2_Cuotas)&gt;0),IF((131-N(P_L2_Mes)+1)=N(P_L2_Gracia)+N(P_L2_Cuotas),IF((131-N(P_L2_Mes)+1)=1,N(P_L2_Monto),EE$104),PMT(N(P_L2_Tasa)/12,N(P_L2_Cuotas),-N(P_L2_Monto))-EF$102),0)*EF$9</f>
        <v>0</v>
      </c>
      <c r="EG103" s="34" t="n">
        <f aca="false">IF(AND((132-N(P_L2_Mes)+1)&gt;N(P_L2_Gracia),(132-N(P_L2_Mes)+1)&lt;=N(P_L2_Gracia)+N(P_L2_Cuotas),N(P_L2_Cuotas)&gt;0),IF((132-N(P_L2_Mes)+1)=N(P_L2_Gracia)+N(P_L2_Cuotas),IF((132-N(P_L2_Mes)+1)=1,N(P_L2_Monto),EF$104),PMT(N(P_L2_Tasa)/12,N(P_L2_Cuotas),-N(P_L2_Monto))-EG$102),0)*EG$9</f>
        <v>0</v>
      </c>
      <c r="EH103" s="34" t="n">
        <f aca="false">IF(AND((133-N(P_L2_Mes)+1)&gt;N(P_L2_Gracia),(133-N(P_L2_Mes)+1)&lt;=N(P_L2_Gracia)+N(P_L2_Cuotas),N(P_L2_Cuotas)&gt;0),IF((133-N(P_L2_Mes)+1)=N(P_L2_Gracia)+N(P_L2_Cuotas),IF((133-N(P_L2_Mes)+1)=1,N(P_L2_Monto),EG$104),PMT(N(P_L2_Tasa)/12,N(P_L2_Cuotas),-N(P_L2_Monto))-EH$102),0)*EH$9</f>
        <v>0</v>
      </c>
      <c r="EI103" s="34" t="n">
        <f aca="false">IF(AND((134-N(P_L2_Mes)+1)&gt;N(P_L2_Gracia),(134-N(P_L2_Mes)+1)&lt;=N(P_L2_Gracia)+N(P_L2_Cuotas),N(P_L2_Cuotas)&gt;0),IF((134-N(P_L2_Mes)+1)=N(P_L2_Gracia)+N(P_L2_Cuotas),IF((134-N(P_L2_Mes)+1)=1,N(P_L2_Monto),EH$104),PMT(N(P_L2_Tasa)/12,N(P_L2_Cuotas),-N(P_L2_Monto))-EI$102),0)*EI$9</f>
        <v>0</v>
      </c>
      <c r="EJ103" s="34" t="n">
        <f aca="false">IF(AND((135-N(P_L2_Mes)+1)&gt;N(P_L2_Gracia),(135-N(P_L2_Mes)+1)&lt;=N(P_L2_Gracia)+N(P_L2_Cuotas),N(P_L2_Cuotas)&gt;0),IF((135-N(P_L2_Mes)+1)=N(P_L2_Gracia)+N(P_L2_Cuotas),IF((135-N(P_L2_Mes)+1)=1,N(P_L2_Monto),EI$104),PMT(N(P_L2_Tasa)/12,N(P_L2_Cuotas),-N(P_L2_Monto))-EJ$102),0)*EJ$9</f>
        <v>0</v>
      </c>
      <c r="EK103" s="34" t="n">
        <f aca="false">IF(AND((136-N(P_L2_Mes)+1)&gt;N(P_L2_Gracia),(136-N(P_L2_Mes)+1)&lt;=N(P_L2_Gracia)+N(P_L2_Cuotas),N(P_L2_Cuotas)&gt;0),IF((136-N(P_L2_Mes)+1)=N(P_L2_Gracia)+N(P_L2_Cuotas),IF((136-N(P_L2_Mes)+1)=1,N(P_L2_Monto),EJ$104),PMT(N(P_L2_Tasa)/12,N(P_L2_Cuotas),-N(P_L2_Monto))-EK$102),0)*EK$9</f>
        <v>0</v>
      </c>
      <c r="EL103" s="34" t="n">
        <f aca="false">IF(AND((137-N(P_L2_Mes)+1)&gt;N(P_L2_Gracia),(137-N(P_L2_Mes)+1)&lt;=N(P_L2_Gracia)+N(P_L2_Cuotas),N(P_L2_Cuotas)&gt;0),IF((137-N(P_L2_Mes)+1)=N(P_L2_Gracia)+N(P_L2_Cuotas),IF((137-N(P_L2_Mes)+1)=1,N(P_L2_Monto),EK$104),PMT(N(P_L2_Tasa)/12,N(P_L2_Cuotas),-N(P_L2_Monto))-EL$102),0)*EL$9</f>
        <v>0</v>
      </c>
      <c r="EM103" s="34" t="n">
        <f aca="false">IF(AND((138-N(P_L2_Mes)+1)&gt;N(P_L2_Gracia),(138-N(P_L2_Mes)+1)&lt;=N(P_L2_Gracia)+N(P_L2_Cuotas),N(P_L2_Cuotas)&gt;0),IF((138-N(P_L2_Mes)+1)=N(P_L2_Gracia)+N(P_L2_Cuotas),IF((138-N(P_L2_Mes)+1)=1,N(P_L2_Monto),EL$104),PMT(N(P_L2_Tasa)/12,N(P_L2_Cuotas),-N(P_L2_Monto))-EM$102),0)*EM$9</f>
        <v>0</v>
      </c>
      <c r="EN103" s="34" t="n">
        <f aca="false">IF(AND((139-N(P_L2_Mes)+1)&gt;N(P_L2_Gracia),(139-N(P_L2_Mes)+1)&lt;=N(P_L2_Gracia)+N(P_L2_Cuotas),N(P_L2_Cuotas)&gt;0),IF((139-N(P_L2_Mes)+1)=N(P_L2_Gracia)+N(P_L2_Cuotas),IF((139-N(P_L2_Mes)+1)=1,N(P_L2_Monto),EM$104),PMT(N(P_L2_Tasa)/12,N(P_L2_Cuotas),-N(P_L2_Monto))-EN$102),0)*EN$9</f>
        <v>0</v>
      </c>
      <c r="EO103" s="34" t="n">
        <f aca="false">IF(AND((140-N(P_L2_Mes)+1)&gt;N(P_L2_Gracia),(140-N(P_L2_Mes)+1)&lt;=N(P_L2_Gracia)+N(P_L2_Cuotas),N(P_L2_Cuotas)&gt;0),IF((140-N(P_L2_Mes)+1)=N(P_L2_Gracia)+N(P_L2_Cuotas),IF((140-N(P_L2_Mes)+1)=1,N(P_L2_Monto),EN$104),PMT(N(P_L2_Tasa)/12,N(P_L2_Cuotas),-N(P_L2_Monto))-EO$102),0)*EO$9</f>
        <v>0</v>
      </c>
      <c r="EP103" s="34" t="n">
        <f aca="false">IF(AND((141-N(P_L2_Mes)+1)&gt;N(P_L2_Gracia),(141-N(P_L2_Mes)+1)&lt;=N(P_L2_Gracia)+N(P_L2_Cuotas),N(P_L2_Cuotas)&gt;0),IF((141-N(P_L2_Mes)+1)=N(P_L2_Gracia)+N(P_L2_Cuotas),IF((141-N(P_L2_Mes)+1)=1,N(P_L2_Monto),EO$104),PMT(N(P_L2_Tasa)/12,N(P_L2_Cuotas),-N(P_L2_Monto))-EP$102),0)*EP$9</f>
        <v>0</v>
      </c>
      <c r="EQ103" s="34" t="n">
        <f aca="false">IF(AND((142-N(P_L2_Mes)+1)&gt;N(P_L2_Gracia),(142-N(P_L2_Mes)+1)&lt;=N(P_L2_Gracia)+N(P_L2_Cuotas),N(P_L2_Cuotas)&gt;0),IF((142-N(P_L2_Mes)+1)=N(P_L2_Gracia)+N(P_L2_Cuotas),IF((142-N(P_L2_Mes)+1)=1,N(P_L2_Monto),EP$104),PMT(N(P_L2_Tasa)/12,N(P_L2_Cuotas),-N(P_L2_Monto))-EQ$102),0)*EQ$9</f>
        <v>0</v>
      </c>
      <c r="ER103" s="34" t="n">
        <f aca="false">IF(AND((143-N(P_L2_Mes)+1)&gt;N(P_L2_Gracia),(143-N(P_L2_Mes)+1)&lt;=N(P_L2_Gracia)+N(P_L2_Cuotas),N(P_L2_Cuotas)&gt;0),IF((143-N(P_L2_Mes)+1)=N(P_L2_Gracia)+N(P_L2_Cuotas),IF((143-N(P_L2_Mes)+1)=1,N(P_L2_Monto),EQ$104),PMT(N(P_L2_Tasa)/12,N(P_L2_Cuotas),-N(P_L2_Monto))-ER$102),0)*ER$9</f>
        <v>0</v>
      </c>
      <c r="ES103" s="34" t="n">
        <f aca="false">IF(AND((144-N(P_L2_Mes)+1)&gt;N(P_L2_Gracia),(144-N(P_L2_Mes)+1)&lt;=N(P_L2_Gracia)+N(P_L2_Cuotas),N(P_L2_Cuotas)&gt;0),IF((144-N(P_L2_Mes)+1)=N(P_L2_Gracia)+N(P_L2_Cuotas),IF((144-N(P_L2_Mes)+1)=1,N(P_L2_Monto),ER$104),PMT(N(P_L2_Tasa)/12,N(P_L2_Cuotas),-N(P_L2_Monto))-ES$102),0)*ES$9</f>
        <v>0</v>
      </c>
    </row>
    <row r="104" customFormat="false" ht="15" hidden="false" customHeight="false" outlineLevel="0" collapsed="false">
      <c r="A104" s="2" t="s">
        <v>565</v>
      </c>
      <c r="B104" s="6" t="s">
        <v>566</v>
      </c>
      <c r="C104" s="6" t="s">
        <v>212</v>
      </c>
      <c r="E104" s="40" t="n">
        <f aca="false">INDEX(F104:ES104,1,MIN(144,Fin))</f>
        <v>0</v>
      </c>
      <c r="F104" s="34" t="n">
        <f aca="false">IF((1-N(P_L2_Mes)+1)&lt;1,0,IF((1-N(P_L2_Mes)+1)=1,N(P_L2_Monto),0)-F$103)</f>
        <v>0</v>
      </c>
      <c r="G104" s="34" t="n">
        <f aca="false">IF((2-N(P_L2_Mes)+1)&lt;1,0,IF((2-N(P_L2_Mes)+1)=1,N(P_L2_Monto),F$104)-G$103)</f>
        <v>0</v>
      </c>
      <c r="H104" s="34" t="n">
        <f aca="false">IF((3-N(P_L2_Mes)+1)&lt;1,0,IF((3-N(P_L2_Mes)+1)=1,N(P_L2_Monto),G$104)-H$103)</f>
        <v>0</v>
      </c>
      <c r="I104" s="34" t="n">
        <f aca="false">IF((4-N(P_L2_Mes)+1)&lt;1,0,IF((4-N(P_L2_Mes)+1)=1,N(P_L2_Monto),H$104)-I$103)</f>
        <v>0</v>
      </c>
      <c r="J104" s="34" t="n">
        <f aca="false">IF((5-N(P_L2_Mes)+1)&lt;1,0,IF((5-N(P_L2_Mes)+1)=1,N(P_L2_Monto),I$104)-J$103)</f>
        <v>0</v>
      </c>
      <c r="K104" s="34" t="n">
        <f aca="false">IF((6-N(P_L2_Mes)+1)&lt;1,0,IF((6-N(P_L2_Mes)+1)=1,N(P_L2_Monto),J$104)-K$103)</f>
        <v>0</v>
      </c>
      <c r="L104" s="34" t="n">
        <f aca="false">IF((7-N(P_L2_Mes)+1)&lt;1,0,IF((7-N(P_L2_Mes)+1)=1,N(P_L2_Monto),K$104)-L$103)</f>
        <v>0</v>
      </c>
      <c r="M104" s="34" t="n">
        <f aca="false">IF((8-N(P_L2_Mes)+1)&lt;1,0,IF((8-N(P_L2_Mes)+1)=1,N(P_L2_Monto),L$104)-M$103)</f>
        <v>0</v>
      </c>
      <c r="N104" s="34" t="n">
        <f aca="false">IF((9-N(P_L2_Mes)+1)&lt;1,0,IF((9-N(P_L2_Mes)+1)=1,N(P_L2_Monto),M$104)-N$103)</f>
        <v>0</v>
      </c>
      <c r="O104" s="34" t="n">
        <f aca="false">IF((10-N(P_L2_Mes)+1)&lt;1,0,IF((10-N(P_L2_Mes)+1)=1,N(P_L2_Monto),N$104)-O$103)</f>
        <v>0</v>
      </c>
      <c r="P104" s="34" t="n">
        <f aca="false">IF((11-N(P_L2_Mes)+1)&lt;1,0,IF((11-N(P_L2_Mes)+1)=1,N(P_L2_Monto),O$104)-P$103)</f>
        <v>0</v>
      </c>
      <c r="Q104" s="34" t="n">
        <f aca="false">IF((12-N(P_L2_Mes)+1)&lt;1,0,IF((12-N(P_L2_Mes)+1)=1,N(P_L2_Monto),P$104)-Q$103)</f>
        <v>0</v>
      </c>
      <c r="R104" s="34" t="n">
        <f aca="false">IF((13-N(P_L2_Mes)+1)&lt;1,0,IF((13-N(P_L2_Mes)+1)=1,N(P_L2_Monto),Q$104)-R$103)</f>
        <v>0</v>
      </c>
      <c r="S104" s="34" t="n">
        <f aca="false">IF((14-N(P_L2_Mes)+1)&lt;1,0,IF((14-N(P_L2_Mes)+1)=1,N(P_L2_Monto),R$104)-S$103)</f>
        <v>0</v>
      </c>
      <c r="T104" s="34" t="n">
        <f aca="false">IF((15-N(P_L2_Mes)+1)&lt;1,0,IF((15-N(P_L2_Mes)+1)=1,N(P_L2_Monto),S$104)-T$103)</f>
        <v>0</v>
      </c>
      <c r="U104" s="34" t="n">
        <f aca="false">IF((16-N(P_L2_Mes)+1)&lt;1,0,IF((16-N(P_L2_Mes)+1)=1,N(P_L2_Monto),T$104)-U$103)</f>
        <v>0</v>
      </c>
      <c r="V104" s="34" t="n">
        <f aca="false">IF((17-N(P_L2_Mes)+1)&lt;1,0,IF((17-N(P_L2_Mes)+1)=1,N(P_L2_Monto),U$104)-V$103)</f>
        <v>0</v>
      </c>
      <c r="W104" s="34" t="n">
        <f aca="false">IF((18-N(P_L2_Mes)+1)&lt;1,0,IF((18-N(P_L2_Mes)+1)=1,N(P_L2_Monto),V$104)-W$103)</f>
        <v>0</v>
      </c>
      <c r="X104" s="34" t="n">
        <f aca="false">IF((19-N(P_L2_Mes)+1)&lt;1,0,IF((19-N(P_L2_Mes)+1)=1,N(P_L2_Monto),W$104)-X$103)</f>
        <v>0</v>
      </c>
      <c r="Y104" s="34" t="n">
        <f aca="false">IF((20-N(P_L2_Mes)+1)&lt;1,0,IF((20-N(P_L2_Mes)+1)=1,N(P_L2_Monto),X$104)-Y$103)</f>
        <v>0</v>
      </c>
      <c r="Z104" s="34" t="n">
        <f aca="false">IF((21-N(P_L2_Mes)+1)&lt;1,0,IF((21-N(P_L2_Mes)+1)=1,N(P_L2_Monto),Y$104)-Z$103)</f>
        <v>0</v>
      </c>
      <c r="AA104" s="34" t="n">
        <f aca="false">IF((22-N(P_L2_Mes)+1)&lt;1,0,IF((22-N(P_L2_Mes)+1)=1,N(P_L2_Monto),Z$104)-AA$103)</f>
        <v>0</v>
      </c>
      <c r="AB104" s="34" t="n">
        <f aca="false">IF((23-N(P_L2_Mes)+1)&lt;1,0,IF((23-N(P_L2_Mes)+1)=1,N(P_L2_Monto),AA$104)-AB$103)</f>
        <v>0</v>
      </c>
      <c r="AC104" s="34" t="n">
        <f aca="false">IF((24-N(P_L2_Mes)+1)&lt;1,0,IF((24-N(P_L2_Mes)+1)=1,N(P_L2_Monto),AB$104)-AC$103)</f>
        <v>0</v>
      </c>
      <c r="AD104" s="34" t="n">
        <f aca="false">IF((25-N(P_L2_Mes)+1)&lt;1,0,IF((25-N(P_L2_Mes)+1)=1,N(P_L2_Monto),AC$104)-AD$103)</f>
        <v>0</v>
      </c>
      <c r="AE104" s="34" t="n">
        <f aca="false">IF((26-N(P_L2_Mes)+1)&lt;1,0,IF((26-N(P_L2_Mes)+1)=1,N(P_L2_Monto),AD$104)-AE$103)</f>
        <v>0</v>
      </c>
      <c r="AF104" s="34" t="n">
        <f aca="false">IF((27-N(P_L2_Mes)+1)&lt;1,0,IF((27-N(P_L2_Mes)+1)=1,N(P_L2_Monto),AE$104)-AF$103)</f>
        <v>0</v>
      </c>
      <c r="AG104" s="34" t="n">
        <f aca="false">IF((28-N(P_L2_Mes)+1)&lt;1,0,IF((28-N(P_L2_Mes)+1)=1,N(P_L2_Monto),AF$104)-AG$103)</f>
        <v>0</v>
      </c>
      <c r="AH104" s="34" t="n">
        <f aca="false">IF((29-N(P_L2_Mes)+1)&lt;1,0,IF((29-N(P_L2_Mes)+1)=1,N(P_L2_Monto),AG$104)-AH$103)</f>
        <v>0</v>
      </c>
      <c r="AI104" s="34" t="n">
        <f aca="false">IF((30-N(P_L2_Mes)+1)&lt;1,0,IF((30-N(P_L2_Mes)+1)=1,N(P_L2_Monto),AH$104)-AI$103)</f>
        <v>0</v>
      </c>
      <c r="AJ104" s="34" t="n">
        <f aca="false">IF((31-N(P_L2_Mes)+1)&lt;1,0,IF((31-N(P_L2_Mes)+1)=1,N(P_L2_Monto),AI$104)-AJ$103)</f>
        <v>0</v>
      </c>
      <c r="AK104" s="34" t="n">
        <f aca="false">IF((32-N(P_L2_Mes)+1)&lt;1,0,IF((32-N(P_L2_Mes)+1)=1,N(P_L2_Monto),AJ$104)-AK$103)</f>
        <v>0</v>
      </c>
      <c r="AL104" s="34" t="n">
        <f aca="false">IF((33-N(P_L2_Mes)+1)&lt;1,0,IF((33-N(P_L2_Mes)+1)=1,N(P_L2_Monto),AK$104)-AL$103)</f>
        <v>0</v>
      </c>
      <c r="AM104" s="34" t="n">
        <f aca="false">IF((34-N(P_L2_Mes)+1)&lt;1,0,IF((34-N(P_L2_Mes)+1)=1,N(P_L2_Monto),AL$104)-AM$103)</f>
        <v>0</v>
      </c>
      <c r="AN104" s="34" t="n">
        <f aca="false">IF((35-N(P_L2_Mes)+1)&lt;1,0,IF((35-N(P_L2_Mes)+1)=1,N(P_L2_Monto),AM$104)-AN$103)</f>
        <v>0</v>
      </c>
      <c r="AO104" s="34" t="n">
        <f aca="false">IF((36-N(P_L2_Mes)+1)&lt;1,0,IF((36-N(P_L2_Mes)+1)=1,N(P_L2_Monto),AN$104)-AO$103)</f>
        <v>0</v>
      </c>
      <c r="AP104" s="34" t="n">
        <f aca="false">IF((37-N(P_L2_Mes)+1)&lt;1,0,IF((37-N(P_L2_Mes)+1)=1,N(P_L2_Monto),AO$104)-AP$103)</f>
        <v>0</v>
      </c>
      <c r="AQ104" s="34" t="n">
        <f aca="false">IF((38-N(P_L2_Mes)+1)&lt;1,0,IF((38-N(P_L2_Mes)+1)=1,N(P_L2_Monto),AP$104)-AQ$103)</f>
        <v>0</v>
      </c>
      <c r="AR104" s="34" t="n">
        <f aca="false">IF((39-N(P_L2_Mes)+1)&lt;1,0,IF((39-N(P_L2_Mes)+1)=1,N(P_L2_Monto),AQ$104)-AR$103)</f>
        <v>0</v>
      </c>
      <c r="AS104" s="34" t="n">
        <f aca="false">IF((40-N(P_L2_Mes)+1)&lt;1,0,IF((40-N(P_L2_Mes)+1)=1,N(P_L2_Monto),AR$104)-AS$103)</f>
        <v>0</v>
      </c>
      <c r="AT104" s="34" t="n">
        <f aca="false">IF((41-N(P_L2_Mes)+1)&lt;1,0,IF((41-N(P_L2_Mes)+1)=1,N(P_L2_Monto),AS$104)-AT$103)</f>
        <v>0</v>
      </c>
      <c r="AU104" s="34" t="n">
        <f aca="false">IF((42-N(P_L2_Mes)+1)&lt;1,0,IF((42-N(P_L2_Mes)+1)=1,N(P_L2_Monto),AT$104)-AU$103)</f>
        <v>0</v>
      </c>
      <c r="AV104" s="34" t="n">
        <f aca="false">IF((43-N(P_L2_Mes)+1)&lt;1,0,IF((43-N(P_L2_Mes)+1)=1,N(P_L2_Monto),AU$104)-AV$103)</f>
        <v>0</v>
      </c>
      <c r="AW104" s="34" t="n">
        <f aca="false">IF((44-N(P_L2_Mes)+1)&lt;1,0,IF((44-N(P_L2_Mes)+1)=1,N(P_L2_Monto),AV$104)-AW$103)</f>
        <v>0</v>
      </c>
      <c r="AX104" s="34" t="n">
        <f aca="false">IF((45-N(P_L2_Mes)+1)&lt;1,0,IF((45-N(P_L2_Mes)+1)=1,N(P_L2_Monto),AW$104)-AX$103)</f>
        <v>0</v>
      </c>
      <c r="AY104" s="34" t="n">
        <f aca="false">IF((46-N(P_L2_Mes)+1)&lt;1,0,IF((46-N(P_L2_Mes)+1)=1,N(P_L2_Monto),AX$104)-AY$103)</f>
        <v>0</v>
      </c>
      <c r="AZ104" s="34" t="n">
        <f aca="false">IF((47-N(P_L2_Mes)+1)&lt;1,0,IF((47-N(P_L2_Mes)+1)=1,N(P_L2_Monto),AY$104)-AZ$103)</f>
        <v>0</v>
      </c>
      <c r="BA104" s="34" t="n">
        <f aca="false">IF((48-N(P_L2_Mes)+1)&lt;1,0,IF((48-N(P_L2_Mes)+1)=1,N(P_L2_Monto),AZ$104)-BA$103)</f>
        <v>0</v>
      </c>
      <c r="BB104" s="34" t="n">
        <f aca="false">IF((49-N(P_L2_Mes)+1)&lt;1,0,IF((49-N(P_L2_Mes)+1)=1,N(P_L2_Monto),BA$104)-BB$103)</f>
        <v>0</v>
      </c>
      <c r="BC104" s="34" t="n">
        <f aca="false">IF((50-N(P_L2_Mes)+1)&lt;1,0,IF((50-N(P_L2_Mes)+1)=1,N(P_L2_Monto),BB$104)-BC$103)</f>
        <v>0</v>
      </c>
      <c r="BD104" s="34" t="n">
        <f aca="false">IF((51-N(P_L2_Mes)+1)&lt;1,0,IF((51-N(P_L2_Mes)+1)=1,N(P_L2_Monto),BC$104)-BD$103)</f>
        <v>0</v>
      </c>
      <c r="BE104" s="34" t="n">
        <f aca="false">IF((52-N(P_L2_Mes)+1)&lt;1,0,IF((52-N(P_L2_Mes)+1)=1,N(P_L2_Monto),BD$104)-BE$103)</f>
        <v>0</v>
      </c>
      <c r="BF104" s="34" t="n">
        <f aca="false">IF((53-N(P_L2_Mes)+1)&lt;1,0,IF((53-N(P_L2_Mes)+1)=1,N(P_L2_Monto),BE$104)-BF$103)</f>
        <v>0</v>
      </c>
      <c r="BG104" s="34" t="n">
        <f aca="false">IF((54-N(P_L2_Mes)+1)&lt;1,0,IF((54-N(P_L2_Mes)+1)=1,N(P_L2_Monto),BF$104)-BG$103)</f>
        <v>0</v>
      </c>
      <c r="BH104" s="34" t="n">
        <f aca="false">IF((55-N(P_L2_Mes)+1)&lt;1,0,IF((55-N(P_L2_Mes)+1)=1,N(P_L2_Monto),BG$104)-BH$103)</f>
        <v>0</v>
      </c>
      <c r="BI104" s="34" t="n">
        <f aca="false">IF((56-N(P_L2_Mes)+1)&lt;1,0,IF((56-N(P_L2_Mes)+1)=1,N(P_L2_Monto),BH$104)-BI$103)</f>
        <v>0</v>
      </c>
      <c r="BJ104" s="34" t="n">
        <f aca="false">IF((57-N(P_L2_Mes)+1)&lt;1,0,IF((57-N(P_L2_Mes)+1)=1,N(P_L2_Monto),BI$104)-BJ$103)</f>
        <v>0</v>
      </c>
      <c r="BK104" s="34" t="n">
        <f aca="false">IF((58-N(P_L2_Mes)+1)&lt;1,0,IF((58-N(P_L2_Mes)+1)=1,N(P_L2_Monto),BJ$104)-BK$103)</f>
        <v>0</v>
      </c>
      <c r="BL104" s="34" t="n">
        <f aca="false">IF((59-N(P_L2_Mes)+1)&lt;1,0,IF((59-N(P_L2_Mes)+1)=1,N(P_L2_Monto),BK$104)-BL$103)</f>
        <v>0</v>
      </c>
      <c r="BM104" s="34" t="n">
        <f aca="false">IF((60-N(P_L2_Mes)+1)&lt;1,0,IF((60-N(P_L2_Mes)+1)=1,N(P_L2_Monto),BL$104)-BM$103)</f>
        <v>0</v>
      </c>
      <c r="BN104" s="34" t="n">
        <f aca="false">IF((61-N(P_L2_Mes)+1)&lt;1,0,IF((61-N(P_L2_Mes)+1)=1,N(P_L2_Monto),BM$104)-BN$103)</f>
        <v>0</v>
      </c>
      <c r="BO104" s="34" t="n">
        <f aca="false">IF((62-N(P_L2_Mes)+1)&lt;1,0,IF((62-N(P_L2_Mes)+1)=1,N(P_L2_Monto),BN$104)-BO$103)</f>
        <v>0</v>
      </c>
      <c r="BP104" s="34" t="n">
        <f aca="false">IF((63-N(P_L2_Mes)+1)&lt;1,0,IF((63-N(P_L2_Mes)+1)=1,N(P_L2_Monto),BO$104)-BP$103)</f>
        <v>0</v>
      </c>
      <c r="BQ104" s="34" t="n">
        <f aca="false">IF((64-N(P_L2_Mes)+1)&lt;1,0,IF((64-N(P_L2_Mes)+1)=1,N(P_L2_Monto),BP$104)-BQ$103)</f>
        <v>0</v>
      </c>
      <c r="BR104" s="34" t="n">
        <f aca="false">IF((65-N(P_L2_Mes)+1)&lt;1,0,IF((65-N(P_L2_Mes)+1)=1,N(P_L2_Monto),BQ$104)-BR$103)</f>
        <v>0</v>
      </c>
      <c r="BS104" s="34" t="n">
        <f aca="false">IF((66-N(P_L2_Mes)+1)&lt;1,0,IF((66-N(P_L2_Mes)+1)=1,N(P_L2_Monto),BR$104)-BS$103)</f>
        <v>0</v>
      </c>
      <c r="BT104" s="34" t="n">
        <f aca="false">IF((67-N(P_L2_Mes)+1)&lt;1,0,IF((67-N(P_L2_Mes)+1)=1,N(P_L2_Monto),BS$104)-BT$103)</f>
        <v>0</v>
      </c>
      <c r="BU104" s="34" t="n">
        <f aca="false">IF((68-N(P_L2_Mes)+1)&lt;1,0,IF((68-N(P_L2_Mes)+1)=1,N(P_L2_Monto),BT$104)-BU$103)</f>
        <v>0</v>
      </c>
      <c r="BV104" s="34" t="n">
        <f aca="false">IF((69-N(P_L2_Mes)+1)&lt;1,0,IF((69-N(P_L2_Mes)+1)=1,N(P_L2_Monto),BU$104)-BV$103)</f>
        <v>0</v>
      </c>
      <c r="BW104" s="34" t="n">
        <f aca="false">IF((70-N(P_L2_Mes)+1)&lt;1,0,IF((70-N(P_L2_Mes)+1)=1,N(P_L2_Monto),BV$104)-BW$103)</f>
        <v>0</v>
      </c>
      <c r="BX104" s="34" t="n">
        <f aca="false">IF((71-N(P_L2_Mes)+1)&lt;1,0,IF((71-N(P_L2_Mes)+1)=1,N(P_L2_Monto),BW$104)-BX$103)</f>
        <v>0</v>
      </c>
      <c r="BY104" s="34" t="n">
        <f aca="false">IF((72-N(P_L2_Mes)+1)&lt;1,0,IF((72-N(P_L2_Mes)+1)=1,N(P_L2_Monto),BX$104)-BY$103)</f>
        <v>0</v>
      </c>
      <c r="BZ104" s="34" t="n">
        <f aca="false">IF((73-N(P_L2_Mes)+1)&lt;1,0,IF((73-N(P_L2_Mes)+1)=1,N(P_L2_Monto),BY$104)-BZ$103)</f>
        <v>0</v>
      </c>
      <c r="CA104" s="34" t="n">
        <f aca="false">IF((74-N(P_L2_Mes)+1)&lt;1,0,IF((74-N(P_L2_Mes)+1)=1,N(P_L2_Monto),BZ$104)-CA$103)</f>
        <v>0</v>
      </c>
      <c r="CB104" s="34" t="n">
        <f aca="false">IF((75-N(P_L2_Mes)+1)&lt;1,0,IF((75-N(P_L2_Mes)+1)=1,N(P_L2_Monto),CA$104)-CB$103)</f>
        <v>0</v>
      </c>
      <c r="CC104" s="34" t="n">
        <f aca="false">IF((76-N(P_L2_Mes)+1)&lt;1,0,IF((76-N(P_L2_Mes)+1)=1,N(P_L2_Monto),CB$104)-CC$103)</f>
        <v>0</v>
      </c>
      <c r="CD104" s="34" t="n">
        <f aca="false">IF((77-N(P_L2_Mes)+1)&lt;1,0,IF((77-N(P_L2_Mes)+1)=1,N(P_L2_Monto),CC$104)-CD$103)</f>
        <v>0</v>
      </c>
      <c r="CE104" s="34" t="n">
        <f aca="false">IF((78-N(P_L2_Mes)+1)&lt;1,0,IF((78-N(P_L2_Mes)+1)=1,N(P_L2_Monto),CD$104)-CE$103)</f>
        <v>0</v>
      </c>
      <c r="CF104" s="34" t="n">
        <f aca="false">IF((79-N(P_L2_Mes)+1)&lt;1,0,IF((79-N(P_L2_Mes)+1)=1,N(P_L2_Monto),CE$104)-CF$103)</f>
        <v>0</v>
      </c>
      <c r="CG104" s="34" t="n">
        <f aca="false">IF((80-N(P_L2_Mes)+1)&lt;1,0,IF((80-N(P_L2_Mes)+1)=1,N(P_L2_Monto),CF$104)-CG$103)</f>
        <v>0</v>
      </c>
      <c r="CH104" s="34" t="n">
        <f aca="false">IF((81-N(P_L2_Mes)+1)&lt;1,0,IF((81-N(P_L2_Mes)+1)=1,N(P_L2_Monto),CG$104)-CH$103)</f>
        <v>0</v>
      </c>
      <c r="CI104" s="34" t="n">
        <f aca="false">IF((82-N(P_L2_Mes)+1)&lt;1,0,IF((82-N(P_L2_Mes)+1)=1,N(P_L2_Monto),CH$104)-CI$103)</f>
        <v>0</v>
      </c>
      <c r="CJ104" s="34" t="n">
        <f aca="false">IF((83-N(P_L2_Mes)+1)&lt;1,0,IF((83-N(P_L2_Mes)+1)=1,N(P_L2_Monto),CI$104)-CJ$103)</f>
        <v>0</v>
      </c>
      <c r="CK104" s="34" t="n">
        <f aca="false">IF((84-N(P_L2_Mes)+1)&lt;1,0,IF((84-N(P_L2_Mes)+1)=1,N(P_L2_Monto),CJ$104)-CK$103)</f>
        <v>0</v>
      </c>
      <c r="CL104" s="34" t="n">
        <f aca="false">IF((85-N(P_L2_Mes)+1)&lt;1,0,IF((85-N(P_L2_Mes)+1)=1,N(P_L2_Monto),CK$104)-CL$103)</f>
        <v>0</v>
      </c>
      <c r="CM104" s="34" t="n">
        <f aca="false">IF((86-N(P_L2_Mes)+1)&lt;1,0,IF((86-N(P_L2_Mes)+1)=1,N(P_L2_Monto),CL$104)-CM$103)</f>
        <v>0</v>
      </c>
      <c r="CN104" s="34" t="n">
        <f aca="false">IF((87-N(P_L2_Mes)+1)&lt;1,0,IF((87-N(P_L2_Mes)+1)=1,N(P_L2_Monto),CM$104)-CN$103)</f>
        <v>0</v>
      </c>
      <c r="CO104" s="34" t="n">
        <f aca="false">IF((88-N(P_L2_Mes)+1)&lt;1,0,IF((88-N(P_L2_Mes)+1)=1,N(P_L2_Monto),CN$104)-CO$103)</f>
        <v>0</v>
      </c>
      <c r="CP104" s="34" t="n">
        <f aca="false">IF((89-N(P_L2_Mes)+1)&lt;1,0,IF((89-N(P_L2_Mes)+1)=1,N(P_L2_Monto),CO$104)-CP$103)</f>
        <v>0</v>
      </c>
      <c r="CQ104" s="34" t="n">
        <f aca="false">IF((90-N(P_L2_Mes)+1)&lt;1,0,IF((90-N(P_L2_Mes)+1)=1,N(P_L2_Monto),CP$104)-CQ$103)</f>
        <v>0</v>
      </c>
      <c r="CR104" s="34" t="n">
        <f aca="false">IF((91-N(P_L2_Mes)+1)&lt;1,0,IF((91-N(P_L2_Mes)+1)=1,N(P_L2_Monto),CQ$104)-CR$103)</f>
        <v>0</v>
      </c>
      <c r="CS104" s="34" t="n">
        <f aca="false">IF((92-N(P_L2_Mes)+1)&lt;1,0,IF((92-N(P_L2_Mes)+1)=1,N(P_L2_Monto),CR$104)-CS$103)</f>
        <v>0</v>
      </c>
      <c r="CT104" s="34" t="n">
        <f aca="false">IF((93-N(P_L2_Mes)+1)&lt;1,0,IF((93-N(P_L2_Mes)+1)=1,N(P_L2_Monto),CS$104)-CT$103)</f>
        <v>0</v>
      </c>
      <c r="CU104" s="34" t="n">
        <f aca="false">IF((94-N(P_L2_Mes)+1)&lt;1,0,IF((94-N(P_L2_Mes)+1)=1,N(P_L2_Monto),CT$104)-CU$103)</f>
        <v>0</v>
      </c>
      <c r="CV104" s="34" t="n">
        <f aca="false">IF((95-N(P_L2_Mes)+1)&lt;1,0,IF((95-N(P_L2_Mes)+1)=1,N(P_L2_Monto),CU$104)-CV$103)</f>
        <v>0</v>
      </c>
      <c r="CW104" s="34" t="n">
        <f aca="false">IF((96-N(P_L2_Mes)+1)&lt;1,0,IF((96-N(P_L2_Mes)+1)=1,N(P_L2_Monto),CV$104)-CW$103)</f>
        <v>0</v>
      </c>
      <c r="CX104" s="34" t="n">
        <f aca="false">IF((97-N(P_L2_Mes)+1)&lt;1,0,IF((97-N(P_L2_Mes)+1)=1,N(P_L2_Monto),CW$104)-CX$103)</f>
        <v>0</v>
      </c>
      <c r="CY104" s="34" t="n">
        <f aca="false">IF((98-N(P_L2_Mes)+1)&lt;1,0,IF((98-N(P_L2_Mes)+1)=1,N(P_L2_Monto),CX$104)-CY$103)</f>
        <v>0</v>
      </c>
      <c r="CZ104" s="34" t="n">
        <f aca="false">IF((99-N(P_L2_Mes)+1)&lt;1,0,IF((99-N(P_L2_Mes)+1)=1,N(P_L2_Monto),CY$104)-CZ$103)</f>
        <v>0</v>
      </c>
      <c r="DA104" s="34" t="n">
        <f aca="false">IF((100-N(P_L2_Mes)+1)&lt;1,0,IF((100-N(P_L2_Mes)+1)=1,N(P_L2_Monto),CZ$104)-DA$103)</f>
        <v>0</v>
      </c>
      <c r="DB104" s="34" t="n">
        <f aca="false">IF((101-N(P_L2_Mes)+1)&lt;1,0,IF((101-N(P_L2_Mes)+1)=1,N(P_L2_Monto),DA$104)-DB$103)</f>
        <v>0</v>
      </c>
      <c r="DC104" s="34" t="n">
        <f aca="false">IF((102-N(P_L2_Mes)+1)&lt;1,0,IF((102-N(P_L2_Mes)+1)=1,N(P_L2_Monto),DB$104)-DC$103)</f>
        <v>0</v>
      </c>
      <c r="DD104" s="34" t="n">
        <f aca="false">IF((103-N(P_L2_Mes)+1)&lt;1,0,IF((103-N(P_L2_Mes)+1)=1,N(P_L2_Monto),DC$104)-DD$103)</f>
        <v>0</v>
      </c>
      <c r="DE104" s="34" t="n">
        <f aca="false">IF((104-N(P_L2_Mes)+1)&lt;1,0,IF((104-N(P_L2_Mes)+1)=1,N(P_L2_Monto),DD$104)-DE$103)</f>
        <v>0</v>
      </c>
      <c r="DF104" s="34" t="n">
        <f aca="false">IF((105-N(P_L2_Mes)+1)&lt;1,0,IF((105-N(P_L2_Mes)+1)=1,N(P_L2_Monto),DE$104)-DF$103)</f>
        <v>0</v>
      </c>
      <c r="DG104" s="34" t="n">
        <f aca="false">IF((106-N(P_L2_Mes)+1)&lt;1,0,IF((106-N(P_L2_Mes)+1)=1,N(P_L2_Monto),DF$104)-DG$103)</f>
        <v>0</v>
      </c>
      <c r="DH104" s="34" t="n">
        <f aca="false">IF((107-N(P_L2_Mes)+1)&lt;1,0,IF((107-N(P_L2_Mes)+1)=1,N(P_L2_Monto),DG$104)-DH$103)</f>
        <v>0</v>
      </c>
      <c r="DI104" s="34" t="n">
        <f aca="false">IF((108-N(P_L2_Mes)+1)&lt;1,0,IF((108-N(P_L2_Mes)+1)=1,N(P_L2_Monto),DH$104)-DI$103)</f>
        <v>0</v>
      </c>
      <c r="DJ104" s="34" t="n">
        <f aca="false">IF((109-N(P_L2_Mes)+1)&lt;1,0,IF((109-N(P_L2_Mes)+1)=1,N(P_L2_Monto),DI$104)-DJ$103)</f>
        <v>0</v>
      </c>
      <c r="DK104" s="34" t="n">
        <f aca="false">IF((110-N(P_L2_Mes)+1)&lt;1,0,IF((110-N(P_L2_Mes)+1)=1,N(P_L2_Monto),DJ$104)-DK$103)</f>
        <v>0</v>
      </c>
      <c r="DL104" s="34" t="n">
        <f aca="false">IF((111-N(P_L2_Mes)+1)&lt;1,0,IF((111-N(P_L2_Mes)+1)=1,N(P_L2_Monto),DK$104)-DL$103)</f>
        <v>0</v>
      </c>
      <c r="DM104" s="34" t="n">
        <f aca="false">IF((112-N(P_L2_Mes)+1)&lt;1,0,IF((112-N(P_L2_Mes)+1)=1,N(P_L2_Monto),DL$104)-DM$103)</f>
        <v>0</v>
      </c>
      <c r="DN104" s="34" t="n">
        <f aca="false">IF((113-N(P_L2_Mes)+1)&lt;1,0,IF((113-N(P_L2_Mes)+1)=1,N(P_L2_Monto),DM$104)-DN$103)</f>
        <v>0</v>
      </c>
      <c r="DO104" s="34" t="n">
        <f aca="false">IF((114-N(P_L2_Mes)+1)&lt;1,0,IF((114-N(P_L2_Mes)+1)=1,N(P_L2_Monto),DN$104)-DO$103)</f>
        <v>0</v>
      </c>
      <c r="DP104" s="34" t="n">
        <f aca="false">IF((115-N(P_L2_Mes)+1)&lt;1,0,IF((115-N(P_L2_Mes)+1)=1,N(P_L2_Monto),DO$104)-DP$103)</f>
        <v>0</v>
      </c>
      <c r="DQ104" s="34" t="n">
        <f aca="false">IF((116-N(P_L2_Mes)+1)&lt;1,0,IF((116-N(P_L2_Mes)+1)=1,N(P_L2_Monto),DP$104)-DQ$103)</f>
        <v>0</v>
      </c>
      <c r="DR104" s="34" t="n">
        <f aca="false">IF((117-N(P_L2_Mes)+1)&lt;1,0,IF((117-N(P_L2_Mes)+1)=1,N(P_L2_Monto),DQ$104)-DR$103)</f>
        <v>0</v>
      </c>
      <c r="DS104" s="34" t="n">
        <f aca="false">IF((118-N(P_L2_Mes)+1)&lt;1,0,IF((118-N(P_L2_Mes)+1)=1,N(P_L2_Monto),DR$104)-DS$103)</f>
        <v>0</v>
      </c>
      <c r="DT104" s="34" t="n">
        <f aca="false">IF((119-N(P_L2_Mes)+1)&lt;1,0,IF((119-N(P_L2_Mes)+1)=1,N(P_L2_Monto),DS$104)-DT$103)</f>
        <v>0</v>
      </c>
      <c r="DU104" s="34" t="n">
        <f aca="false">IF((120-N(P_L2_Mes)+1)&lt;1,0,IF((120-N(P_L2_Mes)+1)=1,N(P_L2_Monto),DT$104)-DU$103)</f>
        <v>0</v>
      </c>
      <c r="DV104" s="34" t="n">
        <f aca="false">IF((121-N(P_L2_Mes)+1)&lt;1,0,IF((121-N(P_L2_Mes)+1)=1,N(P_L2_Monto),DU$104)-DV$103)</f>
        <v>0</v>
      </c>
      <c r="DW104" s="34" t="n">
        <f aca="false">IF((122-N(P_L2_Mes)+1)&lt;1,0,IF((122-N(P_L2_Mes)+1)=1,N(P_L2_Monto),DV$104)-DW$103)</f>
        <v>0</v>
      </c>
      <c r="DX104" s="34" t="n">
        <f aca="false">IF((123-N(P_L2_Mes)+1)&lt;1,0,IF((123-N(P_L2_Mes)+1)=1,N(P_L2_Monto),DW$104)-DX$103)</f>
        <v>0</v>
      </c>
      <c r="DY104" s="34" t="n">
        <f aca="false">IF((124-N(P_L2_Mes)+1)&lt;1,0,IF((124-N(P_L2_Mes)+1)=1,N(P_L2_Monto),DX$104)-DY$103)</f>
        <v>0</v>
      </c>
      <c r="DZ104" s="34" t="n">
        <f aca="false">IF((125-N(P_L2_Mes)+1)&lt;1,0,IF((125-N(P_L2_Mes)+1)=1,N(P_L2_Monto),DY$104)-DZ$103)</f>
        <v>0</v>
      </c>
      <c r="EA104" s="34" t="n">
        <f aca="false">IF((126-N(P_L2_Mes)+1)&lt;1,0,IF((126-N(P_L2_Mes)+1)=1,N(P_L2_Monto),DZ$104)-EA$103)</f>
        <v>0</v>
      </c>
      <c r="EB104" s="34" t="n">
        <f aca="false">IF((127-N(P_L2_Mes)+1)&lt;1,0,IF((127-N(P_L2_Mes)+1)=1,N(P_L2_Monto),EA$104)-EB$103)</f>
        <v>0</v>
      </c>
      <c r="EC104" s="34" t="n">
        <f aca="false">IF((128-N(P_L2_Mes)+1)&lt;1,0,IF((128-N(P_L2_Mes)+1)=1,N(P_L2_Monto),EB$104)-EC$103)</f>
        <v>0</v>
      </c>
      <c r="ED104" s="34" t="n">
        <f aca="false">IF((129-N(P_L2_Mes)+1)&lt;1,0,IF((129-N(P_L2_Mes)+1)=1,N(P_L2_Monto),EC$104)-ED$103)</f>
        <v>0</v>
      </c>
      <c r="EE104" s="34" t="n">
        <f aca="false">IF((130-N(P_L2_Mes)+1)&lt;1,0,IF((130-N(P_L2_Mes)+1)=1,N(P_L2_Monto),ED$104)-EE$103)</f>
        <v>0</v>
      </c>
      <c r="EF104" s="34" t="n">
        <f aca="false">IF((131-N(P_L2_Mes)+1)&lt;1,0,IF((131-N(P_L2_Mes)+1)=1,N(P_L2_Monto),EE$104)-EF$103)</f>
        <v>0</v>
      </c>
      <c r="EG104" s="34" t="n">
        <f aca="false">IF((132-N(P_L2_Mes)+1)&lt;1,0,IF((132-N(P_L2_Mes)+1)=1,N(P_L2_Monto),EF$104)-EG$103)</f>
        <v>0</v>
      </c>
      <c r="EH104" s="34" t="n">
        <f aca="false">IF((133-N(P_L2_Mes)+1)&lt;1,0,IF((133-N(P_L2_Mes)+1)=1,N(P_L2_Monto),EG$104)-EH$103)</f>
        <v>0</v>
      </c>
      <c r="EI104" s="34" t="n">
        <f aca="false">IF((134-N(P_L2_Mes)+1)&lt;1,0,IF((134-N(P_L2_Mes)+1)=1,N(P_L2_Monto),EH$104)-EI$103)</f>
        <v>0</v>
      </c>
      <c r="EJ104" s="34" t="n">
        <f aca="false">IF((135-N(P_L2_Mes)+1)&lt;1,0,IF((135-N(P_L2_Mes)+1)=1,N(P_L2_Monto),EI$104)-EJ$103)</f>
        <v>0</v>
      </c>
      <c r="EK104" s="34" t="n">
        <f aca="false">IF((136-N(P_L2_Mes)+1)&lt;1,0,IF((136-N(P_L2_Mes)+1)=1,N(P_L2_Monto),EJ$104)-EK$103)</f>
        <v>0</v>
      </c>
      <c r="EL104" s="34" t="n">
        <f aca="false">IF((137-N(P_L2_Mes)+1)&lt;1,0,IF((137-N(P_L2_Mes)+1)=1,N(P_L2_Monto),EK$104)-EL$103)</f>
        <v>0</v>
      </c>
      <c r="EM104" s="34" t="n">
        <f aca="false">IF((138-N(P_L2_Mes)+1)&lt;1,0,IF((138-N(P_L2_Mes)+1)=1,N(P_L2_Monto),EL$104)-EM$103)</f>
        <v>0</v>
      </c>
      <c r="EN104" s="34" t="n">
        <f aca="false">IF((139-N(P_L2_Mes)+1)&lt;1,0,IF((139-N(P_L2_Mes)+1)=1,N(P_L2_Monto),EM$104)-EN$103)</f>
        <v>0</v>
      </c>
      <c r="EO104" s="34" t="n">
        <f aca="false">IF((140-N(P_L2_Mes)+1)&lt;1,0,IF((140-N(P_L2_Mes)+1)=1,N(P_L2_Monto),EN$104)-EO$103)</f>
        <v>0</v>
      </c>
      <c r="EP104" s="34" t="n">
        <f aca="false">IF((141-N(P_L2_Mes)+1)&lt;1,0,IF((141-N(P_L2_Mes)+1)=1,N(P_L2_Monto),EO$104)-EP$103)</f>
        <v>0</v>
      </c>
      <c r="EQ104" s="34" t="n">
        <f aca="false">IF((142-N(P_L2_Mes)+1)&lt;1,0,IF((142-N(P_L2_Mes)+1)=1,N(P_L2_Monto),EP$104)-EQ$103)</f>
        <v>0</v>
      </c>
      <c r="ER104" s="34" t="n">
        <f aca="false">IF((143-N(P_L2_Mes)+1)&lt;1,0,IF((143-N(P_L2_Mes)+1)=1,N(P_L2_Monto),EQ$104)-ER$103)</f>
        <v>0</v>
      </c>
      <c r="ES104" s="34" t="n">
        <f aca="false">IF((144-N(P_L2_Mes)+1)&lt;1,0,IF((144-N(P_L2_Mes)+1)=1,N(P_L2_Monto),ER$104)-ES$103)</f>
        <v>0</v>
      </c>
    </row>
    <row r="105" customFormat="false" ht="15" hidden="false" customHeight="false" outlineLevel="0" collapsed="false">
      <c r="A105" s="2" t="s">
        <v>567</v>
      </c>
      <c r="B105" s="6" t="s">
        <v>568</v>
      </c>
      <c r="C105" s="6" t="s">
        <v>212</v>
      </c>
      <c r="E105" s="40" t="n">
        <f aca="false">SUM(F105:ES105)</f>
        <v>0</v>
      </c>
      <c r="F105" s="34" t="n">
        <f aca="false">IF((1-N(P_L3_Mes)+1)=1,N(P_L3_Monto),0)*F$9</f>
        <v>0</v>
      </c>
      <c r="G105" s="34" t="n">
        <f aca="false">IF((2-N(P_L3_Mes)+1)=1,N(P_L3_Monto),0)*G$9</f>
        <v>0</v>
      </c>
      <c r="H105" s="34" t="n">
        <f aca="false">IF((3-N(P_L3_Mes)+1)=1,N(P_L3_Monto),0)*H$9</f>
        <v>0</v>
      </c>
      <c r="I105" s="34" t="n">
        <f aca="false">IF((4-N(P_L3_Mes)+1)=1,N(P_L3_Monto),0)*I$9</f>
        <v>0</v>
      </c>
      <c r="J105" s="34" t="n">
        <f aca="false">IF((5-N(P_L3_Mes)+1)=1,N(P_L3_Monto),0)*J$9</f>
        <v>0</v>
      </c>
      <c r="K105" s="34" t="n">
        <f aca="false">IF((6-N(P_L3_Mes)+1)=1,N(P_L3_Monto),0)*K$9</f>
        <v>0</v>
      </c>
      <c r="L105" s="34" t="n">
        <f aca="false">IF((7-N(P_L3_Mes)+1)=1,N(P_L3_Monto),0)*L$9</f>
        <v>0</v>
      </c>
      <c r="M105" s="34" t="n">
        <f aca="false">IF((8-N(P_L3_Mes)+1)=1,N(P_L3_Monto),0)*M$9</f>
        <v>0</v>
      </c>
      <c r="N105" s="34" t="n">
        <f aca="false">IF((9-N(P_L3_Mes)+1)=1,N(P_L3_Monto),0)*N$9</f>
        <v>0</v>
      </c>
      <c r="O105" s="34" t="n">
        <f aca="false">IF((10-N(P_L3_Mes)+1)=1,N(P_L3_Monto),0)*O$9</f>
        <v>0</v>
      </c>
      <c r="P105" s="34" t="n">
        <f aca="false">IF((11-N(P_L3_Mes)+1)=1,N(P_L3_Monto),0)*P$9</f>
        <v>0</v>
      </c>
      <c r="Q105" s="34" t="n">
        <f aca="false">IF((12-N(P_L3_Mes)+1)=1,N(P_L3_Monto),0)*Q$9</f>
        <v>0</v>
      </c>
      <c r="R105" s="34" t="n">
        <f aca="false">IF((13-N(P_L3_Mes)+1)=1,N(P_L3_Monto),0)*R$9</f>
        <v>0</v>
      </c>
      <c r="S105" s="34" t="n">
        <f aca="false">IF((14-N(P_L3_Mes)+1)=1,N(P_L3_Monto),0)*S$9</f>
        <v>0</v>
      </c>
      <c r="T105" s="34" t="n">
        <f aca="false">IF((15-N(P_L3_Mes)+1)=1,N(P_L3_Monto),0)*T$9</f>
        <v>0</v>
      </c>
      <c r="U105" s="34" t="n">
        <f aca="false">IF((16-N(P_L3_Mes)+1)=1,N(P_L3_Monto),0)*U$9</f>
        <v>0</v>
      </c>
      <c r="V105" s="34" t="n">
        <f aca="false">IF((17-N(P_L3_Mes)+1)=1,N(P_L3_Monto),0)*V$9</f>
        <v>0</v>
      </c>
      <c r="W105" s="34" t="n">
        <f aca="false">IF((18-N(P_L3_Mes)+1)=1,N(P_L3_Monto),0)*W$9</f>
        <v>0</v>
      </c>
      <c r="X105" s="34" t="n">
        <f aca="false">IF((19-N(P_L3_Mes)+1)=1,N(P_L3_Monto),0)*X$9</f>
        <v>0</v>
      </c>
      <c r="Y105" s="34" t="n">
        <f aca="false">IF((20-N(P_L3_Mes)+1)=1,N(P_L3_Monto),0)*Y$9</f>
        <v>0</v>
      </c>
      <c r="Z105" s="34" t="n">
        <f aca="false">IF((21-N(P_L3_Mes)+1)=1,N(P_L3_Monto),0)*Z$9</f>
        <v>0</v>
      </c>
      <c r="AA105" s="34" t="n">
        <f aca="false">IF((22-N(P_L3_Mes)+1)=1,N(P_L3_Monto),0)*AA$9</f>
        <v>0</v>
      </c>
      <c r="AB105" s="34" t="n">
        <f aca="false">IF((23-N(P_L3_Mes)+1)=1,N(P_L3_Monto),0)*AB$9</f>
        <v>0</v>
      </c>
      <c r="AC105" s="34" t="n">
        <f aca="false">IF((24-N(P_L3_Mes)+1)=1,N(P_L3_Monto),0)*AC$9</f>
        <v>0</v>
      </c>
      <c r="AD105" s="34" t="n">
        <f aca="false">IF((25-N(P_L3_Mes)+1)=1,N(P_L3_Monto),0)*AD$9</f>
        <v>0</v>
      </c>
      <c r="AE105" s="34" t="n">
        <f aca="false">IF((26-N(P_L3_Mes)+1)=1,N(P_L3_Monto),0)*AE$9</f>
        <v>0</v>
      </c>
      <c r="AF105" s="34" t="n">
        <f aca="false">IF((27-N(P_L3_Mes)+1)=1,N(P_L3_Monto),0)*AF$9</f>
        <v>0</v>
      </c>
      <c r="AG105" s="34" t="n">
        <f aca="false">IF((28-N(P_L3_Mes)+1)=1,N(P_L3_Monto),0)*AG$9</f>
        <v>0</v>
      </c>
      <c r="AH105" s="34" t="n">
        <f aca="false">IF((29-N(P_L3_Mes)+1)=1,N(P_L3_Monto),0)*AH$9</f>
        <v>0</v>
      </c>
      <c r="AI105" s="34" t="n">
        <f aca="false">IF((30-N(P_L3_Mes)+1)=1,N(P_L3_Monto),0)*AI$9</f>
        <v>0</v>
      </c>
      <c r="AJ105" s="34" t="n">
        <f aca="false">IF((31-N(P_L3_Mes)+1)=1,N(P_L3_Monto),0)*AJ$9</f>
        <v>0</v>
      </c>
      <c r="AK105" s="34" t="n">
        <f aca="false">IF((32-N(P_L3_Mes)+1)=1,N(P_L3_Monto),0)*AK$9</f>
        <v>0</v>
      </c>
      <c r="AL105" s="34" t="n">
        <f aca="false">IF((33-N(P_L3_Mes)+1)=1,N(P_L3_Monto),0)*AL$9</f>
        <v>0</v>
      </c>
      <c r="AM105" s="34" t="n">
        <f aca="false">IF((34-N(P_L3_Mes)+1)=1,N(P_L3_Monto),0)*AM$9</f>
        <v>0</v>
      </c>
      <c r="AN105" s="34" t="n">
        <f aca="false">IF((35-N(P_L3_Mes)+1)=1,N(P_L3_Monto),0)*AN$9</f>
        <v>0</v>
      </c>
      <c r="AO105" s="34" t="n">
        <f aca="false">IF((36-N(P_L3_Mes)+1)=1,N(P_L3_Monto),0)*AO$9</f>
        <v>0</v>
      </c>
      <c r="AP105" s="34" t="n">
        <f aca="false">IF((37-N(P_L3_Mes)+1)=1,N(P_L3_Monto),0)*AP$9</f>
        <v>0</v>
      </c>
      <c r="AQ105" s="34" t="n">
        <f aca="false">IF((38-N(P_L3_Mes)+1)=1,N(P_L3_Monto),0)*AQ$9</f>
        <v>0</v>
      </c>
      <c r="AR105" s="34" t="n">
        <f aca="false">IF((39-N(P_L3_Mes)+1)=1,N(P_L3_Monto),0)*AR$9</f>
        <v>0</v>
      </c>
      <c r="AS105" s="34" t="n">
        <f aca="false">IF((40-N(P_L3_Mes)+1)=1,N(P_L3_Monto),0)*AS$9</f>
        <v>0</v>
      </c>
      <c r="AT105" s="34" t="n">
        <f aca="false">IF((41-N(P_L3_Mes)+1)=1,N(P_L3_Monto),0)*AT$9</f>
        <v>0</v>
      </c>
      <c r="AU105" s="34" t="n">
        <f aca="false">IF((42-N(P_L3_Mes)+1)=1,N(P_L3_Monto),0)*AU$9</f>
        <v>0</v>
      </c>
      <c r="AV105" s="34" t="n">
        <f aca="false">IF((43-N(P_L3_Mes)+1)=1,N(P_L3_Monto),0)*AV$9</f>
        <v>0</v>
      </c>
      <c r="AW105" s="34" t="n">
        <f aca="false">IF((44-N(P_L3_Mes)+1)=1,N(P_L3_Monto),0)*AW$9</f>
        <v>0</v>
      </c>
      <c r="AX105" s="34" t="n">
        <f aca="false">IF((45-N(P_L3_Mes)+1)=1,N(P_L3_Monto),0)*AX$9</f>
        <v>0</v>
      </c>
      <c r="AY105" s="34" t="n">
        <f aca="false">IF((46-N(P_L3_Mes)+1)=1,N(P_L3_Monto),0)*AY$9</f>
        <v>0</v>
      </c>
      <c r="AZ105" s="34" t="n">
        <f aca="false">IF((47-N(P_L3_Mes)+1)=1,N(P_L3_Monto),0)*AZ$9</f>
        <v>0</v>
      </c>
      <c r="BA105" s="34" t="n">
        <f aca="false">IF((48-N(P_L3_Mes)+1)=1,N(P_L3_Monto),0)*BA$9</f>
        <v>0</v>
      </c>
      <c r="BB105" s="34" t="n">
        <f aca="false">IF((49-N(P_L3_Mes)+1)=1,N(P_L3_Monto),0)*BB$9</f>
        <v>0</v>
      </c>
      <c r="BC105" s="34" t="n">
        <f aca="false">IF((50-N(P_L3_Mes)+1)=1,N(P_L3_Monto),0)*BC$9</f>
        <v>0</v>
      </c>
      <c r="BD105" s="34" t="n">
        <f aca="false">IF((51-N(P_L3_Mes)+1)=1,N(P_L3_Monto),0)*BD$9</f>
        <v>0</v>
      </c>
      <c r="BE105" s="34" t="n">
        <f aca="false">IF((52-N(P_L3_Mes)+1)=1,N(P_L3_Monto),0)*BE$9</f>
        <v>0</v>
      </c>
      <c r="BF105" s="34" t="n">
        <f aca="false">IF((53-N(P_L3_Mes)+1)=1,N(P_L3_Monto),0)*BF$9</f>
        <v>0</v>
      </c>
      <c r="BG105" s="34" t="n">
        <f aca="false">IF((54-N(P_L3_Mes)+1)=1,N(P_L3_Monto),0)*BG$9</f>
        <v>0</v>
      </c>
      <c r="BH105" s="34" t="n">
        <f aca="false">IF((55-N(P_L3_Mes)+1)=1,N(P_L3_Monto),0)*BH$9</f>
        <v>0</v>
      </c>
      <c r="BI105" s="34" t="n">
        <f aca="false">IF((56-N(P_L3_Mes)+1)=1,N(P_L3_Monto),0)*BI$9</f>
        <v>0</v>
      </c>
      <c r="BJ105" s="34" t="n">
        <f aca="false">IF((57-N(P_L3_Mes)+1)=1,N(P_L3_Monto),0)*BJ$9</f>
        <v>0</v>
      </c>
      <c r="BK105" s="34" t="n">
        <f aca="false">IF((58-N(P_L3_Mes)+1)=1,N(P_L3_Monto),0)*BK$9</f>
        <v>0</v>
      </c>
      <c r="BL105" s="34" t="n">
        <f aca="false">IF((59-N(P_L3_Mes)+1)=1,N(P_L3_Monto),0)*BL$9</f>
        <v>0</v>
      </c>
      <c r="BM105" s="34" t="n">
        <f aca="false">IF((60-N(P_L3_Mes)+1)=1,N(P_L3_Monto),0)*BM$9</f>
        <v>0</v>
      </c>
      <c r="BN105" s="34" t="n">
        <f aca="false">IF((61-N(P_L3_Mes)+1)=1,N(P_L3_Monto),0)*BN$9</f>
        <v>0</v>
      </c>
      <c r="BO105" s="34" t="n">
        <f aca="false">IF((62-N(P_L3_Mes)+1)=1,N(P_L3_Monto),0)*BO$9</f>
        <v>0</v>
      </c>
      <c r="BP105" s="34" t="n">
        <f aca="false">IF((63-N(P_L3_Mes)+1)=1,N(P_L3_Monto),0)*BP$9</f>
        <v>0</v>
      </c>
      <c r="BQ105" s="34" t="n">
        <f aca="false">IF((64-N(P_L3_Mes)+1)=1,N(P_L3_Monto),0)*BQ$9</f>
        <v>0</v>
      </c>
      <c r="BR105" s="34" t="n">
        <f aca="false">IF((65-N(P_L3_Mes)+1)=1,N(P_L3_Monto),0)*BR$9</f>
        <v>0</v>
      </c>
      <c r="BS105" s="34" t="n">
        <f aca="false">IF((66-N(P_L3_Mes)+1)=1,N(P_L3_Monto),0)*BS$9</f>
        <v>0</v>
      </c>
      <c r="BT105" s="34" t="n">
        <f aca="false">IF((67-N(P_L3_Mes)+1)=1,N(P_L3_Monto),0)*BT$9</f>
        <v>0</v>
      </c>
      <c r="BU105" s="34" t="n">
        <f aca="false">IF((68-N(P_L3_Mes)+1)=1,N(P_L3_Monto),0)*BU$9</f>
        <v>0</v>
      </c>
      <c r="BV105" s="34" t="n">
        <f aca="false">IF((69-N(P_L3_Mes)+1)=1,N(P_L3_Monto),0)*BV$9</f>
        <v>0</v>
      </c>
      <c r="BW105" s="34" t="n">
        <f aca="false">IF((70-N(P_L3_Mes)+1)=1,N(P_L3_Monto),0)*BW$9</f>
        <v>0</v>
      </c>
      <c r="BX105" s="34" t="n">
        <f aca="false">IF((71-N(P_L3_Mes)+1)=1,N(P_L3_Monto),0)*BX$9</f>
        <v>0</v>
      </c>
      <c r="BY105" s="34" t="n">
        <f aca="false">IF((72-N(P_L3_Mes)+1)=1,N(P_L3_Monto),0)*BY$9</f>
        <v>0</v>
      </c>
      <c r="BZ105" s="34" t="n">
        <f aca="false">IF((73-N(P_L3_Mes)+1)=1,N(P_L3_Monto),0)*BZ$9</f>
        <v>0</v>
      </c>
      <c r="CA105" s="34" t="n">
        <f aca="false">IF((74-N(P_L3_Mes)+1)=1,N(P_L3_Monto),0)*CA$9</f>
        <v>0</v>
      </c>
      <c r="CB105" s="34" t="n">
        <f aca="false">IF((75-N(P_L3_Mes)+1)=1,N(P_L3_Monto),0)*CB$9</f>
        <v>0</v>
      </c>
      <c r="CC105" s="34" t="n">
        <f aca="false">IF((76-N(P_L3_Mes)+1)=1,N(P_L3_Monto),0)*CC$9</f>
        <v>0</v>
      </c>
      <c r="CD105" s="34" t="n">
        <f aca="false">IF((77-N(P_L3_Mes)+1)=1,N(P_L3_Monto),0)*CD$9</f>
        <v>0</v>
      </c>
      <c r="CE105" s="34" t="n">
        <f aca="false">IF((78-N(P_L3_Mes)+1)=1,N(P_L3_Monto),0)*CE$9</f>
        <v>0</v>
      </c>
      <c r="CF105" s="34" t="n">
        <f aca="false">IF((79-N(P_L3_Mes)+1)=1,N(P_L3_Monto),0)*CF$9</f>
        <v>0</v>
      </c>
      <c r="CG105" s="34" t="n">
        <f aca="false">IF((80-N(P_L3_Mes)+1)=1,N(P_L3_Monto),0)*CG$9</f>
        <v>0</v>
      </c>
      <c r="CH105" s="34" t="n">
        <f aca="false">IF((81-N(P_L3_Mes)+1)=1,N(P_L3_Monto),0)*CH$9</f>
        <v>0</v>
      </c>
      <c r="CI105" s="34" t="n">
        <f aca="false">IF((82-N(P_L3_Mes)+1)=1,N(P_L3_Monto),0)*CI$9</f>
        <v>0</v>
      </c>
      <c r="CJ105" s="34" t="n">
        <f aca="false">IF((83-N(P_L3_Mes)+1)=1,N(P_L3_Monto),0)*CJ$9</f>
        <v>0</v>
      </c>
      <c r="CK105" s="34" t="n">
        <f aca="false">IF((84-N(P_L3_Mes)+1)=1,N(P_L3_Monto),0)*CK$9</f>
        <v>0</v>
      </c>
      <c r="CL105" s="34" t="n">
        <f aca="false">IF((85-N(P_L3_Mes)+1)=1,N(P_L3_Monto),0)*CL$9</f>
        <v>0</v>
      </c>
      <c r="CM105" s="34" t="n">
        <f aca="false">IF((86-N(P_L3_Mes)+1)=1,N(P_L3_Monto),0)*CM$9</f>
        <v>0</v>
      </c>
      <c r="CN105" s="34" t="n">
        <f aca="false">IF((87-N(P_L3_Mes)+1)=1,N(P_L3_Monto),0)*CN$9</f>
        <v>0</v>
      </c>
      <c r="CO105" s="34" t="n">
        <f aca="false">IF((88-N(P_L3_Mes)+1)=1,N(P_L3_Monto),0)*CO$9</f>
        <v>0</v>
      </c>
      <c r="CP105" s="34" t="n">
        <f aca="false">IF((89-N(P_L3_Mes)+1)=1,N(P_L3_Monto),0)*CP$9</f>
        <v>0</v>
      </c>
      <c r="CQ105" s="34" t="n">
        <f aca="false">IF((90-N(P_L3_Mes)+1)=1,N(P_L3_Monto),0)*CQ$9</f>
        <v>0</v>
      </c>
      <c r="CR105" s="34" t="n">
        <f aca="false">IF((91-N(P_L3_Mes)+1)=1,N(P_L3_Monto),0)*CR$9</f>
        <v>0</v>
      </c>
      <c r="CS105" s="34" t="n">
        <f aca="false">IF((92-N(P_L3_Mes)+1)=1,N(P_L3_Monto),0)*CS$9</f>
        <v>0</v>
      </c>
      <c r="CT105" s="34" t="n">
        <f aca="false">IF((93-N(P_L3_Mes)+1)=1,N(P_L3_Monto),0)*CT$9</f>
        <v>0</v>
      </c>
      <c r="CU105" s="34" t="n">
        <f aca="false">IF((94-N(P_L3_Mes)+1)=1,N(P_L3_Monto),0)*CU$9</f>
        <v>0</v>
      </c>
      <c r="CV105" s="34" t="n">
        <f aca="false">IF((95-N(P_L3_Mes)+1)=1,N(P_L3_Monto),0)*CV$9</f>
        <v>0</v>
      </c>
      <c r="CW105" s="34" t="n">
        <f aca="false">IF((96-N(P_L3_Mes)+1)=1,N(P_L3_Monto),0)*CW$9</f>
        <v>0</v>
      </c>
      <c r="CX105" s="34" t="n">
        <f aca="false">IF((97-N(P_L3_Mes)+1)=1,N(P_L3_Monto),0)*CX$9</f>
        <v>0</v>
      </c>
      <c r="CY105" s="34" t="n">
        <f aca="false">IF((98-N(P_L3_Mes)+1)=1,N(P_L3_Monto),0)*CY$9</f>
        <v>0</v>
      </c>
      <c r="CZ105" s="34" t="n">
        <f aca="false">IF((99-N(P_L3_Mes)+1)=1,N(P_L3_Monto),0)*CZ$9</f>
        <v>0</v>
      </c>
      <c r="DA105" s="34" t="n">
        <f aca="false">IF((100-N(P_L3_Mes)+1)=1,N(P_L3_Monto),0)*DA$9</f>
        <v>0</v>
      </c>
      <c r="DB105" s="34" t="n">
        <f aca="false">IF((101-N(P_L3_Mes)+1)=1,N(P_L3_Monto),0)*DB$9</f>
        <v>0</v>
      </c>
      <c r="DC105" s="34" t="n">
        <f aca="false">IF((102-N(P_L3_Mes)+1)=1,N(P_L3_Monto),0)*DC$9</f>
        <v>0</v>
      </c>
      <c r="DD105" s="34" t="n">
        <f aca="false">IF((103-N(P_L3_Mes)+1)=1,N(P_L3_Monto),0)*DD$9</f>
        <v>0</v>
      </c>
      <c r="DE105" s="34" t="n">
        <f aca="false">IF((104-N(P_L3_Mes)+1)=1,N(P_L3_Monto),0)*DE$9</f>
        <v>0</v>
      </c>
      <c r="DF105" s="34" t="n">
        <f aca="false">IF((105-N(P_L3_Mes)+1)=1,N(P_L3_Monto),0)*DF$9</f>
        <v>0</v>
      </c>
      <c r="DG105" s="34" t="n">
        <f aca="false">IF((106-N(P_L3_Mes)+1)=1,N(P_L3_Monto),0)*DG$9</f>
        <v>0</v>
      </c>
      <c r="DH105" s="34" t="n">
        <f aca="false">IF((107-N(P_L3_Mes)+1)=1,N(P_L3_Monto),0)*DH$9</f>
        <v>0</v>
      </c>
      <c r="DI105" s="34" t="n">
        <f aca="false">IF((108-N(P_L3_Mes)+1)=1,N(P_L3_Monto),0)*DI$9</f>
        <v>0</v>
      </c>
      <c r="DJ105" s="34" t="n">
        <f aca="false">IF((109-N(P_L3_Mes)+1)=1,N(P_L3_Monto),0)*DJ$9</f>
        <v>0</v>
      </c>
      <c r="DK105" s="34" t="n">
        <f aca="false">IF((110-N(P_L3_Mes)+1)=1,N(P_L3_Monto),0)*DK$9</f>
        <v>0</v>
      </c>
      <c r="DL105" s="34" t="n">
        <f aca="false">IF((111-N(P_L3_Mes)+1)=1,N(P_L3_Monto),0)*DL$9</f>
        <v>0</v>
      </c>
      <c r="DM105" s="34" t="n">
        <f aca="false">IF((112-N(P_L3_Mes)+1)=1,N(P_L3_Monto),0)*DM$9</f>
        <v>0</v>
      </c>
      <c r="DN105" s="34" t="n">
        <f aca="false">IF((113-N(P_L3_Mes)+1)=1,N(P_L3_Monto),0)*DN$9</f>
        <v>0</v>
      </c>
      <c r="DO105" s="34" t="n">
        <f aca="false">IF((114-N(P_L3_Mes)+1)=1,N(P_L3_Monto),0)*DO$9</f>
        <v>0</v>
      </c>
      <c r="DP105" s="34" t="n">
        <f aca="false">IF((115-N(P_L3_Mes)+1)=1,N(P_L3_Monto),0)*DP$9</f>
        <v>0</v>
      </c>
      <c r="DQ105" s="34" t="n">
        <f aca="false">IF((116-N(P_L3_Mes)+1)=1,N(P_L3_Monto),0)*DQ$9</f>
        <v>0</v>
      </c>
      <c r="DR105" s="34" t="n">
        <f aca="false">IF((117-N(P_L3_Mes)+1)=1,N(P_L3_Monto),0)*DR$9</f>
        <v>0</v>
      </c>
      <c r="DS105" s="34" t="n">
        <f aca="false">IF((118-N(P_L3_Mes)+1)=1,N(P_L3_Monto),0)*DS$9</f>
        <v>0</v>
      </c>
      <c r="DT105" s="34" t="n">
        <f aca="false">IF((119-N(P_L3_Mes)+1)=1,N(P_L3_Monto),0)*DT$9</f>
        <v>0</v>
      </c>
      <c r="DU105" s="34" t="n">
        <f aca="false">IF((120-N(P_L3_Mes)+1)=1,N(P_L3_Monto),0)*DU$9</f>
        <v>0</v>
      </c>
      <c r="DV105" s="34" t="n">
        <f aca="false">IF((121-N(P_L3_Mes)+1)=1,N(P_L3_Monto),0)*DV$9</f>
        <v>0</v>
      </c>
      <c r="DW105" s="34" t="n">
        <f aca="false">IF((122-N(P_L3_Mes)+1)=1,N(P_L3_Monto),0)*DW$9</f>
        <v>0</v>
      </c>
      <c r="DX105" s="34" t="n">
        <f aca="false">IF((123-N(P_L3_Mes)+1)=1,N(P_L3_Monto),0)*DX$9</f>
        <v>0</v>
      </c>
      <c r="DY105" s="34" t="n">
        <f aca="false">IF((124-N(P_L3_Mes)+1)=1,N(P_L3_Monto),0)*DY$9</f>
        <v>0</v>
      </c>
      <c r="DZ105" s="34" t="n">
        <f aca="false">IF((125-N(P_L3_Mes)+1)=1,N(P_L3_Monto),0)*DZ$9</f>
        <v>0</v>
      </c>
      <c r="EA105" s="34" t="n">
        <f aca="false">IF((126-N(P_L3_Mes)+1)=1,N(P_L3_Monto),0)*EA$9</f>
        <v>0</v>
      </c>
      <c r="EB105" s="34" t="n">
        <f aca="false">IF((127-N(P_L3_Mes)+1)=1,N(P_L3_Monto),0)*EB$9</f>
        <v>0</v>
      </c>
      <c r="EC105" s="34" t="n">
        <f aca="false">IF((128-N(P_L3_Mes)+1)=1,N(P_L3_Monto),0)*EC$9</f>
        <v>0</v>
      </c>
      <c r="ED105" s="34" t="n">
        <f aca="false">IF((129-N(P_L3_Mes)+1)=1,N(P_L3_Monto),0)*ED$9</f>
        <v>0</v>
      </c>
      <c r="EE105" s="34" t="n">
        <f aca="false">IF((130-N(P_L3_Mes)+1)=1,N(P_L3_Monto),0)*EE$9</f>
        <v>0</v>
      </c>
      <c r="EF105" s="34" t="n">
        <f aca="false">IF((131-N(P_L3_Mes)+1)=1,N(P_L3_Monto),0)*EF$9</f>
        <v>0</v>
      </c>
      <c r="EG105" s="34" t="n">
        <f aca="false">IF((132-N(P_L3_Mes)+1)=1,N(P_L3_Monto),0)*EG$9</f>
        <v>0</v>
      </c>
      <c r="EH105" s="34" t="n">
        <f aca="false">IF((133-N(P_L3_Mes)+1)=1,N(P_L3_Monto),0)*EH$9</f>
        <v>0</v>
      </c>
      <c r="EI105" s="34" t="n">
        <f aca="false">IF((134-N(P_L3_Mes)+1)=1,N(P_L3_Monto),0)*EI$9</f>
        <v>0</v>
      </c>
      <c r="EJ105" s="34" t="n">
        <f aca="false">IF((135-N(P_L3_Mes)+1)=1,N(P_L3_Monto),0)*EJ$9</f>
        <v>0</v>
      </c>
      <c r="EK105" s="34" t="n">
        <f aca="false">IF((136-N(P_L3_Mes)+1)=1,N(P_L3_Monto),0)*EK$9</f>
        <v>0</v>
      </c>
      <c r="EL105" s="34" t="n">
        <f aca="false">IF((137-N(P_L3_Mes)+1)=1,N(P_L3_Monto),0)*EL$9</f>
        <v>0</v>
      </c>
      <c r="EM105" s="34" t="n">
        <f aca="false">IF((138-N(P_L3_Mes)+1)=1,N(P_L3_Monto),0)*EM$9</f>
        <v>0</v>
      </c>
      <c r="EN105" s="34" t="n">
        <f aca="false">IF((139-N(P_L3_Mes)+1)=1,N(P_L3_Monto),0)*EN$9</f>
        <v>0</v>
      </c>
      <c r="EO105" s="34" t="n">
        <f aca="false">IF((140-N(P_L3_Mes)+1)=1,N(P_L3_Monto),0)*EO$9</f>
        <v>0</v>
      </c>
      <c r="EP105" s="34" t="n">
        <f aca="false">IF((141-N(P_L3_Mes)+1)=1,N(P_L3_Monto),0)*EP$9</f>
        <v>0</v>
      </c>
      <c r="EQ105" s="34" t="n">
        <f aca="false">IF((142-N(P_L3_Mes)+1)=1,N(P_L3_Monto),0)*EQ$9</f>
        <v>0</v>
      </c>
      <c r="ER105" s="34" t="n">
        <f aca="false">IF((143-N(P_L3_Mes)+1)=1,N(P_L3_Monto),0)*ER$9</f>
        <v>0</v>
      </c>
      <c r="ES105" s="34" t="n">
        <f aca="false">IF((144-N(P_L3_Mes)+1)=1,N(P_L3_Monto),0)*ES$9</f>
        <v>0</v>
      </c>
    </row>
    <row r="106" customFormat="false" ht="15" hidden="false" customHeight="false" outlineLevel="0" collapsed="false">
      <c r="A106" s="2" t="s">
        <v>569</v>
      </c>
      <c r="B106" s="6" t="s">
        <v>570</v>
      </c>
      <c r="C106" s="6" t="s">
        <v>212</v>
      </c>
      <c r="E106" s="40" t="n">
        <f aca="false">SUM(F106:ES106)</f>
        <v>0</v>
      </c>
      <c r="F106" s="34" t="n">
        <f aca="false">IF((1-N(P_L3_Mes)+1)&gt;=1,IF((1-N(P_L3_Mes)+1)=1,N(P_L3_Monto),0)*N(P_L3_Tasa)/12,0)*F$9</f>
        <v>0</v>
      </c>
      <c r="G106" s="34" t="n">
        <f aca="false">IF((2-N(P_L3_Mes)+1)&gt;=1,IF((2-N(P_L3_Mes)+1)=1,N(P_L3_Monto),F$108)*N(P_L3_Tasa)/12,0)*G$9</f>
        <v>0</v>
      </c>
      <c r="H106" s="34" t="n">
        <f aca="false">IF((3-N(P_L3_Mes)+1)&gt;=1,IF((3-N(P_L3_Mes)+1)=1,N(P_L3_Monto),G$108)*N(P_L3_Tasa)/12,0)*H$9</f>
        <v>0</v>
      </c>
      <c r="I106" s="34" t="n">
        <f aca="false">IF((4-N(P_L3_Mes)+1)&gt;=1,IF((4-N(P_L3_Mes)+1)=1,N(P_L3_Monto),H$108)*N(P_L3_Tasa)/12,0)*I$9</f>
        <v>0</v>
      </c>
      <c r="J106" s="34" t="n">
        <f aca="false">IF((5-N(P_L3_Mes)+1)&gt;=1,IF((5-N(P_L3_Mes)+1)=1,N(P_L3_Monto),I$108)*N(P_L3_Tasa)/12,0)*J$9</f>
        <v>0</v>
      </c>
      <c r="K106" s="34" t="n">
        <f aca="false">IF((6-N(P_L3_Mes)+1)&gt;=1,IF((6-N(P_L3_Mes)+1)=1,N(P_L3_Monto),J$108)*N(P_L3_Tasa)/12,0)*K$9</f>
        <v>0</v>
      </c>
      <c r="L106" s="34" t="n">
        <f aca="false">IF((7-N(P_L3_Mes)+1)&gt;=1,IF((7-N(P_L3_Mes)+1)=1,N(P_L3_Monto),K$108)*N(P_L3_Tasa)/12,0)*L$9</f>
        <v>0</v>
      </c>
      <c r="M106" s="34" t="n">
        <f aca="false">IF((8-N(P_L3_Mes)+1)&gt;=1,IF((8-N(P_L3_Mes)+1)=1,N(P_L3_Monto),L$108)*N(P_L3_Tasa)/12,0)*M$9</f>
        <v>0</v>
      </c>
      <c r="N106" s="34" t="n">
        <f aca="false">IF((9-N(P_L3_Mes)+1)&gt;=1,IF((9-N(P_L3_Mes)+1)=1,N(P_L3_Monto),M$108)*N(P_L3_Tasa)/12,0)*N$9</f>
        <v>0</v>
      </c>
      <c r="O106" s="34" t="n">
        <f aca="false">IF((10-N(P_L3_Mes)+1)&gt;=1,IF((10-N(P_L3_Mes)+1)=1,N(P_L3_Monto),N$108)*N(P_L3_Tasa)/12,0)*O$9</f>
        <v>0</v>
      </c>
      <c r="P106" s="34" t="n">
        <f aca="false">IF((11-N(P_L3_Mes)+1)&gt;=1,IF((11-N(P_L3_Mes)+1)=1,N(P_L3_Monto),O$108)*N(P_L3_Tasa)/12,0)*P$9</f>
        <v>0</v>
      </c>
      <c r="Q106" s="34" t="n">
        <f aca="false">IF((12-N(P_L3_Mes)+1)&gt;=1,IF((12-N(P_L3_Mes)+1)=1,N(P_L3_Monto),P$108)*N(P_L3_Tasa)/12,0)*Q$9</f>
        <v>0</v>
      </c>
      <c r="R106" s="34" t="n">
        <f aca="false">IF((13-N(P_L3_Mes)+1)&gt;=1,IF((13-N(P_L3_Mes)+1)=1,N(P_L3_Monto),Q$108)*N(P_L3_Tasa)/12,0)*R$9</f>
        <v>0</v>
      </c>
      <c r="S106" s="34" t="n">
        <f aca="false">IF((14-N(P_L3_Mes)+1)&gt;=1,IF((14-N(P_L3_Mes)+1)=1,N(P_L3_Monto),R$108)*N(P_L3_Tasa)/12,0)*S$9</f>
        <v>0</v>
      </c>
      <c r="T106" s="34" t="n">
        <f aca="false">IF((15-N(P_L3_Mes)+1)&gt;=1,IF((15-N(P_L3_Mes)+1)=1,N(P_L3_Monto),S$108)*N(P_L3_Tasa)/12,0)*T$9</f>
        <v>0</v>
      </c>
      <c r="U106" s="34" t="n">
        <f aca="false">IF((16-N(P_L3_Mes)+1)&gt;=1,IF((16-N(P_L3_Mes)+1)=1,N(P_L3_Monto),T$108)*N(P_L3_Tasa)/12,0)*U$9</f>
        <v>0</v>
      </c>
      <c r="V106" s="34" t="n">
        <f aca="false">IF((17-N(P_L3_Mes)+1)&gt;=1,IF((17-N(P_L3_Mes)+1)=1,N(P_L3_Monto),U$108)*N(P_L3_Tasa)/12,0)*V$9</f>
        <v>0</v>
      </c>
      <c r="W106" s="34" t="n">
        <f aca="false">IF((18-N(P_L3_Mes)+1)&gt;=1,IF((18-N(P_L3_Mes)+1)=1,N(P_L3_Monto),V$108)*N(P_L3_Tasa)/12,0)*W$9</f>
        <v>0</v>
      </c>
      <c r="X106" s="34" t="n">
        <f aca="false">IF((19-N(P_L3_Mes)+1)&gt;=1,IF((19-N(P_L3_Mes)+1)=1,N(P_L3_Monto),W$108)*N(P_L3_Tasa)/12,0)*X$9</f>
        <v>0</v>
      </c>
      <c r="Y106" s="34" t="n">
        <f aca="false">IF((20-N(P_L3_Mes)+1)&gt;=1,IF((20-N(P_L3_Mes)+1)=1,N(P_L3_Monto),X$108)*N(P_L3_Tasa)/12,0)*Y$9</f>
        <v>0</v>
      </c>
      <c r="Z106" s="34" t="n">
        <f aca="false">IF((21-N(P_L3_Mes)+1)&gt;=1,IF((21-N(P_L3_Mes)+1)=1,N(P_L3_Monto),Y$108)*N(P_L3_Tasa)/12,0)*Z$9</f>
        <v>0</v>
      </c>
      <c r="AA106" s="34" t="n">
        <f aca="false">IF((22-N(P_L3_Mes)+1)&gt;=1,IF((22-N(P_L3_Mes)+1)=1,N(P_L3_Monto),Z$108)*N(P_L3_Tasa)/12,0)*AA$9</f>
        <v>0</v>
      </c>
      <c r="AB106" s="34" t="n">
        <f aca="false">IF((23-N(P_L3_Mes)+1)&gt;=1,IF((23-N(P_L3_Mes)+1)=1,N(P_L3_Monto),AA$108)*N(P_L3_Tasa)/12,0)*AB$9</f>
        <v>0</v>
      </c>
      <c r="AC106" s="34" t="n">
        <f aca="false">IF((24-N(P_L3_Mes)+1)&gt;=1,IF((24-N(P_L3_Mes)+1)=1,N(P_L3_Monto),AB$108)*N(P_L3_Tasa)/12,0)*AC$9</f>
        <v>0</v>
      </c>
      <c r="AD106" s="34" t="n">
        <f aca="false">IF((25-N(P_L3_Mes)+1)&gt;=1,IF((25-N(P_L3_Mes)+1)=1,N(P_L3_Monto),AC$108)*N(P_L3_Tasa)/12,0)*AD$9</f>
        <v>0</v>
      </c>
      <c r="AE106" s="34" t="n">
        <f aca="false">IF((26-N(P_L3_Mes)+1)&gt;=1,IF((26-N(P_L3_Mes)+1)=1,N(P_L3_Monto),AD$108)*N(P_L3_Tasa)/12,0)*AE$9</f>
        <v>0</v>
      </c>
      <c r="AF106" s="34" t="n">
        <f aca="false">IF((27-N(P_L3_Mes)+1)&gt;=1,IF((27-N(P_L3_Mes)+1)=1,N(P_L3_Monto),AE$108)*N(P_L3_Tasa)/12,0)*AF$9</f>
        <v>0</v>
      </c>
      <c r="AG106" s="34" t="n">
        <f aca="false">IF((28-N(P_L3_Mes)+1)&gt;=1,IF((28-N(P_L3_Mes)+1)=1,N(P_L3_Monto),AF$108)*N(P_L3_Tasa)/12,0)*AG$9</f>
        <v>0</v>
      </c>
      <c r="AH106" s="34" t="n">
        <f aca="false">IF((29-N(P_L3_Mes)+1)&gt;=1,IF((29-N(P_L3_Mes)+1)=1,N(P_L3_Monto),AG$108)*N(P_L3_Tasa)/12,0)*AH$9</f>
        <v>0</v>
      </c>
      <c r="AI106" s="34" t="n">
        <f aca="false">IF((30-N(P_L3_Mes)+1)&gt;=1,IF((30-N(P_L3_Mes)+1)=1,N(P_L3_Monto),AH$108)*N(P_L3_Tasa)/12,0)*AI$9</f>
        <v>0</v>
      </c>
      <c r="AJ106" s="34" t="n">
        <f aca="false">IF((31-N(P_L3_Mes)+1)&gt;=1,IF((31-N(P_L3_Mes)+1)=1,N(P_L3_Monto),AI$108)*N(P_L3_Tasa)/12,0)*AJ$9</f>
        <v>0</v>
      </c>
      <c r="AK106" s="34" t="n">
        <f aca="false">IF((32-N(P_L3_Mes)+1)&gt;=1,IF((32-N(P_L3_Mes)+1)=1,N(P_L3_Monto),AJ$108)*N(P_L3_Tasa)/12,0)*AK$9</f>
        <v>0</v>
      </c>
      <c r="AL106" s="34" t="n">
        <f aca="false">IF((33-N(P_L3_Mes)+1)&gt;=1,IF((33-N(P_L3_Mes)+1)=1,N(P_L3_Monto),AK$108)*N(P_L3_Tasa)/12,0)*AL$9</f>
        <v>0</v>
      </c>
      <c r="AM106" s="34" t="n">
        <f aca="false">IF((34-N(P_L3_Mes)+1)&gt;=1,IF((34-N(P_L3_Mes)+1)=1,N(P_L3_Monto),AL$108)*N(P_L3_Tasa)/12,0)*AM$9</f>
        <v>0</v>
      </c>
      <c r="AN106" s="34" t="n">
        <f aca="false">IF((35-N(P_L3_Mes)+1)&gt;=1,IF((35-N(P_L3_Mes)+1)=1,N(P_L3_Monto),AM$108)*N(P_L3_Tasa)/12,0)*AN$9</f>
        <v>0</v>
      </c>
      <c r="AO106" s="34" t="n">
        <f aca="false">IF((36-N(P_L3_Mes)+1)&gt;=1,IF((36-N(P_L3_Mes)+1)=1,N(P_L3_Monto),AN$108)*N(P_L3_Tasa)/12,0)*AO$9</f>
        <v>0</v>
      </c>
      <c r="AP106" s="34" t="n">
        <f aca="false">IF((37-N(P_L3_Mes)+1)&gt;=1,IF((37-N(P_L3_Mes)+1)=1,N(P_L3_Monto),AO$108)*N(P_L3_Tasa)/12,0)*AP$9</f>
        <v>0</v>
      </c>
      <c r="AQ106" s="34" t="n">
        <f aca="false">IF((38-N(P_L3_Mes)+1)&gt;=1,IF((38-N(P_L3_Mes)+1)=1,N(P_L3_Monto),AP$108)*N(P_L3_Tasa)/12,0)*AQ$9</f>
        <v>0</v>
      </c>
      <c r="AR106" s="34" t="n">
        <f aca="false">IF((39-N(P_L3_Mes)+1)&gt;=1,IF((39-N(P_L3_Mes)+1)=1,N(P_L3_Monto),AQ$108)*N(P_L3_Tasa)/12,0)*AR$9</f>
        <v>0</v>
      </c>
      <c r="AS106" s="34" t="n">
        <f aca="false">IF((40-N(P_L3_Mes)+1)&gt;=1,IF((40-N(P_L3_Mes)+1)=1,N(P_L3_Monto),AR$108)*N(P_L3_Tasa)/12,0)*AS$9</f>
        <v>0</v>
      </c>
      <c r="AT106" s="34" t="n">
        <f aca="false">IF((41-N(P_L3_Mes)+1)&gt;=1,IF((41-N(P_L3_Mes)+1)=1,N(P_L3_Monto),AS$108)*N(P_L3_Tasa)/12,0)*AT$9</f>
        <v>0</v>
      </c>
      <c r="AU106" s="34" t="n">
        <f aca="false">IF((42-N(P_L3_Mes)+1)&gt;=1,IF((42-N(P_L3_Mes)+1)=1,N(P_L3_Monto),AT$108)*N(P_L3_Tasa)/12,0)*AU$9</f>
        <v>0</v>
      </c>
      <c r="AV106" s="34" t="n">
        <f aca="false">IF((43-N(P_L3_Mes)+1)&gt;=1,IF((43-N(P_L3_Mes)+1)=1,N(P_L3_Monto),AU$108)*N(P_L3_Tasa)/12,0)*AV$9</f>
        <v>0</v>
      </c>
      <c r="AW106" s="34" t="n">
        <f aca="false">IF((44-N(P_L3_Mes)+1)&gt;=1,IF((44-N(P_L3_Mes)+1)=1,N(P_L3_Monto),AV$108)*N(P_L3_Tasa)/12,0)*AW$9</f>
        <v>0</v>
      </c>
      <c r="AX106" s="34" t="n">
        <f aca="false">IF((45-N(P_L3_Mes)+1)&gt;=1,IF((45-N(P_L3_Mes)+1)=1,N(P_L3_Monto),AW$108)*N(P_L3_Tasa)/12,0)*AX$9</f>
        <v>0</v>
      </c>
      <c r="AY106" s="34" t="n">
        <f aca="false">IF((46-N(P_L3_Mes)+1)&gt;=1,IF((46-N(P_L3_Mes)+1)=1,N(P_L3_Monto),AX$108)*N(P_L3_Tasa)/12,0)*AY$9</f>
        <v>0</v>
      </c>
      <c r="AZ106" s="34" t="n">
        <f aca="false">IF((47-N(P_L3_Mes)+1)&gt;=1,IF((47-N(P_L3_Mes)+1)=1,N(P_L3_Monto),AY$108)*N(P_L3_Tasa)/12,0)*AZ$9</f>
        <v>0</v>
      </c>
      <c r="BA106" s="34" t="n">
        <f aca="false">IF((48-N(P_L3_Mes)+1)&gt;=1,IF((48-N(P_L3_Mes)+1)=1,N(P_L3_Monto),AZ$108)*N(P_L3_Tasa)/12,0)*BA$9</f>
        <v>0</v>
      </c>
      <c r="BB106" s="34" t="n">
        <f aca="false">IF((49-N(P_L3_Mes)+1)&gt;=1,IF((49-N(P_L3_Mes)+1)=1,N(P_L3_Monto),BA$108)*N(P_L3_Tasa)/12,0)*BB$9</f>
        <v>0</v>
      </c>
      <c r="BC106" s="34" t="n">
        <f aca="false">IF((50-N(P_L3_Mes)+1)&gt;=1,IF((50-N(P_L3_Mes)+1)=1,N(P_L3_Monto),BB$108)*N(P_L3_Tasa)/12,0)*BC$9</f>
        <v>0</v>
      </c>
      <c r="BD106" s="34" t="n">
        <f aca="false">IF((51-N(P_L3_Mes)+1)&gt;=1,IF((51-N(P_L3_Mes)+1)=1,N(P_L3_Monto),BC$108)*N(P_L3_Tasa)/12,0)*BD$9</f>
        <v>0</v>
      </c>
      <c r="BE106" s="34" t="n">
        <f aca="false">IF((52-N(P_L3_Mes)+1)&gt;=1,IF((52-N(P_L3_Mes)+1)=1,N(P_L3_Monto),BD$108)*N(P_L3_Tasa)/12,0)*BE$9</f>
        <v>0</v>
      </c>
      <c r="BF106" s="34" t="n">
        <f aca="false">IF((53-N(P_L3_Mes)+1)&gt;=1,IF((53-N(P_L3_Mes)+1)=1,N(P_L3_Monto),BE$108)*N(P_L3_Tasa)/12,0)*BF$9</f>
        <v>0</v>
      </c>
      <c r="BG106" s="34" t="n">
        <f aca="false">IF((54-N(P_L3_Mes)+1)&gt;=1,IF((54-N(P_L3_Mes)+1)=1,N(P_L3_Monto),BF$108)*N(P_L3_Tasa)/12,0)*BG$9</f>
        <v>0</v>
      </c>
      <c r="BH106" s="34" t="n">
        <f aca="false">IF((55-N(P_L3_Mes)+1)&gt;=1,IF((55-N(P_L3_Mes)+1)=1,N(P_L3_Monto),BG$108)*N(P_L3_Tasa)/12,0)*BH$9</f>
        <v>0</v>
      </c>
      <c r="BI106" s="34" t="n">
        <f aca="false">IF((56-N(P_L3_Mes)+1)&gt;=1,IF((56-N(P_L3_Mes)+1)=1,N(P_L3_Monto),BH$108)*N(P_L3_Tasa)/12,0)*BI$9</f>
        <v>0</v>
      </c>
      <c r="BJ106" s="34" t="n">
        <f aca="false">IF((57-N(P_L3_Mes)+1)&gt;=1,IF((57-N(P_L3_Mes)+1)=1,N(P_L3_Monto),BI$108)*N(P_L3_Tasa)/12,0)*BJ$9</f>
        <v>0</v>
      </c>
      <c r="BK106" s="34" t="n">
        <f aca="false">IF((58-N(P_L3_Mes)+1)&gt;=1,IF((58-N(P_L3_Mes)+1)=1,N(P_L3_Monto),BJ$108)*N(P_L3_Tasa)/12,0)*BK$9</f>
        <v>0</v>
      </c>
      <c r="BL106" s="34" t="n">
        <f aca="false">IF((59-N(P_L3_Mes)+1)&gt;=1,IF((59-N(P_L3_Mes)+1)=1,N(P_L3_Monto),BK$108)*N(P_L3_Tasa)/12,0)*BL$9</f>
        <v>0</v>
      </c>
      <c r="BM106" s="34" t="n">
        <f aca="false">IF((60-N(P_L3_Mes)+1)&gt;=1,IF((60-N(P_L3_Mes)+1)=1,N(P_L3_Monto),BL$108)*N(P_L3_Tasa)/12,0)*BM$9</f>
        <v>0</v>
      </c>
      <c r="BN106" s="34" t="n">
        <f aca="false">IF((61-N(P_L3_Mes)+1)&gt;=1,IF((61-N(P_L3_Mes)+1)=1,N(P_L3_Monto),BM$108)*N(P_L3_Tasa)/12,0)*BN$9</f>
        <v>0</v>
      </c>
      <c r="BO106" s="34" t="n">
        <f aca="false">IF((62-N(P_L3_Mes)+1)&gt;=1,IF((62-N(P_L3_Mes)+1)=1,N(P_L3_Monto),BN$108)*N(P_L3_Tasa)/12,0)*BO$9</f>
        <v>0</v>
      </c>
      <c r="BP106" s="34" t="n">
        <f aca="false">IF((63-N(P_L3_Mes)+1)&gt;=1,IF((63-N(P_L3_Mes)+1)=1,N(P_L3_Monto),BO$108)*N(P_L3_Tasa)/12,0)*BP$9</f>
        <v>0</v>
      </c>
      <c r="BQ106" s="34" t="n">
        <f aca="false">IF((64-N(P_L3_Mes)+1)&gt;=1,IF((64-N(P_L3_Mes)+1)=1,N(P_L3_Monto),BP$108)*N(P_L3_Tasa)/12,0)*BQ$9</f>
        <v>0</v>
      </c>
      <c r="BR106" s="34" t="n">
        <f aca="false">IF((65-N(P_L3_Mes)+1)&gt;=1,IF((65-N(P_L3_Mes)+1)=1,N(P_L3_Monto),BQ$108)*N(P_L3_Tasa)/12,0)*BR$9</f>
        <v>0</v>
      </c>
      <c r="BS106" s="34" t="n">
        <f aca="false">IF((66-N(P_L3_Mes)+1)&gt;=1,IF((66-N(P_L3_Mes)+1)=1,N(P_L3_Monto),BR$108)*N(P_L3_Tasa)/12,0)*BS$9</f>
        <v>0</v>
      </c>
      <c r="BT106" s="34" t="n">
        <f aca="false">IF((67-N(P_L3_Mes)+1)&gt;=1,IF((67-N(P_L3_Mes)+1)=1,N(P_L3_Monto),BS$108)*N(P_L3_Tasa)/12,0)*BT$9</f>
        <v>0</v>
      </c>
      <c r="BU106" s="34" t="n">
        <f aca="false">IF((68-N(P_L3_Mes)+1)&gt;=1,IF((68-N(P_L3_Mes)+1)=1,N(P_L3_Monto),BT$108)*N(P_L3_Tasa)/12,0)*BU$9</f>
        <v>0</v>
      </c>
      <c r="BV106" s="34" t="n">
        <f aca="false">IF((69-N(P_L3_Mes)+1)&gt;=1,IF((69-N(P_L3_Mes)+1)=1,N(P_L3_Monto),BU$108)*N(P_L3_Tasa)/12,0)*BV$9</f>
        <v>0</v>
      </c>
      <c r="BW106" s="34" t="n">
        <f aca="false">IF((70-N(P_L3_Mes)+1)&gt;=1,IF((70-N(P_L3_Mes)+1)=1,N(P_L3_Monto),BV$108)*N(P_L3_Tasa)/12,0)*BW$9</f>
        <v>0</v>
      </c>
      <c r="BX106" s="34" t="n">
        <f aca="false">IF((71-N(P_L3_Mes)+1)&gt;=1,IF((71-N(P_L3_Mes)+1)=1,N(P_L3_Monto),BW$108)*N(P_L3_Tasa)/12,0)*BX$9</f>
        <v>0</v>
      </c>
      <c r="BY106" s="34" t="n">
        <f aca="false">IF((72-N(P_L3_Mes)+1)&gt;=1,IF((72-N(P_L3_Mes)+1)=1,N(P_L3_Monto),BX$108)*N(P_L3_Tasa)/12,0)*BY$9</f>
        <v>0</v>
      </c>
      <c r="BZ106" s="34" t="n">
        <f aca="false">IF((73-N(P_L3_Mes)+1)&gt;=1,IF((73-N(P_L3_Mes)+1)=1,N(P_L3_Monto),BY$108)*N(P_L3_Tasa)/12,0)*BZ$9</f>
        <v>0</v>
      </c>
      <c r="CA106" s="34" t="n">
        <f aca="false">IF((74-N(P_L3_Mes)+1)&gt;=1,IF((74-N(P_L3_Mes)+1)=1,N(P_L3_Monto),BZ$108)*N(P_L3_Tasa)/12,0)*CA$9</f>
        <v>0</v>
      </c>
      <c r="CB106" s="34" t="n">
        <f aca="false">IF((75-N(P_L3_Mes)+1)&gt;=1,IF((75-N(P_L3_Mes)+1)=1,N(P_L3_Monto),CA$108)*N(P_L3_Tasa)/12,0)*CB$9</f>
        <v>0</v>
      </c>
      <c r="CC106" s="34" t="n">
        <f aca="false">IF((76-N(P_L3_Mes)+1)&gt;=1,IF((76-N(P_L3_Mes)+1)=1,N(P_L3_Monto),CB$108)*N(P_L3_Tasa)/12,0)*CC$9</f>
        <v>0</v>
      </c>
      <c r="CD106" s="34" t="n">
        <f aca="false">IF((77-N(P_L3_Mes)+1)&gt;=1,IF((77-N(P_L3_Mes)+1)=1,N(P_L3_Monto),CC$108)*N(P_L3_Tasa)/12,0)*CD$9</f>
        <v>0</v>
      </c>
      <c r="CE106" s="34" t="n">
        <f aca="false">IF((78-N(P_L3_Mes)+1)&gt;=1,IF((78-N(P_L3_Mes)+1)=1,N(P_L3_Monto),CD$108)*N(P_L3_Tasa)/12,0)*CE$9</f>
        <v>0</v>
      </c>
      <c r="CF106" s="34" t="n">
        <f aca="false">IF((79-N(P_L3_Mes)+1)&gt;=1,IF((79-N(P_L3_Mes)+1)=1,N(P_L3_Monto),CE$108)*N(P_L3_Tasa)/12,0)*CF$9</f>
        <v>0</v>
      </c>
      <c r="CG106" s="34" t="n">
        <f aca="false">IF((80-N(P_L3_Mes)+1)&gt;=1,IF((80-N(P_L3_Mes)+1)=1,N(P_L3_Monto),CF$108)*N(P_L3_Tasa)/12,0)*CG$9</f>
        <v>0</v>
      </c>
      <c r="CH106" s="34" t="n">
        <f aca="false">IF((81-N(P_L3_Mes)+1)&gt;=1,IF((81-N(P_L3_Mes)+1)=1,N(P_L3_Monto),CG$108)*N(P_L3_Tasa)/12,0)*CH$9</f>
        <v>0</v>
      </c>
      <c r="CI106" s="34" t="n">
        <f aca="false">IF((82-N(P_L3_Mes)+1)&gt;=1,IF((82-N(P_L3_Mes)+1)=1,N(P_L3_Monto),CH$108)*N(P_L3_Tasa)/12,0)*CI$9</f>
        <v>0</v>
      </c>
      <c r="CJ106" s="34" t="n">
        <f aca="false">IF((83-N(P_L3_Mes)+1)&gt;=1,IF((83-N(P_L3_Mes)+1)=1,N(P_L3_Monto),CI$108)*N(P_L3_Tasa)/12,0)*CJ$9</f>
        <v>0</v>
      </c>
      <c r="CK106" s="34" t="n">
        <f aca="false">IF((84-N(P_L3_Mes)+1)&gt;=1,IF((84-N(P_L3_Mes)+1)=1,N(P_L3_Monto),CJ$108)*N(P_L3_Tasa)/12,0)*CK$9</f>
        <v>0</v>
      </c>
      <c r="CL106" s="34" t="n">
        <f aca="false">IF((85-N(P_L3_Mes)+1)&gt;=1,IF((85-N(P_L3_Mes)+1)=1,N(P_L3_Monto),CK$108)*N(P_L3_Tasa)/12,0)*CL$9</f>
        <v>0</v>
      </c>
      <c r="CM106" s="34" t="n">
        <f aca="false">IF((86-N(P_L3_Mes)+1)&gt;=1,IF((86-N(P_L3_Mes)+1)=1,N(P_L3_Monto),CL$108)*N(P_L3_Tasa)/12,0)*CM$9</f>
        <v>0</v>
      </c>
      <c r="CN106" s="34" t="n">
        <f aca="false">IF((87-N(P_L3_Mes)+1)&gt;=1,IF((87-N(P_L3_Mes)+1)=1,N(P_L3_Monto),CM$108)*N(P_L3_Tasa)/12,0)*CN$9</f>
        <v>0</v>
      </c>
      <c r="CO106" s="34" t="n">
        <f aca="false">IF((88-N(P_L3_Mes)+1)&gt;=1,IF((88-N(P_L3_Mes)+1)=1,N(P_L3_Monto),CN$108)*N(P_L3_Tasa)/12,0)*CO$9</f>
        <v>0</v>
      </c>
      <c r="CP106" s="34" t="n">
        <f aca="false">IF((89-N(P_L3_Mes)+1)&gt;=1,IF((89-N(P_L3_Mes)+1)=1,N(P_L3_Monto),CO$108)*N(P_L3_Tasa)/12,0)*CP$9</f>
        <v>0</v>
      </c>
      <c r="CQ106" s="34" t="n">
        <f aca="false">IF((90-N(P_L3_Mes)+1)&gt;=1,IF((90-N(P_L3_Mes)+1)=1,N(P_L3_Monto),CP$108)*N(P_L3_Tasa)/12,0)*CQ$9</f>
        <v>0</v>
      </c>
      <c r="CR106" s="34" t="n">
        <f aca="false">IF((91-N(P_L3_Mes)+1)&gt;=1,IF((91-N(P_L3_Mes)+1)=1,N(P_L3_Monto),CQ$108)*N(P_L3_Tasa)/12,0)*CR$9</f>
        <v>0</v>
      </c>
      <c r="CS106" s="34" t="n">
        <f aca="false">IF((92-N(P_L3_Mes)+1)&gt;=1,IF((92-N(P_L3_Mes)+1)=1,N(P_L3_Monto),CR$108)*N(P_L3_Tasa)/12,0)*CS$9</f>
        <v>0</v>
      </c>
      <c r="CT106" s="34" t="n">
        <f aca="false">IF((93-N(P_L3_Mes)+1)&gt;=1,IF((93-N(P_L3_Mes)+1)=1,N(P_L3_Monto),CS$108)*N(P_L3_Tasa)/12,0)*CT$9</f>
        <v>0</v>
      </c>
      <c r="CU106" s="34" t="n">
        <f aca="false">IF((94-N(P_L3_Mes)+1)&gt;=1,IF((94-N(P_L3_Mes)+1)=1,N(P_L3_Monto),CT$108)*N(P_L3_Tasa)/12,0)*CU$9</f>
        <v>0</v>
      </c>
      <c r="CV106" s="34" t="n">
        <f aca="false">IF((95-N(P_L3_Mes)+1)&gt;=1,IF((95-N(P_L3_Mes)+1)=1,N(P_L3_Monto),CU$108)*N(P_L3_Tasa)/12,0)*CV$9</f>
        <v>0</v>
      </c>
      <c r="CW106" s="34" t="n">
        <f aca="false">IF((96-N(P_L3_Mes)+1)&gt;=1,IF((96-N(P_L3_Mes)+1)=1,N(P_L3_Monto),CV$108)*N(P_L3_Tasa)/12,0)*CW$9</f>
        <v>0</v>
      </c>
      <c r="CX106" s="34" t="n">
        <f aca="false">IF((97-N(P_L3_Mes)+1)&gt;=1,IF((97-N(P_L3_Mes)+1)=1,N(P_L3_Monto),CW$108)*N(P_L3_Tasa)/12,0)*CX$9</f>
        <v>0</v>
      </c>
      <c r="CY106" s="34" t="n">
        <f aca="false">IF((98-N(P_L3_Mes)+1)&gt;=1,IF((98-N(P_L3_Mes)+1)=1,N(P_L3_Monto),CX$108)*N(P_L3_Tasa)/12,0)*CY$9</f>
        <v>0</v>
      </c>
      <c r="CZ106" s="34" t="n">
        <f aca="false">IF((99-N(P_L3_Mes)+1)&gt;=1,IF((99-N(P_L3_Mes)+1)=1,N(P_L3_Monto),CY$108)*N(P_L3_Tasa)/12,0)*CZ$9</f>
        <v>0</v>
      </c>
      <c r="DA106" s="34" t="n">
        <f aca="false">IF((100-N(P_L3_Mes)+1)&gt;=1,IF((100-N(P_L3_Mes)+1)=1,N(P_L3_Monto),CZ$108)*N(P_L3_Tasa)/12,0)*DA$9</f>
        <v>0</v>
      </c>
      <c r="DB106" s="34" t="n">
        <f aca="false">IF((101-N(P_L3_Mes)+1)&gt;=1,IF((101-N(P_L3_Mes)+1)=1,N(P_L3_Monto),DA$108)*N(P_L3_Tasa)/12,0)*DB$9</f>
        <v>0</v>
      </c>
      <c r="DC106" s="34" t="n">
        <f aca="false">IF((102-N(P_L3_Mes)+1)&gt;=1,IF((102-N(P_L3_Mes)+1)=1,N(P_L3_Monto),DB$108)*N(P_L3_Tasa)/12,0)*DC$9</f>
        <v>0</v>
      </c>
      <c r="DD106" s="34" t="n">
        <f aca="false">IF((103-N(P_L3_Mes)+1)&gt;=1,IF((103-N(P_L3_Mes)+1)=1,N(P_L3_Monto),DC$108)*N(P_L3_Tasa)/12,0)*DD$9</f>
        <v>0</v>
      </c>
      <c r="DE106" s="34" t="n">
        <f aca="false">IF((104-N(P_L3_Mes)+1)&gt;=1,IF((104-N(P_L3_Mes)+1)=1,N(P_L3_Monto),DD$108)*N(P_L3_Tasa)/12,0)*DE$9</f>
        <v>0</v>
      </c>
      <c r="DF106" s="34" t="n">
        <f aca="false">IF((105-N(P_L3_Mes)+1)&gt;=1,IF((105-N(P_L3_Mes)+1)=1,N(P_L3_Monto),DE$108)*N(P_L3_Tasa)/12,0)*DF$9</f>
        <v>0</v>
      </c>
      <c r="DG106" s="34" t="n">
        <f aca="false">IF((106-N(P_L3_Mes)+1)&gt;=1,IF((106-N(P_L3_Mes)+1)=1,N(P_L3_Monto),DF$108)*N(P_L3_Tasa)/12,0)*DG$9</f>
        <v>0</v>
      </c>
      <c r="DH106" s="34" t="n">
        <f aca="false">IF((107-N(P_L3_Mes)+1)&gt;=1,IF((107-N(P_L3_Mes)+1)=1,N(P_L3_Monto),DG$108)*N(P_L3_Tasa)/12,0)*DH$9</f>
        <v>0</v>
      </c>
      <c r="DI106" s="34" t="n">
        <f aca="false">IF((108-N(P_L3_Mes)+1)&gt;=1,IF((108-N(P_L3_Mes)+1)=1,N(P_L3_Monto),DH$108)*N(P_L3_Tasa)/12,0)*DI$9</f>
        <v>0</v>
      </c>
      <c r="DJ106" s="34" t="n">
        <f aca="false">IF((109-N(P_L3_Mes)+1)&gt;=1,IF((109-N(P_L3_Mes)+1)=1,N(P_L3_Monto),DI$108)*N(P_L3_Tasa)/12,0)*DJ$9</f>
        <v>0</v>
      </c>
      <c r="DK106" s="34" t="n">
        <f aca="false">IF((110-N(P_L3_Mes)+1)&gt;=1,IF((110-N(P_L3_Mes)+1)=1,N(P_L3_Monto),DJ$108)*N(P_L3_Tasa)/12,0)*DK$9</f>
        <v>0</v>
      </c>
      <c r="DL106" s="34" t="n">
        <f aca="false">IF((111-N(P_L3_Mes)+1)&gt;=1,IF((111-N(P_L3_Mes)+1)=1,N(P_L3_Monto),DK$108)*N(P_L3_Tasa)/12,0)*DL$9</f>
        <v>0</v>
      </c>
      <c r="DM106" s="34" t="n">
        <f aca="false">IF((112-N(P_L3_Mes)+1)&gt;=1,IF((112-N(P_L3_Mes)+1)=1,N(P_L3_Monto),DL$108)*N(P_L3_Tasa)/12,0)*DM$9</f>
        <v>0</v>
      </c>
      <c r="DN106" s="34" t="n">
        <f aca="false">IF((113-N(P_L3_Mes)+1)&gt;=1,IF((113-N(P_L3_Mes)+1)=1,N(P_L3_Monto),DM$108)*N(P_L3_Tasa)/12,0)*DN$9</f>
        <v>0</v>
      </c>
      <c r="DO106" s="34" t="n">
        <f aca="false">IF((114-N(P_L3_Mes)+1)&gt;=1,IF((114-N(P_L3_Mes)+1)=1,N(P_L3_Monto),DN$108)*N(P_L3_Tasa)/12,0)*DO$9</f>
        <v>0</v>
      </c>
      <c r="DP106" s="34" t="n">
        <f aca="false">IF((115-N(P_L3_Mes)+1)&gt;=1,IF((115-N(P_L3_Mes)+1)=1,N(P_L3_Monto),DO$108)*N(P_L3_Tasa)/12,0)*DP$9</f>
        <v>0</v>
      </c>
      <c r="DQ106" s="34" t="n">
        <f aca="false">IF((116-N(P_L3_Mes)+1)&gt;=1,IF((116-N(P_L3_Mes)+1)=1,N(P_L3_Monto),DP$108)*N(P_L3_Tasa)/12,0)*DQ$9</f>
        <v>0</v>
      </c>
      <c r="DR106" s="34" t="n">
        <f aca="false">IF((117-N(P_L3_Mes)+1)&gt;=1,IF((117-N(P_L3_Mes)+1)=1,N(P_L3_Monto),DQ$108)*N(P_L3_Tasa)/12,0)*DR$9</f>
        <v>0</v>
      </c>
      <c r="DS106" s="34" t="n">
        <f aca="false">IF((118-N(P_L3_Mes)+1)&gt;=1,IF((118-N(P_L3_Mes)+1)=1,N(P_L3_Monto),DR$108)*N(P_L3_Tasa)/12,0)*DS$9</f>
        <v>0</v>
      </c>
      <c r="DT106" s="34" t="n">
        <f aca="false">IF((119-N(P_L3_Mes)+1)&gt;=1,IF((119-N(P_L3_Mes)+1)=1,N(P_L3_Monto),DS$108)*N(P_L3_Tasa)/12,0)*DT$9</f>
        <v>0</v>
      </c>
      <c r="DU106" s="34" t="n">
        <f aca="false">IF((120-N(P_L3_Mes)+1)&gt;=1,IF((120-N(P_L3_Mes)+1)=1,N(P_L3_Monto),DT$108)*N(P_L3_Tasa)/12,0)*DU$9</f>
        <v>0</v>
      </c>
      <c r="DV106" s="34" t="n">
        <f aca="false">IF((121-N(P_L3_Mes)+1)&gt;=1,IF((121-N(P_L3_Mes)+1)=1,N(P_L3_Monto),DU$108)*N(P_L3_Tasa)/12,0)*DV$9</f>
        <v>0</v>
      </c>
      <c r="DW106" s="34" t="n">
        <f aca="false">IF((122-N(P_L3_Mes)+1)&gt;=1,IF((122-N(P_L3_Mes)+1)=1,N(P_L3_Monto),DV$108)*N(P_L3_Tasa)/12,0)*DW$9</f>
        <v>0</v>
      </c>
      <c r="DX106" s="34" t="n">
        <f aca="false">IF((123-N(P_L3_Mes)+1)&gt;=1,IF((123-N(P_L3_Mes)+1)=1,N(P_L3_Monto),DW$108)*N(P_L3_Tasa)/12,0)*DX$9</f>
        <v>0</v>
      </c>
      <c r="DY106" s="34" t="n">
        <f aca="false">IF((124-N(P_L3_Mes)+1)&gt;=1,IF((124-N(P_L3_Mes)+1)=1,N(P_L3_Monto),DX$108)*N(P_L3_Tasa)/12,0)*DY$9</f>
        <v>0</v>
      </c>
      <c r="DZ106" s="34" t="n">
        <f aca="false">IF((125-N(P_L3_Mes)+1)&gt;=1,IF((125-N(P_L3_Mes)+1)=1,N(P_L3_Monto),DY$108)*N(P_L3_Tasa)/12,0)*DZ$9</f>
        <v>0</v>
      </c>
      <c r="EA106" s="34" t="n">
        <f aca="false">IF((126-N(P_L3_Mes)+1)&gt;=1,IF((126-N(P_L3_Mes)+1)=1,N(P_L3_Monto),DZ$108)*N(P_L3_Tasa)/12,0)*EA$9</f>
        <v>0</v>
      </c>
      <c r="EB106" s="34" t="n">
        <f aca="false">IF((127-N(P_L3_Mes)+1)&gt;=1,IF((127-N(P_L3_Mes)+1)=1,N(P_L3_Monto),EA$108)*N(P_L3_Tasa)/12,0)*EB$9</f>
        <v>0</v>
      </c>
      <c r="EC106" s="34" t="n">
        <f aca="false">IF((128-N(P_L3_Mes)+1)&gt;=1,IF((128-N(P_L3_Mes)+1)=1,N(P_L3_Monto),EB$108)*N(P_L3_Tasa)/12,0)*EC$9</f>
        <v>0</v>
      </c>
      <c r="ED106" s="34" t="n">
        <f aca="false">IF((129-N(P_L3_Mes)+1)&gt;=1,IF((129-N(P_L3_Mes)+1)=1,N(P_L3_Monto),EC$108)*N(P_L3_Tasa)/12,0)*ED$9</f>
        <v>0</v>
      </c>
      <c r="EE106" s="34" t="n">
        <f aca="false">IF((130-N(P_L3_Mes)+1)&gt;=1,IF((130-N(P_L3_Mes)+1)=1,N(P_L3_Monto),ED$108)*N(P_L3_Tasa)/12,0)*EE$9</f>
        <v>0</v>
      </c>
      <c r="EF106" s="34" t="n">
        <f aca="false">IF((131-N(P_L3_Mes)+1)&gt;=1,IF((131-N(P_L3_Mes)+1)=1,N(P_L3_Monto),EE$108)*N(P_L3_Tasa)/12,0)*EF$9</f>
        <v>0</v>
      </c>
      <c r="EG106" s="34" t="n">
        <f aca="false">IF((132-N(P_L3_Mes)+1)&gt;=1,IF((132-N(P_L3_Mes)+1)=1,N(P_L3_Monto),EF$108)*N(P_L3_Tasa)/12,0)*EG$9</f>
        <v>0</v>
      </c>
      <c r="EH106" s="34" t="n">
        <f aca="false">IF((133-N(P_L3_Mes)+1)&gt;=1,IF((133-N(P_L3_Mes)+1)=1,N(P_L3_Monto),EG$108)*N(P_L3_Tasa)/12,0)*EH$9</f>
        <v>0</v>
      </c>
      <c r="EI106" s="34" t="n">
        <f aca="false">IF((134-N(P_L3_Mes)+1)&gt;=1,IF((134-N(P_L3_Mes)+1)=1,N(P_L3_Monto),EH$108)*N(P_L3_Tasa)/12,0)*EI$9</f>
        <v>0</v>
      </c>
      <c r="EJ106" s="34" t="n">
        <f aca="false">IF((135-N(P_L3_Mes)+1)&gt;=1,IF((135-N(P_L3_Mes)+1)=1,N(P_L3_Monto),EI$108)*N(P_L3_Tasa)/12,0)*EJ$9</f>
        <v>0</v>
      </c>
      <c r="EK106" s="34" t="n">
        <f aca="false">IF((136-N(P_L3_Mes)+1)&gt;=1,IF((136-N(P_L3_Mes)+1)=1,N(P_L3_Monto),EJ$108)*N(P_L3_Tasa)/12,0)*EK$9</f>
        <v>0</v>
      </c>
      <c r="EL106" s="34" t="n">
        <f aca="false">IF((137-N(P_L3_Mes)+1)&gt;=1,IF((137-N(P_L3_Mes)+1)=1,N(P_L3_Monto),EK$108)*N(P_L3_Tasa)/12,0)*EL$9</f>
        <v>0</v>
      </c>
      <c r="EM106" s="34" t="n">
        <f aca="false">IF((138-N(P_L3_Mes)+1)&gt;=1,IF((138-N(P_L3_Mes)+1)=1,N(P_L3_Monto),EL$108)*N(P_L3_Tasa)/12,0)*EM$9</f>
        <v>0</v>
      </c>
      <c r="EN106" s="34" t="n">
        <f aca="false">IF((139-N(P_L3_Mes)+1)&gt;=1,IF((139-N(P_L3_Mes)+1)=1,N(P_L3_Monto),EM$108)*N(P_L3_Tasa)/12,0)*EN$9</f>
        <v>0</v>
      </c>
      <c r="EO106" s="34" t="n">
        <f aca="false">IF((140-N(P_L3_Mes)+1)&gt;=1,IF((140-N(P_L3_Mes)+1)=1,N(P_L3_Monto),EN$108)*N(P_L3_Tasa)/12,0)*EO$9</f>
        <v>0</v>
      </c>
      <c r="EP106" s="34" t="n">
        <f aca="false">IF((141-N(P_L3_Mes)+1)&gt;=1,IF((141-N(P_L3_Mes)+1)=1,N(P_L3_Monto),EO$108)*N(P_L3_Tasa)/12,0)*EP$9</f>
        <v>0</v>
      </c>
      <c r="EQ106" s="34" t="n">
        <f aca="false">IF((142-N(P_L3_Mes)+1)&gt;=1,IF((142-N(P_L3_Mes)+1)=1,N(P_L3_Monto),EP$108)*N(P_L3_Tasa)/12,0)*EQ$9</f>
        <v>0</v>
      </c>
      <c r="ER106" s="34" t="n">
        <f aca="false">IF((143-N(P_L3_Mes)+1)&gt;=1,IF((143-N(P_L3_Mes)+1)=1,N(P_L3_Monto),EQ$108)*N(P_L3_Tasa)/12,0)*ER$9</f>
        <v>0</v>
      </c>
      <c r="ES106" s="34" t="n">
        <f aca="false">IF((144-N(P_L3_Mes)+1)&gt;=1,IF((144-N(P_L3_Mes)+1)=1,N(P_L3_Monto),ER$108)*N(P_L3_Tasa)/12,0)*ES$9</f>
        <v>0</v>
      </c>
    </row>
    <row r="107" customFormat="false" ht="15" hidden="false" customHeight="false" outlineLevel="0" collapsed="false">
      <c r="A107" s="2" t="s">
        <v>571</v>
      </c>
      <c r="B107" s="6" t="s">
        <v>572</v>
      </c>
      <c r="C107" s="6" t="s">
        <v>212</v>
      </c>
      <c r="E107" s="40" t="n">
        <f aca="false">SUM(F107:ES107)</f>
        <v>0</v>
      </c>
      <c r="F107" s="34" t="n">
        <f aca="false">IF(AND((1-N(P_L3_Mes)+1)&gt;N(P_L3_Gracia),(1-N(P_L3_Mes)+1)&lt;=N(P_L3_Gracia)+N(P_L3_Cuotas),N(P_L3_Cuotas)&gt;0),IF((1-N(P_L3_Mes)+1)=N(P_L3_Gracia)+N(P_L3_Cuotas),IF((1-N(P_L3_Mes)+1)=1,N(P_L3_Monto),0),PMT(N(P_L3_Tasa)/12,N(P_L3_Cuotas),-N(P_L3_Monto))-F$106),0)*F$9</f>
        <v>0</v>
      </c>
      <c r="G107" s="34" t="n">
        <f aca="false">IF(AND((2-N(P_L3_Mes)+1)&gt;N(P_L3_Gracia),(2-N(P_L3_Mes)+1)&lt;=N(P_L3_Gracia)+N(P_L3_Cuotas),N(P_L3_Cuotas)&gt;0),IF((2-N(P_L3_Mes)+1)=N(P_L3_Gracia)+N(P_L3_Cuotas),IF((2-N(P_L3_Mes)+1)=1,N(P_L3_Monto),F$108),PMT(N(P_L3_Tasa)/12,N(P_L3_Cuotas),-N(P_L3_Monto))-G$106),0)*G$9</f>
        <v>0</v>
      </c>
      <c r="H107" s="34" t="n">
        <f aca="false">IF(AND((3-N(P_L3_Mes)+1)&gt;N(P_L3_Gracia),(3-N(P_L3_Mes)+1)&lt;=N(P_L3_Gracia)+N(P_L3_Cuotas),N(P_L3_Cuotas)&gt;0),IF((3-N(P_L3_Mes)+1)=N(P_L3_Gracia)+N(P_L3_Cuotas),IF((3-N(P_L3_Mes)+1)=1,N(P_L3_Monto),G$108),PMT(N(P_L3_Tasa)/12,N(P_L3_Cuotas),-N(P_L3_Monto))-H$106),0)*H$9</f>
        <v>0</v>
      </c>
      <c r="I107" s="34" t="n">
        <f aca="false">IF(AND((4-N(P_L3_Mes)+1)&gt;N(P_L3_Gracia),(4-N(P_L3_Mes)+1)&lt;=N(P_L3_Gracia)+N(P_L3_Cuotas),N(P_L3_Cuotas)&gt;0),IF((4-N(P_L3_Mes)+1)=N(P_L3_Gracia)+N(P_L3_Cuotas),IF((4-N(P_L3_Mes)+1)=1,N(P_L3_Monto),H$108),PMT(N(P_L3_Tasa)/12,N(P_L3_Cuotas),-N(P_L3_Monto))-I$106),0)*I$9</f>
        <v>0</v>
      </c>
      <c r="J107" s="34" t="n">
        <f aca="false">IF(AND((5-N(P_L3_Mes)+1)&gt;N(P_L3_Gracia),(5-N(P_L3_Mes)+1)&lt;=N(P_L3_Gracia)+N(P_L3_Cuotas),N(P_L3_Cuotas)&gt;0),IF((5-N(P_L3_Mes)+1)=N(P_L3_Gracia)+N(P_L3_Cuotas),IF((5-N(P_L3_Mes)+1)=1,N(P_L3_Monto),I$108),PMT(N(P_L3_Tasa)/12,N(P_L3_Cuotas),-N(P_L3_Monto))-J$106),0)*J$9</f>
        <v>0</v>
      </c>
      <c r="K107" s="34" t="n">
        <f aca="false">IF(AND((6-N(P_L3_Mes)+1)&gt;N(P_L3_Gracia),(6-N(P_L3_Mes)+1)&lt;=N(P_L3_Gracia)+N(P_L3_Cuotas),N(P_L3_Cuotas)&gt;0),IF((6-N(P_L3_Mes)+1)=N(P_L3_Gracia)+N(P_L3_Cuotas),IF((6-N(P_L3_Mes)+1)=1,N(P_L3_Monto),J$108),PMT(N(P_L3_Tasa)/12,N(P_L3_Cuotas),-N(P_L3_Monto))-K$106),0)*K$9</f>
        <v>0</v>
      </c>
      <c r="L107" s="34" t="n">
        <f aca="false">IF(AND((7-N(P_L3_Mes)+1)&gt;N(P_L3_Gracia),(7-N(P_L3_Mes)+1)&lt;=N(P_L3_Gracia)+N(P_L3_Cuotas),N(P_L3_Cuotas)&gt;0),IF((7-N(P_L3_Mes)+1)=N(P_L3_Gracia)+N(P_L3_Cuotas),IF((7-N(P_L3_Mes)+1)=1,N(P_L3_Monto),K$108),PMT(N(P_L3_Tasa)/12,N(P_L3_Cuotas),-N(P_L3_Monto))-L$106),0)*L$9</f>
        <v>0</v>
      </c>
      <c r="M107" s="34" t="n">
        <f aca="false">IF(AND((8-N(P_L3_Mes)+1)&gt;N(P_L3_Gracia),(8-N(P_L3_Mes)+1)&lt;=N(P_L3_Gracia)+N(P_L3_Cuotas),N(P_L3_Cuotas)&gt;0),IF((8-N(P_L3_Mes)+1)=N(P_L3_Gracia)+N(P_L3_Cuotas),IF((8-N(P_L3_Mes)+1)=1,N(P_L3_Monto),L$108),PMT(N(P_L3_Tasa)/12,N(P_L3_Cuotas),-N(P_L3_Monto))-M$106),0)*M$9</f>
        <v>0</v>
      </c>
      <c r="N107" s="34" t="n">
        <f aca="false">IF(AND((9-N(P_L3_Mes)+1)&gt;N(P_L3_Gracia),(9-N(P_L3_Mes)+1)&lt;=N(P_L3_Gracia)+N(P_L3_Cuotas),N(P_L3_Cuotas)&gt;0),IF((9-N(P_L3_Mes)+1)=N(P_L3_Gracia)+N(P_L3_Cuotas),IF((9-N(P_L3_Mes)+1)=1,N(P_L3_Monto),M$108),PMT(N(P_L3_Tasa)/12,N(P_L3_Cuotas),-N(P_L3_Monto))-N$106),0)*N$9</f>
        <v>0</v>
      </c>
      <c r="O107" s="34" t="n">
        <f aca="false">IF(AND((10-N(P_L3_Mes)+1)&gt;N(P_L3_Gracia),(10-N(P_L3_Mes)+1)&lt;=N(P_L3_Gracia)+N(P_L3_Cuotas),N(P_L3_Cuotas)&gt;0),IF((10-N(P_L3_Mes)+1)=N(P_L3_Gracia)+N(P_L3_Cuotas),IF((10-N(P_L3_Mes)+1)=1,N(P_L3_Monto),N$108),PMT(N(P_L3_Tasa)/12,N(P_L3_Cuotas),-N(P_L3_Monto))-O$106),0)*O$9</f>
        <v>0</v>
      </c>
      <c r="P107" s="34" t="n">
        <f aca="false">IF(AND((11-N(P_L3_Mes)+1)&gt;N(P_L3_Gracia),(11-N(P_L3_Mes)+1)&lt;=N(P_L3_Gracia)+N(P_L3_Cuotas),N(P_L3_Cuotas)&gt;0),IF((11-N(P_L3_Mes)+1)=N(P_L3_Gracia)+N(P_L3_Cuotas),IF((11-N(P_L3_Mes)+1)=1,N(P_L3_Monto),O$108),PMT(N(P_L3_Tasa)/12,N(P_L3_Cuotas),-N(P_L3_Monto))-P$106),0)*P$9</f>
        <v>0</v>
      </c>
      <c r="Q107" s="34" t="n">
        <f aca="false">IF(AND((12-N(P_L3_Mes)+1)&gt;N(P_L3_Gracia),(12-N(P_L3_Mes)+1)&lt;=N(P_L3_Gracia)+N(P_L3_Cuotas),N(P_L3_Cuotas)&gt;0),IF((12-N(P_L3_Mes)+1)=N(P_L3_Gracia)+N(P_L3_Cuotas),IF((12-N(P_L3_Mes)+1)=1,N(P_L3_Monto),P$108),PMT(N(P_L3_Tasa)/12,N(P_L3_Cuotas),-N(P_L3_Monto))-Q$106),0)*Q$9</f>
        <v>0</v>
      </c>
      <c r="R107" s="34" t="n">
        <f aca="false">IF(AND((13-N(P_L3_Mes)+1)&gt;N(P_L3_Gracia),(13-N(P_L3_Mes)+1)&lt;=N(P_L3_Gracia)+N(P_L3_Cuotas),N(P_L3_Cuotas)&gt;0),IF((13-N(P_L3_Mes)+1)=N(P_L3_Gracia)+N(P_L3_Cuotas),IF((13-N(P_L3_Mes)+1)=1,N(P_L3_Monto),Q$108),PMT(N(P_L3_Tasa)/12,N(P_L3_Cuotas),-N(P_L3_Monto))-R$106),0)*R$9</f>
        <v>0</v>
      </c>
      <c r="S107" s="34" t="n">
        <f aca="false">IF(AND((14-N(P_L3_Mes)+1)&gt;N(P_L3_Gracia),(14-N(P_L3_Mes)+1)&lt;=N(P_L3_Gracia)+N(P_L3_Cuotas),N(P_L3_Cuotas)&gt;0),IF((14-N(P_L3_Mes)+1)=N(P_L3_Gracia)+N(P_L3_Cuotas),IF((14-N(P_L3_Mes)+1)=1,N(P_L3_Monto),R$108),PMT(N(P_L3_Tasa)/12,N(P_L3_Cuotas),-N(P_L3_Monto))-S$106),0)*S$9</f>
        <v>0</v>
      </c>
      <c r="T107" s="34" t="n">
        <f aca="false">IF(AND((15-N(P_L3_Mes)+1)&gt;N(P_L3_Gracia),(15-N(P_L3_Mes)+1)&lt;=N(P_L3_Gracia)+N(P_L3_Cuotas),N(P_L3_Cuotas)&gt;0),IF((15-N(P_L3_Mes)+1)=N(P_L3_Gracia)+N(P_L3_Cuotas),IF((15-N(P_L3_Mes)+1)=1,N(P_L3_Monto),S$108),PMT(N(P_L3_Tasa)/12,N(P_L3_Cuotas),-N(P_L3_Monto))-T$106),0)*T$9</f>
        <v>0</v>
      </c>
      <c r="U107" s="34" t="n">
        <f aca="false">IF(AND((16-N(P_L3_Mes)+1)&gt;N(P_L3_Gracia),(16-N(P_L3_Mes)+1)&lt;=N(P_L3_Gracia)+N(P_L3_Cuotas),N(P_L3_Cuotas)&gt;0),IF((16-N(P_L3_Mes)+1)=N(P_L3_Gracia)+N(P_L3_Cuotas),IF((16-N(P_L3_Mes)+1)=1,N(P_L3_Monto),T$108),PMT(N(P_L3_Tasa)/12,N(P_L3_Cuotas),-N(P_L3_Monto))-U$106),0)*U$9</f>
        <v>0</v>
      </c>
      <c r="V107" s="34" t="n">
        <f aca="false">IF(AND((17-N(P_L3_Mes)+1)&gt;N(P_L3_Gracia),(17-N(P_L3_Mes)+1)&lt;=N(P_L3_Gracia)+N(P_L3_Cuotas),N(P_L3_Cuotas)&gt;0),IF((17-N(P_L3_Mes)+1)=N(P_L3_Gracia)+N(P_L3_Cuotas),IF((17-N(P_L3_Mes)+1)=1,N(P_L3_Monto),U$108),PMT(N(P_L3_Tasa)/12,N(P_L3_Cuotas),-N(P_L3_Monto))-V$106),0)*V$9</f>
        <v>0</v>
      </c>
      <c r="W107" s="34" t="n">
        <f aca="false">IF(AND((18-N(P_L3_Mes)+1)&gt;N(P_L3_Gracia),(18-N(P_L3_Mes)+1)&lt;=N(P_L3_Gracia)+N(P_L3_Cuotas),N(P_L3_Cuotas)&gt;0),IF((18-N(P_L3_Mes)+1)=N(P_L3_Gracia)+N(P_L3_Cuotas),IF((18-N(P_L3_Mes)+1)=1,N(P_L3_Monto),V$108),PMT(N(P_L3_Tasa)/12,N(P_L3_Cuotas),-N(P_L3_Monto))-W$106),0)*W$9</f>
        <v>0</v>
      </c>
      <c r="X107" s="34" t="n">
        <f aca="false">IF(AND((19-N(P_L3_Mes)+1)&gt;N(P_L3_Gracia),(19-N(P_L3_Mes)+1)&lt;=N(P_L3_Gracia)+N(P_L3_Cuotas),N(P_L3_Cuotas)&gt;0),IF((19-N(P_L3_Mes)+1)=N(P_L3_Gracia)+N(P_L3_Cuotas),IF((19-N(P_L3_Mes)+1)=1,N(P_L3_Monto),W$108),PMT(N(P_L3_Tasa)/12,N(P_L3_Cuotas),-N(P_L3_Monto))-X$106),0)*X$9</f>
        <v>0</v>
      </c>
      <c r="Y107" s="34" t="n">
        <f aca="false">IF(AND((20-N(P_L3_Mes)+1)&gt;N(P_L3_Gracia),(20-N(P_L3_Mes)+1)&lt;=N(P_L3_Gracia)+N(P_L3_Cuotas),N(P_L3_Cuotas)&gt;0),IF((20-N(P_L3_Mes)+1)=N(P_L3_Gracia)+N(P_L3_Cuotas),IF((20-N(P_L3_Mes)+1)=1,N(P_L3_Monto),X$108),PMT(N(P_L3_Tasa)/12,N(P_L3_Cuotas),-N(P_L3_Monto))-Y$106),0)*Y$9</f>
        <v>0</v>
      </c>
      <c r="Z107" s="34" t="n">
        <f aca="false">IF(AND((21-N(P_L3_Mes)+1)&gt;N(P_L3_Gracia),(21-N(P_L3_Mes)+1)&lt;=N(P_L3_Gracia)+N(P_L3_Cuotas),N(P_L3_Cuotas)&gt;0),IF((21-N(P_L3_Mes)+1)=N(P_L3_Gracia)+N(P_L3_Cuotas),IF((21-N(P_L3_Mes)+1)=1,N(P_L3_Monto),Y$108),PMT(N(P_L3_Tasa)/12,N(P_L3_Cuotas),-N(P_L3_Monto))-Z$106),0)*Z$9</f>
        <v>0</v>
      </c>
      <c r="AA107" s="34" t="n">
        <f aca="false">IF(AND((22-N(P_L3_Mes)+1)&gt;N(P_L3_Gracia),(22-N(P_L3_Mes)+1)&lt;=N(P_L3_Gracia)+N(P_L3_Cuotas),N(P_L3_Cuotas)&gt;0),IF((22-N(P_L3_Mes)+1)=N(P_L3_Gracia)+N(P_L3_Cuotas),IF((22-N(P_L3_Mes)+1)=1,N(P_L3_Monto),Z$108),PMT(N(P_L3_Tasa)/12,N(P_L3_Cuotas),-N(P_L3_Monto))-AA$106),0)*AA$9</f>
        <v>0</v>
      </c>
      <c r="AB107" s="34" t="n">
        <f aca="false">IF(AND((23-N(P_L3_Mes)+1)&gt;N(P_L3_Gracia),(23-N(P_L3_Mes)+1)&lt;=N(P_L3_Gracia)+N(P_L3_Cuotas),N(P_L3_Cuotas)&gt;0),IF((23-N(P_L3_Mes)+1)=N(P_L3_Gracia)+N(P_L3_Cuotas),IF((23-N(P_L3_Mes)+1)=1,N(P_L3_Monto),AA$108),PMT(N(P_L3_Tasa)/12,N(P_L3_Cuotas),-N(P_L3_Monto))-AB$106),0)*AB$9</f>
        <v>0</v>
      </c>
      <c r="AC107" s="34" t="n">
        <f aca="false">IF(AND((24-N(P_L3_Mes)+1)&gt;N(P_L3_Gracia),(24-N(P_L3_Mes)+1)&lt;=N(P_L3_Gracia)+N(P_L3_Cuotas),N(P_L3_Cuotas)&gt;0),IF((24-N(P_L3_Mes)+1)=N(P_L3_Gracia)+N(P_L3_Cuotas),IF((24-N(P_L3_Mes)+1)=1,N(P_L3_Monto),AB$108),PMT(N(P_L3_Tasa)/12,N(P_L3_Cuotas),-N(P_L3_Monto))-AC$106),0)*AC$9</f>
        <v>0</v>
      </c>
      <c r="AD107" s="34" t="n">
        <f aca="false">IF(AND((25-N(P_L3_Mes)+1)&gt;N(P_L3_Gracia),(25-N(P_L3_Mes)+1)&lt;=N(P_L3_Gracia)+N(P_L3_Cuotas),N(P_L3_Cuotas)&gt;0),IF((25-N(P_L3_Mes)+1)=N(P_L3_Gracia)+N(P_L3_Cuotas),IF((25-N(P_L3_Mes)+1)=1,N(P_L3_Monto),AC$108),PMT(N(P_L3_Tasa)/12,N(P_L3_Cuotas),-N(P_L3_Monto))-AD$106),0)*AD$9</f>
        <v>0</v>
      </c>
      <c r="AE107" s="34" t="n">
        <f aca="false">IF(AND((26-N(P_L3_Mes)+1)&gt;N(P_L3_Gracia),(26-N(P_L3_Mes)+1)&lt;=N(P_L3_Gracia)+N(P_L3_Cuotas),N(P_L3_Cuotas)&gt;0),IF((26-N(P_L3_Mes)+1)=N(P_L3_Gracia)+N(P_L3_Cuotas),IF((26-N(P_L3_Mes)+1)=1,N(P_L3_Monto),AD$108),PMT(N(P_L3_Tasa)/12,N(P_L3_Cuotas),-N(P_L3_Monto))-AE$106),0)*AE$9</f>
        <v>0</v>
      </c>
      <c r="AF107" s="34" t="n">
        <f aca="false">IF(AND((27-N(P_L3_Mes)+1)&gt;N(P_L3_Gracia),(27-N(P_L3_Mes)+1)&lt;=N(P_L3_Gracia)+N(P_L3_Cuotas),N(P_L3_Cuotas)&gt;0),IF((27-N(P_L3_Mes)+1)=N(P_L3_Gracia)+N(P_L3_Cuotas),IF((27-N(P_L3_Mes)+1)=1,N(P_L3_Monto),AE$108),PMT(N(P_L3_Tasa)/12,N(P_L3_Cuotas),-N(P_L3_Monto))-AF$106),0)*AF$9</f>
        <v>0</v>
      </c>
      <c r="AG107" s="34" t="n">
        <f aca="false">IF(AND((28-N(P_L3_Mes)+1)&gt;N(P_L3_Gracia),(28-N(P_L3_Mes)+1)&lt;=N(P_L3_Gracia)+N(P_L3_Cuotas),N(P_L3_Cuotas)&gt;0),IF((28-N(P_L3_Mes)+1)=N(P_L3_Gracia)+N(P_L3_Cuotas),IF((28-N(P_L3_Mes)+1)=1,N(P_L3_Monto),AF$108),PMT(N(P_L3_Tasa)/12,N(P_L3_Cuotas),-N(P_L3_Monto))-AG$106),0)*AG$9</f>
        <v>0</v>
      </c>
      <c r="AH107" s="34" t="n">
        <f aca="false">IF(AND((29-N(P_L3_Mes)+1)&gt;N(P_L3_Gracia),(29-N(P_L3_Mes)+1)&lt;=N(P_L3_Gracia)+N(P_L3_Cuotas),N(P_L3_Cuotas)&gt;0),IF((29-N(P_L3_Mes)+1)=N(P_L3_Gracia)+N(P_L3_Cuotas),IF((29-N(P_L3_Mes)+1)=1,N(P_L3_Monto),AG$108),PMT(N(P_L3_Tasa)/12,N(P_L3_Cuotas),-N(P_L3_Monto))-AH$106),0)*AH$9</f>
        <v>0</v>
      </c>
      <c r="AI107" s="34" t="n">
        <f aca="false">IF(AND((30-N(P_L3_Mes)+1)&gt;N(P_L3_Gracia),(30-N(P_L3_Mes)+1)&lt;=N(P_L3_Gracia)+N(P_L3_Cuotas),N(P_L3_Cuotas)&gt;0),IF((30-N(P_L3_Mes)+1)=N(P_L3_Gracia)+N(P_L3_Cuotas),IF((30-N(P_L3_Mes)+1)=1,N(P_L3_Monto),AH$108),PMT(N(P_L3_Tasa)/12,N(P_L3_Cuotas),-N(P_L3_Monto))-AI$106),0)*AI$9</f>
        <v>0</v>
      </c>
      <c r="AJ107" s="34" t="n">
        <f aca="false">IF(AND((31-N(P_L3_Mes)+1)&gt;N(P_L3_Gracia),(31-N(P_L3_Mes)+1)&lt;=N(P_L3_Gracia)+N(P_L3_Cuotas),N(P_L3_Cuotas)&gt;0),IF((31-N(P_L3_Mes)+1)=N(P_L3_Gracia)+N(P_L3_Cuotas),IF((31-N(P_L3_Mes)+1)=1,N(P_L3_Monto),AI$108),PMT(N(P_L3_Tasa)/12,N(P_L3_Cuotas),-N(P_L3_Monto))-AJ$106),0)*AJ$9</f>
        <v>0</v>
      </c>
      <c r="AK107" s="34" t="n">
        <f aca="false">IF(AND((32-N(P_L3_Mes)+1)&gt;N(P_L3_Gracia),(32-N(P_L3_Mes)+1)&lt;=N(P_L3_Gracia)+N(P_L3_Cuotas),N(P_L3_Cuotas)&gt;0),IF((32-N(P_L3_Mes)+1)=N(P_L3_Gracia)+N(P_L3_Cuotas),IF((32-N(P_L3_Mes)+1)=1,N(P_L3_Monto),AJ$108),PMT(N(P_L3_Tasa)/12,N(P_L3_Cuotas),-N(P_L3_Monto))-AK$106),0)*AK$9</f>
        <v>0</v>
      </c>
      <c r="AL107" s="34" t="n">
        <f aca="false">IF(AND((33-N(P_L3_Mes)+1)&gt;N(P_L3_Gracia),(33-N(P_L3_Mes)+1)&lt;=N(P_L3_Gracia)+N(P_L3_Cuotas),N(P_L3_Cuotas)&gt;0),IF((33-N(P_L3_Mes)+1)=N(P_L3_Gracia)+N(P_L3_Cuotas),IF((33-N(P_L3_Mes)+1)=1,N(P_L3_Monto),AK$108),PMT(N(P_L3_Tasa)/12,N(P_L3_Cuotas),-N(P_L3_Monto))-AL$106),0)*AL$9</f>
        <v>0</v>
      </c>
      <c r="AM107" s="34" t="n">
        <f aca="false">IF(AND((34-N(P_L3_Mes)+1)&gt;N(P_L3_Gracia),(34-N(P_L3_Mes)+1)&lt;=N(P_L3_Gracia)+N(P_L3_Cuotas),N(P_L3_Cuotas)&gt;0),IF((34-N(P_L3_Mes)+1)=N(P_L3_Gracia)+N(P_L3_Cuotas),IF((34-N(P_L3_Mes)+1)=1,N(P_L3_Monto),AL$108),PMT(N(P_L3_Tasa)/12,N(P_L3_Cuotas),-N(P_L3_Monto))-AM$106),0)*AM$9</f>
        <v>0</v>
      </c>
      <c r="AN107" s="34" t="n">
        <f aca="false">IF(AND((35-N(P_L3_Mes)+1)&gt;N(P_L3_Gracia),(35-N(P_L3_Mes)+1)&lt;=N(P_L3_Gracia)+N(P_L3_Cuotas),N(P_L3_Cuotas)&gt;0),IF((35-N(P_L3_Mes)+1)=N(P_L3_Gracia)+N(P_L3_Cuotas),IF((35-N(P_L3_Mes)+1)=1,N(P_L3_Monto),AM$108),PMT(N(P_L3_Tasa)/12,N(P_L3_Cuotas),-N(P_L3_Monto))-AN$106),0)*AN$9</f>
        <v>0</v>
      </c>
      <c r="AO107" s="34" t="n">
        <f aca="false">IF(AND((36-N(P_L3_Mes)+1)&gt;N(P_L3_Gracia),(36-N(P_L3_Mes)+1)&lt;=N(P_L3_Gracia)+N(P_L3_Cuotas),N(P_L3_Cuotas)&gt;0),IF((36-N(P_L3_Mes)+1)=N(P_L3_Gracia)+N(P_L3_Cuotas),IF((36-N(P_L3_Mes)+1)=1,N(P_L3_Monto),AN$108),PMT(N(P_L3_Tasa)/12,N(P_L3_Cuotas),-N(P_L3_Monto))-AO$106),0)*AO$9</f>
        <v>0</v>
      </c>
      <c r="AP107" s="34" t="n">
        <f aca="false">IF(AND((37-N(P_L3_Mes)+1)&gt;N(P_L3_Gracia),(37-N(P_L3_Mes)+1)&lt;=N(P_L3_Gracia)+N(P_L3_Cuotas),N(P_L3_Cuotas)&gt;0),IF((37-N(P_L3_Mes)+1)=N(P_L3_Gracia)+N(P_L3_Cuotas),IF((37-N(P_L3_Mes)+1)=1,N(P_L3_Monto),AO$108),PMT(N(P_L3_Tasa)/12,N(P_L3_Cuotas),-N(P_L3_Monto))-AP$106),0)*AP$9</f>
        <v>0</v>
      </c>
      <c r="AQ107" s="34" t="n">
        <f aca="false">IF(AND((38-N(P_L3_Mes)+1)&gt;N(P_L3_Gracia),(38-N(P_L3_Mes)+1)&lt;=N(P_L3_Gracia)+N(P_L3_Cuotas),N(P_L3_Cuotas)&gt;0),IF((38-N(P_L3_Mes)+1)=N(P_L3_Gracia)+N(P_L3_Cuotas),IF((38-N(P_L3_Mes)+1)=1,N(P_L3_Monto),AP$108),PMT(N(P_L3_Tasa)/12,N(P_L3_Cuotas),-N(P_L3_Monto))-AQ$106),0)*AQ$9</f>
        <v>0</v>
      </c>
      <c r="AR107" s="34" t="n">
        <f aca="false">IF(AND((39-N(P_L3_Mes)+1)&gt;N(P_L3_Gracia),(39-N(P_L3_Mes)+1)&lt;=N(P_L3_Gracia)+N(P_L3_Cuotas),N(P_L3_Cuotas)&gt;0),IF((39-N(P_L3_Mes)+1)=N(P_L3_Gracia)+N(P_L3_Cuotas),IF((39-N(P_L3_Mes)+1)=1,N(P_L3_Monto),AQ$108),PMT(N(P_L3_Tasa)/12,N(P_L3_Cuotas),-N(P_L3_Monto))-AR$106),0)*AR$9</f>
        <v>0</v>
      </c>
      <c r="AS107" s="34" t="n">
        <f aca="false">IF(AND((40-N(P_L3_Mes)+1)&gt;N(P_L3_Gracia),(40-N(P_L3_Mes)+1)&lt;=N(P_L3_Gracia)+N(P_L3_Cuotas),N(P_L3_Cuotas)&gt;0),IF((40-N(P_L3_Mes)+1)=N(P_L3_Gracia)+N(P_L3_Cuotas),IF((40-N(P_L3_Mes)+1)=1,N(P_L3_Monto),AR$108),PMT(N(P_L3_Tasa)/12,N(P_L3_Cuotas),-N(P_L3_Monto))-AS$106),0)*AS$9</f>
        <v>0</v>
      </c>
      <c r="AT107" s="34" t="n">
        <f aca="false">IF(AND((41-N(P_L3_Mes)+1)&gt;N(P_L3_Gracia),(41-N(P_L3_Mes)+1)&lt;=N(P_L3_Gracia)+N(P_L3_Cuotas),N(P_L3_Cuotas)&gt;0),IF((41-N(P_L3_Mes)+1)=N(P_L3_Gracia)+N(P_L3_Cuotas),IF((41-N(P_L3_Mes)+1)=1,N(P_L3_Monto),AS$108),PMT(N(P_L3_Tasa)/12,N(P_L3_Cuotas),-N(P_L3_Monto))-AT$106),0)*AT$9</f>
        <v>0</v>
      </c>
      <c r="AU107" s="34" t="n">
        <f aca="false">IF(AND((42-N(P_L3_Mes)+1)&gt;N(P_L3_Gracia),(42-N(P_L3_Mes)+1)&lt;=N(P_L3_Gracia)+N(P_L3_Cuotas),N(P_L3_Cuotas)&gt;0),IF((42-N(P_L3_Mes)+1)=N(P_L3_Gracia)+N(P_L3_Cuotas),IF((42-N(P_L3_Mes)+1)=1,N(P_L3_Monto),AT$108),PMT(N(P_L3_Tasa)/12,N(P_L3_Cuotas),-N(P_L3_Monto))-AU$106),0)*AU$9</f>
        <v>0</v>
      </c>
      <c r="AV107" s="34" t="n">
        <f aca="false">IF(AND((43-N(P_L3_Mes)+1)&gt;N(P_L3_Gracia),(43-N(P_L3_Mes)+1)&lt;=N(P_L3_Gracia)+N(P_L3_Cuotas),N(P_L3_Cuotas)&gt;0),IF((43-N(P_L3_Mes)+1)=N(P_L3_Gracia)+N(P_L3_Cuotas),IF((43-N(P_L3_Mes)+1)=1,N(P_L3_Monto),AU$108),PMT(N(P_L3_Tasa)/12,N(P_L3_Cuotas),-N(P_L3_Monto))-AV$106),0)*AV$9</f>
        <v>0</v>
      </c>
      <c r="AW107" s="34" t="n">
        <f aca="false">IF(AND((44-N(P_L3_Mes)+1)&gt;N(P_L3_Gracia),(44-N(P_L3_Mes)+1)&lt;=N(P_L3_Gracia)+N(P_L3_Cuotas),N(P_L3_Cuotas)&gt;0),IF((44-N(P_L3_Mes)+1)=N(P_L3_Gracia)+N(P_L3_Cuotas),IF((44-N(P_L3_Mes)+1)=1,N(P_L3_Monto),AV$108),PMT(N(P_L3_Tasa)/12,N(P_L3_Cuotas),-N(P_L3_Monto))-AW$106),0)*AW$9</f>
        <v>0</v>
      </c>
      <c r="AX107" s="34" t="n">
        <f aca="false">IF(AND((45-N(P_L3_Mes)+1)&gt;N(P_L3_Gracia),(45-N(P_L3_Mes)+1)&lt;=N(P_L3_Gracia)+N(P_L3_Cuotas),N(P_L3_Cuotas)&gt;0),IF((45-N(P_L3_Mes)+1)=N(P_L3_Gracia)+N(P_L3_Cuotas),IF((45-N(P_L3_Mes)+1)=1,N(P_L3_Monto),AW$108),PMT(N(P_L3_Tasa)/12,N(P_L3_Cuotas),-N(P_L3_Monto))-AX$106),0)*AX$9</f>
        <v>0</v>
      </c>
      <c r="AY107" s="34" t="n">
        <f aca="false">IF(AND((46-N(P_L3_Mes)+1)&gt;N(P_L3_Gracia),(46-N(P_L3_Mes)+1)&lt;=N(P_L3_Gracia)+N(P_L3_Cuotas),N(P_L3_Cuotas)&gt;0),IF((46-N(P_L3_Mes)+1)=N(P_L3_Gracia)+N(P_L3_Cuotas),IF((46-N(P_L3_Mes)+1)=1,N(P_L3_Monto),AX$108),PMT(N(P_L3_Tasa)/12,N(P_L3_Cuotas),-N(P_L3_Monto))-AY$106),0)*AY$9</f>
        <v>0</v>
      </c>
      <c r="AZ107" s="34" t="n">
        <f aca="false">IF(AND((47-N(P_L3_Mes)+1)&gt;N(P_L3_Gracia),(47-N(P_L3_Mes)+1)&lt;=N(P_L3_Gracia)+N(P_L3_Cuotas),N(P_L3_Cuotas)&gt;0),IF((47-N(P_L3_Mes)+1)=N(P_L3_Gracia)+N(P_L3_Cuotas),IF((47-N(P_L3_Mes)+1)=1,N(P_L3_Monto),AY$108),PMT(N(P_L3_Tasa)/12,N(P_L3_Cuotas),-N(P_L3_Monto))-AZ$106),0)*AZ$9</f>
        <v>0</v>
      </c>
      <c r="BA107" s="34" t="n">
        <f aca="false">IF(AND((48-N(P_L3_Mes)+1)&gt;N(P_L3_Gracia),(48-N(P_L3_Mes)+1)&lt;=N(P_L3_Gracia)+N(P_L3_Cuotas),N(P_L3_Cuotas)&gt;0),IF((48-N(P_L3_Mes)+1)=N(P_L3_Gracia)+N(P_L3_Cuotas),IF((48-N(P_L3_Mes)+1)=1,N(P_L3_Monto),AZ$108),PMT(N(P_L3_Tasa)/12,N(P_L3_Cuotas),-N(P_L3_Monto))-BA$106),0)*BA$9</f>
        <v>0</v>
      </c>
      <c r="BB107" s="34" t="n">
        <f aca="false">IF(AND((49-N(P_L3_Mes)+1)&gt;N(P_L3_Gracia),(49-N(P_L3_Mes)+1)&lt;=N(P_L3_Gracia)+N(P_L3_Cuotas),N(P_L3_Cuotas)&gt;0),IF((49-N(P_L3_Mes)+1)=N(P_L3_Gracia)+N(P_L3_Cuotas),IF((49-N(P_L3_Mes)+1)=1,N(P_L3_Monto),BA$108),PMT(N(P_L3_Tasa)/12,N(P_L3_Cuotas),-N(P_L3_Monto))-BB$106),0)*BB$9</f>
        <v>0</v>
      </c>
      <c r="BC107" s="34" t="n">
        <f aca="false">IF(AND((50-N(P_L3_Mes)+1)&gt;N(P_L3_Gracia),(50-N(P_L3_Mes)+1)&lt;=N(P_L3_Gracia)+N(P_L3_Cuotas),N(P_L3_Cuotas)&gt;0),IF((50-N(P_L3_Mes)+1)=N(P_L3_Gracia)+N(P_L3_Cuotas),IF((50-N(P_L3_Mes)+1)=1,N(P_L3_Monto),BB$108),PMT(N(P_L3_Tasa)/12,N(P_L3_Cuotas),-N(P_L3_Monto))-BC$106),0)*BC$9</f>
        <v>0</v>
      </c>
      <c r="BD107" s="34" t="n">
        <f aca="false">IF(AND((51-N(P_L3_Mes)+1)&gt;N(P_L3_Gracia),(51-N(P_L3_Mes)+1)&lt;=N(P_L3_Gracia)+N(P_L3_Cuotas),N(P_L3_Cuotas)&gt;0),IF((51-N(P_L3_Mes)+1)=N(P_L3_Gracia)+N(P_L3_Cuotas),IF((51-N(P_L3_Mes)+1)=1,N(P_L3_Monto),BC$108),PMT(N(P_L3_Tasa)/12,N(P_L3_Cuotas),-N(P_L3_Monto))-BD$106),0)*BD$9</f>
        <v>0</v>
      </c>
      <c r="BE107" s="34" t="n">
        <f aca="false">IF(AND((52-N(P_L3_Mes)+1)&gt;N(P_L3_Gracia),(52-N(P_L3_Mes)+1)&lt;=N(P_L3_Gracia)+N(P_L3_Cuotas),N(P_L3_Cuotas)&gt;0),IF((52-N(P_L3_Mes)+1)=N(P_L3_Gracia)+N(P_L3_Cuotas),IF((52-N(P_L3_Mes)+1)=1,N(P_L3_Monto),BD$108),PMT(N(P_L3_Tasa)/12,N(P_L3_Cuotas),-N(P_L3_Monto))-BE$106),0)*BE$9</f>
        <v>0</v>
      </c>
      <c r="BF107" s="34" t="n">
        <f aca="false">IF(AND((53-N(P_L3_Mes)+1)&gt;N(P_L3_Gracia),(53-N(P_L3_Mes)+1)&lt;=N(P_L3_Gracia)+N(P_L3_Cuotas),N(P_L3_Cuotas)&gt;0),IF((53-N(P_L3_Mes)+1)=N(P_L3_Gracia)+N(P_L3_Cuotas),IF((53-N(P_L3_Mes)+1)=1,N(P_L3_Monto),BE$108),PMT(N(P_L3_Tasa)/12,N(P_L3_Cuotas),-N(P_L3_Monto))-BF$106),0)*BF$9</f>
        <v>0</v>
      </c>
      <c r="BG107" s="34" t="n">
        <f aca="false">IF(AND((54-N(P_L3_Mes)+1)&gt;N(P_L3_Gracia),(54-N(P_L3_Mes)+1)&lt;=N(P_L3_Gracia)+N(P_L3_Cuotas),N(P_L3_Cuotas)&gt;0),IF((54-N(P_L3_Mes)+1)=N(P_L3_Gracia)+N(P_L3_Cuotas),IF((54-N(P_L3_Mes)+1)=1,N(P_L3_Monto),BF$108),PMT(N(P_L3_Tasa)/12,N(P_L3_Cuotas),-N(P_L3_Monto))-BG$106),0)*BG$9</f>
        <v>0</v>
      </c>
      <c r="BH107" s="34" t="n">
        <f aca="false">IF(AND((55-N(P_L3_Mes)+1)&gt;N(P_L3_Gracia),(55-N(P_L3_Mes)+1)&lt;=N(P_L3_Gracia)+N(P_L3_Cuotas),N(P_L3_Cuotas)&gt;0),IF((55-N(P_L3_Mes)+1)=N(P_L3_Gracia)+N(P_L3_Cuotas),IF((55-N(P_L3_Mes)+1)=1,N(P_L3_Monto),BG$108),PMT(N(P_L3_Tasa)/12,N(P_L3_Cuotas),-N(P_L3_Monto))-BH$106),0)*BH$9</f>
        <v>0</v>
      </c>
      <c r="BI107" s="34" t="n">
        <f aca="false">IF(AND((56-N(P_L3_Mes)+1)&gt;N(P_L3_Gracia),(56-N(P_L3_Mes)+1)&lt;=N(P_L3_Gracia)+N(P_L3_Cuotas),N(P_L3_Cuotas)&gt;0),IF((56-N(P_L3_Mes)+1)=N(P_L3_Gracia)+N(P_L3_Cuotas),IF((56-N(P_L3_Mes)+1)=1,N(P_L3_Monto),BH$108),PMT(N(P_L3_Tasa)/12,N(P_L3_Cuotas),-N(P_L3_Monto))-BI$106),0)*BI$9</f>
        <v>0</v>
      </c>
      <c r="BJ107" s="34" t="n">
        <f aca="false">IF(AND((57-N(P_L3_Mes)+1)&gt;N(P_L3_Gracia),(57-N(P_L3_Mes)+1)&lt;=N(P_L3_Gracia)+N(P_L3_Cuotas),N(P_L3_Cuotas)&gt;0),IF((57-N(P_L3_Mes)+1)=N(P_L3_Gracia)+N(P_L3_Cuotas),IF((57-N(P_L3_Mes)+1)=1,N(P_L3_Monto),BI$108),PMT(N(P_L3_Tasa)/12,N(P_L3_Cuotas),-N(P_L3_Monto))-BJ$106),0)*BJ$9</f>
        <v>0</v>
      </c>
      <c r="BK107" s="34" t="n">
        <f aca="false">IF(AND((58-N(P_L3_Mes)+1)&gt;N(P_L3_Gracia),(58-N(P_L3_Mes)+1)&lt;=N(P_L3_Gracia)+N(P_L3_Cuotas),N(P_L3_Cuotas)&gt;0),IF((58-N(P_L3_Mes)+1)=N(P_L3_Gracia)+N(P_L3_Cuotas),IF((58-N(P_L3_Mes)+1)=1,N(P_L3_Monto),BJ$108),PMT(N(P_L3_Tasa)/12,N(P_L3_Cuotas),-N(P_L3_Monto))-BK$106),0)*BK$9</f>
        <v>0</v>
      </c>
      <c r="BL107" s="34" t="n">
        <f aca="false">IF(AND((59-N(P_L3_Mes)+1)&gt;N(P_L3_Gracia),(59-N(P_L3_Mes)+1)&lt;=N(P_L3_Gracia)+N(P_L3_Cuotas),N(P_L3_Cuotas)&gt;0),IF((59-N(P_L3_Mes)+1)=N(P_L3_Gracia)+N(P_L3_Cuotas),IF((59-N(P_L3_Mes)+1)=1,N(P_L3_Monto),BK$108),PMT(N(P_L3_Tasa)/12,N(P_L3_Cuotas),-N(P_L3_Monto))-BL$106),0)*BL$9</f>
        <v>0</v>
      </c>
      <c r="BM107" s="34" t="n">
        <f aca="false">IF(AND((60-N(P_L3_Mes)+1)&gt;N(P_L3_Gracia),(60-N(P_L3_Mes)+1)&lt;=N(P_L3_Gracia)+N(P_L3_Cuotas),N(P_L3_Cuotas)&gt;0),IF((60-N(P_L3_Mes)+1)=N(P_L3_Gracia)+N(P_L3_Cuotas),IF((60-N(P_L3_Mes)+1)=1,N(P_L3_Monto),BL$108),PMT(N(P_L3_Tasa)/12,N(P_L3_Cuotas),-N(P_L3_Monto))-BM$106),0)*BM$9</f>
        <v>0</v>
      </c>
      <c r="BN107" s="34" t="n">
        <f aca="false">IF(AND((61-N(P_L3_Mes)+1)&gt;N(P_L3_Gracia),(61-N(P_L3_Mes)+1)&lt;=N(P_L3_Gracia)+N(P_L3_Cuotas),N(P_L3_Cuotas)&gt;0),IF((61-N(P_L3_Mes)+1)=N(P_L3_Gracia)+N(P_L3_Cuotas),IF((61-N(P_L3_Mes)+1)=1,N(P_L3_Monto),BM$108),PMT(N(P_L3_Tasa)/12,N(P_L3_Cuotas),-N(P_L3_Monto))-BN$106),0)*BN$9</f>
        <v>0</v>
      </c>
      <c r="BO107" s="34" t="n">
        <f aca="false">IF(AND((62-N(P_L3_Mes)+1)&gt;N(P_L3_Gracia),(62-N(P_L3_Mes)+1)&lt;=N(P_L3_Gracia)+N(P_L3_Cuotas),N(P_L3_Cuotas)&gt;0),IF((62-N(P_L3_Mes)+1)=N(P_L3_Gracia)+N(P_L3_Cuotas),IF((62-N(P_L3_Mes)+1)=1,N(P_L3_Monto),BN$108),PMT(N(P_L3_Tasa)/12,N(P_L3_Cuotas),-N(P_L3_Monto))-BO$106),0)*BO$9</f>
        <v>0</v>
      </c>
      <c r="BP107" s="34" t="n">
        <f aca="false">IF(AND((63-N(P_L3_Mes)+1)&gt;N(P_L3_Gracia),(63-N(P_L3_Mes)+1)&lt;=N(P_L3_Gracia)+N(P_L3_Cuotas),N(P_L3_Cuotas)&gt;0),IF((63-N(P_L3_Mes)+1)=N(P_L3_Gracia)+N(P_L3_Cuotas),IF((63-N(P_L3_Mes)+1)=1,N(P_L3_Monto),BO$108),PMT(N(P_L3_Tasa)/12,N(P_L3_Cuotas),-N(P_L3_Monto))-BP$106),0)*BP$9</f>
        <v>0</v>
      </c>
      <c r="BQ107" s="34" t="n">
        <f aca="false">IF(AND((64-N(P_L3_Mes)+1)&gt;N(P_L3_Gracia),(64-N(P_L3_Mes)+1)&lt;=N(P_L3_Gracia)+N(P_L3_Cuotas),N(P_L3_Cuotas)&gt;0),IF((64-N(P_L3_Mes)+1)=N(P_L3_Gracia)+N(P_L3_Cuotas),IF((64-N(P_L3_Mes)+1)=1,N(P_L3_Monto),BP$108),PMT(N(P_L3_Tasa)/12,N(P_L3_Cuotas),-N(P_L3_Monto))-BQ$106),0)*BQ$9</f>
        <v>0</v>
      </c>
      <c r="BR107" s="34" t="n">
        <f aca="false">IF(AND((65-N(P_L3_Mes)+1)&gt;N(P_L3_Gracia),(65-N(P_L3_Mes)+1)&lt;=N(P_L3_Gracia)+N(P_L3_Cuotas),N(P_L3_Cuotas)&gt;0),IF((65-N(P_L3_Mes)+1)=N(P_L3_Gracia)+N(P_L3_Cuotas),IF((65-N(P_L3_Mes)+1)=1,N(P_L3_Monto),BQ$108),PMT(N(P_L3_Tasa)/12,N(P_L3_Cuotas),-N(P_L3_Monto))-BR$106),0)*BR$9</f>
        <v>0</v>
      </c>
      <c r="BS107" s="34" t="n">
        <f aca="false">IF(AND((66-N(P_L3_Mes)+1)&gt;N(P_L3_Gracia),(66-N(P_L3_Mes)+1)&lt;=N(P_L3_Gracia)+N(P_L3_Cuotas),N(P_L3_Cuotas)&gt;0),IF((66-N(P_L3_Mes)+1)=N(P_L3_Gracia)+N(P_L3_Cuotas),IF((66-N(P_L3_Mes)+1)=1,N(P_L3_Monto),BR$108),PMT(N(P_L3_Tasa)/12,N(P_L3_Cuotas),-N(P_L3_Monto))-BS$106),0)*BS$9</f>
        <v>0</v>
      </c>
      <c r="BT107" s="34" t="n">
        <f aca="false">IF(AND((67-N(P_L3_Mes)+1)&gt;N(P_L3_Gracia),(67-N(P_L3_Mes)+1)&lt;=N(P_L3_Gracia)+N(P_L3_Cuotas),N(P_L3_Cuotas)&gt;0),IF((67-N(P_L3_Mes)+1)=N(P_L3_Gracia)+N(P_L3_Cuotas),IF((67-N(P_L3_Mes)+1)=1,N(P_L3_Monto),BS$108),PMT(N(P_L3_Tasa)/12,N(P_L3_Cuotas),-N(P_L3_Monto))-BT$106),0)*BT$9</f>
        <v>0</v>
      </c>
      <c r="BU107" s="34" t="n">
        <f aca="false">IF(AND((68-N(P_L3_Mes)+1)&gt;N(P_L3_Gracia),(68-N(P_L3_Mes)+1)&lt;=N(P_L3_Gracia)+N(P_L3_Cuotas),N(P_L3_Cuotas)&gt;0),IF((68-N(P_L3_Mes)+1)=N(P_L3_Gracia)+N(P_L3_Cuotas),IF((68-N(P_L3_Mes)+1)=1,N(P_L3_Monto),BT$108),PMT(N(P_L3_Tasa)/12,N(P_L3_Cuotas),-N(P_L3_Monto))-BU$106),0)*BU$9</f>
        <v>0</v>
      </c>
      <c r="BV107" s="34" t="n">
        <f aca="false">IF(AND((69-N(P_L3_Mes)+1)&gt;N(P_L3_Gracia),(69-N(P_L3_Mes)+1)&lt;=N(P_L3_Gracia)+N(P_L3_Cuotas),N(P_L3_Cuotas)&gt;0),IF((69-N(P_L3_Mes)+1)=N(P_L3_Gracia)+N(P_L3_Cuotas),IF((69-N(P_L3_Mes)+1)=1,N(P_L3_Monto),BU$108),PMT(N(P_L3_Tasa)/12,N(P_L3_Cuotas),-N(P_L3_Monto))-BV$106),0)*BV$9</f>
        <v>0</v>
      </c>
      <c r="BW107" s="34" t="n">
        <f aca="false">IF(AND((70-N(P_L3_Mes)+1)&gt;N(P_L3_Gracia),(70-N(P_L3_Mes)+1)&lt;=N(P_L3_Gracia)+N(P_L3_Cuotas),N(P_L3_Cuotas)&gt;0),IF((70-N(P_L3_Mes)+1)=N(P_L3_Gracia)+N(P_L3_Cuotas),IF((70-N(P_L3_Mes)+1)=1,N(P_L3_Monto),BV$108),PMT(N(P_L3_Tasa)/12,N(P_L3_Cuotas),-N(P_L3_Monto))-BW$106),0)*BW$9</f>
        <v>0</v>
      </c>
      <c r="BX107" s="34" t="n">
        <f aca="false">IF(AND((71-N(P_L3_Mes)+1)&gt;N(P_L3_Gracia),(71-N(P_L3_Mes)+1)&lt;=N(P_L3_Gracia)+N(P_L3_Cuotas),N(P_L3_Cuotas)&gt;0),IF((71-N(P_L3_Mes)+1)=N(P_L3_Gracia)+N(P_L3_Cuotas),IF((71-N(P_L3_Mes)+1)=1,N(P_L3_Monto),BW$108),PMT(N(P_L3_Tasa)/12,N(P_L3_Cuotas),-N(P_L3_Monto))-BX$106),0)*BX$9</f>
        <v>0</v>
      </c>
      <c r="BY107" s="34" t="n">
        <f aca="false">IF(AND((72-N(P_L3_Mes)+1)&gt;N(P_L3_Gracia),(72-N(P_L3_Mes)+1)&lt;=N(P_L3_Gracia)+N(P_L3_Cuotas),N(P_L3_Cuotas)&gt;0),IF((72-N(P_L3_Mes)+1)=N(P_L3_Gracia)+N(P_L3_Cuotas),IF((72-N(P_L3_Mes)+1)=1,N(P_L3_Monto),BX$108),PMT(N(P_L3_Tasa)/12,N(P_L3_Cuotas),-N(P_L3_Monto))-BY$106),0)*BY$9</f>
        <v>0</v>
      </c>
      <c r="BZ107" s="34" t="n">
        <f aca="false">IF(AND((73-N(P_L3_Mes)+1)&gt;N(P_L3_Gracia),(73-N(P_L3_Mes)+1)&lt;=N(P_L3_Gracia)+N(P_L3_Cuotas),N(P_L3_Cuotas)&gt;0),IF((73-N(P_L3_Mes)+1)=N(P_L3_Gracia)+N(P_L3_Cuotas),IF((73-N(P_L3_Mes)+1)=1,N(P_L3_Monto),BY$108),PMT(N(P_L3_Tasa)/12,N(P_L3_Cuotas),-N(P_L3_Monto))-BZ$106),0)*BZ$9</f>
        <v>0</v>
      </c>
      <c r="CA107" s="34" t="n">
        <f aca="false">IF(AND((74-N(P_L3_Mes)+1)&gt;N(P_L3_Gracia),(74-N(P_L3_Mes)+1)&lt;=N(P_L3_Gracia)+N(P_L3_Cuotas),N(P_L3_Cuotas)&gt;0),IF((74-N(P_L3_Mes)+1)=N(P_L3_Gracia)+N(P_L3_Cuotas),IF((74-N(P_L3_Mes)+1)=1,N(P_L3_Monto),BZ$108),PMT(N(P_L3_Tasa)/12,N(P_L3_Cuotas),-N(P_L3_Monto))-CA$106),0)*CA$9</f>
        <v>0</v>
      </c>
      <c r="CB107" s="34" t="n">
        <f aca="false">IF(AND((75-N(P_L3_Mes)+1)&gt;N(P_L3_Gracia),(75-N(P_L3_Mes)+1)&lt;=N(P_L3_Gracia)+N(P_L3_Cuotas),N(P_L3_Cuotas)&gt;0),IF((75-N(P_L3_Mes)+1)=N(P_L3_Gracia)+N(P_L3_Cuotas),IF((75-N(P_L3_Mes)+1)=1,N(P_L3_Monto),CA$108),PMT(N(P_L3_Tasa)/12,N(P_L3_Cuotas),-N(P_L3_Monto))-CB$106),0)*CB$9</f>
        <v>0</v>
      </c>
      <c r="CC107" s="34" t="n">
        <f aca="false">IF(AND((76-N(P_L3_Mes)+1)&gt;N(P_L3_Gracia),(76-N(P_L3_Mes)+1)&lt;=N(P_L3_Gracia)+N(P_L3_Cuotas),N(P_L3_Cuotas)&gt;0),IF((76-N(P_L3_Mes)+1)=N(P_L3_Gracia)+N(P_L3_Cuotas),IF((76-N(P_L3_Mes)+1)=1,N(P_L3_Monto),CB$108),PMT(N(P_L3_Tasa)/12,N(P_L3_Cuotas),-N(P_L3_Monto))-CC$106),0)*CC$9</f>
        <v>0</v>
      </c>
      <c r="CD107" s="34" t="n">
        <f aca="false">IF(AND((77-N(P_L3_Mes)+1)&gt;N(P_L3_Gracia),(77-N(P_L3_Mes)+1)&lt;=N(P_L3_Gracia)+N(P_L3_Cuotas),N(P_L3_Cuotas)&gt;0),IF((77-N(P_L3_Mes)+1)=N(P_L3_Gracia)+N(P_L3_Cuotas),IF((77-N(P_L3_Mes)+1)=1,N(P_L3_Monto),CC$108),PMT(N(P_L3_Tasa)/12,N(P_L3_Cuotas),-N(P_L3_Monto))-CD$106),0)*CD$9</f>
        <v>0</v>
      </c>
      <c r="CE107" s="34" t="n">
        <f aca="false">IF(AND((78-N(P_L3_Mes)+1)&gt;N(P_L3_Gracia),(78-N(P_L3_Mes)+1)&lt;=N(P_L3_Gracia)+N(P_L3_Cuotas),N(P_L3_Cuotas)&gt;0),IF((78-N(P_L3_Mes)+1)=N(P_L3_Gracia)+N(P_L3_Cuotas),IF((78-N(P_L3_Mes)+1)=1,N(P_L3_Monto),CD$108),PMT(N(P_L3_Tasa)/12,N(P_L3_Cuotas),-N(P_L3_Monto))-CE$106),0)*CE$9</f>
        <v>0</v>
      </c>
      <c r="CF107" s="34" t="n">
        <f aca="false">IF(AND((79-N(P_L3_Mes)+1)&gt;N(P_L3_Gracia),(79-N(P_L3_Mes)+1)&lt;=N(P_L3_Gracia)+N(P_L3_Cuotas),N(P_L3_Cuotas)&gt;0),IF((79-N(P_L3_Mes)+1)=N(P_L3_Gracia)+N(P_L3_Cuotas),IF((79-N(P_L3_Mes)+1)=1,N(P_L3_Monto),CE$108),PMT(N(P_L3_Tasa)/12,N(P_L3_Cuotas),-N(P_L3_Monto))-CF$106),0)*CF$9</f>
        <v>0</v>
      </c>
      <c r="CG107" s="34" t="n">
        <f aca="false">IF(AND((80-N(P_L3_Mes)+1)&gt;N(P_L3_Gracia),(80-N(P_L3_Mes)+1)&lt;=N(P_L3_Gracia)+N(P_L3_Cuotas),N(P_L3_Cuotas)&gt;0),IF((80-N(P_L3_Mes)+1)=N(P_L3_Gracia)+N(P_L3_Cuotas),IF((80-N(P_L3_Mes)+1)=1,N(P_L3_Monto),CF$108),PMT(N(P_L3_Tasa)/12,N(P_L3_Cuotas),-N(P_L3_Monto))-CG$106),0)*CG$9</f>
        <v>0</v>
      </c>
      <c r="CH107" s="34" t="n">
        <f aca="false">IF(AND((81-N(P_L3_Mes)+1)&gt;N(P_L3_Gracia),(81-N(P_L3_Mes)+1)&lt;=N(P_L3_Gracia)+N(P_L3_Cuotas),N(P_L3_Cuotas)&gt;0),IF((81-N(P_L3_Mes)+1)=N(P_L3_Gracia)+N(P_L3_Cuotas),IF((81-N(P_L3_Mes)+1)=1,N(P_L3_Monto),CG$108),PMT(N(P_L3_Tasa)/12,N(P_L3_Cuotas),-N(P_L3_Monto))-CH$106),0)*CH$9</f>
        <v>0</v>
      </c>
      <c r="CI107" s="34" t="n">
        <f aca="false">IF(AND((82-N(P_L3_Mes)+1)&gt;N(P_L3_Gracia),(82-N(P_L3_Mes)+1)&lt;=N(P_L3_Gracia)+N(P_L3_Cuotas),N(P_L3_Cuotas)&gt;0),IF((82-N(P_L3_Mes)+1)=N(P_L3_Gracia)+N(P_L3_Cuotas),IF((82-N(P_L3_Mes)+1)=1,N(P_L3_Monto),CH$108),PMT(N(P_L3_Tasa)/12,N(P_L3_Cuotas),-N(P_L3_Monto))-CI$106),0)*CI$9</f>
        <v>0</v>
      </c>
      <c r="CJ107" s="34" t="n">
        <f aca="false">IF(AND((83-N(P_L3_Mes)+1)&gt;N(P_L3_Gracia),(83-N(P_L3_Mes)+1)&lt;=N(P_L3_Gracia)+N(P_L3_Cuotas),N(P_L3_Cuotas)&gt;0),IF((83-N(P_L3_Mes)+1)=N(P_L3_Gracia)+N(P_L3_Cuotas),IF((83-N(P_L3_Mes)+1)=1,N(P_L3_Monto),CI$108),PMT(N(P_L3_Tasa)/12,N(P_L3_Cuotas),-N(P_L3_Monto))-CJ$106),0)*CJ$9</f>
        <v>0</v>
      </c>
      <c r="CK107" s="34" t="n">
        <f aca="false">IF(AND((84-N(P_L3_Mes)+1)&gt;N(P_L3_Gracia),(84-N(P_L3_Mes)+1)&lt;=N(P_L3_Gracia)+N(P_L3_Cuotas),N(P_L3_Cuotas)&gt;0),IF((84-N(P_L3_Mes)+1)=N(P_L3_Gracia)+N(P_L3_Cuotas),IF((84-N(P_L3_Mes)+1)=1,N(P_L3_Monto),CJ$108),PMT(N(P_L3_Tasa)/12,N(P_L3_Cuotas),-N(P_L3_Monto))-CK$106),0)*CK$9</f>
        <v>0</v>
      </c>
      <c r="CL107" s="34" t="n">
        <f aca="false">IF(AND((85-N(P_L3_Mes)+1)&gt;N(P_L3_Gracia),(85-N(P_L3_Mes)+1)&lt;=N(P_L3_Gracia)+N(P_L3_Cuotas),N(P_L3_Cuotas)&gt;0),IF((85-N(P_L3_Mes)+1)=N(P_L3_Gracia)+N(P_L3_Cuotas),IF((85-N(P_L3_Mes)+1)=1,N(P_L3_Monto),CK$108),PMT(N(P_L3_Tasa)/12,N(P_L3_Cuotas),-N(P_L3_Monto))-CL$106),0)*CL$9</f>
        <v>0</v>
      </c>
      <c r="CM107" s="34" t="n">
        <f aca="false">IF(AND((86-N(P_L3_Mes)+1)&gt;N(P_L3_Gracia),(86-N(P_L3_Mes)+1)&lt;=N(P_L3_Gracia)+N(P_L3_Cuotas),N(P_L3_Cuotas)&gt;0),IF((86-N(P_L3_Mes)+1)=N(P_L3_Gracia)+N(P_L3_Cuotas),IF((86-N(P_L3_Mes)+1)=1,N(P_L3_Monto),CL$108),PMT(N(P_L3_Tasa)/12,N(P_L3_Cuotas),-N(P_L3_Monto))-CM$106),0)*CM$9</f>
        <v>0</v>
      </c>
      <c r="CN107" s="34" t="n">
        <f aca="false">IF(AND((87-N(P_L3_Mes)+1)&gt;N(P_L3_Gracia),(87-N(P_L3_Mes)+1)&lt;=N(P_L3_Gracia)+N(P_L3_Cuotas),N(P_L3_Cuotas)&gt;0),IF((87-N(P_L3_Mes)+1)=N(P_L3_Gracia)+N(P_L3_Cuotas),IF((87-N(P_L3_Mes)+1)=1,N(P_L3_Monto),CM$108),PMT(N(P_L3_Tasa)/12,N(P_L3_Cuotas),-N(P_L3_Monto))-CN$106),0)*CN$9</f>
        <v>0</v>
      </c>
      <c r="CO107" s="34" t="n">
        <f aca="false">IF(AND((88-N(P_L3_Mes)+1)&gt;N(P_L3_Gracia),(88-N(P_L3_Mes)+1)&lt;=N(P_L3_Gracia)+N(P_L3_Cuotas),N(P_L3_Cuotas)&gt;0),IF((88-N(P_L3_Mes)+1)=N(P_L3_Gracia)+N(P_L3_Cuotas),IF((88-N(P_L3_Mes)+1)=1,N(P_L3_Monto),CN$108),PMT(N(P_L3_Tasa)/12,N(P_L3_Cuotas),-N(P_L3_Monto))-CO$106),0)*CO$9</f>
        <v>0</v>
      </c>
      <c r="CP107" s="34" t="n">
        <f aca="false">IF(AND((89-N(P_L3_Mes)+1)&gt;N(P_L3_Gracia),(89-N(P_L3_Mes)+1)&lt;=N(P_L3_Gracia)+N(P_L3_Cuotas),N(P_L3_Cuotas)&gt;0),IF((89-N(P_L3_Mes)+1)=N(P_L3_Gracia)+N(P_L3_Cuotas),IF((89-N(P_L3_Mes)+1)=1,N(P_L3_Monto),CO$108),PMT(N(P_L3_Tasa)/12,N(P_L3_Cuotas),-N(P_L3_Monto))-CP$106),0)*CP$9</f>
        <v>0</v>
      </c>
      <c r="CQ107" s="34" t="n">
        <f aca="false">IF(AND((90-N(P_L3_Mes)+1)&gt;N(P_L3_Gracia),(90-N(P_L3_Mes)+1)&lt;=N(P_L3_Gracia)+N(P_L3_Cuotas),N(P_L3_Cuotas)&gt;0),IF((90-N(P_L3_Mes)+1)=N(P_L3_Gracia)+N(P_L3_Cuotas),IF((90-N(P_L3_Mes)+1)=1,N(P_L3_Monto),CP$108),PMT(N(P_L3_Tasa)/12,N(P_L3_Cuotas),-N(P_L3_Monto))-CQ$106),0)*CQ$9</f>
        <v>0</v>
      </c>
      <c r="CR107" s="34" t="n">
        <f aca="false">IF(AND((91-N(P_L3_Mes)+1)&gt;N(P_L3_Gracia),(91-N(P_L3_Mes)+1)&lt;=N(P_L3_Gracia)+N(P_L3_Cuotas),N(P_L3_Cuotas)&gt;0),IF((91-N(P_L3_Mes)+1)=N(P_L3_Gracia)+N(P_L3_Cuotas),IF((91-N(P_L3_Mes)+1)=1,N(P_L3_Monto),CQ$108),PMT(N(P_L3_Tasa)/12,N(P_L3_Cuotas),-N(P_L3_Monto))-CR$106),0)*CR$9</f>
        <v>0</v>
      </c>
      <c r="CS107" s="34" t="n">
        <f aca="false">IF(AND((92-N(P_L3_Mes)+1)&gt;N(P_L3_Gracia),(92-N(P_L3_Mes)+1)&lt;=N(P_L3_Gracia)+N(P_L3_Cuotas),N(P_L3_Cuotas)&gt;0),IF((92-N(P_L3_Mes)+1)=N(P_L3_Gracia)+N(P_L3_Cuotas),IF((92-N(P_L3_Mes)+1)=1,N(P_L3_Monto),CR$108),PMT(N(P_L3_Tasa)/12,N(P_L3_Cuotas),-N(P_L3_Monto))-CS$106),0)*CS$9</f>
        <v>0</v>
      </c>
      <c r="CT107" s="34" t="n">
        <f aca="false">IF(AND((93-N(P_L3_Mes)+1)&gt;N(P_L3_Gracia),(93-N(P_L3_Mes)+1)&lt;=N(P_L3_Gracia)+N(P_L3_Cuotas),N(P_L3_Cuotas)&gt;0),IF((93-N(P_L3_Mes)+1)=N(P_L3_Gracia)+N(P_L3_Cuotas),IF((93-N(P_L3_Mes)+1)=1,N(P_L3_Monto),CS$108),PMT(N(P_L3_Tasa)/12,N(P_L3_Cuotas),-N(P_L3_Monto))-CT$106),0)*CT$9</f>
        <v>0</v>
      </c>
      <c r="CU107" s="34" t="n">
        <f aca="false">IF(AND((94-N(P_L3_Mes)+1)&gt;N(P_L3_Gracia),(94-N(P_L3_Mes)+1)&lt;=N(P_L3_Gracia)+N(P_L3_Cuotas),N(P_L3_Cuotas)&gt;0),IF((94-N(P_L3_Mes)+1)=N(P_L3_Gracia)+N(P_L3_Cuotas),IF((94-N(P_L3_Mes)+1)=1,N(P_L3_Monto),CT$108),PMT(N(P_L3_Tasa)/12,N(P_L3_Cuotas),-N(P_L3_Monto))-CU$106),0)*CU$9</f>
        <v>0</v>
      </c>
      <c r="CV107" s="34" t="n">
        <f aca="false">IF(AND((95-N(P_L3_Mes)+1)&gt;N(P_L3_Gracia),(95-N(P_L3_Mes)+1)&lt;=N(P_L3_Gracia)+N(P_L3_Cuotas),N(P_L3_Cuotas)&gt;0),IF((95-N(P_L3_Mes)+1)=N(P_L3_Gracia)+N(P_L3_Cuotas),IF((95-N(P_L3_Mes)+1)=1,N(P_L3_Monto),CU$108),PMT(N(P_L3_Tasa)/12,N(P_L3_Cuotas),-N(P_L3_Monto))-CV$106),0)*CV$9</f>
        <v>0</v>
      </c>
      <c r="CW107" s="34" t="n">
        <f aca="false">IF(AND((96-N(P_L3_Mes)+1)&gt;N(P_L3_Gracia),(96-N(P_L3_Mes)+1)&lt;=N(P_L3_Gracia)+N(P_L3_Cuotas),N(P_L3_Cuotas)&gt;0),IF((96-N(P_L3_Mes)+1)=N(P_L3_Gracia)+N(P_L3_Cuotas),IF((96-N(P_L3_Mes)+1)=1,N(P_L3_Monto),CV$108),PMT(N(P_L3_Tasa)/12,N(P_L3_Cuotas),-N(P_L3_Monto))-CW$106),0)*CW$9</f>
        <v>0</v>
      </c>
      <c r="CX107" s="34" t="n">
        <f aca="false">IF(AND((97-N(P_L3_Mes)+1)&gt;N(P_L3_Gracia),(97-N(P_L3_Mes)+1)&lt;=N(P_L3_Gracia)+N(P_L3_Cuotas),N(P_L3_Cuotas)&gt;0),IF((97-N(P_L3_Mes)+1)=N(P_L3_Gracia)+N(P_L3_Cuotas),IF((97-N(P_L3_Mes)+1)=1,N(P_L3_Monto),CW$108),PMT(N(P_L3_Tasa)/12,N(P_L3_Cuotas),-N(P_L3_Monto))-CX$106),0)*CX$9</f>
        <v>0</v>
      </c>
      <c r="CY107" s="34" t="n">
        <f aca="false">IF(AND((98-N(P_L3_Mes)+1)&gt;N(P_L3_Gracia),(98-N(P_L3_Mes)+1)&lt;=N(P_L3_Gracia)+N(P_L3_Cuotas),N(P_L3_Cuotas)&gt;0),IF((98-N(P_L3_Mes)+1)=N(P_L3_Gracia)+N(P_L3_Cuotas),IF((98-N(P_L3_Mes)+1)=1,N(P_L3_Monto),CX$108),PMT(N(P_L3_Tasa)/12,N(P_L3_Cuotas),-N(P_L3_Monto))-CY$106),0)*CY$9</f>
        <v>0</v>
      </c>
      <c r="CZ107" s="34" t="n">
        <f aca="false">IF(AND((99-N(P_L3_Mes)+1)&gt;N(P_L3_Gracia),(99-N(P_L3_Mes)+1)&lt;=N(P_L3_Gracia)+N(P_L3_Cuotas),N(P_L3_Cuotas)&gt;0),IF((99-N(P_L3_Mes)+1)=N(P_L3_Gracia)+N(P_L3_Cuotas),IF((99-N(P_L3_Mes)+1)=1,N(P_L3_Monto),CY$108),PMT(N(P_L3_Tasa)/12,N(P_L3_Cuotas),-N(P_L3_Monto))-CZ$106),0)*CZ$9</f>
        <v>0</v>
      </c>
      <c r="DA107" s="34" t="n">
        <f aca="false">IF(AND((100-N(P_L3_Mes)+1)&gt;N(P_L3_Gracia),(100-N(P_L3_Mes)+1)&lt;=N(P_L3_Gracia)+N(P_L3_Cuotas),N(P_L3_Cuotas)&gt;0),IF((100-N(P_L3_Mes)+1)=N(P_L3_Gracia)+N(P_L3_Cuotas),IF((100-N(P_L3_Mes)+1)=1,N(P_L3_Monto),CZ$108),PMT(N(P_L3_Tasa)/12,N(P_L3_Cuotas),-N(P_L3_Monto))-DA$106),0)*DA$9</f>
        <v>0</v>
      </c>
      <c r="DB107" s="34" t="n">
        <f aca="false">IF(AND((101-N(P_L3_Mes)+1)&gt;N(P_L3_Gracia),(101-N(P_L3_Mes)+1)&lt;=N(P_L3_Gracia)+N(P_L3_Cuotas),N(P_L3_Cuotas)&gt;0),IF((101-N(P_L3_Mes)+1)=N(P_L3_Gracia)+N(P_L3_Cuotas),IF((101-N(P_L3_Mes)+1)=1,N(P_L3_Monto),DA$108),PMT(N(P_L3_Tasa)/12,N(P_L3_Cuotas),-N(P_L3_Monto))-DB$106),0)*DB$9</f>
        <v>0</v>
      </c>
      <c r="DC107" s="34" t="n">
        <f aca="false">IF(AND((102-N(P_L3_Mes)+1)&gt;N(P_L3_Gracia),(102-N(P_L3_Mes)+1)&lt;=N(P_L3_Gracia)+N(P_L3_Cuotas),N(P_L3_Cuotas)&gt;0),IF((102-N(P_L3_Mes)+1)=N(P_L3_Gracia)+N(P_L3_Cuotas),IF((102-N(P_L3_Mes)+1)=1,N(P_L3_Monto),DB$108),PMT(N(P_L3_Tasa)/12,N(P_L3_Cuotas),-N(P_L3_Monto))-DC$106),0)*DC$9</f>
        <v>0</v>
      </c>
      <c r="DD107" s="34" t="n">
        <f aca="false">IF(AND((103-N(P_L3_Mes)+1)&gt;N(P_L3_Gracia),(103-N(P_L3_Mes)+1)&lt;=N(P_L3_Gracia)+N(P_L3_Cuotas),N(P_L3_Cuotas)&gt;0),IF((103-N(P_L3_Mes)+1)=N(P_L3_Gracia)+N(P_L3_Cuotas),IF((103-N(P_L3_Mes)+1)=1,N(P_L3_Monto),DC$108),PMT(N(P_L3_Tasa)/12,N(P_L3_Cuotas),-N(P_L3_Monto))-DD$106),0)*DD$9</f>
        <v>0</v>
      </c>
      <c r="DE107" s="34" t="n">
        <f aca="false">IF(AND((104-N(P_L3_Mes)+1)&gt;N(P_L3_Gracia),(104-N(P_L3_Mes)+1)&lt;=N(P_L3_Gracia)+N(P_L3_Cuotas),N(P_L3_Cuotas)&gt;0),IF((104-N(P_L3_Mes)+1)=N(P_L3_Gracia)+N(P_L3_Cuotas),IF((104-N(P_L3_Mes)+1)=1,N(P_L3_Monto),DD$108),PMT(N(P_L3_Tasa)/12,N(P_L3_Cuotas),-N(P_L3_Monto))-DE$106),0)*DE$9</f>
        <v>0</v>
      </c>
      <c r="DF107" s="34" t="n">
        <f aca="false">IF(AND((105-N(P_L3_Mes)+1)&gt;N(P_L3_Gracia),(105-N(P_L3_Mes)+1)&lt;=N(P_L3_Gracia)+N(P_L3_Cuotas),N(P_L3_Cuotas)&gt;0),IF((105-N(P_L3_Mes)+1)=N(P_L3_Gracia)+N(P_L3_Cuotas),IF((105-N(P_L3_Mes)+1)=1,N(P_L3_Monto),DE$108),PMT(N(P_L3_Tasa)/12,N(P_L3_Cuotas),-N(P_L3_Monto))-DF$106),0)*DF$9</f>
        <v>0</v>
      </c>
      <c r="DG107" s="34" t="n">
        <f aca="false">IF(AND((106-N(P_L3_Mes)+1)&gt;N(P_L3_Gracia),(106-N(P_L3_Mes)+1)&lt;=N(P_L3_Gracia)+N(P_L3_Cuotas),N(P_L3_Cuotas)&gt;0),IF((106-N(P_L3_Mes)+1)=N(P_L3_Gracia)+N(P_L3_Cuotas),IF((106-N(P_L3_Mes)+1)=1,N(P_L3_Monto),DF$108),PMT(N(P_L3_Tasa)/12,N(P_L3_Cuotas),-N(P_L3_Monto))-DG$106),0)*DG$9</f>
        <v>0</v>
      </c>
      <c r="DH107" s="34" t="n">
        <f aca="false">IF(AND((107-N(P_L3_Mes)+1)&gt;N(P_L3_Gracia),(107-N(P_L3_Mes)+1)&lt;=N(P_L3_Gracia)+N(P_L3_Cuotas),N(P_L3_Cuotas)&gt;0),IF((107-N(P_L3_Mes)+1)=N(P_L3_Gracia)+N(P_L3_Cuotas),IF((107-N(P_L3_Mes)+1)=1,N(P_L3_Monto),DG$108),PMT(N(P_L3_Tasa)/12,N(P_L3_Cuotas),-N(P_L3_Monto))-DH$106),0)*DH$9</f>
        <v>0</v>
      </c>
      <c r="DI107" s="34" t="n">
        <f aca="false">IF(AND((108-N(P_L3_Mes)+1)&gt;N(P_L3_Gracia),(108-N(P_L3_Mes)+1)&lt;=N(P_L3_Gracia)+N(P_L3_Cuotas),N(P_L3_Cuotas)&gt;0),IF((108-N(P_L3_Mes)+1)=N(P_L3_Gracia)+N(P_L3_Cuotas),IF((108-N(P_L3_Mes)+1)=1,N(P_L3_Monto),DH$108),PMT(N(P_L3_Tasa)/12,N(P_L3_Cuotas),-N(P_L3_Monto))-DI$106),0)*DI$9</f>
        <v>0</v>
      </c>
      <c r="DJ107" s="34" t="n">
        <f aca="false">IF(AND((109-N(P_L3_Mes)+1)&gt;N(P_L3_Gracia),(109-N(P_L3_Mes)+1)&lt;=N(P_L3_Gracia)+N(P_L3_Cuotas),N(P_L3_Cuotas)&gt;0),IF((109-N(P_L3_Mes)+1)=N(P_L3_Gracia)+N(P_L3_Cuotas),IF((109-N(P_L3_Mes)+1)=1,N(P_L3_Monto),DI$108),PMT(N(P_L3_Tasa)/12,N(P_L3_Cuotas),-N(P_L3_Monto))-DJ$106),0)*DJ$9</f>
        <v>0</v>
      </c>
      <c r="DK107" s="34" t="n">
        <f aca="false">IF(AND((110-N(P_L3_Mes)+1)&gt;N(P_L3_Gracia),(110-N(P_L3_Mes)+1)&lt;=N(P_L3_Gracia)+N(P_L3_Cuotas),N(P_L3_Cuotas)&gt;0),IF((110-N(P_L3_Mes)+1)=N(P_L3_Gracia)+N(P_L3_Cuotas),IF((110-N(P_L3_Mes)+1)=1,N(P_L3_Monto),DJ$108),PMT(N(P_L3_Tasa)/12,N(P_L3_Cuotas),-N(P_L3_Monto))-DK$106),0)*DK$9</f>
        <v>0</v>
      </c>
      <c r="DL107" s="34" t="n">
        <f aca="false">IF(AND((111-N(P_L3_Mes)+1)&gt;N(P_L3_Gracia),(111-N(P_L3_Mes)+1)&lt;=N(P_L3_Gracia)+N(P_L3_Cuotas),N(P_L3_Cuotas)&gt;0),IF((111-N(P_L3_Mes)+1)=N(P_L3_Gracia)+N(P_L3_Cuotas),IF((111-N(P_L3_Mes)+1)=1,N(P_L3_Monto),DK$108),PMT(N(P_L3_Tasa)/12,N(P_L3_Cuotas),-N(P_L3_Monto))-DL$106),0)*DL$9</f>
        <v>0</v>
      </c>
      <c r="DM107" s="34" t="n">
        <f aca="false">IF(AND((112-N(P_L3_Mes)+1)&gt;N(P_L3_Gracia),(112-N(P_L3_Mes)+1)&lt;=N(P_L3_Gracia)+N(P_L3_Cuotas),N(P_L3_Cuotas)&gt;0),IF((112-N(P_L3_Mes)+1)=N(P_L3_Gracia)+N(P_L3_Cuotas),IF((112-N(P_L3_Mes)+1)=1,N(P_L3_Monto),DL$108),PMT(N(P_L3_Tasa)/12,N(P_L3_Cuotas),-N(P_L3_Monto))-DM$106),0)*DM$9</f>
        <v>0</v>
      </c>
      <c r="DN107" s="34" t="n">
        <f aca="false">IF(AND((113-N(P_L3_Mes)+1)&gt;N(P_L3_Gracia),(113-N(P_L3_Mes)+1)&lt;=N(P_L3_Gracia)+N(P_L3_Cuotas),N(P_L3_Cuotas)&gt;0),IF((113-N(P_L3_Mes)+1)=N(P_L3_Gracia)+N(P_L3_Cuotas),IF((113-N(P_L3_Mes)+1)=1,N(P_L3_Monto),DM$108),PMT(N(P_L3_Tasa)/12,N(P_L3_Cuotas),-N(P_L3_Monto))-DN$106),0)*DN$9</f>
        <v>0</v>
      </c>
      <c r="DO107" s="34" t="n">
        <f aca="false">IF(AND((114-N(P_L3_Mes)+1)&gt;N(P_L3_Gracia),(114-N(P_L3_Mes)+1)&lt;=N(P_L3_Gracia)+N(P_L3_Cuotas),N(P_L3_Cuotas)&gt;0),IF((114-N(P_L3_Mes)+1)=N(P_L3_Gracia)+N(P_L3_Cuotas),IF((114-N(P_L3_Mes)+1)=1,N(P_L3_Monto),DN$108),PMT(N(P_L3_Tasa)/12,N(P_L3_Cuotas),-N(P_L3_Monto))-DO$106),0)*DO$9</f>
        <v>0</v>
      </c>
      <c r="DP107" s="34" t="n">
        <f aca="false">IF(AND((115-N(P_L3_Mes)+1)&gt;N(P_L3_Gracia),(115-N(P_L3_Mes)+1)&lt;=N(P_L3_Gracia)+N(P_L3_Cuotas),N(P_L3_Cuotas)&gt;0),IF((115-N(P_L3_Mes)+1)=N(P_L3_Gracia)+N(P_L3_Cuotas),IF((115-N(P_L3_Mes)+1)=1,N(P_L3_Monto),DO$108),PMT(N(P_L3_Tasa)/12,N(P_L3_Cuotas),-N(P_L3_Monto))-DP$106),0)*DP$9</f>
        <v>0</v>
      </c>
      <c r="DQ107" s="34" t="n">
        <f aca="false">IF(AND((116-N(P_L3_Mes)+1)&gt;N(P_L3_Gracia),(116-N(P_L3_Mes)+1)&lt;=N(P_L3_Gracia)+N(P_L3_Cuotas),N(P_L3_Cuotas)&gt;0),IF((116-N(P_L3_Mes)+1)=N(P_L3_Gracia)+N(P_L3_Cuotas),IF((116-N(P_L3_Mes)+1)=1,N(P_L3_Monto),DP$108),PMT(N(P_L3_Tasa)/12,N(P_L3_Cuotas),-N(P_L3_Monto))-DQ$106),0)*DQ$9</f>
        <v>0</v>
      </c>
      <c r="DR107" s="34" t="n">
        <f aca="false">IF(AND((117-N(P_L3_Mes)+1)&gt;N(P_L3_Gracia),(117-N(P_L3_Mes)+1)&lt;=N(P_L3_Gracia)+N(P_L3_Cuotas),N(P_L3_Cuotas)&gt;0),IF((117-N(P_L3_Mes)+1)=N(P_L3_Gracia)+N(P_L3_Cuotas),IF((117-N(P_L3_Mes)+1)=1,N(P_L3_Monto),DQ$108),PMT(N(P_L3_Tasa)/12,N(P_L3_Cuotas),-N(P_L3_Monto))-DR$106),0)*DR$9</f>
        <v>0</v>
      </c>
      <c r="DS107" s="34" t="n">
        <f aca="false">IF(AND((118-N(P_L3_Mes)+1)&gt;N(P_L3_Gracia),(118-N(P_L3_Mes)+1)&lt;=N(P_L3_Gracia)+N(P_L3_Cuotas),N(P_L3_Cuotas)&gt;0),IF((118-N(P_L3_Mes)+1)=N(P_L3_Gracia)+N(P_L3_Cuotas),IF((118-N(P_L3_Mes)+1)=1,N(P_L3_Monto),DR$108),PMT(N(P_L3_Tasa)/12,N(P_L3_Cuotas),-N(P_L3_Monto))-DS$106),0)*DS$9</f>
        <v>0</v>
      </c>
      <c r="DT107" s="34" t="n">
        <f aca="false">IF(AND((119-N(P_L3_Mes)+1)&gt;N(P_L3_Gracia),(119-N(P_L3_Mes)+1)&lt;=N(P_L3_Gracia)+N(P_L3_Cuotas),N(P_L3_Cuotas)&gt;0),IF((119-N(P_L3_Mes)+1)=N(P_L3_Gracia)+N(P_L3_Cuotas),IF((119-N(P_L3_Mes)+1)=1,N(P_L3_Monto),DS$108),PMT(N(P_L3_Tasa)/12,N(P_L3_Cuotas),-N(P_L3_Monto))-DT$106),0)*DT$9</f>
        <v>0</v>
      </c>
      <c r="DU107" s="34" t="n">
        <f aca="false">IF(AND((120-N(P_L3_Mes)+1)&gt;N(P_L3_Gracia),(120-N(P_L3_Mes)+1)&lt;=N(P_L3_Gracia)+N(P_L3_Cuotas),N(P_L3_Cuotas)&gt;0),IF((120-N(P_L3_Mes)+1)=N(P_L3_Gracia)+N(P_L3_Cuotas),IF((120-N(P_L3_Mes)+1)=1,N(P_L3_Monto),DT$108),PMT(N(P_L3_Tasa)/12,N(P_L3_Cuotas),-N(P_L3_Monto))-DU$106),0)*DU$9</f>
        <v>0</v>
      </c>
      <c r="DV107" s="34" t="n">
        <f aca="false">IF(AND((121-N(P_L3_Mes)+1)&gt;N(P_L3_Gracia),(121-N(P_L3_Mes)+1)&lt;=N(P_L3_Gracia)+N(P_L3_Cuotas),N(P_L3_Cuotas)&gt;0),IF((121-N(P_L3_Mes)+1)=N(P_L3_Gracia)+N(P_L3_Cuotas),IF((121-N(P_L3_Mes)+1)=1,N(P_L3_Monto),DU$108),PMT(N(P_L3_Tasa)/12,N(P_L3_Cuotas),-N(P_L3_Monto))-DV$106),0)*DV$9</f>
        <v>0</v>
      </c>
      <c r="DW107" s="34" t="n">
        <f aca="false">IF(AND((122-N(P_L3_Mes)+1)&gt;N(P_L3_Gracia),(122-N(P_L3_Mes)+1)&lt;=N(P_L3_Gracia)+N(P_L3_Cuotas),N(P_L3_Cuotas)&gt;0),IF((122-N(P_L3_Mes)+1)=N(P_L3_Gracia)+N(P_L3_Cuotas),IF((122-N(P_L3_Mes)+1)=1,N(P_L3_Monto),DV$108),PMT(N(P_L3_Tasa)/12,N(P_L3_Cuotas),-N(P_L3_Monto))-DW$106),0)*DW$9</f>
        <v>0</v>
      </c>
      <c r="DX107" s="34" t="n">
        <f aca="false">IF(AND((123-N(P_L3_Mes)+1)&gt;N(P_L3_Gracia),(123-N(P_L3_Mes)+1)&lt;=N(P_L3_Gracia)+N(P_L3_Cuotas),N(P_L3_Cuotas)&gt;0),IF((123-N(P_L3_Mes)+1)=N(P_L3_Gracia)+N(P_L3_Cuotas),IF((123-N(P_L3_Mes)+1)=1,N(P_L3_Monto),DW$108),PMT(N(P_L3_Tasa)/12,N(P_L3_Cuotas),-N(P_L3_Monto))-DX$106),0)*DX$9</f>
        <v>0</v>
      </c>
      <c r="DY107" s="34" t="n">
        <f aca="false">IF(AND((124-N(P_L3_Mes)+1)&gt;N(P_L3_Gracia),(124-N(P_L3_Mes)+1)&lt;=N(P_L3_Gracia)+N(P_L3_Cuotas),N(P_L3_Cuotas)&gt;0),IF((124-N(P_L3_Mes)+1)=N(P_L3_Gracia)+N(P_L3_Cuotas),IF((124-N(P_L3_Mes)+1)=1,N(P_L3_Monto),DX$108),PMT(N(P_L3_Tasa)/12,N(P_L3_Cuotas),-N(P_L3_Monto))-DY$106),0)*DY$9</f>
        <v>0</v>
      </c>
      <c r="DZ107" s="34" t="n">
        <f aca="false">IF(AND((125-N(P_L3_Mes)+1)&gt;N(P_L3_Gracia),(125-N(P_L3_Mes)+1)&lt;=N(P_L3_Gracia)+N(P_L3_Cuotas),N(P_L3_Cuotas)&gt;0),IF((125-N(P_L3_Mes)+1)=N(P_L3_Gracia)+N(P_L3_Cuotas),IF((125-N(P_L3_Mes)+1)=1,N(P_L3_Monto),DY$108),PMT(N(P_L3_Tasa)/12,N(P_L3_Cuotas),-N(P_L3_Monto))-DZ$106),0)*DZ$9</f>
        <v>0</v>
      </c>
      <c r="EA107" s="34" t="n">
        <f aca="false">IF(AND((126-N(P_L3_Mes)+1)&gt;N(P_L3_Gracia),(126-N(P_L3_Mes)+1)&lt;=N(P_L3_Gracia)+N(P_L3_Cuotas),N(P_L3_Cuotas)&gt;0),IF((126-N(P_L3_Mes)+1)=N(P_L3_Gracia)+N(P_L3_Cuotas),IF((126-N(P_L3_Mes)+1)=1,N(P_L3_Monto),DZ$108),PMT(N(P_L3_Tasa)/12,N(P_L3_Cuotas),-N(P_L3_Monto))-EA$106),0)*EA$9</f>
        <v>0</v>
      </c>
      <c r="EB107" s="34" t="n">
        <f aca="false">IF(AND((127-N(P_L3_Mes)+1)&gt;N(P_L3_Gracia),(127-N(P_L3_Mes)+1)&lt;=N(P_L3_Gracia)+N(P_L3_Cuotas),N(P_L3_Cuotas)&gt;0),IF((127-N(P_L3_Mes)+1)=N(P_L3_Gracia)+N(P_L3_Cuotas),IF((127-N(P_L3_Mes)+1)=1,N(P_L3_Monto),EA$108),PMT(N(P_L3_Tasa)/12,N(P_L3_Cuotas),-N(P_L3_Monto))-EB$106),0)*EB$9</f>
        <v>0</v>
      </c>
      <c r="EC107" s="34" t="n">
        <f aca="false">IF(AND((128-N(P_L3_Mes)+1)&gt;N(P_L3_Gracia),(128-N(P_L3_Mes)+1)&lt;=N(P_L3_Gracia)+N(P_L3_Cuotas),N(P_L3_Cuotas)&gt;0),IF((128-N(P_L3_Mes)+1)=N(P_L3_Gracia)+N(P_L3_Cuotas),IF((128-N(P_L3_Mes)+1)=1,N(P_L3_Monto),EB$108),PMT(N(P_L3_Tasa)/12,N(P_L3_Cuotas),-N(P_L3_Monto))-EC$106),0)*EC$9</f>
        <v>0</v>
      </c>
      <c r="ED107" s="34" t="n">
        <f aca="false">IF(AND((129-N(P_L3_Mes)+1)&gt;N(P_L3_Gracia),(129-N(P_L3_Mes)+1)&lt;=N(P_L3_Gracia)+N(P_L3_Cuotas),N(P_L3_Cuotas)&gt;0),IF((129-N(P_L3_Mes)+1)=N(P_L3_Gracia)+N(P_L3_Cuotas),IF((129-N(P_L3_Mes)+1)=1,N(P_L3_Monto),EC$108),PMT(N(P_L3_Tasa)/12,N(P_L3_Cuotas),-N(P_L3_Monto))-ED$106),0)*ED$9</f>
        <v>0</v>
      </c>
      <c r="EE107" s="34" t="n">
        <f aca="false">IF(AND((130-N(P_L3_Mes)+1)&gt;N(P_L3_Gracia),(130-N(P_L3_Mes)+1)&lt;=N(P_L3_Gracia)+N(P_L3_Cuotas),N(P_L3_Cuotas)&gt;0),IF((130-N(P_L3_Mes)+1)=N(P_L3_Gracia)+N(P_L3_Cuotas),IF((130-N(P_L3_Mes)+1)=1,N(P_L3_Monto),ED$108),PMT(N(P_L3_Tasa)/12,N(P_L3_Cuotas),-N(P_L3_Monto))-EE$106),0)*EE$9</f>
        <v>0</v>
      </c>
      <c r="EF107" s="34" t="n">
        <f aca="false">IF(AND((131-N(P_L3_Mes)+1)&gt;N(P_L3_Gracia),(131-N(P_L3_Mes)+1)&lt;=N(P_L3_Gracia)+N(P_L3_Cuotas),N(P_L3_Cuotas)&gt;0),IF((131-N(P_L3_Mes)+1)=N(P_L3_Gracia)+N(P_L3_Cuotas),IF((131-N(P_L3_Mes)+1)=1,N(P_L3_Monto),EE$108),PMT(N(P_L3_Tasa)/12,N(P_L3_Cuotas),-N(P_L3_Monto))-EF$106),0)*EF$9</f>
        <v>0</v>
      </c>
      <c r="EG107" s="34" t="n">
        <f aca="false">IF(AND((132-N(P_L3_Mes)+1)&gt;N(P_L3_Gracia),(132-N(P_L3_Mes)+1)&lt;=N(P_L3_Gracia)+N(P_L3_Cuotas),N(P_L3_Cuotas)&gt;0),IF((132-N(P_L3_Mes)+1)=N(P_L3_Gracia)+N(P_L3_Cuotas),IF((132-N(P_L3_Mes)+1)=1,N(P_L3_Monto),EF$108),PMT(N(P_L3_Tasa)/12,N(P_L3_Cuotas),-N(P_L3_Monto))-EG$106),0)*EG$9</f>
        <v>0</v>
      </c>
      <c r="EH107" s="34" t="n">
        <f aca="false">IF(AND((133-N(P_L3_Mes)+1)&gt;N(P_L3_Gracia),(133-N(P_L3_Mes)+1)&lt;=N(P_L3_Gracia)+N(P_L3_Cuotas),N(P_L3_Cuotas)&gt;0),IF((133-N(P_L3_Mes)+1)=N(P_L3_Gracia)+N(P_L3_Cuotas),IF((133-N(P_L3_Mes)+1)=1,N(P_L3_Monto),EG$108),PMT(N(P_L3_Tasa)/12,N(P_L3_Cuotas),-N(P_L3_Monto))-EH$106),0)*EH$9</f>
        <v>0</v>
      </c>
      <c r="EI107" s="34" t="n">
        <f aca="false">IF(AND((134-N(P_L3_Mes)+1)&gt;N(P_L3_Gracia),(134-N(P_L3_Mes)+1)&lt;=N(P_L3_Gracia)+N(P_L3_Cuotas),N(P_L3_Cuotas)&gt;0),IF((134-N(P_L3_Mes)+1)=N(P_L3_Gracia)+N(P_L3_Cuotas),IF((134-N(P_L3_Mes)+1)=1,N(P_L3_Monto),EH$108),PMT(N(P_L3_Tasa)/12,N(P_L3_Cuotas),-N(P_L3_Monto))-EI$106),0)*EI$9</f>
        <v>0</v>
      </c>
      <c r="EJ107" s="34" t="n">
        <f aca="false">IF(AND((135-N(P_L3_Mes)+1)&gt;N(P_L3_Gracia),(135-N(P_L3_Mes)+1)&lt;=N(P_L3_Gracia)+N(P_L3_Cuotas),N(P_L3_Cuotas)&gt;0),IF((135-N(P_L3_Mes)+1)=N(P_L3_Gracia)+N(P_L3_Cuotas),IF((135-N(P_L3_Mes)+1)=1,N(P_L3_Monto),EI$108),PMT(N(P_L3_Tasa)/12,N(P_L3_Cuotas),-N(P_L3_Monto))-EJ$106),0)*EJ$9</f>
        <v>0</v>
      </c>
      <c r="EK107" s="34" t="n">
        <f aca="false">IF(AND((136-N(P_L3_Mes)+1)&gt;N(P_L3_Gracia),(136-N(P_L3_Mes)+1)&lt;=N(P_L3_Gracia)+N(P_L3_Cuotas),N(P_L3_Cuotas)&gt;0),IF((136-N(P_L3_Mes)+1)=N(P_L3_Gracia)+N(P_L3_Cuotas),IF((136-N(P_L3_Mes)+1)=1,N(P_L3_Monto),EJ$108),PMT(N(P_L3_Tasa)/12,N(P_L3_Cuotas),-N(P_L3_Monto))-EK$106),0)*EK$9</f>
        <v>0</v>
      </c>
      <c r="EL107" s="34" t="n">
        <f aca="false">IF(AND((137-N(P_L3_Mes)+1)&gt;N(P_L3_Gracia),(137-N(P_L3_Mes)+1)&lt;=N(P_L3_Gracia)+N(P_L3_Cuotas),N(P_L3_Cuotas)&gt;0),IF((137-N(P_L3_Mes)+1)=N(P_L3_Gracia)+N(P_L3_Cuotas),IF((137-N(P_L3_Mes)+1)=1,N(P_L3_Monto),EK$108),PMT(N(P_L3_Tasa)/12,N(P_L3_Cuotas),-N(P_L3_Monto))-EL$106),0)*EL$9</f>
        <v>0</v>
      </c>
      <c r="EM107" s="34" t="n">
        <f aca="false">IF(AND((138-N(P_L3_Mes)+1)&gt;N(P_L3_Gracia),(138-N(P_L3_Mes)+1)&lt;=N(P_L3_Gracia)+N(P_L3_Cuotas),N(P_L3_Cuotas)&gt;0),IF((138-N(P_L3_Mes)+1)=N(P_L3_Gracia)+N(P_L3_Cuotas),IF((138-N(P_L3_Mes)+1)=1,N(P_L3_Monto),EL$108),PMT(N(P_L3_Tasa)/12,N(P_L3_Cuotas),-N(P_L3_Monto))-EM$106),0)*EM$9</f>
        <v>0</v>
      </c>
      <c r="EN107" s="34" t="n">
        <f aca="false">IF(AND((139-N(P_L3_Mes)+1)&gt;N(P_L3_Gracia),(139-N(P_L3_Mes)+1)&lt;=N(P_L3_Gracia)+N(P_L3_Cuotas),N(P_L3_Cuotas)&gt;0),IF((139-N(P_L3_Mes)+1)=N(P_L3_Gracia)+N(P_L3_Cuotas),IF((139-N(P_L3_Mes)+1)=1,N(P_L3_Monto),EM$108),PMT(N(P_L3_Tasa)/12,N(P_L3_Cuotas),-N(P_L3_Monto))-EN$106),0)*EN$9</f>
        <v>0</v>
      </c>
      <c r="EO107" s="34" t="n">
        <f aca="false">IF(AND((140-N(P_L3_Mes)+1)&gt;N(P_L3_Gracia),(140-N(P_L3_Mes)+1)&lt;=N(P_L3_Gracia)+N(P_L3_Cuotas),N(P_L3_Cuotas)&gt;0),IF((140-N(P_L3_Mes)+1)=N(P_L3_Gracia)+N(P_L3_Cuotas),IF((140-N(P_L3_Mes)+1)=1,N(P_L3_Monto),EN$108),PMT(N(P_L3_Tasa)/12,N(P_L3_Cuotas),-N(P_L3_Monto))-EO$106),0)*EO$9</f>
        <v>0</v>
      </c>
      <c r="EP107" s="34" t="n">
        <f aca="false">IF(AND((141-N(P_L3_Mes)+1)&gt;N(P_L3_Gracia),(141-N(P_L3_Mes)+1)&lt;=N(P_L3_Gracia)+N(P_L3_Cuotas),N(P_L3_Cuotas)&gt;0),IF((141-N(P_L3_Mes)+1)=N(P_L3_Gracia)+N(P_L3_Cuotas),IF((141-N(P_L3_Mes)+1)=1,N(P_L3_Monto),EO$108),PMT(N(P_L3_Tasa)/12,N(P_L3_Cuotas),-N(P_L3_Monto))-EP$106),0)*EP$9</f>
        <v>0</v>
      </c>
      <c r="EQ107" s="34" t="n">
        <f aca="false">IF(AND((142-N(P_L3_Mes)+1)&gt;N(P_L3_Gracia),(142-N(P_L3_Mes)+1)&lt;=N(P_L3_Gracia)+N(P_L3_Cuotas),N(P_L3_Cuotas)&gt;0),IF((142-N(P_L3_Mes)+1)=N(P_L3_Gracia)+N(P_L3_Cuotas),IF((142-N(P_L3_Mes)+1)=1,N(P_L3_Monto),EP$108),PMT(N(P_L3_Tasa)/12,N(P_L3_Cuotas),-N(P_L3_Monto))-EQ$106),0)*EQ$9</f>
        <v>0</v>
      </c>
      <c r="ER107" s="34" t="n">
        <f aca="false">IF(AND((143-N(P_L3_Mes)+1)&gt;N(P_L3_Gracia),(143-N(P_L3_Mes)+1)&lt;=N(P_L3_Gracia)+N(P_L3_Cuotas),N(P_L3_Cuotas)&gt;0),IF((143-N(P_L3_Mes)+1)=N(P_L3_Gracia)+N(P_L3_Cuotas),IF((143-N(P_L3_Mes)+1)=1,N(P_L3_Monto),EQ$108),PMT(N(P_L3_Tasa)/12,N(P_L3_Cuotas),-N(P_L3_Monto))-ER$106),0)*ER$9</f>
        <v>0</v>
      </c>
      <c r="ES107" s="34" t="n">
        <f aca="false">IF(AND((144-N(P_L3_Mes)+1)&gt;N(P_L3_Gracia),(144-N(P_L3_Mes)+1)&lt;=N(P_L3_Gracia)+N(P_L3_Cuotas),N(P_L3_Cuotas)&gt;0),IF((144-N(P_L3_Mes)+1)=N(P_L3_Gracia)+N(P_L3_Cuotas),IF((144-N(P_L3_Mes)+1)=1,N(P_L3_Monto),ER$108),PMT(N(P_L3_Tasa)/12,N(P_L3_Cuotas),-N(P_L3_Monto))-ES$106),0)*ES$9</f>
        <v>0</v>
      </c>
    </row>
    <row r="108" customFormat="false" ht="15" hidden="false" customHeight="false" outlineLevel="0" collapsed="false">
      <c r="A108" s="2" t="s">
        <v>573</v>
      </c>
      <c r="B108" s="6" t="s">
        <v>574</v>
      </c>
      <c r="C108" s="6" t="s">
        <v>212</v>
      </c>
      <c r="E108" s="40" t="n">
        <f aca="false">INDEX(F108:ES108,1,MIN(144,Fin))</f>
        <v>0</v>
      </c>
      <c r="F108" s="34" t="n">
        <f aca="false">IF((1-N(P_L3_Mes)+1)&lt;1,0,IF((1-N(P_L3_Mes)+1)=1,N(P_L3_Monto),0)-F$107)</f>
        <v>0</v>
      </c>
      <c r="G108" s="34" t="n">
        <f aca="false">IF((2-N(P_L3_Mes)+1)&lt;1,0,IF((2-N(P_L3_Mes)+1)=1,N(P_L3_Monto),F$108)-G$107)</f>
        <v>0</v>
      </c>
      <c r="H108" s="34" t="n">
        <f aca="false">IF((3-N(P_L3_Mes)+1)&lt;1,0,IF((3-N(P_L3_Mes)+1)=1,N(P_L3_Monto),G$108)-H$107)</f>
        <v>0</v>
      </c>
      <c r="I108" s="34" t="n">
        <f aca="false">IF((4-N(P_L3_Mes)+1)&lt;1,0,IF((4-N(P_L3_Mes)+1)=1,N(P_L3_Monto),H$108)-I$107)</f>
        <v>0</v>
      </c>
      <c r="J108" s="34" t="n">
        <f aca="false">IF((5-N(P_L3_Mes)+1)&lt;1,0,IF((5-N(P_L3_Mes)+1)=1,N(P_L3_Monto),I$108)-J$107)</f>
        <v>0</v>
      </c>
      <c r="K108" s="34" t="n">
        <f aca="false">IF((6-N(P_L3_Mes)+1)&lt;1,0,IF((6-N(P_L3_Mes)+1)=1,N(P_L3_Monto),J$108)-K$107)</f>
        <v>0</v>
      </c>
      <c r="L108" s="34" t="n">
        <f aca="false">IF((7-N(P_L3_Mes)+1)&lt;1,0,IF((7-N(P_L3_Mes)+1)=1,N(P_L3_Monto),K$108)-L$107)</f>
        <v>0</v>
      </c>
      <c r="M108" s="34" t="n">
        <f aca="false">IF((8-N(P_L3_Mes)+1)&lt;1,0,IF((8-N(P_L3_Mes)+1)=1,N(P_L3_Monto),L$108)-M$107)</f>
        <v>0</v>
      </c>
      <c r="N108" s="34" t="n">
        <f aca="false">IF((9-N(P_L3_Mes)+1)&lt;1,0,IF((9-N(P_L3_Mes)+1)=1,N(P_L3_Monto),M$108)-N$107)</f>
        <v>0</v>
      </c>
      <c r="O108" s="34" t="n">
        <f aca="false">IF((10-N(P_L3_Mes)+1)&lt;1,0,IF((10-N(P_L3_Mes)+1)=1,N(P_L3_Monto),N$108)-O$107)</f>
        <v>0</v>
      </c>
      <c r="P108" s="34" t="n">
        <f aca="false">IF((11-N(P_L3_Mes)+1)&lt;1,0,IF((11-N(P_L3_Mes)+1)=1,N(P_L3_Monto),O$108)-P$107)</f>
        <v>0</v>
      </c>
      <c r="Q108" s="34" t="n">
        <f aca="false">IF((12-N(P_L3_Mes)+1)&lt;1,0,IF((12-N(P_L3_Mes)+1)=1,N(P_L3_Monto),P$108)-Q$107)</f>
        <v>0</v>
      </c>
      <c r="R108" s="34" t="n">
        <f aca="false">IF((13-N(P_L3_Mes)+1)&lt;1,0,IF((13-N(P_L3_Mes)+1)=1,N(P_L3_Monto),Q$108)-R$107)</f>
        <v>0</v>
      </c>
      <c r="S108" s="34" t="n">
        <f aca="false">IF((14-N(P_L3_Mes)+1)&lt;1,0,IF((14-N(P_L3_Mes)+1)=1,N(P_L3_Monto),R$108)-S$107)</f>
        <v>0</v>
      </c>
      <c r="T108" s="34" t="n">
        <f aca="false">IF((15-N(P_L3_Mes)+1)&lt;1,0,IF((15-N(P_L3_Mes)+1)=1,N(P_L3_Monto),S$108)-T$107)</f>
        <v>0</v>
      </c>
      <c r="U108" s="34" t="n">
        <f aca="false">IF((16-N(P_L3_Mes)+1)&lt;1,0,IF((16-N(P_L3_Mes)+1)=1,N(P_L3_Monto),T$108)-U$107)</f>
        <v>0</v>
      </c>
      <c r="V108" s="34" t="n">
        <f aca="false">IF((17-N(P_L3_Mes)+1)&lt;1,0,IF((17-N(P_L3_Mes)+1)=1,N(P_L3_Monto),U$108)-V$107)</f>
        <v>0</v>
      </c>
      <c r="W108" s="34" t="n">
        <f aca="false">IF((18-N(P_L3_Mes)+1)&lt;1,0,IF((18-N(P_L3_Mes)+1)=1,N(P_L3_Monto),V$108)-W$107)</f>
        <v>0</v>
      </c>
      <c r="X108" s="34" t="n">
        <f aca="false">IF((19-N(P_L3_Mes)+1)&lt;1,0,IF((19-N(P_L3_Mes)+1)=1,N(P_L3_Monto),W$108)-X$107)</f>
        <v>0</v>
      </c>
      <c r="Y108" s="34" t="n">
        <f aca="false">IF((20-N(P_L3_Mes)+1)&lt;1,0,IF((20-N(P_L3_Mes)+1)=1,N(P_L3_Monto),X$108)-Y$107)</f>
        <v>0</v>
      </c>
      <c r="Z108" s="34" t="n">
        <f aca="false">IF((21-N(P_L3_Mes)+1)&lt;1,0,IF((21-N(P_L3_Mes)+1)=1,N(P_L3_Monto),Y$108)-Z$107)</f>
        <v>0</v>
      </c>
      <c r="AA108" s="34" t="n">
        <f aca="false">IF((22-N(P_L3_Mes)+1)&lt;1,0,IF((22-N(P_L3_Mes)+1)=1,N(P_L3_Monto),Z$108)-AA$107)</f>
        <v>0</v>
      </c>
      <c r="AB108" s="34" t="n">
        <f aca="false">IF((23-N(P_L3_Mes)+1)&lt;1,0,IF((23-N(P_L3_Mes)+1)=1,N(P_L3_Monto),AA$108)-AB$107)</f>
        <v>0</v>
      </c>
      <c r="AC108" s="34" t="n">
        <f aca="false">IF((24-N(P_L3_Mes)+1)&lt;1,0,IF((24-N(P_L3_Mes)+1)=1,N(P_L3_Monto),AB$108)-AC$107)</f>
        <v>0</v>
      </c>
      <c r="AD108" s="34" t="n">
        <f aca="false">IF((25-N(P_L3_Mes)+1)&lt;1,0,IF((25-N(P_L3_Mes)+1)=1,N(P_L3_Monto),AC$108)-AD$107)</f>
        <v>0</v>
      </c>
      <c r="AE108" s="34" t="n">
        <f aca="false">IF((26-N(P_L3_Mes)+1)&lt;1,0,IF((26-N(P_L3_Mes)+1)=1,N(P_L3_Monto),AD$108)-AE$107)</f>
        <v>0</v>
      </c>
      <c r="AF108" s="34" t="n">
        <f aca="false">IF((27-N(P_L3_Mes)+1)&lt;1,0,IF((27-N(P_L3_Mes)+1)=1,N(P_L3_Monto),AE$108)-AF$107)</f>
        <v>0</v>
      </c>
      <c r="AG108" s="34" t="n">
        <f aca="false">IF((28-N(P_L3_Mes)+1)&lt;1,0,IF((28-N(P_L3_Mes)+1)=1,N(P_L3_Monto),AF$108)-AG$107)</f>
        <v>0</v>
      </c>
      <c r="AH108" s="34" t="n">
        <f aca="false">IF((29-N(P_L3_Mes)+1)&lt;1,0,IF((29-N(P_L3_Mes)+1)=1,N(P_L3_Monto),AG$108)-AH$107)</f>
        <v>0</v>
      </c>
      <c r="AI108" s="34" t="n">
        <f aca="false">IF((30-N(P_L3_Mes)+1)&lt;1,0,IF((30-N(P_L3_Mes)+1)=1,N(P_L3_Monto),AH$108)-AI$107)</f>
        <v>0</v>
      </c>
      <c r="AJ108" s="34" t="n">
        <f aca="false">IF((31-N(P_L3_Mes)+1)&lt;1,0,IF((31-N(P_L3_Mes)+1)=1,N(P_L3_Monto),AI$108)-AJ$107)</f>
        <v>0</v>
      </c>
      <c r="AK108" s="34" t="n">
        <f aca="false">IF((32-N(P_L3_Mes)+1)&lt;1,0,IF((32-N(P_L3_Mes)+1)=1,N(P_L3_Monto),AJ$108)-AK$107)</f>
        <v>0</v>
      </c>
      <c r="AL108" s="34" t="n">
        <f aca="false">IF((33-N(P_L3_Mes)+1)&lt;1,0,IF((33-N(P_L3_Mes)+1)=1,N(P_L3_Monto),AK$108)-AL$107)</f>
        <v>0</v>
      </c>
      <c r="AM108" s="34" t="n">
        <f aca="false">IF((34-N(P_L3_Mes)+1)&lt;1,0,IF((34-N(P_L3_Mes)+1)=1,N(P_L3_Monto),AL$108)-AM$107)</f>
        <v>0</v>
      </c>
      <c r="AN108" s="34" t="n">
        <f aca="false">IF((35-N(P_L3_Mes)+1)&lt;1,0,IF((35-N(P_L3_Mes)+1)=1,N(P_L3_Monto),AM$108)-AN$107)</f>
        <v>0</v>
      </c>
      <c r="AO108" s="34" t="n">
        <f aca="false">IF((36-N(P_L3_Mes)+1)&lt;1,0,IF((36-N(P_L3_Mes)+1)=1,N(P_L3_Monto),AN$108)-AO$107)</f>
        <v>0</v>
      </c>
      <c r="AP108" s="34" t="n">
        <f aca="false">IF((37-N(P_L3_Mes)+1)&lt;1,0,IF((37-N(P_L3_Mes)+1)=1,N(P_L3_Monto),AO$108)-AP$107)</f>
        <v>0</v>
      </c>
      <c r="AQ108" s="34" t="n">
        <f aca="false">IF((38-N(P_L3_Mes)+1)&lt;1,0,IF((38-N(P_L3_Mes)+1)=1,N(P_L3_Monto),AP$108)-AQ$107)</f>
        <v>0</v>
      </c>
      <c r="AR108" s="34" t="n">
        <f aca="false">IF((39-N(P_L3_Mes)+1)&lt;1,0,IF((39-N(P_L3_Mes)+1)=1,N(P_L3_Monto),AQ$108)-AR$107)</f>
        <v>0</v>
      </c>
      <c r="AS108" s="34" t="n">
        <f aca="false">IF((40-N(P_L3_Mes)+1)&lt;1,0,IF((40-N(P_L3_Mes)+1)=1,N(P_L3_Monto),AR$108)-AS$107)</f>
        <v>0</v>
      </c>
      <c r="AT108" s="34" t="n">
        <f aca="false">IF((41-N(P_L3_Mes)+1)&lt;1,0,IF((41-N(P_L3_Mes)+1)=1,N(P_L3_Monto),AS$108)-AT$107)</f>
        <v>0</v>
      </c>
      <c r="AU108" s="34" t="n">
        <f aca="false">IF((42-N(P_L3_Mes)+1)&lt;1,0,IF((42-N(P_L3_Mes)+1)=1,N(P_L3_Monto),AT$108)-AU$107)</f>
        <v>0</v>
      </c>
      <c r="AV108" s="34" t="n">
        <f aca="false">IF((43-N(P_L3_Mes)+1)&lt;1,0,IF((43-N(P_L3_Mes)+1)=1,N(P_L3_Monto),AU$108)-AV$107)</f>
        <v>0</v>
      </c>
      <c r="AW108" s="34" t="n">
        <f aca="false">IF((44-N(P_L3_Mes)+1)&lt;1,0,IF((44-N(P_L3_Mes)+1)=1,N(P_L3_Monto),AV$108)-AW$107)</f>
        <v>0</v>
      </c>
      <c r="AX108" s="34" t="n">
        <f aca="false">IF((45-N(P_L3_Mes)+1)&lt;1,0,IF((45-N(P_L3_Mes)+1)=1,N(P_L3_Monto),AW$108)-AX$107)</f>
        <v>0</v>
      </c>
      <c r="AY108" s="34" t="n">
        <f aca="false">IF((46-N(P_L3_Mes)+1)&lt;1,0,IF((46-N(P_L3_Mes)+1)=1,N(P_L3_Monto),AX$108)-AY$107)</f>
        <v>0</v>
      </c>
      <c r="AZ108" s="34" t="n">
        <f aca="false">IF((47-N(P_L3_Mes)+1)&lt;1,0,IF((47-N(P_L3_Mes)+1)=1,N(P_L3_Monto),AY$108)-AZ$107)</f>
        <v>0</v>
      </c>
      <c r="BA108" s="34" t="n">
        <f aca="false">IF((48-N(P_L3_Mes)+1)&lt;1,0,IF((48-N(P_L3_Mes)+1)=1,N(P_L3_Monto),AZ$108)-BA$107)</f>
        <v>0</v>
      </c>
      <c r="BB108" s="34" t="n">
        <f aca="false">IF((49-N(P_L3_Mes)+1)&lt;1,0,IF((49-N(P_L3_Mes)+1)=1,N(P_L3_Monto),BA$108)-BB$107)</f>
        <v>0</v>
      </c>
      <c r="BC108" s="34" t="n">
        <f aca="false">IF((50-N(P_L3_Mes)+1)&lt;1,0,IF((50-N(P_L3_Mes)+1)=1,N(P_L3_Monto),BB$108)-BC$107)</f>
        <v>0</v>
      </c>
      <c r="BD108" s="34" t="n">
        <f aca="false">IF((51-N(P_L3_Mes)+1)&lt;1,0,IF((51-N(P_L3_Mes)+1)=1,N(P_L3_Monto),BC$108)-BD$107)</f>
        <v>0</v>
      </c>
      <c r="BE108" s="34" t="n">
        <f aca="false">IF((52-N(P_L3_Mes)+1)&lt;1,0,IF((52-N(P_L3_Mes)+1)=1,N(P_L3_Monto),BD$108)-BE$107)</f>
        <v>0</v>
      </c>
      <c r="BF108" s="34" t="n">
        <f aca="false">IF((53-N(P_L3_Mes)+1)&lt;1,0,IF((53-N(P_L3_Mes)+1)=1,N(P_L3_Monto),BE$108)-BF$107)</f>
        <v>0</v>
      </c>
      <c r="BG108" s="34" t="n">
        <f aca="false">IF((54-N(P_L3_Mes)+1)&lt;1,0,IF((54-N(P_L3_Mes)+1)=1,N(P_L3_Monto),BF$108)-BG$107)</f>
        <v>0</v>
      </c>
      <c r="BH108" s="34" t="n">
        <f aca="false">IF((55-N(P_L3_Mes)+1)&lt;1,0,IF((55-N(P_L3_Mes)+1)=1,N(P_L3_Monto),BG$108)-BH$107)</f>
        <v>0</v>
      </c>
      <c r="BI108" s="34" t="n">
        <f aca="false">IF((56-N(P_L3_Mes)+1)&lt;1,0,IF((56-N(P_L3_Mes)+1)=1,N(P_L3_Monto),BH$108)-BI$107)</f>
        <v>0</v>
      </c>
      <c r="BJ108" s="34" t="n">
        <f aca="false">IF((57-N(P_L3_Mes)+1)&lt;1,0,IF((57-N(P_L3_Mes)+1)=1,N(P_L3_Monto),BI$108)-BJ$107)</f>
        <v>0</v>
      </c>
      <c r="BK108" s="34" t="n">
        <f aca="false">IF((58-N(P_L3_Mes)+1)&lt;1,0,IF((58-N(P_L3_Mes)+1)=1,N(P_L3_Monto),BJ$108)-BK$107)</f>
        <v>0</v>
      </c>
      <c r="BL108" s="34" t="n">
        <f aca="false">IF((59-N(P_L3_Mes)+1)&lt;1,0,IF((59-N(P_L3_Mes)+1)=1,N(P_L3_Monto),BK$108)-BL$107)</f>
        <v>0</v>
      </c>
      <c r="BM108" s="34" t="n">
        <f aca="false">IF((60-N(P_L3_Mes)+1)&lt;1,0,IF((60-N(P_L3_Mes)+1)=1,N(P_L3_Monto),BL$108)-BM$107)</f>
        <v>0</v>
      </c>
      <c r="BN108" s="34" t="n">
        <f aca="false">IF((61-N(P_L3_Mes)+1)&lt;1,0,IF((61-N(P_L3_Mes)+1)=1,N(P_L3_Monto),BM$108)-BN$107)</f>
        <v>0</v>
      </c>
      <c r="BO108" s="34" t="n">
        <f aca="false">IF((62-N(P_L3_Mes)+1)&lt;1,0,IF((62-N(P_L3_Mes)+1)=1,N(P_L3_Monto),BN$108)-BO$107)</f>
        <v>0</v>
      </c>
      <c r="BP108" s="34" t="n">
        <f aca="false">IF((63-N(P_L3_Mes)+1)&lt;1,0,IF((63-N(P_L3_Mes)+1)=1,N(P_L3_Monto),BO$108)-BP$107)</f>
        <v>0</v>
      </c>
      <c r="BQ108" s="34" t="n">
        <f aca="false">IF((64-N(P_L3_Mes)+1)&lt;1,0,IF((64-N(P_L3_Mes)+1)=1,N(P_L3_Monto),BP$108)-BQ$107)</f>
        <v>0</v>
      </c>
      <c r="BR108" s="34" t="n">
        <f aca="false">IF((65-N(P_L3_Mes)+1)&lt;1,0,IF((65-N(P_L3_Mes)+1)=1,N(P_L3_Monto),BQ$108)-BR$107)</f>
        <v>0</v>
      </c>
      <c r="BS108" s="34" t="n">
        <f aca="false">IF((66-N(P_L3_Mes)+1)&lt;1,0,IF((66-N(P_L3_Mes)+1)=1,N(P_L3_Monto),BR$108)-BS$107)</f>
        <v>0</v>
      </c>
      <c r="BT108" s="34" t="n">
        <f aca="false">IF((67-N(P_L3_Mes)+1)&lt;1,0,IF((67-N(P_L3_Mes)+1)=1,N(P_L3_Monto),BS$108)-BT$107)</f>
        <v>0</v>
      </c>
      <c r="BU108" s="34" t="n">
        <f aca="false">IF((68-N(P_L3_Mes)+1)&lt;1,0,IF((68-N(P_L3_Mes)+1)=1,N(P_L3_Monto),BT$108)-BU$107)</f>
        <v>0</v>
      </c>
      <c r="BV108" s="34" t="n">
        <f aca="false">IF((69-N(P_L3_Mes)+1)&lt;1,0,IF((69-N(P_L3_Mes)+1)=1,N(P_L3_Monto),BU$108)-BV$107)</f>
        <v>0</v>
      </c>
      <c r="BW108" s="34" t="n">
        <f aca="false">IF((70-N(P_L3_Mes)+1)&lt;1,0,IF((70-N(P_L3_Mes)+1)=1,N(P_L3_Monto),BV$108)-BW$107)</f>
        <v>0</v>
      </c>
      <c r="BX108" s="34" t="n">
        <f aca="false">IF((71-N(P_L3_Mes)+1)&lt;1,0,IF((71-N(P_L3_Mes)+1)=1,N(P_L3_Monto),BW$108)-BX$107)</f>
        <v>0</v>
      </c>
      <c r="BY108" s="34" t="n">
        <f aca="false">IF((72-N(P_L3_Mes)+1)&lt;1,0,IF((72-N(P_L3_Mes)+1)=1,N(P_L3_Monto),BX$108)-BY$107)</f>
        <v>0</v>
      </c>
      <c r="BZ108" s="34" t="n">
        <f aca="false">IF((73-N(P_L3_Mes)+1)&lt;1,0,IF((73-N(P_L3_Mes)+1)=1,N(P_L3_Monto),BY$108)-BZ$107)</f>
        <v>0</v>
      </c>
      <c r="CA108" s="34" t="n">
        <f aca="false">IF((74-N(P_L3_Mes)+1)&lt;1,0,IF((74-N(P_L3_Mes)+1)=1,N(P_L3_Monto),BZ$108)-CA$107)</f>
        <v>0</v>
      </c>
      <c r="CB108" s="34" t="n">
        <f aca="false">IF((75-N(P_L3_Mes)+1)&lt;1,0,IF((75-N(P_L3_Mes)+1)=1,N(P_L3_Monto),CA$108)-CB$107)</f>
        <v>0</v>
      </c>
      <c r="CC108" s="34" t="n">
        <f aca="false">IF((76-N(P_L3_Mes)+1)&lt;1,0,IF((76-N(P_L3_Mes)+1)=1,N(P_L3_Monto),CB$108)-CC$107)</f>
        <v>0</v>
      </c>
      <c r="CD108" s="34" t="n">
        <f aca="false">IF((77-N(P_L3_Mes)+1)&lt;1,0,IF((77-N(P_L3_Mes)+1)=1,N(P_L3_Monto),CC$108)-CD$107)</f>
        <v>0</v>
      </c>
      <c r="CE108" s="34" t="n">
        <f aca="false">IF((78-N(P_L3_Mes)+1)&lt;1,0,IF((78-N(P_L3_Mes)+1)=1,N(P_L3_Monto),CD$108)-CE$107)</f>
        <v>0</v>
      </c>
      <c r="CF108" s="34" t="n">
        <f aca="false">IF((79-N(P_L3_Mes)+1)&lt;1,0,IF((79-N(P_L3_Mes)+1)=1,N(P_L3_Monto),CE$108)-CF$107)</f>
        <v>0</v>
      </c>
      <c r="CG108" s="34" t="n">
        <f aca="false">IF((80-N(P_L3_Mes)+1)&lt;1,0,IF((80-N(P_L3_Mes)+1)=1,N(P_L3_Monto),CF$108)-CG$107)</f>
        <v>0</v>
      </c>
      <c r="CH108" s="34" t="n">
        <f aca="false">IF((81-N(P_L3_Mes)+1)&lt;1,0,IF((81-N(P_L3_Mes)+1)=1,N(P_L3_Monto),CG$108)-CH$107)</f>
        <v>0</v>
      </c>
      <c r="CI108" s="34" t="n">
        <f aca="false">IF((82-N(P_L3_Mes)+1)&lt;1,0,IF((82-N(P_L3_Mes)+1)=1,N(P_L3_Monto),CH$108)-CI$107)</f>
        <v>0</v>
      </c>
      <c r="CJ108" s="34" t="n">
        <f aca="false">IF((83-N(P_L3_Mes)+1)&lt;1,0,IF((83-N(P_L3_Mes)+1)=1,N(P_L3_Monto),CI$108)-CJ$107)</f>
        <v>0</v>
      </c>
      <c r="CK108" s="34" t="n">
        <f aca="false">IF((84-N(P_L3_Mes)+1)&lt;1,0,IF((84-N(P_L3_Mes)+1)=1,N(P_L3_Monto),CJ$108)-CK$107)</f>
        <v>0</v>
      </c>
      <c r="CL108" s="34" t="n">
        <f aca="false">IF((85-N(P_L3_Mes)+1)&lt;1,0,IF((85-N(P_L3_Mes)+1)=1,N(P_L3_Monto),CK$108)-CL$107)</f>
        <v>0</v>
      </c>
      <c r="CM108" s="34" t="n">
        <f aca="false">IF((86-N(P_L3_Mes)+1)&lt;1,0,IF((86-N(P_L3_Mes)+1)=1,N(P_L3_Monto),CL$108)-CM$107)</f>
        <v>0</v>
      </c>
      <c r="CN108" s="34" t="n">
        <f aca="false">IF((87-N(P_L3_Mes)+1)&lt;1,0,IF((87-N(P_L3_Mes)+1)=1,N(P_L3_Monto),CM$108)-CN$107)</f>
        <v>0</v>
      </c>
      <c r="CO108" s="34" t="n">
        <f aca="false">IF((88-N(P_L3_Mes)+1)&lt;1,0,IF((88-N(P_L3_Mes)+1)=1,N(P_L3_Monto),CN$108)-CO$107)</f>
        <v>0</v>
      </c>
      <c r="CP108" s="34" t="n">
        <f aca="false">IF((89-N(P_L3_Mes)+1)&lt;1,0,IF((89-N(P_L3_Mes)+1)=1,N(P_L3_Monto),CO$108)-CP$107)</f>
        <v>0</v>
      </c>
      <c r="CQ108" s="34" t="n">
        <f aca="false">IF((90-N(P_L3_Mes)+1)&lt;1,0,IF((90-N(P_L3_Mes)+1)=1,N(P_L3_Monto),CP$108)-CQ$107)</f>
        <v>0</v>
      </c>
      <c r="CR108" s="34" t="n">
        <f aca="false">IF((91-N(P_L3_Mes)+1)&lt;1,0,IF((91-N(P_L3_Mes)+1)=1,N(P_L3_Monto),CQ$108)-CR$107)</f>
        <v>0</v>
      </c>
      <c r="CS108" s="34" t="n">
        <f aca="false">IF((92-N(P_L3_Mes)+1)&lt;1,0,IF((92-N(P_L3_Mes)+1)=1,N(P_L3_Monto),CR$108)-CS$107)</f>
        <v>0</v>
      </c>
      <c r="CT108" s="34" t="n">
        <f aca="false">IF((93-N(P_L3_Mes)+1)&lt;1,0,IF((93-N(P_L3_Mes)+1)=1,N(P_L3_Monto),CS$108)-CT$107)</f>
        <v>0</v>
      </c>
      <c r="CU108" s="34" t="n">
        <f aca="false">IF((94-N(P_L3_Mes)+1)&lt;1,0,IF((94-N(P_L3_Mes)+1)=1,N(P_L3_Monto),CT$108)-CU$107)</f>
        <v>0</v>
      </c>
      <c r="CV108" s="34" t="n">
        <f aca="false">IF((95-N(P_L3_Mes)+1)&lt;1,0,IF((95-N(P_L3_Mes)+1)=1,N(P_L3_Monto),CU$108)-CV$107)</f>
        <v>0</v>
      </c>
      <c r="CW108" s="34" t="n">
        <f aca="false">IF((96-N(P_L3_Mes)+1)&lt;1,0,IF((96-N(P_L3_Mes)+1)=1,N(P_L3_Monto),CV$108)-CW$107)</f>
        <v>0</v>
      </c>
      <c r="CX108" s="34" t="n">
        <f aca="false">IF((97-N(P_L3_Mes)+1)&lt;1,0,IF((97-N(P_L3_Mes)+1)=1,N(P_L3_Monto),CW$108)-CX$107)</f>
        <v>0</v>
      </c>
      <c r="CY108" s="34" t="n">
        <f aca="false">IF((98-N(P_L3_Mes)+1)&lt;1,0,IF((98-N(P_L3_Mes)+1)=1,N(P_L3_Monto),CX$108)-CY$107)</f>
        <v>0</v>
      </c>
      <c r="CZ108" s="34" t="n">
        <f aca="false">IF((99-N(P_L3_Mes)+1)&lt;1,0,IF((99-N(P_L3_Mes)+1)=1,N(P_L3_Monto),CY$108)-CZ$107)</f>
        <v>0</v>
      </c>
      <c r="DA108" s="34" t="n">
        <f aca="false">IF((100-N(P_L3_Mes)+1)&lt;1,0,IF((100-N(P_L3_Mes)+1)=1,N(P_L3_Monto),CZ$108)-DA$107)</f>
        <v>0</v>
      </c>
      <c r="DB108" s="34" t="n">
        <f aca="false">IF((101-N(P_L3_Mes)+1)&lt;1,0,IF((101-N(P_L3_Mes)+1)=1,N(P_L3_Monto),DA$108)-DB$107)</f>
        <v>0</v>
      </c>
      <c r="DC108" s="34" t="n">
        <f aca="false">IF((102-N(P_L3_Mes)+1)&lt;1,0,IF((102-N(P_L3_Mes)+1)=1,N(P_L3_Monto),DB$108)-DC$107)</f>
        <v>0</v>
      </c>
      <c r="DD108" s="34" t="n">
        <f aca="false">IF((103-N(P_L3_Mes)+1)&lt;1,0,IF((103-N(P_L3_Mes)+1)=1,N(P_L3_Monto),DC$108)-DD$107)</f>
        <v>0</v>
      </c>
      <c r="DE108" s="34" t="n">
        <f aca="false">IF((104-N(P_L3_Mes)+1)&lt;1,0,IF((104-N(P_L3_Mes)+1)=1,N(P_L3_Monto),DD$108)-DE$107)</f>
        <v>0</v>
      </c>
      <c r="DF108" s="34" t="n">
        <f aca="false">IF((105-N(P_L3_Mes)+1)&lt;1,0,IF((105-N(P_L3_Mes)+1)=1,N(P_L3_Monto),DE$108)-DF$107)</f>
        <v>0</v>
      </c>
      <c r="DG108" s="34" t="n">
        <f aca="false">IF((106-N(P_L3_Mes)+1)&lt;1,0,IF((106-N(P_L3_Mes)+1)=1,N(P_L3_Monto),DF$108)-DG$107)</f>
        <v>0</v>
      </c>
      <c r="DH108" s="34" t="n">
        <f aca="false">IF((107-N(P_L3_Mes)+1)&lt;1,0,IF((107-N(P_L3_Mes)+1)=1,N(P_L3_Monto),DG$108)-DH$107)</f>
        <v>0</v>
      </c>
      <c r="DI108" s="34" t="n">
        <f aca="false">IF((108-N(P_L3_Mes)+1)&lt;1,0,IF((108-N(P_L3_Mes)+1)=1,N(P_L3_Monto),DH$108)-DI$107)</f>
        <v>0</v>
      </c>
      <c r="DJ108" s="34" t="n">
        <f aca="false">IF((109-N(P_L3_Mes)+1)&lt;1,0,IF((109-N(P_L3_Mes)+1)=1,N(P_L3_Monto),DI$108)-DJ$107)</f>
        <v>0</v>
      </c>
      <c r="DK108" s="34" t="n">
        <f aca="false">IF((110-N(P_L3_Mes)+1)&lt;1,0,IF((110-N(P_L3_Mes)+1)=1,N(P_L3_Monto),DJ$108)-DK$107)</f>
        <v>0</v>
      </c>
      <c r="DL108" s="34" t="n">
        <f aca="false">IF((111-N(P_L3_Mes)+1)&lt;1,0,IF((111-N(P_L3_Mes)+1)=1,N(P_L3_Monto),DK$108)-DL$107)</f>
        <v>0</v>
      </c>
      <c r="DM108" s="34" t="n">
        <f aca="false">IF((112-N(P_L3_Mes)+1)&lt;1,0,IF((112-N(P_L3_Mes)+1)=1,N(P_L3_Monto),DL$108)-DM$107)</f>
        <v>0</v>
      </c>
      <c r="DN108" s="34" t="n">
        <f aca="false">IF((113-N(P_L3_Mes)+1)&lt;1,0,IF((113-N(P_L3_Mes)+1)=1,N(P_L3_Monto),DM$108)-DN$107)</f>
        <v>0</v>
      </c>
      <c r="DO108" s="34" t="n">
        <f aca="false">IF((114-N(P_L3_Mes)+1)&lt;1,0,IF((114-N(P_L3_Mes)+1)=1,N(P_L3_Monto),DN$108)-DO$107)</f>
        <v>0</v>
      </c>
      <c r="DP108" s="34" t="n">
        <f aca="false">IF((115-N(P_L3_Mes)+1)&lt;1,0,IF((115-N(P_L3_Mes)+1)=1,N(P_L3_Monto),DO$108)-DP$107)</f>
        <v>0</v>
      </c>
      <c r="DQ108" s="34" t="n">
        <f aca="false">IF((116-N(P_L3_Mes)+1)&lt;1,0,IF((116-N(P_L3_Mes)+1)=1,N(P_L3_Monto),DP$108)-DQ$107)</f>
        <v>0</v>
      </c>
      <c r="DR108" s="34" t="n">
        <f aca="false">IF((117-N(P_L3_Mes)+1)&lt;1,0,IF((117-N(P_L3_Mes)+1)=1,N(P_L3_Monto),DQ$108)-DR$107)</f>
        <v>0</v>
      </c>
      <c r="DS108" s="34" t="n">
        <f aca="false">IF((118-N(P_L3_Mes)+1)&lt;1,0,IF((118-N(P_L3_Mes)+1)=1,N(P_L3_Monto),DR$108)-DS$107)</f>
        <v>0</v>
      </c>
      <c r="DT108" s="34" t="n">
        <f aca="false">IF((119-N(P_L3_Mes)+1)&lt;1,0,IF((119-N(P_L3_Mes)+1)=1,N(P_L3_Monto),DS$108)-DT$107)</f>
        <v>0</v>
      </c>
      <c r="DU108" s="34" t="n">
        <f aca="false">IF((120-N(P_L3_Mes)+1)&lt;1,0,IF((120-N(P_L3_Mes)+1)=1,N(P_L3_Monto),DT$108)-DU$107)</f>
        <v>0</v>
      </c>
      <c r="DV108" s="34" t="n">
        <f aca="false">IF((121-N(P_L3_Mes)+1)&lt;1,0,IF((121-N(P_L3_Mes)+1)=1,N(P_L3_Monto),DU$108)-DV$107)</f>
        <v>0</v>
      </c>
      <c r="DW108" s="34" t="n">
        <f aca="false">IF((122-N(P_L3_Mes)+1)&lt;1,0,IF((122-N(P_L3_Mes)+1)=1,N(P_L3_Monto),DV$108)-DW$107)</f>
        <v>0</v>
      </c>
      <c r="DX108" s="34" t="n">
        <f aca="false">IF((123-N(P_L3_Mes)+1)&lt;1,0,IF((123-N(P_L3_Mes)+1)=1,N(P_L3_Monto),DW$108)-DX$107)</f>
        <v>0</v>
      </c>
      <c r="DY108" s="34" t="n">
        <f aca="false">IF((124-N(P_L3_Mes)+1)&lt;1,0,IF((124-N(P_L3_Mes)+1)=1,N(P_L3_Monto),DX$108)-DY$107)</f>
        <v>0</v>
      </c>
      <c r="DZ108" s="34" t="n">
        <f aca="false">IF((125-N(P_L3_Mes)+1)&lt;1,0,IF((125-N(P_L3_Mes)+1)=1,N(P_L3_Monto),DY$108)-DZ$107)</f>
        <v>0</v>
      </c>
      <c r="EA108" s="34" t="n">
        <f aca="false">IF((126-N(P_L3_Mes)+1)&lt;1,0,IF((126-N(P_L3_Mes)+1)=1,N(P_L3_Monto),DZ$108)-EA$107)</f>
        <v>0</v>
      </c>
      <c r="EB108" s="34" t="n">
        <f aca="false">IF((127-N(P_L3_Mes)+1)&lt;1,0,IF((127-N(P_L3_Mes)+1)=1,N(P_L3_Monto),EA$108)-EB$107)</f>
        <v>0</v>
      </c>
      <c r="EC108" s="34" t="n">
        <f aca="false">IF((128-N(P_L3_Mes)+1)&lt;1,0,IF((128-N(P_L3_Mes)+1)=1,N(P_L3_Monto),EB$108)-EC$107)</f>
        <v>0</v>
      </c>
      <c r="ED108" s="34" t="n">
        <f aca="false">IF((129-N(P_L3_Mes)+1)&lt;1,0,IF((129-N(P_L3_Mes)+1)=1,N(P_L3_Monto),EC$108)-ED$107)</f>
        <v>0</v>
      </c>
      <c r="EE108" s="34" t="n">
        <f aca="false">IF((130-N(P_L3_Mes)+1)&lt;1,0,IF((130-N(P_L3_Mes)+1)=1,N(P_L3_Monto),ED$108)-EE$107)</f>
        <v>0</v>
      </c>
      <c r="EF108" s="34" t="n">
        <f aca="false">IF((131-N(P_L3_Mes)+1)&lt;1,0,IF((131-N(P_L3_Mes)+1)=1,N(P_L3_Monto),EE$108)-EF$107)</f>
        <v>0</v>
      </c>
      <c r="EG108" s="34" t="n">
        <f aca="false">IF((132-N(P_L3_Mes)+1)&lt;1,0,IF((132-N(P_L3_Mes)+1)=1,N(P_L3_Monto),EF$108)-EG$107)</f>
        <v>0</v>
      </c>
      <c r="EH108" s="34" t="n">
        <f aca="false">IF((133-N(P_L3_Mes)+1)&lt;1,0,IF((133-N(P_L3_Mes)+1)=1,N(P_L3_Monto),EG$108)-EH$107)</f>
        <v>0</v>
      </c>
      <c r="EI108" s="34" t="n">
        <f aca="false">IF((134-N(P_L3_Mes)+1)&lt;1,0,IF((134-N(P_L3_Mes)+1)=1,N(P_L3_Monto),EH$108)-EI$107)</f>
        <v>0</v>
      </c>
      <c r="EJ108" s="34" t="n">
        <f aca="false">IF((135-N(P_L3_Mes)+1)&lt;1,0,IF((135-N(P_L3_Mes)+1)=1,N(P_L3_Monto),EI$108)-EJ$107)</f>
        <v>0</v>
      </c>
      <c r="EK108" s="34" t="n">
        <f aca="false">IF((136-N(P_L3_Mes)+1)&lt;1,0,IF((136-N(P_L3_Mes)+1)=1,N(P_L3_Monto),EJ$108)-EK$107)</f>
        <v>0</v>
      </c>
      <c r="EL108" s="34" t="n">
        <f aca="false">IF((137-N(P_L3_Mes)+1)&lt;1,0,IF((137-N(P_L3_Mes)+1)=1,N(P_L3_Monto),EK$108)-EL$107)</f>
        <v>0</v>
      </c>
      <c r="EM108" s="34" t="n">
        <f aca="false">IF((138-N(P_L3_Mes)+1)&lt;1,0,IF((138-N(P_L3_Mes)+1)=1,N(P_L3_Monto),EL$108)-EM$107)</f>
        <v>0</v>
      </c>
      <c r="EN108" s="34" t="n">
        <f aca="false">IF((139-N(P_L3_Mes)+1)&lt;1,0,IF((139-N(P_L3_Mes)+1)=1,N(P_L3_Monto),EM$108)-EN$107)</f>
        <v>0</v>
      </c>
      <c r="EO108" s="34" t="n">
        <f aca="false">IF((140-N(P_L3_Mes)+1)&lt;1,0,IF((140-N(P_L3_Mes)+1)=1,N(P_L3_Monto),EN$108)-EO$107)</f>
        <v>0</v>
      </c>
      <c r="EP108" s="34" t="n">
        <f aca="false">IF((141-N(P_L3_Mes)+1)&lt;1,0,IF((141-N(P_L3_Mes)+1)=1,N(P_L3_Monto),EO$108)-EP$107)</f>
        <v>0</v>
      </c>
      <c r="EQ108" s="34" t="n">
        <f aca="false">IF((142-N(P_L3_Mes)+1)&lt;1,0,IF((142-N(P_L3_Mes)+1)=1,N(P_L3_Monto),EP$108)-EQ$107)</f>
        <v>0</v>
      </c>
      <c r="ER108" s="34" t="n">
        <f aca="false">IF((143-N(P_L3_Mes)+1)&lt;1,0,IF((143-N(P_L3_Mes)+1)=1,N(P_L3_Monto),EQ$108)-ER$107)</f>
        <v>0</v>
      </c>
      <c r="ES108" s="34" t="n">
        <f aca="false">IF((144-N(P_L3_Mes)+1)&lt;1,0,IF((144-N(P_L3_Mes)+1)=1,N(P_L3_Monto),ER$108)-ES$107)</f>
        <v>0</v>
      </c>
    </row>
    <row r="109" customFormat="false" ht="15" hidden="false" customHeight="false" outlineLevel="0" collapsed="false">
      <c r="A109" s="4"/>
      <c r="B109" s="3" t="s">
        <v>575</v>
      </c>
      <c r="C109" s="4"/>
      <c r="D109" s="4"/>
      <c r="E109" s="4"/>
    </row>
    <row r="110" customFormat="false" ht="15" hidden="false" customHeight="false" outlineLevel="0" collapsed="false">
      <c r="A110" s="2" t="s">
        <v>576</v>
      </c>
      <c r="B110" s="6" t="s">
        <v>577</v>
      </c>
      <c r="C110" s="6" t="s">
        <v>212</v>
      </c>
      <c r="E110" s="40" t="n">
        <f aca="false">SUM(F110:ES110)</f>
        <v>0</v>
      </c>
      <c r="F110" s="34" t="n">
        <f aca="false">F$97+F$101+F$105</f>
        <v>0</v>
      </c>
      <c r="G110" s="34" t="n">
        <f aca="false">G$97+G$101+G$105</f>
        <v>0</v>
      </c>
      <c r="H110" s="34" t="n">
        <f aca="false">H$97+H$101+H$105</f>
        <v>0</v>
      </c>
      <c r="I110" s="34" t="n">
        <f aca="false">I$97+I$101+I$105</f>
        <v>0</v>
      </c>
      <c r="J110" s="34" t="n">
        <f aca="false">J$97+J$101+J$105</f>
        <v>0</v>
      </c>
      <c r="K110" s="34" t="n">
        <f aca="false">K$97+K$101+K$105</f>
        <v>0</v>
      </c>
      <c r="L110" s="34" t="n">
        <f aca="false">L$97+L$101+L$105</f>
        <v>0</v>
      </c>
      <c r="M110" s="34" t="n">
        <f aca="false">M$97+M$101+M$105</f>
        <v>0</v>
      </c>
      <c r="N110" s="34" t="n">
        <f aca="false">N$97+N$101+N$105</f>
        <v>0</v>
      </c>
      <c r="O110" s="34" t="n">
        <f aca="false">O$97+O$101+O$105</f>
        <v>0</v>
      </c>
      <c r="P110" s="34" t="n">
        <f aca="false">P$97+P$101+P$105</f>
        <v>0</v>
      </c>
      <c r="Q110" s="34" t="n">
        <f aca="false">Q$97+Q$101+Q$105</f>
        <v>0</v>
      </c>
      <c r="R110" s="34" t="n">
        <f aca="false">R$97+R$101+R$105</f>
        <v>0</v>
      </c>
      <c r="S110" s="34" t="n">
        <f aca="false">S$97+S$101+S$105</f>
        <v>0</v>
      </c>
      <c r="T110" s="34" t="n">
        <f aca="false">T$97+T$101+T$105</f>
        <v>0</v>
      </c>
      <c r="U110" s="34" t="n">
        <f aca="false">U$97+U$101+U$105</f>
        <v>0</v>
      </c>
      <c r="V110" s="34" t="n">
        <f aca="false">V$97+V$101+V$105</f>
        <v>0</v>
      </c>
      <c r="W110" s="34" t="n">
        <f aca="false">W$97+W$101+W$105</f>
        <v>0</v>
      </c>
      <c r="X110" s="34" t="n">
        <f aca="false">X$97+X$101+X$105</f>
        <v>0</v>
      </c>
      <c r="Y110" s="34" t="n">
        <f aca="false">Y$97+Y$101+Y$105</f>
        <v>0</v>
      </c>
      <c r="Z110" s="34" t="n">
        <f aca="false">Z$97+Z$101+Z$105</f>
        <v>0</v>
      </c>
      <c r="AA110" s="34" t="n">
        <f aca="false">AA$97+AA$101+AA$105</f>
        <v>0</v>
      </c>
      <c r="AB110" s="34" t="n">
        <f aca="false">AB$97+AB$101+AB$105</f>
        <v>0</v>
      </c>
      <c r="AC110" s="34" t="n">
        <f aca="false">AC$97+AC$101+AC$105</f>
        <v>0</v>
      </c>
      <c r="AD110" s="34" t="n">
        <f aca="false">AD$97+AD$101+AD$105</f>
        <v>0</v>
      </c>
      <c r="AE110" s="34" t="n">
        <f aca="false">AE$97+AE$101+AE$105</f>
        <v>0</v>
      </c>
      <c r="AF110" s="34" t="n">
        <f aca="false">AF$97+AF$101+AF$105</f>
        <v>0</v>
      </c>
      <c r="AG110" s="34" t="n">
        <f aca="false">AG$97+AG$101+AG$105</f>
        <v>0</v>
      </c>
      <c r="AH110" s="34" t="n">
        <f aca="false">AH$97+AH$101+AH$105</f>
        <v>0</v>
      </c>
      <c r="AI110" s="34" t="n">
        <f aca="false">AI$97+AI$101+AI$105</f>
        <v>0</v>
      </c>
      <c r="AJ110" s="34" t="n">
        <f aca="false">AJ$97+AJ$101+AJ$105</f>
        <v>0</v>
      </c>
      <c r="AK110" s="34" t="n">
        <f aca="false">AK$97+AK$101+AK$105</f>
        <v>0</v>
      </c>
      <c r="AL110" s="34" t="n">
        <f aca="false">AL$97+AL$101+AL$105</f>
        <v>0</v>
      </c>
      <c r="AM110" s="34" t="n">
        <f aca="false">AM$97+AM$101+AM$105</f>
        <v>0</v>
      </c>
      <c r="AN110" s="34" t="n">
        <f aca="false">AN$97+AN$101+AN$105</f>
        <v>0</v>
      </c>
      <c r="AO110" s="34" t="n">
        <f aca="false">AO$97+AO$101+AO$105</f>
        <v>0</v>
      </c>
      <c r="AP110" s="34" t="n">
        <f aca="false">AP$97+AP$101+AP$105</f>
        <v>0</v>
      </c>
      <c r="AQ110" s="34" t="n">
        <f aca="false">AQ$97+AQ$101+AQ$105</f>
        <v>0</v>
      </c>
      <c r="AR110" s="34" t="n">
        <f aca="false">AR$97+AR$101+AR$105</f>
        <v>0</v>
      </c>
      <c r="AS110" s="34" t="n">
        <f aca="false">AS$97+AS$101+AS$105</f>
        <v>0</v>
      </c>
      <c r="AT110" s="34" t="n">
        <f aca="false">AT$97+AT$101+AT$105</f>
        <v>0</v>
      </c>
      <c r="AU110" s="34" t="n">
        <f aca="false">AU$97+AU$101+AU$105</f>
        <v>0</v>
      </c>
      <c r="AV110" s="34" t="n">
        <f aca="false">AV$97+AV$101+AV$105</f>
        <v>0</v>
      </c>
      <c r="AW110" s="34" t="n">
        <f aca="false">AW$97+AW$101+AW$105</f>
        <v>0</v>
      </c>
      <c r="AX110" s="34" t="n">
        <f aca="false">AX$97+AX$101+AX$105</f>
        <v>0</v>
      </c>
      <c r="AY110" s="34" t="n">
        <f aca="false">AY$97+AY$101+AY$105</f>
        <v>0</v>
      </c>
      <c r="AZ110" s="34" t="n">
        <f aca="false">AZ$97+AZ$101+AZ$105</f>
        <v>0</v>
      </c>
      <c r="BA110" s="34" t="n">
        <f aca="false">BA$97+BA$101+BA$105</f>
        <v>0</v>
      </c>
      <c r="BB110" s="34" t="n">
        <f aca="false">BB$97+BB$101+BB$105</f>
        <v>0</v>
      </c>
      <c r="BC110" s="34" t="n">
        <f aca="false">BC$97+BC$101+BC$105</f>
        <v>0</v>
      </c>
      <c r="BD110" s="34" t="n">
        <f aca="false">BD$97+BD$101+BD$105</f>
        <v>0</v>
      </c>
      <c r="BE110" s="34" t="n">
        <f aca="false">BE$97+BE$101+BE$105</f>
        <v>0</v>
      </c>
      <c r="BF110" s="34" t="n">
        <f aca="false">BF$97+BF$101+BF$105</f>
        <v>0</v>
      </c>
      <c r="BG110" s="34" t="n">
        <f aca="false">BG$97+BG$101+BG$105</f>
        <v>0</v>
      </c>
      <c r="BH110" s="34" t="n">
        <f aca="false">BH$97+BH$101+BH$105</f>
        <v>0</v>
      </c>
      <c r="BI110" s="34" t="n">
        <f aca="false">BI$97+BI$101+BI$105</f>
        <v>0</v>
      </c>
      <c r="BJ110" s="34" t="n">
        <f aca="false">BJ$97+BJ$101+BJ$105</f>
        <v>0</v>
      </c>
      <c r="BK110" s="34" t="n">
        <f aca="false">BK$97+BK$101+BK$105</f>
        <v>0</v>
      </c>
      <c r="BL110" s="34" t="n">
        <f aca="false">BL$97+BL$101+BL$105</f>
        <v>0</v>
      </c>
      <c r="BM110" s="34" t="n">
        <f aca="false">BM$97+BM$101+BM$105</f>
        <v>0</v>
      </c>
      <c r="BN110" s="34" t="n">
        <f aca="false">BN$97+BN$101+BN$105</f>
        <v>0</v>
      </c>
      <c r="BO110" s="34" t="n">
        <f aca="false">BO$97+BO$101+BO$105</f>
        <v>0</v>
      </c>
      <c r="BP110" s="34" t="n">
        <f aca="false">BP$97+BP$101+BP$105</f>
        <v>0</v>
      </c>
      <c r="BQ110" s="34" t="n">
        <f aca="false">BQ$97+BQ$101+BQ$105</f>
        <v>0</v>
      </c>
      <c r="BR110" s="34" t="n">
        <f aca="false">BR$97+BR$101+BR$105</f>
        <v>0</v>
      </c>
      <c r="BS110" s="34" t="n">
        <f aca="false">BS$97+BS$101+BS$105</f>
        <v>0</v>
      </c>
      <c r="BT110" s="34" t="n">
        <f aca="false">BT$97+BT$101+BT$105</f>
        <v>0</v>
      </c>
      <c r="BU110" s="34" t="n">
        <f aca="false">BU$97+BU$101+BU$105</f>
        <v>0</v>
      </c>
      <c r="BV110" s="34" t="n">
        <f aca="false">BV$97+BV$101+BV$105</f>
        <v>0</v>
      </c>
      <c r="BW110" s="34" t="n">
        <f aca="false">BW$97+BW$101+BW$105</f>
        <v>0</v>
      </c>
      <c r="BX110" s="34" t="n">
        <f aca="false">BX$97+BX$101+BX$105</f>
        <v>0</v>
      </c>
      <c r="BY110" s="34" t="n">
        <f aca="false">BY$97+BY$101+BY$105</f>
        <v>0</v>
      </c>
      <c r="BZ110" s="34" t="n">
        <f aca="false">BZ$97+BZ$101+BZ$105</f>
        <v>0</v>
      </c>
      <c r="CA110" s="34" t="n">
        <f aca="false">CA$97+CA$101+CA$105</f>
        <v>0</v>
      </c>
      <c r="CB110" s="34" t="n">
        <f aca="false">CB$97+CB$101+CB$105</f>
        <v>0</v>
      </c>
      <c r="CC110" s="34" t="n">
        <f aca="false">CC$97+CC$101+CC$105</f>
        <v>0</v>
      </c>
      <c r="CD110" s="34" t="n">
        <f aca="false">CD$97+CD$101+CD$105</f>
        <v>0</v>
      </c>
      <c r="CE110" s="34" t="n">
        <f aca="false">CE$97+CE$101+CE$105</f>
        <v>0</v>
      </c>
      <c r="CF110" s="34" t="n">
        <f aca="false">CF$97+CF$101+CF$105</f>
        <v>0</v>
      </c>
      <c r="CG110" s="34" t="n">
        <f aca="false">CG$97+CG$101+CG$105</f>
        <v>0</v>
      </c>
      <c r="CH110" s="34" t="n">
        <f aca="false">CH$97+CH$101+CH$105</f>
        <v>0</v>
      </c>
      <c r="CI110" s="34" t="n">
        <f aca="false">CI$97+CI$101+CI$105</f>
        <v>0</v>
      </c>
      <c r="CJ110" s="34" t="n">
        <f aca="false">CJ$97+CJ$101+CJ$105</f>
        <v>0</v>
      </c>
      <c r="CK110" s="34" t="n">
        <f aca="false">CK$97+CK$101+CK$105</f>
        <v>0</v>
      </c>
      <c r="CL110" s="34" t="n">
        <f aca="false">CL$97+CL$101+CL$105</f>
        <v>0</v>
      </c>
      <c r="CM110" s="34" t="n">
        <f aca="false">CM$97+CM$101+CM$105</f>
        <v>0</v>
      </c>
      <c r="CN110" s="34" t="n">
        <f aca="false">CN$97+CN$101+CN$105</f>
        <v>0</v>
      </c>
      <c r="CO110" s="34" t="n">
        <f aca="false">CO$97+CO$101+CO$105</f>
        <v>0</v>
      </c>
      <c r="CP110" s="34" t="n">
        <f aca="false">CP$97+CP$101+CP$105</f>
        <v>0</v>
      </c>
      <c r="CQ110" s="34" t="n">
        <f aca="false">CQ$97+CQ$101+CQ$105</f>
        <v>0</v>
      </c>
      <c r="CR110" s="34" t="n">
        <f aca="false">CR$97+CR$101+CR$105</f>
        <v>0</v>
      </c>
      <c r="CS110" s="34" t="n">
        <f aca="false">CS$97+CS$101+CS$105</f>
        <v>0</v>
      </c>
      <c r="CT110" s="34" t="n">
        <f aca="false">CT$97+CT$101+CT$105</f>
        <v>0</v>
      </c>
      <c r="CU110" s="34" t="n">
        <f aca="false">CU$97+CU$101+CU$105</f>
        <v>0</v>
      </c>
      <c r="CV110" s="34" t="n">
        <f aca="false">CV$97+CV$101+CV$105</f>
        <v>0</v>
      </c>
      <c r="CW110" s="34" t="n">
        <f aca="false">CW$97+CW$101+CW$105</f>
        <v>0</v>
      </c>
      <c r="CX110" s="34" t="n">
        <f aca="false">CX$97+CX$101+CX$105</f>
        <v>0</v>
      </c>
      <c r="CY110" s="34" t="n">
        <f aca="false">CY$97+CY$101+CY$105</f>
        <v>0</v>
      </c>
      <c r="CZ110" s="34" t="n">
        <f aca="false">CZ$97+CZ$101+CZ$105</f>
        <v>0</v>
      </c>
      <c r="DA110" s="34" t="n">
        <f aca="false">DA$97+DA$101+DA$105</f>
        <v>0</v>
      </c>
      <c r="DB110" s="34" t="n">
        <f aca="false">DB$97+DB$101+DB$105</f>
        <v>0</v>
      </c>
      <c r="DC110" s="34" t="n">
        <f aca="false">DC$97+DC$101+DC$105</f>
        <v>0</v>
      </c>
      <c r="DD110" s="34" t="n">
        <f aca="false">DD$97+DD$101+DD$105</f>
        <v>0</v>
      </c>
      <c r="DE110" s="34" t="n">
        <f aca="false">DE$97+DE$101+DE$105</f>
        <v>0</v>
      </c>
      <c r="DF110" s="34" t="n">
        <f aca="false">DF$97+DF$101+DF$105</f>
        <v>0</v>
      </c>
      <c r="DG110" s="34" t="n">
        <f aca="false">DG$97+DG$101+DG$105</f>
        <v>0</v>
      </c>
      <c r="DH110" s="34" t="n">
        <f aca="false">DH$97+DH$101+DH$105</f>
        <v>0</v>
      </c>
      <c r="DI110" s="34" t="n">
        <f aca="false">DI$97+DI$101+DI$105</f>
        <v>0</v>
      </c>
      <c r="DJ110" s="34" t="n">
        <f aca="false">DJ$97+DJ$101+DJ$105</f>
        <v>0</v>
      </c>
      <c r="DK110" s="34" t="n">
        <f aca="false">DK$97+DK$101+DK$105</f>
        <v>0</v>
      </c>
      <c r="DL110" s="34" t="n">
        <f aca="false">DL$97+DL$101+DL$105</f>
        <v>0</v>
      </c>
      <c r="DM110" s="34" t="n">
        <f aca="false">DM$97+DM$101+DM$105</f>
        <v>0</v>
      </c>
      <c r="DN110" s="34" t="n">
        <f aca="false">DN$97+DN$101+DN$105</f>
        <v>0</v>
      </c>
      <c r="DO110" s="34" t="n">
        <f aca="false">DO$97+DO$101+DO$105</f>
        <v>0</v>
      </c>
      <c r="DP110" s="34" t="n">
        <f aca="false">DP$97+DP$101+DP$105</f>
        <v>0</v>
      </c>
      <c r="DQ110" s="34" t="n">
        <f aca="false">DQ$97+DQ$101+DQ$105</f>
        <v>0</v>
      </c>
      <c r="DR110" s="34" t="n">
        <f aca="false">DR$97+DR$101+DR$105</f>
        <v>0</v>
      </c>
      <c r="DS110" s="34" t="n">
        <f aca="false">DS$97+DS$101+DS$105</f>
        <v>0</v>
      </c>
      <c r="DT110" s="34" t="n">
        <f aca="false">DT$97+DT$101+DT$105</f>
        <v>0</v>
      </c>
      <c r="DU110" s="34" t="n">
        <f aca="false">DU$97+DU$101+DU$105</f>
        <v>0</v>
      </c>
      <c r="DV110" s="34" t="n">
        <f aca="false">DV$97+DV$101+DV$105</f>
        <v>0</v>
      </c>
      <c r="DW110" s="34" t="n">
        <f aca="false">DW$97+DW$101+DW$105</f>
        <v>0</v>
      </c>
      <c r="DX110" s="34" t="n">
        <f aca="false">DX$97+DX$101+DX$105</f>
        <v>0</v>
      </c>
      <c r="DY110" s="34" t="n">
        <f aca="false">DY$97+DY$101+DY$105</f>
        <v>0</v>
      </c>
      <c r="DZ110" s="34" t="n">
        <f aca="false">DZ$97+DZ$101+DZ$105</f>
        <v>0</v>
      </c>
      <c r="EA110" s="34" t="n">
        <f aca="false">EA$97+EA$101+EA$105</f>
        <v>0</v>
      </c>
      <c r="EB110" s="34" t="n">
        <f aca="false">EB$97+EB$101+EB$105</f>
        <v>0</v>
      </c>
      <c r="EC110" s="34" t="n">
        <f aca="false">EC$97+EC$101+EC$105</f>
        <v>0</v>
      </c>
      <c r="ED110" s="34" t="n">
        <f aca="false">ED$97+ED$101+ED$105</f>
        <v>0</v>
      </c>
      <c r="EE110" s="34" t="n">
        <f aca="false">EE$97+EE$101+EE$105</f>
        <v>0</v>
      </c>
      <c r="EF110" s="34" t="n">
        <f aca="false">EF$97+EF$101+EF$105</f>
        <v>0</v>
      </c>
      <c r="EG110" s="34" t="n">
        <f aca="false">EG$97+EG$101+EG$105</f>
        <v>0</v>
      </c>
      <c r="EH110" s="34" t="n">
        <f aca="false">EH$97+EH$101+EH$105</f>
        <v>0</v>
      </c>
      <c r="EI110" s="34" t="n">
        <f aca="false">EI$97+EI$101+EI$105</f>
        <v>0</v>
      </c>
      <c r="EJ110" s="34" t="n">
        <f aca="false">EJ$97+EJ$101+EJ$105</f>
        <v>0</v>
      </c>
      <c r="EK110" s="34" t="n">
        <f aca="false">EK$97+EK$101+EK$105</f>
        <v>0</v>
      </c>
      <c r="EL110" s="34" t="n">
        <f aca="false">EL$97+EL$101+EL$105</f>
        <v>0</v>
      </c>
      <c r="EM110" s="34" t="n">
        <f aca="false">EM$97+EM$101+EM$105</f>
        <v>0</v>
      </c>
      <c r="EN110" s="34" t="n">
        <f aca="false">EN$97+EN$101+EN$105</f>
        <v>0</v>
      </c>
      <c r="EO110" s="34" t="n">
        <f aca="false">EO$97+EO$101+EO$105</f>
        <v>0</v>
      </c>
      <c r="EP110" s="34" t="n">
        <f aca="false">EP$97+EP$101+EP$105</f>
        <v>0</v>
      </c>
      <c r="EQ110" s="34" t="n">
        <f aca="false">EQ$97+EQ$101+EQ$105</f>
        <v>0</v>
      </c>
      <c r="ER110" s="34" t="n">
        <f aca="false">ER$97+ER$101+ER$105</f>
        <v>0</v>
      </c>
      <c r="ES110" s="34" t="n">
        <f aca="false">ES$97+ES$101+ES$105</f>
        <v>0</v>
      </c>
    </row>
    <row r="111" customFormat="false" ht="15" hidden="false" customHeight="false" outlineLevel="0" collapsed="false">
      <c r="A111" s="2" t="s">
        <v>578</v>
      </c>
      <c r="B111" s="6" t="s">
        <v>579</v>
      </c>
      <c r="C111" s="6" t="s">
        <v>212</v>
      </c>
      <c r="E111" s="40" t="n">
        <f aca="false">SUM(F111:ES111)</f>
        <v>0</v>
      </c>
      <c r="F111" s="34" t="n">
        <f aca="false">MIN(0+F$110,F$99+F$103+F$107)</f>
        <v>0</v>
      </c>
      <c r="G111" s="34" t="n">
        <f aca="false">MIN(F$112+G$110,G$99+G$103+G$107)</f>
        <v>0</v>
      </c>
      <c r="H111" s="34" t="n">
        <f aca="false">MIN(G$112+H$110,H$99+H$103+H$107)</f>
        <v>0</v>
      </c>
      <c r="I111" s="34" t="n">
        <f aca="false">MIN(H$112+I$110,I$99+I$103+I$107)</f>
        <v>0</v>
      </c>
      <c r="J111" s="34" t="n">
        <f aca="false">MIN(I$112+J$110,J$99+J$103+J$107)</f>
        <v>0</v>
      </c>
      <c r="K111" s="34" t="n">
        <f aca="false">MIN(J$112+K$110,K$99+K$103+K$107)</f>
        <v>0</v>
      </c>
      <c r="L111" s="34" t="n">
        <f aca="false">MIN(K$112+L$110,L$99+L$103+L$107)</f>
        <v>0</v>
      </c>
      <c r="M111" s="34" t="n">
        <f aca="false">MIN(L$112+M$110,M$99+M$103+M$107)</f>
        <v>0</v>
      </c>
      <c r="N111" s="34" t="n">
        <f aca="false">MIN(M$112+N$110,N$99+N$103+N$107)</f>
        <v>0</v>
      </c>
      <c r="O111" s="34" t="n">
        <f aca="false">MIN(N$112+O$110,O$99+O$103+O$107)</f>
        <v>0</v>
      </c>
      <c r="P111" s="34" t="n">
        <f aca="false">MIN(O$112+P$110,P$99+P$103+P$107)</f>
        <v>0</v>
      </c>
      <c r="Q111" s="34" t="n">
        <f aca="false">MIN(P$112+Q$110,Q$99+Q$103+Q$107)</f>
        <v>0</v>
      </c>
      <c r="R111" s="34" t="n">
        <f aca="false">MIN(Q$112+R$110,R$99+R$103+R$107)</f>
        <v>0</v>
      </c>
      <c r="S111" s="34" t="n">
        <f aca="false">MIN(R$112+S$110,S$99+S$103+S$107)</f>
        <v>0</v>
      </c>
      <c r="T111" s="34" t="n">
        <f aca="false">MIN(S$112+T$110,T$99+T$103+T$107)</f>
        <v>0</v>
      </c>
      <c r="U111" s="34" t="n">
        <f aca="false">MIN(T$112+U$110,U$99+U$103+U$107)</f>
        <v>0</v>
      </c>
      <c r="V111" s="34" t="n">
        <f aca="false">MIN(U$112+V$110,V$99+V$103+V$107)</f>
        <v>0</v>
      </c>
      <c r="W111" s="34" t="n">
        <f aca="false">MIN(V$112+W$110,W$99+W$103+W$107)</f>
        <v>0</v>
      </c>
      <c r="X111" s="34" t="n">
        <f aca="false">MIN(W$112+X$110,X$99+X$103+X$107)</f>
        <v>0</v>
      </c>
      <c r="Y111" s="34" t="n">
        <f aca="false">MIN(X$112+Y$110,Y$99+Y$103+Y$107)</f>
        <v>0</v>
      </c>
      <c r="Z111" s="34" t="n">
        <f aca="false">MIN(Y$112+Z$110,Z$99+Z$103+Z$107)</f>
        <v>0</v>
      </c>
      <c r="AA111" s="34" t="n">
        <f aca="false">MIN(Z$112+AA$110,AA$99+AA$103+AA$107)</f>
        <v>0</v>
      </c>
      <c r="AB111" s="34" t="n">
        <f aca="false">MIN(AA$112+AB$110,AB$99+AB$103+AB$107)</f>
        <v>0</v>
      </c>
      <c r="AC111" s="34" t="n">
        <f aca="false">MIN(AB$112+AC$110,AC$99+AC$103+AC$107)</f>
        <v>0</v>
      </c>
      <c r="AD111" s="34" t="n">
        <f aca="false">MIN(AC$112+AD$110,AD$99+AD$103+AD$107)</f>
        <v>0</v>
      </c>
      <c r="AE111" s="34" t="n">
        <f aca="false">MIN(AD$112+AE$110,AE$99+AE$103+AE$107)</f>
        <v>0</v>
      </c>
      <c r="AF111" s="34" t="n">
        <f aca="false">MIN(AE$112+AF$110,AF$99+AF$103+AF$107)</f>
        <v>0</v>
      </c>
      <c r="AG111" s="34" t="n">
        <f aca="false">MIN(AF$112+AG$110,AG$99+AG$103+AG$107)</f>
        <v>0</v>
      </c>
      <c r="AH111" s="34" t="n">
        <f aca="false">MIN(AG$112+AH$110,AH$99+AH$103+AH$107)</f>
        <v>0</v>
      </c>
      <c r="AI111" s="34" t="n">
        <f aca="false">MIN(AH$112+AI$110,AI$99+AI$103+AI$107)</f>
        <v>0</v>
      </c>
      <c r="AJ111" s="34" t="n">
        <f aca="false">MIN(AI$112+AJ$110,AJ$99+AJ$103+AJ$107)</f>
        <v>0</v>
      </c>
      <c r="AK111" s="34" t="n">
        <f aca="false">MIN(AJ$112+AK$110,AK$99+AK$103+AK$107)</f>
        <v>0</v>
      </c>
      <c r="AL111" s="34" t="n">
        <f aca="false">MIN(AK$112+AL$110,AL$99+AL$103+AL$107)</f>
        <v>0</v>
      </c>
      <c r="AM111" s="34" t="n">
        <f aca="false">MIN(AL$112+AM$110,AM$99+AM$103+AM$107)</f>
        <v>0</v>
      </c>
      <c r="AN111" s="34" t="n">
        <f aca="false">MIN(AM$112+AN$110,AN$99+AN$103+AN$107)</f>
        <v>0</v>
      </c>
      <c r="AO111" s="34" t="n">
        <f aca="false">MIN(AN$112+AO$110,AO$99+AO$103+AO$107)</f>
        <v>0</v>
      </c>
      <c r="AP111" s="34" t="n">
        <f aca="false">MIN(AO$112+AP$110,AP$99+AP$103+AP$107)</f>
        <v>0</v>
      </c>
      <c r="AQ111" s="34" t="n">
        <f aca="false">MIN(AP$112+AQ$110,AQ$99+AQ$103+AQ$107)</f>
        <v>0</v>
      </c>
      <c r="AR111" s="34" t="n">
        <f aca="false">MIN(AQ$112+AR$110,AR$99+AR$103+AR$107)</f>
        <v>0</v>
      </c>
      <c r="AS111" s="34" t="n">
        <f aca="false">MIN(AR$112+AS$110,AS$99+AS$103+AS$107)</f>
        <v>0</v>
      </c>
      <c r="AT111" s="34" t="n">
        <f aca="false">MIN(AS$112+AT$110,AT$99+AT$103+AT$107)</f>
        <v>0</v>
      </c>
      <c r="AU111" s="34" t="n">
        <f aca="false">MIN(AT$112+AU$110,AU$99+AU$103+AU$107)</f>
        <v>0</v>
      </c>
      <c r="AV111" s="34" t="n">
        <f aca="false">MIN(AU$112+AV$110,AV$99+AV$103+AV$107)</f>
        <v>0</v>
      </c>
      <c r="AW111" s="34" t="n">
        <f aca="false">MIN(AV$112+AW$110,AW$99+AW$103+AW$107)</f>
        <v>0</v>
      </c>
      <c r="AX111" s="34" t="n">
        <f aca="false">MIN(AW$112+AX$110,AX$99+AX$103+AX$107)</f>
        <v>0</v>
      </c>
      <c r="AY111" s="34" t="n">
        <f aca="false">MIN(AX$112+AY$110,AY$99+AY$103+AY$107)</f>
        <v>0</v>
      </c>
      <c r="AZ111" s="34" t="n">
        <f aca="false">MIN(AY$112+AZ$110,AZ$99+AZ$103+AZ$107)</f>
        <v>0</v>
      </c>
      <c r="BA111" s="34" t="n">
        <f aca="false">MIN(AZ$112+BA$110,BA$99+BA$103+BA$107)</f>
        <v>0</v>
      </c>
      <c r="BB111" s="34" t="n">
        <f aca="false">MIN(BA$112+BB$110,BB$99+BB$103+BB$107)</f>
        <v>0</v>
      </c>
      <c r="BC111" s="34" t="n">
        <f aca="false">MIN(BB$112+BC$110,BC$99+BC$103+BC$107)</f>
        <v>0</v>
      </c>
      <c r="BD111" s="34" t="n">
        <f aca="false">MIN(BC$112+BD$110,BD$99+BD$103+BD$107)</f>
        <v>0</v>
      </c>
      <c r="BE111" s="34" t="n">
        <f aca="false">MIN(BD$112+BE$110,BE$99+BE$103+BE$107)</f>
        <v>0</v>
      </c>
      <c r="BF111" s="34" t="n">
        <f aca="false">MIN(BE$112+BF$110,BF$99+BF$103+BF$107)</f>
        <v>0</v>
      </c>
      <c r="BG111" s="34" t="n">
        <f aca="false">MIN(BF$112+BG$110,BG$99+BG$103+BG$107)</f>
        <v>0</v>
      </c>
      <c r="BH111" s="34" t="n">
        <f aca="false">MIN(BG$112+BH$110,BH$99+BH$103+BH$107)</f>
        <v>0</v>
      </c>
      <c r="BI111" s="34" t="n">
        <f aca="false">MIN(BH$112+BI$110,BI$99+BI$103+BI$107)</f>
        <v>0</v>
      </c>
      <c r="BJ111" s="34" t="n">
        <f aca="false">MIN(BI$112+BJ$110,BJ$99+BJ$103+BJ$107)</f>
        <v>0</v>
      </c>
      <c r="BK111" s="34" t="n">
        <f aca="false">MIN(BJ$112+BK$110,BK$99+BK$103+BK$107)</f>
        <v>0</v>
      </c>
      <c r="BL111" s="34" t="n">
        <f aca="false">MIN(BK$112+BL$110,BL$99+BL$103+BL$107)</f>
        <v>0</v>
      </c>
      <c r="BM111" s="34" t="n">
        <f aca="false">MIN(BL$112+BM$110,BM$99+BM$103+BM$107)</f>
        <v>0</v>
      </c>
      <c r="BN111" s="34" t="n">
        <f aca="false">MIN(BM$112+BN$110,BN$99+BN$103+BN$107)</f>
        <v>0</v>
      </c>
      <c r="BO111" s="34" t="n">
        <f aca="false">MIN(BN$112+BO$110,BO$99+BO$103+BO$107)</f>
        <v>0</v>
      </c>
      <c r="BP111" s="34" t="n">
        <f aca="false">MIN(BO$112+BP$110,BP$99+BP$103+BP$107)</f>
        <v>0</v>
      </c>
      <c r="BQ111" s="34" t="n">
        <f aca="false">MIN(BP$112+BQ$110,BQ$99+BQ$103+BQ$107)</f>
        <v>0</v>
      </c>
      <c r="BR111" s="34" t="n">
        <f aca="false">MIN(BQ$112+BR$110,BR$99+BR$103+BR$107)</f>
        <v>0</v>
      </c>
      <c r="BS111" s="34" t="n">
        <f aca="false">MIN(BR$112+BS$110,BS$99+BS$103+BS$107)</f>
        <v>0</v>
      </c>
      <c r="BT111" s="34" t="n">
        <f aca="false">MIN(BS$112+BT$110,BT$99+BT$103+BT$107)</f>
        <v>0</v>
      </c>
      <c r="BU111" s="34" t="n">
        <f aca="false">MIN(BT$112+BU$110,BU$99+BU$103+BU$107)</f>
        <v>0</v>
      </c>
      <c r="BV111" s="34" t="n">
        <f aca="false">MIN(BU$112+BV$110,BV$99+BV$103+BV$107)</f>
        <v>0</v>
      </c>
      <c r="BW111" s="34" t="n">
        <f aca="false">MIN(BV$112+BW$110,BW$99+BW$103+BW$107)</f>
        <v>0</v>
      </c>
      <c r="BX111" s="34" t="n">
        <f aca="false">MIN(BW$112+BX$110,BX$99+BX$103+BX$107)</f>
        <v>0</v>
      </c>
      <c r="BY111" s="34" t="n">
        <f aca="false">MIN(BX$112+BY$110,BY$99+BY$103+BY$107)</f>
        <v>0</v>
      </c>
      <c r="BZ111" s="34" t="n">
        <f aca="false">MIN(BY$112+BZ$110,BZ$99+BZ$103+BZ$107)</f>
        <v>0</v>
      </c>
      <c r="CA111" s="34" t="n">
        <f aca="false">MIN(BZ$112+CA$110,CA$99+CA$103+CA$107)</f>
        <v>0</v>
      </c>
      <c r="CB111" s="34" t="n">
        <f aca="false">MIN(CA$112+CB$110,CB$99+CB$103+CB$107)</f>
        <v>0</v>
      </c>
      <c r="CC111" s="34" t="n">
        <f aca="false">MIN(CB$112+CC$110,CC$99+CC$103+CC$107)</f>
        <v>0</v>
      </c>
      <c r="CD111" s="34" t="n">
        <f aca="false">MIN(CC$112+CD$110,CD$99+CD$103+CD$107)</f>
        <v>0</v>
      </c>
      <c r="CE111" s="34" t="n">
        <f aca="false">MIN(CD$112+CE$110,CE$99+CE$103+CE$107)</f>
        <v>0</v>
      </c>
      <c r="CF111" s="34" t="n">
        <f aca="false">MIN(CE$112+CF$110,CF$99+CF$103+CF$107)</f>
        <v>0</v>
      </c>
      <c r="CG111" s="34" t="n">
        <f aca="false">MIN(CF$112+CG$110,CG$99+CG$103+CG$107)</f>
        <v>0</v>
      </c>
      <c r="CH111" s="34" t="n">
        <f aca="false">MIN(CG$112+CH$110,CH$99+CH$103+CH$107)</f>
        <v>0</v>
      </c>
      <c r="CI111" s="34" t="n">
        <f aca="false">MIN(CH$112+CI$110,CI$99+CI$103+CI$107)</f>
        <v>0</v>
      </c>
      <c r="CJ111" s="34" t="n">
        <f aca="false">MIN(CI$112+CJ$110,CJ$99+CJ$103+CJ$107)</f>
        <v>0</v>
      </c>
      <c r="CK111" s="34" t="n">
        <f aca="false">MIN(CJ$112+CK$110,CK$99+CK$103+CK$107)</f>
        <v>0</v>
      </c>
      <c r="CL111" s="34" t="n">
        <f aca="false">MIN(CK$112+CL$110,CL$99+CL$103+CL$107)</f>
        <v>0</v>
      </c>
      <c r="CM111" s="34" t="n">
        <f aca="false">MIN(CL$112+CM$110,CM$99+CM$103+CM$107)</f>
        <v>0</v>
      </c>
      <c r="CN111" s="34" t="n">
        <f aca="false">MIN(CM$112+CN$110,CN$99+CN$103+CN$107)</f>
        <v>0</v>
      </c>
      <c r="CO111" s="34" t="n">
        <f aca="false">MIN(CN$112+CO$110,CO$99+CO$103+CO$107)</f>
        <v>0</v>
      </c>
      <c r="CP111" s="34" t="n">
        <f aca="false">MIN(CO$112+CP$110,CP$99+CP$103+CP$107)</f>
        <v>0</v>
      </c>
      <c r="CQ111" s="34" t="n">
        <f aca="false">MIN(CP$112+CQ$110,CQ$99+CQ$103+CQ$107)</f>
        <v>0</v>
      </c>
      <c r="CR111" s="34" t="n">
        <f aca="false">MIN(CQ$112+CR$110,CR$99+CR$103+CR$107)</f>
        <v>0</v>
      </c>
      <c r="CS111" s="34" t="n">
        <f aca="false">MIN(CR$112+CS$110,CS$99+CS$103+CS$107)</f>
        <v>0</v>
      </c>
      <c r="CT111" s="34" t="n">
        <f aca="false">MIN(CS$112+CT$110,CT$99+CT$103+CT$107)</f>
        <v>0</v>
      </c>
      <c r="CU111" s="34" t="n">
        <f aca="false">MIN(CT$112+CU$110,CU$99+CU$103+CU$107)</f>
        <v>0</v>
      </c>
      <c r="CV111" s="34" t="n">
        <f aca="false">MIN(CU$112+CV$110,CV$99+CV$103+CV$107)</f>
        <v>0</v>
      </c>
      <c r="CW111" s="34" t="n">
        <f aca="false">MIN(CV$112+CW$110,CW$99+CW$103+CW$107)</f>
        <v>0</v>
      </c>
      <c r="CX111" s="34" t="n">
        <f aca="false">MIN(CW$112+CX$110,CX$99+CX$103+CX$107)</f>
        <v>0</v>
      </c>
      <c r="CY111" s="34" t="n">
        <f aca="false">MIN(CX$112+CY$110,CY$99+CY$103+CY$107)</f>
        <v>0</v>
      </c>
      <c r="CZ111" s="34" t="n">
        <f aca="false">MIN(CY$112+CZ$110,CZ$99+CZ$103+CZ$107)</f>
        <v>0</v>
      </c>
      <c r="DA111" s="34" t="n">
        <f aca="false">MIN(CZ$112+DA$110,DA$99+DA$103+DA$107)</f>
        <v>0</v>
      </c>
      <c r="DB111" s="34" t="n">
        <f aca="false">MIN(DA$112+DB$110,DB$99+DB$103+DB$107)</f>
        <v>0</v>
      </c>
      <c r="DC111" s="34" t="n">
        <f aca="false">MIN(DB$112+DC$110,DC$99+DC$103+DC$107)</f>
        <v>0</v>
      </c>
      <c r="DD111" s="34" t="n">
        <f aca="false">MIN(DC$112+DD$110,DD$99+DD$103+DD$107)</f>
        <v>0</v>
      </c>
      <c r="DE111" s="34" t="n">
        <f aca="false">MIN(DD$112+DE$110,DE$99+DE$103+DE$107)</f>
        <v>0</v>
      </c>
      <c r="DF111" s="34" t="n">
        <f aca="false">MIN(DE$112+DF$110,DF$99+DF$103+DF$107)</f>
        <v>0</v>
      </c>
      <c r="DG111" s="34" t="n">
        <f aca="false">MIN(DF$112+DG$110,DG$99+DG$103+DG$107)</f>
        <v>0</v>
      </c>
      <c r="DH111" s="34" t="n">
        <f aca="false">MIN(DG$112+DH$110,DH$99+DH$103+DH$107)</f>
        <v>0</v>
      </c>
      <c r="DI111" s="34" t="n">
        <f aca="false">MIN(DH$112+DI$110,DI$99+DI$103+DI$107)</f>
        <v>0</v>
      </c>
      <c r="DJ111" s="34" t="n">
        <f aca="false">MIN(DI$112+DJ$110,DJ$99+DJ$103+DJ$107)</f>
        <v>0</v>
      </c>
      <c r="DK111" s="34" t="n">
        <f aca="false">MIN(DJ$112+DK$110,DK$99+DK$103+DK$107)</f>
        <v>0</v>
      </c>
      <c r="DL111" s="34" t="n">
        <f aca="false">MIN(DK$112+DL$110,DL$99+DL$103+DL$107)</f>
        <v>0</v>
      </c>
      <c r="DM111" s="34" t="n">
        <f aca="false">MIN(DL$112+DM$110,DM$99+DM$103+DM$107)</f>
        <v>0</v>
      </c>
      <c r="DN111" s="34" t="n">
        <f aca="false">MIN(DM$112+DN$110,DN$99+DN$103+DN$107)</f>
        <v>0</v>
      </c>
      <c r="DO111" s="34" t="n">
        <f aca="false">MIN(DN$112+DO$110,DO$99+DO$103+DO$107)</f>
        <v>0</v>
      </c>
      <c r="DP111" s="34" t="n">
        <f aca="false">MIN(DO$112+DP$110,DP$99+DP$103+DP$107)</f>
        <v>0</v>
      </c>
      <c r="DQ111" s="34" t="n">
        <f aca="false">MIN(DP$112+DQ$110,DQ$99+DQ$103+DQ$107)</f>
        <v>0</v>
      </c>
      <c r="DR111" s="34" t="n">
        <f aca="false">MIN(DQ$112+DR$110,DR$99+DR$103+DR$107)</f>
        <v>0</v>
      </c>
      <c r="DS111" s="34" t="n">
        <f aca="false">MIN(DR$112+DS$110,DS$99+DS$103+DS$107)</f>
        <v>0</v>
      </c>
      <c r="DT111" s="34" t="n">
        <f aca="false">MIN(DS$112+DT$110,DT$99+DT$103+DT$107)</f>
        <v>0</v>
      </c>
      <c r="DU111" s="34" t="n">
        <f aca="false">MIN(DT$112+DU$110,DU$99+DU$103+DU$107)</f>
        <v>0</v>
      </c>
      <c r="DV111" s="34" t="n">
        <f aca="false">MIN(DU$112+DV$110,DV$99+DV$103+DV$107)</f>
        <v>0</v>
      </c>
      <c r="DW111" s="34" t="n">
        <f aca="false">MIN(DV$112+DW$110,DW$99+DW$103+DW$107)</f>
        <v>0</v>
      </c>
      <c r="DX111" s="34" t="n">
        <f aca="false">MIN(DW$112+DX$110,DX$99+DX$103+DX$107)</f>
        <v>0</v>
      </c>
      <c r="DY111" s="34" t="n">
        <f aca="false">MIN(DX$112+DY$110,DY$99+DY$103+DY$107)</f>
        <v>0</v>
      </c>
      <c r="DZ111" s="34" t="n">
        <f aca="false">MIN(DY$112+DZ$110,DZ$99+DZ$103+DZ$107)</f>
        <v>0</v>
      </c>
      <c r="EA111" s="34" t="n">
        <f aca="false">MIN(DZ$112+EA$110,EA$99+EA$103+EA$107)</f>
        <v>0</v>
      </c>
      <c r="EB111" s="34" t="n">
        <f aca="false">MIN(EA$112+EB$110,EB$99+EB$103+EB$107)</f>
        <v>0</v>
      </c>
      <c r="EC111" s="34" t="n">
        <f aca="false">MIN(EB$112+EC$110,EC$99+EC$103+EC$107)</f>
        <v>0</v>
      </c>
      <c r="ED111" s="34" t="n">
        <f aca="false">MIN(EC$112+ED$110,ED$99+ED$103+ED$107)</f>
        <v>0</v>
      </c>
      <c r="EE111" s="34" t="n">
        <f aca="false">MIN(ED$112+EE$110,EE$99+EE$103+EE$107)</f>
        <v>0</v>
      </c>
      <c r="EF111" s="34" t="n">
        <f aca="false">MIN(EE$112+EF$110,EF$99+EF$103+EF$107)</f>
        <v>0</v>
      </c>
      <c r="EG111" s="34" t="n">
        <f aca="false">MIN(EF$112+EG$110,EG$99+EG$103+EG$107)</f>
        <v>0</v>
      </c>
      <c r="EH111" s="34" t="n">
        <f aca="false">MIN(EG$112+EH$110,EH$99+EH$103+EH$107)</f>
        <v>0</v>
      </c>
      <c r="EI111" s="34" t="n">
        <f aca="false">MIN(EH$112+EI$110,EI$99+EI$103+EI$107)</f>
        <v>0</v>
      </c>
      <c r="EJ111" s="34" t="n">
        <f aca="false">MIN(EI$112+EJ$110,EJ$99+EJ$103+EJ$107)</f>
        <v>0</v>
      </c>
      <c r="EK111" s="34" t="n">
        <f aca="false">MIN(EJ$112+EK$110,EK$99+EK$103+EK$107)</f>
        <v>0</v>
      </c>
      <c r="EL111" s="34" t="n">
        <f aca="false">MIN(EK$112+EL$110,EL$99+EL$103+EL$107)</f>
        <v>0</v>
      </c>
      <c r="EM111" s="34" t="n">
        <f aca="false">MIN(EL$112+EM$110,EM$99+EM$103+EM$107)</f>
        <v>0</v>
      </c>
      <c r="EN111" s="34" t="n">
        <f aca="false">MIN(EM$112+EN$110,EN$99+EN$103+EN$107)</f>
        <v>0</v>
      </c>
      <c r="EO111" s="34" t="n">
        <f aca="false">MIN(EN$112+EO$110,EO$99+EO$103+EO$107)</f>
        <v>0</v>
      </c>
      <c r="EP111" s="34" t="n">
        <f aca="false">MIN(EO$112+EP$110,EP$99+EP$103+EP$107)</f>
        <v>0</v>
      </c>
      <c r="EQ111" s="34" t="n">
        <f aca="false">MIN(EP$112+EQ$110,EQ$99+EQ$103+EQ$107)</f>
        <v>0</v>
      </c>
      <c r="ER111" s="34" t="n">
        <f aca="false">MIN(EQ$112+ER$110,ER$99+ER$103+ER$107)</f>
        <v>0</v>
      </c>
      <c r="ES111" s="34" t="n">
        <f aca="false">MIN(ER$112+ES$110,ES$99+ES$103+ES$107)</f>
        <v>0</v>
      </c>
    </row>
    <row r="112" customFormat="false" ht="15" hidden="false" customHeight="false" outlineLevel="0" collapsed="false">
      <c r="A112" s="2" t="s">
        <v>580</v>
      </c>
      <c r="B112" s="52" t="s">
        <v>581</v>
      </c>
      <c r="C112" s="6" t="s">
        <v>212</v>
      </c>
      <c r="E112" s="40" t="n">
        <f aca="false">MAX(F112:ES112)</f>
        <v>0</v>
      </c>
      <c r="F112" s="10" t="n">
        <f aca="false">0+F$110-F$111</f>
        <v>0</v>
      </c>
      <c r="G112" s="10" t="n">
        <f aca="false">F$112+G$110-G$111</f>
        <v>0</v>
      </c>
      <c r="H112" s="10" t="n">
        <f aca="false">G$112+H$110-H$111</f>
        <v>0</v>
      </c>
      <c r="I112" s="10" t="n">
        <f aca="false">H$112+I$110-I$111</f>
        <v>0</v>
      </c>
      <c r="J112" s="10" t="n">
        <f aca="false">I$112+J$110-J$111</f>
        <v>0</v>
      </c>
      <c r="K112" s="10" t="n">
        <f aca="false">J$112+K$110-K$111</f>
        <v>0</v>
      </c>
      <c r="L112" s="10" t="n">
        <f aca="false">K$112+L$110-L$111</f>
        <v>0</v>
      </c>
      <c r="M112" s="10" t="n">
        <f aca="false">L$112+M$110-M$111</f>
        <v>0</v>
      </c>
      <c r="N112" s="10" t="n">
        <f aca="false">M$112+N$110-N$111</f>
        <v>0</v>
      </c>
      <c r="O112" s="10" t="n">
        <f aca="false">N$112+O$110-O$111</f>
        <v>0</v>
      </c>
      <c r="P112" s="10" t="n">
        <f aca="false">O$112+P$110-P$111</f>
        <v>0</v>
      </c>
      <c r="Q112" s="10" t="n">
        <f aca="false">P$112+Q$110-Q$111</f>
        <v>0</v>
      </c>
      <c r="R112" s="10" t="n">
        <f aca="false">Q$112+R$110-R$111</f>
        <v>0</v>
      </c>
      <c r="S112" s="10" t="n">
        <f aca="false">R$112+S$110-S$111</f>
        <v>0</v>
      </c>
      <c r="T112" s="10" t="n">
        <f aca="false">S$112+T$110-T$111</f>
        <v>0</v>
      </c>
      <c r="U112" s="10" t="n">
        <f aca="false">T$112+U$110-U$111</f>
        <v>0</v>
      </c>
      <c r="V112" s="10" t="n">
        <f aca="false">U$112+V$110-V$111</f>
        <v>0</v>
      </c>
      <c r="W112" s="10" t="n">
        <f aca="false">V$112+W$110-W$111</f>
        <v>0</v>
      </c>
      <c r="X112" s="10" t="n">
        <f aca="false">W$112+X$110-X$111</f>
        <v>0</v>
      </c>
      <c r="Y112" s="10" t="n">
        <f aca="false">X$112+Y$110-Y$111</f>
        <v>0</v>
      </c>
      <c r="Z112" s="10" t="n">
        <f aca="false">Y$112+Z$110-Z$111</f>
        <v>0</v>
      </c>
      <c r="AA112" s="10" t="n">
        <f aca="false">Z$112+AA$110-AA$111</f>
        <v>0</v>
      </c>
      <c r="AB112" s="10" t="n">
        <f aca="false">AA$112+AB$110-AB$111</f>
        <v>0</v>
      </c>
      <c r="AC112" s="10" t="n">
        <f aca="false">AB$112+AC$110-AC$111</f>
        <v>0</v>
      </c>
      <c r="AD112" s="10" t="n">
        <f aca="false">AC$112+AD$110-AD$111</f>
        <v>0</v>
      </c>
      <c r="AE112" s="10" t="n">
        <f aca="false">AD$112+AE$110-AE$111</f>
        <v>0</v>
      </c>
      <c r="AF112" s="10" t="n">
        <f aca="false">AE$112+AF$110-AF$111</f>
        <v>0</v>
      </c>
      <c r="AG112" s="10" t="n">
        <f aca="false">AF$112+AG$110-AG$111</f>
        <v>0</v>
      </c>
      <c r="AH112" s="10" t="n">
        <f aca="false">AG$112+AH$110-AH$111</f>
        <v>0</v>
      </c>
      <c r="AI112" s="10" t="n">
        <f aca="false">AH$112+AI$110-AI$111</f>
        <v>0</v>
      </c>
      <c r="AJ112" s="10" t="n">
        <f aca="false">AI$112+AJ$110-AJ$111</f>
        <v>0</v>
      </c>
      <c r="AK112" s="10" t="n">
        <f aca="false">AJ$112+AK$110-AK$111</f>
        <v>0</v>
      </c>
      <c r="AL112" s="10" t="n">
        <f aca="false">AK$112+AL$110-AL$111</f>
        <v>0</v>
      </c>
      <c r="AM112" s="10" t="n">
        <f aca="false">AL$112+AM$110-AM$111</f>
        <v>0</v>
      </c>
      <c r="AN112" s="10" t="n">
        <f aca="false">AM$112+AN$110-AN$111</f>
        <v>0</v>
      </c>
      <c r="AO112" s="10" t="n">
        <f aca="false">AN$112+AO$110-AO$111</f>
        <v>0</v>
      </c>
      <c r="AP112" s="10" t="n">
        <f aca="false">AO$112+AP$110-AP$111</f>
        <v>0</v>
      </c>
      <c r="AQ112" s="10" t="n">
        <f aca="false">AP$112+AQ$110-AQ$111</f>
        <v>0</v>
      </c>
      <c r="AR112" s="10" t="n">
        <f aca="false">AQ$112+AR$110-AR$111</f>
        <v>0</v>
      </c>
      <c r="AS112" s="10" t="n">
        <f aca="false">AR$112+AS$110-AS$111</f>
        <v>0</v>
      </c>
      <c r="AT112" s="10" t="n">
        <f aca="false">AS$112+AT$110-AT$111</f>
        <v>0</v>
      </c>
      <c r="AU112" s="10" t="n">
        <f aca="false">AT$112+AU$110-AU$111</f>
        <v>0</v>
      </c>
      <c r="AV112" s="10" t="n">
        <f aca="false">AU$112+AV$110-AV$111</f>
        <v>0</v>
      </c>
      <c r="AW112" s="10" t="n">
        <f aca="false">AV$112+AW$110-AW$111</f>
        <v>0</v>
      </c>
      <c r="AX112" s="10" t="n">
        <f aca="false">AW$112+AX$110-AX$111</f>
        <v>0</v>
      </c>
      <c r="AY112" s="10" t="n">
        <f aca="false">AX$112+AY$110-AY$111</f>
        <v>0</v>
      </c>
      <c r="AZ112" s="10" t="n">
        <f aca="false">AY$112+AZ$110-AZ$111</f>
        <v>0</v>
      </c>
      <c r="BA112" s="10" t="n">
        <f aca="false">AZ$112+BA$110-BA$111</f>
        <v>0</v>
      </c>
      <c r="BB112" s="10" t="n">
        <f aca="false">BA$112+BB$110-BB$111</f>
        <v>0</v>
      </c>
      <c r="BC112" s="10" t="n">
        <f aca="false">BB$112+BC$110-BC$111</f>
        <v>0</v>
      </c>
      <c r="BD112" s="10" t="n">
        <f aca="false">BC$112+BD$110-BD$111</f>
        <v>0</v>
      </c>
      <c r="BE112" s="10" t="n">
        <f aca="false">BD$112+BE$110-BE$111</f>
        <v>0</v>
      </c>
      <c r="BF112" s="10" t="n">
        <f aca="false">BE$112+BF$110-BF$111</f>
        <v>0</v>
      </c>
      <c r="BG112" s="10" t="n">
        <f aca="false">BF$112+BG$110-BG$111</f>
        <v>0</v>
      </c>
      <c r="BH112" s="10" t="n">
        <f aca="false">BG$112+BH$110-BH$111</f>
        <v>0</v>
      </c>
      <c r="BI112" s="10" t="n">
        <f aca="false">BH$112+BI$110-BI$111</f>
        <v>0</v>
      </c>
      <c r="BJ112" s="10" t="n">
        <f aca="false">BI$112+BJ$110-BJ$111</f>
        <v>0</v>
      </c>
      <c r="BK112" s="10" t="n">
        <f aca="false">BJ$112+BK$110-BK$111</f>
        <v>0</v>
      </c>
      <c r="BL112" s="10" t="n">
        <f aca="false">BK$112+BL$110-BL$111</f>
        <v>0</v>
      </c>
      <c r="BM112" s="10" t="n">
        <f aca="false">BL$112+BM$110-BM$111</f>
        <v>0</v>
      </c>
      <c r="BN112" s="10" t="n">
        <f aca="false">BM$112+BN$110-BN$111</f>
        <v>0</v>
      </c>
      <c r="BO112" s="10" t="n">
        <f aca="false">BN$112+BO$110-BO$111</f>
        <v>0</v>
      </c>
      <c r="BP112" s="10" t="n">
        <f aca="false">BO$112+BP$110-BP$111</f>
        <v>0</v>
      </c>
      <c r="BQ112" s="10" t="n">
        <f aca="false">BP$112+BQ$110-BQ$111</f>
        <v>0</v>
      </c>
      <c r="BR112" s="10" t="n">
        <f aca="false">BQ$112+BR$110-BR$111</f>
        <v>0</v>
      </c>
      <c r="BS112" s="10" t="n">
        <f aca="false">BR$112+BS$110-BS$111</f>
        <v>0</v>
      </c>
      <c r="BT112" s="10" t="n">
        <f aca="false">BS$112+BT$110-BT$111</f>
        <v>0</v>
      </c>
      <c r="BU112" s="10" t="n">
        <f aca="false">BT$112+BU$110-BU$111</f>
        <v>0</v>
      </c>
      <c r="BV112" s="10" t="n">
        <f aca="false">BU$112+BV$110-BV$111</f>
        <v>0</v>
      </c>
      <c r="BW112" s="10" t="n">
        <f aca="false">BV$112+BW$110-BW$111</f>
        <v>0</v>
      </c>
      <c r="BX112" s="10" t="n">
        <f aca="false">BW$112+BX$110-BX$111</f>
        <v>0</v>
      </c>
      <c r="BY112" s="10" t="n">
        <f aca="false">BX$112+BY$110-BY$111</f>
        <v>0</v>
      </c>
      <c r="BZ112" s="10" t="n">
        <f aca="false">BY$112+BZ$110-BZ$111</f>
        <v>0</v>
      </c>
      <c r="CA112" s="10" t="n">
        <f aca="false">BZ$112+CA$110-CA$111</f>
        <v>0</v>
      </c>
      <c r="CB112" s="10" t="n">
        <f aca="false">CA$112+CB$110-CB$111</f>
        <v>0</v>
      </c>
      <c r="CC112" s="10" t="n">
        <f aca="false">CB$112+CC$110-CC$111</f>
        <v>0</v>
      </c>
      <c r="CD112" s="10" t="n">
        <f aca="false">CC$112+CD$110-CD$111</f>
        <v>0</v>
      </c>
      <c r="CE112" s="10" t="n">
        <f aca="false">CD$112+CE$110-CE$111</f>
        <v>0</v>
      </c>
      <c r="CF112" s="10" t="n">
        <f aca="false">CE$112+CF$110-CF$111</f>
        <v>0</v>
      </c>
      <c r="CG112" s="10" t="n">
        <f aca="false">CF$112+CG$110-CG$111</f>
        <v>0</v>
      </c>
      <c r="CH112" s="10" t="n">
        <f aca="false">CG$112+CH$110-CH$111</f>
        <v>0</v>
      </c>
      <c r="CI112" s="10" t="n">
        <f aca="false">CH$112+CI$110-CI$111</f>
        <v>0</v>
      </c>
      <c r="CJ112" s="10" t="n">
        <f aca="false">CI$112+CJ$110-CJ$111</f>
        <v>0</v>
      </c>
      <c r="CK112" s="10" t="n">
        <f aca="false">CJ$112+CK$110-CK$111</f>
        <v>0</v>
      </c>
      <c r="CL112" s="10" t="n">
        <f aca="false">CK$112+CL$110-CL$111</f>
        <v>0</v>
      </c>
      <c r="CM112" s="10" t="n">
        <f aca="false">CL$112+CM$110-CM$111</f>
        <v>0</v>
      </c>
      <c r="CN112" s="10" t="n">
        <f aca="false">CM$112+CN$110-CN$111</f>
        <v>0</v>
      </c>
      <c r="CO112" s="10" t="n">
        <f aca="false">CN$112+CO$110-CO$111</f>
        <v>0</v>
      </c>
      <c r="CP112" s="10" t="n">
        <f aca="false">CO$112+CP$110-CP$111</f>
        <v>0</v>
      </c>
      <c r="CQ112" s="10" t="n">
        <f aca="false">CP$112+CQ$110-CQ$111</f>
        <v>0</v>
      </c>
      <c r="CR112" s="10" t="n">
        <f aca="false">CQ$112+CR$110-CR$111</f>
        <v>0</v>
      </c>
      <c r="CS112" s="10" t="n">
        <f aca="false">CR$112+CS$110-CS$111</f>
        <v>0</v>
      </c>
      <c r="CT112" s="10" t="n">
        <f aca="false">CS$112+CT$110-CT$111</f>
        <v>0</v>
      </c>
      <c r="CU112" s="10" t="n">
        <f aca="false">CT$112+CU$110-CU$111</f>
        <v>0</v>
      </c>
      <c r="CV112" s="10" t="n">
        <f aca="false">CU$112+CV$110-CV$111</f>
        <v>0</v>
      </c>
      <c r="CW112" s="10" t="n">
        <f aca="false">CV$112+CW$110-CW$111</f>
        <v>0</v>
      </c>
      <c r="CX112" s="10" t="n">
        <f aca="false">CW$112+CX$110-CX$111</f>
        <v>0</v>
      </c>
      <c r="CY112" s="10" t="n">
        <f aca="false">CX$112+CY$110-CY$111</f>
        <v>0</v>
      </c>
      <c r="CZ112" s="10" t="n">
        <f aca="false">CY$112+CZ$110-CZ$111</f>
        <v>0</v>
      </c>
      <c r="DA112" s="10" t="n">
        <f aca="false">CZ$112+DA$110-DA$111</f>
        <v>0</v>
      </c>
      <c r="DB112" s="10" t="n">
        <f aca="false">DA$112+DB$110-DB$111</f>
        <v>0</v>
      </c>
      <c r="DC112" s="10" t="n">
        <f aca="false">DB$112+DC$110-DC$111</f>
        <v>0</v>
      </c>
      <c r="DD112" s="10" t="n">
        <f aca="false">DC$112+DD$110-DD$111</f>
        <v>0</v>
      </c>
      <c r="DE112" s="10" t="n">
        <f aca="false">DD$112+DE$110-DE$111</f>
        <v>0</v>
      </c>
      <c r="DF112" s="10" t="n">
        <f aca="false">DE$112+DF$110-DF$111</f>
        <v>0</v>
      </c>
      <c r="DG112" s="10" t="n">
        <f aca="false">DF$112+DG$110-DG$111</f>
        <v>0</v>
      </c>
      <c r="DH112" s="10" t="n">
        <f aca="false">DG$112+DH$110-DH$111</f>
        <v>0</v>
      </c>
      <c r="DI112" s="10" t="n">
        <f aca="false">DH$112+DI$110-DI$111</f>
        <v>0</v>
      </c>
      <c r="DJ112" s="10" t="n">
        <f aca="false">DI$112+DJ$110-DJ$111</f>
        <v>0</v>
      </c>
      <c r="DK112" s="10" t="n">
        <f aca="false">DJ$112+DK$110-DK$111</f>
        <v>0</v>
      </c>
      <c r="DL112" s="10" t="n">
        <f aca="false">DK$112+DL$110-DL$111</f>
        <v>0</v>
      </c>
      <c r="DM112" s="10" t="n">
        <f aca="false">DL$112+DM$110-DM$111</f>
        <v>0</v>
      </c>
      <c r="DN112" s="10" t="n">
        <f aca="false">DM$112+DN$110-DN$111</f>
        <v>0</v>
      </c>
      <c r="DO112" s="10" t="n">
        <f aca="false">DN$112+DO$110-DO$111</f>
        <v>0</v>
      </c>
      <c r="DP112" s="10" t="n">
        <f aca="false">DO$112+DP$110-DP$111</f>
        <v>0</v>
      </c>
      <c r="DQ112" s="10" t="n">
        <f aca="false">DP$112+DQ$110-DQ$111</f>
        <v>0</v>
      </c>
      <c r="DR112" s="10" t="n">
        <f aca="false">DQ$112+DR$110-DR$111</f>
        <v>0</v>
      </c>
      <c r="DS112" s="10" t="n">
        <f aca="false">DR$112+DS$110-DS$111</f>
        <v>0</v>
      </c>
      <c r="DT112" s="10" t="n">
        <f aca="false">DS$112+DT$110-DT$111</f>
        <v>0</v>
      </c>
      <c r="DU112" s="10" t="n">
        <f aca="false">DT$112+DU$110-DU$111</f>
        <v>0</v>
      </c>
      <c r="DV112" s="10" t="n">
        <f aca="false">DU$112+DV$110-DV$111</f>
        <v>0</v>
      </c>
      <c r="DW112" s="10" t="n">
        <f aca="false">DV$112+DW$110-DW$111</f>
        <v>0</v>
      </c>
      <c r="DX112" s="10" t="n">
        <f aca="false">DW$112+DX$110-DX$111</f>
        <v>0</v>
      </c>
      <c r="DY112" s="10" t="n">
        <f aca="false">DX$112+DY$110-DY$111</f>
        <v>0</v>
      </c>
      <c r="DZ112" s="10" t="n">
        <f aca="false">DY$112+DZ$110-DZ$111</f>
        <v>0</v>
      </c>
      <c r="EA112" s="10" t="n">
        <f aca="false">DZ$112+EA$110-EA$111</f>
        <v>0</v>
      </c>
      <c r="EB112" s="10" t="n">
        <f aca="false">EA$112+EB$110-EB$111</f>
        <v>0</v>
      </c>
      <c r="EC112" s="10" t="n">
        <f aca="false">EB$112+EC$110-EC$111</f>
        <v>0</v>
      </c>
      <c r="ED112" s="10" t="n">
        <f aca="false">EC$112+ED$110-ED$111</f>
        <v>0</v>
      </c>
      <c r="EE112" s="10" t="n">
        <f aca="false">ED$112+EE$110-EE$111</f>
        <v>0</v>
      </c>
      <c r="EF112" s="10" t="n">
        <f aca="false">EE$112+EF$110-EF$111</f>
        <v>0</v>
      </c>
      <c r="EG112" s="10" t="n">
        <f aca="false">EF$112+EG$110-EG$111</f>
        <v>0</v>
      </c>
      <c r="EH112" s="10" t="n">
        <f aca="false">EG$112+EH$110-EH$111</f>
        <v>0</v>
      </c>
      <c r="EI112" s="10" t="n">
        <f aca="false">EH$112+EI$110-EI$111</f>
        <v>0</v>
      </c>
      <c r="EJ112" s="10" t="n">
        <f aca="false">EI$112+EJ$110-EJ$111</f>
        <v>0</v>
      </c>
      <c r="EK112" s="10" t="n">
        <f aca="false">EJ$112+EK$110-EK$111</f>
        <v>0</v>
      </c>
      <c r="EL112" s="10" t="n">
        <f aca="false">EK$112+EL$110-EL$111</f>
        <v>0</v>
      </c>
      <c r="EM112" s="10" t="n">
        <f aca="false">EL$112+EM$110-EM$111</f>
        <v>0</v>
      </c>
      <c r="EN112" s="10" t="n">
        <f aca="false">EM$112+EN$110-EN$111</f>
        <v>0</v>
      </c>
      <c r="EO112" s="10" t="n">
        <f aca="false">EN$112+EO$110-EO$111</f>
        <v>0</v>
      </c>
      <c r="EP112" s="10" t="n">
        <f aca="false">EO$112+EP$110-EP$111</f>
        <v>0</v>
      </c>
      <c r="EQ112" s="10" t="n">
        <f aca="false">EP$112+EQ$110-EQ$111</f>
        <v>0</v>
      </c>
      <c r="ER112" s="10" t="n">
        <f aca="false">EQ$112+ER$110-ER$111</f>
        <v>0</v>
      </c>
      <c r="ES112" s="10" t="n">
        <f aca="false">ER$112+ES$110-ES$111</f>
        <v>0</v>
      </c>
    </row>
    <row r="113" customFormat="false" ht="15" hidden="false" customHeight="false" outlineLevel="0" collapsed="false">
      <c r="A113" s="2" t="s">
        <v>582</v>
      </c>
      <c r="B113" s="6" t="s">
        <v>583</v>
      </c>
      <c r="C113" s="6" t="s">
        <v>212</v>
      </c>
      <c r="E113" s="40" t="n">
        <f aca="false">SUM(F113:ES113)</f>
        <v>0</v>
      </c>
      <c r="F113" s="34" t="n">
        <f aca="false">SUMIF(Ap_MesO,1,Ap_MontoO)*F$9</f>
        <v>0</v>
      </c>
      <c r="G113" s="34" t="n">
        <f aca="false">SUMIF(Ap_MesO,2,Ap_MontoO)*G$9</f>
        <v>0</v>
      </c>
      <c r="H113" s="34" t="n">
        <f aca="false">SUMIF(Ap_MesO,3,Ap_MontoO)*H$9</f>
        <v>0</v>
      </c>
      <c r="I113" s="34" t="n">
        <f aca="false">SUMIF(Ap_MesO,4,Ap_MontoO)*I$9</f>
        <v>0</v>
      </c>
      <c r="J113" s="34" t="n">
        <f aca="false">SUMIF(Ap_MesO,5,Ap_MontoO)*J$9</f>
        <v>0</v>
      </c>
      <c r="K113" s="34" t="n">
        <f aca="false">SUMIF(Ap_MesO,6,Ap_MontoO)*K$9</f>
        <v>0</v>
      </c>
      <c r="L113" s="34" t="n">
        <f aca="false">SUMIF(Ap_MesO,7,Ap_MontoO)*L$9</f>
        <v>0</v>
      </c>
      <c r="M113" s="34" t="n">
        <f aca="false">SUMIF(Ap_MesO,8,Ap_MontoO)*M$9</f>
        <v>0</v>
      </c>
      <c r="N113" s="34" t="n">
        <f aca="false">SUMIF(Ap_MesO,9,Ap_MontoO)*N$9</f>
        <v>0</v>
      </c>
      <c r="O113" s="34" t="n">
        <f aca="false">SUMIF(Ap_MesO,10,Ap_MontoO)*O$9</f>
        <v>0</v>
      </c>
      <c r="P113" s="34" t="n">
        <f aca="false">SUMIF(Ap_MesO,11,Ap_MontoO)*P$9</f>
        <v>0</v>
      </c>
      <c r="Q113" s="34" t="n">
        <f aca="false">SUMIF(Ap_MesO,12,Ap_MontoO)*Q$9</f>
        <v>0</v>
      </c>
      <c r="R113" s="34" t="n">
        <f aca="false">SUMIF(Ap_MesO,13,Ap_MontoO)*R$9</f>
        <v>0</v>
      </c>
      <c r="S113" s="34" t="n">
        <f aca="false">SUMIF(Ap_MesO,14,Ap_MontoO)*S$9</f>
        <v>0</v>
      </c>
      <c r="T113" s="34" t="n">
        <f aca="false">SUMIF(Ap_MesO,15,Ap_MontoO)*T$9</f>
        <v>0</v>
      </c>
      <c r="U113" s="34" t="n">
        <f aca="false">SUMIF(Ap_MesO,16,Ap_MontoO)*U$9</f>
        <v>0</v>
      </c>
      <c r="V113" s="34" t="n">
        <f aca="false">SUMIF(Ap_MesO,17,Ap_MontoO)*V$9</f>
        <v>0</v>
      </c>
      <c r="W113" s="34" t="n">
        <f aca="false">SUMIF(Ap_MesO,18,Ap_MontoO)*W$9</f>
        <v>0</v>
      </c>
      <c r="X113" s="34" t="n">
        <f aca="false">SUMIF(Ap_MesO,19,Ap_MontoO)*X$9</f>
        <v>0</v>
      </c>
      <c r="Y113" s="34" t="n">
        <f aca="false">SUMIF(Ap_MesO,20,Ap_MontoO)*Y$9</f>
        <v>0</v>
      </c>
      <c r="Z113" s="34" t="n">
        <f aca="false">SUMIF(Ap_MesO,21,Ap_MontoO)*Z$9</f>
        <v>0</v>
      </c>
      <c r="AA113" s="34" t="n">
        <f aca="false">SUMIF(Ap_MesO,22,Ap_MontoO)*AA$9</f>
        <v>0</v>
      </c>
      <c r="AB113" s="34" t="n">
        <f aca="false">SUMIF(Ap_MesO,23,Ap_MontoO)*AB$9</f>
        <v>0</v>
      </c>
      <c r="AC113" s="34" t="n">
        <f aca="false">SUMIF(Ap_MesO,24,Ap_MontoO)*AC$9</f>
        <v>0</v>
      </c>
      <c r="AD113" s="34" t="n">
        <f aca="false">SUMIF(Ap_MesO,25,Ap_MontoO)*AD$9</f>
        <v>0</v>
      </c>
      <c r="AE113" s="34" t="n">
        <f aca="false">SUMIF(Ap_MesO,26,Ap_MontoO)*AE$9</f>
        <v>0</v>
      </c>
      <c r="AF113" s="34" t="n">
        <f aca="false">SUMIF(Ap_MesO,27,Ap_MontoO)*AF$9</f>
        <v>0</v>
      </c>
      <c r="AG113" s="34" t="n">
        <f aca="false">SUMIF(Ap_MesO,28,Ap_MontoO)*AG$9</f>
        <v>0</v>
      </c>
      <c r="AH113" s="34" t="n">
        <f aca="false">SUMIF(Ap_MesO,29,Ap_MontoO)*AH$9</f>
        <v>0</v>
      </c>
      <c r="AI113" s="34" t="n">
        <f aca="false">SUMIF(Ap_MesO,30,Ap_MontoO)*AI$9</f>
        <v>0</v>
      </c>
      <c r="AJ113" s="34" t="n">
        <f aca="false">SUMIF(Ap_MesO,31,Ap_MontoO)*AJ$9</f>
        <v>0</v>
      </c>
      <c r="AK113" s="34" t="n">
        <f aca="false">SUMIF(Ap_MesO,32,Ap_MontoO)*AK$9</f>
        <v>0</v>
      </c>
      <c r="AL113" s="34" t="n">
        <f aca="false">SUMIF(Ap_MesO,33,Ap_MontoO)*AL$9</f>
        <v>0</v>
      </c>
      <c r="AM113" s="34" t="n">
        <f aca="false">SUMIF(Ap_MesO,34,Ap_MontoO)*AM$9</f>
        <v>0</v>
      </c>
      <c r="AN113" s="34" t="n">
        <f aca="false">SUMIF(Ap_MesO,35,Ap_MontoO)*AN$9</f>
        <v>0</v>
      </c>
      <c r="AO113" s="34" t="n">
        <f aca="false">SUMIF(Ap_MesO,36,Ap_MontoO)*AO$9</f>
        <v>0</v>
      </c>
      <c r="AP113" s="34" t="n">
        <f aca="false">SUMIF(Ap_MesO,37,Ap_MontoO)*AP$9</f>
        <v>0</v>
      </c>
      <c r="AQ113" s="34" t="n">
        <f aca="false">SUMIF(Ap_MesO,38,Ap_MontoO)*AQ$9</f>
        <v>0</v>
      </c>
      <c r="AR113" s="34" t="n">
        <f aca="false">SUMIF(Ap_MesO,39,Ap_MontoO)*AR$9</f>
        <v>0</v>
      </c>
      <c r="AS113" s="34" t="n">
        <f aca="false">SUMIF(Ap_MesO,40,Ap_MontoO)*AS$9</f>
        <v>0</v>
      </c>
      <c r="AT113" s="34" t="n">
        <f aca="false">SUMIF(Ap_MesO,41,Ap_MontoO)*AT$9</f>
        <v>0</v>
      </c>
      <c r="AU113" s="34" t="n">
        <f aca="false">SUMIF(Ap_MesO,42,Ap_MontoO)*AU$9</f>
        <v>0</v>
      </c>
      <c r="AV113" s="34" t="n">
        <f aca="false">SUMIF(Ap_MesO,43,Ap_MontoO)*AV$9</f>
        <v>0</v>
      </c>
      <c r="AW113" s="34" t="n">
        <f aca="false">SUMIF(Ap_MesO,44,Ap_MontoO)*AW$9</f>
        <v>0</v>
      </c>
      <c r="AX113" s="34" t="n">
        <f aca="false">SUMIF(Ap_MesO,45,Ap_MontoO)*AX$9</f>
        <v>0</v>
      </c>
      <c r="AY113" s="34" t="n">
        <f aca="false">SUMIF(Ap_MesO,46,Ap_MontoO)*AY$9</f>
        <v>0</v>
      </c>
      <c r="AZ113" s="34" t="n">
        <f aca="false">SUMIF(Ap_MesO,47,Ap_MontoO)*AZ$9</f>
        <v>0</v>
      </c>
      <c r="BA113" s="34" t="n">
        <f aca="false">SUMIF(Ap_MesO,48,Ap_MontoO)*BA$9</f>
        <v>0</v>
      </c>
      <c r="BB113" s="34" t="n">
        <f aca="false">SUMIF(Ap_MesO,49,Ap_MontoO)*BB$9</f>
        <v>0</v>
      </c>
      <c r="BC113" s="34" t="n">
        <f aca="false">SUMIF(Ap_MesO,50,Ap_MontoO)*BC$9</f>
        <v>0</v>
      </c>
      <c r="BD113" s="34" t="n">
        <f aca="false">SUMIF(Ap_MesO,51,Ap_MontoO)*BD$9</f>
        <v>0</v>
      </c>
      <c r="BE113" s="34" t="n">
        <f aca="false">SUMIF(Ap_MesO,52,Ap_MontoO)*BE$9</f>
        <v>0</v>
      </c>
      <c r="BF113" s="34" t="n">
        <f aca="false">SUMIF(Ap_MesO,53,Ap_MontoO)*BF$9</f>
        <v>0</v>
      </c>
      <c r="BG113" s="34" t="n">
        <f aca="false">SUMIF(Ap_MesO,54,Ap_MontoO)*BG$9</f>
        <v>0</v>
      </c>
      <c r="BH113" s="34" t="n">
        <f aca="false">SUMIF(Ap_MesO,55,Ap_MontoO)*BH$9</f>
        <v>0</v>
      </c>
      <c r="BI113" s="34" t="n">
        <f aca="false">SUMIF(Ap_MesO,56,Ap_MontoO)*BI$9</f>
        <v>0</v>
      </c>
      <c r="BJ113" s="34" t="n">
        <f aca="false">SUMIF(Ap_MesO,57,Ap_MontoO)*BJ$9</f>
        <v>0</v>
      </c>
      <c r="BK113" s="34" t="n">
        <f aca="false">SUMIF(Ap_MesO,58,Ap_MontoO)*BK$9</f>
        <v>0</v>
      </c>
      <c r="BL113" s="34" t="n">
        <f aca="false">SUMIF(Ap_MesO,59,Ap_MontoO)*BL$9</f>
        <v>0</v>
      </c>
      <c r="BM113" s="34" t="n">
        <f aca="false">SUMIF(Ap_MesO,60,Ap_MontoO)*BM$9</f>
        <v>0</v>
      </c>
      <c r="BN113" s="34" t="n">
        <f aca="false">SUMIF(Ap_MesO,61,Ap_MontoO)*BN$9</f>
        <v>0</v>
      </c>
      <c r="BO113" s="34" t="n">
        <f aca="false">SUMIF(Ap_MesO,62,Ap_MontoO)*BO$9</f>
        <v>0</v>
      </c>
      <c r="BP113" s="34" t="n">
        <f aca="false">SUMIF(Ap_MesO,63,Ap_MontoO)*BP$9</f>
        <v>0</v>
      </c>
      <c r="BQ113" s="34" t="n">
        <f aca="false">SUMIF(Ap_MesO,64,Ap_MontoO)*BQ$9</f>
        <v>0</v>
      </c>
      <c r="BR113" s="34" t="n">
        <f aca="false">SUMIF(Ap_MesO,65,Ap_MontoO)*BR$9</f>
        <v>0</v>
      </c>
      <c r="BS113" s="34" t="n">
        <f aca="false">SUMIF(Ap_MesO,66,Ap_MontoO)*BS$9</f>
        <v>0</v>
      </c>
      <c r="BT113" s="34" t="n">
        <f aca="false">SUMIF(Ap_MesO,67,Ap_MontoO)*BT$9</f>
        <v>0</v>
      </c>
      <c r="BU113" s="34" t="n">
        <f aca="false">SUMIF(Ap_MesO,68,Ap_MontoO)*BU$9</f>
        <v>0</v>
      </c>
      <c r="BV113" s="34" t="n">
        <f aca="false">SUMIF(Ap_MesO,69,Ap_MontoO)*BV$9</f>
        <v>0</v>
      </c>
      <c r="BW113" s="34" t="n">
        <f aca="false">SUMIF(Ap_MesO,70,Ap_MontoO)*BW$9</f>
        <v>0</v>
      </c>
      <c r="BX113" s="34" t="n">
        <f aca="false">SUMIF(Ap_MesO,71,Ap_MontoO)*BX$9</f>
        <v>0</v>
      </c>
      <c r="BY113" s="34" t="n">
        <f aca="false">SUMIF(Ap_MesO,72,Ap_MontoO)*BY$9</f>
        <v>0</v>
      </c>
      <c r="BZ113" s="34" t="n">
        <f aca="false">SUMIF(Ap_MesO,73,Ap_MontoO)*BZ$9</f>
        <v>0</v>
      </c>
      <c r="CA113" s="34" t="n">
        <f aca="false">SUMIF(Ap_MesO,74,Ap_MontoO)*CA$9</f>
        <v>0</v>
      </c>
      <c r="CB113" s="34" t="n">
        <f aca="false">SUMIF(Ap_MesO,75,Ap_MontoO)*CB$9</f>
        <v>0</v>
      </c>
      <c r="CC113" s="34" t="n">
        <f aca="false">SUMIF(Ap_MesO,76,Ap_MontoO)*CC$9</f>
        <v>0</v>
      </c>
      <c r="CD113" s="34" t="n">
        <f aca="false">SUMIF(Ap_MesO,77,Ap_MontoO)*CD$9</f>
        <v>0</v>
      </c>
      <c r="CE113" s="34" t="n">
        <f aca="false">SUMIF(Ap_MesO,78,Ap_MontoO)*CE$9</f>
        <v>0</v>
      </c>
      <c r="CF113" s="34" t="n">
        <f aca="false">SUMIF(Ap_MesO,79,Ap_MontoO)*CF$9</f>
        <v>0</v>
      </c>
      <c r="CG113" s="34" t="n">
        <f aca="false">SUMIF(Ap_MesO,80,Ap_MontoO)*CG$9</f>
        <v>0</v>
      </c>
      <c r="CH113" s="34" t="n">
        <f aca="false">SUMIF(Ap_MesO,81,Ap_MontoO)*CH$9</f>
        <v>0</v>
      </c>
      <c r="CI113" s="34" t="n">
        <f aca="false">SUMIF(Ap_MesO,82,Ap_MontoO)*CI$9</f>
        <v>0</v>
      </c>
      <c r="CJ113" s="34" t="n">
        <f aca="false">SUMIF(Ap_MesO,83,Ap_MontoO)*CJ$9</f>
        <v>0</v>
      </c>
      <c r="CK113" s="34" t="n">
        <f aca="false">SUMIF(Ap_MesO,84,Ap_MontoO)*CK$9</f>
        <v>0</v>
      </c>
      <c r="CL113" s="34" t="n">
        <f aca="false">SUMIF(Ap_MesO,85,Ap_MontoO)*CL$9</f>
        <v>0</v>
      </c>
      <c r="CM113" s="34" t="n">
        <f aca="false">SUMIF(Ap_MesO,86,Ap_MontoO)*CM$9</f>
        <v>0</v>
      </c>
      <c r="CN113" s="34" t="n">
        <f aca="false">SUMIF(Ap_MesO,87,Ap_MontoO)*CN$9</f>
        <v>0</v>
      </c>
      <c r="CO113" s="34" t="n">
        <f aca="false">SUMIF(Ap_MesO,88,Ap_MontoO)*CO$9</f>
        <v>0</v>
      </c>
      <c r="CP113" s="34" t="n">
        <f aca="false">SUMIF(Ap_MesO,89,Ap_MontoO)*CP$9</f>
        <v>0</v>
      </c>
      <c r="CQ113" s="34" t="n">
        <f aca="false">SUMIF(Ap_MesO,90,Ap_MontoO)*CQ$9</f>
        <v>0</v>
      </c>
      <c r="CR113" s="34" t="n">
        <f aca="false">SUMIF(Ap_MesO,91,Ap_MontoO)*CR$9</f>
        <v>0</v>
      </c>
      <c r="CS113" s="34" t="n">
        <f aca="false">SUMIF(Ap_MesO,92,Ap_MontoO)*CS$9</f>
        <v>0</v>
      </c>
      <c r="CT113" s="34" t="n">
        <f aca="false">SUMIF(Ap_MesO,93,Ap_MontoO)*CT$9</f>
        <v>0</v>
      </c>
      <c r="CU113" s="34" t="n">
        <f aca="false">SUMIF(Ap_MesO,94,Ap_MontoO)*CU$9</f>
        <v>0</v>
      </c>
      <c r="CV113" s="34" t="n">
        <f aca="false">SUMIF(Ap_MesO,95,Ap_MontoO)*CV$9</f>
        <v>0</v>
      </c>
      <c r="CW113" s="34" t="n">
        <f aca="false">SUMIF(Ap_MesO,96,Ap_MontoO)*CW$9</f>
        <v>0</v>
      </c>
      <c r="CX113" s="34" t="n">
        <f aca="false">SUMIF(Ap_MesO,97,Ap_MontoO)*CX$9</f>
        <v>0</v>
      </c>
      <c r="CY113" s="34" t="n">
        <f aca="false">SUMIF(Ap_MesO,98,Ap_MontoO)*CY$9</f>
        <v>0</v>
      </c>
      <c r="CZ113" s="34" t="n">
        <f aca="false">SUMIF(Ap_MesO,99,Ap_MontoO)*CZ$9</f>
        <v>0</v>
      </c>
      <c r="DA113" s="34" t="n">
        <f aca="false">SUMIF(Ap_MesO,100,Ap_MontoO)*DA$9</f>
        <v>0</v>
      </c>
      <c r="DB113" s="34" t="n">
        <f aca="false">SUMIF(Ap_MesO,101,Ap_MontoO)*DB$9</f>
        <v>0</v>
      </c>
      <c r="DC113" s="34" t="n">
        <f aca="false">SUMIF(Ap_MesO,102,Ap_MontoO)*DC$9</f>
        <v>0</v>
      </c>
      <c r="DD113" s="34" t="n">
        <f aca="false">SUMIF(Ap_MesO,103,Ap_MontoO)*DD$9</f>
        <v>0</v>
      </c>
      <c r="DE113" s="34" t="n">
        <f aca="false">SUMIF(Ap_MesO,104,Ap_MontoO)*DE$9</f>
        <v>0</v>
      </c>
      <c r="DF113" s="34" t="n">
        <f aca="false">SUMIF(Ap_MesO,105,Ap_MontoO)*DF$9</f>
        <v>0</v>
      </c>
      <c r="DG113" s="34" t="n">
        <f aca="false">SUMIF(Ap_MesO,106,Ap_MontoO)*DG$9</f>
        <v>0</v>
      </c>
      <c r="DH113" s="34" t="n">
        <f aca="false">SUMIF(Ap_MesO,107,Ap_MontoO)*DH$9</f>
        <v>0</v>
      </c>
      <c r="DI113" s="34" t="n">
        <f aca="false">SUMIF(Ap_MesO,108,Ap_MontoO)*DI$9</f>
        <v>0</v>
      </c>
      <c r="DJ113" s="34" t="n">
        <f aca="false">SUMIF(Ap_MesO,109,Ap_MontoO)*DJ$9</f>
        <v>0</v>
      </c>
      <c r="DK113" s="34" t="n">
        <f aca="false">SUMIF(Ap_MesO,110,Ap_MontoO)*DK$9</f>
        <v>0</v>
      </c>
      <c r="DL113" s="34" t="n">
        <f aca="false">SUMIF(Ap_MesO,111,Ap_MontoO)*DL$9</f>
        <v>0</v>
      </c>
      <c r="DM113" s="34" t="n">
        <f aca="false">SUMIF(Ap_MesO,112,Ap_MontoO)*DM$9</f>
        <v>0</v>
      </c>
      <c r="DN113" s="34" t="n">
        <f aca="false">SUMIF(Ap_MesO,113,Ap_MontoO)*DN$9</f>
        <v>0</v>
      </c>
      <c r="DO113" s="34" t="n">
        <f aca="false">SUMIF(Ap_MesO,114,Ap_MontoO)*DO$9</f>
        <v>0</v>
      </c>
      <c r="DP113" s="34" t="n">
        <f aca="false">SUMIF(Ap_MesO,115,Ap_MontoO)*DP$9</f>
        <v>0</v>
      </c>
      <c r="DQ113" s="34" t="n">
        <f aca="false">SUMIF(Ap_MesO,116,Ap_MontoO)*DQ$9</f>
        <v>0</v>
      </c>
      <c r="DR113" s="34" t="n">
        <f aca="false">SUMIF(Ap_MesO,117,Ap_MontoO)*DR$9</f>
        <v>0</v>
      </c>
      <c r="DS113" s="34" t="n">
        <f aca="false">SUMIF(Ap_MesO,118,Ap_MontoO)*DS$9</f>
        <v>0</v>
      </c>
      <c r="DT113" s="34" t="n">
        <f aca="false">SUMIF(Ap_MesO,119,Ap_MontoO)*DT$9</f>
        <v>0</v>
      </c>
      <c r="DU113" s="34" t="n">
        <f aca="false">SUMIF(Ap_MesO,120,Ap_MontoO)*DU$9</f>
        <v>0</v>
      </c>
      <c r="DV113" s="34" t="n">
        <f aca="false">SUMIF(Ap_MesO,121,Ap_MontoO)*DV$9</f>
        <v>0</v>
      </c>
      <c r="DW113" s="34" t="n">
        <f aca="false">SUMIF(Ap_MesO,122,Ap_MontoO)*DW$9</f>
        <v>0</v>
      </c>
      <c r="DX113" s="34" t="n">
        <f aca="false">SUMIF(Ap_MesO,123,Ap_MontoO)*DX$9</f>
        <v>0</v>
      </c>
      <c r="DY113" s="34" t="n">
        <f aca="false">SUMIF(Ap_MesO,124,Ap_MontoO)*DY$9</f>
        <v>0</v>
      </c>
      <c r="DZ113" s="34" t="n">
        <f aca="false">SUMIF(Ap_MesO,125,Ap_MontoO)*DZ$9</f>
        <v>0</v>
      </c>
      <c r="EA113" s="34" t="n">
        <f aca="false">SUMIF(Ap_MesO,126,Ap_MontoO)*EA$9</f>
        <v>0</v>
      </c>
      <c r="EB113" s="34" t="n">
        <f aca="false">SUMIF(Ap_MesO,127,Ap_MontoO)*EB$9</f>
        <v>0</v>
      </c>
      <c r="EC113" s="34" t="n">
        <f aca="false">SUMIF(Ap_MesO,128,Ap_MontoO)*EC$9</f>
        <v>0</v>
      </c>
      <c r="ED113" s="34" t="n">
        <f aca="false">SUMIF(Ap_MesO,129,Ap_MontoO)*ED$9</f>
        <v>0</v>
      </c>
      <c r="EE113" s="34" t="n">
        <f aca="false">SUMIF(Ap_MesO,130,Ap_MontoO)*EE$9</f>
        <v>0</v>
      </c>
      <c r="EF113" s="34" t="n">
        <f aca="false">SUMIF(Ap_MesO,131,Ap_MontoO)*EF$9</f>
        <v>0</v>
      </c>
      <c r="EG113" s="34" t="n">
        <f aca="false">SUMIF(Ap_MesO,132,Ap_MontoO)*EG$9</f>
        <v>0</v>
      </c>
      <c r="EH113" s="34" t="n">
        <f aca="false">SUMIF(Ap_MesO,133,Ap_MontoO)*EH$9</f>
        <v>0</v>
      </c>
      <c r="EI113" s="34" t="n">
        <f aca="false">SUMIF(Ap_MesO,134,Ap_MontoO)*EI$9</f>
        <v>0</v>
      </c>
      <c r="EJ113" s="34" t="n">
        <f aca="false">SUMIF(Ap_MesO,135,Ap_MontoO)*EJ$9</f>
        <v>0</v>
      </c>
      <c r="EK113" s="34" t="n">
        <f aca="false">SUMIF(Ap_MesO,136,Ap_MontoO)*EK$9</f>
        <v>0</v>
      </c>
      <c r="EL113" s="34" t="n">
        <f aca="false">SUMIF(Ap_MesO,137,Ap_MontoO)*EL$9</f>
        <v>0</v>
      </c>
      <c r="EM113" s="34" t="n">
        <f aca="false">SUMIF(Ap_MesO,138,Ap_MontoO)*EM$9</f>
        <v>0</v>
      </c>
      <c r="EN113" s="34" t="n">
        <f aca="false">SUMIF(Ap_MesO,139,Ap_MontoO)*EN$9</f>
        <v>0</v>
      </c>
      <c r="EO113" s="34" t="n">
        <f aca="false">SUMIF(Ap_MesO,140,Ap_MontoO)*EO$9</f>
        <v>0</v>
      </c>
      <c r="EP113" s="34" t="n">
        <f aca="false">SUMIF(Ap_MesO,141,Ap_MontoO)*EP$9</f>
        <v>0</v>
      </c>
      <c r="EQ113" s="34" t="n">
        <f aca="false">SUMIF(Ap_MesO,142,Ap_MontoO)*EQ$9</f>
        <v>0</v>
      </c>
      <c r="ER113" s="34" t="n">
        <f aca="false">SUMIF(Ap_MesO,143,Ap_MontoO)*ER$9</f>
        <v>0</v>
      </c>
      <c r="ES113" s="34" t="n">
        <f aca="false">SUMIF(Ap_MesO,144,Ap_MontoO)*ES$9</f>
        <v>0</v>
      </c>
    </row>
    <row r="114" customFormat="false" ht="15" hidden="false" customHeight="false" outlineLevel="0" collapsed="false">
      <c r="A114" s="2" t="s">
        <v>584</v>
      </c>
      <c r="B114" s="6" t="s">
        <v>585</v>
      </c>
      <c r="C114" s="6" t="s">
        <v>212</v>
      </c>
      <c r="E114" s="40" t="n">
        <f aca="false">MIN(F114:ES114)</f>
        <v>0</v>
      </c>
      <c r="F114" s="34" t="n">
        <f aca="false">0+F$90-F$91+F$110-F$111-F$79*F$9+F$113</f>
        <v>0</v>
      </c>
      <c r="G114" s="34" t="n">
        <f aca="false">F$118+G$90-G$91+G$110-G$111-G$79*G$9+G$113</f>
        <v>0</v>
      </c>
      <c r="H114" s="34" t="n">
        <f aca="false">G$118+H$90-H$91+H$110-H$111-H$79*H$9+H$113</f>
        <v>0</v>
      </c>
      <c r="I114" s="34" t="n">
        <f aca="false">H$118+I$90-I$91+I$110-I$111-I$79*I$9+I$113</f>
        <v>0</v>
      </c>
      <c r="J114" s="34" t="n">
        <f aca="false">I$118+J$90-J$91+J$110-J$111-J$79*J$9+J$113</f>
        <v>0</v>
      </c>
      <c r="K114" s="34" t="n">
        <f aca="false">J$118+K$90-K$91+K$110-K$111-K$79*K$9+K$113</f>
        <v>0</v>
      </c>
      <c r="L114" s="34" t="n">
        <f aca="false">K$118+L$90-L$91+L$110-L$111-L$79*L$9+L$113</f>
        <v>0</v>
      </c>
      <c r="M114" s="34" t="n">
        <f aca="false">L$118+M$90-M$91+M$110-M$111-M$79*M$9+M$113</f>
        <v>0</v>
      </c>
      <c r="N114" s="34" t="n">
        <f aca="false">M$118+N$90-N$91+N$110-N$111-N$79*N$9+N$113</f>
        <v>0</v>
      </c>
      <c r="O114" s="34" t="n">
        <f aca="false">N$118+O$90-O$91+O$110-O$111-O$79*O$9+O$113</f>
        <v>0</v>
      </c>
      <c r="P114" s="34" t="n">
        <f aca="false">O$118+P$90-P$91+P$110-P$111-P$79*P$9+P$113</f>
        <v>0</v>
      </c>
      <c r="Q114" s="34" t="n">
        <f aca="false">P$118+Q$90-Q$91+Q$110-Q$111-Q$79*Q$9+Q$113</f>
        <v>0</v>
      </c>
      <c r="R114" s="34" t="n">
        <f aca="false">Q$118+R$90-R$91+R$110-R$111-R$79*R$9+R$113</f>
        <v>0</v>
      </c>
      <c r="S114" s="34" t="n">
        <f aca="false">R$118+S$90-S$91+S$110-S$111-S$79*S$9+S$113</f>
        <v>0</v>
      </c>
      <c r="T114" s="34" t="n">
        <f aca="false">S$118+T$90-T$91+T$110-T$111-T$79*T$9+T$113</f>
        <v>0</v>
      </c>
      <c r="U114" s="34" t="n">
        <f aca="false">T$118+U$90-U$91+U$110-U$111-U$79*U$9+U$113</f>
        <v>0</v>
      </c>
      <c r="V114" s="34" t="n">
        <f aca="false">U$118+V$90-V$91+V$110-V$111-V$79*V$9+V$113</f>
        <v>0</v>
      </c>
      <c r="W114" s="34" t="n">
        <f aca="false">V$118+W$90-W$91+W$110-W$111-W$79*W$9+W$113</f>
        <v>0</v>
      </c>
      <c r="X114" s="34" t="n">
        <f aca="false">W$118+X$90-X$91+X$110-X$111-X$79*X$9+X$113</f>
        <v>0</v>
      </c>
      <c r="Y114" s="34" t="n">
        <f aca="false">X$118+Y$90-Y$91+Y$110-Y$111-Y$79*Y$9+Y$113</f>
        <v>0</v>
      </c>
      <c r="Z114" s="34" t="n">
        <f aca="false">Y$118+Z$90-Z$91+Z$110-Z$111-Z$79*Z$9+Z$113</f>
        <v>0</v>
      </c>
      <c r="AA114" s="34" t="n">
        <f aca="false">Z$118+AA$90-AA$91+AA$110-AA$111-AA$79*AA$9+AA$113</f>
        <v>0</v>
      </c>
      <c r="AB114" s="34" t="n">
        <f aca="false">AA$118+AB$90-AB$91+AB$110-AB$111-AB$79*AB$9+AB$113</f>
        <v>0</v>
      </c>
      <c r="AC114" s="34" t="n">
        <f aca="false">AB$118+AC$90-AC$91+AC$110-AC$111-AC$79*AC$9+AC$113</f>
        <v>0</v>
      </c>
      <c r="AD114" s="34" t="n">
        <f aca="false">AC$118+AD$90-AD$91+AD$110-AD$111-AD$79*AD$9+AD$113</f>
        <v>0</v>
      </c>
      <c r="AE114" s="34" t="n">
        <f aca="false">AD$118+AE$90-AE$91+AE$110-AE$111-AE$79*AE$9+AE$113</f>
        <v>0</v>
      </c>
      <c r="AF114" s="34" t="n">
        <f aca="false">AE$118+AF$90-AF$91+AF$110-AF$111-AF$79*AF$9+AF$113</f>
        <v>0</v>
      </c>
      <c r="AG114" s="34" t="n">
        <f aca="false">AF$118+AG$90-AG$91+AG$110-AG$111-AG$79*AG$9+AG$113</f>
        <v>0</v>
      </c>
      <c r="AH114" s="34" t="n">
        <f aca="false">AG$118+AH$90-AH$91+AH$110-AH$111-AH$79*AH$9+AH$113</f>
        <v>0</v>
      </c>
      <c r="AI114" s="34" t="n">
        <f aca="false">AH$118+AI$90-AI$91+AI$110-AI$111-AI$79*AI$9+AI$113</f>
        <v>0</v>
      </c>
      <c r="AJ114" s="34" t="n">
        <f aca="false">AI$118+AJ$90-AJ$91+AJ$110-AJ$111-AJ$79*AJ$9+AJ$113</f>
        <v>0</v>
      </c>
      <c r="AK114" s="34" t="n">
        <f aca="false">AJ$118+AK$90-AK$91+AK$110-AK$111-AK$79*AK$9+AK$113</f>
        <v>0</v>
      </c>
      <c r="AL114" s="34" t="n">
        <f aca="false">AK$118+AL$90-AL$91+AL$110-AL$111-AL$79*AL$9+AL$113</f>
        <v>0</v>
      </c>
      <c r="AM114" s="34" t="n">
        <f aca="false">AL$118+AM$90-AM$91+AM$110-AM$111-AM$79*AM$9+AM$113</f>
        <v>0</v>
      </c>
      <c r="AN114" s="34" t="n">
        <f aca="false">AM$118+AN$90-AN$91+AN$110-AN$111-AN$79*AN$9+AN$113</f>
        <v>0</v>
      </c>
      <c r="AO114" s="34" t="n">
        <f aca="false">AN$118+AO$90-AO$91+AO$110-AO$111-AO$79*AO$9+AO$113</f>
        <v>0</v>
      </c>
      <c r="AP114" s="34" t="n">
        <f aca="false">AO$118+AP$90-AP$91+AP$110-AP$111-AP$79*AP$9+AP$113</f>
        <v>0</v>
      </c>
      <c r="AQ114" s="34" t="n">
        <f aca="false">AP$118+AQ$90-AQ$91+AQ$110-AQ$111-AQ$79*AQ$9+AQ$113</f>
        <v>0</v>
      </c>
      <c r="AR114" s="34" t="n">
        <f aca="false">AQ$118+AR$90-AR$91+AR$110-AR$111-AR$79*AR$9+AR$113</f>
        <v>0</v>
      </c>
      <c r="AS114" s="34" t="n">
        <f aca="false">AR$118+AS$90-AS$91+AS$110-AS$111-AS$79*AS$9+AS$113</f>
        <v>0</v>
      </c>
      <c r="AT114" s="34" t="n">
        <f aca="false">AS$118+AT$90-AT$91+AT$110-AT$111-AT$79*AT$9+AT$113</f>
        <v>0</v>
      </c>
      <c r="AU114" s="34" t="n">
        <f aca="false">AT$118+AU$90-AU$91+AU$110-AU$111-AU$79*AU$9+AU$113</f>
        <v>0</v>
      </c>
      <c r="AV114" s="34" t="n">
        <f aca="false">AU$118+AV$90-AV$91+AV$110-AV$111-AV$79*AV$9+AV$113</f>
        <v>0</v>
      </c>
      <c r="AW114" s="34" t="n">
        <f aca="false">AV$118+AW$90-AW$91+AW$110-AW$111-AW$79*AW$9+AW$113</f>
        <v>0</v>
      </c>
      <c r="AX114" s="34" t="n">
        <f aca="false">AW$118+AX$90-AX$91+AX$110-AX$111-AX$79*AX$9+AX$113</f>
        <v>0</v>
      </c>
      <c r="AY114" s="34" t="n">
        <f aca="false">AX$118+AY$90-AY$91+AY$110-AY$111-AY$79*AY$9+AY$113</f>
        <v>0</v>
      </c>
      <c r="AZ114" s="34" t="n">
        <f aca="false">AY$118+AZ$90-AZ$91+AZ$110-AZ$111-AZ$79*AZ$9+AZ$113</f>
        <v>0</v>
      </c>
      <c r="BA114" s="34" t="n">
        <f aca="false">AZ$118+BA$90-BA$91+BA$110-BA$111-BA$79*BA$9+BA$113</f>
        <v>0</v>
      </c>
      <c r="BB114" s="34" t="n">
        <f aca="false">BA$118+BB$90-BB$91+BB$110-BB$111-BB$79*BB$9+BB$113</f>
        <v>0</v>
      </c>
      <c r="BC114" s="34" t="n">
        <f aca="false">BB$118+BC$90-BC$91+BC$110-BC$111-BC$79*BC$9+BC$113</f>
        <v>0</v>
      </c>
      <c r="BD114" s="34" t="n">
        <f aca="false">BC$118+BD$90-BD$91+BD$110-BD$111-BD$79*BD$9+BD$113</f>
        <v>0</v>
      </c>
      <c r="BE114" s="34" t="n">
        <f aca="false">BD$118+BE$90-BE$91+BE$110-BE$111-BE$79*BE$9+BE$113</f>
        <v>0</v>
      </c>
      <c r="BF114" s="34" t="n">
        <f aca="false">BE$118+BF$90-BF$91+BF$110-BF$111-BF$79*BF$9+BF$113</f>
        <v>0</v>
      </c>
      <c r="BG114" s="34" t="n">
        <f aca="false">BF$118+BG$90-BG$91+BG$110-BG$111-BG$79*BG$9+BG$113</f>
        <v>0</v>
      </c>
      <c r="BH114" s="34" t="n">
        <f aca="false">BG$118+BH$90-BH$91+BH$110-BH$111-BH$79*BH$9+BH$113</f>
        <v>0</v>
      </c>
      <c r="BI114" s="34" t="n">
        <f aca="false">BH$118+BI$90-BI$91+BI$110-BI$111-BI$79*BI$9+BI$113</f>
        <v>0</v>
      </c>
      <c r="BJ114" s="34" t="n">
        <f aca="false">BI$118+BJ$90-BJ$91+BJ$110-BJ$111-BJ$79*BJ$9+BJ$113</f>
        <v>0</v>
      </c>
      <c r="BK114" s="34" t="n">
        <f aca="false">BJ$118+BK$90-BK$91+BK$110-BK$111-BK$79*BK$9+BK$113</f>
        <v>0</v>
      </c>
      <c r="BL114" s="34" t="n">
        <f aca="false">BK$118+BL$90-BL$91+BL$110-BL$111-BL$79*BL$9+BL$113</f>
        <v>0</v>
      </c>
      <c r="BM114" s="34" t="n">
        <f aca="false">BL$118+BM$90-BM$91+BM$110-BM$111-BM$79*BM$9+BM$113</f>
        <v>0</v>
      </c>
      <c r="BN114" s="34" t="n">
        <f aca="false">BM$118+BN$90-BN$91+BN$110-BN$111-BN$79*BN$9+BN$113</f>
        <v>0</v>
      </c>
      <c r="BO114" s="34" t="n">
        <f aca="false">BN$118+BO$90-BO$91+BO$110-BO$111-BO$79*BO$9+BO$113</f>
        <v>0</v>
      </c>
      <c r="BP114" s="34" t="n">
        <f aca="false">BO$118+BP$90-BP$91+BP$110-BP$111-BP$79*BP$9+BP$113</f>
        <v>0</v>
      </c>
      <c r="BQ114" s="34" t="n">
        <f aca="false">BP$118+BQ$90-BQ$91+BQ$110-BQ$111-BQ$79*BQ$9+BQ$113</f>
        <v>0</v>
      </c>
      <c r="BR114" s="34" t="n">
        <f aca="false">BQ$118+BR$90-BR$91+BR$110-BR$111-BR$79*BR$9+BR$113</f>
        <v>0</v>
      </c>
      <c r="BS114" s="34" t="n">
        <f aca="false">BR$118+BS$90-BS$91+BS$110-BS$111-BS$79*BS$9+BS$113</f>
        <v>0</v>
      </c>
      <c r="BT114" s="34" t="n">
        <f aca="false">BS$118+BT$90-BT$91+BT$110-BT$111-BT$79*BT$9+BT$113</f>
        <v>0</v>
      </c>
      <c r="BU114" s="34" t="n">
        <f aca="false">BT$118+BU$90-BU$91+BU$110-BU$111-BU$79*BU$9+BU$113</f>
        <v>0</v>
      </c>
      <c r="BV114" s="34" t="n">
        <f aca="false">BU$118+BV$90-BV$91+BV$110-BV$111-BV$79*BV$9+BV$113</f>
        <v>0</v>
      </c>
      <c r="BW114" s="34" t="n">
        <f aca="false">BV$118+BW$90-BW$91+BW$110-BW$111-BW$79*BW$9+BW$113</f>
        <v>0</v>
      </c>
      <c r="BX114" s="34" t="n">
        <f aca="false">BW$118+BX$90-BX$91+BX$110-BX$111-BX$79*BX$9+BX$113</f>
        <v>0</v>
      </c>
      <c r="BY114" s="34" t="n">
        <f aca="false">BX$118+BY$90-BY$91+BY$110-BY$111-BY$79*BY$9+BY$113</f>
        <v>0</v>
      </c>
      <c r="BZ114" s="34" t="n">
        <f aca="false">BY$118+BZ$90-BZ$91+BZ$110-BZ$111-BZ$79*BZ$9+BZ$113</f>
        <v>0</v>
      </c>
      <c r="CA114" s="34" t="n">
        <f aca="false">BZ$118+CA$90-CA$91+CA$110-CA$111-CA$79*CA$9+CA$113</f>
        <v>0</v>
      </c>
      <c r="CB114" s="34" t="n">
        <f aca="false">CA$118+CB$90-CB$91+CB$110-CB$111-CB$79*CB$9+CB$113</f>
        <v>0</v>
      </c>
      <c r="CC114" s="34" t="n">
        <f aca="false">CB$118+CC$90-CC$91+CC$110-CC$111-CC$79*CC$9+CC$113</f>
        <v>0</v>
      </c>
      <c r="CD114" s="34" t="n">
        <f aca="false">CC$118+CD$90-CD$91+CD$110-CD$111-CD$79*CD$9+CD$113</f>
        <v>0</v>
      </c>
      <c r="CE114" s="34" t="n">
        <f aca="false">CD$118+CE$90-CE$91+CE$110-CE$111-CE$79*CE$9+CE$113</f>
        <v>0</v>
      </c>
      <c r="CF114" s="34" t="n">
        <f aca="false">CE$118+CF$90-CF$91+CF$110-CF$111-CF$79*CF$9+CF$113</f>
        <v>0</v>
      </c>
      <c r="CG114" s="34" t="n">
        <f aca="false">CF$118+CG$90-CG$91+CG$110-CG$111-CG$79*CG$9+CG$113</f>
        <v>0</v>
      </c>
      <c r="CH114" s="34" t="n">
        <f aca="false">CG$118+CH$90-CH$91+CH$110-CH$111-CH$79*CH$9+CH$113</f>
        <v>0</v>
      </c>
      <c r="CI114" s="34" t="n">
        <f aca="false">CH$118+CI$90-CI$91+CI$110-CI$111-CI$79*CI$9+CI$113</f>
        <v>0</v>
      </c>
      <c r="CJ114" s="34" t="n">
        <f aca="false">CI$118+CJ$90-CJ$91+CJ$110-CJ$111-CJ$79*CJ$9+CJ$113</f>
        <v>0</v>
      </c>
      <c r="CK114" s="34" t="n">
        <f aca="false">CJ$118+CK$90-CK$91+CK$110-CK$111-CK$79*CK$9+CK$113</f>
        <v>0</v>
      </c>
      <c r="CL114" s="34" t="n">
        <f aca="false">CK$118+CL$90-CL$91+CL$110-CL$111-CL$79*CL$9+CL$113</f>
        <v>0</v>
      </c>
      <c r="CM114" s="34" t="n">
        <f aca="false">CL$118+CM$90-CM$91+CM$110-CM$111-CM$79*CM$9+CM$113</f>
        <v>0</v>
      </c>
      <c r="CN114" s="34" t="n">
        <f aca="false">CM$118+CN$90-CN$91+CN$110-CN$111-CN$79*CN$9+CN$113</f>
        <v>0</v>
      </c>
      <c r="CO114" s="34" t="n">
        <f aca="false">CN$118+CO$90-CO$91+CO$110-CO$111-CO$79*CO$9+CO$113</f>
        <v>0</v>
      </c>
      <c r="CP114" s="34" t="n">
        <f aca="false">CO$118+CP$90-CP$91+CP$110-CP$111-CP$79*CP$9+CP$113</f>
        <v>0</v>
      </c>
      <c r="CQ114" s="34" t="n">
        <f aca="false">CP$118+CQ$90-CQ$91+CQ$110-CQ$111-CQ$79*CQ$9+CQ$113</f>
        <v>0</v>
      </c>
      <c r="CR114" s="34" t="n">
        <f aca="false">CQ$118+CR$90-CR$91+CR$110-CR$111-CR$79*CR$9+CR$113</f>
        <v>0</v>
      </c>
      <c r="CS114" s="34" t="n">
        <f aca="false">CR$118+CS$90-CS$91+CS$110-CS$111-CS$79*CS$9+CS$113</f>
        <v>0</v>
      </c>
      <c r="CT114" s="34" t="n">
        <f aca="false">CS$118+CT$90-CT$91+CT$110-CT$111-CT$79*CT$9+CT$113</f>
        <v>0</v>
      </c>
      <c r="CU114" s="34" t="n">
        <f aca="false">CT$118+CU$90-CU$91+CU$110-CU$111-CU$79*CU$9+CU$113</f>
        <v>0</v>
      </c>
      <c r="CV114" s="34" t="n">
        <f aca="false">CU$118+CV$90-CV$91+CV$110-CV$111-CV$79*CV$9+CV$113</f>
        <v>0</v>
      </c>
      <c r="CW114" s="34" t="n">
        <f aca="false">CV$118+CW$90-CW$91+CW$110-CW$111-CW$79*CW$9+CW$113</f>
        <v>0</v>
      </c>
      <c r="CX114" s="34" t="n">
        <f aca="false">CW$118+CX$90-CX$91+CX$110-CX$111-CX$79*CX$9+CX$113</f>
        <v>0</v>
      </c>
      <c r="CY114" s="34" t="n">
        <f aca="false">CX$118+CY$90-CY$91+CY$110-CY$111-CY$79*CY$9+CY$113</f>
        <v>0</v>
      </c>
      <c r="CZ114" s="34" t="n">
        <f aca="false">CY$118+CZ$90-CZ$91+CZ$110-CZ$111-CZ$79*CZ$9+CZ$113</f>
        <v>0</v>
      </c>
      <c r="DA114" s="34" t="n">
        <f aca="false">CZ$118+DA$90-DA$91+DA$110-DA$111-DA$79*DA$9+DA$113</f>
        <v>0</v>
      </c>
      <c r="DB114" s="34" t="n">
        <f aca="false">DA$118+DB$90-DB$91+DB$110-DB$111-DB$79*DB$9+DB$113</f>
        <v>0</v>
      </c>
      <c r="DC114" s="34" t="n">
        <f aca="false">DB$118+DC$90-DC$91+DC$110-DC$111-DC$79*DC$9+DC$113</f>
        <v>0</v>
      </c>
      <c r="DD114" s="34" t="n">
        <f aca="false">DC$118+DD$90-DD$91+DD$110-DD$111-DD$79*DD$9+DD$113</f>
        <v>0</v>
      </c>
      <c r="DE114" s="34" t="n">
        <f aca="false">DD$118+DE$90-DE$91+DE$110-DE$111-DE$79*DE$9+DE$113</f>
        <v>0</v>
      </c>
      <c r="DF114" s="34" t="n">
        <f aca="false">DE$118+DF$90-DF$91+DF$110-DF$111-DF$79*DF$9+DF$113</f>
        <v>0</v>
      </c>
      <c r="DG114" s="34" t="n">
        <f aca="false">DF$118+DG$90-DG$91+DG$110-DG$111-DG$79*DG$9+DG$113</f>
        <v>0</v>
      </c>
      <c r="DH114" s="34" t="n">
        <f aca="false">DG$118+DH$90-DH$91+DH$110-DH$111-DH$79*DH$9+DH$113</f>
        <v>0</v>
      </c>
      <c r="DI114" s="34" t="n">
        <f aca="false">DH$118+DI$90-DI$91+DI$110-DI$111-DI$79*DI$9+DI$113</f>
        <v>0</v>
      </c>
      <c r="DJ114" s="34" t="n">
        <f aca="false">DI$118+DJ$90-DJ$91+DJ$110-DJ$111-DJ$79*DJ$9+DJ$113</f>
        <v>0</v>
      </c>
      <c r="DK114" s="34" t="n">
        <f aca="false">DJ$118+DK$90-DK$91+DK$110-DK$111-DK$79*DK$9+DK$113</f>
        <v>0</v>
      </c>
      <c r="DL114" s="34" t="n">
        <f aca="false">DK$118+DL$90-DL$91+DL$110-DL$111-DL$79*DL$9+DL$113</f>
        <v>0</v>
      </c>
      <c r="DM114" s="34" t="n">
        <f aca="false">DL$118+DM$90-DM$91+DM$110-DM$111-DM$79*DM$9+DM$113</f>
        <v>0</v>
      </c>
      <c r="DN114" s="34" t="n">
        <f aca="false">DM$118+DN$90-DN$91+DN$110-DN$111-DN$79*DN$9+DN$113</f>
        <v>0</v>
      </c>
      <c r="DO114" s="34" t="n">
        <f aca="false">DN$118+DO$90-DO$91+DO$110-DO$111-DO$79*DO$9+DO$113</f>
        <v>0</v>
      </c>
      <c r="DP114" s="34" t="n">
        <f aca="false">DO$118+DP$90-DP$91+DP$110-DP$111-DP$79*DP$9+DP$113</f>
        <v>0</v>
      </c>
      <c r="DQ114" s="34" t="n">
        <f aca="false">DP$118+DQ$90-DQ$91+DQ$110-DQ$111-DQ$79*DQ$9+DQ$113</f>
        <v>0</v>
      </c>
      <c r="DR114" s="34" t="n">
        <f aca="false">DQ$118+DR$90-DR$91+DR$110-DR$111-DR$79*DR$9+DR$113</f>
        <v>0</v>
      </c>
      <c r="DS114" s="34" t="n">
        <f aca="false">DR$118+DS$90-DS$91+DS$110-DS$111-DS$79*DS$9+DS$113</f>
        <v>0</v>
      </c>
      <c r="DT114" s="34" t="n">
        <f aca="false">DS$118+DT$90-DT$91+DT$110-DT$111-DT$79*DT$9+DT$113</f>
        <v>0</v>
      </c>
      <c r="DU114" s="34" t="n">
        <f aca="false">DT$118+DU$90-DU$91+DU$110-DU$111-DU$79*DU$9+DU$113</f>
        <v>0</v>
      </c>
      <c r="DV114" s="34" t="n">
        <f aca="false">DU$118+DV$90-DV$91+DV$110-DV$111-DV$79*DV$9+DV$113</f>
        <v>0</v>
      </c>
      <c r="DW114" s="34" t="n">
        <f aca="false">DV$118+DW$90-DW$91+DW$110-DW$111-DW$79*DW$9+DW$113</f>
        <v>0</v>
      </c>
      <c r="DX114" s="34" t="n">
        <f aca="false">DW$118+DX$90-DX$91+DX$110-DX$111-DX$79*DX$9+DX$113</f>
        <v>0</v>
      </c>
      <c r="DY114" s="34" t="n">
        <f aca="false">DX$118+DY$90-DY$91+DY$110-DY$111-DY$79*DY$9+DY$113</f>
        <v>0</v>
      </c>
      <c r="DZ114" s="34" t="n">
        <f aca="false">DY$118+DZ$90-DZ$91+DZ$110-DZ$111-DZ$79*DZ$9+DZ$113</f>
        <v>0</v>
      </c>
      <c r="EA114" s="34" t="n">
        <f aca="false">DZ$118+EA$90-EA$91+EA$110-EA$111-EA$79*EA$9+EA$113</f>
        <v>0</v>
      </c>
      <c r="EB114" s="34" t="n">
        <f aca="false">EA$118+EB$90-EB$91+EB$110-EB$111-EB$79*EB$9+EB$113</f>
        <v>0</v>
      </c>
      <c r="EC114" s="34" t="n">
        <f aca="false">EB$118+EC$90-EC$91+EC$110-EC$111-EC$79*EC$9+EC$113</f>
        <v>0</v>
      </c>
      <c r="ED114" s="34" t="n">
        <f aca="false">EC$118+ED$90-ED$91+ED$110-ED$111-ED$79*ED$9+ED$113</f>
        <v>0</v>
      </c>
      <c r="EE114" s="34" t="n">
        <f aca="false">ED$118+EE$90-EE$91+EE$110-EE$111-EE$79*EE$9+EE$113</f>
        <v>0</v>
      </c>
      <c r="EF114" s="34" t="n">
        <f aca="false">EE$118+EF$90-EF$91+EF$110-EF$111-EF$79*EF$9+EF$113</f>
        <v>0</v>
      </c>
      <c r="EG114" s="34" t="n">
        <f aca="false">EF$118+EG$90-EG$91+EG$110-EG$111-EG$79*EG$9+EG$113</f>
        <v>0</v>
      </c>
      <c r="EH114" s="34" t="n">
        <f aca="false">EG$118+EH$90-EH$91+EH$110-EH$111-EH$79*EH$9+EH$113</f>
        <v>0</v>
      </c>
      <c r="EI114" s="34" t="n">
        <f aca="false">EH$118+EI$90-EI$91+EI$110-EI$111-EI$79*EI$9+EI$113</f>
        <v>0</v>
      </c>
      <c r="EJ114" s="34" t="n">
        <f aca="false">EI$118+EJ$90-EJ$91+EJ$110-EJ$111-EJ$79*EJ$9+EJ$113</f>
        <v>0</v>
      </c>
      <c r="EK114" s="34" t="n">
        <f aca="false">EJ$118+EK$90-EK$91+EK$110-EK$111-EK$79*EK$9+EK$113</f>
        <v>0</v>
      </c>
      <c r="EL114" s="34" t="n">
        <f aca="false">EK$118+EL$90-EL$91+EL$110-EL$111-EL$79*EL$9+EL$113</f>
        <v>0</v>
      </c>
      <c r="EM114" s="34" t="n">
        <f aca="false">EL$118+EM$90-EM$91+EM$110-EM$111-EM$79*EM$9+EM$113</f>
        <v>0</v>
      </c>
      <c r="EN114" s="34" t="n">
        <f aca="false">EM$118+EN$90-EN$91+EN$110-EN$111-EN$79*EN$9+EN$113</f>
        <v>0</v>
      </c>
      <c r="EO114" s="34" t="n">
        <f aca="false">EN$118+EO$90-EO$91+EO$110-EO$111-EO$79*EO$9+EO$113</f>
        <v>0</v>
      </c>
      <c r="EP114" s="34" t="n">
        <f aca="false">EO$118+EP$90-EP$91+EP$110-EP$111-EP$79*EP$9+EP$113</f>
        <v>0</v>
      </c>
      <c r="EQ114" s="34" t="n">
        <f aca="false">EP$118+EQ$90-EQ$91+EQ$110-EQ$111-EQ$79*EQ$9+EQ$113</f>
        <v>0</v>
      </c>
      <c r="ER114" s="34" t="n">
        <f aca="false">EQ$118+ER$90-ER$91+ER$110-ER$111-ER$79*ER$9+ER$113</f>
        <v>0</v>
      </c>
      <c r="ES114" s="34" t="n">
        <f aca="false">ER$118+ES$90-ES$91+ES$110-ES$111-ES$79*ES$9+ES$113</f>
        <v>0</v>
      </c>
    </row>
    <row r="115" customFormat="false" ht="15" hidden="false" customHeight="false" outlineLevel="0" collapsed="false">
      <c r="A115" s="2" t="s">
        <v>586</v>
      </c>
      <c r="B115" s="6" t="s">
        <v>135</v>
      </c>
      <c r="C115" s="6" t="s">
        <v>212</v>
      </c>
      <c r="F115" s="34" t="n">
        <f aca="false">F$45*P_CajaMin/DiasMes*F$9</f>
        <v>0</v>
      </c>
      <c r="G115" s="34" t="n">
        <f aca="false">G$45*P_CajaMin/DiasMes*G$9</f>
        <v>0</v>
      </c>
      <c r="H115" s="34" t="n">
        <f aca="false">H$45*P_CajaMin/DiasMes*H$9</f>
        <v>0</v>
      </c>
      <c r="I115" s="34" t="n">
        <f aca="false">I$45*P_CajaMin/DiasMes*I$9</f>
        <v>0</v>
      </c>
      <c r="J115" s="34" t="n">
        <f aca="false">J$45*P_CajaMin/DiasMes*J$9</f>
        <v>0</v>
      </c>
      <c r="K115" s="34" t="n">
        <f aca="false">K$45*P_CajaMin/DiasMes*K$9</f>
        <v>0</v>
      </c>
      <c r="L115" s="34" t="n">
        <f aca="false">L$45*P_CajaMin/DiasMes*L$9</f>
        <v>0</v>
      </c>
      <c r="M115" s="34" t="n">
        <f aca="false">M$45*P_CajaMin/DiasMes*M$9</f>
        <v>0</v>
      </c>
      <c r="N115" s="34" t="n">
        <f aca="false">N$45*P_CajaMin/DiasMes*N$9</f>
        <v>0</v>
      </c>
      <c r="O115" s="34" t="n">
        <f aca="false">O$45*P_CajaMin/DiasMes*O$9</f>
        <v>0</v>
      </c>
      <c r="P115" s="34" t="n">
        <f aca="false">P$45*P_CajaMin/DiasMes*P$9</f>
        <v>0</v>
      </c>
      <c r="Q115" s="34" t="n">
        <f aca="false">Q$45*P_CajaMin/DiasMes*Q$9</f>
        <v>0</v>
      </c>
      <c r="R115" s="34" t="n">
        <f aca="false">R$45*P_CajaMin/DiasMes*R$9</f>
        <v>0</v>
      </c>
      <c r="S115" s="34" t="n">
        <f aca="false">S$45*P_CajaMin/DiasMes*S$9</f>
        <v>0</v>
      </c>
      <c r="T115" s="34" t="n">
        <f aca="false">T$45*P_CajaMin/DiasMes*T$9</f>
        <v>0</v>
      </c>
      <c r="U115" s="34" t="n">
        <f aca="false">U$45*P_CajaMin/DiasMes*U$9</f>
        <v>0</v>
      </c>
      <c r="V115" s="34" t="n">
        <f aca="false">V$45*P_CajaMin/DiasMes*V$9</f>
        <v>0</v>
      </c>
      <c r="W115" s="34" t="n">
        <f aca="false">W$45*P_CajaMin/DiasMes*W$9</f>
        <v>0</v>
      </c>
      <c r="X115" s="34" t="n">
        <f aca="false">X$45*P_CajaMin/DiasMes*X$9</f>
        <v>0</v>
      </c>
      <c r="Y115" s="34" t="n">
        <f aca="false">Y$45*P_CajaMin/DiasMes*Y$9</f>
        <v>0</v>
      </c>
      <c r="Z115" s="34" t="n">
        <f aca="false">Z$45*P_CajaMin/DiasMes*Z$9</f>
        <v>0</v>
      </c>
      <c r="AA115" s="34" t="n">
        <f aca="false">AA$45*P_CajaMin/DiasMes*AA$9</f>
        <v>0</v>
      </c>
      <c r="AB115" s="34" t="n">
        <f aca="false">AB$45*P_CajaMin/DiasMes*AB$9</f>
        <v>0</v>
      </c>
      <c r="AC115" s="34" t="n">
        <f aca="false">AC$45*P_CajaMin/DiasMes*AC$9</f>
        <v>0</v>
      </c>
      <c r="AD115" s="34" t="n">
        <f aca="false">AD$45*P_CajaMin/DiasMes*AD$9</f>
        <v>0</v>
      </c>
      <c r="AE115" s="34" t="n">
        <f aca="false">AE$45*P_CajaMin/DiasMes*AE$9</f>
        <v>0</v>
      </c>
      <c r="AF115" s="34" t="n">
        <f aca="false">AF$45*P_CajaMin/DiasMes*AF$9</f>
        <v>0</v>
      </c>
      <c r="AG115" s="34" t="n">
        <f aca="false">AG$45*P_CajaMin/DiasMes*AG$9</f>
        <v>0</v>
      </c>
      <c r="AH115" s="34" t="n">
        <f aca="false">AH$45*P_CajaMin/DiasMes*AH$9</f>
        <v>0</v>
      </c>
      <c r="AI115" s="34" t="n">
        <f aca="false">AI$45*P_CajaMin/DiasMes*AI$9</f>
        <v>0</v>
      </c>
      <c r="AJ115" s="34" t="n">
        <f aca="false">AJ$45*P_CajaMin/DiasMes*AJ$9</f>
        <v>0</v>
      </c>
      <c r="AK115" s="34" t="n">
        <f aca="false">AK$45*P_CajaMin/DiasMes*AK$9</f>
        <v>0</v>
      </c>
      <c r="AL115" s="34" t="n">
        <f aca="false">AL$45*P_CajaMin/DiasMes*AL$9</f>
        <v>0</v>
      </c>
      <c r="AM115" s="34" t="n">
        <f aca="false">AM$45*P_CajaMin/DiasMes*AM$9</f>
        <v>0</v>
      </c>
      <c r="AN115" s="34" t="n">
        <f aca="false">AN$45*P_CajaMin/DiasMes*AN$9</f>
        <v>0</v>
      </c>
      <c r="AO115" s="34" t="n">
        <f aca="false">AO$45*P_CajaMin/DiasMes*AO$9</f>
        <v>0</v>
      </c>
      <c r="AP115" s="34" t="n">
        <f aca="false">AP$45*P_CajaMin/DiasMes*AP$9</f>
        <v>0</v>
      </c>
      <c r="AQ115" s="34" t="n">
        <f aca="false">AQ$45*P_CajaMin/DiasMes*AQ$9</f>
        <v>0</v>
      </c>
      <c r="AR115" s="34" t="n">
        <f aca="false">AR$45*P_CajaMin/DiasMes*AR$9</f>
        <v>0</v>
      </c>
      <c r="AS115" s="34" t="n">
        <f aca="false">AS$45*P_CajaMin/DiasMes*AS$9</f>
        <v>0</v>
      </c>
      <c r="AT115" s="34" t="n">
        <f aca="false">AT$45*P_CajaMin/DiasMes*AT$9</f>
        <v>0</v>
      </c>
      <c r="AU115" s="34" t="n">
        <f aca="false">AU$45*P_CajaMin/DiasMes*AU$9</f>
        <v>0</v>
      </c>
      <c r="AV115" s="34" t="n">
        <f aca="false">AV$45*P_CajaMin/DiasMes*AV$9</f>
        <v>0</v>
      </c>
      <c r="AW115" s="34" t="n">
        <f aca="false">AW$45*P_CajaMin/DiasMes*AW$9</f>
        <v>0</v>
      </c>
      <c r="AX115" s="34" t="n">
        <f aca="false">AX$45*P_CajaMin/DiasMes*AX$9</f>
        <v>0</v>
      </c>
      <c r="AY115" s="34" t="n">
        <f aca="false">AY$45*P_CajaMin/DiasMes*AY$9</f>
        <v>0</v>
      </c>
      <c r="AZ115" s="34" t="n">
        <f aca="false">AZ$45*P_CajaMin/DiasMes*AZ$9</f>
        <v>0</v>
      </c>
      <c r="BA115" s="34" t="n">
        <f aca="false">BA$45*P_CajaMin/DiasMes*BA$9</f>
        <v>0</v>
      </c>
      <c r="BB115" s="34" t="n">
        <f aca="false">BB$45*P_CajaMin/DiasMes*BB$9</f>
        <v>0</v>
      </c>
      <c r="BC115" s="34" t="n">
        <f aca="false">BC$45*P_CajaMin/DiasMes*BC$9</f>
        <v>0</v>
      </c>
      <c r="BD115" s="34" t="n">
        <f aca="false">BD$45*P_CajaMin/DiasMes*BD$9</f>
        <v>0</v>
      </c>
      <c r="BE115" s="34" t="n">
        <f aca="false">BE$45*P_CajaMin/DiasMes*BE$9</f>
        <v>0</v>
      </c>
      <c r="BF115" s="34" t="n">
        <f aca="false">BF$45*P_CajaMin/DiasMes*BF$9</f>
        <v>0</v>
      </c>
      <c r="BG115" s="34" t="n">
        <f aca="false">BG$45*P_CajaMin/DiasMes*BG$9</f>
        <v>0</v>
      </c>
      <c r="BH115" s="34" t="n">
        <f aca="false">BH$45*P_CajaMin/DiasMes*BH$9</f>
        <v>0</v>
      </c>
      <c r="BI115" s="34" t="n">
        <f aca="false">BI$45*P_CajaMin/DiasMes*BI$9</f>
        <v>0</v>
      </c>
      <c r="BJ115" s="34" t="n">
        <f aca="false">BJ$45*P_CajaMin/DiasMes*BJ$9</f>
        <v>0</v>
      </c>
      <c r="BK115" s="34" t="n">
        <f aca="false">BK$45*P_CajaMin/DiasMes*BK$9</f>
        <v>0</v>
      </c>
      <c r="BL115" s="34" t="n">
        <f aca="false">BL$45*P_CajaMin/DiasMes*BL$9</f>
        <v>0</v>
      </c>
      <c r="BM115" s="34" t="n">
        <f aca="false">BM$45*P_CajaMin/DiasMes*BM$9</f>
        <v>0</v>
      </c>
      <c r="BN115" s="34" t="n">
        <f aca="false">BN$45*P_CajaMin/DiasMes*BN$9</f>
        <v>0</v>
      </c>
      <c r="BO115" s="34" t="n">
        <f aca="false">BO$45*P_CajaMin/DiasMes*BO$9</f>
        <v>0</v>
      </c>
      <c r="BP115" s="34" t="n">
        <f aca="false">BP$45*P_CajaMin/DiasMes*BP$9</f>
        <v>0</v>
      </c>
      <c r="BQ115" s="34" t="n">
        <f aca="false">BQ$45*P_CajaMin/DiasMes*BQ$9</f>
        <v>0</v>
      </c>
      <c r="BR115" s="34" t="n">
        <f aca="false">BR$45*P_CajaMin/DiasMes*BR$9</f>
        <v>0</v>
      </c>
      <c r="BS115" s="34" t="n">
        <f aca="false">BS$45*P_CajaMin/DiasMes*BS$9</f>
        <v>0</v>
      </c>
      <c r="BT115" s="34" t="n">
        <f aca="false">BT$45*P_CajaMin/DiasMes*BT$9</f>
        <v>0</v>
      </c>
      <c r="BU115" s="34" t="n">
        <f aca="false">BU$45*P_CajaMin/DiasMes*BU$9</f>
        <v>0</v>
      </c>
      <c r="BV115" s="34" t="n">
        <f aca="false">BV$45*P_CajaMin/DiasMes*BV$9</f>
        <v>0</v>
      </c>
      <c r="BW115" s="34" t="n">
        <f aca="false">BW$45*P_CajaMin/DiasMes*BW$9</f>
        <v>0</v>
      </c>
      <c r="BX115" s="34" t="n">
        <f aca="false">BX$45*P_CajaMin/DiasMes*BX$9</f>
        <v>0</v>
      </c>
      <c r="BY115" s="34" t="n">
        <f aca="false">BY$45*P_CajaMin/DiasMes*BY$9</f>
        <v>0</v>
      </c>
      <c r="BZ115" s="34" t="n">
        <f aca="false">BZ$45*P_CajaMin/DiasMes*BZ$9</f>
        <v>0</v>
      </c>
      <c r="CA115" s="34" t="n">
        <f aca="false">CA$45*P_CajaMin/DiasMes*CA$9</f>
        <v>0</v>
      </c>
      <c r="CB115" s="34" t="n">
        <f aca="false">CB$45*P_CajaMin/DiasMes*CB$9</f>
        <v>0</v>
      </c>
      <c r="CC115" s="34" t="n">
        <f aca="false">CC$45*P_CajaMin/DiasMes*CC$9</f>
        <v>0</v>
      </c>
      <c r="CD115" s="34" t="n">
        <f aca="false">CD$45*P_CajaMin/DiasMes*CD$9</f>
        <v>0</v>
      </c>
      <c r="CE115" s="34" t="n">
        <f aca="false">CE$45*P_CajaMin/DiasMes*CE$9</f>
        <v>0</v>
      </c>
      <c r="CF115" s="34" t="n">
        <f aca="false">CF$45*P_CajaMin/DiasMes*CF$9</f>
        <v>0</v>
      </c>
      <c r="CG115" s="34" t="n">
        <f aca="false">CG$45*P_CajaMin/DiasMes*CG$9</f>
        <v>0</v>
      </c>
      <c r="CH115" s="34" t="n">
        <f aca="false">CH$45*P_CajaMin/DiasMes*CH$9</f>
        <v>0</v>
      </c>
      <c r="CI115" s="34" t="n">
        <f aca="false">CI$45*P_CajaMin/DiasMes*CI$9</f>
        <v>0</v>
      </c>
      <c r="CJ115" s="34" t="n">
        <f aca="false">CJ$45*P_CajaMin/DiasMes*CJ$9</f>
        <v>0</v>
      </c>
      <c r="CK115" s="34" t="n">
        <f aca="false">CK$45*P_CajaMin/DiasMes*CK$9</f>
        <v>0</v>
      </c>
      <c r="CL115" s="34" t="n">
        <f aca="false">CL$45*P_CajaMin/DiasMes*CL$9</f>
        <v>0</v>
      </c>
      <c r="CM115" s="34" t="n">
        <f aca="false">CM$45*P_CajaMin/DiasMes*CM$9</f>
        <v>0</v>
      </c>
      <c r="CN115" s="34" t="n">
        <f aca="false">CN$45*P_CajaMin/DiasMes*CN$9</f>
        <v>0</v>
      </c>
      <c r="CO115" s="34" t="n">
        <f aca="false">CO$45*P_CajaMin/DiasMes*CO$9</f>
        <v>0</v>
      </c>
      <c r="CP115" s="34" t="n">
        <f aca="false">CP$45*P_CajaMin/DiasMes*CP$9</f>
        <v>0</v>
      </c>
      <c r="CQ115" s="34" t="n">
        <f aca="false">CQ$45*P_CajaMin/DiasMes*CQ$9</f>
        <v>0</v>
      </c>
      <c r="CR115" s="34" t="n">
        <f aca="false">CR$45*P_CajaMin/DiasMes*CR$9</f>
        <v>0</v>
      </c>
      <c r="CS115" s="34" t="n">
        <f aca="false">CS$45*P_CajaMin/DiasMes*CS$9</f>
        <v>0</v>
      </c>
      <c r="CT115" s="34" t="n">
        <f aca="false">CT$45*P_CajaMin/DiasMes*CT$9</f>
        <v>0</v>
      </c>
      <c r="CU115" s="34" t="n">
        <f aca="false">CU$45*P_CajaMin/DiasMes*CU$9</f>
        <v>0</v>
      </c>
      <c r="CV115" s="34" t="n">
        <f aca="false">CV$45*P_CajaMin/DiasMes*CV$9</f>
        <v>0</v>
      </c>
      <c r="CW115" s="34" t="n">
        <f aca="false">CW$45*P_CajaMin/DiasMes*CW$9</f>
        <v>0</v>
      </c>
      <c r="CX115" s="34" t="n">
        <f aca="false">CX$45*P_CajaMin/DiasMes*CX$9</f>
        <v>0</v>
      </c>
      <c r="CY115" s="34" t="n">
        <f aca="false">CY$45*P_CajaMin/DiasMes*CY$9</f>
        <v>0</v>
      </c>
      <c r="CZ115" s="34" t="n">
        <f aca="false">CZ$45*P_CajaMin/DiasMes*CZ$9</f>
        <v>0</v>
      </c>
      <c r="DA115" s="34" t="n">
        <f aca="false">DA$45*P_CajaMin/DiasMes*DA$9</f>
        <v>0</v>
      </c>
      <c r="DB115" s="34" t="n">
        <f aca="false">DB$45*P_CajaMin/DiasMes*DB$9</f>
        <v>0</v>
      </c>
      <c r="DC115" s="34" t="n">
        <f aca="false">DC$45*P_CajaMin/DiasMes*DC$9</f>
        <v>0</v>
      </c>
      <c r="DD115" s="34" t="n">
        <f aca="false">DD$45*P_CajaMin/DiasMes*DD$9</f>
        <v>0</v>
      </c>
      <c r="DE115" s="34" t="n">
        <f aca="false">DE$45*P_CajaMin/DiasMes*DE$9</f>
        <v>0</v>
      </c>
      <c r="DF115" s="34" t="n">
        <f aca="false">DF$45*P_CajaMin/DiasMes*DF$9</f>
        <v>0</v>
      </c>
      <c r="DG115" s="34" t="n">
        <f aca="false">DG$45*P_CajaMin/DiasMes*DG$9</f>
        <v>0</v>
      </c>
      <c r="DH115" s="34" t="n">
        <f aca="false">DH$45*P_CajaMin/DiasMes*DH$9</f>
        <v>0</v>
      </c>
      <c r="DI115" s="34" t="n">
        <f aca="false">DI$45*P_CajaMin/DiasMes*DI$9</f>
        <v>0</v>
      </c>
      <c r="DJ115" s="34" t="n">
        <f aca="false">DJ$45*P_CajaMin/DiasMes*DJ$9</f>
        <v>0</v>
      </c>
      <c r="DK115" s="34" t="n">
        <f aca="false">DK$45*P_CajaMin/DiasMes*DK$9</f>
        <v>0</v>
      </c>
      <c r="DL115" s="34" t="n">
        <f aca="false">DL$45*P_CajaMin/DiasMes*DL$9</f>
        <v>0</v>
      </c>
      <c r="DM115" s="34" t="n">
        <f aca="false">DM$45*P_CajaMin/DiasMes*DM$9</f>
        <v>0</v>
      </c>
      <c r="DN115" s="34" t="n">
        <f aca="false">DN$45*P_CajaMin/DiasMes*DN$9</f>
        <v>0</v>
      </c>
      <c r="DO115" s="34" t="n">
        <f aca="false">DO$45*P_CajaMin/DiasMes*DO$9</f>
        <v>0</v>
      </c>
      <c r="DP115" s="34" t="n">
        <f aca="false">DP$45*P_CajaMin/DiasMes*DP$9</f>
        <v>0</v>
      </c>
      <c r="DQ115" s="34" t="n">
        <f aca="false">DQ$45*P_CajaMin/DiasMes*DQ$9</f>
        <v>0</v>
      </c>
      <c r="DR115" s="34" t="n">
        <f aca="false">DR$45*P_CajaMin/DiasMes*DR$9</f>
        <v>0</v>
      </c>
      <c r="DS115" s="34" t="n">
        <f aca="false">DS$45*P_CajaMin/DiasMes*DS$9</f>
        <v>0</v>
      </c>
      <c r="DT115" s="34" t="n">
        <f aca="false">DT$45*P_CajaMin/DiasMes*DT$9</f>
        <v>0</v>
      </c>
      <c r="DU115" s="34" t="n">
        <f aca="false">DU$45*P_CajaMin/DiasMes*DU$9</f>
        <v>0</v>
      </c>
      <c r="DV115" s="34" t="n">
        <f aca="false">DV$45*P_CajaMin/DiasMes*DV$9</f>
        <v>0</v>
      </c>
      <c r="DW115" s="34" t="n">
        <f aca="false">DW$45*P_CajaMin/DiasMes*DW$9</f>
        <v>0</v>
      </c>
      <c r="DX115" s="34" t="n">
        <f aca="false">DX$45*P_CajaMin/DiasMes*DX$9</f>
        <v>0</v>
      </c>
      <c r="DY115" s="34" t="n">
        <f aca="false">DY$45*P_CajaMin/DiasMes*DY$9</f>
        <v>0</v>
      </c>
      <c r="DZ115" s="34" t="n">
        <f aca="false">DZ$45*P_CajaMin/DiasMes*DZ$9</f>
        <v>0</v>
      </c>
      <c r="EA115" s="34" t="n">
        <f aca="false">EA$45*P_CajaMin/DiasMes*EA$9</f>
        <v>0</v>
      </c>
      <c r="EB115" s="34" t="n">
        <f aca="false">EB$45*P_CajaMin/DiasMes*EB$9</f>
        <v>0</v>
      </c>
      <c r="EC115" s="34" t="n">
        <f aca="false">EC$45*P_CajaMin/DiasMes*EC$9</f>
        <v>0</v>
      </c>
      <c r="ED115" s="34" t="n">
        <f aca="false">ED$45*P_CajaMin/DiasMes*ED$9</f>
        <v>0</v>
      </c>
      <c r="EE115" s="34" t="n">
        <f aca="false">EE$45*P_CajaMin/DiasMes*EE$9</f>
        <v>0</v>
      </c>
      <c r="EF115" s="34" t="n">
        <f aca="false">EF$45*P_CajaMin/DiasMes*EF$9</f>
        <v>0</v>
      </c>
      <c r="EG115" s="34" t="n">
        <f aca="false">EG$45*P_CajaMin/DiasMes*EG$9</f>
        <v>0</v>
      </c>
      <c r="EH115" s="34" t="n">
        <f aca="false">EH$45*P_CajaMin/DiasMes*EH$9</f>
        <v>0</v>
      </c>
      <c r="EI115" s="34" t="n">
        <f aca="false">EI$45*P_CajaMin/DiasMes*EI$9</f>
        <v>0</v>
      </c>
      <c r="EJ115" s="34" t="n">
        <f aca="false">EJ$45*P_CajaMin/DiasMes*EJ$9</f>
        <v>0</v>
      </c>
      <c r="EK115" s="34" t="n">
        <f aca="false">EK$45*P_CajaMin/DiasMes*EK$9</f>
        <v>0</v>
      </c>
      <c r="EL115" s="34" t="n">
        <f aca="false">EL$45*P_CajaMin/DiasMes*EL$9</f>
        <v>0</v>
      </c>
      <c r="EM115" s="34" t="n">
        <f aca="false">EM$45*P_CajaMin/DiasMes*EM$9</f>
        <v>0</v>
      </c>
      <c r="EN115" s="34" t="n">
        <f aca="false">EN$45*P_CajaMin/DiasMes*EN$9</f>
        <v>0</v>
      </c>
      <c r="EO115" s="34" t="n">
        <f aca="false">EO$45*P_CajaMin/DiasMes*EO$9</f>
        <v>0</v>
      </c>
      <c r="EP115" s="34" t="n">
        <f aca="false">EP$45*P_CajaMin/DiasMes*EP$9</f>
        <v>0</v>
      </c>
      <c r="EQ115" s="34" t="n">
        <f aca="false">EQ$45*P_CajaMin/DiasMes*EQ$9</f>
        <v>0</v>
      </c>
      <c r="ER115" s="34" t="n">
        <f aca="false">ER$45*P_CajaMin/DiasMes*ER$9</f>
        <v>0</v>
      </c>
      <c r="ES115" s="34" t="n">
        <f aca="false">ES$45*P_CajaMin/DiasMes*ES$9</f>
        <v>0</v>
      </c>
    </row>
    <row r="116" customFormat="false" ht="15" hidden="false" customHeight="false" outlineLevel="0" collapsed="false">
      <c r="A116" s="2" t="s">
        <v>587</v>
      </c>
      <c r="B116" s="6" t="s">
        <v>588</v>
      </c>
      <c r="C116" s="6" t="s">
        <v>212</v>
      </c>
      <c r="E116" s="40" t="n">
        <f aca="false">SUM(F116:ES116)</f>
        <v>0</v>
      </c>
      <c r="F116" s="34" t="n">
        <f aca="false">IF(AND(F$7=MAX(1,P_MesDiv),F$6&gt;=2),INDEX(Payout_O,1,MIN(10,F$6-1))*MAX(0,SUMIFS($F$81:$ES$81,$F$6:$ES$6,F$6-1)),0)*F$9</f>
        <v>0</v>
      </c>
      <c r="G116" s="34" t="n">
        <f aca="false">IF(AND(G$7=MAX(1,P_MesDiv),G$6&gt;=2),INDEX(Payout_O,1,MIN(10,G$6-1))*MAX(0,SUMIFS($F$81:$ES$81,$F$6:$ES$6,G$6-1)),0)*G$9</f>
        <v>0</v>
      </c>
      <c r="H116" s="34" t="n">
        <f aca="false">IF(AND(H$7=MAX(1,P_MesDiv),H$6&gt;=2),INDEX(Payout_O,1,MIN(10,H$6-1))*MAX(0,SUMIFS($F$81:$ES$81,$F$6:$ES$6,H$6-1)),0)*H$9</f>
        <v>0</v>
      </c>
      <c r="I116" s="34" t="n">
        <f aca="false">IF(AND(I$7=MAX(1,P_MesDiv),I$6&gt;=2),INDEX(Payout_O,1,MIN(10,I$6-1))*MAX(0,SUMIFS($F$81:$ES$81,$F$6:$ES$6,I$6-1)),0)*I$9</f>
        <v>0</v>
      </c>
      <c r="J116" s="34" t="n">
        <f aca="false">IF(AND(J$7=MAX(1,P_MesDiv),J$6&gt;=2),INDEX(Payout_O,1,MIN(10,J$6-1))*MAX(0,SUMIFS($F$81:$ES$81,$F$6:$ES$6,J$6-1)),0)*J$9</f>
        <v>0</v>
      </c>
      <c r="K116" s="34" t="n">
        <f aca="false">IF(AND(K$7=MAX(1,P_MesDiv),K$6&gt;=2),INDEX(Payout_O,1,MIN(10,K$6-1))*MAX(0,SUMIFS($F$81:$ES$81,$F$6:$ES$6,K$6-1)),0)*K$9</f>
        <v>0</v>
      </c>
      <c r="L116" s="34" t="n">
        <f aca="false">IF(AND(L$7=MAX(1,P_MesDiv),L$6&gt;=2),INDEX(Payout_O,1,MIN(10,L$6-1))*MAX(0,SUMIFS($F$81:$ES$81,$F$6:$ES$6,L$6-1)),0)*L$9</f>
        <v>0</v>
      </c>
      <c r="M116" s="34" t="n">
        <f aca="false">IF(AND(M$7=MAX(1,P_MesDiv),M$6&gt;=2),INDEX(Payout_O,1,MIN(10,M$6-1))*MAX(0,SUMIFS($F$81:$ES$81,$F$6:$ES$6,M$6-1)),0)*M$9</f>
        <v>0</v>
      </c>
      <c r="N116" s="34" t="n">
        <f aca="false">IF(AND(N$7=MAX(1,P_MesDiv),N$6&gt;=2),INDEX(Payout_O,1,MIN(10,N$6-1))*MAX(0,SUMIFS($F$81:$ES$81,$F$6:$ES$6,N$6-1)),0)*N$9</f>
        <v>0</v>
      </c>
      <c r="O116" s="34" t="n">
        <f aca="false">IF(AND(O$7=MAX(1,P_MesDiv),O$6&gt;=2),INDEX(Payout_O,1,MIN(10,O$6-1))*MAX(0,SUMIFS($F$81:$ES$81,$F$6:$ES$6,O$6-1)),0)*O$9</f>
        <v>0</v>
      </c>
      <c r="P116" s="34" t="n">
        <f aca="false">IF(AND(P$7=MAX(1,P_MesDiv),P$6&gt;=2),INDEX(Payout_O,1,MIN(10,P$6-1))*MAX(0,SUMIFS($F$81:$ES$81,$F$6:$ES$6,P$6-1)),0)*P$9</f>
        <v>0</v>
      </c>
      <c r="Q116" s="34" t="n">
        <f aca="false">IF(AND(Q$7=MAX(1,P_MesDiv),Q$6&gt;=2),INDEX(Payout_O,1,MIN(10,Q$6-1))*MAX(0,SUMIFS($F$81:$ES$81,$F$6:$ES$6,Q$6-1)),0)*Q$9</f>
        <v>0</v>
      </c>
      <c r="R116" s="34" t="n">
        <f aca="false">IF(AND(R$7=MAX(1,P_MesDiv),R$6&gt;=2),INDEX(Payout_O,1,MIN(10,R$6-1))*MAX(0,SUMIFS($F$81:$ES$81,$F$6:$ES$6,R$6-1)),0)*R$9</f>
        <v>0</v>
      </c>
      <c r="S116" s="34" t="n">
        <f aca="false">IF(AND(S$7=MAX(1,P_MesDiv),S$6&gt;=2),INDEX(Payout_O,1,MIN(10,S$6-1))*MAX(0,SUMIFS($F$81:$ES$81,$F$6:$ES$6,S$6-1)),0)*S$9</f>
        <v>0</v>
      </c>
      <c r="T116" s="34" t="n">
        <f aca="false">IF(AND(T$7=MAX(1,P_MesDiv),T$6&gt;=2),INDEX(Payout_O,1,MIN(10,T$6-1))*MAX(0,SUMIFS($F$81:$ES$81,$F$6:$ES$6,T$6-1)),0)*T$9</f>
        <v>0</v>
      </c>
      <c r="U116" s="34" t="n">
        <f aca="false">IF(AND(U$7=MAX(1,P_MesDiv),U$6&gt;=2),INDEX(Payout_O,1,MIN(10,U$6-1))*MAX(0,SUMIFS($F$81:$ES$81,$F$6:$ES$6,U$6-1)),0)*U$9</f>
        <v>0</v>
      </c>
      <c r="V116" s="34" t="n">
        <f aca="false">IF(AND(V$7=MAX(1,P_MesDiv),V$6&gt;=2),INDEX(Payout_O,1,MIN(10,V$6-1))*MAX(0,SUMIFS($F$81:$ES$81,$F$6:$ES$6,V$6-1)),0)*V$9</f>
        <v>0</v>
      </c>
      <c r="W116" s="34" t="n">
        <f aca="false">IF(AND(W$7=MAX(1,P_MesDiv),W$6&gt;=2),INDEX(Payout_O,1,MIN(10,W$6-1))*MAX(0,SUMIFS($F$81:$ES$81,$F$6:$ES$6,W$6-1)),0)*W$9</f>
        <v>0</v>
      </c>
      <c r="X116" s="34" t="n">
        <f aca="false">IF(AND(X$7=MAX(1,P_MesDiv),X$6&gt;=2),INDEX(Payout_O,1,MIN(10,X$6-1))*MAX(0,SUMIFS($F$81:$ES$81,$F$6:$ES$6,X$6-1)),0)*X$9</f>
        <v>0</v>
      </c>
      <c r="Y116" s="34" t="n">
        <f aca="false">IF(AND(Y$7=MAX(1,P_MesDiv),Y$6&gt;=2),INDEX(Payout_O,1,MIN(10,Y$6-1))*MAX(0,SUMIFS($F$81:$ES$81,$F$6:$ES$6,Y$6-1)),0)*Y$9</f>
        <v>0</v>
      </c>
      <c r="Z116" s="34" t="n">
        <f aca="false">IF(AND(Z$7=MAX(1,P_MesDiv),Z$6&gt;=2),INDEX(Payout_O,1,MIN(10,Z$6-1))*MAX(0,SUMIFS($F$81:$ES$81,$F$6:$ES$6,Z$6-1)),0)*Z$9</f>
        <v>0</v>
      </c>
      <c r="AA116" s="34" t="n">
        <f aca="false">IF(AND(AA$7=MAX(1,P_MesDiv),AA$6&gt;=2),INDEX(Payout_O,1,MIN(10,AA$6-1))*MAX(0,SUMIFS($F$81:$ES$81,$F$6:$ES$6,AA$6-1)),0)*AA$9</f>
        <v>0</v>
      </c>
      <c r="AB116" s="34" t="n">
        <f aca="false">IF(AND(AB$7=MAX(1,P_MesDiv),AB$6&gt;=2),INDEX(Payout_O,1,MIN(10,AB$6-1))*MAX(0,SUMIFS($F$81:$ES$81,$F$6:$ES$6,AB$6-1)),0)*AB$9</f>
        <v>0</v>
      </c>
      <c r="AC116" s="34" t="n">
        <f aca="false">IF(AND(AC$7=MAX(1,P_MesDiv),AC$6&gt;=2),INDEX(Payout_O,1,MIN(10,AC$6-1))*MAX(0,SUMIFS($F$81:$ES$81,$F$6:$ES$6,AC$6-1)),0)*AC$9</f>
        <v>0</v>
      </c>
      <c r="AD116" s="34" t="n">
        <f aca="false">IF(AND(AD$7=MAX(1,P_MesDiv),AD$6&gt;=2),INDEX(Payout_O,1,MIN(10,AD$6-1))*MAX(0,SUMIFS($F$81:$ES$81,$F$6:$ES$6,AD$6-1)),0)*AD$9</f>
        <v>0</v>
      </c>
      <c r="AE116" s="34" t="n">
        <f aca="false">IF(AND(AE$7=MAX(1,P_MesDiv),AE$6&gt;=2),INDEX(Payout_O,1,MIN(10,AE$6-1))*MAX(0,SUMIFS($F$81:$ES$81,$F$6:$ES$6,AE$6-1)),0)*AE$9</f>
        <v>0</v>
      </c>
      <c r="AF116" s="34" t="n">
        <f aca="false">IF(AND(AF$7=MAX(1,P_MesDiv),AF$6&gt;=2),INDEX(Payout_O,1,MIN(10,AF$6-1))*MAX(0,SUMIFS($F$81:$ES$81,$F$6:$ES$6,AF$6-1)),0)*AF$9</f>
        <v>0</v>
      </c>
      <c r="AG116" s="34" t="n">
        <f aca="false">IF(AND(AG$7=MAX(1,P_MesDiv),AG$6&gt;=2),INDEX(Payout_O,1,MIN(10,AG$6-1))*MAX(0,SUMIFS($F$81:$ES$81,$F$6:$ES$6,AG$6-1)),0)*AG$9</f>
        <v>0</v>
      </c>
      <c r="AH116" s="34" t="n">
        <f aca="false">IF(AND(AH$7=MAX(1,P_MesDiv),AH$6&gt;=2),INDEX(Payout_O,1,MIN(10,AH$6-1))*MAX(0,SUMIFS($F$81:$ES$81,$F$6:$ES$6,AH$6-1)),0)*AH$9</f>
        <v>0</v>
      </c>
      <c r="AI116" s="34" t="n">
        <f aca="false">IF(AND(AI$7=MAX(1,P_MesDiv),AI$6&gt;=2),INDEX(Payout_O,1,MIN(10,AI$6-1))*MAX(0,SUMIFS($F$81:$ES$81,$F$6:$ES$6,AI$6-1)),0)*AI$9</f>
        <v>0</v>
      </c>
      <c r="AJ116" s="34" t="n">
        <f aca="false">IF(AND(AJ$7=MAX(1,P_MesDiv),AJ$6&gt;=2),INDEX(Payout_O,1,MIN(10,AJ$6-1))*MAX(0,SUMIFS($F$81:$ES$81,$F$6:$ES$6,AJ$6-1)),0)*AJ$9</f>
        <v>0</v>
      </c>
      <c r="AK116" s="34" t="n">
        <f aca="false">IF(AND(AK$7=MAX(1,P_MesDiv),AK$6&gt;=2),INDEX(Payout_O,1,MIN(10,AK$6-1))*MAX(0,SUMIFS($F$81:$ES$81,$F$6:$ES$6,AK$6-1)),0)*AK$9</f>
        <v>0</v>
      </c>
      <c r="AL116" s="34" t="n">
        <f aca="false">IF(AND(AL$7=MAX(1,P_MesDiv),AL$6&gt;=2),INDEX(Payout_O,1,MIN(10,AL$6-1))*MAX(0,SUMIFS($F$81:$ES$81,$F$6:$ES$6,AL$6-1)),0)*AL$9</f>
        <v>0</v>
      </c>
      <c r="AM116" s="34" t="n">
        <f aca="false">IF(AND(AM$7=MAX(1,P_MesDiv),AM$6&gt;=2),INDEX(Payout_O,1,MIN(10,AM$6-1))*MAX(0,SUMIFS($F$81:$ES$81,$F$6:$ES$6,AM$6-1)),0)*AM$9</f>
        <v>0</v>
      </c>
      <c r="AN116" s="34" t="n">
        <f aca="false">IF(AND(AN$7=MAX(1,P_MesDiv),AN$6&gt;=2),INDEX(Payout_O,1,MIN(10,AN$6-1))*MAX(0,SUMIFS($F$81:$ES$81,$F$6:$ES$6,AN$6-1)),0)*AN$9</f>
        <v>0</v>
      </c>
      <c r="AO116" s="34" t="n">
        <f aca="false">IF(AND(AO$7=MAX(1,P_MesDiv),AO$6&gt;=2),INDEX(Payout_O,1,MIN(10,AO$6-1))*MAX(0,SUMIFS($F$81:$ES$81,$F$6:$ES$6,AO$6-1)),0)*AO$9</f>
        <v>0</v>
      </c>
      <c r="AP116" s="34" t="n">
        <f aca="false">IF(AND(AP$7=MAX(1,P_MesDiv),AP$6&gt;=2),INDEX(Payout_O,1,MIN(10,AP$6-1))*MAX(0,SUMIFS($F$81:$ES$81,$F$6:$ES$6,AP$6-1)),0)*AP$9</f>
        <v>0</v>
      </c>
      <c r="AQ116" s="34" t="n">
        <f aca="false">IF(AND(AQ$7=MAX(1,P_MesDiv),AQ$6&gt;=2),INDEX(Payout_O,1,MIN(10,AQ$6-1))*MAX(0,SUMIFS($F$81:$ES$81,$F$6:$ES$6,AQ$6-1)),0)*AQ$9</f>
        <v>0</v>
      </c>
      <c r="AR116" s="34" t="n">
        <f aca="false">IF(AND(AR$7=MAX(1,P_MesDiv),AR$6&gt;=2),INDEX(Payout_O,1,MIN(10,AR$6-1))*MAX(0,SUMIFS($F$81:$ES$81,$F$6:$ES$6,AR$6-1)),0)*AR$9</f>
        <v>0</v>
      </c>
      <c r="AS116" s="34" t="n">
        <f aca="false">IF(AND(AS$7=MAX(1,P_MesDiv),AS$6&gt;=2),INDEX(Payout_O,1,MIN(10,AS$6-1))*MAX(0,SUMIFS($F$81:$ES$81,$F$6:$ES$6,AS$6-1)),0)*AS$9</f>
        <v>0</v>
      </c>
      <c r="AT116" s="34" t="n">
        <f aca="false">IF(AND(AT$7=MAX(1,P_MesDiv),AT$6&gt;=2),INDEX(Payout_O,1,MIN(10,AT$6-1))*MAX(0,SUMIFS($F$81:$ES$81,$F$6:$ES$6,AT$6-1)),0)*AT$9</f>
        <v>0</v>
      </c>
      <c r="AU116" s="34" t="n">
        <f aca="false">IF(AND(AU$7=MAX(1,P_MesDiv),AU$6&gt;=2),INDEX(Payout_O,1,MIN(10,AU$6-1))*MAX(0,SUMIFS($F$81:$ES$81,$F$6:$ES$6,AU$6-1)),0)*AU$9</f>
        <v>0</v>
      </c>
      <c r="AV116" s="34" t="n">
        <f aca="false">IF(AND(AV$7=MAX(1,P_MesDiv),AV$6&gt;=2),INDEX(Payout_O,1,MIN(10,AV$6-1))*MAX(0,SUMIFS($F$81:$ES$81,$F$6:$ES$6,AV$6-1)),0)*AV$9</f>
        <v>0</v>
      </c>
      <c r="AW116" s="34" t="n">
        <f aca="false">IF(AND(AW$7=MAX(1,P_MesDiv),AW$6&gt;=2),INDEX(Payout_O,1,MIN(10,AW$6-1))*MAX(0,SUMIFS($F$81:$ES$81,$F$6:$ES$6,AW$6-1)),0)*AW$9</f>
        <v>0</v>
      </c>
      <c r="AX116" s="34" t="n">
        <f aca="false">IF(AND(AX$7=MAX(1,P_MesDiv),AX$6&gt;=2),INDEX(Payout_O,1,MIN(10,AX$6-1))*MAX(0,SUMIFS($F$81:$ES$81,$F$6:$ES$6,AX$6-1)),0)*AX$9</f>
        <v>0</v>
      </c>
      <c r="AY116" s="34" t="n">
        <f aca="false">IF(AND(AY$7=MAX(1,P_MesDiv),AY$6&gt;=2),INDEX(Payout_O,1,MIN(10,AY$6-1))*MAX(0,SUMIFS($F$81:$ES$81,$F$6:$ES$6,AY$6-1)),0)*AY$9</f>
        <v>0</v>
      </c>
      <c r="AZ116" s="34" t="n">
        <f aca="false">IF(AND(AZ$7=MAX(1,P_MesDiv),AZ$6&gt;=2),INDEX(Payout_O,1,MIN(10,AZ$6-1))*MAX(0,SUMIFS($F$81:$ES$81,$F$6:$ES$6,AZ$6-1)),0)*AZ$9</f>
        <v>0</v>
      </c>
      <c r="BA116" s="34" t="n">
        <f aca="false">IF(AND(BA$7=MAX(1,P_MesDiv),BA$6&gt;=2),INDEX(Payout_O,1,MIN(10,BA$6-1))*MAX(0,SUMIFS($F$81:$ES$81,$F$6:$ES$6,BA$6-1)),0)*BA$9</f>
        <v>0</v>
      </c>
      <c r="BB116" s="34" t="n">
        <f aca="false">IF(AND(BB$7=MAX(1,P_MesDiv),BB$6&gt;=2),INDEX(Payout_O,1,MIN(10,BB$6-1))*MAX(0,SUMIFS($F$81:$ES$81,$F$6:$ES$6,BB$6-1)),0)*BB$9</f>
        <v>0</v>
      </c>
      <c r="BC116" s="34" t="n">
        <f aca="false">IF(AND(BC$7=MAX(1,P_MesDiv),BC$6&gt;=2),INDEX(Payout_O,1,MIN(10,BC$6-1))*MAX(0,SUMIFS($F$81:$ES$81,$F$6:$ES$6,BC$6-1)),0)*BC$9</f>
        <v>0</v>
      </c>
      <c r="BD116" s="34" t="n">
        <f aca="false">IF(AND(BD$7=MAX(1,P_MesDiv),BD$6&gt;=2),INDEX(Payout_O,1,MIN(10,BD$6-1))*MAX(0,SUMIFS($F$81:$ES$81,$F$6:$ES$6,BD$6-1)),0)*BD$9</f>
        <v>0</v>
      </c>
      <c r="BE116" s="34" t="n">
        <f aca="false">IF(AND(BE$7=MAX(1,P_MesDiv),BE$6&gt;=2),INDEX(Payout_O,1,MIN(10,BE$6-1))*MAX(0,SUMIFS($F$81:$ES$81,$F$6:$ES$6,BE$6-1)),0)*BE$9</f>
        <v>0</v>
      </c>
      <c r="BF116" s="34" t="n">
        <f aca="false">IF(AND(BF$7=MAX(1,P_MesDiv),BF$6&gt;=2),INDEX(Payout_O,1,MIN(10,BF$6-1))*MAX(0,SUMIFS($F$81:$ES$81,$F$6:$ES$6,BF$6-1)),0)*BF$9</f>
        <v>0</v>
      </c>
      <c r="BG116" s="34" t="n">
        <f aca="false">IF(AND(BG$7=MAX(1,P_MesDiv),BG$6&gt;=2),INDEX(Payout_O,1,MIN(10,BG$6-1))*MAX(0,SUMIFS($F$81:$ES$81,$F$6:$ES$6,BG$6-1)),0)*BG$9</f>
        <v>0</v>
      </c>
      <c r="BH116" s="34" t="n">
        <f aca="false">IF(AND(BH$7=MAX(1,P_MesDiv),BH$6&gt;=2),INDEX(Payout_O,1,MIN(10,BH$6-1))*MAX(0,SUMIFS($F$81:$ES$81,$F$6:$ES$6,BH$6-1)),0)*BH$9</f>
        <v>0</v>
      </c>
      <c r="BI116" s="34" t="n">
        <f aca="false">IF(AND(BI$7=MAX(1,P_MesDiv),BI$6&gt;=2),INDEX(Payout_O,1,MIN(10,BI$6-1))*MAX(0,SUMIFS($F$81:$ES$81,$F$6:$ES$6,BI$6-1)),0)*BI$9</f>
        <v>0</v>
      </c>
      <c r="BJ116" s="34" t="n">
        <f aca="false">IF(AND(BJ$7=MAX(1,P_MesDiv),BJ$6&gt;=2),INDEX(Payout_O,1,MIN(10,BJ$6-1))*MAX(0,SUMIFS($F$81:$ES$81,$F$6:$ES$6,BJ$6-1)),0)*BJ$9</f>
        <v>0</v>
      </c>
      <c r="BK116" s="34" t="n">
        <f aca="false">IF(AND(BK$7=MAX(1,P_MesDiv),BK$6&gt;=2),INDEX(Payout_O,1,MIN(10,BK$6-1))*MAX(0,SUMIFS($F$81:$ES$81,$F$6:$ES$6,BK$6-1)),0)*BK$9</f>
        <v>0</v>
      </c>
      <c r="BL116" s="34" t="n">
        <f aca="false">IF(AND(BL$7=MAX(1,P_MesDiv),BL$6&gt;=2),INDEX(Payout_O,1,MIN(10,BL$6-1))*MAX(0,SUMIFS($F$81:$ES$81,$F$6:$ES$6,BL$6-1)),0)*BL$9</f>
        <v>0</v>
      </c>
      <c r="BM116" s="34" t="n">
        <f aca="false">IF(AND(BM$7=MAX(1,P_MesDiv),BM$6&gt;=2),INDEX(Payout_O,1,MIN(10,BM$6-1))*MAX(0,SUMIFS($F$81:$ES$81,$F$6:$ES$6,BM$6-1)),0)*BM$9</f>
        <v>0</v>
      </c>
      <c r="BN116" s="34" t="n">
        <f aca="false">IF(AND(BN$7=MAX(1,P_MesDiv),BN$6&gt;=2),INDEX(Payout_O,1,MIN(10,BN$6-1))*MAX(0,SUMIFS($F$81:$ES$81,$F$6:$ES$6,BN$6-1)),0)*BN$9</f>
        <v>0</v>
      </c>
      <c r="BO116" s="34" t="n">
        <f aca="false">IF(AND(BO$7=MAX(1,P_MesDiv),BO$6&gt;=2),INDEX(Payout_O,1,MIN(10,BO$6-1))*MAX(0,SUMIFS($F$81:$ES$81,$F$6:$ES$6,BO$6-1)),0)*BO$9</f>
        <v>0</v>
      </c>
      <c r="BP116" s="34" t="n">
        <f aca="false">IF(AND(BP$7=MAX(1,P_MesDiv),BP$6&gt;=2),INDEX(Payout_O,1,MIN(10,BP$6-1))*MAX(0,SUMIFS($F$81:$ES$81,$F$6:$ES$6,BP$6-1)),0)*BP$9</f>
        <v>0</v>
      </c>
      <c r="BQ116" s="34" t="n">
        <f aca="false">IF(AND(BQ$7=MAX(1,P_MesDiv),BQ$6&gt;=2),INDEX(Payout_O,1,MIN(10,BQ$6-1))*MAX(0,SUMIFS($F$81:$ES$81,$F$6:$ES$6,BQ$6-1)),0)*BQ$9</f>
        <v>0</v>
      </c>
      <c r="BR116" s="34" t="n">
        <f aca="false">IF(AND(BR$7=MAX(1,P_MesDiv),BR$6&gt;=2),INDEX(Payout_O,1,MIN(10,BR$6-1))*MAX(0,SUMIFS($F$81:$ES$81,$F$6:$ES$6,BR$6-1)),0)*BR$9</f>
        <v>0</v>
      </c>
      <c r="BS116" s="34" t="n">
        <f aca="false">IF(AND(BS$7=MAX(1,P_MesDiv),BS$6&gt;=2),INDEX(Payout_O,1,MIN(10,BS$6-1))*MAX(0,SUMIFS($F$81:$ES$81,$F$6:$ES$6,BS$6-1)),0)*BS$9</f>
        <v>0</v>
      </c>
      <c r="BT116" s="34" t="n">
        <f aca="false">IF(AND(BT$7=MAX(1,P_MesDiv),BT$6&gt;=2),INDEX(Payout_O,1,MIN(10,BT$6-1))*MAX(0,SUMIFS($F$81:$ES$81,$F$6:$ES$6,BT$6-1)),0)*BT$9</f>
        <v>0</v>
      </c>
      <c r="BU116" s="34" t="n">
        <f aca="false">IF(AND(BU$7=MAX(1,P_MesDiv),BU$6&gt;=2),INDEX(Payout_O,1,MIN(10,BU$6-1))*MAX(0,SUMIFS($F$81:$ES$81,$F$6:$ES$6,BU$6-1)),0)*BU$9</f>
        <v>0</v>
      </c>
      <c r="BV116" s="34" t="n">
        <f aca="false">IF(AND(BV$7=MAX(1,P_MesDiv),BV$6&gt;=2),INDEX(Payout_O,1,MIN(10,BV$6-1))*MAX(0,SUMIFS($F$81:$ES$81,$F$6:$ES$6,BV$6-1)),0)*BV$9</f>
        <v>0</v>
      </c>
      <c r="BW116" s="34" t="n">
        <f aca="false">IF(AND(BW$7=MAX(1,P_MesDiv),BW$6&gt;=2),INDEX(Payout_O,1,MIN(10,BW$6-1))*MAX(0,SUMIFS($F$81:$ES$81,$F$6:$ES$6,BW$6-1)),0)*BW$9</f>
        <v>0</v>
      </c>
      <c r="BX116" s="34" t="n">
        <f aca="false">IF(AND(BX$7=MAX(1,P_MesDiv),BX$6&gt;=2),INDEX(Payout_O,1,MIN(10,BX$6-1))*MAX(0,SUMIFS($F$81:$ES$81,$F$6:$ES$6,BX$6-1)),0)*BX$9</f>
        <v>0</v>
      </c>
      <c r="BY116" s="34" t="n">
        <f aca="false">IF(AND(BY$7=MAX(1,P_MesDiv),BY$6&gt;=2),INDEX(Payout_O,1,MIN(10,BY$6-1))*MAX(0,SUMIFS($F$81:$ES$81,$F$6:$ES$6,BY$6-1)),0)*BY$9</f>
        <v>0</v>
      </c>
      <c r="BZ116" s="34" t="n">
        <f aca="false">IF(AND(BZ$7=MAX(1,P_MesDiv),BZ$6&gt;=2),INDEX(Payout_O,1,MIN(10,BZ$6-1))*MAX(0,SUMIFS($F$81:$ES$81,$F$6:$ES$6,BZ$6-1)),0)*BZ$9</f>
        <v>0</v>
      </c>
      <c r="CA116" s="34" t="n">
        <f aca="false">IF(AND(CA$7=MAX(1,P_MesDiv),CA$6&gt;=2),INDEX(Payout_O,1,MIN(10,CA$6-1))*MAX(0,SUMIFS($F$81:$ES$81,$F$6:$ES$6,CA$6-1)),0)*CA$9</f>
        <v>0</v>
      </c>
      <c r="CB116" s="34" t="n">
        <f aca="false">IF(AND(CB$7=MAX(1,P_MesDiv),CB$6&gt;=2),INDEX(Payout_O,1,MIN(10,CB$6-1))*MAX(0,SUMIFS($F$81:$ES$81,$F$6:$ES$6,CB$6-1)),0)*CB$9</f>
        <v>0</v>
      </c>
      <c r="CC116" s="34" t="n">
        <f aca="false">IF(AND(CC$7=MAX(1,P_MesDiv),CC$6&gt;=2),INDEX(Payout_O,1,MIN(10,CC$6-1))*MAX(0,SUMIFS($F$81:$ES$81,$F$6:$ES$6,CC$6-1)),0)*CC$9</f>
        <v>0</v>
      </c>
      <c r="CD116" s="34" t="n">
        <f aca="false">IF(AND(CD$7=MAX(1,P_MesDiv),CD$6&gt;=2),INDEX(Payout_O,1,MIN(10,CD$6-1))*MAX(0,SUMIFS($F$81:$ES$81,$F$6:$ES$6,CD$6-1)),0)*CD$9</f>
        <v>0</v>
      </c>
      <c r="CE116" s="34" t="n">
        <f aca="false">IF(AND(CE$7=MAX(1,P_MesDiv),CE$6&gt;=2),INDEX(Payout_O,1,MIN(10,CE$6-1))*MAX(0,SUMIFS($F$81:$ES$81,$F$6:$ES$6,CE$6-1)),0)*CE$9</f>
        <v>0</v>
      </c>
      <c r="CF116" s="34" t="n">
        <f aca="false">IF(AND(CF$7=MAX(1,P_MesDiv),CF$6&gt;=2),INDEX(Payout_O,1,MIN(10,CF$6-1))*MAX(0,SUMIFS($F$81:$ES$81,$F$6:$ES$6,CF$6-1)),0)*CF$9</f>
        <v>0</v>
      </c>
      <c r="CG116" s="34" t="n">
        <f aca="false">IF(AND(CG$7=MAX(1,P_MesDiv),CG$6&gt;=2),INDEX(Payout_O,1,MIN(10,CG$6-1))*MAX(0,SUMIFS($F$81:$ES$81,$F$6:$ES$6,CG$6-1)),0)*CG$9</f>
        <v>0</v>
      </c>
      <c r="CH116" s="34" t="n">
        <f aca="false">IF(AND(CH$7=MAX(1,P_MesDiv),CH$6&gt;=2),INDEX(Payout_O,1,MIN(10,CH$6-1))*MAX(0,SUMIFS($F$81:$ES$81,$F$6:$ES$6,CH$6-1)),0)*CH$9</f>
        <v>0</v>
      </c>
      <c r="CI116" s="34" t="n">
        <f aca="false">IF(AND(CI$7=MAX(1,P_MesDiv),CI$6&gt;=2),INDEX(Payout_O,1,MIN(10,CI$6-1))*MAX(0,SUMIFS($F$81:$ES$81,$F$6:$ES$6,CI$6-1)),0)*CI$9</f>
        <v>0</v>
      </c>
      <c r="CJ116" s="34" t="n">
        <f aca="false">IF(AND(CJ$7=MAX(1,P_MesDiv),CJ$6&gt;=2),INDEX(Payout_O,1,MIN(10,CJ$6-1))*MAX(0,SUMIFS($F$81:$ES$81,$F$6:$ES$6,CJ$6-1)),0)*CJ$9</f>
        <v>0</v>
      </c>
      <c r="CK116" s="34" t="n">
        <f aca="false">IF(AND(CK$7=MAX(1,P_MesDiv),CK$6&gt;=2),INDEX(Payout_O,1,MIN(10,CK$6-1))*MAX(0,SUMIFS($F$81:$ES$81,$F$6:$ES$6,CK$6-1)),0)*CK$9</f>
        <v>0</v>
      </c>
      <c r="CL116" s="34" t="n">
        <f aca="false">IF(AND(CL$7=MAX(1,P_MesDiv),CL$6&gt;=2),INDEX(Payout_O,1,MIN(10,CL$6-1))*MAX(0,SUMIFS($F$81:$ES$81,$F$6:$ES$6,CL$6-1)),0)*CL$9</f>
        <v>0</v>
      </c>
      <c r="CM116" s="34" t="n">
        <f aca="false">IF(AND(CM$7=MAX(1,P_MesDiv),CM$6&gt;=2),INDEX(Payout_O,1,MIN(10,CM$6-1))*MAX(0,SUMIFS($F$81:$ES$81,$F$6:$ES$6,CM$6-1)),0)*CM$9</f>
        <v>0</v>
      </c>
      <c r="CN116" s="34" t="n">
        <f aca="false">IF(AND(CN$7=MAX(1,P_MesDiv),CN$6&gt;=2),INDEX(Payout_O,1,MIN(10,CN$6-1))*MAX(0,SUMIFS($F$81:$ES$81,$F$6:$ES$6,CN$6-1)),0)*CN$9</f>
        <v>0</v>
      </c>
      <c r="CO116" s="34" t="n">
        <f aca="false">IF(AND(CO$7=MAX(1,P_MesDiv),CO$6&gt;=2),INDEX(Payout_O,1,MIN(10,CO$6-1))*MAX(0,SUMIFS($F$81:$ES$81,$F$6:$ES$6,CO$6-1)),0)*CO$9</f>
        <v>0</v>
      </c>
      <c r="CP116" s="34" t="n">
        <f aca="false">IF(AND(CP$7=MAX(1,P_MesDiv),CP$6&gt;=2),INDEX(Payout_O,1,MIN(10,CP$6-1))*MAX(0,SUMIFS($F$81:$ES$81,$F$6:$ES$6,CP$6-1)),0)*CP$9</f>
        <v>0</v>
      </c>
      <c r="CQ116" s="34" t="n">
        <f aca="false">IF(AND(CQ$7=MAX(1,P_MesDiv),CQ$6&gt;=2),INDEX(Payout_O,1,MIN(10,CQ$6-1))*MAX(0,SUMIFS($F$81:$ES$81,$F$6:$ES$6,CQ$6-1)),0)*CQ$9</f>
        <v>0</v>
      </c>
      <c r="CR116" s="34" t="n">
        <f aca="false">IF(AND(CR$7=MAX(1,P_MesDiv),CR$6&gt;=2),INDEX(Payout_O,1,MIN(10,CR$6-1))*MAX(0,SUMIFS($F$81:$ES$81,$F$6:$ES$6,CR$6-1)),0)*CR$9</f>
        <v>0</v>
      </c>
      <c r="CS116" s="34" t="n">
        <f aca="false">IF(AND(CS$7=MAX(1,P_MesDiv),CS$6&gt;=2),INDEX(Payout_O,1,MIN(10,CS$6-1))*MAX(0,SUMIFS($F$81:$ES$81,$F$6:$ES$6,CS$6-1)),0)*CS$9</f>
        <v>0</v>
      </c>
      <c r="CT116" s="34" t="n">
        <f aca="false">IF(AND(CT$7=MAX(1,P_MesDiv),CT$6&gt;=2),INDEX(Payout_O,1,MIN(10,CT$6-1))*MAX(0,SUMIFS($F$81:$ES$81,$F$6:$ES$6,CT$6-1)),0)*CT$9</f>
        <v>0</v>
      </c>
      <c r="CU116" s="34" t="n">
        <f aca="false">IF(AND(CU$7=MAX(1,P_MesDiv),CU$6&gt;=2),INDEX(Payout_O,1,MIN(10,CU$6-1))*MAX(0,SUMIFS($F$81:$ES$81,$F$6:$ES$6,CU$6-1)),0)*CU$9</f>
        <v>0</v>
      </c>
      <c r="CV116" s="34" t="n">
        <f aca="false">IF(AND(CV$7=MAX(1,P_MesDiv),CV$6&gt;=2),INDEX(Payout_O,1,MIN(10,CV$6-1))*MAX(0,SUMIFS($F$81:$ES$81,$F$6:$ES$6,CV$6-1)),0)*CV$9</f>
        <v>0</v>
      </c>
      <c r="CW116" s="34" t="n">
        <f aca="false">IF(AND(CW$7=MAX(1,P_MesDiv),CW$6&gt;=2),INDEX(Payout_O,1,MIN(10,CW$6-1))*MAX(0,SUMIFS($F$81:$ES$81,$F$6:$ES$6,CW$6-1)),0)*CW$9</f>
        <v>0</v>
      </c>
      <c r="CX116" s="34" t="n">
        <f aca="false">IF(AND(CX$7=MAX(1,P_MesDiv),CX$6&gt;=2),INDEX(Payout_O,1,MIN(10,CX$6-1))*MAX(0,SUMIFS($F$81:$ES$81,$F$6:$ES$6,CX$6-1)),0)*CX$9</f>
        <v>0</v>
      </c>
      <c r="CY116" s="34" t="n">
        <f aca="false">IF(AND(CY$7=MAX(1,P_MesDiv),CY$6&gt;=2),INDEX(Payout_O,1,MIN(10,CY$6-1))*MAX(0,SUMIFS($F$81:$ES$81,$F$6:$ES$6,CY$6-1)),0)*CY$9</f>
        <v>0</v>
      </c>
      <c r="CZ116" s="34" t="n">
        <f aca="false">IF(AND(CZ$7=MAX(1,P_MesDiv),CZ$6&gt;=2),INDEX(Payout_O,1,MIN(10,CZ$6-1))*MAX(0,SUMIFS($F$81:$ES$81,$F$6:$ES$6,CZ$6-1)),0)*CZ$9</f>
        <v>0</v>
      </c>
      <c r="DA116" s="34" t="n">
        <f aca="false">IF(AND(DA$7=MAX(1,P_MesDiv),DA$6&gt;=2),INDEX(Payout_O,1,MIN(10,DA$6-1))*MAX(0,SUMIFS($F$81:$ES$81,$F$6:$ES$6,DA$6-1)),0)*DA$9</f>
        <v>0</v>
      </c>
      <c r="DB116" s="34" t="n">
        <f aca="false">IF(AND(DB$7=MAX(1,P_MesDiv),DB$6&gt;=2),INDEX(Payout_O,1,MIN(10,DB$6-1))*MAX(0,SUMIFS($F$81:$ES$81,$F$6:$ES$6,DB$6-1)),0)*DB$9</f>
        <v>0</v>
      </c>
      <c r="DC116" s="34" t="n">
        <f aca="false">IF(AND(DC$7=MAX(1,P_MesDiv),DC$6&gt;=2),INDEX(Payout_O,1,MIN(10,DC$6-1))*MAX(0,SUMIFS($F$81:$ES$81,$F$6:$ES$6,DC$6-1)),0)*DC$9</f>
        <v>0</v>
      </c>
      <c r="DD116" s="34" t="n">
        <f aca="false">IF(AND(DD$7=MAX(1,P_MesDiv),DD$6&gt;=2),INDEX(Payout_O,1,MIN(10,DD$6-1))*MAX(0,SUMIFS($F$81:$ES$81,$F$6:$ES$6,DD$6-1)),0)*DD$9</f>
        <v>0</v>
      </c>
      <c r="DE116" s="34" t="n">
        <f aca="false">IF(AND(DE$7=MAX(1,P_MesDiv),DE$6&gt;=2),INDEX(Payout_O,1,MIN(10,DE$6-1))*MAX(0,SUMIFS($F$81:$ES$81,$F$6:$ES$6,DE$6-1)),0)*DE$9</f>
        <v>0</v>
      </c>
      <c r="DF116" s="34" t="n">
        <f aca="false">IF(AND(DF$7=MAX(1,P_MesDiv),DF$6&gt;=2),INDEX(Payout_O,1,MIN(10,DF$6-1))*MAX(0,SUMIFS($F$81:$ES$81,$F$6:$ES$6,DF$6-1)),0)*DF$9</f>
        <v>0</v>
      </c>
      <c r="DG116" s="34" t="n">
        <f aca="false">IF(AND(DG$7=MAX(1,P_MesDiv),DG$6&gt;=2),INDEX(Payout_O,1,MIN(10,DG$6-1))*MAX(0,SUMIFS($F$81:$ES$81,$F$6:$ES$6,DG$6-1)),0)*DG$9</f>
        <v>0</v>
      </c>
      <c r="DH116" s="34" t="n">
        <f aca="false">IF(AND(DH$7=MAX(1,P_MesDiv),DH$6&gt;=2),INDEX(Payout_O,1,MIN(10,DH$6-1))*MAX(0,SUMIFS($F$81:$ES$81,$F$6:$ES$6,DH$6-1)),0)*DH$9</f>
        <v>0</v>
      </c>
      <c r="DI116" s="34" t="n">
        <f aca="false">IF(AND(DI$7=MAX(1,P_MesDiv),DI$6&gt;=2),INDEX(Payout_O,1,MIN(10,DI$6-1))*MAX(0,SUMIFS($F$81:$ES$81,$F$6:$ES$6,DI$6-1)),0)*DI$9</f>
        <v>0</v>
      </c>
      <c r="DJ116" s="34" t="n">
        <f aca="false">IF(AND(DJ$7=MAX(1,P_MesDiv),DJ$6&gt;=2),INDEX(Payout_O,1,MIN(10,DJ$6-1))*MAX(0,SUMIFS($F$81:$ES$81,$F$6:$ES$6,DJ$6-1)),0)*DJ$9</f>
        <v>0</v>
      </c>
      <c r="DK116" s="34" t="n">
        <f aca="false">IF(AND(DK$7=MAX(1,P_MesDiv),DK$6&gt;=2),INDEX(Payout_O,1,MIN(10,DK$6-1))*MAX(0,SUMIFS($F$81:$ES$81,$F$6:$ES$6,DK$6-1)),0)*DK$9</f>
        <v>0</v>
      </c>
      <c r="DL116" s="34" t="n">
        <f aca="false">IF(AND(DL$7=MAX(1,P_MesDiv),DL$6&gt;=2),INDEX(Payout_O,1,MIN(10,DL$6-1))*MAX(0,SUMIFS($F$81:$ES$81,$F$6:$ES$6,DL$6-1)),0)*DL$9</f>
        <v>0</v>
      </c>
      <c r="DM116" s="34" t="n">
        <f aca="false">IF(AND(DM$7=MAX(1,P_MesDiv),DM$6&gt;=2),INDEX(Payout_O,1,MIN(10,DM$6-1))*MAX(0,SUMIFS($F$81:$ES$81,$F$6:$ES$6,DM$6-1)),0)*DM$9</f>
        <v>0</v>
      </c>
      <c r="DN116" s="34" t="n">
        <f aca="false">IF(AND(DN$7=MAX(1,P_MesDiv),DN$6&gt;=2),INDEX(Payout_O,1,MIN(10,DN$6-1))*MAX(0,SUMIFS($F$81:$ES$81,$F$6:$ES$6,DN$6-1)),0)*DN$9</f>
        <v>0</v>
      </c>
      <c r="DO116" s="34" t="n">
        <f aca="false">IF(AND(DO$7=MAX(1,P_MesDiv),DO$6&gt;=2),INDEX(Payout_O,1,MIN(10,DO$6-1))*MAX(0,SUMIFS($F$81:$ES$81,$F$6:$ES$6,DO$6-1)),0)*DO$9</f>
        <v>0</v>
      </c>
      <c r="DP116" s="34" t="n">
        <f aca="false">IF(AND(DP$7=MAX(1,P_MesDiv),DP$6&gt;=2),INDEX(Payout_O,1,MIN(10,DP$6-1))*MAX(0,SUMIFS($F$81:$ES$81,$F$6:$ES$6,DP$6-1)),0)*DP$9</f>
        <v>0</v>
      </c>
      <c r="DQ116" s="34" t="n">
        <f aca="false">IF(AND(DQ$7=MAX(1,P_MesDiv),DQ$6&gt;=2),INDEX(Payout_O,1,MIN(10,DQ$6-1))*MAX(0,SUMIFS($F$81:$ES$81,$F$6:$ES$6,DQ$6-1)),0)*DQ$9</f>
        <v>0</v>
      </c>
      <c r="DR116" s="34" t="n">
        <f aca="false">IF(AND(DR$7=MAX(1,P_MesDiv),DR$6&gt;=2),INDEX(Payout_O,1,MIN(10,DR$6-1))*MAX(0,SUMIFS($F$81:$ES$81,$F$6:$ES$6,DR$6-1)),0)*DR$9</f>
        <v>0</v>
      </c>
      <c r="DS116" s="34" t="n">
        <f aca="false">IF(AND(DS$7=MAX(1,P_MesDiv),DS$6&gt;=2),INDEX(Payout_O,1,MIN(10,DS$6-1))*MAX(0,SUMIFS($F$81:$ES$81,$F$6:$ES$6,DS$6-1)),0)*DS$9</f>
        <v>0</v>
      </c>
      <c r="DT116" s="34" t="n">
        <f aca="false">IF(AND(DT$7=MAX(1,P_MesDiv),DT$6&gt;=2),INDEX(Payout_O,1,MIN(10,DT$6-1))*MAX(0,SUMIFS($F$81:$ES$81,$F$6:$ES$6,DT$6-1)),0)*DT$9</f>
        <v>0</v>
      </c>
      <c r="DU116" s="34" t="n">
        <f aca="false">IF(AND(DU$7=MAX(1,P_MesDiv),DU$6&gt;=2),INDEX(Payout_O,1,MIN(10,DU$6-1))*MAX(0,SUMIFS($F$81:$ES$81,$F$6:$ES$6,DU$6-1)),0)*DU$9</f>
        <v>0</v>
      </c>
      <c r="DV116" s="34" t="n">
        <f aca="false">IF(AND(DV$7=MAX(1,P_MesDiv),DV$6&gt;=2),INDEX(Payout_O,1,MIN(10,DV$6-1))*MAX(0,SUMIFS($F$81:$ES$81,$F$6:$ES$6,DV$6-1)),0)*DV$9</f>
        <v>0</v>
      </c>
      <c r="DW116" s="34" t="n">
        <f aca="false">IF(AND(DW$7=MAX(1,P_MesDiv),DW$6&gt;=2),INDEX(Payout_O,1,MIN(10,DW$6-1))*MAX(0,SUMIFS($F$81:$ES$81,$F$6:$ES$6,DW$6-1)),0)*DW$9</f>
        <v>0</v>
      </c>
      <c r="DX116" s="34" t="n">
        <f aca="false">IF(AND(DX$7=MAX(1,P_MesDiv),DX$6&gt;=2),INDEX(Payout_O,1,MIN(10,DX$6-1))*MAX(0,SUMIFS($F$81:$ES$81,$F$6:$ES$6,DX$6-1)),0)*DX$9</f>
        <v>0</v>
      </c>
      <c r="DY116" s="34" t="n">
        <f aca="false">IF(AND(DY$7=MAX(1,P_MesDiv),DY$6&gt;=2),INDEX(Payout_O,1,MIN(10,DY$6-1))*MAX(0,SUMIFS($F$81:$ES$81,$F$6:$ES$6,DY$6-1)),0)*DY$9</f>
        <v>0</v>
      </c>
      <c r="DZ116" s="34" t="n">
        <f aca="false">IF(AND(DZ$7=MAX(1,P_MesDiv),DZ$6&gt;=2),INDEX(Payout_O,1,MIN(10,DZ$6-1))*MAX(0,SUMIFS($F$81:$ES$81,$F$6:$ES$6,DZ$6-1)),0)*DZ$9</f>
        <v>0</v>
      </c>
      <c r="EA116" s="34" t="n">
        <f aca="false">IF(AND(EA$7=MAX(1,P_MesDiv),EA$6&gt;=2),INDEX(Payout_O,1,MIN(10,EA$6-1))*MAX(0,SUMIFS($F$81:$ES$81,$F$6:$ES$6,EA$6-1)),0)*EA$9</f>
        <v>0</v>
      </c>
      <c r="EB116" s="34" t="n">
        <f aca="false">IF(AND(EB$7=MAX(1,P_MesDiv),EB$6&gt;=2),INDEX(Payout_O,1,MIN(10,EB$6-1))*MAX(0,SUMIFS($F$81:$ES$81,$F$6:$ES$6,EB$6-1)),0)*EB$9</f>
        <v>0</v>
      </c>
      <c r="EC116" s="34" t="n">
        <f aca="false">IF(AND(EC$7=MAX(1,P_MesDiv),EC$6&gt;=2),INDEX(Payout_O,1,MIN(10,EC$6-1))*MAX(0,SUMIFS($F$81:$ES$81,$F$6:$ES$6,EC$6-1)),0)*EC$9</f>
        <v>0</v>
      </c>
      <c r="ED116" s="34" t="n">
        <f aca="false">IF(AND(ED$7=MAX(1,P_MesDiv),ED$6&gt;=2),INDEX(Payout_O,1,MIN(10,ED$6-1))*MAX(0,SUMIFS($F$81:$ES$81,$F$6:$ES$6,ED$6-1)),0)*ED$9</f>
        <v>0</v>
      </c>
      <c r="EE116" s="34" t="n">
        <f aca="false">IF(AND(EE$7=MAX(1,P_MesDiv),EE$6&gt;=2),INDEX(Payout_O,1,MIN(10,EE$6-1))*MAX(0,SUMIFS($F$81:$ES$81,$F$6:$ES$6,EE$6-1)),0)*EE$9</f>
        <v>0</v>
      </c>
      <c r="EF116" s="34" t="n">
        <f aca="false">IF(AND(EF$7=MAX(1,P_MesDiv),EF$6&gt;=2),INDEX(Payout_O,1,MIN(10,EF$6-1))*MAX(0,SUMIFS($F$81:$ES$81,$F$6:$ES$6,EF$6-1)),0)*EF$9</f>
        <v>0</v>
      </c>
      <c r="EG116" s="34" t="n">
        <f aca="false">IF(AND(EG$7=MAX(1,P_MesDiv),EG$6&gt;=2),INDEX(Payout_O,1,MIN(10,EG$6-1))*MAX(0,SUMIFS($F$81:$ES$81,$F$6:$ES$6,EG$6-1)),0)*EG$9</f>
        <v>0</v>
      </c>
      <c r="EH116" s="34" t="n">
        <f aca="false">IF(AND(EH$7=MAX(1,P_MesDiv),EH$6&gt;=2),INDEX(Payout_O,1,MIN(10,EH$6-1))*MAX(0,SUMIFS($F$81:$ES$81,$F$6:$ES$6,EH$6-1)),0)*EH$9</f>
        <v>0</v>
      </c>
      <c r="EI116" s="34" t="n">
        <f aca="false">IF(AND(EI$7=MAX(1,P_MesDiv),EI$6&gt;=2),INDEX(Payout_O,1,MIN(10,EI$6-1))*MAX(0,SUMIFS($F$81:$ES$81,$F$6:$ES$6,EI$6-1)),0)*EI$9</f>
        <v>0</v>
      </c>
      <c r="EJ116" s="34" t="n">
        <f aca="false">IF(AND(EJ$7=MAX(1,P_MesDiv),EJ$6&gt;=2),INDEX(Payout_O,1,MIN(10,EJ$6-1))*MAX(0,SUMIFS($F$81:$ES$81,$F$6:$ES$6,EJ$6-1)),0)*EJ$9</f>
        <v>0</v>
      </c>
      <c r="EK116" s="34" t="n">
        <f aca="false">IF(AND(EK$7=MAX(1,P_MesDiv),EK$6&gt;=2),INDEX(Payout_O,1,MIN(10,EK$6-1))*MAX(0,SUMIFS($F$81:$ES$81,$F$6:$ES$6,EK$6-1)),0)*EK$9</f>
        <v>0</v>
      </c>
      <c r="EL116" s="34" t="n">
        <f aca="false">IF(AND(EL$7=MAX(1,P_MesDiv),EL$6&gt;=2),INDEX(Payout_O,1,MIN(10,EL$6-1))*MAX(0,SUMIFS($F$81:$ES$81,$F$6:$ES$6,EL$6-1)),0)*EL$9</f>
        <v>0</v>
      </c>
      <c r="EM116" s="34" t="n">
        <f aca="false">IF(AND(EM$7=MAX(1,P_MesDiv),EM$6&gt;=2),INDEX(Payout_O,1,MIN(10,EM$6-1))*MAX(0,SUMIFS($F$81:$ES$81,$F$6:$ES$6,EM$6-1)),0)*EM$9</f>
        <v>0</v>
      </c>
      <c r="EN116" s="34" t="n">
        <f aca="false">IF(AND(EN$7=MAX(1,P_MesDiv),EN$6&gt;=2),INDEX(Payout_O,1,MIN(10,EN$6-1))*MAX(0,SUMIFS($F$81:$ES$81,$F$6:$ES$6,EN$6-1)),0)*EN$9</f>
        <v>0</v>
      </c>
      <c r="EO116" s="34" t="n">
        <f aca="false">IF(AND(EO$7=MAX(1,P_MesDiv),EO$6&gt;=2),INDEX(Payout_O,1,MIN(10,EO$6-1))*MAX(0,SUMIFS($F$81:$ES$81,$F$6:$ES$6,EO$6-1)),0)*EO$9</f>
        <v>0</v>
      </c>
      <c r="EP116" s="34" t="n">
        <f aca="false">IF(AND(EP$7=MAX(1,P_MesDiv),EP$6&gt;=2),INDEX(Payout_O,1,MIN(10,EP$6-1))*MAX(0,SUMIFS($F$81:$ES$81,$F$6:$ES$6,EP$6-1)),0)*EP$9</f>
        <v>0</v>
      </c>
      <c r="EQ116" s="34" t="n">
        <f aca="false">IF(AND(EQ$7=MAX(1,P_MesDiv),EQ$6&gt;=2),INDEX(Payout_O,1,MIN(10,EQ$6-1))*MAX(0,SUMIFS($F$81:$ES$81,$F$6:$ES$6,EQ$6-1)),0)*EQ$9</f>
        <v>0</v>
      </c>
      <c r="ER116" s="34" t="n">
        <f aca="false">IF(AND(ER$7=MAX(1,P_MesDiv),ER$6&gt;=2),INDEX(Payout_O,1,MIN(10,ER$6-1))*MAX(0,SUMIFS($F$81:$ES$81,$F$6:$ES$6,ER$6-1)),0)*ER$9</f>
        <v>0</v>
      </c>
      <c r="ES116" s="34" t="n">
        <f aca="false">IF(AND(ES$7=MAX(1,P_MesDiv),ES$6&gt;=2),INDEX(Payout_O,1,MIN(10,ES$6-1))*MAX(0,SUMIFS($F$81:$ES$81,$F$6:$ES$6,ES$6-1)),0)*ES$9</f>
        <v>0</v>
      </c>
    </row>
    <row r="117" customFormat="false" ht="15" hidden="false" customHeight="false" outlineLevel="0" collapsed="false">
      <c r="A117" s="2" t="s">
        <v>589</v>
      </c>
      <c r="B117" s="6" t="s">
        <v>590</v>
      </c>
      <c r="C117" s="6" t="s">
        <v>212</v>
      </c>
      <c r="E117" s="40" t="n">
        <f aca="false">SUM(F117:ES117)</f>
        <v>0</v>
      </c>
      <c r="F117" s="34" t="n">
        <f aca="false">MIN(F$116,MAX(0,F$114-F$115))</f>
        <v>0</v>
      </c>
      <c r="G117" s="34" t="n">
        <f aca="false">MIN(G$116,MAX(0,G$114-G$115))</f>
        <v>0</v>
      </c>
      <c r="H117" s="34" t="n">
        <f aca="false">MIN(H$116,MAX(0,H$114-H$115))</f>
        <v>0</v>
      </c>
      <c r="I117" s="34" t="n">
        <f aca="false">MIN(I$116,MAX(0,I$114-I$115))</f>
        <v>0</v>
      </c>
      <c r="J117" s="34" t="n">
        <f aca="false">MIN(J$116,MAX(0,J$114-J$115))</f>
        <v>0</v>
      </c>
      <c r="K117" s="34" t="n">
        <f aca="false">MIN(K$116,MAX(0,K$114-K$115))</f>
        <v>0</v>
      </c>
      <c r="L117" s="34" t="n">
        <f aca="false">MIN(L$116,MAX(0,L$114-L$115))</f>
        <v>0</v>
      </c>
      <c r="M117" s="34" t="n">
        <f aca="false">MIN(M$116,MAX(0,M$114-M$115))</f>
        <v>0</v>
      </c>
      <c r="N117" s="34" t="n">
        <f aca="false">MIN(N$116,MAX(0,N$114-N$115))</f>
        <v>0</v>
      </c>
      <c r="O117" s="34" t="n">
        <f aca="false">MIN(O$116,MAX(0,O$114-O$115))</f>
        <v>0</v>
      </c>
      <c r="P117" s="34" t="n">
        <f aca="false">MIN(P$116,MAX(0,P$114-P$115))</f>
        <v>0</v>
      </c>
      <c r="Q117" s="34" t="n">
        <f aca="false">MIN(Q$116,MAX(0,Q$114-Q$115))</f>
        <v>0</v>
      </c>
      <c r="R117" s="34" t="n">
        <f aca="false">MIN(R$116,MAX(0,R$114-R$115))</f>
        <v>0</v>
      </c>
      <c r="S117" s="34" t="n">
        <f aca="false">MIN(S$116,MAX(0,S$114-S$115))</f>
        <v>0</v>
      </c>
      <c r="T117" s="34" t="n">
        <f aca="false">MIN(T$116,MAX(0,T$114-T$115))</f>
        <v>0</v>
      </c>
      <c r="U117" s="34" t="n">
        <f aca="false">MIN(U$116,MAX(0,U$114-U$115))</f>
        <v>0</v>
      </c>
      <c r="V117" s="34" t="n">
        <f aca="false">MIN(V$116,MAX(0,V$114-V$115))</f>
        <v>0</v>
      </c>
      <c r="W117" s="34" t="n">
        <f aca="false">MIN(W$116,MAX(0,W$114-W$115))</f>
        <v>0</v>
      </c>
      <c r="X117" s="34" t="n">
        <f aca="false">MIN(X$116,MAX(0,X$114-X$115))</f>
        <v>0</v>
      </c>
      <c r="Y117" s="34" t="n">
        <f aca="false">MIN(Y$116,MAX(0,Y$114-Y$115))</f>
        <v>0</v>
      </c>
      <c r="Z117" s="34" t="n">
        <f aca="false">MIN(Z$116,MAX(0,Z$114-Z$115))</f>
        <v>0</v>
      </c>
      <c r="AA117" s="34" t="n">
        <f aca="false">MIN(AA$116,MAX(0,AA$114-AA$115))</f>
        <v>0</v>
      </c>
      <c r="AB117" s="34" t="n">
        <f aca="false">MIN(AB$116,MAX(0,AB$114-AB$115))</f>
        <v>0</v>
      </c>
      <c r="AC117" s="34" t="n">
        <f aca="false">MIN(AC$116,MAX(0,AC$114-AC$115))</f>
        <v>0</v>
      </c>
      <c r="AD117" s="34" t="n">
        <f aca="false">MIN(AD$116,MAX(0,AD$114-AD$115))</f>
        <v>0</v>
      </c>
      <c r="AE117" s="34" t="n">
        <f aca="false">MIN(AE$116,MAX(0,AE$114-AE$115))</f>
        <v>0</v>
      </c>
      <c r="AF117" s="34" t="n">
        <f aca="false">MIN(AF$116,MAX(0,AF$114-AF$115))</f>
        <v>0</v>
      </c>
      <c r="AG117" s="34" t="n">
        <f aca="false">MIN(AG$116,MAX(0,AG$114-AG$115))</f>
        <v>0</v>
      </c>
      <c r="AH117" s="34" t="n">
        <f aca="false">MIN(AH$116,MAX(0,AH$114-AH$115))</f>
        <v>0</v>
      </c>
      <c r="AI117" s="34" t="n">
        <f aca="false">MIN(AI$116,MAX(0,AI$114-AI$115))</f>
        <v>0</v>
      </c>
      <c r="AJ117" s="34" t="n">
        <f aca="false">MIN(AJ$116,MAX(0,AJ$114-AJ$115))</f>
        <v>0</v>
      </c>
      <c r="AK117" s="34" t="n">
        <f aca="false">MIN(AK$116,MAX(0,AK$114-AK$115))</f>
        <v>0</v>
      </c>
      <c r="AL117" s="34" t="n">
        <f aca="false">MIN(AL$116,MAX(0,AL$114-AL$115))</f>
        <v>0</v>
      </c>
      <c r="AM117" s="34" t="n">
        <f aca="false">MIN(AM$116,MAX(0,AM$114-AM$115))</f>
        <v>0</v>
      </c>
      <c r="AN117" s="34" t="n">
        <f aca="false">MIN(AN$116,MAX(0,AN$114-AN$115))</f>
        <v>0</v>
      </c>
      <c r="AO117" s="34" t="n">
        <f aca="false">MIN(AO$116,MAX(0,AO$114-AO$115))</f>
        <v>0</v>
      </c>
      <c r="AP117" s="34" t="n">
        <f aca="false">MIN(AP$116,MAX(0,AP$114-AP$115))</f>
        <v>0</v>
      </c>
      <c r="AQ117" s="34" t="n">
        <f aca="false">MIN(AQ$116,MAX(0,AQ$114-AQ$115))</f>
        <v>0</v>
      </c>
      <c r="AR117" s="34" t="n">
        <f aca="false">MIN(AR$116,MAX(0,AR$114-AR$115))</f>
        <v>0</v>
      </c>
      <c r="AS117" s="34" t="n">
        <f aca="false">MIN(AS$116,MAX(0,AS$114-AS$115))</f>
        <v>0</v>
      </c>
      <c r="AT117" s="34" t="n">
        <f aca="false">MIN(AT$116,MAX(0,AT$114-AT$115))</f>
        <v>0</v>
      </c>
      <c r="AU117" s="34" t="n">
        <f aca="false">MIN(AU$116,MAX(0,AU$114-AU$115))</f>
        <v>0</v>
      </c>
      <c r="AV117" s="34" t="n">
        <f aca="false">MIN(AV$116,MAX(0,AV$114-AV$115))</f>
        <v>0</v>
      </c>
      <c r="AW117" s="34" t="n">
        <f aca="false">MIN(AW$116,MAX(0,AW$114-AW$115))</f>
        <v>0</v>
      </c>
      <c r="AX117" s="34" t="n">
        <f aca="false">MIN(AX$116,MAX(0,AX$114-AX$115))</f>
        <v>0</v>
      </c>
      <c r="AY117" s="34" t="n">
        <f aca="false">MIN(AY$116,MAX(0,AY$114-AY$115))</f>
        <v>0</v>
      </c>
      <c r="AZ117" s="34" t="n">
        <f aca="false">MIN(AZ$116,MAX(0,AZ$114-AZ$115))</f>
        <v>0</v>
      </c>
      <c r="BA117" s="34" t="n">
        <f aca="false">MIN(BA$116,MAX(0,BA$114-BA$115))</f>
        <v>0</v>
      </c>
      <c r="BB117" s="34" t="n">
        <f aca="false">MIN(BB$116,MAX(0,BB$114-BB$115))</f>
        <v>0</v>
      </c>
      <c r="BC117" s="34" t="n">
        <f aca="false">MIN(BC$116,MAX(0,BC$114-BC$115))</f>
        <v>0</v>
      </c>
      <c r="BD117" s="34" t="n">
        <f aca="false">MIN(BD$116,MAX(0,BD$114-BD$115))</f>
        <v>0</v>
      </c>
      <c r="BE117" s="34" t="n">
        <f aca="false">MIN(BE$116,MAX(0,BE$114-BE$115))</f>
        <v>0</v>
      </c>
      <c r="BF117" s="34" t="n">
        <f aca="false">MIN(BF$116,MAX(0,BF$114-BF$115))</f>
        <v>0</v>
      </c>
      <c r="BG117" s="34" t="n">
        <f aca="false">MIN(BG$116,MAX(0,BG$114-BG$115))</f>
        <v>0</v>
      </c>
      <c r="BH117" s="34" t="n">
        <f aca="false">MIN(BH$116,MAX(0,BH$114-BH$115))</f>
        <v>0</v>
      </c>
      <c r="BI117" s="34" t="n">
        <f aca="false">MIN(BI$116,MAX(0,BI$114-BI$115))</f>
        <v>0</v>
      </c>
      <c r="BJ117" s="34" t="n">
        <f aca="false">MIN(BJ$116,MAX(0,BJ$114-BJ$115))</f>
        <v>0</v>
      </c>
      <c r="BK117" s="34" t="n">
        <f aca="false">MIN(BK$116,MAX(0,BK$114-BK$115))</f>
        <v>0</v>
      </c>
      <c r="BL117" s="34" t="n">
        <f aca="false">MIN(BL$116,MAX(0,BL$114-BL$115))</f>
        <v>0</v>
      </c>
      <c r="BM117" s="34" t="n">
        <f aca="false">MIN(BM$116,MAX(0,BM$114-BM$115))</f>
        <v>0</v>
      </c>
      <c r="BN117" s="34" t="n">
        <f aca="false">MIN(BN$116,MAX(0,BN$114-BN$115))</f>
        <v>0</v>
      </c>
      <c r="BO117" s="34" t="n">
        <f aca="false">MIN(BO$116,MAX(0,BO$114-BO$115))</f>
        <v>0</v>
      </c>
      <c r="BP117" s="34" t="n">
        <f aca="false">MIN(BP$116,MAX(0,BP$114-BP$115))</f>
        <v>0</v>
      </c>
      <c r="BQ117" s="34" t="n">
        <f aca="false">MIN(BQ$116,MAX(0,BQ$114-BQ$115))</f>
        <v>0</v>
      </c>
      <c r="BR117" s="34" t="n">
        <f aca="false">MIN(BR$116,MAX(0,BR$114-BR$115))</f>
        <v>0</v>
      </c>
      <c r="BS117" s="34" t="n">
        <f aca="false">MIN(BS$116,MAX(0,BS$114-BS$115))</f>
        <v>0</v>
      </c>
      <c r="BT117" s="34" t="n">
        <f aca="false">MIN(BT$116,MAX(0,BT$114-BT$115))</f>
        <v>0</v>
      </c>
      <c r="BU117" s="34" t="n">
        <f aca="false">MIN(BU$116,MAX(0,BU$114-BU$115))</f>
        <v>0</v>
      </c>
      <c r="BV117" s="34" t="n">
        <f aca="false">MIN(BV$116,MAX(0,BV$114-BV$115))</f>
        <v>0</v>
      </c>
      <c r="BW117" s="34" t="n">
        <f aca="false">MIN(BW$116,MAX(0,BW$114-BW$115))</f>
        <v>0</v>
      </c>
      <c r="BX117" s="34" t="n">
        <f aca="false">MIN(BX$116,MAX(0,BX$114-BX$115))</f>
        <v>0</v>
      </c>
      <c r="BY117" s="34" t="n">
        <f aca="false">MIN(BY$116,MAX(0,BY$114-BY$115))</f>
        <v>0</v>
      </c>
      <c r="BZ117" s="34" t="n">
        <f aca="false">MIN(BZ$116,MAX(0,BZ$114-BZ$115))</f>
        <v>0</v>
      </c>
      <c r="CA117" s="34" t="n">
        <f aca="false">MIN(CA$116,MAX(0,CA$114-CA$115))</f>
        <v>0</v>
      </c>
      <c r="CB117" s="34" t="n">
        <f aca="false">MIN(CB$116,MAX(0,CB$114-CB$115))</f>
        <v>0</v>
      </c>
      <c r="CC117" s="34" t="n">
        <f aca="false">MIN(CC$116,MAX(0,CC$114-CC$115))</f>
        <v>0</v>
      </c>
      <c r="CD117" s="34" t="n">
        <f aca="false">MIN(CD$116,MAX(0,CD$114-CD$115))</f>
        <v>0</v>
      </c>
      <c r="CE117" s="34" t="n">
        <f aca="false">MIN(CE$116,MAX(0,CE$114-CE$115))</f>
        <v>0</v>
      </c>
      <c r="CF117" s="34" t="n">
        <f aca="false">MIN(CF$116,MAX(0,CF$114-CF$115))</f>
        <v>0</v>
      </c>
      <c r="CG117" s="34" t="n">
        <f aca="false">MIN(CG$116,MAX(0,CG$114-CG$115))</f>
        <v>0</v>
      </c>
      <c r="CH117" s="34" t="n">
        <f aca="false">MIN(CH$116,MAX(0,CH$114-CH$115))</f>
        <v>0</v>
      </c>
      <c r="CI117" s="34" t="n">
        <f aca="false">MIN(CI$116,MAX(0,CI$114-CI$115))</f>
        <v>0</v>
      </c>
      <c r="CJ117" s="34" t="n">
        <f aca="false">MIN(CJ$116,MAX(0,CJ$114-CJ$115))</f>
        <v>0</v>
      </c>
      <c r="CK117" s="34" t="n">
        <f aca="false">MIN(CK$116,MAX(0,CK$114-CK$115))</f>
        <v>0</v>
      </c>
      <c r="CL117" s="34" t="n">
        <f aca="false">MIN(CL$116,MAX(0,CL$114-CL$115))</f>
        <v>0</v>
      </c>
      <c r="CM117" s="34" t="n">
        <f aca="false">MIN(CM$116,MAX(0,CM$114-CM$115))</f>
        <v>0</v>
      </c>
      <c r="CN117" s="34" t="n">
        <f aca="false">MIN(CN$116,MAX(0,CN$114-CN$115))</f>
        <v>0</v>
      </c>
      <c r="CO117" s="34" t="n">
        <f aca="false">MIN(CO$116,MAX(0,CO$114-CO$115))</f>
        <v>0</v>
      </c>
      <c r="CP117" s="34" t="n">
        <f aca="false">MIN(CP$116,MAX(0,CP$114-CP$115))</f>
        <v>0</v>
      </c>
      <c r="CQ117" s="34" t="n">
        <f aca="false">MIN(CQ$116,MAX(0,CQ$114-CQ$115))</f>
        <v>0</v>
      </c>
      <c r="CR117" s="34" t="n">
        <f aca="false">MIN(CR$116,MAX(0,CR$114-CR$115))</f>
        <v>0</v>
      </c>
      <c r="CS117" s="34" t="n">
        <f aca="false">MIN(CS$116,MAX(0,CS$114-CS$115))</f>
        <v>0</v>
      </c>
      <c r="CT117" s="34" t="n">
        <f aca="false">MIN(CT$116,MAX(0,CT$114-CT$115))</f>
        <v>0</v>
      </c>
      <c r="CU117" s="34" t="n">
        <f aca="false">MIN(CU$116,MAX(0,CU$114-CU$115))</f>
        <v>0</v>
      </c>
      <c r="CV117" s="34" t="n">
        <f aca="false">MIN(CV$116,MAX(0,CV$114-CV$115))</f>
        <v>0</v>
      </c>
      <c r="CW117" s="34" t="n">
        <f aca="false">MIN(CW$116,MAX(0,CW$114-CW$115))</f>
        <v>0</v>
      </c>
      <c r="CX117" s="34" t="n">
        <f aca="false">MIN(CX$116,MAX(0,CX$114-CX$115))</f>
        <v>0</v>
      </c>
      <c r="CY117" s="34" t="n">
        <f aca="false">MIN(CY$116,MAX(0,CY$114-CY$115))</f>
        <v>0</v>
      </c>
      <c r="CZ117" s="34" t="n">
        <f aca="false">MIN(CZ$116,MAX(0,CZ$114-CZ$115))</f>
        <v>0</v>
      </c>
      <c r="DA117" s="34" t="n">
        <f aca="false">MIN(DA$116,MAX(0,DA$114-DA$115))</f>
        <v>0</v>
      </c>
      <c r="DB117" s="34" t="n">
        <f aca="false">MIN(DB$116,MAX(0,DB$114-DB$115))</f>
        <v>0</v>
      </c>
      <c r="DC117" s="34" t="n">
        <f aca="false">MIN(DC$116,MAX(0,DC$114-DC$115))</f>
        <v>0</v>
      </c>
      <c r="DD117" s="34" t="n">
        <f aca="false">MIN(DD$116,MAX(0,DD$114-DD$115))</f>
        <v>0</v>
      </c>
      <c r="DE117" s="34" t="n">
        <f aca="false">MIN(DE$116,MAX(0,DE$114-DE$115))</f>
        <v>0</v>
      </c>
      <c r="DF117" s="34" t="n">
        <f aca="false">MIN(DF$116,MAX(0,DF$114-DF$115))</f>
        <v>0</v>
      </c>
      <c r="DG117" s="34" t="n">
        <f aca="false">MIN(DG$116,MAX(0,DG$114-DG$115))</f>
        <v>0</v>
      </c>
      <c r="DH117" s="34" t="n">
        <f aca="false">MIN(DH$116,MAX(0,DH$114-DH$115))</f>
        <v>0</v>
      </c>
      <c r="DI117" s="34" t="n">
        <f aca="false">MIN(DI$116,MAX(0,DI$114-DI$115))</f>
        <v>0</v>
      </c>
      <c r="DJ117" s="34" t="n">
        <f aca="false">MIN(DJ$116,MAX(0,DJ$114-DJ$115))</f>
        <v>0</v>
      </c>
      <c r="DK117" s="34" t="n">
        <f aca="false">MIN(DK$116,MAX(0,DK$114-DK$115))</f>
        <v>0</v>
      </c>
      <c r="DL117" s="34" t="n">
        <f aca="false">MIN(DL$116,MAX(0,DL$114-DL$115))</f>
        <v>0</v>
      </c>
      <c r="DM117" s="34" t="n">
        <f aca="false">MIN(DM$116,MAX(0,DM$114-DM$115))</f>
        <v>0</v>
      </c>
      <c r="DN117" s="34" t="n">
        <f aca="false">MIN(DN$116,MAX(0,DN$114-DN$115))</f>
        <v>0</v>
      </c>
      <c r="DO117" s="34" t="n">
        <f aca="false">MIN(DO$116,MAX(0,DO$114-DO$115))</f>
        <v>0</v>
      </c>
      <c r="DP117" s="34" t="n">
        <f aca="false">MIN(DP$116,MAX(0,DP$114-DP$115))</f>
        <v>0</v>
      </c>
      <c r="DQ117" s="34" t="n">
        <f aca="false">MIN(DQ$116,MAX(0,DQ$114-DQ$115))</f>
        <v>0</v>
      </c>
      <c r="DR117" s="34" t="n">
        <f aca="false">MIN(DR$116,MAX(0,DR$114-DR$115))</f>
        <v>0</v>
      </c>
      <c r="DS117" s="34" t="n">
        <f aca="false">MIN(DS$116,MAX(0,DS$114-DS$115))</f>
        <v>0</v>
      </c>
      <c r="DT117" s="34" t="n">
        <f aca="false">MIN(DT$116,MAX(0,DT$114-DT$115))</f>
        <v>0</v>
      </c>
      <c r="DU117" s="34" t="n">
        <f aca="false">MIN(DU$116,MAX(0,DU$114-DU$115))</f>
        <v>0</v>
      </c>
      <c r="DV117" s="34" t="n">
        <f aca="false">MIN(DV$116,MAX(0,DV$114-DV$115))</f>
        <v>0</v>
      </c>
      <c r="DW117" s="34" t="n">
        <f aca="false">MIN(DW$116,MAX(0,DW$114-DW$115))</f>
        <v>0</v>
      </c>
      <c r="DX117" s="34" t="n">
        <f aca="false">MIN(DX$116,MAX(0,DX$114-DX$115))</f>
        <v>0</v>
      </c>
      <c r="DY117" s="34" t="n">
        <f aca="false">MIN(DY$116,MAX(0,DY$114-DY$115))</f>
        <v>0</v>
      </c>
      <c r="DZ117" s="34" t="n">
        <f aca="false">MIN(DZ$116,MAX(0,DZ$114-DZ$115))</f>
        <v>0</v>
      </c>
      <c r="EA117" s="34" t="n">
        <f aca="false">MIN(EA$116,MAX(0,EA$114-EA$115))</f>
        <v>0</v>
      </c>
      <c r="EB117" s="34" t="n">
        <f aca="false">MIN(EB$116,MAX(0,EB$114-EB$115))</f>
        <v>0</v>
      </c>
      <c r="EC117" s="34" t="n">
        <f aca="false">MIN(EC$116,MAX(0,EC$114-EC$115))</f>
        <v>0</v>
      </c>
      <c r="ED117" s="34" t="n">
        <f aca="false">MIN(ED$116,MAX(0,ED$114-ED$115))</f>
        <v>0</v>
      </c>
      <c r="EE117" s="34" t="n">
        <f aca="false">MIN(EE$116,MAX(0,EE$114-EE$115))</f>
        <v>0</v>
      </c>
      <c r="EF117" s="34" t="n">
        <f aca="false">MIN(EF$116,MAX(0,EF$114-EF$115))</f>
        <v>0</v>
      </c>
      <c r="EG117" s="34" t="n">
        <f aca="false">MIN(EG$116,MAX(0,EG$114-EG$115))</f>
        <v>0</v>
      </c>
      <c r="EH117" s="34" t="n">
        <f aca="false">MIN(EH$116,MAX(0,EH$114-EH$115))</f>
        <v>0</v>
      </c>
      <c r="EI117" s="34" t="n">
        <f aca="false">MIN(EI$116,MAX(0,EI$114-EI$115))</f>
        <v>0</v>
      </c>
      <c r="EJ117" s="34" t="n">
        <f aca="false">MIN(EJ$116,MAX(0,EJ$114-EJ$115))</f>
        <v>0</v>
      </c>
      <c r="EK117" s="34" t="n">
        <f aca="false">MIN(EK$116,MAX(0,EK$114-EK$115))</f>
        <v>0</v>
      </c>
      <c r="EL117" s="34" t="n">
        <f aca="false">MIN(EL$116,MAX(0,EL$114-EL$115))</f>
        <v>0</v>
      </c>
      <c r="EM117" s="34" t="n">
        <f aca="false">MIN(EM$116,MAX(0,EM$114-EM$115))</f>
        <v>0</v>
      </c>
      <c r="EN117" s="34" t="n">
        <f aca="false">MIN(EN$116,MAX(0,EN$114-EN$115))</f>
        <v>0</v>
      </c>
      <c r="EO117" s="34" t="n">
        <f aca="false">MIN(EO$116,MAX(0,EO$114-EO$115))</f>
        <v>0</v>
      </c>
      <c r="EP117" s="34" t="n">
        <f aca="false">MIN(EP$116,MAX(0,EP$114-EP$115))</f>
        <v>0</v>
      </c>
      <c r="EQ117" s="34" t="n">
        <f aca="false">MIN(EQ$116,MAX(0,EQ$114-EQ$115))</f>
        <v>0</v>
      </c>
      <c r="ER117" s="34" t="n">
        <f aca="false">MIN(ER$116,MAX(0,ER$114-ER$115))</f>
        <v>0</v>
      </c>
      <c r="ES117" s="34" t="n">
        <f aca="false">MIN(ES$116,MAX(0,ES$114-ES$115))</f>
        <v>0</v>
      </c>
    </row>
    <row r="118" customFormat="false" ht="15" hidden="false" customHeight="false" outlineLevel="0" collapsed="false">
      <c r="A118" s="2" t="s">
        <v>591</v>
      </c>
      <c r="B118" s="52" t="s">
        <v>592</v>
      </c>
      <c r="C118" s="6" t="s">
        <v>212</v>
      </c>
      <c r="E118" s="40" t="n">
        <f aca="false">MIN(F118:ES118)</f>
        <v>0</v>
      </c>
      <c r="F118" s="10" t="n">
        <f aca="false">F$114-F$117</f>
        <v>0</v>
      </c>
      <c r="G118" s="10" t="n">
        <f aca="false">G$114-G$117</f>
        <v>0</v>
      </c>
      <c r="H118" s="10" t="n">
        <f aca="false">H$114-H$117</f>
        <v>0</v>
      </c>
      <c r="I118" s="10" t="n">
        <f aca="false">I$114-I$117</f>
        <v>0</v>
      </c>
      <c r="J118" s="10" t="n">
        <f aca="false">J$114-J$117</f>
        <v>0</v>
      </c>
      <c r="K118" s="10" t="n">
        <f aca="false">K$114-K$117</f>
        <v>0</v>
      </c>
      <c r="L118" s="10" t="n">
        <f aca="false">L$114-L$117</f>
        <v>0</v>
      </c>
      <c r="M118" s="10" t="n">
        <f aca="false">M$114-M$117</f>
        <v>0</v>
      </c>
      <c r="N118" s="10" t="n">
        <f aca="false">N$114-N$117</f>
        <v>0</v>
      </c>
      <c r="O118" s="10" t="n">
        <f aca="false">O$114-O$117</f>
        <v>0</v>
      </c>
      <c r="P118" s="10" t="n">
        <f aca="false">P$114-P$117</f>
        <v>0</v>
      </c>
      <c r="Q118" s="10" t="n">
        <f aca="false">Q$114-Q$117</f>
        <v>0</v>
      </c>
      <c r="R118" s="10" t="n">
        <f aca="false">R$114-R$117</f>
        <v>0</v>
      </c>
      <c r="S118" s="10" t="n">
        <f aca="false">S$114-S$117</f>
        <v>0</v>
      </c>
      <c r="T118" s="10" t="n">
        <f aca="false">T$114-T$117</f>
        <v>0</v>
      </c>
      <c r="U118" s="10" t="n">
        <f aca="false">U$114-U$117</f>
        <v>0</v>
      </c>
      <c r="V118" s="10" t="n">
        <f aca="false">V$114-V$117</f>
        <v>0</v>
      </c>
      <c r="W118" s="10" t="n">
        <f aca="false">W$114-W$117</f>
        <v>0</v>
      </c>
      <c r="X118" s="10" t="n">
        <f aca="false">X$114-X$117</f>
        <v>0</v>
      </c>
      <c r="Y118" s="10" t="n">
        <f aca="false">Y$114-Y$117</f>
        <v>0</v>
      </c>
      <c r="Z118" s="10" t="n">
        <f aca="false">Z$114-Z$117</f>
        <v>0</v>
      </c>
      <c r="AA118" s="10" t="n">
        <f aca="false">AA$114-AA$117</f>
        <v>0</v>
      </c>
      <c r="AB118" s="10" t="n">
        <f aca="false">AB$114-AB$117</f>
        <v>0</v>
      </c>
      <c r="AC118" s="10" t="n">
        <f aca="false">AC$114-AC$117</f>
        <v>0</v>
      </c>
      <c r="AD118" s="10" t="n">
        <f aca="false">AD$114-AD$117</f>
        <v>0</v>
      </c>
      <c r="AE118" s="10" t="n">
        <f aca="false">AE$114-AE$117</f>
        <v>0</v>
      </c>
      <c r="AF118" s="10" t="n">
        <f aca="false">AF$114-AF$117</f>
        <v>0</v>
      </c>
      <c r="AG118" s="10" t="n">
        <f aca="false">AG$114-AG$117</f>
        <v>0</v>
      </c>
      <c r="AH118" s="10" t="n">
        <f aca="false">AH$114-AH$117</f>
        <v>0</v>
      </c>
      <c r="AI118" s="10" t="n">
        <f aca="false">AI$114-AI$117</f>
        <v>0</v>
      </c>
      <c r="AJ118" s="10" t="n">
        <f aca="false">AJ$114-AJ$117</f>
        <v>0</v>
      </c>
      <c r="AK118" s="10" t="n">
        <f aca="false">AK$114-AK$117</f>
        <v>0</v>
      </c>
      <c r="AL118" s="10" t="n">
        <f aca="false">AL$114-AL$117</f>
        <v>0</v>
      </c>
      <c r="AM118" s="10" t="n">
        <f aca="false">AM$114-AM$117</f>
        <v>0</v>
      </c>
      <c r="AN118" s="10" t="n">
        <f aca="false">AN$114-AN$117</f>
        <v>0</v>
      </c>
      <c r="AO118" s="10" t="n">
        <f aca="false">AO$114-AO$117</f>
        <v>0</v>
      </c>
      <c r="AP118" s="10" t="n">
        <f aca="false">AP$114-AP$117</f>
        <v>0</v>
      </c>
      <c r="AQ118" s="10" t="n">
        <f aca="false">AQ$114-AQ$117</f>
        <v>0</v>
      </c>
      <c r="AR118" s="10" t="n">
        <f aca="false">AR$114-AR$117</f>
        <v>0</v>
      </c>
      <c r="AS118" s="10" t="n">
        <f aca="false">AS$114-AS$117</f>
        <v>0</v>
      </c>
      <c r="AT118" s="10" t="n">
        <f aca="false">AT$114-AT$117</f>
        <v>0</v>
      </c>
      <c r="AU118" s="10" t="n">
        <f aca="false">AU$114-AU$117</f>
        <v>0</v>
      </c>
      <c r="AV118" s="10" t="n">
        <f aca="false">AV$114-AV$117</f>
        <v>0</v>
      </c>
      <c r="AW118" s="10" t="n">
        <f aca="false">AW$114-AW$117</f>
        <v>0</v>
      </c>
      <c r="AX118" s="10" t="n">
        <f aca="false">AX$114-AX$117</f>
        <v>0</v>
      </c>
      <c r="AY118" s="10" t="n">
        <f aca="false">AY$114-AY$117</f>
        <v>0</v>
      </c>
      <c r="AZ118" s="10" t="n">
        <f aca="false">AZ$114-AZ$117</f>
        <v>0</v>
      </c>
      <c r="BA118" s="10" t="n">
        <f aca="false">BA$114-BA$117</f>
        <v>0</v>
      </c>
      <c r="BB118" s="10" t="n">
        <f aca="false">BB$114-BB$117</f>
        <v>0</v>
      </c>
      <c r="BC118" s="10" t="n">
        <f aca="false">BC$114-BC$117</f>
        <v>0</v>
      </c>
      <c r="BD118" s="10" t="n">
        <f aca="false">BD$114-BD$117</f>
        <v>0</v>
      </c>
      <c r="BE118" s="10" t="n">
        <f aca="false">BE$114-BE$117</f>
        <v>0</v>
      </c>
      <c r="BF118" s="10" t="n">
        <f aca="false">BF$114-BF$117</f>
        <v>0</v>
      </c>
      <c r="BG118" s="10" t="n">
        <f aca="false">BG$114-BG$117</f>
        <v>0</v>
      </c>
      <c r="BH118" s="10" t="n">
        <f aca="false">BH$114-BH$117</f>
        <v>0</v>
      </c>
      <c r="BI118" s="10" t="n">
        <f aca="false">BI$114-BI$117</f>
        <v>0</v>
      </c>
      <c r="BJ118" s="10" t="n">
        <f aca="false">BJ$114-BJ$117</f>
        <v>0</v>
      </c>
      <c r="BK118" s="10" t="n">
        <f aca="false">BK$114-BK$117</f>
        <v>0</v>
      </c>
      <c r="BL118" s="10" t="n">
        <f aca="false">BL$114-BL$117</f>
        <v>0</v>
      </c>
      <c r="BM118" s="10" t="n">
        <f aca="false">BM$114-BM$117</f>
        <v>0</v>
      </c>
      <c r="BN118" s="10" t="n">
        <f aca="false">BN$114-BN$117</f>
        <v>0</v>
      </c>
      <c r="BO118" s="10" t="n">
        <f aca="false">BO$114-BO$117</f>
        <v>0</v>
      </c>
      <c r="BP118" s="10" t="n">
        <f aca="false">BP$114-BP$117</f>
        <v>0</v>
      </c>
      <c r="BQ118" s="10" t="n">
        <f aca="false">BQ$114-BQ$117</f>
        <v>0</v>
      </c>
      <c r="BR118" s="10" t="n">
        <f aca="false">BR$114-BR$117</f>
        <v>0</v>
      </c>
      <c r="BS118" s="10" t="n">
        <f aca="false">BS$114-BS$117</f>
        <v>0</v>
      </c>
      <c r="BT118" s="10" t="n">
        <f aca="false">BT$114-BT$117</f>
        <v>0</v>
      </c>
      <c r="BU118" s="10" t="n">
        <f aca="false">BU$114-BU$117</f>
        <v>0</v>
      </c>
      <c r="BV118" s="10" t="n">
        <f aca="false">BV$114-BV$117</f>
        <v>0</v>
      </c>
      <c r="BW118" s="10" t="n">
        <f aca="false">BW$114-BW$117</f>
        <v>0</v>
      </c>
      <c r="BX118" s="10" t="n">
        <f aca="false">BX$114-BX$117</f>
        <v>0</v>
      </c>
      <c r="BY118" s="10" t="n">
        <f aca="false">BY$114-BY$117</f>
        <v>0</v>
      </c>
      <c r="BZ118" s="10" t="n">
        <f aca="false">BZ$114-BZ$117</f>
        <v>0</v>
      </c>
      <c r="CA118" s="10" t="n">
        <f aca="false">CA$114-CA$117</f>
        <v>0</v>
      </c>
      <c r="CB118" s="10" t="n">
        <f aca="false">CB$114-CB$117</f>
        <v>0</v>
      </c>
      <c r="CC118" s="10" t="n">
        <f aca="false">CC$114-CC$117</f>
        <v>0</v>
      </c>
      <c r="CD118" s="10" t="n">
        <f aca="false">CD$114-CD$117</f>
        <v>0</v>
      </c>
      <c r="CE118" s="10" t="n">
        <f aca="false">CE$114-CE$117</f>
        <v>0</v>
      </c>
      <c r="CF118" s="10" t="n">
        <f aca="false">CF$114-CF$117</f>
        <v>0</v>
      </c>
      <c r="CG118" s="10" t="n">
        <f aca="false">CG$114-CG$117</f>
        <v>0</v>
      </c>
      <c r="CH118" s="10" t="n">
        <f aca="false">CH$114-CH$117</f>
        <v>0</v>
      </c>
      <c r="CI118" s="10" t="n">
        <f aca="false">CI$114-CI$117</f>
        <v>0</v>
      </c>
      <c r="CJ118" s="10" t="n">
        <f aca="false">CJ$114-CJ$117</f>
        <v>0</v>
      </c>
      <c r="CK118" s="10" t="n">
        <f aca="false">CK$114-CK$117</f>
        <v>0</v>
      </c>
      <c r="CL118" s="10" t="n">
        <f aca="false">CL$114-CL$117</f>
        <v>0</v>
      </c>
      <c r="CM118" s="10" t="n">
        <f aca="false">CM$114-CM$117</f>
        <v>0</v>
      </c>
      <c r="CN118" s="10" t="n">
        <f aca="false">CN$114-CN$117</f>
        <v>0</v>
      </c>
      <c r="CO118" s="10" t="n">
        <f aca="false">CO$114-CO$117</f>
        <v>0</v>
      </c>
      <c r="CP118" s="10" t="n">
        <f aca="false">CP$114-CP$117</f>
        <v>0</v>
      </c>
      <c r="CQ118" s="10" t="n">
        <f aca="false">CQ$114-CQ$117</f>
        <v>0</v>
      </c>
      <c r="CR118" s="10" t="n">
        <f aca="false">CR$114-CR$117</f>
        <v>0</v>
      </c>
      <c r="CS118" s="10" t="n">
        <f aca="false">CS$114-CS$117</f>
        <v>0</v>
      </c>
      <c r="CT118" s="10" t="n">
        <f aca="false">CT$114-CT$117</f>
        <v>0</v>
      </c>
      <c r="CU118" s="10" t="n">
        <f aca="false">CU$114-CU$117</f>
        <v>0</v>
      </c>
      <c r="CV118" s="10" t="n">
        <f aca="false">CV$114-CV$117</f>
        <v>0</v>
      </c>
      <c r="CW118" s="10" t="n">
        <f aca="false">CW$114-CW$117</f>
        <v>0</v>
      </c>
      <c r="CX118" s="10" t="n">
        <f aca="false">CX$114-CX$117</f>
        <v>0</v>
      </c>
      <c r="CY118" s="10" t="n">
        <f aca="false">CY$114-CY$117</f>
        <v>0</v>
      </c>
      <c r="CZ118" s="10" t="n">
        <f aca="false">CZ$114-CZ$117</f>
        <v>0</v>
      </c>
      <c r="DA118" s="10" t="n">
        <f aca="false">DA$114-DA$117</f>
        <v>0</v>
      </c>
      <c r="DB118" s="10" t="n">
        <f aca="false">DB$114-DB$117</f>
        <v>0</v>
      </c>
      <c r="DC118" s="10" t="n">
        <f aca="false">DC$114-DC$117</f>
        <v>0</v>
      </c>
      <c r="DD118" s="10" t="n">
        <f aca="false">DD$114-DD$117</f>
        <v>0</v>
      </c>
      <c r="DE118" s="10" t="n">
        <f aca="false">DE$114-DE$117</f>
        <v>0</v>
      </c>
      <c r="DF118" s="10" t="n">
        <f aca="false">DF$114-DF$117</f>
        <v>0</v>
      </c>
      <c r="DG118" s="10" t="n">
        <f aca="false">DG$114-DG$117</f>
        <v>0</v>
      </c>
      <c r="DH118" s="10" t="n">
        <f aca="false">DH$114-DH$117</f>
        <v>0</v>
      </c>
      <c r="DI118" s="10" t="n">
        <f aca="false">DI$114-DI$117</f>
        <v>0</v>
      </c>
      <c r="DJ118" s="10" t="n">
        <f aca="false">DJ$114-DJ$117</f>
        <v>0</v>
      </c>
      <c r="DK118" s="10" t="n">
        <f aca="false">DK$114-DK$117</f>
        <v>0</v>
      </c>
      <c r="DL118" s="10" t="n">
        <f aca="false">DL$114-DL$117</f>
        <v>0</v>
      </c>
      <c r="DM118" s="10" t="n">
        <f aca="false">DM$114-DM$117</f>
        <v>0</v>
      </c>
      <c r="DN118" s="10" t="n">
        <f aca="false">DN$114-DN$117</f>
        <v>0</v>
      </c>
      <c r="DO118" s="10" t="n">
        <f aca="false">DO$114-DO$117</f>
        <v>0</v>
      </c>
      <c r="DP118" s="10" t="n">
        <f aca="false">DP$114-DP$117</f>
        <v>0</v>
      </c>
      <c r="DQ118" s="10" t="n">
        <f aca="false">DQ$114-DQ$117</f>
        <v>0</v>
      </c>
      <c r="DR118" s="10" t="n">
        <f aca="false">DR$114-DR$117</f>
        <v>0</v>
      </c>
      <c r="DS118" s="10" t="n">
        <f aca="false">DS$114-DS$117</f>
        <v>0</v>
      </c>
      <c r="DT118" s="10" t="n">
        <f aca="false">DT$114-DT$117</f>
        <v>0</v>
      </c>
      <c r="DU118" s="10" t="n">
        <f aca="false">DU$114-DU$117</f>
        <v>0</v>
      </c>
      <c r="DV118" s="10" t="n">
        <f aca="false">DV$114-DV$117</f>
        <v>0</v>
      </c>
      <c r="DW118" s="10" t="n">
        <f aca="false">DW$114-DW$117</f>
        <v>0</v>
      </c>
      <c r="DX118" s="10" t="n">
        <f aca="false">DX$114-DX$117</f>
        <v>0</v>
      </c>
      <c r="DY118" s="10" t="n">
        <f aca="false">DY$114-DY$117</f>
        <v>0</v>
      </c>
      <c r="DZ118" s="10" t="n">
        <f aca="false">DZ$114-DZ$117</f>
        <v>0</v>
      </c>
      <c r="EA118" s="10" t="n">
        <f aca="false">EA$114-EA$117</f>
        <v>0</v>
      </c>
      <c r="EB118" s="10" t="n">
        <f aca="false">EB$114-EB$117</f>
        <v>0</v>
      </c>
      <c r="EC118" s="10" t="n">
        <f aca="false">EC$114-EC$117</f>
        <v>0</v>
      </c>
      <c r="ED118" s="10" t="n">
        <f aca="false">ED$114-ED$117</f>
        <v>0</v>
      </c>
      <c r="EE118" s="10" t="n">
        <f aca="false">EE$114-EE$117</f>
        <v>0</v>
      </c>
      <c r="EF118" s="10" t="n">
        <f aca="false">EF$114-EF$117</f>
        <v>0</v>
      </c>
      <c r="EG118" s="10" t="n">
        <f aca="false">EG$114-EG$117</f>
        <v>0</v>
      </c>
      <c r="EH118" s="10" t="n">
        <f aca="false">EH$114-EH$117</f>
        <v>0</v>
      </c>
      <c r="EI118" s="10" t="n">
        <f aca="false">EI$114-EI$117</f>
        <v>0</v>
      </c>
      <c r="EJ118" s="10" t="n">
        <f aca="false">EJ$114-EJ$117</f>
        <v>0</v>
      </c>
      <c r="EK118" s="10" t="n">
        <f aca="false">EK$114-EK$117</f>
        <v>0</v>
      </c>
      <c r="EL118" s="10" t="n">
        <f aca="false">EL$114-EL$117</f>
        <v>0</v>
      </c>
      <c r="EM118" s="10" t="n">
        <f aca="false">EM$114-EM$117</f>
        <v>0</v>
      </c>
      <c r="EN118" s="10" t="n">
        <f aca="false">EN$114-EN$117</f>
        <v>0</v>
      </c>
      <c r="EO118" s="10" t="n">
        <f aca="false">EO$114-EO$117</f>
        <v>0</v>
      </c>
      <c r="EP118" s="10" t="n">
        <f aca="false">EP$114-EP$117</f>
        <v>0</v>
      </c>
      <c r="EQ118" s="10" t="n">
        <f aca="false">EQ$114-EQ$117</f>
        <v>0</v>
      </c>
      <c r="ER118" s="10" t="n">
        <f aca="false">ER$114-ER$117</f>
        <v>0</v>
      </c>
      <c r="ES118" s="10" t="n">
        <f aca="false">ES$114-ES$117</f>
        <v>0</v>
      </c>
    </row>
    <row r="119" customFormat="false" ht="15" hidden="false" customHeight="false" outlineLevel="0" collapsed="false">
      <c r="A119" s="2" t="s">
        <v>593</v>
      </c>
      <c r="B119" s="6" t="s">
        <v>594</v>
      </c>
      <c r="C119" s="6" t="s">
        <v>212</v>
      </c>
      <c r="E119" s="40" t="n">
        <f aca="false">SUM(F119:ES119)</f>
        <v>0</v>
      </c>
      <c r="F119" s="34" t="n">
        <f aca="false">F$118-(F$114-F$117)</f>
        <v>0</v>
      </c>
      <c r="G119" s="34" t="n">
        <f aca="false">G$118-(G$114-G$117)</f>
        <v>0</v>
      </c>
      <c r="H119" s="34" t="n">
        <f aca="false">H$118-(H$114-H$117)</f>
        <v>0</v>
      </c>
      <c r="I119" s="34" t="n">
        <f aca="false">I$118-(I$114-I$117)</f>
        <v>0</v>
      </c>
      <c r="J119" s="34" t="n">
        <f aca="false">J$118-(J$114-J$117)</f>
        <v>0</v>
      </c>
      <c r="K119" s="34" t="n">
        <f aca="false">K$118-(K$114-K$117)</f>
        <v>0</v>
      </c>
      <c r="L119" s="34" t="n">
        <f aca="false">L$118-(L$114-L$117)</f>
        <v>0</v>
      </c>
      <c r="M119" s="34" t="n">
        <f aca="false">M$118-(M$114-M$117)</f>
        <v>0</v>
      </c>
      <c r="N119" s="34" t="n">
        <f aca="false">N$118-(N$114-N$117)</f>
        <v>0</v>
      </c>
      <c r="O119" s="34" t="n">
        <f aca="false">O$118-(O$114-O$117)</f>
        <v>0</v>
      </c>
      <c r="P119" s="34" t="n">
        <f aca="false">P$118-(P$114-P$117)</f>
        <v>0</v>
      </c>
      <c r="Q119" s="34" t="n">
        <f aca="false">Q$118-(Q$114-Q$117)</f>
        <v>0</v>
      </c>
      <c r="R119" s="34" t="n">
        <f aca="false">R$118-(R$114-R$117)</f>
        <v>0</v>
      </c>
      <c r="S119" s="34" t="n">
        <f aca="false">S$118-(S$114-S$117)</f>
        <v>0</v>
      </c>
      <c r="T119" s="34" t="n">
        <f aca="false">T$118-(T$114-T$117)</f>
        <v>0</v>
      </c>
      <c r="U119" s="34" t="n">
        <f aca="false">U$118-(U$114-U$117)</f>
        <v>0</v>
      </c>
      <c r="V119" s="34" t="n">
        <f aca="false">V$118-(V$114-V$117)</f>
        <v>0</v>
      </c>
      <c r="W119" s="34" t="n">
        <f aca="false">W$118-(W$114-W$117)</f>
        <v>0</v>
      </c>
      <c r="X119" s="34" t="n">
        <f aca="false">X$118-(X$114-X$117)</f>
        <v>0</v>
      </c>
      <c r="Y119" s="34" t="n">
        <f aca="false">Y$118-(Y$114-Y$117)</f>
        <v>0</v>
      </c>
      <c r="Z119" s="34" t="n">
        <f aca="false">Z$118-(Z$114-Z$117)</f>
        <v>0</v>
      </c>
      <c r="AA119" s="34" t="n">
        <f aca="false">AA$118-(AA$114-AA$117)</f>
        <v>0</v>
      </c>
      <c r="AB119" s="34" t="n">
        <f aca="false">AB$118-(AB$114-AB$117)</f>
        <v>0</v>
      </c>
      <c r="AC119" s="34" t="n">
        <f aca="false">AC$118-(AC$114-AC$117)</f>
        <v>0</v>
      </c>
      <c r="AD119" s="34" t="n">
        <f aca="false">AD$118-(AD$114-AD$117)</f>
        <v>0</v>
      </c>
      <c r="AE119" s="34" t="n">
        <f aca="false">AE$118-(AE$114-AE$117)</f>
        <v>0</v>
      </c>
      <c r="AF119" s="34" t="n">
        <f aca="false">AF$118-(AF$114-AF$117)</f>
        <v>0</v>
      </c>
      <c r="AG119" s="34" t="n">
        <f aca="false">AG$118-(AG$114-AG$117)</f>
        <v>0</v>
      </c>
      <c r="AH119" s="34" t="n">
        <f aca="false">AH$118-(AH$114-AH$117)</f>
        <v>0</v>
      </c>
      <c r="AI119" s="34" t="n">
        <f aca="false">AI$118-(AI$114-AI$117)</f>
        <v>0</v>
      </c>
      <c r="AJ119" s="34" t="n">
        <f aca="false">AJ$118-(AJ$114-AJ$117)</f>
        <v>0</v>
      </c>
      <c r="AK119" s="34" t="n">
        <f aca="false">AK$118-(AK$114-AK$117)</f>
        <v>0</v>
      </c>
      <c r="AL119" s="34" t="n">
        <f aca="false">AL$118-(AL$114-AL$117)</f>
        <v>0</v>
      </c>
      <c r="AM119" s="34" t="n">
        <f aca="false">AM$118-(AM$114-AM$117)</f>
        <v>0</v>
      </c>
      <c r="AN119" s="34" t="n">
        <f aca="false">AN$118-(AN$114-AN$117)</f>
        <v>0</v>
      </c>
      <c r="AO119" s="34" t="n">
        <f aca="false">AO$118-(AO$114-AO$117)</f>
        <v>0</v>
      </c>
      <c r="AP119" s="34" t="n">
        <f aca="false">AP$118-(AP$114-AP$117)</f>
        <v>0</v>
      </c>
      <c r="AQ119" s="34" t="n">
        <f aca="false">AQ$118-(AQ$114-AQ$117)</f>
        <v>0</v>
      </c>
      <c r="AR119" s="34" t="n">
        <f aca="false">AR$118-(AR$114-AR$117)</f>
        <v>0</v>
      </c>
      <c r="AS119" s="34" t="n">
        <f aca="false">AS$118-(AS$114-AS$117)</f>
        <v>0</v>
      </c>
      <c r="AT119" s="34" t="n">
        <f aca="false">AT$118-(AT$114-AT$117)</f>
        <v>0</v>
      </c>
      <c r="AU119" s="34" t="n">
        <f aca="false">AU$118-(AU$114-AU$117)</f>
        <v>0</v>
      </c>
      <c r="AV119" s="34" t="n">
        <f aca="false">AV$118-(AV$114-AV$117)</f>
        <v>0</v>
      </c>
      <c r="AW119" s="34" t="n">
        <f aca="false">AW$118-(AW$114-AW$117)</f>
        <v>0</v>
      </c>
      <c r="AX119" s="34" t="n">
        <f aca="false">AX$118-(AX$114-AX$117)</f>
        <v>0</v>
      </c>
      <c r="AY119" s="34" t="n">
        <f aca="false">AY$118-(AY$114-AY$117)</f>
        <v>0</v>
      </c>
      <c r="AZ119" s="34" t="n">
        <f aca="false">AZ$118-(AZ$114-AZ$117)</f>
        <v>0</v>
      </c>
      <c r="BA119" s="34" t="n">
        <f aca="false">BA$118-(BA$114-BA$117)</f>
        <v>0</v>
      </c>
      <c r="BB119" s="34" t="n">
        <f aca="false">BB$118-(BB$114-BB$117)</f>
        <v>0</v>
      </c>
      <c r="BC119" s="34" t="n">
        <f aca="false">BC$118-(BC$114-BC$117)</f>
        <v>0</v>
      </c>
      <c r="BD119" s="34" t="n">
        <f aca="false">BD$118-(BD$114-BD$117)</f>
        <v>0</v>
      </c>
      <c r="BE119" s="34" t="n">
        <f aca="false">BE$118-(BE$114-BE$117)</f>
        <v>0</v>
      </c>
      <c r="BF119" s="34" t="n">
        <f aca="false">BF$118-(BF$114-BF$117)</f>
        <v>0</v>
      </c>
      <c r="BG119" s="34" t="n">
        <f aca="false">BG$118-(BG$114-BG$117)</f>
        <v>0</v>
      </c>
      <c r="BH119" s="34" t="n">
        <f aca="false">BH$118-(BH$114-BH$117)</f>
        <v>0</v>
      </c>
      <c r="BI119" s="34" t="n">
        <f aca="false">BI$118-(BI$114-BI$117)</f>
        <v>0</v>
      </c>
      <c r="BJ119" s="34" t="n">
        <f aca="false">BJ$118-(BJ$114-BJ$117)</f>
        <v>0</v>
      </c>
      <c r="BK119" s="34" t="n">
        <f aca="false">BK$118-(BK$114-BK$117)</f>
        <v>0</v>
      </c>
      <c r="BL119" s="34" t="n">
        <f aca="false">BL$118-(BL$114-BL$117)</f>
        <v>0</v>
      </c>
      <c r="BM119" s="34" t="n">
        <f aca="false">BM$118-(BM$114-BM$117)</f>
        <v>0</v>
      </c>
      <c r="BN119" s="34" t="n">
        <f aca="false">BN$118-(BN$114-BN$117)</f>
        <v>0</v>
      </c>
      <c r="BO119" s="34" t="n">
        <f aca="false">BO$118-(BO$114-BO$117)</f>
        <v>0</v>
      </c>
      <c r="BP119" s="34" t="n">
        <f aca="false">BP$118-(BP$114-BP$117)</f>
        <v>0</v>
      </c>
      <c r="BQ119" s="34" t="n">
        <f aca="false">BQ$118-(BQ$114-BQ$117)</f>
        <v>0</v>
      </c>
      <c r="BR119" s="34" t="n">
        <f aca="false">BR$118-(BR$114-BR$117)</f>
        <v>0</v>
      </c>
      <c r="BS119" s="34" t="n">
        <f aca="false">BS$118-(BS$114-BS$117)</f>
        <v>0</v>
      </c>
      <c r="BT119" s="34" t="n">
        <f aca="false">BT$118-(BT$114-BT$117)</f>
        <v>0</v>
      </c>
      <c r="BU119" s="34" t="n">
        <f aca="false">BU$118-(BU$114-BU$117)</f>
        <v>0</v>
      </c>
      <c r="BV119" s="34" t="n">
        <f aca="false">BV$118-(BV$114-BV$117)</f>
        <v>0</v>
      </c>
      <c r="BW119" s="34" t="n">
        <f aca="false">BW$118-(BW$114-BW$117)</f>
        <v>0</v>
      </c>
      <c r="BX119" s="34" t="n">
        <f aca="false">BX$118-(BX$114-BX$117)</f>
        <v>0</v>
      </c>
      <c r="BY119" s="34" t="n">
        <f aca="false">BY$118-(BY$114-BY$117)</f>
        <v>0</v>
      </c>
      <c r="BZ119" s="34" t="n">
        <f aca="false">BZ$118-(BZ$114-BZ$117)</f>
        <v>0</v>
      </c>
      <c r="CA119" s="34" t="n">
        <f aca="false">CA$118-(CA$114-CA$117)</f>
        <v>0</v>
      </c>
      <c r="CB119" s="34" t="n">
        <f aca="false">CB$118-(CB$114-CB$117)</f>
        <v>0</v>
      </c>
      <c r="CC119" s="34" t="n">
        <f aca="false">CC$118-(CC$114-CC$117)</f>
        <v>0</v>
      </c>
      <c r="CD119" s="34" t="n">
        <f aca="false">CD$118-(CD$114-CD$117)</f>
        <v>0</v>
      </c>
      <c r="CE119" s="34" t="n">
        <f aca="false">CE$118-(CE$114-CE$117)</f>
        <v>0</v>
      </c>
      <c r="CF119" s="34" t="n">
        <f aca="false">CF$118-(CF$114-CF$117)</f>
        <v>0</v>
      </c>
      <c r="CG119" s="34" t="n">
        <f aca="false">CG$118-(CG$114-CG$117)</f>
        <v>0</v>
      </c>
      <c r="CH119" s="34" t="n">
        <f aca="false">CH$118-(CH$114-CH$117)</f>
        <v>0</v>
      </c>
      <c r="CI119" s="34" t="n">
        <f aca="false">CI$118-(CI$114-CI$117)</f>
        <v>0</v>
      </c>
      <c r="CJ119" s="34" t="n">
        <f aca="false">CJ$118-(CJ$114-CJ$117)</f>
        <v>0</v>
      </c>
      <c r="CK119" s="34" t="n">
        <f aca="false">CK$118-(CK$114-CK$117)</f>
        <v>0</v>
      </c>
      <c r="CL119" s="34" t="n">
        <f aca="false">CL$118-(CL$114-CL$117)</f>
        <v>0</v>
      </c>
      <c r="CM119" s="34" t="n">
        <f aca="false">CM$118-(CM$114-CM$117)</f>
        <v>0</v>
      </c>
      <c r="CN119" s="34" t="n">
        <f aca="false">CN$118-(CN$114-CN$117)</f>
        <v>0</v>
      </c>
      <c r="CO119" s="34" t="n">
        <f aca="false">CO$118-(CO$114-CO$117)</f>
        <v>0</v>
      </c>
      <c r="CP119" s="34" t="n">
        <f aca="false">CP$118-(CP$114-CP$117)</f>
        <v>0</v>
      </c>
      <c r="CQ119" s="34" t="n">
        <f aca="false">CQ$118-(CQ$114-CQ$117)</f>
        <v>0</v>
      </c>
      <c r="CR119" s="34" t="n">
        <f aca="false">CR$118-(CR$114-CR$117)</f>
        <v>0</v>
      </c>
      <c r="CS119" s="34" t="n">
        <f aca="false">CS$118-(CS$114-CS$117)</f>
        <v>0</v>
      </c>
      <c r="CT119" s="34" t="n">
        <f aca="false">CT$118-(CT$114-CT$117)</f>
        <v>0</v>
      </c>
      <c r="CU119" s="34" t="n">
        <f aca="false">CU$118-(CU$114-CU$117)</f>
        <v>0</v>
      </c>
      <c r="CV119" s="34" t="n">
        <f aca="false">CV$118-(CV$114-CV$117)</f>
        <v>0</v>
      </c>
      <c r="CW119" s="34" t="n">
        <f aca="false">CW$118-(CW$114-CW$117)</f>
        <v>0</v>
      </c>
      <c r="CX119" s="34" t="n">
        <f aca="false">CX$118-(CX$114-CX$117)</f>
        <v>0</v>
      </c>
      <c r="CY119" s="34" t="n">
        <f aca="false">CY$118-(CY$114-CY$117)</f>
        <v>0</v>
      </c>
      <c r="CZ119" s="34" t="n">
        <f aca="false">CZ$118-(CZ$114-CZ$117)</f>
        <v>0</v>
      </c>
      <c r="DA119" s="34" t="n">
        <f aca="false">DA$118-(DA$114-DA$117)</f>
        <v>0</v>
      </c>
      <c r="DB119" s="34" t="n">
        <f aca="false">DB$118-(DB$114-DB$117)</f>
        <v>0</v>
      </c>
      <c r="DC119" s="34" t="n">
        <f aca="false">DC$118-(DC$114-DC$117)</f>
        <v>0</v>
      </c>
      <c r="DD119" s="34" t="n">
        <f aca="false">DD$118-(DD$114-DD$117)</f>
        <v>0</v>
      </c>
      <c r="DE119" s="34" t="n">
        <f aca="false">DE$118-(DE$114-DE$117)</f>
        <v>0</v>
      </c>
      <c r="DF119" s="34" t="n">
        <f aca="false">DF$118-(DF$114-DF$117)</f>
        <v>0</v>
      </c>
      <c r="DG119" s="34" t="n">
        <f aca="false">DG$118-(DG$114-DG$117)</f>
        <v>0</v>
      </c>
      <c r="DH119" s="34" t="n">
        <f aca="false">DH$118-(DH$114-DH$117)</f>
        <v>0</v>
      </c>
      <c r="DI119" s="34" t="n">
        <f aca="false">DI$118-(DI$114-DI$117)</f>
        <v>0</v>
      </c>
      <c r="DJ119" s="34" t="n">
        <f aca="false">DJ$118-(DJ$114-DJ$117)</f>
        <v>0</v>
      </c>
      <c r="DK119" s="34" t="n">
        <f aca="false">DK$118-(DK$114-DK$117)</f>
        <v>0</v>
      </c>
      <c r="DL119" s="34" t="n">
        <f aca="false">DL$118-(DL$114-DL$117)</f>
        <v>0</v>
      </c>
      <c r="DM119" s="34" t="n">
        <f aca="false">DM$118-(DM$114-DM$117)</f>
        <v>0</v>
      </c>
      <c r="DN119" s="34" t="n">
        <f aca="false">DN$118-(DN$114-DN$117)</f>
        <v>0</v>
      </c>
      <c r="DO119" s="34" t="n">
        <f aca="false">DO$118-(DO$114-DO$117)</f>
        <v>0</v>
      </c>
      <c r="DP119" s="34" t="n">
        <f aca="false">DP$118-(DP$114-DP$117)</f>
        <v>0</v>
      </c>
      <c r="DQ119" s="34" t="n">
        <f aca="false">DQ$118-(DQ$114-DQ$117)</f>
        <v>0</v>
      </c>
      <c r="DR119" s="34" t="n">
        <f aca="false">DR$118-(DR$114-DR$117)</f>
        <v>0</v>
      </c>
      <c r="DS119" s="34" t="n">
        <f aca="false">DS$118-(DS$114-DS$117)</f>
        <v>0</v>
      </c>
      <c r="DT119" s="34" t="n">
        <f aca="false">DT$118-(DT$114-DT$117)</f>
        <v>0</v>
      </c>
      <c r="DU119" s="34" t="n">
        <f aca="false">DU$118-(DU$114-DU$117)</f>
        <v>0</v>
      </c>
      <c r="DV119" s="34" t="n">
        <f aca="false">DV$118-(DV$114-DV$117)</f>
        <v>0</v>
      </c>
      <c r="DW119" s="34" t="n">
        <f aca="false">DW$118-(DW$114-DW$117)</f>
        <v>0</v>
      </c>
      <c r="DX119" s="34" t="n">
        <f aca="false">DX$118-(DX$114-DX$117)</f>
        <v>0</v>
      </c>
      <c r="DY119" s="34" t="n">
        <f aca="false">DY$118-(DY$114-DY$117)</f>
        <v>0</v>
      </c>
      <c r="DZ119" s="34" t="n">
        <f aca="false">DZ$118-(DZ$114-DZ$117)</f>
        <v>0</v>
      </c>
      <c r="EA119" s="34" t="n">
        <f aca="false">EA$118-(EA$114-EA$117)</f>
        <v>0</v>
      </c>
      <c r="EB119" s="34" t="n">
        <f aca="false">EB$118-(EB$114-EB$117)</f>
        <v>0</v>
      </c>
      <c r="EC119" s="34" t="n">
        <f aca="false">EC$118-(EC$114-EC$117)</f>
        <v>0</v>
      </c>
      <c r="ED119" s="34" t="n">
        <f aca="false">ED$118-(ED$114-ED$117)</f>
        <v>0</v>
      </c>
      <c r="EE119" s="34" t="n">
        <f aca="false">EE$118-(EE$114-EE$117)</f>
        <v>0</v>
      </c>
      <c r="EF119" s="34" t="n">
        <f aca="false">EF$118-(EF$114-EF$117)</f>
        <v>0</v>
      </c>
      <c r="EG119" s="34" t="n">
        <f aca="false">EG$118-(EG$114-EG$117)</f>
        <v>0</v>
      </c>
      <c r="EH119" s="34" t="n">
        <f aca="false">EH$118-(EH$114-EH$117)</f>
        <v>0</v>
      </c>
      <c r="EI119" s="34" t="n">
        <f aca="false">EI$118-(EI$114-EI$117)</f>
        <v>0</v>
      </c>
      <c r="EJ119" s="34" t="n">
        <f aca="false">EJ$118-(EJ$114-EJ$117)</f>
        <v>0</v>
      </c>
      <c r="EK119" s="34" t="n">
        <f aca="false">EK$118-(EK$114-EK$117)</f>
        <v>0</v>
      </c>
      <c r="EL119" s="34" t="n">
        <f aca="false">EL$118-(EL$114-EL$117)</f>
        <v>0</v>
      </c>
      <c r="EM119" s="34" t="n">
        <f aca="false">EM$118-(EM$114-EM$117)</f>
        <v>0</v>
      </c>
      <c r="EN119" s="34" t="n">
        <f aca="false">EN$118-(EN$114-EN$117)</f>
        <v>0</v>
      </c>
      <c r="EO119" s="34" t="n">
        <f aca="false">EO$118-(EO$114-EO$117)</f>
        <v>0</v>
      </c>
      <c r="EP119" s="34" t="n">
        <f aca="false">EP$118-(EP$114-EP$117)</f>
        <v>0</v>
      </c>
      <c r="EQ119" s="34" t="n">
        <f aca="false">EQ$118-(EQ$114-EQ$117)</f>
        <v>0</v>
      </c>
      <c r="ER119" s="34" t="n">
        <f aca="false">ER$118-(ER$114-ER$117)</f>
        <v>0</v>
      </c>
      <c r="ES119" s="34" t="n">
        <f aca="false">ES$118-(ES$114-ES$117)</f>
        <v>0</v>
      </c>
    </row>
    <row r="120" customFormat="false" ht="15" hidden="false" customHeight="false" outlineLevel="0" collapsed="false">
      <c r="A120" s="2" t="s">
        <v>595</v>
      </c>
      <c r="B120" s="52" t="s">
        <v>596</v>
      </c>
      <c r="C120" s="6" t="s">
        <v>212</v>
      </c>
      <c r="E120" s="40" t="n">
        <f aca="false">MAX(F120:ES120)</f>
        <v>0</v>
      </c>
      <c r="F120" s="10" t="n">
        <f aca="false">MAX(0,F$115-F$118)*F$9</f>
        <v>0</v>
      </c>
      <c r="G120" s="10" t="n">
        <f aca="false">MAX(0,G$115-G$118)*G$9</f>
        <v>0</v>
      </c>
      <c r="H120" s="10" t="n">
        <f aca="false">MAX(0,H$115-H$118)*H$9</f>
        <v>0</v>
      </c>
      <c r="I120" s="10" t="n">
        <f aca="false">MAX(0,I$115-I$118)*I$9</f>
        <v>0</v>
      </c>
      <c r="J120" s="10" t="n">
        <f aca="false">MAX(0,J$115-J$118)*J$9</f>
        <v>0</v>
      </c>
      <c r="K120" s="10" t="n">
        <f aca="false">MAX(0,K$115-K$118)*K$9</f>
        <v>0</v>
      </c>
      <c r="L120" s="10" t="n">
        <f aca="false">MAX(0,L$115-L$118)*L$9</f>
        <v>0</v>
      </c>
      <c r="M120" s="10" t="n">
        <f aca="false">MAX(0,M$115-M$118)*M$9</f>
        <v>0</v>
      </c>
      <c r="N120" s="10" t="n">
        <f aca="false">MAX(0,N$115-N$118)*N$9</f>
        <v>0</v>
      </c>
      <c r="O120" s="10" t="n">
        <f aca="false">MAX(0,O$115-O$118)*O$9</f>
        <v>0</v>
      </c>
      <c r="P120" s="10" t="n">
        <f aca="false">MAX(0,P$115-P$118)*P$9</f>
        <v>0</v>
      </c>
      <c r="Q120" s="10" t="n">
        <f aca="false">MAX(0,Q$115-Q$118)*Q$9</f>
        <v>0</v>
      </c>
      <c r="R120" s="10" t="n">
        <f aca="false">MAX(0,R$115-R$118)*R$9</f>
        <v>0</v>
      </c>
      <c r="S120" s="10" t="n">
        <f aca="false">MAX(0,S$115-S$118)*S$9</f>
        <v>0</v>
      </c>
      <c r="T120" s="10" t="n">
        <f aca="false">MAX(0,T$115-T$118)*T$9</f>
        <v>0</v>
      </c>
      <c r="U120" s="10" t="n">
        <f aca="false">MAX(0,U$115-U$118)*U$9</f>
        <v>0</v>
      </c>
      <c r="V120" s="10" t="n">
        <f aca="false">MAX(0,V$115-V$118)*V$9</f>
        <v>0</v>
      </c>
      <c r="W120" s="10" t="n">
        <f aca="false">MAX(0,W$115-W$118)*W$9</f>
        <v>0</v>
      </c>
      <c r="X120" s="10" t="n">
        <f aca="false">MAX(0,X$115-X$118)*X$9</f>
        <v>0</v>
      </c>
      <c r="Y120" s="10" t="n">
        <f aca="false">MAX(0,Y$115-Y$118)*Y$9</f>
        <v>0</v>
      </c>
      <c r="Z120" s="10" t="n">
        <f aca="false">MAX(0,Z$115-Z$118)*Z$9</f>
        <v>0</v>
      </c>
      <c r="AA120" s="10" t="n">
        <f aca="false">MAX(0,AA$115-AA$118)*AA$9</f>
        <v>0</v>
      </c>
      <c r="AB120" s="10" t="n">
        <f aca="false">MAX(0,AB$115-AB$118)*AB$9</f>
        <v>0</v>
      </c>
      <c r="AC120" s="10" t="n">
        <f aca="false">MAX(0,AC$115-AC$118)*AC$9</f>
        <v>0</v>
      </c>
      <c r="AD120" s="10" t="n">
        <f aca="false">MAX(0,AD$115-AD$118)*AD$9</f>
        <v>0</v>
      </c>
      <c r="AE120" s="10" t="n">
        <f aca="false">MAX(0,AE$115-AE$118)*AE$9</f>
        <v>0</v>
      </c>
      <c r="AF120" s="10" t="n">
        <f aca="false">MAX(0,AF$115-AF$118)*AF$9</f>
        <v>0</v>
      </c>
      <c r="AG120" s="10" t="n">
        <f aca="false">MAX(0,AG$115-AG$118)*AG$9</f>
        <v>0</v>
      </c>
      <c r="AH120" s="10" t="n">
        <f aca="false">MAX(0,AH$115-AH$118)*AH$9</f>
        <v>0</v>
      </c>
      <c r="AI120" s="10" t="n">
        <f aca="false">MAX(0,AI$115-AI$118)*AI$9</f>
        <v>0</v>
      </c>
      <c r="AJ120" s="10" t="n">
        <f aca="false">MAX(0,AJ$115-AJ$118)*AJ$9</f>
        <v>0</v>
      </c>
      <c r="AK120" s="10" t="n">
        <f aca="false">MAX(0,AK$115-AK$118)*AK$9</f>
        <v>0</v>
      </c>
      <c r="AL120" s="10" t="n">
        <f aca="false">MAX(0,AL$115-AL$118)*AL$9</f>
        <v>0</v>
      </c>
      <c r="AM120" s="10" t="n">
        <f aca="false">MAX(0,AM$115-AM$118)*AM$9</f>
        <v>0</v>
      </c>
      <c r="AN120" s="10" t="n">
        <f aca="false">MAX(0,AN$115-AN$118)*AN$9</f>
        <v>0</v>
      </c>
      <c r="AO120" s="10" t="n">
        <f aca="false">MAX(0,AO$115-AO$118)*AO$9</f>
        <v>0</v>
      </c>
      <c r="AP120" s="10" t="n">
        <f aca="false">MAX(0,AP$115-AP$118)*AP$9</f>
        <v>0</v>
      </c>
      <c r="AQ120" s="10" t="n">
        <f aca="false">MAX(0,AQ$115-AQ$118)*AQ$9</f>
        <v>0</v>
      </c>
      <c r="AR120" s="10" t="n">
        <f aca="false">MAX(0,AR$115-AR$118)*AR$9</f>
        <v>0</v>
      </c>
      <c r="AS120" s="10" t="n">
        <f aca="false">MAX(0,AS$115-AS$118)*AS$9</f>
        <v>0</v>
      </c>
      <c r="AT120" s="10" t="n">
        <f aca="false">MAX(0,AT$115-AT$118)*AT$9</f>
        <v>0</v>
      </c>
      <c r="AU120" s="10" t="n">
        <f aca="false">MAX(0,AU$115-AU$118)*AU$9</f>
        <v>0</v>
      </c>
      <c r="AV120" s="10" t="n">
        <f aca="false">MAX(0,AV$115-AV$118)*AV$9</f>
        <v>0</v>
      </c>
      <c r="AW120" s="10" t="n">
        <f aca="false">MAX(0,AW$115-AW$118)*AW$9</f>
        <v>0</v>
      </c>
      <c r="AX120" s="10" t="n">
        <f aca="false">MAX(0,AX$115-AX$118)*AX$9</f>
        <v>0</v>
      </c>
      <c r="AY120" s="10" t="n">
        <f aca="false">MAX(0,AY$115-AY$118)*AY$9</f>
        <v>0</v>
      </c>
      <c r="AZ120" s="10" t="n">
        <f aca="false">MAX(0,AZ$115-AZ$118)*AZ$9</f>
        <v>0</v>
      </c>
      <c r="BA120" s="10" t="n">
        <f aca="false">MAX(0,BA$115-BA$118)*BA$9</f>
        <v>0</v>
      </c>
      <c r="BB120" s="10" t="n">
        <f aca="false">MAX(0,BB$115-BB$118)*BB$9</f>
        <v>0</v>
      </c>
      <c r="BC120" s="10" t="n">
        <f aca="false">MAX(0,BC$115-BC$118)*BC$9</f>
        <v>0</v>
      </c>
      <c r="BD120" s="10" t="n">
        <f aca="false">MAX(0,BD$115-BD$118)*BD$9</f>
        <v>0</v>
      </c>
      <c r="BE120" s="10" t="n">
        <f aca="false">MAX(0,BE$115-BE$118)*BE$9</f>
        <v>0</v>
      </c>
      <c r="BF120" s="10" t="n">
        <f aca="false">MAX(0,BF$115-BF$118)*BF$9</f>
        <v>0</v>
      </c>
      <c r="BG120" s="10" t="n">
        <f aca="false">MAX(0,BG$115-BG$118)*BG$9</f>
        <v>0</v>
      </c>
      <c r="BH120" s="10" t="n">
        <f aca="false">MAX(0,BH$115-BH$118)*BH$9</f>
        <v>0</v>
      </c>
      <c r="BI120" s="10" t="n">
        <f aca="false">MAX(0,BI$115-BI$118)*BI$9</f>
        <v>0</v>
      </c>
      <c r="BJ120" s="10" t="n">
        <f aca="false">MAX(0,BJ$115-BJ$118)*BJ$9</f>
        <v>0</v>
      </c>
      <c r="BK120" s="10" t="n">
        <f aca="false">MAX(0,BK$115-BK$118)*BK$9</f>
        <v>0</v>
      </c>
      <c r="BL120" s="10" t="n">
        <f aca="false">MAX(0,BL$115-BL$118)*BL$9</f>
        <v>0</v>
      </c>
      <c r="BM120" s="10" t="n">
        <f aca="false">MAX(0,BM$115-BM$118)*BM$9</f>
        <v>0</v>
      </c>
      <c r="BN120" s="10" t="n">
        <f aca="false">MAX(0,BN$115-BN$118)*BN$9</f>
        <v>0</v>
      </c>
      <c r="BO120" s="10" t="n">
        <f aca="false">MAX(0,BO$115-BO$118)*BO$9</f>
        <v>0</v>
      </c>
      <c r="BP120" s="10" t="n">
        <f aca="false">MAX(0,BP$115-BP$118)*BP$9</f>
        <v>0</v>
      </c>
      <c r="BQ120" s="10" t="n">
        <f aca="false">MAX(0,BQ$115-BQ$118)*BQ$9</f>
        <v>0</v>
      </c>
      <c r="BR120" s="10" t="n">
        <f aca="false">MAX(0,BR$115-BR$118)*BR$9</f>
        <v>0</v>
      </c>
      <c r="BS120" s="10" t="n">
        <f aca="false">MAX(0,BS$115-BS$118)*BS$9</f>
        <v>0</v>
      </c>
      <c r="BT120" s="10" t="n">
        <f aca="false">MAX(0,BT$115-BT$118)*BT$9</f>
        <v>0</v>
      </c>
      <c r="BU120" s="10" t="n">
        <f aca="false">MAX(0,BU$115-BU$118)*BU$9</f>
        <v>0</v>
      </c>
      <c r="BV120" s="10" t="n">
        <f aca="false">MAX(0,BV$115-BV$118)*BV$9</f>
        <v>0</v>
      </c>
      <c r="BW120" s="10" t="n">
        <f aca="false">MAX(0,BW$115-BW$118)*BW$9</f>
        <v>0</v>
      </c>
      <c r="BX120" s="10" t="n">
        <f aca="false">MAX(0,BX$115-BX$118)*BX$9</f>
        <v>0</v>
      </c>
      <c r="BY120" s="10" t="n">
        <f aca="false">MAX(0,BY$115-BY$118)*BY$9</f>
        <v>0</v>
      </c>
      <c r="BZ120" s="10" t="n">
        <f aca="false">MAX(0,BZ$115-BZ$118)*BZ$9</f>
        <v>0</v>
      </c>
      <c r="CA120" s="10" t="n">
        <f aca="false">MAX(0,CA$115-CA$118)*CA$9</f>
        <v>0</v>
      </c>
      <c r="CB120" s="10" t="n">
        <f aca="false">MAX(0,CB$115-CB$118)*CB$9</f>
        <v>0</v>
      </c>
      <c r="CC120" s="10" t="n">
        <f aca="false">MAX(0,CC$115-CC$118)*CC$9</f>
        <v>0</v>
      </c>
      <c r="CD120" s="10" t="n">
        <f aca="false">MAX(0,CD$115-CD$118)*CD$9</f>
        <v>0</v>
      </c>
      <c r="CE120" s="10" t="n">
        <f aca="false">MAX(0,CE$115-CE$118)*CE$9</f>
        <v>0</v>
      </c>
      <c r="CF120" s="10" t="n">
        <f aca="false">MAX(0,CF$115-CF$118)*CF$9</f>
        <v>0</v>
      </c>
      <c r="CG120" s="10" t="n">
        <f aca="false">MAX(0,CG$115-CG$118)*CG$9</f>
        <v>0</v>
      </c>
      <c r="CH120" s="10" t="n">
        <f aca="false">MAX(0,CH$115-CH$118)*CH$9</f>
        <v>0</v>
      </c>
      <c r="CI120" s="10" t="n">
        <f aca="false">MAX(0,CI$115-CI$118)*CI$9</f>
        <v>0</v>
      </c>
      <c r="CJ120" s="10" t="n">
        <f aca="false">MAX(0,CJ$115-CJ$118)*CJ$9</f>
        <v>0</v>
      </c>
      <c r="CK120" s="10" t="n">
        <f aca="false">MAX(0,CK$115-CK$118)*CK$9</f>
        <v>0</v>
      </c>
      <c r="CL120" s="10" t="n">
        <f aca="false">MAX(0,CL$115-CL$118)*CL$9</f>
        <v>0</v>
      </c>
      <c r="CM120" s="10" t="n">
        <f aca="false">MAX(0,CM$115-CM$118)*CM$9</f>
        <v>0</v>
      </c>
      <c r="CN120" s="10" t="n">
        <f aca="false">MAX(0,CN$115-CN$118)*CN$9</f>
        <v>0</v>
      </c>
      <c r="CO120" s="10" t="n">
        <f aca="false">MAX(0,CO$115-CO$118)*CO$9</f>
        <v>0</v>
      </c>
      <c r="CP120" s="10" t="n">
        <f aca="false">MAX(0,CP$115-CP$118)*CP$9</f>
        <v>0</v>
      </c>
      <c r="CQ120" s="10" t="n">
        <f aca="false">MAX(0,CQ$115-CQ$118)*CQ$9</f>
        <v>0</v>
      </c>
      <c r="CR120" s="10" t="n">
        <f aca="false">MAX(0,CR$115-CR$118)*CR$9</f>
        <v>0</v>
      </c>
      <c r="CS120" s="10" t="n">
        <f aca="false">MAX(0,CS$115-CS$118)*CS$9</f>
        <v>0</v>
      </c>
      <c r="CT120" s="10" t="n">
        <f aca="false">MAX(0,CT$115-CT$118)*CT$9</f>
        <v>0</v>
      </c>
      <c r="CU120" s="10" t="n">
        <f aca="false">MAX(0,CU$115-CU$118)*CU$9</f>
        <v>0</v>
      </c>
      <c r="CV120" s="10" t="n">
        <f aca="false">MAX(0,CV$115-CV$118)*CV$9</f>
        <v>0</v>
      </c>
      <c r="CW120" s="10" t="n">
        <f aca="false">MAX(0,CW$115-CW$118)*CW$9</f>
        <v>0</v>
      </c>
      <c r="CX120" s="10" t="n">
        <f aca="false">MAX(0,CX$115-CX$118)*CX$9</f>
        <v>0</v>
      </c>
      <c r="CY120" s="10" t="n">
        <f aca="false">MAX(0,CY$115-CY$118)*CY$9</f>
        <v>0</v>
      </c>
      <c r="CZ120" s="10" t="n">
        <f aca="false">MAX(0,CZ$115-CZ$118)*CZ$9</f>
        <v>0</v>
      </c>
      <c r="DA120" s="10" t="n">
        <f aca="false">MAX(0,DA$115-DA$118)*DA$9</f>
        <v>0</v>
      </c>
      <c r="DB120" s="10" t="n">
        <f aca="false">MAX(0,DB$115-DB$118)*DB$9</f>
        <v>0</v>
      </c>
      <c r="DC120" s="10" t="n">
        <f aca="false">MAX(0,DC$115-DC$118)*DC$9</f>
        <v>0</v>
      </c>
      <c r="DD120" s="10" t="n">
        <f aca="false">MAX(0,DD$115-DD$118)*DD$9</f>
        <v>0</v>
      </c>
      <c r="DE120" s="10" t="n">
        <f aca="false">MAX(0,DE$115-DE$118)*DE$9</f>
        <v>0</v>
      </c>
      <c r="DF120" s="10" t="n">
        <f aca="false">MAX(0,DF$115-DF$118)*DF$9</f>
        <v>0</v>
      </c>
      <c r="DG120" s="10" t="n">
        <f aca="false">MAX(0,DG$115-DG$118)*DG$9</f>
        <v>0</v>
      </c>
      <c r="DH120" s="10" t="n">
        <f aca="false">MAX(0,DH$115-DH$118)*DH$9</f>
        <v>0</v>
      </c>
      <c r="DI120" s="10" t="n">
        <f aca="false">MAX(0,DI$115-DI$118)*DI$9</f>
        <v>0</v>
      </c>
      <c r="DJ120" s="10" t="n">
        <f aca="false">MAX(0,DJ$115-DJ$118)*DJ$9</f>
        <v>0</v>
      </c>
      <c r="DK120" s="10" t="n">
        <f aca="false">MAX(0,DK$115-DK$118)*DK$9</f>
        <v>0</v>
      </c>
      <c r="DL120" s="10" t="n">
        <f aca="false">MAX(0,DL$115-DL$118)*DL$9</f>
        <v>0</v>
      </c>
      <c r="DM120" s="10" t="n">
        <f aca="false">MAX(0,DM$115-DM$118)*DM$9</f>
        <v>0</v>
      </c>
      <c r="DN120" s="10" t="n">
        <f aca="false">MAX(0,DN$115-DN$118)*DN$9</f>
        <v>0</v>
      </c>
      <c r="DO120" s="10" t="n">
        <f aca="false">MAX(0,DO$115-DO$118)*DO$9</f>
        <v>0</v>
      </c>
      <c r="DP120" s="10" t="n">
        <f aca="false">MAX(0,DP$115-DP$118)*DP$9</f>
        <v>0</v>
      </c>
      <c r="DQ120" s="10" t="n">
        <f aca="false">MAX(0,DQ$115-DQ$118)*DQ$9</f>
        <v>0</v>
      </c>
      <c r="DR120" s="10" t="n">
        <f aca="false">MAX(0,DR$115-DR$118)*DR$9</f>
        <v>0</v>
      </c>
      <c r="DS120" s="10" t="n">
        <f aca="false">MAX(0,DS$115-DS$118)*DS$9</f>
        <v>0</v>
      </c>
      <c r="DT120" s="10" t="n">
        <f aca="false">MAX(0,DT$115-DT$118)*DT$9</f>
        <v>0</v>
      </c>
      <c r="DU120" s="10" t="n">
        <f aca="false">MAX(0,DU$115-DU$118)*DU$9</f>
        <v>0</v>
      </c>
      <c r="DV120" s="10" t="n">
        <f aca="false">MAX(0,DV$115-DV$118)*DV$9</f>
        <v>0</v>
      </c>
      <c r="DW120" s="10" t="n">
        <f aca="false">MAX(0,DW$115-DW$118)*DW$9</f>
        <v>0</v>
      </c>
      <c r="DX120" s="10" t="n">
        <f aca="false">MAX(0,DX$115-DX$118)*DX$9</f>
        <v>0</v>
      </c>
      <c r="DY120" s="10" t="n">
        <f aca="false">MAX(0,DY$115-DY$118)*DY$9</f>
        <v>0</v>
      </c>
      <c r="DZ120" s="10" t="n">
        <f aca="false">MAX(0,DZ$115-DZ$118)*DZ$9</f>
        <v>0</v>
      </c>
      <c r="EA120" s="10" t="n">
        <f aca="false">MAX(0,EA$115-EA$118)*EA$9</f>
        <v>0</v>
      </c>
      <c r="EB120" s="10" t="n">
        <f aca="false">MAX(0,EB$115-EB$118)*EB$9</f>
        <v>0</v>
      </c>
      <c r="EC120" s="10" t="n">
        <f aca="false">MAX(0,EC$115-EC$118)*EC$9</f>
        <v>0</v>
      </c>
      <c r="ED120" s="10" t="n">
        <f aca="false">MAX(0,ED$115-ED$118)*ED$9</f>
        <v>0</v>
      </c>
      <c r="EE120" s="10" t="n">
        <f aca="false">MAX(0,EE$115-EE$118)*EE$9</f>
        <v>0</v>
      </c>
      <c r="EF120" s="10" t="n">
        <f aca="false">MAX(0,EF$115-EF$118)*EF$9</f>
        <v>0</v>
      </c>
      <c r="EG120" s="10" t="n">
        <f aca="false">MAX(0,EG$115-EG$118)*EG$9</f>
        <v>0</v>
      </c>
      <c r="EH120" s="10" t="n">
        <f aca="false">MAX(0,EH$115-EH$118)*EH$9</f>
        <v>0</v>
      </c>
      <c r="EI120" s="10" t="n">
        <f aca="false">MAX(0,EI$115-EI$118)*EI$9</f>
        <v>0</v>
      </c>
      <c r="EJ120" s="10" t="n">
        <f aca="false">MAX(0,EJ$115-EJ$118)*EJ$9</f>
        <v>0</v>
      </c>
      <c r="EK120" s="10" t="n">
        <f aca="false">MAX(0,EK$115-EK$118)*EK$9</f>
        <v>0</v>
      </c>
      <c r="EL120" s="10" t="n">
        <f aca="false">MAX(0,EL$115-EL$118)*EL$9</f>
        <v>0</v>
      </c>
      <c r="EM120" s="10" t="n">
        <f aca="false">MAX(0,EM$115-EM$118)*EM$9</f>
        <v>0</v>
      </c>
      <c r="EN120" s="10" t="n">
        <f aca="false">MAX(0,EN$115-EN$118)*EN$9</f>
        <v>0</v>
      </c>
      <c r="EO120" s="10" t="n">
        <f aca="false">MAX(0,EO$115-EO$118)*EO$9</f>
        <v>0</v>
      </c>
      <c r="EP120" s="10" t="n">
        <f aca="false">MAX(0,EP$115-EP$118)*EP$9</f>
        <v>0</v>
      </c>
      <c r="EQ120" s="10" t="n">
        <f aca="false">MAX(0,EQ$115-EQ$118)*EQ$9</f>
        <v>0</v>
      </c>
      <c r="ER120" s="10" t="n">
        <f aca="false">MAX(0,ER$115-ER$118)*ER$9</f>
        <v>0</v>
      </c>
      <c r="ES120" s="10" t="n">
        <f aca="false">MAX(0,ES$115-ES$118)*ES$9</f>
        <v>0</v>
      </c>
    </row>
    <row r="121" customFormat="false" ht="15" hidden="false" customHeight="false" outlineLevel="0" collapsed="false">
      <c r="A121" s="4"/>
      <c r="B121" s="3" t="s">
        <v>597</v>
      </c>
      <c r="C121" s="4"/>
      <c r="D121" s="4"/>
      <c r="E121" s="4"/>
    </row>
    <row r="122" customFormat="false" ht="15" hidden="false" customHeight="false" outlineLevel="0" collapsed="false">
      <c r="A122" s="2" t="s">
        <v>598</v>
      </c>
      <c r="B122" s="6" t="s">
        <v>599</v>
      </c>
      <c r="C122" s="6"/>
      <c r="F122" s="27" t="n">
        <f aca="false">1/(1+P_WACC)^((1-1)/12)</f>
        <v>1</v>
      </c>
      <c r="G122" s="27" t="n">
        <f aca="false">1/(1+P_WACC)^((2-1)/12)</f>
        <v>1</v>
      </c>
      <c r="H122" s="27" t="n">
        <f aca="false">1/(1+P_WACC)^((3-1)/12)</f>
        <v>1</v>
      </c>
      <c r="I122" s="27" t="n">
        <f aca="false">1/(1+P_WACC)^((4-1)/12)</f>
        <v>1</v>
      </c>
      <c r="J122" s="27" t="n">
        <f aca="false">1/(1+P_WACC)^((5-1)/12)</f>
        <v>1</v>
      </c>
      <c r="K122" s="27" t="n">
        <f aca="false">1/(1+P_WACC)^((6-1)/12)</f>
        <v>1</v>
      </c>
      <c r="L122" s="27" t="n">
        <f aca="false">1/(1+P_WACC)^((7-1)/12)</f>
        <v>1</v>
      </c>
      <c r="M122" s="27" t="n">
        <f aca="false">1/(1+P_WACC)^((8-1)/12)</f>
        <v>1</v>
      </c>
      <c r="N122" s="27" t="n">
        <f aca="false">1/(1+P_WACC)^((9-1)/12)</f>
        <v>1</v>
      </c>
      <c r="O122" s="27" t="n">
        <f aca="false">1/(1+P_WACC)^((10-1)/12)</f>
        <v>1</v>
      </c>
      <c r="P122" s="27" t="n">
        <f aca="false">1/(1+P_WACC)^((11-1)/12)</f>
        <v>1</v>
      </c>
      <c r="Q122" s="27" t="n">
        <f aca="false">1/(1+P_WACC)^((12-1)/12)</f>
        <v>1</v>
      </c>
      <c r="R122" s="27" t="n">
        <f aca="false">1/(1+P_WACC)^((13-1)/12)</f>
        <v>1</v>
      </c>
      <c r="S122" s="27" t="n">
        <f aca="false">1/(1+P_WACC)^((14-1)/12)</f>
        <v>1</v>
      </c>
      <c r="T122" s="27" t="n">
        <f aca="false">1/(1+P_WACC)^((15-1)/12)</f>
        <v>1</v>
      </c>
      <c r="U122" s="27" t="n">
        <f aca="false">1/(1+P_WACC)^((16-1)/12)</f>
        <v>1</v>
      </c>
      <c r="V122" s="27" t="n">
        <f aca="false">1/(1+P_WACC)^((17-1)/12)</f>
        <v>1</v>
      </c>
      <c r="W122" s="27" t="n">
        <f aca="false">1/(1+P_WACC)^((18-1)/12)</f>
        <v>1</v>
      </c>
      <c r="X122" s="27" t="n">
        <f aca="false">1/(1+P_WACC)^((19-1)/12)</f>
        <v>1</v>
      </c>
      <c r="Y122" s="27" t="n">
        <f aca="false">1/(1+P_WACC)^((20-1)/12)</f>
        <v>1</v>
      </c>
      <c r="Z122" s="27" t="n">
        <f aca="false">1/(1+P_WACC)^((21-1)/12)</f>
        <v>1</v>
      </c>
      <c r="AA122" s="27" t="n">
        <f aca="false">1/(1+P_WACC)^((22-1)/12)</f>
        <v>1</v>
      </c>
      <c r="AB122" s="27" t="n">
        <f aca="false">1/(1+P_WACC)^((23-1)/12)</f>
        <v>1</v>
      </c>
      <c r="AC122" s="27" t="n">
        <f aca="false">1/(1+P_WACC)^((24-1)/12)</f>
        <v>1</v>
      </c>
      <c r="AD122" s="27" t="n">
        <f aca="false">1/(1+P_WACC)^((25-1)/12)</f>
        <v>1</v>
      </c>
      <c r="AE122" s="27" t="n">
        <f aca="false">1/(1+P_WACC)^((26-1)/12)</f>
        <v>1</v>
      </c>
      <c r="AF122" s="27" t="n">
        <f aca="false">1/(1+P_WACC)^((27-1)/12)</f>
        <v>1</v>
      </c>
      <c r="AG122" s="27" t="n">
        <f aca="false">1/(1+P_WACC)^((28-1)/12)</f>
        <v>1</v>
      </c>
      <c r="AH122" s="27" t="n">
        <f aca="false">1/(1+P_WACC)^((29-1)/12)</f>
        <v>1</v>
      </c>
      <c r="AI122" s="27" t="n">
        <f aca="false">1/(1+P_WACC)^((30-1)/12)</f>
        <v>1</v>
      </c>
      <c r="AJ122" s="27" t="n">
        <f aca="false">1/(1+P_WACC)^((31-1)/12)</f>
        <v>1</v>
      </c>
      <c r="AK122" s="27" t="n">
        <f aca="false">1/(1+P_WACC)^((32-1)/12)</f>
        <v>1</v>
      </c>
      <c r="AL122" s="27" t="n">
        <f aca="false">1/(1+P_WACC)^((33-1)/12)</f>
        <v>1</v>
      </c>
      <c r="AM122" s="27" t="n">
        <f aca="false">1/(1+P_WACC)^((34-1)/12)</f>
        <v>1</v>
      </c>
      <c r="AN122" s="27" t="n">
        <f aca="false">1/(1+P_WACC)^((35-1)/12)</f>
        <v>1</v>
      </c>
      <c r="AO122" s="27" t="n">
        <f aca="false">1/(1+P_WACC)^((36-1)/12)</f>
        <v>1</v>
      </c>
      <c r="AP122" s="27" t="n">
        <f aca="false">1/(1+P_WACC)^((37-1)/12)</f>
        <v>1</v>
      </c>
      <c r="AQ122" s="27" t="n">
        <f aca="false">1/(1+P_WACC)^((38-1)/12)</f>
        <v>1</v>
      </c>
      <c r="AR122" s="27" t="n">
        <f aca="false">1/(1+P_WACC)^((39-1)/12)</f>
        <v>1</v>
      </c>
      <c r="AS122" s="27" t="n">
        <f aca="false">1/(1+P_WACC)^((40-1)/12)</f>
        <v>1</v>
      </c>
      <c r="AT122" s="27" t="n">
        <f aca="false">1/(1+P_WACC)^((41-1)/12)</f>
        <v>1</v>
      </c>
      <c r="AU122" s="27" t="n">
        <f aca="false">1/(1+P_WACC)^((42-1)/12)</f>
        <v>1</v>
      </c>
      <c r="AV122" s="27" t="n">
        <f aca="false">1/(1+P_WACC)^((43-1)/12)</f>
        <v>1</v>
      </c>
      <c r="AW122" s="27" t="n">
        <f aca="false">1/(1+P_WACC)^((44-1)/12)</f>
        <v>1</v>
      </c>
      <c r="AX122" s="27" t="n">
        <f aca="false">1/(1+P_WACC)^((45-1)/12)</f>
        <v>1</v>
      </c>
      <c r="AY122" s="27" t="n">
        <f aca="false">1/(1+P_WACC)^((46-1)/12)</f>
        <v>1</v>
      </c>
      <c r="AZ122" s="27" t="n">
        <f aca="false">1/(1+P_WACC)^((47-1)/12)</f>
        <v>1</v>
      </c>
      <c r="BA122" s="27" t="n">
        <f aca="false">1/(1+P_WACC)^((48-1)/12)</f>
        <v>1</v>
      </c>
      <c r="BB122" s="27" t="n">
        <f aca="false">1/(1+P_WACC)^((49-1)/12)</f>
        <v>1</v>
      </c>
      <c r="BC122" s="27" t="n">
        <f aca="false">1/(1+P_WACC)^((50-1)/12)</f>
        <v>1</v>
      </c>
      <c r="BD122" s="27" t="n">
        <f aca="false">1/(1+P_WACC)^((51-1)/12)</f>
        <v>1</v>
      </c>
      <c r="BE122" s="27" t="n">
        <f aca="false">1/(1+P_WACC)^((52-1)/12)</f>
        <v>1</v>
      </c>
      <c r="BF122" s="27" t="n">
        <f aca="false">1/(1+P_WACC)^((53-1)/12)</f>
        <v>1</v>
      </c>
      <c r="BG122" s="27" t="n">
        <f aca="false">1/(1+P_WACC)^((54-1)/12)</f>
        <v>1</v>
      </c>
      <c r="BH122" s="27" t="n">
        <f aca="false">1/(1+P_WACC)^((55-1)/12)</f>
        <v>1</v>
      </c>
      <c r="BI122" s="27" t="n">
        <f aca="false">1/(1+P_WACC)^((56-1)/12)</f>
        <v>1</v>
      </c>
      <c r="BJ122" s="27" t="n">
        <f aca="false">1/(1+P_WACC)^((57-1)/12)</f>
        <v>1</v>
      </c>
      <c r="BK122" s="27" t="n">
        <f aca="false">1/(1+P_WACC)^((58-1)/12)</f>
        <v>1</v>
      </c>
      <c r="BL122" s="27" t="n">
        <f aca="false">1/(1+P_WACC)^((59-1)/12)</f>
        <v>1</v>
      </c>
      <c r="BM122" s="27" t="n">
        <f aca="false">1/(1+P_WACC)^((60-1)/12)</f>
        <v>1</v>
      </c>
      <c r="BN122" s="27" t="n">
        <f aca="false">1/(1+P_WACC)^((61-1)/12)</f>
        <v>1</v>
      </c>
      <c r="BO122" s="27" t="n">
        <f aca="false">1/(1+P_WACC)^((62-1)/12)</f>
        <v>1</v>
      </c>
      <c r="BP122" s="27" t="n">
        <f aca="false">1/(1+P_WACC)^((63-1)/12)</f>
        <v>1</v>
      </c>
      <c r="BQ122" s="27" t="n">
        <f aca="false">1/(1+P_WACC)^((64-1)/12)</f>
        <v>1</v>
      </c>
      <c r="BR122" s="27" t="n">
        <f aca="false">1/(1+P_WACC)^((65-1)/12)</f>
        <v>1</v>
      </c>
      <c r="BS122" s="27" t="n">
        <f aca="false">1/(1+P_WACC)^((66-1)/12)</f>
        <v>1</v>
      </c>
      <c r="BT122" s="27" t="n">
        <f aca="false">1/(1+P_WACC)^((67-1)/12)</f>
        <v>1</v>
      </c>
      <c r="BU122" s="27" t="n">
        <f aca="false">1/(1+P_WACC)^((68-1)/12)</f>
        <v>1</v>
      </c>
      <c r="BV122" s="27" t="n">
        <f aca="false">1/(1+P_WACC)^((69-1)/12)</f>
        <v>1</v>
      </c>
      <c r="BW122" s="27" t="n">
        <f aca="false">1/(1+P_WACC)^((70-1)/12)</f>
        <v>1</v>
      </c>
      <c r="BX122" s="27" t="n">
        <f aca="false">1/(1+P_WACC)^((71-1)/12)</f>
        <v>1</v>
      </c>
      <c r="BY122" s="27" t="n">
        <f aca="false">1/(1+P_WACC)^((72-1)/12)</f>
        <v>1</v>
      </c>
      <c r="BZ122" s="27" t="n">
        <f aca="false">1/(1+P_WACC)^((73-1)/12)</f>
        <v>1</v>
      </c>
      <c r="CA122" s="27" t="n">
        <f aca="false">1/(1+P_WACC)^((74-1)/12)</f>
        <v>1</v>
      </c>
      <c r="CB122" s="27" t="n">
        <f aca="false">1/(1+P_WACC)^((75-1)/12)</f>
        <v>1</v>
      </c>
      <c r="CC122" s="27" t="n">
        <f aca="false">1/(1+P_WACC)^((76-1)/12)</f>
        <v>1</v>
      </c>
      <c r="CD122" s="27" t="n">
        <f aca="false">1/(1+P_WACC)^((77-1)/12)</f>
        <v>1</v>
      </c>
      <c r="CE122" s="27" t="n">
        <f aca="false">1/(1+P_WACC)^((78-1)/12)</f>
        <v>1</v>
      </c>
      <c r="CF122" s="27" t="n">
        <f aca="false">1/(1+P_WACC)^((79-1)/12)</f>
        <v>1</v>
      </c>
      <c r="CG122" s="27" t="n">
        <f aca="false">1/(1+P_WACC)^((80-1)/12)</f>
        <v>1</v>
      </c>
      <c r="CH122" s="27" t="n">
        <f aca="false">1/(1+P_WACC)^((81-1)/12)</f>
        <v>1</v>
      </c>
      <c r="CI122" s="27" t="n">
        <f aca="false">1/(1+P_WACC)^((82-1)/12)</f>
        <v>1</v>
      </c>
      <c r="CJ122" s="27" t="n">
        <f aca="false">1/(1+P_WACC)^((83-1)/12)</f>
        <v>1</v>
      </c>
      <c r="CK122" s="27" t="n">
        <f aca="false">1/(1+P_WACC)^((84-1)/12)</f>
        <v>1</v>
      </c>
      <c r="CL122" s="27" t="n">
        <f aca="false">1/(1+P_WACC)^((85-1)/12)</f>
        <v>1</v>
      </c>
      <c r="CM122" s="27" t="n">
        <f aca="false">1/(1+P_WACC)^((86-1)/12)</f>
        <v>1</v>
      </c>
      <c r="CN122" s="27" t="n">
        <f aca="false">1/(1+P_WACC)^((87-1)/12)</f>
        <v>1</v>
      </c>
      <c r="CO122" s="27" t="n">
        <f aca="false">1/(1+P_WACC)^((88-1)/12)</f>
        <v>1</v>
      </c>
      <c r="CP122" s="27" t="n">
        <f aca="false">1/(1+P_WACC)^((89-1)/12)</f>
        <v>1</v>
      </c>
      <c r="CQ122" s="27" t="n">
        <f aca="false">1/(1+P_WACC)^((90-1)/12)</f>
        <v>1</v>
      </c>
      <c r="CR122" s="27" t="n">
        <f aca="false">1/(1+P_WACC)^((91-1)/12)</f>
        <v>1</v>
      </c>
      <c r="CS122" s="27" t="n">
        <f aca="false">1/(1+P_WACC)^((92-1)/12)</f>
        <v>1</v>
      </c>
      <c r="CT122" s="27" t="n">
        <f aca="false">1/(1+P_WACC)^((93-1)/12)</f>
        <v>1</v>
      </c>
      <c r="CU122" s="27" t="n">
        <f aca="false">1/(1+P_WACC)^((94-1)/12)</f>
        <v>1</v>
      </c>
      <c r="CV122" s="27" t="n">
        <f aca="false">1/(1+P_WACC)^((95-1)/12)</f>
        <v>1</v>
      </c>
      <c r="CW122" s="27" t="n">
        <f aca="false">1/(1+P_WACC)^((96-1)/12)</f>
        <v>1</v>
      </c>
      <c r="CX122" s="27" t="n">
        <f aca="false">1/(1+P_WACC)^((97-1)/12)</f>
        <v>1</v>
      </c>
      <c r="CY122" s="27" t="n">
        <f aca="false">1/(1+P_WACC)^((98-1)/12)</f>
        <v>1</v>
      </c>
      <c r="CZ122" s="27" t="n">
        <f aca="false">1/(1+P_WACC)^((99-1)/12)</f>
        <v>1</v>
      </c>
      <c r="DA122" s="27" t="n">
        <f aca="false">1/(1+P_WACC)^((100-1)/12)</f>
        <v>1</v>
      </c>
      <c r="DB122" s="27" t="n">
        <f aca="false">1/(1+P_WACC)^((101-1)/12)</f>
        <v>1</v>
      </c>
      <c r="DC122" s="27" t="n">
        <f aca="false">1/(1+P_WACC)^((102-1)/12)</f>
        <v>1</v>
      </c>
      <c r="DD122" s="27" t="n">
        <f aca="false">1/(1+P_WACC)^((103-1)/12)</f>
        <v>1</v>
      </c>
      <c r="DE122" s="27" t="n">
        <f aca="false">1/(1+P_WACC)^((104-1)/12)</f>
        <v>1</v>
      </c>
      <c r="DF122" s="27" t="n">
        <f aca="false">1/(1+P_WACC)^((105-1)/12)</f>
        <v>1</v>
      </c>
      <c r="DG122" s="27" t="n">
        <f aca="false">1/(1+P_WACC)^((106-1)/12)</f>
        <v>1</v>
      </c>
      <c r="DH122" s="27" t="n">
        <f aca="false">1/(1+P_WACC)^((107-1)/12)</f>
        <v>1</v>
      </c>
      <c r="DI122" s="27" t="n">
        <f aca="false">1/(1+P_WACC)^((108-1)/12)</f>
        <v>1</v>
      </c>
      <c r="DJ122" s="27" t="n">
        <f aca="false">1/(1+P_WACC)^((109-1)/12)</f>
        <v>1</v>
      </c>
      <c r="DK122" s="27" t="n">
        <f aca="false">1/(1+P_WACC)^((110-1)/12)</f>
        <v>1</v>
      </c>
      <c r="DL122" s="27" t="n">
        <f aca="false">1/(1+P_WACC)^((111-1)/12)</f>
        <v>1</v>
      </c>
      <c r="DM122" s="27" t="n">
        <f aca="false">1/(1+P_WACC)^((112-1)/12)</f>
        <v>1</v>
      </c>
      <c r="DN122" s="27" t="n">
        <f aca="false">1/(1+P_WACC)^((113-1)/12)</f>
        <v>1</v>
      </c>
      <c r="DO122" s="27" t="n">
        <f aca="false">1/(1+P_WACC)^((114-1)/12)</f>
        <v>1</v>
      </c>
      <c r="DP122" s="27" t="n">
        <f aca="false">1/(1+P_WACC)^((115-1)/12)</f>
        <v>1</v>
      </c>
      <c r="DQ122" s="27" t="n">
        <f aca="false">1/(1+P_WACC)^((116-1)/12)</f>
        <v>1</v>
      </c>
      <c r="DR122" s="27" t="n">
        <f aca="false">1/(1+P_WACC)^((117-1)/12)</f>
        <v>1</v>
      </c>
      <c r="DS122" s="27" t="n">
        <f aca="false">1/(1+P_WACC)^((118-1)/12)</f>
        <v>1</v>
      </c>
      <c r="DT122" s="27" t="n">
        <f aca="false">1/(1+P_WACC)^((119-1)/12)</f>
        <v>1</v>
      </c>
      <c r="DU122" s="27" t="n">
        <f aca="false">1/(1+P_WACC)^((120-1)/12)</f>
        <v>1</v>
      </c>
      <c r="DV122" s="27" t="n">
        <f aca="false">1/(1+P_WACC)^((121-1)/12)</f>
        <v>1</v>
      </c>
      <c r="DW122" s="27" t="n">
        <f aca="false">1/(1+P_WACC)^((122-1)/12)</f>
        <v>1</v>
      </c>
      <c r="DX122" s="27" t="n">
        <f aca="false">1/(1+P_WACC)^((123-1)/12)</f>
        <v>1</v>
      </c>
      <c r="DY122" s="27" t="n">
        <f aca="false">1/(1+P_WACC)^((124-1)/12)</f>
        <v>1</v>
      </c>
      <c r="DZ122" s="27" t="n">
        <f aca="false">1/(1+P_WACC)^((125-1)/12)</f>
        <v>1</v>
      </c>
      <c r="EA122" s="27" t="n">
        <f aca="false">1/(1+P_WACC)^((126-1)/12)</f>
        <v>1</v>
      </c>
      <c r="EB122" s="27" t="n">
        <f aca="false">1/(1+P_WACC)^((127-1)/12)</f>
        <v>1</v>
      </c>
      <c r="EC122" s="27" t="n">
        <f aca="false">1/(1+P_WACC)^((128-1)/12)</f>
        <v>1</v>
      </c>
      <c r="ED122" s="27" t="n">
        <f aca="false">1/(1+P_WACC)^((129-1)/12)</f>
        <v>1</v>
      </c>
      <c r="EE122" s="27" t="n">
        <f aca="false">1/(1+P_WACC)^((130-1)/12)</f>
        <v>1</v>
      </c>
      <c r="EF122" s="27" t="n">
        <f aca="false">1/(1+P_WACC)^((131-1)/12)</f>
        <v>1</v>
      </c>
      <c r="EG122" s="27" t="n">
        <f aca="false">1/(1+P_WACC)^((132-1)/12)</f>
        <v>1</v>
      </c>
      <c r="EH122" s="27" t="n">
        <f aca="false">1/(1+P_WACC)^((133-1)/12)</f>
        <v>1</v>
      </c>
      <c r="EI122" s="27" t="n">
        <f aca="false">1/(1+P_WACC)^((134-1)/12)</f>
        <v>1</v>
      </c>
      <c r="EJ122" s="27" t="n">
        <f aca="false">1/(1+P_WACC)^((135-1)/12)</f>
        <v>1</v>
      </c>
      <c r="EK122" s="27" t="n">
        <f aca="false">1/(1+P_WACC)^((136-1)/12)</f>
        <v>1</v>
      </c>
      <c r="EL122" s="27" t="n">
        <f aca="false">1/(1+P_WACC)^((137-1)/12)</f>
        <v>1</v>
      </c>
      <c r="EM122" s="27" t="n">
        <f aca="false">1/(1+P_WACC)^((138-1)/12)</f>
        <v>1</v>
      </c>
      <c r="EN122" s="27" t="n">
        <f aca="false">1/(1+P_WACC)^((139-1)/12)</f>
        <v>1</v>
      </c>
      <c r="EO122" s="27" t="n">
        <f aca="false">1/(1+P_WACC)^((140-1)/12)</f>
        <v>1</v>
      </c>
      <c r="EP122" s="27" t="n">
        <f aca="false">1/(1+P_WACC)^((141-1)/12)</f>
        <v>1</v>
      </c>
      <c r="EQ122" s="27" t="n">
        <f aca="false">1/(1+P_WACC)^((142-1)/12)</f>
        <v>1</v>
      </c>
      <c r="ER122" s="27" t="n">
        <f aca="false">1/(1+P_WACC)^((143-1)/12)</f>
        <v>1</v>
      </c>
      <c r="ES122" s="27" t="n">
        <f aca="false">1/(1+P_WACC)^((144-1)/12)</f>
        <v>1</v>
      </c>
    </row>
    <row r="123" customFormat="false" ht="15" hidden="false" customHeight="false" outlineLevel="0" collapsed="false">
      <c r="A123" s="2" t="s">
        <v>600</v>
      </c>
      <c r="B123" s="6" t="s">
        <v>601</v>
      </c>
      <c r="C123" s="6"/>
      <c r="F123" s="27" t="n">
        <f aca="false">1/(1+P_Ke)^((1-1)/12)</f>
        <v>1</v>
      </c>
      <c r="G123" s="27" t="n">
        <f aca="false">1/(1+P_Ke)^((2-1)/12)</f>
        <v>1</v>
      </c>
      <c r="H123" s="27" t="n">
        <f aca="false">1/(1+P_Ke)^((3-1)/12)</f>
        <v>1</v>
      </c>
      <c r="I123" s="27" t="n">
        <f aca="false">1/(1+P_Ke)^((4-1)/12)</f>
        <v>1</v>
      </c>
      <c r="J123" s="27" t="n">
        <f aca="false">1/(1+P_Ke)^((5-1)/12)</f>
        <v>1</v>
      </c>
      <c r="K123" s="27" t="n">
        <f aca="false">1/(1+P_Ke)^((6-1)/12)</f>
        <v>1</v>
      </c>
      <c r="L123" s="27" t="n">
        <f aca="false">1/(1+P_Ke)^((7-1)/12)</f>
        <v>1</v>
      </c>
      <c r="M123" s="27" t="n">
        <f aca="false">1/(1+P_Ke)^((8-1)/12)</f>
        <v>1</v>
      </c>
      <c r="N123" s="27" t="n">
        <f aca="false">1/(1+P_Ke)^((9-1)/12)</f>
        <v>1</v>
      </c>
      <c r="O123" s="27" t="n">
        <f aca="false">1/(1+P_Ke)^((10-1)/12)</f>
        <v>1</v>
      </c>
      <c r="P123" s="27" t="n">
        <f aca="false">1/(1+P_Ke)^((11-1)/12)</f>
        <v>1</v>
      </c>
      <c r="Q123" s="27" t="n">
        <f aca="false">1/(1+P_Ke)^((12-1)/12)</f>
        <v>1</v>
      </c>
      <c r="R123" s="27" t="n">
        <f aca="false">1/(1+P_Ke)^((13-1)/12)</f>
        <v>1</v>
      </c>
      <c r="S123" s="27" t="n">
        <f aca="false">1/(1+P_Ke)^((14-1)/12)</f>
        <v>1</v>
      </c>
      <c r="T123" s="27" t="n">
        <f aca="false">1/(1+P_Ke)^((15-1)/12)</f>
        <v>1</v>
      </c>
      <c r="U123" s="27" t="n">
        <f aca="false">1/(1+P_Ke)^((16-1)/12)</f>
        <v>1</v>
      </c>
      <c r="V123" s="27" t="n">
        <f aca="false">1/(1+P_Ke)^((17-1)/12)</f>
        <v>1</v>
      </c>
      <c r="W123" s="27" t="n">
        <f aca="false">1/(1+P_Ke)^((18-1)/12)</f>
        <v>1</v>
      </c>
      <c r="X123" s="27" t="n">
        <f aca="false">1/(1+P_Ke)^((19-1)/12)</f>
        <v>1</v>
      </c>
      <c r="Y123" s="27" t="n">
        <f aca="false">1/(1+P_Ke)^((20-1)/12)</f>
        <v>1</v>
      </c>
      <c r="Z123" s="27" t="n">
        <f aca="false">1/(1+P_Ke)^((21-1)/12)</f>
        <v>1</v>
      </c>
      <c r="AA123" s="27" t="n">
        <f aca="false">1/(1+P_Ke)^((22-1)/12)</f>
        <v>1</v>
      </c>
      <c r="AB123" s="27" t="n">
        <f aca="false">1/(1+P_Ke)^((23-1)/12)</f>
        <v>1</v>
      </c>
      <c r="AC123" s="27" t="n">
        <f aca="false">1/(1+P_Ke)^((24-1)/12)</f>
        <v>1</v>
      </c>
      <c r="AD123" s="27" t="n">
        <f aca="false">1/(1+P_Ke)^((25-1)/12)</f>
        <v>1</v>
      </c>
      <c r="AE123" s="27" t="n">
        <f aca="false">1/(1+P_Ke)^((26-1)/12)</f>
        <v>1</v>
      </c>
      <c r="AF123" s="27" t="n">
        <f aca="false">1/(1+P_Ke)^((27-1)/12)</f>
        <v>1</v>
      </c>
      <c r="AG123" s="27" t="n">
        <f aca="false">1/(1+P_Ke)^((28-1)/12)</f>
        <v>1</v>
      </c>
      <c r="AH123" s="27" t="n">
        <f aca="false">1/(1+P_Ke)^((29-1)/12)</f>
        <v>1</v>
      </c>
      <c r="AI123" s="27" t="n">
        <f aca="false">1/(1+P_Ke)^((30-1)/12)</f>
        <v>1</v>
      </c>
      <c r="AJ123" s="27" t="n">
        <f aca="false">1/(1+P_Ke)^((31-1)/12)</f>
        <v>1</v>
      </c>
      <c r="AK123" s="27" t="n">
        <f aca="false">1/(1+P_Ke)^((32-1)/12)</f>
        <v>1</v>
      </c>
      <c r="AL123" s="27" t="n">
        <f aca="false">1/(1+P_Ke)^((33-1)/12)</f>
        <v>1</v>
      </c>
      <c r="AM123" s="27" t="n">
        <f aca="false">1/(1+P_Ke)^((34-1)/12)</f>
        <v>1</v>
      </c>
      <c r="AN123" s="27" t="n">
        <f aca="false">1/(1+P_Ke)^((35-1)/12)</f>
        <v>1</v>
      </c>
      <c r="AO123" s="27" t="n">
        <f aca="false">1/(1+P_Ke)^((36-1)/12)</f>
        <v>1</v>
      </c>
      <c r="AP123" s="27" t="n">
        <f aca="false">1/(1+P_Ke)^((37-1)/12)</f>
        <v>1</v>
      </c>
      <c r="AQ123" s="27" t="n">
        <f aca="false">1/(1+P_Ke)^((38-1)/12)</f>
        <v>1</v>
      </c>
      <c r="AR123" s="27" t="n">
        <f aca="false">1/(1+P_Ke)^((39-1)/12)</f>
        <v>1</v>
      </c>
      <c r="AS123" s="27" t="n">
        <f aca="false">1/(1+P_Ke)^((40-1)/12)</f>
        <v>1</v>
      </c>
      <c r="AT123" s="27" t="n">
        <f aca="false">1/(1+P_Ke)^((41-1)/12)</f>
        <v>1</v>
      </c>
      <c r="AU123" s="27" t="n">
        <f aca="false">1/(1+P_Ke)^((42-1)/12)</f>
        <v>1</v>
      </c>
      <c r="AV123" s="27" t="n">
        <f aca="false">1/(1+P_Ke)^((43-1)/12)</f>
        <v>1</v>
      </c>
      <c r="AW123" s="27" t="n">
        <f aca="false">1/(1+P_Ke)^((44-1)/12)</f>
        <v>1</v>
      </c>
      <c r="AX123" s="27" t="n">
        <f aca="false">1/(1+P_Ke)^((45-1)/12)</f>
        <v>1</v>
      </c>
      <c r="AY123" s="27" t="n">
        <f aca="false">1/(1+P_Ke)^((46-1)/12)</f>
        <v>1</v>
      </c>
      <c r="AZ123" s="27" t="n">
        <f aca="false">1/(1+P_Ke)^((47-1)/12)</f>
        <v>1</v>
      </c>
      <c r="BA123" s="27" t="n">
        <f aca="false">1/(1+P_Ke)^((48-1)/12)</f>
        <v>1</v>
      </c>
      <c r="BB123" s="27" t="n">
        <f aca="false">1/(1+P_Ke)^((49-1)/12)</f>
        <v>1</v>
      </c>
      <c r="BC123" s="27" t="n">
        <f aca="false">1/(1+P_Ke)^((50-1)/12)</f>
        <v>1</v>
      </c>
      <c r="BD123" s="27" t="n">
        <f aca="false">1/(1+P_Ke)^((51-1)/12)</f>
        <v>1</v>
      </c>
      <c r="BE123" s="27" t="n">
        <f aca="false">1/(1+P_Ke)^((52-1)/12)</f>
        <v>1</v>
      </c>
      <c r="BF123" s="27" t="n">
        <f aca="false">1/(1+P_Ke)^((53-1)/12)</f>
        <v>1</v>
      </c>
      <c r="BG123" s="27" t="n">
        <f aca="false">1/(1+P_Ke)^((54-1)/12)</f>
        <v>1</v>
      </c>
      <c r="BH123" s="27" t="n">
        <f aca="false">1/(1+P_Ke)^((55-1)/12)</f>
        <v>1</v>
      </c>
      <c r="BI123" s="27" t="n">
        <f aca="false">1/(1+P_Ke)^((56-1)/12)</f>
        <v>1</v>
      </c>
      <c r="BJ123" s="27" t="n">
        <f aca="false">1/(1+P_Ke)^((57-1)/12)</f>
        <v>1</v>
      </c>
      <c r="BK123" s="27" t="n">
        <f aca="false">1/(1+P_Ke)^((58-1)/12)</f>
        <v>1</v>
      </c>
      <c r="BL123" s="27" t="n">
        <f aca="false">1/(1+P_Ke)^((59-1)/12)</f>
        <v>1</v>
      </c>
      <c r="BM123" s="27" t="n">
        <f aca="false">1/(1+P_Ke)^((60-1)/12)</f>
        <v>1</v>
      </c>
      <c r="BN123" s="27" t="n">
        <f aca="false">1/(1+P_Ke)^((61-1)/12)</f>
        <v>1</v>
      </c>
      <c r="BO123" s="27" t="n">
        <f aca="false">1/(1+P_Ke)^((62-1)/12)</f>
        <v>1</v>
      </c>
      <c r="BP123" s="27" t="n">
        <f aca="false">1/(1+P_Ke)^((63-1)/12)</f>
        <v>1</v>
      </c>
      <c r="BQ123" s="27" t="n">
        <f aca="false">1/(1+P_Ke)^((64-1)/12)</f>
        <v>1</v>
      </c>
      <c r="BR123" s="27" t="n">
        <f aca="false">1/(1+P_Ke)^((65-1)/12)</f>
        <v>1</v>
      </c>
      <c r="BS123" s="27" t="n">
        <f aca="false">1/(1+P_Ke)^((66-1)/12)</f>
        <v>1</v>
      </c>
      <c r="BT123" s="27" t="n">
        <f aca="false">1/(1+P_Ke)^((67-1)/12)</f>
        <v>1</v>
      </c>
      <c r="BU123" s="27" t="n">
        <f aca="false">1/(1+P_Ke)^((68-1)/12)</f>
        <v>1</v>
      </c>
      <c r="BV123" s="27" t="n">
        <f aca="false">1/(1+P_Ke)^((69-1)/12)</f>
        <v>1</v>
      </c>
      <c r="BW123" s="27" t="n">
        <f aca="false">1/(1+P_Ke)^((70-1)/12)</f>
        <v>1</v>
      </c>
      <c r="BX123" s="27" t="n">
        <f aca="false">1/(1+P_Ke)^((71-1)/12)</f>
        <v>1</v>
      </c>
      <c r="BY123" s="27" t="n">
        <f aca="false">1/(1+P_Ke)^((72-1)/12)</f>
        <v>1</v>
      </c>
      <c r="BZ123" s="27" t="n">
        <f aca="false">1/(1+P_Ke)^((73-1)/12)</f>
        <v>1</v>
      </c>
      <c r="CA123" s="27" t="n">
        <f aca="false">1/(1+P_Ke)^((74-1)/12)</f>
        <v>1</v>
      </c>
      <c r="CB123" s="27" t="n">
        <f aca="false">1/(1+P_Ke)^((75-1)/12)</f>
        <v>1</v>
      </c>
      <c r="CC123" s="27" t="n">
        <f aca="false">1/(1+P_Ke)^((76-1)/12)</f>
        <v>1</v>
      </c>
      <c r="CD123" s="27" t="n">
        <f aca="false">1/(1+P_Ke)^((77-1)/12)</f>
        <v>1</v>
      </c>
      <c r="CE123" s="27" t="n">
        <f aca="false">1/(1+P_Ke)^((78-1)/12)</f>
        <v>1</v>
      </c>
      <c r="CF123" s="27" t="n">
        <f aca="false">1/(1+P_Ke)^((79-1)/12)</f>
        <v>1</v>
      </c>
      <c r="CG123" s="27" t="n">
        <f aca="false">1/(1+P_Ke)^((80-1)/12)</f>
        <v>1</v>
      </c>
      <c r="CH123" s="27" t="n">
        <f aca="false">1/(1+P_Ke)^((81-1)/12)</f>
        <v>1</v>
      </c>
      <c r="CI123" s="27" t="n">
        <f aca="false">1/(1+P_Ke)^((82-1)/12)</f>
        <v>1</v>
      </c>
      <c r="CJ123" s="27" t="n">
        <f aca="false">1/(1+P_Ke)^((83-1)/12)</f>
        <v>1</v>
      </c>
      <c r="CK123" s="27" t="n">
        <f aca="false">1/(1+P_Ke)^((84-1)/12)</f>
        <v>1</v>
      </c>
      <c r="CL123" s="27" t="n">
        <f aca="false">1/(1+P_Ke)^((85-1)/12)</f>
        <v>1</v>
      </c>
      <c r="CM123" s="27" t="n">
        <f aca="false">1/(1+P_Ke)^((86-1)/12)</f>
        <v>1</v>
      </c>
      <c r="CN123" s="27" t="n">
        <f aca="false">1/(1+P_Ke)^((87-1)/12)</f>
        <v>1</v>
      </c>
      <c r="CO123" s="27" t="n">
        <f aca="false">1/(1+P_Ke)^((88-1)/12)</f>
        <v>1</v>
      </c>
      <c r="CP123" s="27" t="n">
        <f aca="false">1/(1+P_Ke)^((89-1)/12)</f>
        <v>1</v>
      </c>
      <c r="CQ123" s="27" t="n">
        <f aca="false">1/(1+P_Ke)^((90-1)/12)</f>
        <v>1</v>
      </c>
      <c r="CR123" s="27" t="n">
        <f aca="false">1/(1+P_Ke)^((91-1)/12)</f>
        <v>1</v>
      </c>
      <c r="CS123" s="27" t="n">
        <f aca="false">1/(1+P_Ke)^((92-1)/12)</f>
        <v>1</v>
      </c>
      <c r="CT123" s="27" t="n">
        <f aca="false">1/(1+P_Ke)^((93-1)/12)</f>
        <v>1</v>
      </c>
      <c r="CU123" s="27" t="n">
        <f aca="false">1/(1+P_Ke)^((94-1)/12)</f>
        <v>1</v>
      </c>
      <c r="CV123" s="27" t="n">
        <f aca="false">1/(1+P_Ke)^((95-1)/12)</f>
        <v>1</v>
      </c>
      <c r="CW123" s="27" t="n">
        <f aca="false">1/(1+P_Ke)^((96-1)/12)</f>
        <v>1</v>
      </c>
      <c r="CX123" s="27" t="n">
        <f aca="false">1/(1+P_Ke)^((97-1)/12)</f>
        <v>1</v>
      </c>
      <c r="CY123" s="27" t="n">
        <f aca="false">1/(1+P_Ke)^((98-1)/12)</f>
        <v>1</v>
      </c>
      <c r="CZ123" s="27" t="n">
        <f aca="false">1/(1+P_Ke)^((99-1)/12)</f>
        <v>1</v>
      </c>
      <c r="DA123" s="27" t="n">
        <f aca="false">1/(1+P_Ke)^((100-1)/12)</f>
        <v>1</v>
      </c>
      <c r="DB123" s="27" t="n">
        <f aca="false">1/(1+P_Ke)^((101-1)/12)</f>
        <v>1</v>
      </c>
      <c r="DC123" s="27" t="n">
        <f aca="false">1/(1+P_Ke)^((102-1)/12)</f>
        <v>1</v>
      </c>
      <c r="DD123" s="27" t="n">
        <f aca="false">1/(1+P_Ke)^((103-1)/12)</f>
        <v>1</v>
      </c>
      <c r="DE123" s="27" t="n">
        <f aca="false">1/(1+P_Ke)^((104-1)/12)</f>
        <v>1</v>
      </c>
      <c r="DF123" s="27" t="n">
        <f aca="false">1/(1+P_Ke)^((105-1)/12)</f>
        <v>1</v>
      </c>
      <c r="DG123" s="27" t="n">
        <f aca="false">1/(1+P_Ke)^((106-1)/12)</f>
        <v>1</v>
      </c>
      <c r="DH123" s="27" t="n">
        <f aca="false">1/(1+P_Ke)^((107-1)/12)</f>
        <v>1</v>
      </c>
      <c r="DI123" s="27" t="n">
        <f aca="false">1/(1+P_Ke)^((108-1)/12)</f>
        <v>1</v>
      </c>
      <c r="DJ123" s="27" t="n">
        <f aca="false">1/(1+P_Ke)^((109-1)/12)</f>
        <v>1</v>
      </c>
      <c r="DK123" s="27" t="n">
        <f aca="false">1/(1+P_Ke)^((110-1)/12)</f>
        <v>1</v>
      </c>
      <c r="DL123" s="27" t="n">
        <f aca="false">1/(1+P_Ke)^((111-1)/12)</f>
        <v>1</v>
      </c>
      <c r="DM123" s="27" t="n">
        <f aca="false">1/(1+P_Ke)^((112-1)/12)</f>
        <v>1</v>
      </c>
      <c r="DN123" s="27" t="n">
        <f aca="false">1/(1+P_Ke)^((113-1)/12)</f>
        <v>1</v>
      </c>
      <c r="DO123" s="27" t="n">
        <f aca="false">1/(1+P_Ke)^((114-1)/12)</f>
        <v>1</v>
      </c>
      <c r="DP123" s="27" t="n">
        <f aca="false">1/(1+P_Ke)^((115-1)/12)</f>
        <v>1</v>
      </c>
      <c r="DQ123" s="27" t="n">
        <f aca="false">1/(1+P_Ke)^((116-1)/12)</f>
        <v>1</v>
      </c>
      <c r="DR123" s="27" t="n">
        <f aca="false">1/(1+P_Ke)^((117-1)/12)</f>
        <v>1</v>
      </c>
      <c r="DS123" s="27" t="n">
        <f aca="false">1/(1+P_Ke)^((118-1)/12)</f>
        <v>1</v>
      </c>
      <c r="DT123" s="27" t="n">
        <f aca="false">1/(1+P_Ke)^((119-1)/12)</f>
        <v>1</v>
      </c>
      <c r="DU123" s="27" t="n">
        <f aca="false">1/(1+P_Ke)^((120-1)/12)</f>
        <v>1</v>
      </c>
      <c r="DV123" s="27" t="n">
        <f aca="false">1/(1+P_Ke)^((121-1)/12)</f>
        <v>1</v>
      </c>
      <c r="DW123" s="27" t="n">
        <f aca="false">1/(1+P_Ke)^((122-1)/12)</f>
        <v>1</v>
      </c>
      <c r="DX123" s="27" t="n">
        <f aca="false">1/(1+P_Ke)^((123-1)/12)</f>
        <v>1</v>
      </c>
      <c r="DY123" s="27" t="n">
        <f aca="false">1/(1+P_Ke)^((124-1)/12)</f>
        <v>1</v>
      </c>
      <c r="DZ123" s="27" t="n">
        <f aca="false">1/(1+P_Ke)^((125-1)/12)</f>
        <v>1</v>
      </c>
      <c r="EA123" s="27" t="n">
        <f aca="false">1/(1+P_Ke)^((126-1)/12)</f>
        <v>1</v>
      </c>
      <c r="EB123" s="27" t="n">
        <f aca="false">1/(1+P_Ke)^((127-1)/12)</f>
        <v>1</v>
      </c>
      <c r="EC123" s="27" t="n">
        <f aca="false">1/(1+P_Ke)^((128-1)/12)</f>
        <v>1</v>
      </c>
      <c r="ED123" s="27" t="n">
        <f aca="false">1/(1+P_Ke)^((129-1)/12)</f>
        <v>1</v>
      </c>
      <c r="EE123" s="27" t="n">
        <f aca="false">1/(1+P_Ke)^((130-1)/12)</f>
        <v>1</v>
      </c>
      <c r="EF123" s="27" t="n">
        <f aca="false">1/(1+P_Ke)^((131-1)/12)</f>
        <v>1</v>
      </c>
      <c r="EG123" s="27" t="n">
        <f aca="false">1/(1+P_Ke)^((132-1)/12)</f>
        <v>1</v>
      </c>
      <c r="EH123" s="27" t="n">
        <f aca="false">1/(1+P_Ke)^((133-1)/12)</f>
        <v>1</v>
      </c>
      <c r="EI123" s="27" t="n">
        <f aca="false">1/(1+P_Ke)^((134-1)/12)</f>
        <v>1</v>
      </c>
      <c r="EJ123" s="27" t="n">
        <f aca="false">1/(1+P_Ke)^((135-1)/12)</f>
        <v>1</v>
      </c>
      <c r="EK123" s="27" t="n">
        <f aca="false">1/(1+P_Ke)^((136-1)/12)</f>
        <v>1</v>
      </c>
      <c r="EL123" s="27" t="n">
        <f aca="false">1/(1+P_Ke)^((137-1)/12)</f>
        <v>1</v>
      </c>
      <c r="EM123" s="27" t="n">
        <f aca="false">1/(1+P_Ke)^((138-1)/12)</f>
        <v>1</v>
      </c>
      <c r="EN123" s="27" t="n">
        <f aca="false">1/(1+P_Ke)^((139-1)/12)</f>
        <v>1</v>
      </c>
      <c r="EO123" s="27" t="n">
        <f aca="false">1/(1+P_Ke)^((140-1)/12)</f>
        <v>1</v>
      </c>
      <c r="EP123" s="27" t="n">
        <f aca="false">1/(1+P_Ke)^((141-1)/12)</f>
        <v>1</v>
      </c>
      <c r="EQ123" s="27" t="n">
        <f aca="false">1/(1+P_Ke)^((142-1)/12)</f>
        <v>1</v>
      </c>
      <c r="ER123" s="27" t="n">
        <f aca="false">1/(1+P_Ke)^((143-1)/12)</f>
        <v>1</v>
      </c>
      <c r="ES123" s="27" t="n">
        <f aca="false">1/(1+P_Ke)^((144-1)/12)</f>
        <v>1</v>
      </c>
    </row>
    <row r="124" customFormat="false" ht="15" hidden="false" customHeight="false" outlineLevel="0" collapsed="false">
      <c r="A124" s="2" t="s">
        <v>602</v>
      </c>
      <c r="B124" s="6" t="s">
        <v>603</v>
      </c>
      <c r="C124" s="6" t="s">
        <v>212</v>
      </c>
      <c r="E124" s="40" t="n">
        <f aca="false">SUM(F124:ES124)</f>
        <v>0</v>
      </c>
      <c r="F124" s="34" t="n">
        <f aca="false">-F$113+F$117+IF(1=Fin,F$118+F$93-F$112,0)</f>
        <v>0</v>
      </c>
      <c r="G124" s="34" t="n">
        <f aca="false">-G$113+G$117+IF(2=Fin,G$118+G$93-G$112,0)</f>
        <v>0</v>
      </c>
      <c r="H124" s="34" t="n">
        <f aca="false">-H$113+H$117+IF(3=Fin,H$118+H$93-H$112,0)</f>
        <v>0</v>
      </c>
      <c r="I124" s="34" t="n">
        <f aca="false">-I$113+I$117+IF(4=Fin,I$118+I$93-I$112,0)</f>
        <v>0</v>
      </c>
      <c r="J124" s="34" t="n">
        <f aca="false">-J$113+J$117+IF(5=Fin,J$118+J$93-J$112,0)</f>
        <v>0</v>
      </c>
      <c r="K124" s="34" t="n">
        <f aca="false">-K$113+K$117+IF(6=Fin,K$118+K$93-K$112,0)</f>
        <v>0</v>
      </c>
      <c r="L124" s="34" t="n">
        <f aca="false">-L$113+L$117+IF(7=Fin,L$118+L$93-L$112,0)</f>
        <v>0</v>
      </c>
      <c r="M124" s="34" t="n">
        <f aca="false">-M$113+M$117+IF(8=Fin,M$118+M$93-M$112,0)</f>
        <v>0</v>
      </c>
      <c r="N124" s="34" t="n">
        <f aca="false">-N$113+N$117+IF(9=Fin,N$118+N$93-N$112,0)</f>
        <v>0</v>
      </c>
      <c r="O124" s="34" t="n">
        <f aca="false">-O$113+O$117+IF(10=Fin,O$118+O$93-O$112,0)</f>
        <v>0</v>
      </c>
      <c r="P124" s="34" t="n">
        <f aca="false">-P$113+P$117+IF(11=Fin,P$118+P$93-P$112,0)</f>
        <v>0</v>
      </c>
      <c r="Q124" s="34" t="n">
        <f aca="false">-Q$113+Q$117+IF(12=Fin,Q$118+Q$93-Q$112,0)</f>
        <v>0</v>
      </c>
      <c r="R124" s="34" t="n">
        <f aca="false">-R$113+R$117+IF(13=Fin,R$118+R$93-R$112,0)</f>
        <v>0</v>
      </c>
      <c r="S124" s="34" t="n">
        <f aca="false">-S$113+S$117+IF(14=Fin,S$118+S$93-S$112,0)</f>
        <v>0</v>
      </c>
      <c r="T124" s="34" t="n">
        <f aca="false">-T$113+T$117+IF(15=Fin,T$118+T$93-T$112,0)</f>
        <v>0</v>
      </c>
      <c r="U124" s="34" t="n">
        <f aca="false">-U$113+U$117+IF(16=Fin,U$118+U$93-U$112,0)</f>
        <v>0</v>
      </c>
      <c r="V124" s="34" t="n">
        <f aca="false">-V$113+V$117+IF(17=Fin,V$118+V$93-V$112,0)</f>
        <v>0</v>
      </c>
      <c r="W124" s="34" t="n">
        <f aca="false">-W$113+W$117+IF(18=Fin,W$118+W$93-W$112,0)</f>
        <v>0</v>
      </c>
      <c r="X124" s="34" t="n">
        <f aca="false">-X$113+X$117+IF(19=Fin,X$118+X$93-X$112,0)</f>
        <v>0</v>
      </c>
      <c r="Y124" s="34" t="n">
        <f aca="false">-Y$113+Y$117+IF(20=Fin,Y$118+Y$93-Y$112,0)</f>
        <v>0</v>
      </c>
      <c r="Z124" s="34" t="n">
        <f aca="false">-Z$113+Z$117+IF(21=Fin,Z$118+Z$93-Z$112,0)</f>
        <v>0</v>
      </c>
      <c r="AA124" s="34" t="n">
        <f aca="false">-AA$113+AA$117+IF(22=Fin,AA$118+AA$93-AA$112,0)</f>
        <v>0</v>
      </c>
      <c r="AB124" s="34" t="n">
        <f aca="false">-AB$113+AB$117+IF(23=Fin,AB$118+AB$93-AB$112,0)</f>
        <v>0</v>
      </c>
      <c r="AC124" s="34" t="n">
        <f aca="false">-AC$113+AC$117+IF(24=Fin,AC$118+AC$93-AC$112,0)</f>
        <v>0</v>
      </c>
      <c r="AD124" s="34" t="n">
        <f aca="false">-AD$113+AD$117+IF(25=Fin,AD$118+AD$93-AD$112,0)</f>
        <v>0</v>
      </c>
      <c r="AE124" s="34" t="n">
        <f aca="false">-AE$113+AE$117+IF(26=Fin,AE$118+AE$93-AE$112,0)</f>
        <v>0</v>
      </c>
      <c r="AF124" s="34" t="n">
        <f aca="false">-AF$113+AF$117+IF(27=Fin,AF$118+AF$93-AF$112,0)</f>
        <v>0</v>
      </c>
      <c r="AG124" s="34" t="n">
        <f aca="false">-AG$113+AG$117+IF(28=Fin,AG$118+AG$93-AG$112,0)</f>
        <v>0</v>
      </c>
      <c r="AH124" s="34" t="n">
        <f aca="false">-AH$113+AH$117+IF(29=Fin,AH$118+AH$93-AH$112,0)</f>
        <v>0</v>
      </c>
      <c r="AI124" s="34" t="n">
        <f aca="false">-AI$113+AI$117+IF(30=Fin,AI$118+AI$93-AI$112,0)</f>
        <v>0</v>
      </c>
      <c r="AJ124" s="34" t="n">
        <f aca="false">-AJ$113+AJ$117+IF(31=Fin,AJ$118+AJ$93-AJ$112,0)</f>
        <v>0</v>
      </c>
      <c r="AK124" s="34" t="n">
        <f aca="false">-AK$113+AK$117+IF(32=Fin,AK$118+AK$93-AK$112,0)</f>
        <v>0</v>
      </c>
      <c r="AL124" s="34" t="n">
        <f aca="false">-AL$113+AL$117+IF(33=Fin,AL$118+AL$93-AL$112,0)</f>
        <v>0</v>
      </c>
      <c r="AM124" s="34" t="n">
        <f aca="false">-AM$113+AM$117+IF(34=Fin,AM$118+AM$93-AM$112,0)</f>
        <v>0</v>
      </c>
      <c r="AN124" s="34" t="n">
        <f aca="false">-AN$113+AN$117+IF(35=Fin,AN$118+AN$93-AN$112,0)</f>
        <v>0</v>
      </c>
      <c r="AO124" s="34" t="n">
        <f aca="false">-AO$113+AO$117+IF(36=Fin,AO$118+AO$93-AO$112,0)</f>
        <v>0</v>
      </c>
      <c r="AP124" s="34" t="n">
        <f aca="false">-AP$113+AP$117+IF(37=Fin,AP$118+AP$93-AP$112,0)</f>
        <v>0</v>
      </c>
      <c r="AQ124" s="34" t="n">
        <f aca="false">-AQ$113+AQ$117+IF(38=Fin,AQ$118+AQ$93-AQ$112,0)</f>
        <v>0</v>
      </c>
      <c r="AR124" s="34" t="n">
        <f aca="false">-AR$113+AR$117+IF(39=Fin,AR$118+AR$93-AR$112,0)</f>
        <v>0</v>
      </c>
      <c r="AS124" s="34" t="n">
        <f aca="false">-AS$113+AS$117+IF(40=Fin,AS$118+AS$93-AS$112,0)</f>
        <v>0</v>
      </c>
      <c r="AT124" s="34" t="n">
        <f aca="false">-AT$113+AT$117+IF(41=Fin,AT$118+AT$93-AT$112,0)</f>
        <v>0</v>
      </c>
      <c r="AU124" s="34" t="n">
        <f aca="false">-AU$113+AU$117+IF(42=Fin,AU$118+AU$93-AU$112,0)</f>
        <v>0</v>
      </c>
      <c r="AV124" s="34" t="n">
        <f aca="false">-AV$113+AV$117+IF(43=Fin,AV$118+AV$93-AV$112,0)</f>
        <v>0</v>
      </c>
      <c r="AW124" s="34" t="n">
        <f aca="false">-AW$113+AW$117+IF(44=Fin,AW$118+AW$93-AW$112,0)</f>
        <v>0</v>
      </c>
      <c r="AX124" s="34" t="n">
        <f aca="false">-AX$113+AX$117+IF(45=Fin,AX$118+AX$93-AX$112,0)</f>
        <v>0</v>
      </c>
      <c r="AY124" s="34" t="n">
        <f aca="false">-AY$113+AY$117+IF(46=Fin,AY$118+AY$93-AY$112,0)</f>
        <v>0</v>
      </c>
      <c r="AZ124" s="34" t="n">
        <f aca="false">-AZ$113+AZ$117+IF(47=Fin,AZ$118+AZ$93-AZ$112,0)</f>
        <v>0</v>
      </c>
      <c r="BA124" s="34" t="n">
        <f aca="false">-BA$113+BA$117+IF(48=Fin,BA$118+BA$93-BA$112,0)</f>
        <v>0</v>
      </c>
      <c r="BB124" s="34" t="n">
        <f aca="false">-BB$113+BB$117+IF(49=Fin,BB$118+BB$93-BB$112,0)</f>
        <v>0</v>
      </c>
      <c r="BC124" s="34" t="n">
        <f aca="false">-BC$113+BC$117+IF(50=Fin,BC$118+BC$93-BC$112,0)</f>
        <v>0</v>
      </c>
      <c r="BD124" s="34" t="n">
        <f aca="false">-BD$113+BD$117+IF(51=Fin,BD$118+BD$93-BD$112,0)</f>
        <v>0</v>
      </c>
      <c r="BE124" s="34" t="n">
        <f aca="false">-BE$113+BE$117+IF(52=Fin,BE$118+BE$93-BE$112,0)</f>
        <v>0</v>
      </c>
      <c r="BF124" s="34" t="n">
        <f aca="false">-BF$113+BF$117+IF(53=Fin,BF$118+BF$93-BF$112,0)</f>
        <v>0</v>
      </c>
      <c r="BG124" s="34" t="n">
        <f aca="false">-BG$113+BG$117+IF(54=Fin,BG$118+BG$93-BG$112,0)</f>
        <v>0</v>
      </c>
      <c r="BH124" s="34" t="n">
        <f aca="false">-BH$113+BH$117+IF(55=Fin,BH$118+BH$93-BH$112,0)</f>
        <v>0</v>
      </c>
      <c r="BI124" s="34" t="n">
        <f aca="false">-BI$113+BI$117+IF(56=Fin,BI$118+BI$93-BI$112,0)</f>
        <v>0</v>
      </c>
      <c r="BJ124" s="34" t="n">
        <f aca="false">-BJ$113+BJ$117+IF(57=Fin,BJ$118+BJ$93-BJ$112,0)</f>
        <v>0</v>
      </c>
      <c r="BK124" s="34" t="n">
        <f aca="false">-BK$113+BK$117+IF(58=Fin,BK$118+BK$93-BK$112,0)</f>
        <v>0</v>
      </c>
      <c r="BL124" s="34" t="n">
        <f aca="false">-BL$113+BL$117+IF(59=Fin,BL$118+BL$93-BL$112,0)</f>
        <v>0</v>
      </c>
      <c r="BM124" s="34" t="n">
        <f aca="false">-BM$113+BM$117+IF(60=Fin,BM$118+BM$93-BM$112,0)</f>
        <v>0</v>
      </c>
      <c r="BN124" s="34" t="n">
        <f aca="false">-BN$113+BN$117+IF(61=Fin,BN$118+BN$93-BN$112,0)</f>
        <v>0</v>
      </c>
      <c r="BO124" s="34" t="n">
        <f aca="false">-BO$113+BO$117+IF(62=Fin,BO$118+BO$93-BO$112,0)</f>
        <v>0</v>
      </c>
      <c r="BP124" s="34" t="n">
        <f aca="false">-BP$113+BP$117+IF(63=Fin,BP$118+BP$93-BP$112,0)</f>
        <v>0</v>
      </c>
      <c r="BQ124" s="34" t="n">
        <f aca="false">-BQ$113+BQ$117+IF(64=Fin,BQ$118+BQ$93-BQ$112,0)</f>
        <v>0</v>
      </c>
      <c r="BR124" s="34" t="n">
        <f aca="false">-BR$113+BR$117+IF(65=Fin,BR$118+BR$93-BR$112,0)</f>
        <v>0</v>
      </c>
      <c r="BS124" s="34" t="n">
        <f aca="false">-BS$113+BS$117+IF(66=Fin,BS$118+BS$93-BS$112,0)</f>
        <v>0</v>
      </c>
      <c r="BT124" s="34" t="n">
        <f aca="false">-BT$113+BT$117+IF(67=Fin,BT$118+BT$93-BT$112,0)</f>
        <v>0</v>
      </c>
      <c r="BU124" s="34" t="n">
        <f aca="false">-BU$113+BU$117+IF(68=Fin,BU$118+BU$93-BU$112,0)</f>
        <v>0</v>
      </c>
      <c r="BV124" s="34" t="n">
        <f aca="false">-BV$113+BV$117+IF(69=Fin,BV$118+BV$93-BV$112,0)</f>
        <v>0</v>
      </c>
      <c r="BW124" s="34" t="n">
        <f aca="false">-BW$113+BW$117+IF(70=Fin,BW$118+BW$93-BW$112,0)</f>
        <v>0</v>
      </c>
      <c r="BX124" s="34" t="n">
        <f aca="false">-BX$113+BX$117+IF(71=Fin,BX$118+BX$93-BX$112,0)</f>
        <v>0</v>
      </c>
      <c r="BY124" s="34" t="n">
        <f aca="false">-BY$113+BY$117+IF(72=Fin,BY$118+BY$93-BY$112,0)</f>
        <v>0</v>
      </c>
      <c r="BZ124" s="34" t="n">
        <f aca="false">-BZ$113+BZ$117+IF(73=Fin,BZ$118+BZ$93-BZ$112,0)</f>
        <v>0</v>
      </c>
      <c r="CA124" s="34" t="n">
        <f aca="false">-CA$113+CA$117+IF(74=Fin,CA$118+CA$93-CA$112,0)</f>
        <v>0</v>
      </c>
      <c r="CB124" s="34" t="n">
        <f aca="false">-CB$113+CB$117+IF(75=Fin,CB$118+CB$93-CB$112,0)</f>
        <v>0</v>
      </c>
      <c r="CC124" s="34" t="n">
        <f aca="false">-CC$113+CC$117+IF(76=Fin,CC$118+CC$93-CC$112,0)</f>
        <v>0</v>
      </c>
      <c r="CD124" s="34" t="n">
        <f aca="false">-CD$113+CD$117+IF(77=Fin,CD$118+CD$93-CD$112,0)</f>
        <v>0</v>
      </c>
      <c r="CE124" s="34" t="n">
        <f aca="false">-CE$113+CE$117+IF(78=Fin,CE$118+CE$93-CE$112,0)</f>
        <v>0</v>
      </c>
      <c r="CF124" s="34" t="n">
        <f aca="false">-CF$113+CF$117+IF(79=Fin,CF$118+CF$93-CF$112,0)</f>
        <v>0</v>
      </c>
      <c r="CG124" s="34" t="n">
        <f aca="false">-CG$113+CG$117+IF(80=Fin,CG$118+CG$93-CG$112,0)</f>
        <v>0</v>
      </c>
      <c r="CH124" s="34" t="n">
        <f aca="false">-CH$113+CH$117+IF(81=Fin,CH$118+CH$93-CH$112,0)</f>
        <v>0</v>
      </c>
      <c r="CI124" s="34" t="n">
        <f aca="false">-CI$113+CI$117+IF(82=Fin,CI$118+CI$93-CI$112,0)</f>
        <v>0</v>
      </c>
      <c r="CJ124" s="34" t="n">
        <f aca="false">-CJ$113+CJ$117+IF(83=Fin,CJ$118+CJ$93-CJ$112,0)</f>
        <v>0</v>
      </c>
      <c r="CK124" s="34" t="n">
        <f aca="false">-CK$113+CK$117+IF(84=Fin,CK$118+CK$93-CK$112,0)</f>
        <v>0</v>
      </c>
      <c r="CL124" s="34" t="n">
        <f aca="false">-CL$113+CL$117+IF(85=Fin,CL$118+CL$93-CL$112,0)</f>
        <v>0</v>
      </c>
      <c r="CM124" s="34" t="n">
        <f aca="false">-CM$113+CM$117+IF(86=Fin,CM$118+CM$93-CM$112,0)</f>
        <v>0</v>
      </c>
      <c r="CN124" s="34" t="n">
        <f aca="false">-CN$113+CN$117+IF(87=Fin,CN$118+CN$93-CN$112,0)</f>
        <v>0</v>
      </c>
      <c r="CO124" s="34" t="n">
        <f aca="false">-CO$113+CO$117+IF(88=Fin,CO$118+CO$93-CO$112,0)</f>
        <v>0</v>
      </c>
      <c r="CP124" s="34" t="n">
        <f aca="false">-CP$113+CP$117+IF(89=Fin,CP$118+CP$93-CP$112,0)</f>
        <v>0</v>
      </c>
      <c r="CQ124" s="34" t="n">
        <f aca="false">-CQ$113+CQ$117+IF(90=Fin,CQ$118+CQ$93-CQ$112,0)</f>
        <v>0</v>
      </c>
      <c r="CR124" s="34" t="n">
        <f aca="false">-CR$113+CR$117+IF(91=Fin,CR$118+CR$93-CR$112,0)</f>
        <v>0</v>
      </c>
      <c r="CS124" s="34" t="n">
        <f aca="false">-CS$113+CS$117+IF(92=Fin,CS$118+CS$93-CS$112,0)</f>
        <v>0</v>
      </c>
      <c r="CT124" s="34" t="n">
        <f aca="false">-CT$113+CT$117+IF(93=Fin,CT$118+CT$93-CT$112,0)</f>
        <v>0</v>
      </c>
      <c r="CU124" s="34" t="n">
        <f aca="false">-CU$113+CU$117+IF(94=Fin,CU$118+CU$93-CU$112,0)</f>
        <v>0</v>
      </c>
      <c r="CV124" s="34" t="n">
        <f aca="false">-CV$113+CV$117+IF(95=Fin,CV$118+CV$93-CV$112,0)</f>
        <v>0</v>
      </c>
      <c r="CW124" s="34" t="n">
        <f aca="false">-CW$113+CW$117+IF(96=Fin,CW$118+CW$93-CW$112,0)</f>
        <v>0</v>
      </c>
      <c r="CX124" s="34" t="n">
        <f aca="false">-CX$113+CX$117+IF(97=Fin,CX$118+CX$93-CX$112,0)</f>
        <v>0</v>
      </c>
      <c r="CY124" s="34" t="n">
        <f aca="false">-CY$113+CY$117+IF(98=Fin,CY$118+CY$93-CY$112,0)</f>
        <v>0</v>
      </c>
      <c r="CZ124" s="34" t="n">
        <f aca="false">-CZ$113+CZ$117+IF(99=Fin,CZ$118+CZ$93-CZ$112,0)</f>
        <v>0</v>
      </c>
      <c r="DA124" s="34" t="n">
        <f aca="false">-DA$113+DA$117+IF(100=Fin,DA$118+DA$93-DA$112,0)</f>
        <v>0</v>
      </c>
      <c r="DB124" s="34" t="n">
        <f aca="false">-DB$113+DB$117+IF(101=Fin,DB$118+DB$93-DB$112,0)</f>
        <v>0</v>
      </c>
      <c r="DC124" s="34" t="n">
        <f aca="false">-DC$113+DC$117+IF(102=Fin,DC$118+DC$93-DC$112,0)</f>
        <v>0</v>
      </c>
      <c r="DD124" s="34" t="n">
        <f aca="false">-DD$113+DD$117+IF(103=Fin,DD$118+DD$93-DD$112,0)</f>
        <v>0</v>
      </c>
      <c r="DE124" s="34" t="n">
        <f aca="false">-DE$113+DE$117+IF(104=Fin,DE$118+DE$93-DE$112,0)</f>
        <v>0</v>
      </c>
      <c r="DF124" s="34" t="n">
        <f aca="false">-DF$113+DF$117+IF(105=Fin,DF$118+DF$93-DF$112,0)</f>
        <v>0</v>
      </c>
      <c r="DG124" s="34" t="n">
        <f aca="false">-DG$113+DG$117+IF(106=Fin,DG$118+DG$93-DG$112,0)</f>
        <v>0</v>
      </c>
      <c r="DH124" s="34" t="n">
        <f aca="false">-DH$113+DH$117+IF(107=Fin,DH$118+DH$93-DH$112,0)</f>
        <v>0</v>
      </c>
      <c r="DI124" s="34" t="n">
        <f aca="false">-DI$113+DI$117+IF(108=Fin,DI$118+DI$93-DI$112,0)</f>
        <v>0</v>
      </c>
      <c r="DJ124" s="34" t="n">
        <f aca="false">-DJ$113+DJ$117+IF(109=Fin,DJ$118+DJ$93-DJ$112,0)</f>
        <v>0</v>
      </c>
      <c r="DK124" s="34" t="n">
        <f aca="false">-DK$113+DK$117+IF(110=Fin,DK$118+DK$93-DK$112,0)</f>
        <v>0</v>
      </c>
      <c r="DL124" s="34" t="n">
        <f aca="false">-DL$113+DL$117+IF(111=Fin,DL$118+DL$93-DL$112,0)</f>
        <v>0</v>
      </c>
      <c r="DM124" s="34" t="n">
        <f aca="false">-DM$113+DM$117+IF(112=Fin,DM$118+DM$93-DM$112,0)</f>
        <v>0</v>
      </c>
      <c r="DN124" s="34" t="n">
        <f aca="false">-DN$113+DN$117+IF(113=Fin,DN$118+DN$93-DN$112,0)</f>
        <v>0</v>
      </c>
      <c r="DO124" s="34" t="n">
        <f aca="false">-DO$113+DO$117+IF(114=Fin,DO$118+DO$93-DO$112,0)</f>
        <v>0</v>
      </c>
      <c r="DP124" s="34" t="n">
        <f aca="false">-DP$113+DP$117+IF(115=Fin,DP$118+DP$93-DP$112,0)</f>
        <v>0</v>
      </c>
      <c r="DQ124" s="34" t="n">
        <f aca="false">-DQ$113+DQ$117+IF(116=Fin,DQ$118+DQ$93-DQ$112,0)</f>
        <v>0</v>
      </c>
      <c r="DR124" s="34" t="n">
        <f aca="false">-DR$113+DR$117+IF(117=Fin,DR$118+DR$93-DR$112,0)</f>
        <v>0</v>
      </c>
      <c r="DS124" s="34" t="n">
        <f aca="false">-DS$113+DS$117+IF(118=Fin,DS$118+DS$93-DS$112,0)</f>
        <v>0</v>
      </c>
      <c r="DT124" s="34" t="n">
        <f aca="false">-DT$113+DT$117+IF(119=Fin,DT$118+DT$93-DT$112,0)</f>
        <v>0</v>
      </c>
      <c r="DU124" s="34" t="n">
        <f aca="false">-DU$113+DU$117+IF(120=Fin,DU$118+DU$93-DU$112,0)</f>
        <v>0</v>
      </c>
      <c r="DV124" s="34" t="n">
        <f aca="false">-DV$113+DV$117+IF(121=Fin,DV$118+DV$93-DV$112,0)</f>
        <v>0</v>
      </c>
      <c r="DW124" s="34" t="n">
        <f aca="false">-DW$113+DW$117+IF(122=Fin,DW$118+DW$93-DW$112,0)</f>
        <v>0</v>
      </c>
      <c r="DX124" s="34" t="n">
        <f aca="false">-DX$113+DX$117+IF(123=Fin,DX$118+DX$93-DX$112,0)</f>
        <v>0</v>
      </c>
      <c r="DY124" s="34" t="n">
        <f aca="false">-DY$113+DY$117+IF(124=Fin,DY$118+DY$93-DY$112,0)</f>
        <v>0</v>
      </c>
      <c r="DZ124" s="34" t="n">
        <f aca="false">-DZ$113+DZ$117+IF(125=Fin,DZ$118+DZ$93-DZ$112,0)</f>
        <v>0</v>
      </c>
      <c r="EA124" s="34" t="n">
        <f aca="false">-EA$113+EA$117+IF(126=Fin,EA$118+EA$93-EA$112,0)</f>
        <v>0</v>
      </c>
      <c r="EB124" s="34" t="n">
        <f aca="false">-EB$113+EB$117+IF(127=Fin,EB$118+EB$93-EB$112,0)</f>
        <v>0</v>
      </c>
      <c r="EC124" s="34" t="n">
        <f aca="false">-EC$113+EC$117+IF(128=Fin,EC$118+EC$93-EC$112,0)</f>
        <v>0</v>
      </c>
      <c r="ED124" s="34" t="n">
        <f aca="false">-ED$113+ED$117+IF(129=Fin,ED$118+ED$93-ED$112,0)</f>
        <v>0</v>
      </c>
      <c r="EE124" s="34" t="n">
        <f aca="false">-EE$113+EE$117+IF(130=Fin,EE$118+EE$93-EE$112,0)</f>
        <v>0</v>
      </c>
      <c r="EF124" s="34" t="n">
        <f aca="false">-EF$113+EF$117+IF(131=Fin,EF$118+EF$93-EF$112,0)</f>
        <v>0</v>
      </c>
      <c r="EG124" s="34" t="n">
        <f aca="false">-EG$113+EG$117+IF(132=Fin,EG$118+EG$93-EG$112,0)</f>
        <v>0</v>
      </c>
      <c r="EH124" s="34" t="n">
        <f aca="false">-EH$113+EH$117+IF(133=Fin,EH$118+EH$93-EH$112,0)</f>
        <v>0</v>
      </c>
      <c r="EI124" s="34" t="n">
        <f aca="false">-EI$113+EI$117+IF(134=Fin,EI$118+EI$93-EI$112,0)</f>
        <v>0</v>
      </c>
      <c r="EJ124" s="34" t="n">
        <f aca="false">-EJ$113+EJ$117+IF(135=Fin,EJ$118+EJ$93-EJ$112,0)</f>
        <v>0</v>
      </c>
      <c r="EK124" s="34" t="n">
        <f aca="false">-EK$113+EK$117+IF(136=Fin,EK$118+EK$93-EK$112,0)</f>
        <v>0</v>
      </c>
      <c r="EL124" s="34" t="n">
        <f aca="false">-EL$113+EL$117+IF(137=Fin,EL$118+EL$93-EL$112,0)</f>
        <v>0</v>
      </c>
      <c r="EM124" s="34" t="n">
        <f aca="false">-EM$113+EM$117+IF(138=Fin,EM$118+EM$93-EM$112,0)</f>
        <v>0</v>
      </c>
      <c r="EN124" s="34" t="n">
        <f aca="false">-EN$113+EN$117+IF(139=Fin,EN$118+EN$93-EN$112,0)</f>
        <v>0</v>
      </c>
      <c r="EO124" s="34" t="n">
        <f aca="false">-EO$113+EO$117+IF(140=Fin,EO$118+EO$93-EO$112,0)</f>
        <v>0</v>
      </c>
      <c r="EP124" s="34" t="n">
        <f aca="false">-EP$113+EP$117+IF(141=Fin,EP$118+EP$93-EP$112,0)</f>
        <v>0</v>
      </c>
      <c r="EQ124" s="34" t="n">
        <f aca="false">-EQ$113+EQ$117+IF(142=Fin,EQ$118+EQ$93-EQ$112,0)</f>
        <v>0</v>
      </c>
      <c r="ER124" s="34" t="n">
        <f aca="false">-ER$113+ER$117+IF(143=Fin,ER$118+ER$93-ER$112,0)</f>
        <v>0</v>
      </c>
      <c r="ES124" s="34" t="n">
        <f aca="false">-ES$113+ES$117+IF(144=Fin,ES$118+ES$93-ES$112,0)</f>
        <v>0</v>
      </c>
    </row>
    <row r="125" customFormat="false" ht="15" hidden="false" customHeight="false" outlineLevel="0" collapsed="false">
      <c r="A125" s="2" t="s">
        <v>604</v>
      </c>
      <c r="B125" s="6" t="s">
        <v>605</v>
      </c>
      <c r="C125" s="6" t="s">
        <v>212</v>
      </c>
      <c r="E125" s="40" t="n">
        <f aca="false">INDEX(F125:ES125,1,MIN(144,Fin))</f>
        <v>0</v>
      </c>
      <c r="F125" s="34" t="n">
        <f aca="false">0+F$94</f>
        <v>0</v>
      </c>
      <c r="G125" s="34" t="n">
        <f aca="false">F$125+G$94</f>
        <v>0</v>
      </c>
      <c r="H125" s="34" t="n">
        <f aca="false">G$125+H$94</f>
        <v>0</v>
      </c>
      <c r="I125" s="34" t="n">
        <f aca="false">H$125+I$94</f>
        <v>0</v>
      </c>
      <c r="J125" s="34" t="n">
        <f aca="false">I$125+J$94</f>
        <v>0</v>
      </c>
      <c r="K125" s="34" t="n">
        <f aca="false">J$125+K$94</f>
        <v>0</v>
      </c>
      <c r="L125" s="34" t="n">
        <f aca="false">K$125+L$94</f>
        <v>0</v>
      </c>
      <c r="M125" s="34" t="n">
        <f aca="false">L$125+M$94</f>
        <v>0</v>
      </c>
      <c r="N125" s="34" t="n">
        <f aca="false">M$125+N$94</f>
        <v>0</v>
      </c>
      <c r="O125" s="34" t="n">
        <f aca="false">N$125+O$94</f>
        <v>0</v>
      </c>
      <c r="P125" s="34" t="n">
        <f aca="false">O$125+P$94</f>
        <v>0</v>
      </c>
      <c r="Q125" s="34" t="n">
        <f aca="false">P$125+Q$94</f>
        <v>0</v>
      </c>
      <c r="R125" s="34" t="n">
        <f aca="false">Q$125+R$94</f>
        <v>0</v>
      </c>
      <c r="S125" s="34" t="n">
        <f aca="false">R$125+S$94</f>
        <v>0</v>
      </c>
      <c r="T125" s="34" t="n">
        <f aca="false">S$125+T$94</f>
        <v>0</v>
      </c>
      <c r="U125" s="34" t="n">
        <f aca="false">T$125+U$94</f>
        <v>0</v>
      </c>
      <c r="V125" s="34" t="n">
        <f aca="false">U$125+V$94</f>
        <v>0</v>
      </c>
      <c r="W125" s="34" t="n">
        <f aca="false">V$125+W$94</f>
        <v>0</v>
      </c>
      <c r="X125" s="34" t="n">
        <f aca="false">W$125+X$94</f>
        <v>0</v>
      </c>
      <c r="Y125" s="34" t="n">
        <f aca="false">X$125+Y$94</f>
        <v>0</v>
      </c>
      <c r="Z125" s="34" t="n">
        <f aca="false">Y$125+Z$94</f>
        <v>0</v>
      </c>
      <c r="AA125" s="34" t="n">
        <f aca="false">Z$125+AA$94</f>
        <v>0</v>
      </c>
      <c r="AB125" s="34" t="n">
        <f aca="false">AA$125+AB$94</f>
        <v>0</v>
      </c>
      <c r="AC125" s="34" t="n">
        <f aca="false">AB$125+AC$94</f>
        <v>0</v>
      </c>
      <c r="AD125" s="34" t="n">
        <f aca="false">AC$125+AD$94</f>
        <v>0</v>
      </c>
      <c r="AE125" s="34" t="n">
        <f aca="false">AD$125+AE$94</f>
        <v>0</v>
      </c>
      <c r="AF125" s="34" t="n">
        <f aca="false">AE$125+AF$94</f>
        <v>0</v>
      </c>
      <c r="AG125" s="34" t="n">
        <f aca="false">AF$125+AG$94</f>
        <v>0</v>
      </c>
      <c r="AH125" s="34" t="n">
        <f aca="false">AG$125+AH$94</f>
        <v>0</v>
      </c>
      <c r="AI125" s="34" t="n">
        <f aca="false">AH$125+AI$94</f>
        <v>0</v>
      </c>
      <c r="AJ125" s="34" t="n">
        <f aca="false">AI$125+AJ$94</f>
        <v>0</v>
      </c>
      <c r="AK125" s="34" t="n">
        <f aca="false">AJ$125+AK$94</f>
        <v>0</v>
      </c>
      <c r="AL125" s="34" t="n">
        <f aca="false">AK$125+AL$94</f>
        <v>0</v>
      </c>
      <c r="AM125" s="34" t="n">
        <f aca="false">AL$125+AM$94</f>
        <v>0</v>
      </c>
      <c r="AN125" s="34" t="n">
        <f aca="false">AM$125+AN$94</f>
        <v>0</v>
      </c>
      <c r="AO125" s="34" t="n">
        <f aca="false">AN$125+AO$94</f>
        <v>0</v>
      </c>
      <c r="AP125" s="34" t="n">
        <f aca="false">AO$125+AP$94</f>
        <v>0</v>
      </c>
      <c r="AQ125" s="34" t="n">
        <f aca="false">AP$125+AQ$94</f>
        <v>0</v>
      </c>
      <c r="AR125" s="34" t="n">
        <f aca="false">AQ$125+AR$94</f>
        <v>0</v>
      </c>
      <c r="AS125" s="34" t="n">
        <f aca="false">AR$125+AS$94</f>
        <v>0</v>
      </c>
      <c r="AT125" s="34" t="n">
        <f aca="false">AS$125+AT$94</f>
        <v>0</v>
      </c>
      <c r="AU125" s="34" t="n">
        <f aca="false">AT$125+AU$94</f>
        <v>0</v>
      </c>
      <c r="AV125" s="34" t="n">
        <f aca="false">AU$125+AV$94</f>
        <v>0</v>
      </c>
      <c r="AW125" s="34" t="n">
        <f aca="false">AV$125+AW$94</f>
        <v>0</v>
      </c>
      <c r="AX125" s="34" t="n">
        <f aca="false">AW$125+AX$94</f>
        <v>0</v>
      </c>
      <c r="AY125" s="34" t="n">
        <f aca="false">AX$125+AY$94</f>
        <v>0</v>
      </c>
      <c r="AZ125" s="34" t="n">
        <f aca="false">AY$125+AZ$94</f>
        <v>0</v>
      </c>
      <c r="BA125" s="34" t="n">
        <f aca="false">AZ$125+BA$94</f>
        <v>0</v>
      </c>
      <c r="BB125" s="34" t="n">
        <f aca="false">BA$125+BB$94</f>
        <v>0</v>
      </c>
      <c r="BC125" s="34" t="n">
        <f aca="false">BB$125+BC$94</f>
        <v>0</v>
      </c>
      <c r="BD125" s="34" t="n">
        <f aca="false">BC$125+BD$94</f>
        <v>0</v>
      </c>
      <c r="BE125" s="34" t="n">
        <f aca="false">BD$125+BE$94</f>
        <v>0</v>
      </c>
      <c r="BF125" s="34" t="n">
        <f aca="false">BE$125+BF$94</f>
        <v>0</v>
      </c>
      <c r="BG125" s="34" t="n">
        <f aca="false">BF$125+BG$94</f>
        <v>0</v>
      </c>
      <c r="BH125" s="34" t="n">
        <f aca="false">BG$125+BH$94</f>
        <v>0</v>
      </c>
      <c r="BI125" s="34" t="n">
        <f aca="false">BH$125+BI$94</f>
        <v>0</v>
      </c>
      <c r="BJ125" s="34" t="n">
        <f aca="false">BI$125+BJ$94</f>
        <v>0</v>
      </c>
      <c r="BK125" s="34" t="n">
        <f aca="false">BJ$125+BK$94</f>
        <v>0</v>
      </c>
      <c r="BL125" s="34" t="n">
        <f aca="false">BK$125+BL$94</f>
        <v>0</v>
      </c>
      <c r="BM125" s="34" t="n">
        <f aca="false">BL$125+BM$94</f>
        <v>0</v>
      </c>
      <c r="BN125" s="34" t="n">
        <f aca="false">BM$125+BN$94</f>
        <v>0</v>
      </c>
      <c r="BO125" s="34" t="n">
        <f aca="false">BN$125+BO$94</f>
        <v>0</v>
      </c>
      <c r="BP125" s="34" t="n">
        <f aca="false">BO$125+BP$94</f>
        <v>0</v>
      </c>
      <c r="BQ125" s="34" t="n">
        <f aca="false">BP$125+BQ$94</f>
        <v>0</v>
      </c>
      <c r="BR125" s="34" t="n">
        <f aca="false">BQ$125+BR$94</f>
        <v>0</v>
      </c>
      <c r="BS125" s="34" t="n">
        <f aca="false">BR$125+BS$94</f>
        <v>0</v>
      </c>
      <c r="BT125" s="34" t="n">
        <f aca="false">BS$125+BT$94</f>
        <v>0</v>
      </c>
      <c r="BU125" s="34" t="n">
        <f aca="false">BT$125+BU$94</f>
        <v>0</v>
      </c>
      <c r="BV125" s="34" t="n">
        <f aca="false">BU$125+BV$94</f>
        <v>0</v>
      </c>
      <c r="BW125" s="34" t="n">
        <f aca="false">BV$125+BW$94</f>
        <v>0</v>
      </c>
      <c r="BX125" s="34" t="n">
        <f aca="false">BW$125+BX$94</f>
        <v>0</v>
      </c>
      <c r="BY125" s="34" t="n">
        <f aca="false">BX$125+BY$94</f>
        <v>0</v>
      </c>
      <c r="BZ125" s="34" t="n">
        <f aca="false">BY$125+BZ$94</f>
        <v>0</v>
      </c>
      <c r="CA125" s="34" t="n">
        <f aca="false">BZ$125+CA$94</f>
        <v>0</v>
      </c>
      <c r="CB125" s="34" t="n">
        <f aca="false">CA$125+CB$94</f>
        <v>0</v>
      </c>
      <c r="CC125" s="34" t="n">
        <f aca="false">CB$125+CC$94</f>
        <v>0</v>
      </c>
      <c r="CD125" s="34" t="n">
        <f aca="false">CC$125+CD$94</f>
        <v>0</v>
      </c>
      <c r="CE125" s="34" t="n">
        <f aca="false">CD$125+CE$94</f>
        <v>0</v>
      </c>
      <c r="CF125" s="34" t="n">
        <f aca="false">CE$125+CF$94</f>
        <v>0</v>
      </c>
      <c r="CG125" s="34" t="n">
        <f aca="false">CF$125+CG$94</f>
        <v>0</v>
      </c>
      <c r="CH125" s="34" t="n">
        <f aca="false">CG$125+CH$94</f>
        <v>0</v>
      </c>
      <c r="CI125" s="34" t="n">
        <f aca="false">CH$125+CI$94</f>
        <v>0</v>
      </c>
      <c r="CJ125" s="34" t="n">
        <f aca="false">CI$125+CJ$94</f>
        <v>0</v>
      </c>
      <c r="CK125" s="34" t="n">
        <f aca="false">CJ$125+CK$94</f>
        <v>0</v>
      </c>
      <c r="CL125" s="34" t="n">
        <f aca="false">CK$125+CL$94</f>
        <v>0</v>
      </c>
      <c r="CM125" s="34" t="n">
        <f aca="false">CL$125+CM$94</f>
        <v>0</v>
      </c>
      <c r="CN125" s="34" t="n">
        <f aca="false">CM$125+CN$94</f>
        <v>0</v>
      </c>
      <c r="CO125" s="34" t="n">
        <f aca="false">CN$125+CO$94</f>
        <v>0</v>
      </c>
      <c r="CP125" s="34" t="n">
        <f aca="false">CO$125+CP$94</f>
        <v>0</v>
      </c>
      <c r="CQ125" s="34" t="n">
        <f aca="false">CP$125+CQ$94</f>
        <v>0</v>
      </c>
      <c r="CR125" s="34" t="n">
        <f aca="false">CQ$125+CR$94</f>
        <v>0</v>
      </c>
      <c r="CS125" s="34" t="n">
        <f aca="false">CR$125+CS$94</f>
        <v>0</v>
      </c>
      <c r="CT125" s="34" t="n">
        <f aca="false">CS$125+CT$94</f>
        <v>0</v>
      </c>
      <c r="CU125" s="34" t="n">
        <f aca="false">CT$125+CU$94</f>
        <v>0</v>
      </c>
      <c r="CV125" s="34" t="n">
        <f aca="false">CU$125+CV$94</f>
        <v>0</v>
      </c>
      <c r="CW125" s="34" t="n">
        <f aca="false">CV$125+CW$94</f>
        <v>0</v>
      </c>
      <c r="CX125" s="34" t="n">
        <f aca="false">CW$125+CX$94</f>
        <v>0</v>
      </c>
      <c r="CY125" s="34" t="n">
        <f aca="false">CX$125+CY$94</f>
        <v>0</v>
      </c>
      <c r="CZ125" s="34" t="n">
        <f aca="false">CY$125+CZ$94</f>
        <v>0</v>
      </c>
      <c r="DA125" s="34" t="n">
        <f aca="false">CZ$125+DA$94</f>
        <v>0</v>
      </c>
      <c r="DB125" s="34" t="n">
        <f aca="false">DA$125+DB$94</f>
        <v>0</v>
      </c>
      <c r="DC125" s="34" t="n">
        <f aca="false">DB$125+DC$94</f>
        <v>0</v>
      </c>
      <c r="DD125" s="34" t="n">
        <f aca="false">DC$125+DD$94</f>
        <v>0</v>
      </c>
      <c r="DE125" s="34" t="n">
        <f aca="false">DD$125+DE$94</f>
        <v>0</v>
      </c>
      <c r="DF125" s="34" t="n">
        <f aca="false">DE$125+DF$94</f>
        <v>0</v>
      </c>
      <c r="DG125" s="34" t="n">
        <f aca="false">DF$125+DG$94</f>
        <v>0</v>
      </c>
      <c r="DH125" s="34" t="n">
        <f aca="false">DG$125+DH$94</f>
        <v>0</v>
      </c>
      <c r="DI125" s="34" t="n">
        <f aca="false">DH$125+DI$94</f>
        <v>0</v>
      </c>
      <c r="DJ125" s="34" t="n">
        <f aca="false">DI$125+DJ$94</f>
        <v>0</v>
      </c>
      <c r="DK125" s="34" t="n">
        <f aca="false">DJ$125+DK$94</f>
        <v>0</v>
      </c>
      <c r="DL125" s="34" t="n">
        <f aca="false">DK$125+DL$94</f>
        <v>0</v>
      </c>
      <c r="DM125" s="34" t="n">
        <f aca="false">DL$125+DM$94</f>
        <v>0</v>
      </c>
      <c r="DN125" s="34" t="n">
        <f aca="false">DM$125+DN$94</f>
        <v>0</v>
      </c>
      <c r="DO125" s="34" t="n">
        <f aca="false">DN$125+DO$94</f>
        <v>0</v>
      </c>
      <c r="DP125" s="34" t="n">
        <f aca="false">DO$125+DP$94</f>
        <v>0</v>
      </c>
      <c r="DQ125" s="34" t="n">
        <f aca="false">DP$125+DQ$94</f>
        <v>0</v>
      </c>
      <c r="DR125" s="34" t="n">
        <f aca="false">DQ$125+DR$94</f>
        <v>0</v>
      </c>
      <c r="DS125" s="34" t="n">
        <f aca="false">DR$125+DS$94</f>
        <v>0</v>
      </c>
      <c r="DT125" s="34" t="n">
        <f aca="false">DS$125+DT$94</f>
        <v>0</v>
      </c>
      <c r="DU125" s="34" t="n">
        <f aca="false">DT$125+DU$94</f>
        <v>0</v>
      </c>
      <c r="DV125" s="34" t="n">
        <f aca="false">DU$125+DV$94</f>
        <v>0</v>
      </c>
      <c r="DW125" s="34" t="n">
        <f aca="false">DV$125+DW$94</f>
        <v>0</v>
      </c>
      <c r="DX125" s="34" t="n">
        <f aca="false">DW$125+DX$94</f>
        <v>0</v>
      </c>
      <c r="DY125" s="34" t="n">
        <f aca="false">DX$125+DY$94</f>
        <v>0</v>
      </c>
      <c r="DZ125" s="34" t="n">
        <f aca="false">DY$125+DZ$94</f>
        <v>0</v>
      </c>
      <c r="EA125" s="34" t="n">
        <f aca="false">DZ$125+EA$94</f>
        <v>0</v>
      </c>
      <c r="EB125" s="34" t="n">
        <f aca="false">EA$125+EB$94</f>
        <v>0</v>
      </c>
      <c r="EC125" s="34" t="n">
        <f aca="false">EB$125+EC$94</f>
        <v>0</v>
      </c>
      <c r="ED125" s="34" t="n">
        <f aca="false">EC$125+ED$94</f>
        <v>0</v>
      </c>
      <c r="EE125" s="34" t="n">
        <f aca="false">ED$125+EE$94</f>
        <v>0</v>
      </c>
      <c r="EF125" s="34" t="n">
        <f aca="false">EE$125+EF$94</f>
        <v>0</v>
      </c>
      <c r="EG125" s="34" t="n">
        <f aca="false">EF$125+EG$94</f>
        <v>0</v>
      </c>
      <c r="EH125" s="34" t="n">
        <f aca="false">EG$125+EH$94</f>
        <v>0</v>
      </c>
      <c r="EI125" s="34" t="n">
        <f aca="false">EH$125+EI$94</f>
        <v>0</v>
      </c>
      <c r="EJ125" s="34" t="n">
        <f aca="false">EI$125+EJ$94</f>
        <v>0</v>
      </c>
      <c r="EK125" s="34" t="n">
        <f aca="false">EJ$125+EK$94</f>
        <v>0</v>
      </c>
      <c r="EL125" s="34" t="n">
        <f aca="false">EK$125+EL$94</f>
        <v>0</v>
      </c>
      <c r="EM125" s="34" t="n">
        <f aca="false">EL$125+EM$94</f>
        <v>0</v>
      </c>
      <c r="EN125" s="34" t="n">
        <f aca="false">EM$125+EN$94</f>
        <v>0</v>
      </c>
      <c r="EO125" s="34" t="n">
        <f aca="false">EN$125+EO$94</f>
        <v>0</v>
      </c>
      <c r="EP125" s="34" t="n">
        <f aca="false">EO$125+EP$94</f>
        <v>0</v>
      </c>
      <c r="EQ125" s="34" t="n">
        <f aca="false">EP$125+EQ$94</f>
        <v>0</v>
      </c>
      <c r="ER125" s="34" t="n">
        <f aca="false">EQ$125+ER$94</f>
        <v>0</v>
      </c>
      <c r="ES125" s="34" t="n">
        <f aca="false">ER$125+ES$94</f>
        <v>0</v>
      </c>
    </row>
    <row r="126" customFormat="false" ht="15" hidden="false" customHeight="false" outlineLevel="0" collapsed="false">
      <c r="A126" s="2" t="s">
        <v>606</v>
      </c>
      <c r="B126" s="6" t="s">
        <v>607</v>
      </c>
      <c r="C126" s="6" t="s">
        <v>89</v>
      </c>
      <c r="E126" s="53" t="n">
        <f aca="false">MAX(F126:ES126)</f>
        <v>0</v>
      </c>
      <c r="F126" s="36" t="n">
        <f aca="false">0</f>
        <v>0</v>
      </c>
      <c r="G126" s="36" t="n">
        <f aca="false">IF(AND(F$125&lt;0,G$125&gt;=0),0+(-F$125)/G$94,0)</f>
        <v>0</v>
      </c>
      <c r="H126" s="36" t="n">
        <f aca="false">IF(AND(G$125&lt;0,H$125&gt;=0),1+(-G$125)/H$94,0)</f>
        <v>0</v>
      </c>
      <c r="I126" s="36" t="n">
        <f aca="false">IF(AND(H$125&lt;0,I$125&gt;=0),2+(-H$125)/I$94,0)</f>
        <v>0</v>
      </c>
      <c r="J126" s="36" t="n">
        <f aca="false">IF(AND(I$125&lt;0,J$125&gt;=0),3+(-I$125)/J$94,0)</f>
        <v>0</v>
      </c>
      <c r="K126" s="36" t="n">
        <f aca="false">IF(AND(J$125&lt;0,K$125&gt;=0),4+(-J$125)/K$94,0)</f>
        <v>0</v>
      </c>
      <c r="L126" s="36" t="n">
        <f aca="false">IF(AND(K$125&lt;0,L$125&gt;=0),5+(-K$125)/L$94,0)</f>
        <v>0</v>
      </c>
      <c r="M126" s="36" t="n">
        <f aca="false">IF(AND(L$125&lt;0,M$125&gt;=0),6+(-L$125)/M$94,0)</f>
        <v>0</v>
      </c>
      <c r="N126" s="36" t="n">
        <f aca="false">IF(AND(M$125&lt;0,N$125&gt;=0),7+(-M$125)/N$94,0)</f>
        <v>0</v>
      </c>
      <c r="O126" s="36" t="n">
        <f aca="false">IF(AND(N$125&lt;0,O$125&gt;=0),8+(-N$125)/O$94,0)</f>
        <v>0</v>
      </c>
      <c r="P126" s="36" t="n">
        <f aca="false">IF(AND(O$125&lt;0,P$125&gt;=0),9+(-O$125)/P$94,0)</f>
        <v>0</v>
      </c>
      <c r="Q126" s="36" t="n">
        <f aca="false">IF(AND(P$125&lt;0,Q$125&gt;=0),10+(-P$125)/Q$94,0)</f>
        <v>0</v>
      </c>
      <c r="R126" s="36" t="n">
        <f aca="false">IF(AND(Q$125&lt;0,R$125&gt;=0),11+(-Q$125)/R$94,0)</f>
        <v>0</v>
      </c>
      <c r="S126" s="36" t="n">
        <f aca="false">IF(AND(R$125&lt;0,S$125&gt;=0),12+(-R$125)/S$94,0)</f>
        <v>0</v>
      </c>
      <c r="T126" s="36" t="n">
        <f aca="false">IF(AND(S$125&lt;0,T$125&gt;=0),13+(-S$125)/T$94,0)</f>
        <v>0</v>
      </c>
      <c r="U126" s="36" t="n">
        <f aca="false">IF(AND(T$125&lt;0,U$125&gt;=0),14+(-T$125)/U$94,0)</f>
        <v>0</v>
      </c>
      <c r="V126" s="36" t="n">
        <f aca="false">IF(AND(U$125&lt;0,V$125&gt;=0),15+(-U$125)/V$94,0)</f>
        <v>0</v>
      </c>
      <c r="W126" s="36" t="n">
        <f aca="false">IF(AND(V$125&lt;0,W$125&gt;=0),16+(-V$125)/W$94,0)</f>
        <v>0</v>
      </c>
      <c r="X126" s="36" t="n">
        <f aca="false">IF(AND(W$125&lt;0,X$125&gt;=0),17+(-W$125)/X$94,0)</f>
        <v>0</v>
      </c>
      <c r="Y126" s="36" t="n">
        <f aca="false">IF(AND(X$125&lt;0,Y$125&gt;=0),18+(-X$125)/Y$94,0)</f>
        <v>0</v>
      </c>
      <c r="Z126" s="36" t="n">
        <f aca="false">IF(AND(Y$125&lt;0,Z$125&gt;=0),19+(-Y$125)/Z$94,0)</f>
        <v>0</v>
      </c>
      <c r="AA126" s="36" t="n">
        <f aca="false">IF(AND(Z$125&lt;0,AA$125&gt;=0),20+(-Z$125)/AA$94,0)</f>
        <v>0</v>
      </c>
      <c r="AB126" s="36" t="n">
        <f aca="false">IF(AND(AA$125&lt;0,AB$125&gt;=0),21+(-AA$125)/AB$94,0)</f>
        <v>0</v>
      </c>
      <c r="AC126" s="36" t="n">
        <f aca="false">IF(AND(AB$125&lt;0,AC$125&gt;=0),22+(-AB$125)/AC$94,0)</f>
        <v>0</v>
      </c>
      <c r="AD126" s="36" t="n">
        <f aca="false">IF(AND(AC$125&lt;0,AD$125&gt;=0),23+(-AC$125)/AD$94,0)</f>
        <v>0</v>
      </c>
      <c r="AE126" s="36" t="n">
        <f aca="false">IF(AND(AD$125&lt;0,AE$125&gt;=0),24+(-AD$125)/AE$94,0)</f>
        <v>0</v>
      </c>
      <c r="AF126" s="36" t="n">
        <f aca="false">IF(AND(AE$125&lt;0,AF$125&gt;=0),25+(-AE$125)/AF$94,0)</f>
        <v>0</v>
      </c>
      <c r="AG126" s="36" t="n">
        <f aca="false">IF(AND(AF$125&lt;0,AG$125&gt;=0),26+(-AF$125)/AG$94,0)</f>
        <v>0</v>
      </c>
      <c r="AH126" s="36" t="n">
        <f aca="false">IF(AND(AG$125&lt;0,AH$125&gt;=0),27+(-AG$125)/AH$94,0)</f>
        <v>0</v>
      </c>
      <c r="AI126" s="36" t="n">
        <f aca="false">IF(AND(AH$125&lt;0,AI$125&gt;=0),28+(-AH$125)/AI$94,0)</f>
        <v>0</v>
      </c>
      <c r="AJ126" s="36" t="n">
        <f aca="false">IF(AND(AI$125&lt;0,AJ$125&gt;=0),29+(-AI$125)/AJ$94,0)</f>
        <v>0</v>
      </c>
      <c r="AK126" s="36" t="n">
        <f aca="false">IF(AND(AJ$125&lt;0,AK$125&gt;=0),30+(-AJ$125)/AK$94,0)</f>
        <v>0</v>
      </c>
      <c r="AL126" s="36" t="n">
        <f aca="false">IF(AND(AK$125&lt;0,AL$125&gt;=0),31+(-AK$125)/AL$94,0)</f>
        <v>0</v>
      </c>
      <c r="AM126" s="36" t="n">
        <f aca="false">IF(AND(AL$125&lt;0,AM$125&gt;=0),32+(-AL$125)/AM$94,0)</f>
        <v>0</v>
      </c>
      <c r="AN126" s="36" t="n">
        <f aca="false">IF(AND(AM$125&lt;0,AN$125&gt;=0),33+(-AM$125)/AN$94,0)</f>
        <v>0</v>
      </c>
      <c r="AO126" s="36" t="n">
        <f aca="false">IF(AND(AN$125&lt;0,AO$125&gt;=0),34+(-AN$125)/AO$94,0)</f>
        <v>0</v>
      </c>
      <c r="AP126" s="36" t="n">
        <f aca="false">IF(AND(AO$125&lt;0,AP$125&gt;=0),35+(-AO$125)/AP$94,0)</f>
        <v>0</v>
      </c>
      <c r="AQ126" s="36" t="n">
        <f aca="false">IF(AND(AP$125&lt;0,AQ$125&gt;=0),36+(-AP$125)/AQ$94,0)</f>
        <v>0</v>
      </c>
      <c r="AR126" s="36" t="n">
        <f aca="false">IF(AND(AQ$125&lt;0,AR$125&gt;=0),37+(-AQ$125)/AR$94,0)</f>
        <v>0</v>
      </c>
      <c r="AS126" s="36" t="n">
        <f aca="false">IF(AND(AR$125&lt;0,AS$125&gt;=0),38+(-AR$125)/AS$94,0)</f>
        <v>0</v>
      </c>
      <c r="AT126" s="36" t="n">
        <f aca="false">IF(AND(AS$125&lt;0,AT$125&gt;=0),39+(-AS$125)/AT$94,0)</f>
        <v>0</v>
      </c>
      <c r="AU126" s="36" t="n">
        <f aca="false">IF(AND(AT$125&lt;0,AU$125&gt;=0),40+(-AT$125)/AU$94,0)</f>
        <v>0</v>
      </c>
      <c r="AV126" s="36" t="n">
        <f aca="false">IF(AND(AU$125&lt;0,AV$125&gt;=0),41+(-AU$125)/AV$94,0)</f>
        <v>0</v>
      </c>
      <c r="AW126" s="36" t="n">
        <f aca="false">IF(AND(AV$125&lt;0,AW$125&gt;=0),42+(-AV$125)/AW$94,0)</f>
        <v>0</v>
      </c>
      <c r="AX126" s="36" t="n">
        <f aca="false">IF(AND(AW$125&lt;0,AX$125&gt;=0),43+(-AW$125)/AX$94,0)</f>
        <v>0</v>
      </c>
      <c r="AY126" s="36" t="n">
        <f aca="false">IF(AND(AX$125&lt;0,AY$125&gt;=0),44+(-AX$125)/AY$94,0)</f>
        <v>0</v>
      </c>
      <c r="AZ126" s="36" t="n">
        <f aca="false">IF(AND(AY$125&lt;0,AZ$125&gt;=0),45+(-AY$125)/AZ$94,0)</f>
        <v>0</v>
      </c>
      <c r="BA126" s="36" t="n">
        <f aca="false">IF(AND(AZ$125&lt;0,BA$125&gt;=0),46+(-AZ$125)/BA$94,0)</f>
        <v>0</v>
      </c>
      <c r="BB126" s="36" t="n">
        <f aca="false">IF(AND(BA$125&lt;0,BB$125&gt;=0),47+(-BA$125)/BB$94,0)</f>
        <v>0</v>
      </c>
      <c r="BC126" s="36" t="n">
        <f aca="false">IF(AND(BB$125&lt;0,BC$125&gt;=0),48+(-BB$125)/BC$94,0)</f>
        <v>0</v>
      </c>
      <c r="BD126" s="36" t="n">
        <f aca="false">IF(AND(BC$125&lt;0,BD$125&gt;=0),49+(-BC$125)/BD$94,0)</f>
        <v>0</v>
      </c>
      <c r="BE126" s="36" t="n">
        <f aca="false">IF(AND(BD$125&lt;0,BE$125&gt;=0),50+(-BD$125)/BE$94,0)</f>
        <v>0</v>
      </c>
      <c r="BF126" s="36" t="n">
        <f aca="false">IF(AND(BE$125&lt;0,BF$125&gt;=0),51+(-BE$125)/BF$94,0)</f>
        <v>0</v>
      </c>
      <c r="BG126" s="36" t="n">
        <f aca="false">IF(AND(BF$125&lt;0,BG$125&gt;=0),52+(-BF$125)/BG$94,0)</f>
        <v>0</v>
      </c>
      <c r="BH126" s="36" t="n">
        <f aca="false">IF(AND(BG$125&lt;0,BH$125&gt;=0),53+(-BG$125)/BH$94,0)</f>
        <v>0</v>
      </c>
      <c r="BI126" s="36" t="n">
        <f aca="false">IF(AND(BH$125&lt;0,BI$125&gt;=0),54+(-BH$125)/BI$94,0)</f>
        <v>0</v>
      </c>
      <c r="BJ126" s="36" t="n">
        <f aca="false">IF(AND(BI$125&lt;0,BJ$125&gt;=0),55+(-BI$125)/BJ$94,0)</f>
        <v>0</v>
      </c>
      <c r="BK126" s="36" t="n">
        <f aca="false">IF(AND(BJ$125&lt;0,BK$125&gt;=0),56+(-BJ$125)/BK$94,0)</f>
        <v>0</v>
      </c>
      <c r="BL126" s="36" t="n">
        <f aca="false">IF(AND(BK$125&lt;0,BL$125&gt;=0),57+(-BK$125)/BL$94,0)</f>
        <v>0</v>
      </c>
      <c r="BM126" s="36" t="n">
        <f aca="false">IF(AND(BL$125&lt;0,BM$125&gt;=0),58+(-BL$125)/BM$94,0)</f>
        <v>0</v>
      </c>
      <c r="BN126" s="36" t="n">
        <f aca="false">IF(AND(BM$125&lt;0,BN$125&gt;=0),59+(-BM$125)/BN$94,0)</f>
        <v>0</v>
      </c>
      <c r="BO126" s="36" t="n">
        <f aca="false">IF(AND(BN$125&lt;0,BO$125&gt;=0),60+(-BN$125)/BO$94,0)</f>
        <v>0</v>
      </c>
      <c r="BP126" s="36" t="n">
        <f aca="false">IF(AND(BO$125&lt;0,BP$125&gt;=0),61+(-BO$125)/BP$94,0)</f>
        <v>0</v>
      </c>
      <c r="BQ126" s="36" t="n">
        <f aca="false">IF(AND(BP$125&lt;0,BQ$125&gt;=0),62+(-BP$125)/BQ$94,0)</f>
        <v>0</v>
      </c>
      <c r="BR126" s="36" t="n">
        <f aca="false">IF(AND(BQ$125&lt;0,BR$125&gt;=0),63+(-BQ$125)/BR$94,0)</f>
        <v>0</v>
      </c>
      <c r="BS126" s="36" t="n">
        <f aca="false">IF(AND(BR$125&lt;0,BS$125&gt;=0),64+(-BR$125)/BS$94,0)</f>
        <v>0</v>
      </c>
      <c r="BT126" s="36" t="n">
        <f aca="false">IF(AND(BS$125&lt;0,BT$125&gt;=0),65+(-BS$125)/BT$94,0)</f>
        <v>0</v>
      </c>
      <c r="BU126" s="36" t="n">
        <f aca="false">IF(AND(BT$125&lt;0,BU$125&gt;=0),66+(-BT$125)/BU$94,0)</f>
        <v>0</v>
      </c>
      <c r="BV126" s="36" t="n">
        <f aca="false">IF(AND(BU$125&lt;0,BV$125&gt;=0),67+(-BU$125)/BV$94,0)</f>
        <v>0</v>
      </c>
      <c r="BW126" s="36" t="n">
        <f aca="false">IF(AND(BV$125&lt;0,BW$125&gt;=0),68+(-BV$125)/BW$94,0)</f>
        <v>0</v>
      </c>
      <c r="BX126" s="36" t="n">
        <f aca="false">IF(AND(BW$125&lt;0,BX$125&gt;=0),69+(-BW$125)/BX$94,0)</f>
        <v>0</v>
      </c>
      <c r="BY126" s="36" t="n">
        <f aca="false">IF(AND(BX$125&lt;0,BY$125&gt;=0),70+(-BX$125)/BY$94,0)</f>
        <v>0</v>
      </c>
      <c r="BZ126" s="36" t="n">
        <f aca="false">IF(AND(BY$125&lt;0,BZ$125&gt;=0),71+(-BY$125)/BZ$94,0)</f>
        <v>0</v>
      </c>
      <c r="CA126" s="36" t="n">
        <f aca="false">IF(AND(BZ$125&lt;0,CA$125&gt;=0),72+(-BZ$125)/CA$94,0)</f>
        <v>0</v>
      </c>
      <c r="CB126" s="36" t="n">
        <f aca="false">IF(AND(CA$125&lt;0,CB$125&gt;=0),73+(-CA$125)/CB$94,0)</f>
        <v>0</v>
      </c>
      <c r="CC126" s="36" t="n">
        <f aca="false">IF(AND(CB$125&lt;0,CC$125&gt;=0),74+(-CB$125)/CC$94,0)</f>
        <v>0</v>
      </c>
      <c r="CD126" s="36" t="n">
        <f aca="false">IF(AND(CC$125&lt;0,CD$125&gt;=0),75+(-CC$125)/CD$94,0)</f>
        <v>0</v>
      </c>
      <c r="CE126" s="36" t="n">
        <f aca="false">IF(AND(CD$125&lt;0,CE$125&gt;=0),76+(-CD$125)/CE$94,0)</f>
        <v>0</v>
      </c>
      <c r="CF126" s="36" t="n">
        <f aca="false">IF(AND(CE$125&lt;0,CF$125&gt;=0),77+(-CE$125)/CF$94,0)</f>
        <v>0</v>
      </c>
      <c r="CG126" s="36" t="n">
        <f aca="false">IF(AND(CF$125&lt;0,CG$125&gt;=0),78+(-CF$125)/CG$94,0)</f>
        <v>0</v>
      </c>
      <c r="CH126" s="36" t="n">
        <f aca="false">IF(AND(CG$125&lt;0,CH$125&gt;=0),79+(-CG$125)/CH$94,0)</f>
        <v>0</v>
      </c>
      <c r="CI126" s="36" t="n">
        <f aca="false">IF(AND(CH$125&lt;0,CI$125&gt;=0),80+(-CH$125)/CI$94,0)</f>
        <v>0</v>
      </c>
      <c r="CJ126" s="36" t="n">
        <f aca="false">IF(AND(CI$125&lt;0,CJ$125&gt;=0),81+(-CI$125)/CJ$94,0)</f>
        <v>0</v>
      </c>
      <c r="CK126" s="36" t="n">
        <f aca="false">IF(AND(CJ$125&lt;0,CK$125&gt;=0),82+(-CJ$125)/CK$94,0)</f>
        <v>0</v>
      </c>
      <c r="CL126" s="36" t="n">
        <f aca="false">IF(AND(CK$125&lt;0,CL$125&gt;=0),83+(-CK$125)/CL$94,0)</f>
        <v>0</v>
      </c>
      <c r="CM126" s="36" t="n">
        <f aca="false">IF(AND(CL$125&lt;0,CM$125&gt;=0),84+(-CL$125)/CM$94,0)</f>
        <v>0</v>
      </c>
      <c r="CN126" s="36" t="n">
        <f aca="false">IF(AND(CM$125&lt;0,CN$125&gt;=0),85+(-CM$125)/CN$94,0)</f>
        <v>0</v>
      </c>
      <c r="CO126" s="36" t="n">
        <f aca="false">IF(AND(CN$125&lt;0,CO$125&gt;=0),86+(-CN$125)/CO$94,0)</f>
        <v>0</v>
      </c>
      <c r="CP126" s="36" t="n">
        <f aca="false">IF(AND(CO$125&lt;0,CP$125&gt;=0),87+(-CO$125)/CP$94,0)</f>
        <v>0</v>
      </c>
      <c r="CQ126" s="36" t="n">
        <f aca="false">IF(AND(CP$125&lt;0,CQ$125&gt;=0),88+(-CP$125)/CQ$94,0)</f>
        <v>0</v>
      </c>
      <c r="CR126" s="36" t="n">
        <f aca="false">IF(AND(CQ$125&lt;0,CR$125&gt;=0),89+(-CQ$125)/CR$94,0)</f>
        <v>0</v>
      </c>
      <c r="CS126" s="36" t="n">
        <f aca="false">IF(AND(CR$125&lt;0,CS$125&gt;=0),90+(-CR$125)/CS$94,0)</f>
        <v>0</v>
      </c>
      <c r="CT126" s="36" t="n">
        <f aca="false">IF(AND(CS$125&lt;0,CT$125&gt;=0),91+(-CS$125)/CT$94,0)</f>
        <v>0</v>
      </c>
      <c r="CU126" s="36" t="n">
        <f aca="false">IF(AND(CT$125&lt;0,CU$125&gt;=0),92+(-CT$125)/CU$94,0)</f>
        <v>0</v>
      </c>
      <c r="CV126" s="36" t="n">
        <f aca="false">IF(AND(CU$125&lt;0,CV$125&gt;=0),93+(-CU$125)/CV$94,0)</f>
        <v>0</v>
      </c>
      <c r="CW126" s="36" t="n">
        <f aca="false">IF(AND(CV$125&lt;0,CW$125&gt;=0),94+(-CV$125)/CW$94,0)</f>
        <v>0</v>
      </c>
      <c r="CX126" s="36" t="n">
        <f aca="false">IF(AND(CW$125&lt;0,CX$125&gt;=0),95+(-CW$125)/CX$94,0)</f>
        <v>0</v>
      </c>
      <c r="CY126" s="36" t="n">
        <f aca="false">IF(AND(CX$125&lt;0,CY$125&gt;=0),96+(-CX$125)/CY$94,0)</f>
        <v>0</v>
      </c>
      <c r="CZ126" s="36" t="n">
        <f aca="false">IF(AND(CY$125&lt;0,CZ$125&gt;=0),97+(-CY$125)/CZ$94,0)</f>
        <v>0</v>
      </c>
      <c r="DA126" s="36" t="n">
        <f aca="false">IF(AND(CZ$125&lt;0,DA$125&gt;=0),98+(-CZ$125)/DA$94,0)</f>
        <v>0</v>
      </c>
      <c r="DB126" s="36" t="n">
        <f aca="false">IF(AND(DA$125&lt;0,DB$125&gt;=0),99+(-DA$125)/DB$94,0)</f>
        <v>0</v>
      </c>
      <c r="DC126" s="36" t="n">
        <f aca="false">IF(AND(DB$125&lt;0,DC$125&gt;=0),100+(-DB$125)/DC$94,0)</f>
        <v>0</v>
      </c>
      <c r="DD126" s="36" t="n">
        <f aca="false">IF(AND(DC$125&lt;0,DD$125&gt;=0),101+(-DC$125)/DD$94,0)</f>
        <v>0</v>
      </c>
      <c r="DE126" s="36" t="n">
        <f aca="false">IF(AND(DD$125&lt;0,DE$125&gt;=0),102+(-DD$125)/DE$94,0)</f>
        <v>0</v>
      </c>
      <c r="DF126" s="36" t="n">
        <f aca="false">IF(AND(DE$125&lt;0,DF$125&gt;=0),103+(-DE$125)/DF$94,0)</f>
        <v>0</v>
      </c>
      <c r="DG126" s="36" t="n">
        <f aca="false">IF(AND(DF$125&lt;0,DG$125&gt;=0),104+(-DF$125)/DG$94,0)</f>
        <v>0</v>
      </c>
      <c r="DH126" s="36" t="n">
        <f aca="false">IF(AND(DG$125&lt;0,DH$125&gt;=0),105+(-DG$125)/DH$94,0)</f>
        <v>0</v>
      </c>
      <c r="DI126" s="36" t="n">
        <f aca="false">IF(AND(DH$125&lt;0,DI$125&gt;=0),106+(-DH$125)/DI$94,0)</f>
        <v>0</v>
      </c>
      <c r="DJ126" s="36" t="n">
        <f aca="false">IF(AND(DI$125&lt;0,DJ$125&gt;=0),107+(-DI$125)/DJ$94,0)</f>
        <v>0</v>
      </c>
      <c r="DK126" s="36" t="n">
        <f aca="false">IF(AND(DJ$125&lt;0,DK$125&gt;=0),108+(-DJ$125)/DK$94,0)</f>
        <v>0</v>
      </c>
      <c r="DL126" s="36" t="n">
        <f aca="false">IF(AND(DK$125&lt;0,DL$125&gt;=0),109+(-DK$125)/DL$94,0)</f>
        <v>0</v>
      </c>
      <c r="DM126" s="36" t="n">
        <f aca="false">IF(AND(DL$125&lt;0,DM$125&gt;=0),110+(-DL$125)/DM$94,0)</f>
        <v>0</v>
      </c>
      <c r="DN126" s="36" t="n">
        <f aca="false">IF(AND(DM$125&lt;0,DN$125&gt;=0),111+(-DM$125)/DN$94,0)</f>
        <v>0</v>
      </c>
      <c r="DO126" s="36" t="n">
        <f aca="false">IF(AND(DN$125&lt;0,DO$125&gt;=0),112+(-DN$125)/DO$94,0)</f>
        <v>0</v>
      </c>
      <c r="DP126" s="36" t="n">
        <f aca="false">IF(AND(DO$125&lt;0,DP$125&gt;=0),113+(-DO$125)/DP$94,0)</f>
        <v>0</v>
      </c>
      <c r="DQ126" s="36" t="n">
        <f aca="false">IF(AND(DP$125&lt;0,DQ$125&gt;=0),114+(-DP$125)/DQ$94,0)</f>
        <v>0</v>
      </c>
      <c r="DR126" s="36" t="n">
        <f aca="false">IF(AND(DQ$125&lt;0,DR$125&gt;=0),115+(-DQ$125)/DR$94,0)</f>
        <v>0</v>
      </c>
      <c r="DS126" s="36" t="n">
        <f aca="false">IF(AND(DR$125&lt;0,DS$125&gt;=0),116+(-DR$125)/DS$94,0)</f>
        <v>0</v>
      </c>
      <c r="DT126" s="36" t="n">
        <f aca="false">IF(AND(DS$125&lt;0,DT$125&gt;=0),117+(-DS$125)/DT$94,0)</f>
        <v>0</v>
      </c>
      <c r="DU126" s="36" t="n">
        <f aca="false">IF(AND(DT$125&lt;0,DU$125&gt;=0),118+(-DT$125)/DU$94,0)</f>
        <v>0</v>
      </c>
      <c r="DV126" s="36" t="n">
        <f aca="false">IF(AND(DU$125&lt;0,DV$125&gt;=0),119+(-DU$125)/DV$94,0)</f>
        <v>0</v>
      </c>
      <c r="DW126" s="36" t="n">
        <f aca="false">IF(AND(DV$125&lt;0,DW$125&gt;=0),120+(-DV$125)/DW$94,0)</f>
        <v>0</v>
      </c>
      <c r="DX126" s="36" t="n">
        <f aca="false">IF(AND(DW$125&lt;0,DX$125&gt;=0),121+(-DW$125)/DX$94,0)</f>
        <v>0</v>
      </c>
      <c r="DY126" s="36" t="n">
        <f aca="false">IF(AND(DX$125&lt;0,DY$125&gt;=0),122+(-DX$125)/DY$94,0)</f>
        <v>0</v>
      </c>
      <c r="DZ126" s="36" t="n">
        <f aca="false">IF(AND(DY$125&lt;0,DZ$125&gt;=0),123+(-DY$125)/DZ$94,0)</f>
        <v>0</v>
      </c>
      <c r="EA126" s="36" t="n">
        <f aca="false">IF(AND(DZ$125&lt;0,EA$125&gt;=0),124+(-DZ$125)/EA$94,0)</f>
        <v>0</v>
      </c>
      <c r="EB126" s="36" t="n">
        <f aca="false">IF(AND(EA$125&lt;0,EB$125&gt;=0),125+(-EA$125)/EB$94,0)</f>
        <v>0</v>
      </c>
      <c r="EC126" s="36" t="n">
        <f aca="false">IF(AND(EB$125&lt;0,EC$125&gt;=0),126+(-EB$125)/EC$94,0)</f>
        <v>0</v>
      </c>
      <c r="ED126" s="36" t="n">
        <f aca="false">IF(AND(EC$125&lt;0,ED$125&gt;=0),127+(-EC$125)/ED$94,0)</f>
        <v>0</v>
      </c>
      <c r="EE126" s="36" t="n">
        <f aca="false">IF(AND(ED$125&lt;0,EE$125&gt;=0),128+(-ED$125)/EE$94,0)</f>
        <v>0</v>
      </c>
      <c r="EF126" s="36" t="n">
        <f aca="false">IF(AND(EE$125&lt;0,EF$125&gt;=0),129+(-EE$125)/EF$94,0)</f>
        <v>0</v>
      </c>
      <c r="EG126" s="36" t="n">
        <f aca="false">IF(AND(EF$125&lt;0,EG$125&gt;=0),130+(-EF$125)/EG$94,0)</f>
        <v>0</v>
      </c>
      <c r="EH126" s="36" t="n">
        <f aca="false">IF(AND(EG$125&lt;0,EH$125&gt;=0),131+(-EG$125)/EH$94,0)</f>
        <v>0</v>
      </c>
      <c r="EI126" s="36" t="n">
        <f aca="false">IF(AND(EH$125&lt;0,EI$125&gt;=0),132+(-EH$125)/EI$94,0)</f>
        <v>0</v>
      </c>
      <c r="EJ126" s="36" t="n">
        <f aca="false">IF(AND(EI$125&lt;0,EJ$125&gt;=0),133+(-EI$125)/EJ$94,0)</f>
        <v>0</v>
      </c>
      <c r="EK126" s="36" t="n">
        <f aca="false">IF(AND(EJ$125&lt;0,EK$125&gt;=0),134+(-EJ$125)/EK$94,0)</f>
        <v>0</v>
      </c>
      <c r="EL126" s="36" t="n">
        <f aca="false">IF(AND(EK$125&lt;0,EL$125&gt;=0),135+(-EK$125)/EL$94,0)</f>
        <v>0</v>
      </c>
      <c r="EM126" s="36" t="n">
        <f aca="false">IF(AND(EL$125&lt;0,EM$125&gt;=0),136+(-EL$125)/EM$94,0)</f>
        <v>0</v>
      </c>
      <c r="EN126" s="36" t="n">
        <f aca="false">IF(AND(EM$125&lt;0,EN$125&gt;=0),137+(-EM$125)/EN$94,0)</f>
        <v>0</v>
      </c>
      <c r="EO126" s="36" t="n">
        <f aca="false">IF(AND(EN$125&lt;0,EO$125&gt;=0),138+(-EN$125)/EO$94,0)</f>
        <v>0</v>
      </c>
      <c r="EP126" s="36" t="n">
        <f aca="false">IF(AND(EO$125&lt;0,EP$125&gt;=0),139+(-EO$125)/EP$94,0)</f>
        <v>0</v>
      </c>
      <c r="EQ126" s="36" t="n">
        <f aca="false">IF(AND(EP$125&lt;0,EQ$125&gt;=0),140+(-EP$125)/EQ$94,0)</f>
        <v>0</v>
      </c>
      <c r="ER126" s="36" t="n">
        <f aca="false">IF(AND(EQ$125&lt;0,ER$125&gt;=0),141+(-EQ$125)/ER$94,0)</f>
        <v>0</v>
      </c>
      <c r="ES126" s="36" t="n">
        <f aca="false">IF(AND(ER$125&lt;0,ES$125&gt;=0),142+(-ER$125)/ES$94,0)</f>
        <v>0</v>
      </c>
    </row>
    <row r="127" customFormat="false" ht="15" hidden="false" customHeight="false" outlineLevel="0" collapsed="false">
      <c r="A127" s="2" t="s">
        <v>608</v>
      </c>
      <c r="B127" s="6" t="s">
        <v>609</v>
      </c>
      <c r="C127" s="6" t="s">
        <v>212</v>
      </c>
      <c r="E127" s="40" t="n">
        <f aca="false">INDEX(F127:ES127,1,MIN(144,Fin))</f>
        <v>0</v>
      </c>
      <c r="F127" s="34" t="n">
        <f aca="false">0+F$113+F$81-F$117+F$119</f>
        <v>0</v>
      </c>
      <c r="G127" s="34" t="n">
        <f aca="false">F$127+G$113+G$81-G$117+G$119</f>
        <v>0</v>
      </c>
      <c r="H127" s="34" t="n">
        <f aca="false">G$127+H$113+H$81-H$117+H$119</f>
        <v>0</v>
      </c>
      <c r="I127" s="34" t="n">
        <f aca="false">H$127+I$113+I$81-I$117+I$119</f>
        <v>0</v>
      </c>
      <c r="J127" s="34" t="n">
        <f aca="false">I$127+J$113+J$81-J$117+J$119</f>
        <v>0</v>
      </c>
      <c r="K127" s="34" t="n">
        <f aca="false">J$127+K$113+K$81-K$117+K$119</f>
        <v>0</v>
      </c>
      <c r="L127" s="34" t="n">
        <f aca="false">K$127+L$113+L$81-L$117+L$119</f>
        <v>0</v>
      </c>
      <c r="M127" s="34" t="n">
        <f aca="false">L$127+M$113+M$81-M$117+M$119</f>
        <v>0</v>
      </c>
      <c r="N127" s="34" t="n">
        <f aca="false">M$127+N$113+N$81-N$117+N$119</f>
        <v>0</v>
      </c>
      <c r="O127" s="34" t="n">
        <f aca="false">N$127+O$113+O$81-O$117+O$119</f>
        <v>0</v>
      </c>
      <c r="P127" s="34" t="n">
        <f aca="false">O$127+P$113+P$81-P$117+P$119</f>
        <v>0</v>
      </c>
      <c r="Q127" s="34" t="n">
        <f aca="false">P$127+Q$113+Q$81-Q$117+Q$119</f>
        <v>0</v>
      </c>
      <c r="R127" s="34" t="n">
        <f aca="false">Q$127+R$113+R$81-R$117+R$119</f>
        <v>0</v>
      </c>
      <c r="S127" s="34" t="n">
        <f aca="false">R$127+S$113+S$81-S$117+S$119</f>
        <v>0</v>
      </c>
      <c r="T127" s="34" t="n">
        <f aca="false">S$127+T$113+T$81-T$117+T$119</f>
        <v>0</v>
      </c>
      <c r="U127" s="34" t="n">
        <f aca="false">T$127+U$113+U$81-U$117+U$119</f>
        <v>0</v>
      </c>
      <c r="V127" s="34" t="n">
        <f aca="false">U$127+V$113+V$81-V$117+V$119</f>
        <v>0</v>
      </c>
      <c r="W127" s="34" t="n">
        <f aca="false">V$127+W$113+W$81-W$117+W$119</f>
        <v>0</v>
      </c>
      <c r="X127" s="34" t="n">
        <f aca="false">W$127+X$113+X$81-X$117+X$119</f>
        <v>0</v>
      </c>
      <c r="Y127" s="34" t="n">
        <f aca="false">X$127+Y$113+Y$81-Y$117+Y$119</f>
        <v>0</v>
      </c>
      <c r="Z127" s="34" t="n">
        <f aca="false">Y$127+Z$113+Z$81-Z$117+Z$119</f>
        <v>0</v>
      </c>
      <c r="AA127" s="34" t="n">
        <f aca="false">Z$127+AA$113+AA$81-AA$117+AA$119</f>
        <v>0</v>
      </c>
      <c r="AB127" s="34" t="n">
        <f aca="false">AA$127+AB$113+AB$81-AB$117+AB$119</f>
        <v>0</v>
      </c>
      <c r="AC127" s="34" t="n">
        <f aca="false">AB$127+AC$113+AC$81-AC$117+AC$119</f>
        <v>0</v>
      </c>
      <c r="AD127" s="34" t="n">
        <f aca="false">AC$127+AD$113+AD$81-AD$117+AD$119</f>
        <v>0</v>
      </c>
      <c r="AE127" s="34" t="n">
        <f aca="false">AD$127+AE$113+AE$81-AE$117+AE$119</f>
        <v>0</v>
      </c>
      <c r="AF127" s="34" t="n">
        <f aca="false">AE$127+AF$113+AF$81-AF$117+AF$119</f>
        <v>0</v>
      </c>
      <c r="AG127" s="34" t="n">
        <f aca="false">AF$127+AG$113+AG$81-AG$117+AG$119</f>
        <v>0</v>
      </c>
      <c r="AH127" s="34" t="n">
        <f aca="false">AG$127+AH$113+AH$81-AH$117+AH$119</f>
        <v>0</v>
      </c>
      <c r="AI127" s="34" t="n">
        <f aca="false">AH$127+AI$113+AI$81-AI$117+AI$119</f>
        <v>0</v>
      </c>
      <c r="AJ127" s="34" t="n">
        <f aca="false">AI$127+AJ$113+AJ$81-AJ$117+AJ$119</f>
        <v>0</v>
      </c>
      <c r="AK127" s="34" t="n">
        <f aca="false">AJ$127+AK$113+AK$81-AK$117+AK$119</f>
        <v>0</v>
      </c>
      <c r="AL127" s="34" t="n">
        <f aca="false">AK$127+AL$113+AL$81-AL$117+AL$119</f>
        <v>0</v>
      </c>
      <c r="AM127" s="34" t="n">
        <f aca="false">AL$127+AM$113+AM$81-AM$117+AM$119</f>
        <v>0</v>
      </c>
      <c r="AN127" s="34" t="n">
        <f aca="false">AM$127+AN$113+AN$81-AN$117+AN$119</f>
        <v>0</v>
      </c>
      <c r="AO127" s="34" t="n">
        <f aca="false">AN$127+AO$113+AO$81-AO$117+AO$119</f>
        <v>0</v>
      </c>
      <c r="AP127" s="34" t="n">
        <f aca="false">AO$127+AP$113+AP$81-AP$117+AP$119</f>
        <v>0</v>
      </c>
      <c r="AQ127" s="34" t="n">
        <f aca="false">AP$127+AQ$113+AQ$81-AQ$117+AQ$119</f>
        <v>0</v>
      </c>
      <c r="AR127" s="34" t="n">
        <f aca="false">AQ$127+AR$113+AR$81-AR$117+AR$119</f>
        <v>0</v>
      </c>
      <c r="AS127" s="34" t="n">
        <f aca="false">AR$127+AS$113+AS$81-AS$117+AS$119</f>
        <v>0</v>
      </c>
      <c r="AT127" s="34" t="n">
        <f aca="false">AS$127+AT$113+AT$81-AT$117+AT$119</f>
        <v>0</v>
      </c>
      <c r="AU127" s="34" t="n">
        <f aca="false">AT$127+AU$113+AU$81-AU$117+AU$119</f>
        <v>0</v>
      </c>
      <c r="AV127" s="34" t="n">
        <f aca="false">AU$127+AV$113+AV$81-AV$117+AV$119</f>
        <v>0</v>
      </c>
      <c r="AW127" s="34" t="n">
        <f aca="false">AV$127+AW$113+AW$81-AW$117+AW$119</f>
        <v>0</v>
      </c>
      <c r="AX127" s="34" t="n">
        <f aca="false">AW$127+AX$113+AX$81-AX$117+AX$119</f>
        <v>0</v>
      </c>
      <c r="AY127" s="34" t="n">
        <f aca="false">AX$127+AY$113+AY$81-AY$117+AY$119</f>
        <v>0</v>
      </c>
      <c r="AZ127" s="34" t="n">
        <f aca="false">AY$127+AZ$113+AZ$81-AZ$117+AZ$119</f>
        <v>0</v>
      </c>
      <c r="BA127" s="34" t="n">
        <f aca="false">AZ$127+BA$113+BA$81-BA$117+BA$119</f>
        <v>0</v>
      </c>
      <c r="BB127" s="34" t="n">
        <f aca="false">BA$127+BB$113+BB$81-BB$117+BB$119</f>
        <v>0</v>
      </c>
      <c r="BC127" s="34" t="n">
        <f aca="false">BB$127+BC$113+BC$81-BC$117+BC$119</f>
        <v>0</v>
      </c>
      <c r="BD127" s="34" t="n">
        <f aca="false">BC$127+BD$113+BD$81-BD$117+BD$119</f>
        <v>0</v>
      </c>
      <c r="BE127" s="34" t="n">
        <f aca="false">BD$127+BE$113+BE$81-BE$117+BE$119</f>
        <v>0</v>
      </c>
      <c r="BF127" s="34" t="n">
        <f aca="false">BE$127+BF$113+BF$81-BF$117+BF$119</f>
        <v>0</v>
      </c>
      <c r="BG127" s="34" t="n">
        <f aca="false">BF$127+BG$113+BG$81-BG$117+BG$119</f>
        <v>0</v>
      </c>
      <c r="BH127" s="34" t="n">
        <f aca="false">BG$127+BH$113+BH$81-BH$117+BH$119</f>
        <v>0</v>
      </c>
      <c r="BI127" s="34" t="n">
        <f aca="false">BH$127+BI$113+BI$81-BI$117+BI$119</f>
        <v>0</v>
      </c>
      <c r="BJ127" s="34" t="n">
        <f aca="false">BI$127+BJ$113+BJ$81-BJ$117+BJ$119</f>
        <v>0</v>
      </c>
      <c r="BK127" s="34" t="n">
        <f aca="false">BJ$127+BK$113+BK$81-BK$117+BK$119</f>
        <v>0</v>
      </c>
      <c r="BL127" s="34" t="n">
        <f aca="false">BK$127+BL$113+BL$81-BL$117+BL$119</f>
        <v>0</v>
      </c>
      <c r="BM127" s="34" t="n">
        <f aca="false">BL$127+BM$113+BM$81-BM$117+BM$119</f>
        <v>0</v>
      </c>
      <c r="BN127" s="34" t="n">
        <f aca="false">BM$127+BN$113+BN$81-BN$117+BN$119</f>
        <v>0</v>
      </c>
      <c r="BO127" s="34" t="n">
        <f aca="false">BN$127+BO$113+BO$81-BO$117+BO$119</f>
        <v>0</v>
      </c>
      <c r="BP127" s="34" t="n">
        <f aca="false">BO$127+BP$113+BP$81-BP$117+BP$119</f>
        <v>0</v>
      </c>
      <c r="BQ127" s="34" t="n">
        <f aca="false">BP$127+BQ$113+BQ$81-BQ$117+BQ$119</f>
        <v>0</v>
      </c>
      <c r="BR127" s="34" t="n">
        <f aca="false">BQ$127+BR$113+BR$81-BR$117+BR$119</f>
        <v>0</v>
      </c>
      <c r="BS127" s="34" t="n">
        <f aca="false">BR$127+BS$113+BS$81-BS$117+BS$119</f>
        <v>0</v>
      </c>
      <c r="BT127" s="34" t="n">
        <f aca="false">BS$127+BT$113+BT$81-BT$117+BT$119</f>
        <v>0</v>
      </c>
      <c r="BU127" s="34" t="n">
        <f aca="false">BT$127+BU$113+BU$81-BU$117+BU$119</f>
        <v>0</v>
      </c>
      <c r="BV127" s="34" t="n">
        <f aca="false">BU$127+BV$113+BV$81-BV$117+BV$119</f>
        <v>0</v>
      </c>
      <c r="BW127" s="34" t="n">
        <f aca="false">BV$127+BW$113+BW$81-BW$117+BW$119</f>
        <v>0</v>
      </c>
      <c r="BX127" s="34" t="n">
        <f aca="false">BW$127+BX$113+BX$81-BX$117+BX$119</f>
        <v>0</v>
      </c>
      <c r="BY127" s="34" t="n">
        <f aca="false">BX$127+BY$113+BY$81-BY$117+BY$119</f>
        <v>0</v>
      </c>
      <c r="BZ127" s="34" t="n">
        <f aca="false">BY$127+BZ$113+BZ$81-BZ$117+BZ$119</f>
        <v>0</v>
      </c>
      <c r="CA127" s="34" t="n">
        <f aca="false">BZ$127+CA$113+CA$81-CA$117+CA$119</f>
        <v>0</v>
      </c>
      <c r="CB127" s="34" t="n">
        <f aca="false">CA$127+CB$113+CB$81-CB$117+CB$119</f>
        <v>0</v>
      </c>
      <c r="CC127" s="34" t="n">
        <f aca="false">CB$127+CC$113+CC$81-CC$117+CC$119</f>
        <v>0</v>
      </c>
      <c r="CD127" s="34" t="n">
        <f aca="false">CC$127+CD$113+CD$81-CD$117+CD$119</f>
        <v>0</v>
      </c>
      <c r="CE127" s="34" t="n">
        <f aca="false">CD$127+CE$113+CE$81-CE$117+CE$119</f>
        <v>0</v>
      </c>
      <c r="CF127" s="34" t="n">
        <f aca="false">CE$127+CF$113+CF$81-CF$117+CF$119</f>
        <v>0</v>
      </c>
      <c r="CG127" s="34" t="n">
        <f aca="false">CF$127+CG$113+CG$81-CG$117+CG$119</f>
        <v>0</v>
      </c>
      <c r="CH127" s="34" t="n">
        <f aca="false">CG$127+CH$113+CH$81-CH$117+CH$119</f>
        <v>0</v>
      </c>
      <c r="CI127" s="34" t="n">
        <f aca="false">CH$127+CI$113+CI$81-CI$117+CI$119</f>
        <v>0</v>
      </c>
      <c r="CJ127" s="34" t="n">
        <f aca="false">CI$127+CJ$113+CJ$81-CJ$117+CJ$119</f>
        <v>0</v>
      </c>
      <c r="CK127" s="34" t="n">
        <f aca="false">CJ$127+CK$113+CK$81-CK$117+CK$119</f>
        <v>0</v>
      </c>
      <c r="CL127" s="34" t="n">
        <f aca="false">CK$127+CL$113+CL$81-CL$117+CL$119</f>
        <v>0</v>
      </c>
      <c r="CM127" s="34" t="n">
        <f aca="false">CL$127+CM$113+CM$81-CM$117+CM$119</f>
        <v>0</v>
      </c>
      <c r="CN127" s="34" t="n">
        <f aca="false">CM$127+CN$113+CN$81-CN$117+CN$119</f>
        <v>0</v>
      </c>
      <c r="CO127" s="34" t="n">
        <f aca="false">CN$127+CO$113+CO$81-CO$117+CO$119</f>
        <v>0</v>
      </c>
      <c r="CP127" s="34" t="n">
        <f aca="false">CO$127+CP$113+CP$81-CP$117+CP$119</f>
        <v>0</v>
      </c>
      <c r="CQ127" s="34" t="n">
        <f aca="false">CP$127+CQ$113+CQ$81-CQ$117+CQ$119</f>
        <v>0</v>
      </c>
      <c r="CR127" s="34" t="n">
        <f aca="false">CQ$127+CR$113+CR$81-CR$117+CR$119</f>
        <v>0</v>
      </c>
      <c r="CS127" s="34" t="n">
        <f aca="false">CR$127+CS$113+CS$81-CS$117+CS$119</f>
        <v>0</v>
      </c>
      <c r="CT127" s="34" t="n">
        <f aca="false">CS$127+CT$113+CT$81-CT$117+CT$119</f>
        <v>0</v>
      </c>
      <c r="CU127" s="34" t="n">
        <f aca="false">CT$127+CU$113+CU$81-CU$117+CU$119</f>
        <v>0</v>
      </c>
      <c r="CV127" s="34" t="n">
        <f aca="false">CU$127+CV$113+CV$81-CV$117+CV$119</f>
        <v>0</v>
      </c>
      <c r="CW127" s="34" t="n">
        <f aca="false">CV$127+CW$113+CW$81-CW$117+CW$119</f>
        <v>0</v>
      </c>
      <c r="CX127" s="34" t="n">
        <f aca="false">CW$127+CX$113+CX$81-CX$117+CX$119</f>
        <v>0</v>
      </c>
      <c r="CY127" s="34" t="n">
        <f aca="false">CX$127+CY$113+CY$81-CY$117+CY$119</f>
        <v>0</v>
      </c>
      <c r="CZ127" s="34" t="n">
        <f aca="false">CY$127+CZ$113+CZ$81-CZ$117+CZ$119</f>
        <v>0</v>
      </c>
      <c r="DA127" s="34" t="n">
        <f aca="false">CZ$127+DA$113+DA$81-DA$117+DA$119</f>
        <v>0</v>
      </c>
      <c r="DB127" s="34" t="n">
        <f aca="false">DA$127+DB$113+DB$81-DB$117+DB$119</f>
        <v>0</v>
      </c>
      <c r="DC127" s="34" t="n">
        <f aca="false">DB$127+DC$113+DC$81-DC$117+DC$119</f>
        <v>0</v>
      </c>
      <c r="DD127" s="34" t="n">
        <f aca="false">DC$127+DD$113+DD$81-DD$117+DD$119</f>
        <v>0</v>
      </c>
      <c r="DE127" s="34" t="n">
        <f aca="false">DD$127+DE$113+DE$81-DE$117+DE$119</f>
        <v>0</v>
      </c>
      <c r="DF127" s="34" t="n">
        <f aca="false">DE$127+DF$113+DF$81-DF$117+DF$119</f>
        <v>0</v>
      </c>
      <c r="DG127" s="34" t="n">
        <f aca="false">DF$127+DG$113+DG$81-DG$117+DG$119</f>
        <v>0</v>
      </c>
      <c r="DH127" s="34" t="n">
        <f aca="false">DG$127+DH$113+DH$81-DH$117+DH$119</f>
        <v>0</v>
      </c>
      <c r="DI127" s="34" t="n">
        <f aca="false">DH$127+DI$113+DI$81-DI$117+DI$119</f>
        <v>0</v>
      </c>
      <c r="DJ127" s="34" t="n">
        <f aca="false">DI$127+DJ$113+DJ$81-DJ$117+DJ$119</f>
        <v>0</v>
      </c>
      <c r="DK127" s="34" t="n">
        <f aca="false">DJ$127+DK$113+DK$81-DK$117+DK$119</f>
        <v>0</v>
      </c>
      <c r="DL127" s="34" t="n">
        <f aca="false">DK$127+DL$113+DL$81-DL$117+DL$119</f>
        <v>0</v>
      </c>
      <c r="DM127" s="34" t="n">
        <f aca="false">DL$127+DM$113+DM$81-DM$117+DM$119</f>
        <v>0</v>
      </c>
      <c r="DN127" s="34" t="n">
        <f aca="false">DM$127+DN$113+DN$81-DN$117+DN$119</f>
        <v>0</v>
      </c>
      <c r="DO127" s="34" t="n">
        <f aca="false">DN$127+DO$113+DO$81-DO$117+DO$119</f>
        <v>0</v>
      </c>
      <c r="DP127" s="34" t="n">
        <f aca="false">DO$127+DP$113+DP$81-DP$117+DP$119</f>
        <v>0</v>
      </c>
      <c r="DQ127" s="34" t="n">
        <f aca="false">DP$127+DQ$113+DQ$81-DQ$117+DQ$119</f>
        <v>0</v>
      </c>
      <c r="DR127" s="34" t="n">
        <f aca="false">DQ$127+DR$113+DR$81-DR$117+DR$119</f>
        <v>0</v>
      </c>
      <c r="DS127" s="34" t="n">
        <f aca="false">DR$127+DS$113+DS$81-DS$117+DS$119</f>
        <v>0</v>
      </c>
      <c r="DT127" s="34" t="n">
        <f aca="false">DS$127+DT$113+DT$81-DT$117+DT$119</f>
        <v>0</v>
      </c>
      <c r="DU127" s="34" t="n">
        <f aca="false">DT$127+DU$113+DU$81-DU$117+DU$119</f>
        <v>0</v>
      </c>
      <c r="DV127" s="34" t="n">
        <f aca="false">DU$127+DV$113+DV$81-DV$117+DV$119</f>
        <v>0</v>
      </c>
      <c r="DW127" s="34" t="n">
        <f aca="false">DV$127+DW$113+DW$81-DW$117+DW$119</f>
        <v>0</v>
      </c>
      <c r="DX127" s="34" t="n">
        <f aca="false">DW$127+DX$113+DX$81-DX$117+DX$119</f>
        <v>0</v>
      </c>
      <c r="DY127" s="34" t="n">
        <f aca="false">DX$127+DY$113+DY$81-DY$117+DY$119</f>
        <v>0</v>
      </c>
      <c r="DZ127" s="34" t="n">
        <f aca="false">DY$127+DZ$113+DZ$81-DZ$117+DZ$119</f>
        <v>0</v>
      </c>
      <c r="EA127" s="34" t="n">
        <f aca="false">DZ$127+EA$113+EA$81-EA$117+EA$119</f>
        <v>0</v>
      </c>
      <c r="EB127" s="34" t="n">
        <f aca="false">EA$127+EB$113+EB$81-EB$117+EB$119</f>
        <v>0</v>
      </c>
      <c r="EC127" s="34" t="n">
        <f aca="false">EB$127+EC$113+EC$81-EC$117+EC$119</f>
        <v>0</v>
      </c>
      <c r="ED127" s="34" t="n">
        <f aca="false">EC$127+ED$113+ED$81-ED$117+ED$119</f>
        <v>0</v>
      </c>
      <c r="EE127" s="34" t="n">
        <f aca="false">ED$127+EE$113+EE$81-EE$117+EE$119</f>
        <v>0</v>
      </c>
      <c r="EF127" s="34" t="n">
        <f aca="false">EE$127+EF$113+EF$81-EF$117+EF$119</f>
        <v>0</v>
      </c>
      <c r="EG127" s="34" t="n">
        <f aca="false">EF$127+EG$113+EG$81-EG$117+EG$119</f>
        <v>0</v>
      </c>
      <c r="EH127" s="34" t="n">
        <f aca="false">EG$127+EH$113+EH$81-EH$117+EH$119</f>
        <v>0</v>
      </c>
      <c r="EI127" s="34" t="n">
        <f aca="false">EH$127+EI$113+EI$81-EI$117+EI$119</f>
        <v>0</v>
      </c>
      <c r="EJ127" s="34" t="n">
        <f aca="false">EI$127+EJ$113+EJ$81-EJ$117+EJ$119</f>
        <v>0</v>
      </c>
      <c r="EK127" s="34" t="n">
        <f aca="false">EJ$127+EK$113+EK$81-EK$117+EK$119</f>
        <v>0</v>
      </c>
      <c r="EL127" s="34" t="n">
        <f aca="false">EK$127+EL$113+EL$81-EL$117+EL$119</f>
        <v>0</v>
      </c>
      <c r="EM127" s="34" t="n">
        <f aca="false">EL$127+EM$113+EM$81-EM$117+EM$119</f>
        <v>0</v>
      </c>
      <c r="EN127" s="34" t="n">
        <f aca="false">EM$127+EN$113+EN$81-EN$117+EN$119</f>
        <v>0</v>
      </c>
      <c r="EO127" s="34" t="n">
        <f aca="false">EN$127+EO$113+EO$81-EO$117+EO$119</f>
        <v>0</v>
      </c>
      <c r="EP127" s="34" t="n">
        <f aca="false">EO$127+EP$113+EP$81-EP$117+EP$119</f>
        <v>0</v>
      </c>
      <c r="EQ127" s="34" t="n">
        <f aca="false">EP$127+EQ$113+EQ$81-EQ$117+EQ$119</f>
        <v>0</v>
      </c>
      <c r="ER127" s="34" t="n">
        <f aca="false">EQ$127+ER$113+ER$81-ER$117+ER$119</f>
        <v>0</v>
      </c>
      <c r="ES127" s="34" t="n">
        <f aca="false">ER$127+ES$113+ES$81-ES$117+ES$119</f>
        <v>0</v>
      </c>
    </row>
    <row r="128" customFormat="false" ht="15" hidden="false" customHeight="false" outlineLevel="0" collapsed="false">
      <c r="A128" s="2" t="s">
        <v>610</v>
      </c>
      <c r="B128" s="52" t="s">
        <v>611</v>
      </c>
      <c r="C128" s="6" t="s">
        <v>212</v>
      </c>
      <c r="E128" s="53" t="n">
        <f aca="false">MAX(ABS(MAX(F128:ES128)),ABS(MIN(F128:ES128)))</f>
        <v>0</v>
      </c>
      <c r="F128" s="54" t="n">
        <f aca="false">ROUND(F$118+F$83+F$84+F$85+F$92-F$86-F$112-F$127,2)</f>
        <v>0</v>
      </c>
      <c r="G128" s="54" t="n">
        <f aca="false">ROUND(G$118+G$83+G$84+G$85+G$92-G$86-G$112-G$127,2)</f>
        <v>0</v>
      </c>
      <c r="H128" s="54" t="n">
        <f aca="false">ROUND(H$118+H$83+H$84+H$85+H$92-H$86-H$112-H$127,2)</f>
        <v>0</v>
      </c>
      <c r="I128" s="54" t="n">
        <f aca="false">ROUND(I$118+I$83+I$84+I$85+I$92-I$86-I$112-I$127,2)</f>
        <v>0</v>
      </c>
      <c r="J128" s="54" t="n">
        <f aca="false">ROUND(J$118+J$83+J$84+J$85+J$92-J$86-J$112-J$127,2)</f>
        <v>0</v>
      </c>
      <c r="K128" s="54" t="n">
        <f aca="false">ROUND(K$118+K$83+K$84+K$85+K$92-K$86-K$112-K$127,2)</f>
        <v>0</v>
      </c>
      <c r="L128" s="54" t="n">
        <f aca="false">ROUND(L$118+L$83+L$84+L$85+L$92-L$86-L$112-L$127,2)</f>
        <v>0</v>
      </c>
      <c r="M128" s="54" t="n">
        <f aca="false">ROUND(M$118+M$83+M$84+M$85+M$92-M$86-M$112-M$127,2)</f>
        <v>0</v>
      </c>
      <c r="N128" s="54" t="n">
        <f aca="false">ROUND(N$118+N$83+N$84+N$85+N$92-N$86-N$112-N$127,2)</f>
        <v>0</v>
      </c>
      <c r="O128" s="54" t="n">
        <f aca="false">ROUND(O$118+O$83+O$84+O$85+O$92-O$86-O$112-O$127,2)</f>
        <v>0</v>
      </c>
      <c r="P128" s="54" t="n">
        <f aca="false">ROUND(P$118+P$83+P$84+P$85+P$92-P$86-P$112-P$127,2)</f>
        <v>0</v>
      </c>
      <c r="Q128" s="54" t="n">
        <f aca="false">ROUND(Q$118+Q$83+Q$84+Q$85+Q$92-Q$86-Q$112-Q$127,2)</f>
        <v>0</v>
      </c>
      <c r="R128" s="54" t="n">
        <f aca="false">ROUND(R$118+R$83+R$84+R$85+R$92-R$86-R$112-R$127,2)</f>
        <v>0</v>
      </c>
      <c r="S128" s="54" t="n">
        <f aca="false">ROUND(S$118+S$83+S$84+S$85+S$92-S$86-S$112-S$127,2)</f>
        <v>0</v>
      </c>
      <c r="T128" s="54" t="n">
        <f aca="false">ROUND(T$118+T$83+T$84+T$85+T$92-T$86-T$112-T$127,2)</f>
        <v>0</v>
      </c>
      <c r="U128" s="54" t="n">
        <f aca="false">ROUND(U$118+U$83+U$84+U$85+U$92-U$86-U$112-U$127,2)</f>
        <v>0</v>
      </c>
      <c r="V128" s="54" t="n">
        <f aca="false">ROUND(V$118+V$83+V$84+V$85+V$92-V$86-V$112-V$127,2)</f>
        <v>0</v>
      </c>
      <c r="W128" s="54" t="n">
        <f aca="false">ROUND(W$118+W$83+W$84+W$85+W$92-W$86-W$112-W$127,2)</f>
        <v>0</v>
      </c>
      <c r="X128" s="54" t="n">
        <f aca="false">ROUND(X$118+X$83+X$84+X$85+X$92-X$86-X$112-X$127,2)</f>
        <v>0</v>
      </c>
      <c r="Y128" s="54" t="n">
        <f aca="false">ROUND(Y$118+Y$83+Y$84+Y$85+Y$92-Y$86-Y$112-Y$127,2)</f>
        <v>0</v>
      </c>
      <c r="Z128" s="54" t="n">
        <f aca="false">ROUND(Z$118+Z$83+Z$84+Z$85+Z$92-Z$86-Z$112-Z$127,2)</f>
        <v>0</v>
      </c>
      <c r="AA128" s="54" t="n">
        <f aca="false">ROUND(AA$118+AA$83+AA$84+AA$85+AA$92-AA$86-AA$112-AA$127,2)</f>
        <v>0</v>
      </c>
      <c r="AB128" s="54" t="n">
        <f aca="false">ROUND(AB$118+AB$83+AB$84+AB$85+AB$92-AB$86-AB$112-AB$127,2)</f>
        <v>0</v>
      </c>
      <c r="AC128" s="54" t="n">
        <f aca="false">ROUND(AC$118+AC$83+AC$84+AC$85+AC$92-AC$86-AC$112-AC$127,2)</f>
        <v>0</v>
      </c>
      <c r="AD128" s="54" t="n">
        <f aca="false">ROUND(AD$118+AD$83+AD$84+AD$85+AD$92-AD$86-AD$112-AD$127,2)</f>
        <v>0</v>
      </c>
      <c r="AE128" s="54" t="n">
        <f aca="false">ROUND(AE$118+AE$83+AE$84+AE$85+AE$92-AE$86-AE$112-AE$127,2)</f>
        <v>0</v>
      </c>
      <c r="AF128" s="54" t="n">
        <f aca="false">ROUND(AF$118+AF$83+AF$84+AF$85+AF$92-AF$86-AF$112-AF$127,2)</f>
        <v>0</v>
      </c>
      <c r="AG128" s="54" t="n">
        <f aca="false">ROUND(AG$118+AG$83+AG$84+AG$85+AG$92-AG$86-AG$112-AG$127,2)</f>
        <v>0</v>
      </c>
      <c r="AH128" s="54" t="n">
        <f aca="false">ROUND(AH$118+AH$83+AH$84+AH$85+AH$92-AH$86-AH$112-AH$127,2)</f>
        <v>0</v>
      </c>
      <c r="AI128" s="54" t="n">
        <f aca="false">ROUND(AI$118+AI$83+AI$84+AI$85+AI$92-AI$86-AI$112-AI$127,2)</f>
        <v>0</v>
      </c>
      <c r="AJ128" s="54" t="n">
        <f aca="false">ROUND(AJ$118+AJ$83+AJ$84+AJ$85+AJ$92-AJ$86-AJ$112-AJ$127,2)</f>
        <v>0</v>
      </c>
      <c r="AK128" s="54" t="n">
        <f aca="false">ROUND(AK$118+AK$83+AK$84+AK$85+AK$92-AK$86-AK$112-AK$127,2)</f>
        <v>0</v>
      </c>
      <c r="AL128" s="54" t="n">
        <f aca="false">ROUND(AL$118+AL$83+AL$84+AL$85+AL$92-AL$86-AL$112-AL$127,2)</f>
        <v>0</v>
      </c>
      <c r="AM128" s="54" t="n">
        <f aca="false">ROUND(AM$118+AM$83+AM$84+AM$85+AM$92-AM$86-AM$112-AM$127,2)</f>
        <v>0</v>
      </c>
      <c r="AN128" s="54" t="n">
        <f aca="false">ROUND(AN$118+AN$83+AN$84+AN$85+AN$92-AN$86-AN$112-AN$127,2)</f>
        <v>0</v>
      </c>
      <c r="AO128" s="54" t="n">
        <f aca="false">ROUND(AO$118+AO$83+AO$84+AO$85+AO$92-AO$86-AO$112-AO$127,2)</f>
        <v>0</v>
      </c>
      <c r="AP128" s="54" t="n">
        <f aca="false">ROUND(AP$118+AP$83+AP$84+AP$85+AP$92-AP$86-AP$112-AP$127,2)</f>
        <v>0</v>
      </c>
      <c r="AQ128" s="54" t="n">
        <f aca="false">ROUND(AQ$118+AQ$83+AQ$84+AQ$85+AQ$92-AQ$86-AQ$112-AQ$127,2)</f>
        <v>0</v>
      </c>
      <c r="AR128" s="54" t="n">
        <f aca="false">ROUND(AR$118+AR$83+AR$84+AR$85+AR$92-AR$86-AR$112-AR$127,2)</f>
        <v>0</v>
      </c>
      <c r="AS128" s="54" t="n">
        <f aca="false">ROUND(AS$118+AS$83+AS$84+AS$85+AS$92-AS$86-AS$112-AS$127,2)</f>
        <v>0</v>
      </c>
      <c r="AT128" s="54" t="n">
        <f aca="false">ROUND(AT$118+AT$83+AT$84+AT$85+AT$92-AT$86-AT$112-AT$127,2)</f>
        <v>0</v>
      </c>
      <c r="AU128" s="54" t="n">
        <f aca="false">ROUND(AU$118+AU$83+AU$84+AU$85+AU$92-AU$86-AU$112-AU$127,2)</f>
        <v>0</v>
      </c>
      <c r="AV128" s="54" t="n">
        <f aca="false">ROUND(AV$118+AV$83+AV$84+AV$85+AV$92-AV$86-AV$112-AV$127,2)</f>
        <v>0</v>
      </c>
      <c r="AW128" s="54" t="n">
        <f aca="false">ROUND(AW$118+AW$83+AW$84+AW$85+AW$92-AW$86-AW$112-AW$127,2)</f>
        <v>0</v>
      </c>
      <c r="AX128" s="54" t="n">
        <f aca="false">ROUND(AX$118+AX$83+AX$84+AX$85+AX$92-AX$86-AX$112-AX$127,2)</f>
        <v>0</v>
      </c>
      <c r="AY128" s="54" t="n">
        <f aca="false">ROUND(AY$118+AY$83+AY$84+AY$85+AY$92-AY$86-AY$112-AY$127,2)</f>
        <v>0</v>
      </c>
      <c r="AZ128" s="54" t="n">
        <f aca="false">ROUND(AZ$118+AZ$83+AZ$84+AZ$85+AZ$92-AZ$86-AZ$112-AZ$127,2)</f>
        <v>0</v>
      </c>
      <c r="BA128" s="54" t="n">
        <f aca="false">ROUND(BA$118+BA$83+BA$84+BA$85+BA$92-BA$86-BA$112-BA$127,2)</f>
        <v>0</v>
      </c>
      <c r="BB128" s="54" t="n">
        <f aca="false">ROUND(BB$118+BB$83+BB$84+BB$85+BB$92-BB$86-BB$112-BB$127,2)</f>
        <v>0</v>
      </c>
      <c r="BC128" s="54" t="n">
        <f aca="false">ROUND(BC$118+BC$83+BC$84+BC$85+BC$92-BC$86-BC$112-BC$127,2)</f>
        <v>0</v>
      </c>
      <c r="BD128" s="54" t="n">
        <f aca="false">ROUND(BD$118+BD$83+BD$84+BD$85+BD$92-BD$86-BD$112-BD$127,2)</f>
        <v>0</v>
      </c>
      <c r="BE128" s="54" t="n">
        <f aca="false">ROUND(BE$118+BE$83+BE$84+BE$85+BE$92-BE$86-BE$112-BE$127,2)</f>
        <v>0</v>
      </c>
      <c r="BF128" s="54" t="n">
        <f aca="false">ROUND(BF$118+BF$83+BF$84+BF$85+BF$92-BF$86-BF$112-BF$127,2)</f>
        <v>0</v>
      </c>
      <c r="BG128" s="54" t="n">
        <f aca="false">ROUND(BG$118+BG$83+BG$84+BG$85+BG$92-BG$86-BG$112-BG$127,2)</f>
        <v>0</v>
      </c>
      <c r="BH128" s="54" t="n">
        <f aca="false">ROUND(BH$118+BH$83+BH$84+BH$85+BH$92-BH$86-BH$112-BH$127,2)</f>
        <v>0</v>
      </c>
      <c r="BI128" s="54" t="n">
        <f aca="false">ROUND(BI$118+BI$83+BI$84+BI$85+BI$92-BI$86-BI$112-BI$127,2)</f>
        <v>0</v>
      </c>
      <c r="BJ128" s="54" t="n">
        <f aca="false">ROUND(BJ$118+BJ$83+BJ$84+BJ$85+BJ$92-BJ$86-BJ$112-BJ$127,2)</f>
        <v>0</v>
      </c>
      <c r="BK128" s="54" t="n">
        <f aca="false">ROUND(BK$118+BK$83+BK$84+BK$85+BK$92-BK$86-BK$112-BK$127,2)</f>
        <v>0</v>
      </c>
      <c r="BL128" s="54" t="n">
        <f aca="false">ROUND(BL$118+BL$83+BL$84+BL$85+BL$92-BL$86-BL$112-BL$127,2)</f>
        <v>0</v>
      </c>
      <c r="BM128" s="54" t="n">
        <f aca="false">ROUND(BM$118+BM$83+BM$84+BM$85+BM$92-BM$86-BM$112-BM$127,2)</f>
        <v>0</v>
      </c>
      <c r="BN128" s="54" t="n">
        <f aca="false">ROUND(BN$118+BN$83+BN$84+BN$85+BN$92-BN$86-BN$112-BN$127,2)</f>
        <v>0</v>
      </c>
      <c r="BO128" s="54" t="n">
        <f aca="false">ROUND(BO$118+BO$83+BO$84+BO$85+BO$92-BO$86-BO$112-BO$127,2)</f>
        <v>0</v>
      </c>
      <c r="BP128" s="54" t="n">
        <f aca="false">ROUND(BP$118+BP$83+BP$84+BP$85+BP$92-BP$86-BP$112-BP$127,2)</f>
        <v>0</v>
      </c>
      <c r="BQ128" s="54" t="n">
        <f aca="false">ROUND(BQ$118+BQ$83+BQ$84+BQ$85+BQ$92-BQ$86-BQ$112-BQ$127,2)</f>
        <v>0</v>
      </c>
      <c r="BR128" s="54" t="n">
        <f aca="false">ROUND(BR$118+BR$83+BR$84+BR$85+BR$92-BR$86-BR$112-BR$127,2)</f>
        <v>0</v>
      </c>
      <c r="BS128" s="54" t="n">
        <f aca="false">ROUND(BS$118+BS$83+BS$84+BS$85+BS$92-BS$86-BS$112-BS$127,2)</f>
        <v>0</v>
      </c>
      <c r="BT128" s="54" t="n">
        <f aca="false">ROUND(BT$118+BT$83+BT$84+BT$85+BT$92-BT$86-BT$112-BT$127,2)</f>
        <v>0</v>
      </c>
      <c r="BU128" s="54" t="n">
        <f aca="false">ROUND(BU$118+BU$83+BU$84+BU$85+BU$92-BU$86-BU$112-BU$127,2)</f>
        <v>0</v>
      </c>
      <c r="BV128" s="54" t="n">
        <f aca="false">ROUND(BV$118+BV$83+BV$84+BV$85+BV$92-BV$86-BV$112-BV$127,2)</f>
        <v>0</v>
      </c>
      <c r="BW128" s="54" t="n">
        <f aca="false">ROUND(BW$118+BW$83+BW$84+BW$85+BW$92-BW$86-BW$112-BW$127,2)</f>
        <v>0</v>
      </c>
      <c r="BX128" s="54" t="n">
        <f aca="false">ROUND(BX$118+BX$83+BX$84+BX$85+BX$92-BX$86-BX$112-BX$127,2)</f>
        <v>0</v>
      </c>
      <c r="BY128" s="54" t="n">
        <f aca="false">ROUND(BY$118+BY$83+BY$84+BY$85+BY$92-BY$86-BY$112-BY$127,2)</f>
        <v>0</v>
      </c>
      <c r="BZ128" s="54" t="n">
        <f aca="false">ROUND(BZ$118+BZ$83+BZ$84+BZ$85+BZ$92-BZ$86-BZ$112-BZ$127,2)</f>
        <v>0</v>
      </c>
      <c r="CA128" s="54" t="n">
        <f aca="false">ROUND(CA$118+CA$83+CA$84+CA$85+CA$92-CA$86-CA$112-CA$127,2)</f>
        <v>0</v>
      </c>
      <c r="CB128" s="54" t="n">
        <f aca="false">ROUND(CB$118+CB$83+CB$84+CB$85+CB$92-CB$86-CB$112-CB$127,2)</f>
        <v>0</v>
      </c>
      <c r="CC128" s="54" t="n">
        <f aca="false">ROUND(CC$118+CC$83+CC$84+CC$85+CC$92-CC$86-CC$112-CC$127,2)</f>
        <v>0</v>
      </c>
      <c r="CD128" s="54" t="n">
        <f aca="false">ROUND(CD$118+CD$83+CD$84+CD$85+CD$92-CD$86-CD$112-CD$127,2)</f>
        <v>0</v>
      </c>
      <c r="CE128" s="54" t="n">
        <f aca="false">ROUND(CE$118+CE$83+CE$84+CE$85+CE$92-CE$86-CE$112-CE$127,2)</f>
        <v>0</v>
      </c>
      <c r="CF128" s="54" t="n">
        <f aca="false">ROUND(CF$118+CF$83+CF$84+CF$85+CF$92-CF$86-CF$112-CF$127,2)</f>
        <v>0</v>
      </c>
      <c r="CG128" s="54" t="n">
        <f aca="false">ROUND(CG$118+CG$83+CG$84+CG$85+CG$92-CG$86-CG$112-CG$127,2)</f>
        <v>0</v>
      </c>
      <c r="CH128" s="54" t="n">
        <f aca="false">ROUND(CH$118+CH$83+CH$84+CH$85+CH$92-CH$86-CH$112-CH$127,2)</f>
        <v>0</v>
      </c>
      <c r="CI128" s="54" t="n">
        <f aca="false">ROUND(CI$118+CI$83+CI$84+CI$85+CI$92-CI$86-CI$112-CI$127,2)</f>
        <v>0</v>
      </c>
      <c r="CJ128" s="54" t="n">
        <f aca="false">ROUND(CJ$118+CJ$83+CJ$84+CJ$85+CJ$92-CJ$86-CJ$112-CJ$127,2)</f>
        <v>0</v>
      </c>
      <c r="CK128" s="54" t="n">
        <f aca="false">ROUND(CK$118+CK$83+CK$84+CK$85+CK$92-CK$86-CK$112-CK$127,2)</f>
        <v>0</v>
      </c>
      <c r="CL128" s="54" t="n">
        <f aca="false">ROUND(CL$118+CL$83+CL$84+CL$85+CL$92-CL$86-CL$112-CL$127,2)</f>
        <v>0</v>
      </c>
      <c r="CM128" s="54" t="n">
        <f aca="false">ROUND(CM$118+CM$83+CM$84+CM$85+CM$92-CM$86-CM$112-CM$127,2)</f>
        <v>0</v>
      </c>
      <c r="CN128" s="54" t="n">
        <f aca="false">ROUND(CN$118+CN$83+CN$84+CN$85+CN$92-CN$86-CN$112-CN$127,2)</f>
        <v>0</v>
      </c>
      <c r="CO128" s="54" t="n">
        <f aca="false">ROUND(CO$118+CO$83+CO$84+CO$85+CO$92-CO$86-CO$112-CO$127,2)</f>
        <v>0</v>
      </c>
      <c r="CP128" s="54" t="n">
        <f aca="false">ROUND(CP$118+CP$83+CP$84+CP$85+CP$92-CP$86-CP$112-CP$127,2)</f>
        <v>0</v>
      </c>
      <c r="CQ128" s="54" t="n">
        <f aca="false">ROUND(CQ$118+CQ$83+CQ$84+CQ$85+CQ$92-CQ$86-CQ$112-CQ$127,2)</f>
        <v>0</v>
      </c>
      <c r="CR128" s="54" t="n">
        <f aca="false">ROUND(CR$118+CR$83+CR$84+CR$85+CR$92-CR$86-CR$112-CR$127,2)</f>
        <v>0</v>
      </c>
      <c r="CS128" s="54" t="n">
        <f aca="false">ROUND(CS$118+CS$83+CS$84+CS$85+CS$92-CS$86-CS$112-CS$127,2)</f>
        <v>0</v>
      </c>
      <c r="CT128" s="54" t="n">
        <f aca="false">ROUND(CT$118+CT$83+CT$84+CT$85+CT$92-CT$86-CT$112-CT$127,2)</f>
        <v>0</v>
      </c>
      <c r="CU128" s="54" t="n">
        <f aca="false">ROUND(CU$118+CU$83+CU$84+CU$85+CU$92-CU$86-CU$112-CU$127,2)</f>
        <v>0</v>
      </c>
      <c r="CV128" s="54" t="n">
        <f aca="false">ROUND(CV$118+CV$83+CV$84+CV$85+CV$92-CV$86-CV$112-CV$127,2)</f>
        <v>0</v>
      </c>
      <c r="CW128" s="54" t="n">
        <f aca="false">ROUND(CW$118+CW$83+CW$84+CW$85+CW$92-CW$86-CW$112-CW$127,2)</f>
        <v>0</v>
      </c>
      <c r="CX128" s="54" t="n">
        <f aca="false">ROUND(CX$118+CX$83+CX$84+CX$85+CX$92-CX$86-CX$112-CX$127,2)</f>
        <v>0</v>
      </c>
      <c r="CY128" s="54" t="n">
        <f aca="false">ROUND(CY$118+CY$83+CY$84+CY$85+CY$92-CY$86-CY$112-CY$127,2)</f>
        <v>0</v>
      </c>
      <c r="CZ128" s="54" t="n">
        <f aca="false">ROUND(CZ$118+CZ$83+CZ$84+CZ$85+CZ$92-CZ$86-CZ$112-CZ$127,2)</f>
        <v>0</v>
      </c>
      <c r="DA128" s="54" t="n">
        <f aca="false">ROUND(DA$118+DA$83+DA$84+DA$85+DA$92-DA$86-DA$112-DA$127,2)</f>
        <v>0</v>
      </c>
      <c r="DB128" s="54" t="n">
        <f aca="false">ROUND(DB$118+DB$83+DB$84+DB$85+DB$92-DB$86-DB$112-DB$127,2)</f>
        <v>0</v>
      </c>
      <c r="DC128" s="54" t="n">
        <f aca="false">ROUND(DC$118+DC$83+DC$84+DC$85+DC$92-DC$86-DC$112-DC$127,2)</f>
        <v>0</v>
      </c>
      <c r="DD128" s="54" t="n">
        <f aca="false">ROUND(DD$118+DD$83+DD$84+DD$85+DD$92-DD$86-DD$112-DD$127,2)</f>
        <v>0</v>
      </c>
      <c r="DE128" s="54" t="n">
        <f aca="false">ROUND(DE$118+DE$83+DE$84+DE$85+DE$92-DE$86-DE$112-DE$127,2)</f>
        <v>0</v>
      </c>
      <c r="DF128" s="54" t="n">
        <f aca="false">ROUND(DF$118+DF$83+DF$84+DF$85+DF$92-DF$86-DF$112-DF$127,2)</f>
        <v>0</v>
      </c>
      <c r="DG128" s="54" t="n">
        <f aca="false">ROUND(DG$118+DG$83+DG$84+DG$85+DG$92-DG$86-DG$112-DG$127,2)</f>
        <v>0</v>
      </c>
      <c r="DH128" s="54" t="n">
        <f aca="false">ROUND(DH$118+DH$83+DH$84+DH$85+DH$92-DH$86-DH$112-DH$127,2)</f>
        <v>0</v>
      </c>
      <c r="DI128" s="54" t="n">
        <f aca="false">ROUND(DI$118+DI$83+DI$84+DI$85+DI$92-DI$86-DI$112-DI$127,2)</f>
        <v>0</v>
      </c>
      <c r="DJ128" s="54" t="n">
        <f aca="false">ROUND(DJ$118+DJ$83+DJ$84+DJ$85+DJ$92-DJ$86-DJ$112-DJ$127,2)</f>
        <v>0</v>
      </c>
      <c r="DK128" s="54" t="n">
        <f aca="false">ROUND(DK$118+DK$83+DK$84+DK$85+DK$92-DK$86-DK$112-DK$127,2)</f>
        <v>0</v>
      </c>
      <c r="DL128" s="54" t="n">
        <f aca="false">ROUND(DL$118+DL$83+DL$84+DL$85+DL$92-DL$86-DL$112-DL$127,2)</f>
        <v>0</v>
      </c>
      <c r="DM128" s="54" t="n">
        <f aca="false">ROUND(DM$118+DM$83+DM$84+DM$85+DM$92-DM$86-DM$112-DM$127,2)</f>
        <v>0</v>
      </c>
      <c r="DN128" s="54" t="n">
        <f aca="false">ROUND(DN$118+DN$83+DN$84+DN$85+DN$92-DN$86-DN$112-DN$127,2)</f>
        <v>0</v>
      </c>
      <c r="DO128" s="54" t="n">
        <f aca="false">ROUND(DO$118+DO$83+DO$84+DO$85+DO$92-DO$86-DO$112-DO$127,2)</f>
        <v>0</v>
      </c>
      <c r="DP128" s="54" t="n">
        <f aca="false">ROUND(DP$118+DP$83+DP$84+DP$85+DP$92-DP$86-DP$112-DP$127,2)</f>
        <v>0</v>
      </c>
      <c r="DQ128" s="54" t="n">
        <f aca="false">ROUND(DQ$118+DQ$83+DQ$84+DQ$85+DQ$92-DQ$86-DQ$112-DQ$127,2)</f>
        <v>0</v>
      </c>
      <c r="DR128" s="54" t="n">
        <f aca="false">ROUND(DR$118+DR$83+DR$84+DR$85+DR$92-DR$86-DR$112-DR$127,2)</f>
        <v>0</v>
      </c>
      <c r="DS128" s="54" t="n">
        <f aca="false">ROUND(DS$118+DS$83+DS$84+DS$85+DS$92-DS$86-DS$112-DS$127,2)</f>
        <v>0</v>
      </c>
      <c r="DT128" s="54" t="n">
        <f aca="false">ROUND(DT$118+DT$83+DT$84+DT$85+DT$92-DT$86-DT$112-DT$127,2)</f>
        <v>0</v>
      </c>
      <c r="DU128" s="54" t="n">
        <f aca="false">ROUND(DU$118+DU$83+DU$84+DU$85+DU$92-DU$86-DU$112-DU$127,2)</f>
        <v>0</v>
      </c>
      <c r="DV128" s="54" t="n">
        <f aca="false">ROUND(DV$118+DV$83+DV$84+DV$85+DV$92-DV$86-DV$112-DV$127,2)</f>
        <v>0</v>
      </c>
      <c r="DW128" s="54" t="n">
        <f aca="false">ROUND(DW$118+DW$83+DW$84+DW$85+DW$92-DW$86-DW$112-DW$127,2)</f>
        <v>0</v>
      </c>
      <c r="DX128" s="54" t="n">
        <f aca="false">ROUND(DX$118+DX$83+DX$84+DX$85+DX$92-DX$86-DX$112-DX$127,2)</f>
        <v>0</v>
      </c>
      <c r="DY128" s="54" t="n">
        <f aca="false">ROUND(DY$118+DY$83+DY$84+DY$85+DY$92-DY$86-DY$112-DY$127,2)</f>
        <v>0</v>
      </c>
      <c r="DZ128" s="54" t="n">
        <f aca="false">ROUND(DZ$118+DZ$83+DZ$84+DZ$85+DZ$92-DZ$86-DZ$112-DZ$127,2)</f>
        <v>0</v>
      </c>
      <c r="EA128" s="54" t="n">
        <f aca="false">ROUND(EA$118+EA$83+EA$84+EA$85+EA$92-EA$86-EA$112-EA$127,2)</f>
        <v>0</v>
      </c>
      <c r="EB128" s="54" t="n">
        <f aca="false">ROUND(EB$118+EB$83+EB$84+EB$85+EB$92-EB$86-EB$112-EB$127,2)</f>
        <v>0</v>
      </c>
      <c r="EC128" s="54" t="n">
        <f aca="false">ROUND(EC$118+EC$83+EC$84+EC$85+EC$92-EC$86-EC$112-EC$127,2)</f>
        <v>0</v>
      </c>
      <c r="ED128" s="54" t="n">
        <f aca="false">ROUND(ED$118+ED$83+ED$84+ED$85+ED$92-ED$86-ED$112-ED$127,2)</f>
        <v>0</v>
      </c>
      <c r="EE128" s="54" t="n">
        <f aca="false">ROUND(EE$118+EE$83+EE$84+EE$85+EE$92-EE$86-EE$112-EE$127,2)</f>
        <v>0</v>
      </c>
      <c r="EF128" s="54" t="n">
        <f aca="false">ROUND(EF$118+EF$83+EF$84+EF$85+EF$92-EF$86-EF$112-EF$127,2)</f>
        <v>0</v>
      </c>
      <c r="EG128" s="54" t="n">
        <f aca="false">ROUND(EG$118+EG$83+EG$84+EG$85+EG$92-EG$86-EG$112-EG$127,2)</f>
        <v>0</v>
      </c>
      <c r="EH128" s="54" t="n">
        <f aca="false">ROUND(EH$118+EH$83+EH$84+EH$85+EH$92-EH$86-EH$112-EH$127,2)</f>
        <v>0</v>
      </c>
      <c r="EI128" s="54" t="n">
        <f aca="false">ROUND(EI$118+EI$83+EI$84+EI$85+EI$92-EI$86-EI$112-EI$127,2)</f>
        <v>0</v>
      </c>
      <c r="EJ128" s="54" t="n">
        <f aca="false">ROUND(EJ$118+EJ$83+EJ$84+EJ$85+EJ$92-EJ$86-EJ$112-EJ$127,2)</f>
        <v>0</v>
      </c>
      <c r="EK128" s="54" t="n">
        <f aca="false">ROUND(EK$118+EK$83+EK$84+EK$85+EK$92-EK$86-EK$112-EK$127,2)</f>
        <v>0</v>
      </c>
      <c r="EL128" s="54" t="n">
        <f aca="false">ROUND(EL$118+EL$83+EL$84+EL$85+EL$92-EL$86-EL$112-EL$127,2)</f>
        <v>0</v>
      </c>
      <c r="EM128" s="54" t="n">
        <f aca="false">ROUND(EM$118+EM$83+EM$84+EM$85+EM$92-EM$86-EM$112-EM$127,2)</f>
        <v>0</v>
      </c>
      <c r="EN128" s="54" t="n">
        <f aca="false">ROUND(EN$118+EN$83+EN$84+EN$85+EN$92-EN$86-EN$112-EN$127,2)</f>
        <v>0</v>
      </c>
      <c r="EO128" s="54" t="n">
        <f aca="false">ROUND(EO$118+EO$83+EO$84+EO$85+EO$92-EO$86-EO$112-EO$127,2)</f>
        <v>0</v>
      </c>
      <c r="EP128" s="54" t="n">
        <f aca="false">ROUND(EP$118+EP$83+EP$84+EP$85+EP$92-EP$86-EP$112-EP$127,2)</f>
        <v>0</v>
      </c>
      <c r="EQ128" s="54" t="n">
        <f aca="false">ROUND(EQ$118+EQ$83+EQ$84+EQ$85+EQ$92-EQ$86-EQ$112-EQ$127,2)</f>
        <v>0</v>
      </c>
      <c r="ER128" s="54" t="n">
        <f aca="false">ROUND(ER$118+ER$83+ER$84+ER$85+ER$92-ER$86-ER$112-ER$127,2)</f>
        <v>0</v>
      </c>
      <c r="ES128" s="54" t="n">
        <f aca="false">ROUND(ES$118+ES$83+ES$84+ES$85+ES$92-ES$86-ES$112-ES$127,2)</f>
        <v>0</v>
      </c>
    </row>
    <row r="131" customFormat="false" ht="15" hidden="false" customHeight="false" outlineLevel="0" collapsed="false">
      <c r="A131" s="55"/>
      <c r="B131" s="56" t="s">
        <v>612</v>
      </c>
      <c r="C131" s="55"/>
      <c r="D131" s="55"/>
      <c r="E131" s="55"/>
    </row>
    <row r="132" customFormat="false" ht="15" hidden="false" customHeight="false" outlineLevel="0" collapsed="false">
      <c r="A132" s="4"/>
      <c r="B132" s="3" t="s">
        <v>417</v>
      </c>
      <c r="C132" s="4"/>
      <c r="D132" s="4"/>
      <c r="E132" s="4"/>
    </row>
    <row r="133" customFormat="false" ht="15" hidden="false" customHeight="false" outlineLevel="0" collapsed="false">
      <c r="A133" s="2" t="s">
        <v>613</v>
      </c>
      <c r="B133" s="6" t="s">
        <v>419</v>
      </c>
      <c r="C133" s="6" t="s">
        <v>420</v>
      </c>
      <c r="F133" s="19" t="n">
        <f aca="false">IF(AND(1&gt;=V_Inicio,1&lt;=Fin),INT((1-V_Inicio)/12)+1,0)</f>
        <v>1</v>
      </c>
      <c r="G133" s="19" t="n">
        <f aca="false">IF(AND(2&gt;=V_Inicio,2&lt;=Fin),INT((2-V_Inicio)/12)+1,0)</f>
        <v>1</v>
      </c>
      <c r="H133" s="19" t="n">
        <f aca="false">IF(AND(3&gt;=V_Inicio,3&lt;=Fin),INT((3-V_Inicio)/12)+1,0)</f>
        <v>1</v>
      </c>
      <c r="I133" s="19" t="n">
        <f aca="false">IF(AND(4&gt;=V_Inicio,4&lt;=Fin),INT((4-V_Inicio)/12)+1,0)</f>
        <v>1</v>
      </c>
      <c r="J133" s="19" t="n">
        <f aca="false">IF(AND(5&gt;=V_Inicio,5&lt;=Fin),INT((5-V_Inicio)/12)+1,0)</f>
        <v>1</v>
      </c>
      <c r="K133" s="19" t="n">
        <f aca="false">IF(AND(6&gt;=V_Inicio,6&lt;=Fin),INT((6-V_Inicio)/12)+1,0)</f>
        <v>1</v>
      </c>
      <c r="L133" s="19" t="n">
        <f aca="false">IF(AND(7&gt;=V_Inicio,7&lt;=Fin),INT((7-V_Inicio)/12)+1,0)</f>
        <v>1</v>
      </c>
      <c r="M133" s="19" t="n">
        <f aca="false">IF(AND(8&gt;=V_Inicio,8&lt;=Fin),INT((8-V_Inicio)/12)+1,0)</f>
        <v>1</v>
      </c>
      <c r="N133" s="19" t="n">
        <f aca="false">IF(AND(9&gt;=V_Inicio,9&lt;=Fin),INT((9-V_Inicio)/12)+1,0)</f>
        <v>1</v>
      </c>
      <c r="O133" s="19" t="n">
        <f aca="false">IF(AND(10&gt;=V_Inicio,10&lt;=Fin),INT((10-V_Inicio)/12)+1,0)</f>
        <v>1</v>
      </c>
      <c r="P133" s="19" t="n">
        <f aca="false">IF(AND(11&gt;=V_Inicio,11&lt;=Fin),INT((11-V_Inicio)/12)+1,0)</f>
        <v>1</v>
      </c>
      <c r="Q133" s="19" t="n">
        <f aca="false">IF(AND(12&gt;=V_Inicio,12&lt;=Fin),INT((12-V_Inicio)/12)+1,0)</f>
        <v>1</v>
      </c>
      <c r="R133" s="19" t="n">
        <f aca="false">IF(AND(13&gt;=V_Inicio,13&lt;=Fin),INT((13-V_Inicio)/12)+1,0)</f>
        <v>2</v>
      </c>
      <c r="S133" s="19" t="n">
        <f aca="false">IF(AND(14&gt;=V_Inicio,14&lt;=Fin),INT((14-V_Inicio)/12)+1,0)</f>
        <v>2</v>
      </c>
      <c r="T133" s="19" t="n">
        <f aca="false">IF(AND(15&gt;=V_Inicio,15&lt;=Fin),INT((15-V_Inicio)/12)+1,0)</f>
        <v>2</v>
      </c>
      <c r="U133" s="19" t="n">
        <f aca="false">IF(AND(16&gt;=V_Inicio,16&lt;=Fin),INT((16-V_Inicio)/12)+1,0)</f>
        <v>2</v>
      </c>
      <c r="V133" s="19" t="n">
        <f aca="false">IF(AND(17&gt;=V_Inicio,17&lt;=Fin),INT((17-V_Inicio)/12)+1,0)</f>
        <v>2</v>
      </c>
      <c r="W133" s="19" t="n">
        <f aca="false">IF(AND(18&gt;=V_Inicio,18&lt;=Fin),INT((18-V_Inicio)/12)+1,0)</f>
        <v>2</v>
      </c>
      <c r="X133" s="19" t="n">
        <f aca="false">IF(AND(19&gt;=V_Inicio,19&lt;=Fin),INT((19-V_Inicio)/12)+1,0)</f>
        <v>2</v>
      </c>
      <c r="Y133" s="19" t="n">
        <f aca="false">IF(AND(20&gt;=V_Inicio,20&lt;=Fin),INT((20-V_Inicio)/12)+1,0)</f>
        <v>2</v>
      </c>
      <c r="Z133" s="19" t="n">
        <f aca="false">IF(AND(21&gt;=V_Inicio,21&lt;=Fin),INT((21-V_Inicio)/12)+1,0)</f>
        <v>2</v>
      </c>
      <c r="AA133" s="19" t="n">
        <f aca="false">IF(AND(22&gt;=V_Inicio,22&lt;=Fin),INT((22-V_Inicio)/12)+1,0)</f>
        <v>2</v>
      </c>
      <c r="AB133" s="19" t="n">
        <f aca="false">IF(AND(23&gt;=V_Inicio,23&lt;=Fin),INT((23-V_Inicio)/12)+1,0)</f>
        <v>2</v>
      </c>
      <c r="AC133" s="19" t="n">
        <f aca="false">IF(AND(24&gt;=V_Inicio,24&lt;=Fin),INT((24-V_Inicio)/12)+1,0)</f>
        <v>2</v>
      </c>
      <c r="AD133" s="19" t="n">
        <f aca="false">IF(AND(25&gt;=V_Inicio,25&lt;=Fin),INT((25-V_Inicio)/12)+1,0)</f>
        <v>3</v>
      </c>
      <c r="AE133" s="19" t="n">
        <f aca="false">IF(AND(26&gt;=V_Inicio,26&lt;=Fin),INT((26-V_Inicio)/12)+1,0)</f>
        <v>3</v>
      </c>
      <c r="AF133" s="19" t="n">
        <f aca="false">IF(AND(27&gt;=V_Inicio,27&lt;=Fin),INT((27-V_Inicio)/12)+1,0)</f>
        <v>3</v>
      </c>
      <c r="AG133" s="19" t="n">
        <f aca="false">IF(AND(28&gt;=V_Inicio,28&lt;=Fin),INT((28-V_Inicio)/12)+1,0)</f>
        <v>3</v>
      </c>
      <c r="AH133" s="19" t="n">
        <f aca="false">IF(AND(29&gt;=V_Inicio,29&lt;=Fin),INT((29-V_Inicio)/12)+1,0)</f>
        <v>3</v>
      </c>
      <c r="AI133" s="19" t="n">
        <f aca="false">IF(AND(30&gt;=V_Inicio,30&lt;=Fin),INT((30-V_Inicio)/12)+1,0)</f>
        <v>3</v>
      </c>
      <c r="AJ133" s="19" t="n">
        <f aca="false">IF(AND(31&gt;=V_Inicio,31&lt;=Fin),INT((31-V_Inicio)/12)+1,0)</f>
        <v>3</v>
      </c>
      <c r="AK133" s="19" t="n">
        <f aca="false">IF(AND(32&gt;=V_Inicio,32&lt;=Fin),INT((32-V_Inicio)/12)+1,0)</f>
        <v>3</v>
      </c>
      <c r="AL133" s="19" t="n">
        <f aca="false">IF(AND(33&gt;=V_Inicio,33&lt;=Fin),INT((33-V_Inicio)/12)+1,0)</f>
        <v>3</v>
      </c>
      <c r="AM133" s="19" t="n">
        <f aca="false">IF(AND(34&gt;=V_Inicio,34&lt;=Fin),INT((34-V_Inicio)/12)+1,0)</f>
        <v>3</v>
      </c>
      <c r="AN133" s="19" t="n">
        <f aca="false">IF(AND(35&gt;=V_Inicio,35&lt;=Fin),INT((35-V_Inicio)/12)+1,0)</f>
        <v>3</v>
      </c>
      <c r="AO133" s="19" t="n">
        <f aca="false">IF(AND(36&gt;=V_Inicio,36&lt;=Fin),INT((36-V_Inicio)/12)+1,0)</f>
        <v>3</v>
      </c>
      <c r="AP133" s="19" t="n">
        <f aca="false">IF(AND(37&gt;=V_Inicio,37&lt;=Fin),INT((37-V_Inicio)/12)+1,0)</f>
        <v>4</v>
      </c>
      <c r="AQ133" s="19" t="n">
        <f aca="false">IF(AND(38&gt;=V_Inicio,38&lt;=Fin),INT((38-V_Inicio)/12)+1,0)</f>
        <v>4</v>
      </c>
      <c r="AR133" s="19" t="n">
        <f aca="false">IF(AND(39&gt;=V_Inicio,39&lt;=Fin),INT((39-V_Inicio)/12)+1,0)</f>
        <v>4</v>
      </c>
      <c r="AS133" s="19" t="n">
        <f aca="false">IF(AND(40&gt;=V_Inicio,40&lt;=Fin),INT((40-V_Inicio)/12)+1,0)</f>
        <v>4</v>
      </c>
      <c r="AT133" s="19" t="n">
        <f aca="false">IF(AND(41&gt;=V_Inicio,41&lt;=Fin),INT((41-V_Inicio)/12)+1,0)</f>
        <v>4</v>
      </c>
      <c r="AU133" s="19" t="n">
        <f aca="false">IF(AND(42&gt;=V_Inicio,42&lt;=Fin),INT((42-V_Inicio)/12)+1,0)</f>
        <v>4</v>
      </c>
      <c r="AV133" s="19" t="n">
        <f aca="false">IF(AND(43&gt;=V_Inicio,43&lt;=Fin),INT((43-V_Inicio)/12)+1,0)</f>
        <v>4</v>
      </c>
      <c r="AW133" s="19" t="n">
        <f aca="false">IF(AND(44&gt;=V_Inicio,44&lt;=Fin),INT((44-V_Inicio)/12)+1,0)</f>
        <v>4</v>
      </c>
      <c r="AX133" s="19" t="n">
        <f aca="false">IF(AND(45&gt;=V_Inicio,45&lt;=Fin),INT((45-V_Inicio)/12)+1,0)</f>
        <v>4</v>
      </c>
      <c r="AY133" s="19" t="n">
        <f aca="false">IF(AND(46&gt;=V_Inicio,46&lt;=Fin),INT((46-V_Inicio)/12)+1,0)</f>
        <v>4</v>
      </c>
      <c r="AZ133" s="19" t="n">
        <f aca="false">IF(AND(47&gt;=V_Inicio,47&lt;=Fin),INT((47-V_Inicio)/12)+1,0)</f>
        <v>4</v>
      </c>
      <c r="BA133" s="19" t="n">
        <f aca="false">IF(AND(48&gt;=V_Inicio,48&lt;=Fin),INT((48-V_Inicio)/12)+1,0)</f>
        <v>4</v>
      </c>
      <c r="BB133" s="19" t="n">
        <f aca="false">IF(AND(49&gt;=V_Inicio,49&lt;=Fin),INT((49-V_Inicio)/12)+1,0)</f>
        <v>5</v>
      </c>
      <c r="BC133" s="19" t="n">
        <f aca="false">IF(AND(50&gt;=V_Inicio,50&lt;=Fin),INT((50-V_Inicio)/12)+1,0)</f>
        <v>5</v>
      </c>
      <c r="BD133" s="19" t="n">
        <f aca="false">IF(AND(51&gt;=V_Inicio,51&lt;=Fin),INT((51-V_Inicio)/12)+1,0)</f>
        <v>5</v>
      </c>
      <c r="BE133" s="19" t="n">
        <f aca="false">IF(AND(52&gt;=V_Inicio,52&lt;=Fin),INT((52-V_Inicio)/12)+1,0)</f>
        <v>5</v>
      </c>
      <c r="BF133" s="19" t="n">
        <f aca="false">IF(AND(53&gt;=V_Inicio,53&lt;=Fin),INT((53-V_Inicio)/12)+1,0)</f>
        <v>5</v>
      </c>
      <c r="BG133" s="19" t="n">
        <f aca="false">IF(AND(54&gt;=V_Inicio,54&lt;=Fin),INT((54-V_Inicio)/12)+1,0)</f>
        <v>5</v>
      </c>
      <c r="BH133" s="19" t="n">
        <f aca="false">IF(AND(55&gt;=V_Inicio,55&lt;=Fin),INT((55-V_Inicio)/12)+1,0)</f>
        <v>5</v>
      </c>
      <c r="BI133" s="19" t="n">
        <f aca="false">IF(AND(56&gt;=V_Inicio,56&lt;=Fin),INT((56-V_Inicio)/12)+1,0)</f>
        <v>5</v>
      </c>
      <c r="BJ133" s="19" t="n">
        <f aca="false">IF(AND(57&gt;=V_Inicio,57&lt;=Fin),INT((57-V_Inicio)/12)+1,0)</f>
        <v>5</v>
      </c>
      <c r="BK133" s="19" t="n">
        <f aca="false">IF(AND(58&gt;=V_Inicio,58&lt;=Fin),INT((58-V_Inicio)/12)+1,0)</f>
        <v>5</v>
      </c>
      <c r="BL133" s="19" t="n">
        <f aca="false">IF(AND(59&gt;=V_Inicio,59&lt;=Fin),INT((59-V_Inicio)/12)+1,0)</f>
        <v>5</v>
      </c>
      <c r="BM133" s="19" t="n">
        <f aca="false">IF(AND(60&gt;=V_Inicio,60&lt;=Fin),INT((60-V_Inicio)/12)+1,0)</f>
        <v>5</v>
      </c>
      <c r="BN133" s="19" t="n">
        <f aca="false">IF(AND(61&gt;=V_Inicio,61&lt;=Fin),INT((61-V_Inicio)/12)+1,0)</f>
        <v>6</v>
      </c>
      <c r="BO133" s="19" t="n">
        <f aca="false">IF(AND(62&gt;=V_Inicio,62&lt;=Fin),INT((62-V_Inicio)/12)+1,0)</f>
        <v>6</v>
      </c>
      <c r="BP133" s="19" t="n">
        <f aca="false">IF(AND(63&gt;=V_Inicio,63&lt;=Fin),INT((63-V_Inicio)/12)+1,0)</f>
        <v>6</v>
      </c>
      <c r="BQ133" s="19" t="n">
        <f aca="false">IF(AND(64&gt;=V_Inicio,64&lt;=Fin),INT((64-V_Inicio)/12)+1,0)</f>
        <v>6</v>
      </c>
      <c r="BR133" s="19" t="n">
        <f aca="false">IF(AND(65&gt;=V_Inicio,65&lt;=Fin),INT((65-V_Inicio)/12)+1,0)</f>
        <v>6</v>
      </c>
      <c r="BS133" s="19" t="n">
        <f aca="false">IF(AND(66&gt;=V_Inicio,66&lt;=Fin),INT((66-V_Inicio)/12)+1,0)</f>
        <v>6</v>
      </c>
      <c r="BT133" s="19" t="n">
        <f aca="false">IF(AND(67&gt;=V_Inicio,67&lt;=Fin),INT((67-V_Inicio)/12)+1,0)</f>
        <v>6</v>
      </c>
      <c r="BU133" s="19" t="n">
        <f aca="false">IF(AND(68&gt;=V_Inicio,68&lt;=Fin),INT((68-V_Inicio)/12)+1,0)</f>
        <v>6</v>
      </c>
      <c r="BV133" s="19" t="n">
        <f aca="false">IF(AND(69&gt;=V_Inicio,69&lt;=Fin),INT((69-V_Inicio)/12)+1,0)</f>
        <v>6</v>
      </c>
      <c r="BW133" s="19" t="n">
        <f aca="false">IF(AND(70&gt;=V_Inicio,70&lt;=Fin),INT((70-V_Inicio)/12)+1,0)</f>
        <v>6</v>
      </c>
      <c r="BX133" s="19" t="n">
        <f aca="false">IF(AND(71&gt;=V_Inicio,71&lt;=Fin),INT((71-V_Inicio)/12)+1,0)</f>
        <v>6</v>
      </c>
      <c r="BY133" s="19" t="n">
        <f aca="false">IF(AND(72&gt;=V_Inicio,72&lt;=Fin),INT((72-V_Inicio)/12)+1,0)</f>
        <v>6</v>
      </c>
      <c r="BZ133" s="19" t="n">
        <f aca="false">IF(AND(73&gt;=V_Inicio,73&lt;=Fin),INT((73-V_Inicio)/12)+1,0)</f>
        <v>7</v>
      </c>
      <c r="CA133" s="19" t="n">
        <f aca="false">IF(AND(74&gt;=V_Inicio,74&lt;=Fin),INT((74-V_Inicio)/12)+1,0)</f>
        <v>7</v>
      </c>
      <c r="CB133" s="19" t="n">
        <f aca="false">IF(AND(75&gt;=V_Inicio,75&lt;=Fin),INT((75-V_Inicio)/12)+1,0)</f>
        <v>7</v>
      </c>
      <c r="CC133" s="19" t="n">
        <f aca="false">IF(AND(76&gt;=V_Inicio,76&lt;=Fin),INT((76-V_Inicio)/12)+1,0)</f>
        <v>7</v>
      </c>
      <c r="CD133" s="19" t="n">
        <f aca="false">IF(AND(77&gt;=V_Inicio,77&lt;=Fin),INT((77-V_Inicio)/12)+1,0)</f>
        <v>7</v>
      </c>
      <c r="CE133" s="19" t="n">
        <f aca="false">IF(AND(78&gt;=V_Inicio,78&lt;=Fin),INT((78-V_Inicio)/12)+1,0)</f>
        <v>7</v>
      </c>
      <c r="CF133" s="19" t="n">
        <f aca="false">IF(AND(79&gt;=V_Inicio,79&lt;=Fin),INT((79-V_Inicio)/12)+1,0)</f>
        <v>7</v>
      </c>
      <c r="CG133" s="19" t="n">
        <f aca="false">IF(AND(80&gt;=V_Inicio,80&lt;=Fin),INT((80-V_Inicio)/12)+1,0)</f>
        <v>7</v>
      </c>
      <c r="CH133" s="19" t="n">
        <f aca="false">IF(AND(81&gt;=V_Inicio,81&lt;=Fin),INT((81-V_Inicio)/12)+1,0)</f>
        <v>7</v>
      </c>
      <c r="CI133" s="19" t="n">
        <f aca="false">IF(AND(82&gt;=V_Inicio,82&lt;=Fin),INT((82-V_Inicio)/12)+1,0)</f>
        <v>7</v>
      </c>
      <c r="CJ133" s="19" t="n">
        <f aca="false">IF(AND(83&gt;=V_Inicio,83&lt;=Fin),INT((83-V_Inicio)/12)+1,0)</f>
        <v>7</v>
      </c>
      <c r="CK133" s="19" t="n">
        <f aca="false">IF(AND(84&gt;=V_Inicio,84&lt;=Fin),INT((84-V_Inicio)/12)+1,0)</f>
        <v>7</v>
      </c>
      <c r="CL133" s="19" t="n">
        <f aca="false">IF(AND(85&gt;=V_Inicio,85&lt;=Fin),INT((85-V_Inicio)/12)+1,0)</f>
        <v>8</v>
      </c>
      <c r="CM133" s="19" t="n">
        <f aca="false">IF(AND(86&gt;=V_Inicio,86&lt;=Fin),INT((86-V_Inicio)/12)+1,0)</f>
        <v>8</v>
      </c>
      <c r="CN133" s="19" t="n">
        <f aca="false">IF(AND(87&gt;=V_Inicio,87&lt;=Fin),INT((87-V_Inicio)/12)+1,0)</f>
        <v>8</v>
      </c>
      <c r="CO133" s="19" t="n">
        <f aca="false">IF(AND(88&gt;=V_Inicio,88&lt;=Fin),INT((88-V_Inicio)/12)+1,0)</f>
        <v>8</v>
      </c>
      <c r="CP133" s="19" t="n">
        <f aca="false">IF(AND(89&gt;=V_Inicio,89&lt;=Fin),INT((89-V_Inicio)/12)+1,0)</f>
        <v>8</v>
      </c>
      <c r="CQ133" s="19" t="n">
        <f aca="false">IF(AND(90&gt;=V_Inicio,90&lt;=Fin),INT((90-V_Inicio)/12)+1,0)</f>
        <v>8</v>
      </c>
      <c r="CR133" s="19" t="n">
        <f aca="false">IF(AND(91&gt;=V_Inicio,91&lt;=Fin),INT((91-V_Inicio)/12)+1,0)</f>
        <v>8</v>
      </c>
      <c r="CS133" s="19" t="n">
        <f aca="false">IF(AND(92&gt;=V_Inicio,92&lt;=Fin),INT((92-V_Inicio)/12)+1,0)</f>
        <v>8</v>
      </c>
      <c r="CT133" s="19" t="n">
        <f aca="false">IF(AND(93&gt;=V_Inicio,93&lt;=Fin),INT((93-V_Inicio)/12)+1,0)</f>
        <v>8</v>
      </c>
      <c r="CU133" s="19" t="n">
        <f aca="false">IF(AND(94&gt;=V_Inicio,94&lt;=Fin),INT((94-V_Inicio)/12)+1,0)</f>
        <v>8</v>
      </c>
      <c r="CV133" s="19" t="n">
        <f aca="false">IF(AND(95&gt;=V_Inicio,95&lt;=Fin),INT((95-V_Inicio)/12)+1,0)</f>
        <v>8</v>
      </c>
      <c r="CW133" s="19" t="n">
        <f aca="false">IF(AND(96&gt;=V_Inicio,96&lt;=Fin),INT((96-V_Inicio)/12)+1,0)</f>
        <v>8</v>
      </c>
      <c r="CX133" s="19" t="n">
        <f aca="false">IF(AND(97&gt;=V_Inicio,97&lt;=Fin),INT((97-V_Inicio)/12)+1,0)</f>
        <v>9</v>
      </c>
      <c r="CY133" s="19" t="n">
        <f aca="false">IF(AND(98&gt;=V_Inicio,98&lt;=Fin),INT((98-V_Inicio)/12)+1,0)</f>
        <v>9</v>
      </c>
      <c r="CZ133" s="19" t="n">
        <f aca="false">IF(AND(99&gt;=V_Inicio,99&lt;=Fin),INT((99-V_Inicio)/12)+1,0)</f>
        <v>9</v>
      </c>
      <c r="DA133" s="19" t="n">
        <f aca="false">IF(AND(100&gt;=V_Inicio,100&lt;=Fin),INT((100-V_Inicio)/12)+1,0)</f>
        <v>9</v>
      </c>
      <c r="DB133" s="19" t="n">
        <f aca="false">IF(AND(101&gt;=V_Inicio,101&lt;=Fin),INT((101-V_Inicio)/12)+1,0)</f>
        <v>9</v>
      </c>
      <c r="DC133" s="19" t="n">
        <f aca="false">IF(AND(102&gt;=V_Inicio,102&lt;=Fin),INT((102-V_Inicio)/12)+1,0)</f>
        <v>9</v>
      </c>
      <c r="DD133" s="19" t="n">
        <f aca="false">IF(AND(103&gt;=V_Inicio,103&lt;=Fin),INT((103-V_Inicio)/12)+1,0)</f>
        <v>9</v>
      </c>
      <c r="DE133" s="19" t="n">
        <f aca="false">IF(AND(104&gt;=V_Inicio,104&lt;=Fin),INT((104-V_Inicio)/12)+1,0)</f>
        <v>9</v>
      </c>
      <c r="DF133" s="19" t="n">
        <f aca="false">IF(AND(105&gt;=V_Inicio,105&lt;=Fin),INT((105-V_Inicio)/12)+1,0)</f>
        <v>9</v>
      </c>
      <c r="DG133" s="19" t="n">
        <f aca="false">IF(AND(106&gt;=V_Inicio,106&lt;=Fin),INT((106-V_Inicio)/12)+1,0)</f>
        <v>9</v>
      </c>
      <c r="DH133" s="19" t="n">
        <f aca="false">IF(AND(107&gt;=V_Inicio,107&lt;=Fin),INT((107-V_Inicio)/12)+1,0)</f>
        <v>9</v>
      </c>
      <c r="DI133" s="19" t="n">
        <f aca="false">IF(AND(108&gt;=V_Inicio,108&lt;=Fin),INT((108-V_Inicio)/12)+1,0)</f>
        <v>9</v>
      </c>
      <c r="DJ133" s="19" t="n">
        <f aca="false">IF(AND(109&gt;=V_Inicio,109&lt;=Fin),INT((109-V_Inicio)/12)+1,0)</f>
        <v>10</v>
      </c>
      <c r="DK133" s="19" t="n">
        <f aca="false">IF(AND(110&gt;=V_Inicio,110&lt;=Fin),INT((110-V_Inicio)/12)+1,0)</f>
        <v>10</v>
      </c>
      <c r="DL133" s="19" t="n">
        <f aca="false">IF(AND(111&gt;=V_Inicio,111&lt;=Fin),INT((111-V_Inicio)/12)+1,0)</f>
        <v>10</v>
      </c>
      <c r="DM133" s="19" t="n">
        <f aca="false">IF(AND(112&gt;=V_Inicio,112&lt;=Fin),INT((112-V_Inicio)/12)+1,0)</f>
        <v>10</v>
      </c>
      <c r="DN133" s="19" t="n">
        <f aca="false">IF(AND(113&gt;=V_Inicio,113&lt;=Fin),INT((113-V_Inicio)/12)+1,0)</f>
        <v>10</v>
      </c>
      <c r="DO133" s="19" t="n">
        <f aca="false">IF(AND(114&gt;=V_Inicio,114&lt;=Fin),INT((114-V_Inicio)/12)+1,0)</f>
        <v>10</v>
      </c>
      <c r="DP133" s="19" t="n">
        <f aca="false">IF(AND(115&gt;=V_Inicio,115&lt;=Fin),INT((115-V_Inicio)/12)+1,0)</f>
        <v>10</v>
      </c>
      <c r="DQ133" s="19" t="n">
        <f aca="false">IF(AND(116&gt;=V_Inicio,116&lt;=Fin),INT((116-V_Inicio)/12)+1,0)</f>
        <v>10</v>
      </c>
      <c r="DR133" s="19" t="n">
        <f aca="false">IF(AND(117&gt;=V_Inicio,117&lt;=Fin),INT((117-V_Inicio)/12)+1,0)</f>
        <v>10</v>
      </c>
      <c r="DS133" s="19" t="n">
        <f aca="false">IF(AND(118&gt;=V_Inicio,118&lt;=Fin),INT((118-V_Inicio)/12)+1,0)</f>
        <v>10</v>
      </c>
      <c r="DT133" s="19" t="n">
        <f aca="false">IF(AND(119&gt;=V_Inicio,119&lt;=Fin),INT((119-V_Inicio)/12)+1,0)</f>
        <v>10</v>
      </c>
      <c r="DU133" s="19" t="n">
        <f aca="false">IF(AND(120&gt;=V_Inicio,120&lt;=Fin),INT((120-V_Inicio)/12)+1,0)</f>
        <v>10</v>
      </c>
      <c r="DV133" s="19" t="n">
        <f aca="false">IF(AND(121&gt;=V_Inicio,121&lt;=Fin),INT((121-V_Inicio)/12)+1,0)</f>
        <v>0</v>
      </c>
      <c r="DW133" s="19" t="n">
        <f aca="false">IF(AND(122&gt;=V_Inicio,122&lt;=Fin),INT((122-V_Inicio)/12)+1,0)</f>
        <v>0</v>
      </c>
      <c r="DX133" s="19" t="n">
        <f aca="false">IF(AND(123&gt;=V_Inicio,123&lt;=Fin),INT((123-V_Inicio)/12)+1,0)</f>
        <v>0</v>
      </c>
      <c r="DY133" s="19" t="n">
        <f aca="false">IF(AND(124&gt;=V_Inicio,124&lt;=Fin),INT((124-V_Inicio)/12)+1,0)</f>
        <v>0</v>
      </c>
      <c r="DZ133" s="19" t="n">
        <f aca="false">IF(AND(125&gt;=V_Inicio,125&lt;=Fin),INT((125-V_Inicio)/12)+1,0)</f>
        <v>0</v>
      </c>
      <c r="EA133" s="19" t="n">
        <f aca="false">IF(AND(126&gt;=V_Inicio,126&lt;=Fin),INT((126-V_Inicio)/12)+1,0)</f>
        <v>0</v>
      </c>
      <c r="EB133" s="19" t="n">
        <f aca="false">IF(AND(127&gt;=V_Inicio,127&lt;=Fin),INT((127-V_Inicio)/12)+1,0)</f>
        <v>0</v>
      </c>
      <c r="EC133" s="19" t="n">
        <f aca="false">IF(AND(128&gt;=V_Inicio,128&lt;=Fin),INT((128-V_Inicio)/12)+1,0)</f>
        <v>0</v>
      </c>
      <c r="ED133" s="19" t="n">
        <f aca="false">IF(AND(129&gt;=V_Inicio,129&lt;=Fin),INT((129-V_Inicio)/12)+1,0)</f>
        <v>0</v>
      </c>
      <c r="EE133" s="19" t="n">
        <f aca="false">IF(AND(130&gt;=V_Inicio,130&lt;=Fin),INT((130-V_Inicio)/12)+1,0)</f>
        <v>0</v>
      </c>
      <c r="EF133" s="19" t="n">
        <f aca="false">IF(AND(131&gt;=V_Inicio,131&lt;=Fin),INT((131-V_Inicio)/12)+1,0)</f>
        <v>0</v>
      </c>
      <c r="EG133" s="19" t="n">
        <f aca="false">IF(AND(132&gt;=V_Inicio,132&lt;=Fin),INT((132-V_Inicio)/12)+1,0)</f>
        <v>0</v>
      </c>
      <c r="EH133" s="19" t="n">
        <f aca="false">IF(AND(133&gt;=V_Inicio,133&lt;=Fin),INT((133-V_Inicio)/12)+1,0)</f>
        <v>0</v>
      </c>
      <c r="EI133" s="19" t="n">
        <f aca="false">IF(AND(134&gt;=V_Inicio,134&lt;=Fin),INT((134-V_Inicio)/12)+1,0)</f>
        <v>0</v>
      </c>
      <c r="EJ133" s="19" t="n">
        <f aca="false">IF(AND(135&gt;=V_Inicio,135&lt;=Fin),INT((135-V_Inicio)/12)+1,0)</f>
        <v>0</v>
      </c>
      <c r="EK133" s="19" t="n">
        <f aca="false">IF(AND(136&gt;=V_Inicio,136&lt;=Fin),INT((136-V_Inicio)/12)+1,0)</f>
        <v>0</v>
      </c>
      <c r="EL133" s="19" t="n">
        <f aca="false">IF(AND(137&gt;=V_Inicio,137&lt;=Fin),INT((137-V_Inicio)/12)+1,0)</f>
        <v>0</v>
      </c>
      <c r="EM133" s="19" t="n">
        <f aca="false">IF(AND(138&gt;=V_Inicio,138&lt;=Fin),INT((138-V_Inicio)/12)+1,0)</f>
        <v>0</v>
      </c>
      <c r="EN133" s="19" t="n">
        <f aca="false">IF(AND(139&gt;=V_Inicio,139&lt;=Fin),INT((139-V_Inicio)/12)+1,0)</f>
        <v>0</v>
      </c>
      <c r="EO133" s="19" t="n">
        <f aca="false">IF(AND(140&gt;=V_Inicio,140&lt;=Fin),INT((140-V_Inicio)/12)+1,0)</f>
        <v>0</v>
      </c>
      <c r="EP133" s="19" t="n">
        <f aca="false">IF(AND(141&gt;=V_Inicio,141&lt;=Fin),INT((141-V_Inicio)/12)+1,0)</f>
        <v>0</v>
      </c>
      <c r="EQ133" s="19" t="n">
        <f aca="false">IF(AND(142&gt;=V_Inicio,142&lt;=Fin),INT((142-V_Inicio)/12)+1,0)</f>
        <v>0</v>
      </c>
      <c r="ER133" s="19" t="n">
        <f aca="false">IF(AND(143&gt;=V_Inicio,143&lt;=Fin),INT((143-V_Inicio)/12)+1,0)</f>
        <v>0</v>
      </c>
      <c r="ES133" s="19" t="n">
        <f aca="false">IF(AND(144&gt;=V_Inicio,144&lt;=Fin),INT((144-V_Inicio)/12)+1,0)</f>
        <v>0</v>
      </c>
    </row>
    <row r="134" customFormat="false" ht="15" hidden="false" customHeight="false" outlineLevel="0" collapsed="false">
      <c r="A134" s="2" t="s">
        <v>614</v>
      </c>
      <c r="B134" s="6" t="s">
        <v>422</v>
      </c>
      <c r="C134" s="6" t="s">
        <v>423</v>
      </c>
      <c r="E134" s="51" t="n">
        <f aca="false">SUM(F134:ES134)</f>
        <v>120</v>
      </c>
      <c r="F134" s="19" t="n">
        <f aca="false">IF(F$133&gt;0,1,0)</f>
        <v>1</v>
      </c>
      <c r="G134" s="19" t="n">
        <f aca="false">IF(G$133&gt;0,1,0)</f>
        <v>1</v>
      </c>
      <c r="H134" s="19" t="n">
        <f aca="false">IF(H$133&gt;0,1,0)</f>
        <v>1</v>
      </c>
      <c r="I134" s="19" t="n">
        <f aca="false">IF(I$133&gt;0,1,0)</f>
        <v>1</v>
      </c>
      <c r="J134" s="19" t="n">
        <f aca="false">IF(J$133&gt;0,1,0)</f>
        <v>1</v>
      </c>
      <c r="K134" s="19" t="n">
        <f aca="false">IF(K$133&gt;0,1,0)</f>
        <v>1</v>
      </c>
      <c r="L134" s="19" t="n">
        <f aca="false">IF(L$133&gt;0,1,0)</f>
        <v>1</v>
      </c>
      <c r="M134" s="19" t="n">
        <f aca="false">IF(M$133&gt;0,1,0)</f>
        <v>1</v>
      </c>
      <c r="N134" s="19" t="n">
        <f aca="false">IF(N$133&gt;0,1,0)</f>
        <v>1</v>
      </c>
      <c r="O134" s="19" t="n">
        <f aca="false">IF(O$133&gt;0,1,0)</f>
        <v>1</v>
      </c>
      <c r="P134" s="19" t="n">
        <f aca="false">IF(P$133&gt;0,1,0)</f>
        <v>1</v>
      </c>
      <c r="Q134" s="19" t="n">
        <f aca="false">IF(Q$133&gt;0,1,0)</f>
        <v>1</v>
      </c>
      <c r="R134" s="19" t="n">
        <f aca="false">IF(R$133&gt;0,1,0)</f>
        <v>1</v>
      </c>
      <c r="S134" s="19" t="n">
        <f aca="false">IF(S$133&gt;0,1,0)</f>
        <v>1</v>
      </c>
      <c r="T134" s="19" t="n">
        <f aca="false">IF(T$133&gt;0,1,0)</f>
        <v>1</v>
      </c>
      <c r="U134" s="19" t="n">
        <f aca="false">IF(U$133&gt;0,1,0)</f>
        <v>1</v>
      </c>
      <c r="V134" s="19" t="n">
        <f aca="false">IF(V$133&gt;0,1,0)</f>
        <v>1</v>
      </c>
      <c r="W134" s="19" t="n">
        <f aca="false">IF(W$133&gt;0,1,0)</f>
        <v>1</v>
      </c>
      <c r="X134" s="19" t="n">
        <f aca="false">IF(X$133&gt;0,1,0)</f>
        <v>1</v>
      </c>
      <c r="Y134" s="19" t="n">
        <f aca="false">IF(Y$133&gt;0,1,0)</f>
        <v>1</v>
      </c>
      <c r="Z134" s="19" t="n">
        <f aca="false">IF(Z$133&gt;0,1,0)</f>
        <v>1</v>
      </c>
      <c r="AA134" s="19" t="n">
        <f aca="false">IF(AA$133&gt;0,1,0)</f>
        <v>1</v>
      </c>
      <c r="AB134" s="19" t="n">
        <f aca="false">IF(AB$133&gt;0,1,0)</f>
        <v>1</v>
      </c>
      <c r="AC134" s="19" t="n">
        <f aca="false">IF(AC$133&gt;0,1,0)</f>
        <v>1</v>
      </c>
      <c r="AD134" s="19" t="n">
        <f aca="false">IF(AD$133&gt;0,1,0)</f>
        <v>1</v>
      </c>
      <c r="AE134" s="19" t="n">
        <f aca="false">IF(AE$133&gt;0,1,0)</f>
        <v>1</v>
      </c>
      <c r="AF134" s="19" t="n">
        <f aca="false">IF(AF$133&gt;0,1,0)</f>
        <v>1</v>
      </c>
      <c r="AG134" s="19" t="n">
        <f aca="false">IF(AG$133&gt;0,1,0)</f>
        <v>1</v>
      </c>
      <c r="AH134" s="19" t="n">
        <f aca="false">IF(AH$133&gt;0,1,0)</f>
        <v>1</v>
      </c>
      <c r="AI134" s="19" t="n">
        <f aca="false">IF(AI$133&gt;0,1,0)</f>
        <v>1</v>
      </c>
      <c r="AJ134" s="19" t="n">
        <f aca="false">IF(AJ$133&gt;0,1,0)</f>
        <v>1</v>
      </c>
      <c r="AK134" s="19" t="n">
        <f aca="false">IF(AK$133&gt;0,1,0)</f>
        <v>1</v>
      </c>
      <c r="AL134" s="19" t="n">
        <f aca="false">IF(AL$133&gt;0,1,0)</f>
        <v>1</v>
      </c>
      <c r="AM134" s="19" t="n">
        <f aca="false">IF(AM$133&gt;0,1,0)</f>
        <v>1</v>
      </c>
      <c r="AN134" s="19" t="n">
        <f aca="false">IF(AN$133&gt;0,1,0)</f>
        <v>1</v>
      </c>
      <c r="AO134" s="19" t="n">
        <f aca="false">IF(AO$133&gt;0,1,0)</f>
        <v>1</v>
      </c>
      <c r="AP134" s="19" t="n">
        <f aca="false">IF(AP$133&gt;0,1,0)</f>
        <v>1</v>
      </c>
      <c r="AQ134" s="19" t="n">
        <f aca="false">IF(AQ$133&gt;0,1,0)</f>
        <v>1</v>
      </c>
      <c r="AR134" s="19" t="n">
        <f aca="false">IF(AR$133&gt;0,1,0)</f>
        <v>1</v>
      </c>
      <c r="AS134" s="19" t="n">
        <f aca="false">IF(AS$133&gt;0,1,0)</f>
        <v>1</v>
      </c>
      <c r="AT134" s="19" t="n">
        <f aca="false">IF(AT$133&gt;0,1,0)</f>
        <v>1</v>
      </c>
      <c r="AU134" s="19" t="n">
        <f aca="false">IF(AU$133&gt;0,1,0)</f>
        <v>1</v>
      </c>
      <c r="AV134" s="19" t="n">
        <f aca="false">IF(AV$133&gt;0,1,0)</f>
        <v>1</v>
      </c>
      <c r="AW134" s="19" t="n">
        <f aca="false">IF(AW$133&gt;0,1,0)</f>
        <v>1</v>
      </c>
      <c r="AX134" s="19" t="n">
        <f aca="false">IF(AX$133&gt;0,1,0)</f>
        <v>1</v>
      </c>
      <c r="AY134" s="19" t="n">
        <f aca="false">IF(AY$133&gt;0,1,0)</f>
        <v>1</v>
      </c>
      <c r="AZ134" s="19" t="n">
        <f aca="false">IF(AZ$133&gt;0,1,0)</f>
        <v>1</v>
      </c>
      <c r="BA134" s="19" t="n">
        <f aca="false">IF(BA$133&gt;0,1,0)</f>
        <v>1</v>
      </c>
      <c r="BB134" s="19" t="n">
        <f aca="false">IF(BB$133&gt;0,1,0)</f>
        <v>1</v>
      </c>
      <c r="BC134" s="19" t="n">
        <f aca="false">IF(BC$133&gt;0,1,0)</f>
        <v>1</v>
      </c>
      <c r="BD134" s="19" t="n">
        <f aca="false">IF(BD$133&gt;0,1,0)</f>
        <v>1</v>
      </c>
      <c r="BE134" s="19" t="n">
        <f aca="false">IF(BE$133&gt;0,1,0)</f>
        <v>1</v>
      </c>
      <c r="BF134" s="19" t="n">
        <f aca="false">IF(BF$133&gt;0,1,0)</f>
        <v>1</v>
      </c>
      <c r="BG134" s="19" t="n">
        <f aca="false">IF(BG$133&gt;0,1,0)</f>
        <v>1</v>
      </c>
      <c r="BH134" s="19" t="n">
        <f aca="false">IF(BH$133&gt;0,1,0)</f>
        <v>1</v>
      </c>
      <c r="BI134" s="19" t="n">
        <f aca="false">IF(BI$133&gt;0,1,0)</f>
        <v>1</v>
      </c>
      <c r="BJ134" s="19" t="n">
        <f aca="false">IF(BJ$133&gt;0,1,0)</f>
        <v>1</v>
      </c>
      <c r="BK134" s="19" t="n">
        <f aca="false">IF(BK$133&gt;0,1,0)</f>
        <v>1</v>
      </c>
      <c r="BL134" s="19" t="n">
        <f aca="false">IF(BL$133&gt;0,1,0)</f>
        <v>1</v>
      </c>
      <c r="BM134" s="19" t="n">
        <f aca="false">IF(BM$133&gt;0,1,0)</f>
        <v>1</v>
      </c>
      <c r="BN134" s="19" t="n">
        <f aca="false">IF(BN$133&gt;0,1,0)</f>
        <v>1</v>
      </c>
      <c r="BO134" s="19" t="n">
        <f aca="false">IF(BO$133&gt;0,1,0)</f>
        <v>1</v>
      </c>
      <c r="BP134" s="19" t="n">
        <f aca="false">IF(BP$133&gt;0,1,0)</f>
        <v>1</v>
      </c>
      <c r="BQ134" s="19" t="n">
        <f aca="false">IF(BQ$133&gt;0,1,0)</f>
        <v>1</v>
      </c>
      <c r="BR134" s="19" t="n">
        <f aca="false">IF(BR$133&gt;0,1,0)</f>
        <v>1</v>
      </c>
      <c r="BS134" s="19" t="n">
        <f aca="false">IF(BS$133&gt;0,1,0)</f>
        <v>1</v>
      </c>
      <c r="BT134" s="19" t="n">
        <f aca="false">IF(BT$133&gt;0,1,0)</f>
        <v>1</v>
      </c>
      <c r="BU134" s="19" t="n">
        <f aca="false">IF(BU$133&gt;0,1,0)</f>
        <v>1</v>
      </c>
      <c r="BV134" s="19" t="n">
        <f aca="false">IF(BV$133&gt;0,1,0)</f>
        <v>1</v>
      </c>
      <c r="BW134" s="19" t="n">
        <f aca="false">IF(BW$133&gt;0,1,0)</f>
        <v>1</v>
      </c>
      <c r="BX134" s="19" t="n">
        <f aca="false">IF(BX$133&gt;0,1,0)</f>
        <v>1</v>
      </c>
      <c r="BY134" s="19" t="n">
        <f aca="false">IF(BY$133&gt;0,1,0)</f>
        <v>1</v>
      </c>
      <c r="BZ134" s="19" t="n">
        <f aca="false">IF(BZ$133&gt;0,1,0)</f>
        <v>1</v>
      </c>
      <c r="CA134" s="19" t="n">
        <f aca="false">IF(CA$133&gt;0,1,0)</f>
        <v>1</v>
      </c>
      <c r="CB134" s="19" t="n">
        <f aca="false">IF(CB$133&gt;0,1,0)</f>
        <v>1</v>
      </c>
      <c r="CC134" s="19" t="n">
        <f aca="false">IF(CC$133&gt;0,1,0)</f>
        <v>1</v>
      </c>
      <c r="CD134" s="19" t="n">
        <f aca="false">IF(CD$133&gt;0,1,0)</f>
        <v>1</v>
      </c>
      <c r="CE134" s="19" t="n">
        <f aca="false">IF(CE$133&gt;0,1,0)</f>
        <v>1</v>
      </c>
      <c r="CF134" s="19" t="n">
        <f aca="false">IF(CF$133&gt;0,1,0)</f>
        <v>1</v>
      </c>
      <c r="CG134" s="19" t="n">
        <f aca="false">IF(CG$133&gt;0,1,0)</f>
        <v>1</v>
      </c>
      <c r="CH134" s="19" t="n">
        <f aca="false">IF(CH$133&gt;0,1,0)</f>
        <v>1</v>
      </c>
      <c r="CI134" s="19" t="n">
        <f aca="false">IF(CI$133&gt;0,1,0)</f>
        <v>1</v>
      </c>
      <c r="CJ134" s="19" t="n">
        <f aca="false">IF(CJ$133&gt;0,1,0)</f>
        <v>1</v>
      </c>
      <c r="CK134" s="19" t="n">
        <f aca="false">IF(CK$133&gt;0,1,0)</f>
        <v>1</v>
      </c>
      <c r="CL134" s="19" t="n">
        <f aca="false">IF(CL$133&gt;0,1,0)</f>
        <v>1</v>
      </c>
      <c r="CM134" s="19" t="n">
        <f aca="false">IF(CM$133&gt;0,1,0)</f>
        <v>1</v>
      </c>
      <c r="CN134" s="19" t="n">
        <f aca="false">IF(CN$133&gt;0,1,0)</f>
        <v>1</v>
      </c>
      <c r="CO134" s="19" t="n">
        <f aca="false">IF(CO$133&gt;0,1,0)</f>
        <v>1</v>
      </c>
      <c r="CP134" s="19" t="n">
        <f aca="false">IF(CP$133&gt;0,1,0)</f>
        <v>1</v>
      </c>
      <c r="CQ134" s="19" t="n">
        <f aca="false">IF(CQ$133&gt;0,1,0)</f>
        <v>1</v>
      </c>
      <c r="CR134" s="19" t="n">
        <f aca="false">IF(CR$133&gt;0,1,0)</f>
        <v>1</v>
      </c>
      <c r="CS134" s="19" t="n">
        <f aca="false">IF(CS$133&gt;0,1,0)</f>
        <v>1</v>
      </c>
      <c r="CT134" s="19" t="n">
        <f aca="false">IF(CT$133&gt;0,1,0)</f>
        <v>1</v>
      </c>
      <c r="CU134" s="19" t="n">
        <f aca="false">IF(CU$133&gt;0,1,0)</f>
        <v>1</v>
      </c>
      <c r="CV134" s="19" t="n">
        <f aca="false">IF(CV$133&gt;0,1,0)</f>
        <v>1</v>
      </c>
      <c r="CW134" s="19" t="n">
        <f aca="false">IF(CW$133&gt;0,1,0)</f>
        <v>1</v>
      </c>
      <c r="CX134" s="19" t="n">
        <f aca="false">IF(CX$133&gt;0,1,0)</f>
        <v>1</v>
      </c>
      <c r="CY134" s="19" t="n">
        <f aca="false">IF(CY$133&gt;0,1,0)</f>
        <v>1</v>
      </c>
      <c r="CZ134" s="19" t="n">
        <f aca="false">IF(CZ$133&gt;0,1,0)</f>
        <v>1</v>
      </c>
      <c r="DA134" s="19" t="n">
        <f aca="false">IF(DA$133&gt;0,1,0)</f>
        <v>1</v>
      </c>
      <c r="DB134" s="19" t="n">
        <f aca="false">IF(DB$133&gt;0,1,0)</f>
        <v>1</v>
      </c>
      <c r="DC134" s="19" t="n">
        <f aca="false">IF(DC$133&gt;0,1,0)</f>
        <v>1</v>
      </c>
      <c r="DD134" s="19" t="n">
        <f aca="false">IF(DD$133&gt;0,1,0)</f>
        <v>1</v>
      </c>
      <c r="DE134" s="19" t="n">
        <f aca="false">IF(DE$133&gt;0,1,0)</f>
        <v>1</v>
      </c>
      <c r="DF134" s="19" t="n">
        <f aca="false">IF(DF$133&gt;0,1,0)</f>
        <v>1</v>
      </c>
      <c r="DG134" s="19" t="n">
        <f aca="false">IF(DG$133&gt;0,1,0)</f>
        <v>1</v>
      </c>
      <c r="DH134" s="19" t="n">
        <f aca="false">IF(DH$133&gt;0,1,0)</f>
        <v>1</v>
      </c>
      <c r="DI134" s="19" t="n">
        <f aca="false">IF(DI$133&gt;0,1,0)</f>
        <v>1</v>
      </c>
      <c r="DJ134" s="19" t="n">
        <f aca="false">IF(DJ$133&gt;0,1,0)</f>
        <v>1</v>
      </c>
      <c r="DK134" s="19" t="n">
        <f aca="false">IF(DK$133&gt;0,1,0)</f>
        <v>1</v>
      </c>
      <c r="DL134" s="19" t="n">
        <f aca="false">IF(DL$133&gt;0,1,0)</f>
        <v>1</v>
      </c>
      <c r="DM134" s="19" t="n">
        <f aca="false">IF(DM$133&gt;0,1,0)</f>
        <v>1</v>
      </c>
      <c r="DN134" s="19" t="n">
        <f aca="false">IF(DN$133&gt;0,1,0)</f>
        <v>1</v>
      </c>
      <c r="DO134" s="19" t="n">
        <f aca="false">IF(DO$133&gt;0,1,0)</f>
        <v>1</v>
      </c>
      <c r="DP134" s="19" t="n">
        <f aca="false">IF(DP$133&gt;0,1,0)</f>
        <v>1</v>
      </c>
      <c r="DQ134" s="19" t="n">
        <f aca="false">IF(DQ$133&gt;0,1,0)</f>
        <v>1</v>
      </c>
      <c r="DR134" s="19" t="n">
        <f aca="false">IF(DR$133&gt;0,1,0)</f>
        <v>1</v>
      </c>
      <c r="DS134" s="19" t="n">
        <f aca="false">IF(DS$133&gt;0,1,0)</f>
        <v>1</v>
      </c>
      <c r="DT134" s="19" t="n">
        <f aca="false">IF(DT$133&gt;0,1,0)</f>
        <v>1</v>
      </c>
      <c r="DU134" s="19" t="n">
        <f aca="false">IF(DU$133&gt;0,1,0)</f>
        <v>1</v>
      </c>
      <c r="DV134" s="19" t="n">
        <f aca="false">IF(DV$133&gt;0,1,0)</f>
        <v>0</v>
      </c>
      <c r="DW134" s="19" t="n">
        <f aca="false">IF(DW$133&gt;0,1,0)</f>
        <v>0</v>
      </c>
      <c r="DX134" s="19" t="n">
        <f aca="false">IF(DX$133&gt;0,1,0)</f>
        <v>0</v>
      </c>
      <c r="DY134" s="19" t="n">
        <f aca="false">IF(DY$133&gt;0,1,0)</f>
        <v>0</v>
      </c>
      <c r="DZ134" s="19" t="n">
        <f aca="false">IF(DZ$133&gt;0,1,0)</f>
        <v>0</v>
      </c>
      <c r="EA134" s="19" t="n">
        <f aca="false">IF(EA$133&gt;0,1,0)</f>
        <v>0</v>
      </c>
      <c r="EB134" s="19" t="n">
        <f aca="false">IF(EB$133&gt;0,1,0)</f>
        <v>0</v>
      </c>
      <c r="EC134" s="19" t="n">
        <f aca="false">IF(EC$133&gt;0,1,0)</f>
        <v>0</v>
      </c>
      <c r="ED134" s="19" t="n">
        <f aca="false">IF(ED$133&gt;0,1,0)</f>
        <v>0</v>
      </c>
      <c r="EE134" s="19" t="n">
        <f aca="false">IF(EE$133&gt;0,1,0)</f>
        <v>0</v>
      </c>
      <c r="EF134" s="19" t="n">
        <f aca="false">IF(EF$133&gt;0,1,0)</f>
        <v>0</v>
      </c>
      <c r="EG134" s="19" t="n">
        <f aca="false">IF(EG$133&gt;0,1,0)</f>
        <v>0</v>
      </c>
      <c r="EH134" s="19" t="n">
        <f aca="false">IF(EH$133&gt;0,1,0)</f>
        <v>0</v>
      </c>
      <c r="EI134" s="19" t="n">
        <f aca="false">IF(EI$133&gt;0,1,0)</f>
        <v>0</v>
      </c>
      <c r="EJ134" s="19" t="n">
        <f aca="false">IF(EJ$133&gt;0,1,0)</f>
        <v>0</v>
      </c>
      <c r="EK134" s="19" t="n">
        <f aca="false">IF(EK$133&gt;0,1,0)</f>
        <v>0</v>
      </c>
      <c r="EL134" s="19" t="n">
        <f aca="false">IF(EL$133&gt;0,1,0)</f>
        <v>0</v>
      </c>
      <c r="EM134" s="19" t="n">
        <f aca="false">IF(EM$133&gt;0,1,0)</f>
        <v>0</v>
      </c>
      <c r="EN134" s="19" t="n">
        <f aca="false">IF(EN$133&gt;0,1,0)</f>
        <v>0</v>
      </c>
      <c r="EO134" s="19" t="n">
        <f aca="false">IF(EO$133&gt;0,1,0)</f>
        <v>0</v>
      </c>
      <c r="EP134" s="19" t="n">
        <f aca="false">IF(EP$133&gt;0,1,0)</f>
        <v>0</v>
      </c>
      <c r="EQ134" s="19" t="n">
        <f aca="false">IF(EQ$133&gt;0,1,0)</f>
        <v>0</v>
      </c>
      <c r="ER134" s="19" t="n">
        <f aca="false">IF(ER$133&gt;0,1,0)</f>
        <v>0</v>
      </c>
      <c r="ES134" s="19" t="n">
        <f aca="false">IF(ES$133&gt;0,1,0)</f>
        <v>0</v>
      </c>
    </row>
    <row r="135" customFormat="false" ht="15" hidden="false" customHeight="false" outlineLevel="0" collapsed="false">
      <c r="A135" s="2" t="s">
        <v>615</v>
      </c>
      <c r="B135" s="6" t="s">
        <v>425</v>
      </c>
      <c r="C135" s="6" t="s">
        <v>423</v>
      </c>
      <c r="E135" s="51" t="n">
        <f aca="false">SUM(F135:ES135)</f>
        <v>0</v>
      </c>
      <c r="F135" s="19" t="n">
        <f aca="false">IF(AND(1&lt;V_Inicio,1&lt;=Fin),1,0)</f>
        <v>0</v>
      </c>
      <c r="G135" s="19" t="n">
        <f aca="false">IF(AND(2&lt;V_Inicio,2&lt;=Fin),1,0)</f>
        <v>0</v>
      </c>
      <c r="H135" s="19" t="n">
        <f aca="false">IF(AND(3&lt;V_Inicio,3&lt;=Fin),1,0)</f>
        <v>0</v>
      </c>
      <c r="I135" s="19" t="n">
        <f aca="false">IF(AND(4&lt;V_Inicio,4&lt;=Fin),1,0)</f>
        <v>0</v>
      </c>
      <c r="J135" s="19" t="n">
        <f aca="false">IF(AND(5&lt;V_Inicio,5&lt;=Fin),1,0)</f>
        <v>0</v>
      </c>
      <c r="K135" s="19" t="n">
        <f aca="false">IF(AND(6&lt;V_Inicio,6&lt;=Fin),1,0)</f>
        <v>0</v>
      </c>
      <c r="L135" s="19" t="n">
        <f aca="false">IF(AND(7&lt;V_Inicio,7&lt;=Fin),1,0)</f>
        <v>0</v>
      </c>
      <c r="M135" s="19" t="n">
        <f aca="false">IF(AND(8&lt;V_Inicio,8&lt;=Fin),1,0)</f>
        <v>0</v>
      </c>
      <c r="N135" s="19" t="n">
        <f aca="false">IF(AND(9&lt;V_Inicio,9&lt;=Fin),1,0)</f>
        <v>0</v>
      </c>
      <c r="O135" s="19" t="n">
        <f aca="false">IF(AND(10&lt;V_Inicio,10&lt;=Fin),1,0)</f>
        <v>0</v>
      </c>
      <c r="P135" s="19" t="n">
        <f aca="false">IF(AND(11&lt;V_Inicio,11&lt;=Fin),1,0)</f>
        <v>0</v>
      </c>
      <c r="Q135" s="19" t="n">
        <f aca="false">IF(AND(12&lt;V_Inicio,12&lt;=Fin),1,0)</f>
        <v>0</v>
      </c>
      <c r="R135" s="19" t="n">
        <f aca="false">IF(AND(13&lt;V_Inicio,13&lt;=Fin),1,0)</f>
        <v>0</v>
      </c>
      <c r="S135" s="19" t="n">
        <f aca="false">IF(AND(14&lt;V_Inicio,14&lt;=Fin),1,0)</f>
        <v>0</v>
      </c>
      <c r="T135" s="19" t="n">
        <f aca="false">IF(AND(15&lt;V_Inicio,15&lt;=Fin),1,0)</f>
        <v>0</v>
      </c>
      <c r="U135" s="19" t="n">
        <f aca="false">IF(AND(16&lt;V_Inicio,16&lt;=Fin),1,0)</f>
        <v>0</v>
      </c>
      <c r="V135" s="19" t="n">
        <f aca="false">IF(AND(17&lt;V_Inicio,17&lt;=Fin),1,0)</f>
        <v>0</v>
      </c>
      <c r="W135" s="19" t="n">
        <f aca="false">IF(AND(18&lt;V_Inicio,18&lt;=Fin),1,0)</f>
        <v>0</v>
      </c>
      <c r="X135" s="19" t="n">
        <f aca="false">IF(AND(19&lt;V_Inicio,19&lt;=Fin),1,0)</f>
        <v>0</v>
      </c>
      <c r="Y135" s="19" t="n">
        <f aca="false">IF(AND(20&lt;V_Inicio,20&lt;=Fin),1,0)</f>
        <v>0</v>
      </c>
      <c r="Z135" s="19" t="n">
        <f aca="false">IF(AND(21&lt;V_Inicio,21&lt;=Fin),1,0)</f>
        <v>0</v>
      </c>
      <c r="AA135" s="19" t="n">
        <f aca="false">IF(AND(22&lt;V_Inicio,22&lt;=Fin),1,0)</f>
        <v>0</v>
      </c>
      <c r="AB135" s="19" t="n">
        <f aca="false">IF(AND(23&lt;V_Inicio,23&lt;=Fin),1,0)</f>
        <v>0</v>
      </c>
      <c r="AC135" s="19" t="n">
        <f aca="false">IF(AND(24&lt;V_Inicio,24&lt;=Fin),1,0)</f>
        <v>0</v>
      </c>
      <c r="AD135" s="19" t="n">
        <f aca="false">IF(AND(25&lt;V_Inicio,25&lt;=Fin),1,0)</f>
        <v>0</v>
      </c>
      <c r="AE135" s="19" t="n">
        <f aca="false">IF(AND(26&lt;V_Inicio,26&lt;=Fin),1,0)</f>
        <v>0</v>
      </c>
      <c r="AF135" s="19" t="n">
        <f aca="false">IF(AND(27&lt;V_Inicio,27&lt;=Fin),1,0)</f>
        <v>0</v>
      </c>
      <c r="AG135" s="19" t="n">
        <f aca="false">IF(AND(28&lt;V_Inicio,28&lt;=Fin),1,0)</f>
        <v>0</v>
      </c>
      <c r="AH135" s="19" t="n">
        <f aca="false">IF(AND(29&lt;V_Inicio,29&lt;=Fin),1,0)</f>
        <v>0</v>
      </c>
      <c r="AI135" s="19" t="n">
        <f aca="false">IF(AND(30&lt;V_Inicio,30&lt;=Fin),1,0)</f>
        <v>0</v>
      </c>
      <c r="AJ135" s="19" t="n">
        <f aca="false">IF(AND(31&lt;V_Inicio,31&lt;=Fin),1,0)</f>
        <v>0</v>
      </c>
      <c r="AK135" s="19" t="n">
        <f aca="false">IF(AND(32&lt;V_Inicio,32&lt;=Fin),1,0)</f>
        <v>0</v>
      </c>
      <c r="AL135" s="19" t="n">
        <f aca="false">IF(AND(33&lt;V_Inicio,33&lt;=Fin),1,0)</f>
        <v>0</v>
      </c>
      <c r="AM135" s="19" t="n">
        <f aca="false">IF(AND(34&lt;V_Inicio,34&lt;=Fin),1,0)</f>
        <v>0</v>
      </c>
      <c r="AN135" s="19" t="n">
        <f aca="false">IF(AND(35&lt;V_Inicio,35&lt;=Fin),1,0)</f>
        <v>0</v>
      </c>
      <c r="AO135" s="19" t="n">
        <f aca="false">IF(AND(36&lt;V_Inicio,36&lt;=Fin),1,0)</f>
        <v>0</v>
      </c>
      <c r="AP135" s="19" t="n">
        <f aca="false">IF(AND(37&lt;V_Inicio,37&lt;=Fin),1,0)</f>
        <v>0</v>
      </c>
      <c r="AQ135" s="19" t="n">
        <f aca="false">IF(AND(38&lt;V_Inicio,38&lt;=Fin),1,0)</f>
        <v>0</v>
      </c>
      <c r="AR135" s="19" t="n">
        <f aca="false">IF(AND(39&lt;V_Inicio,39&lt;=Fin),1,0)</f>
        <v>0</v>
      </c>
      <c r="AS135" s="19" t="n">
        <f aca="false">IF(AND(40&lt;V_Inicio,40&lt;=Fin),1,0)</f>
        <v>0</v>
      </c>
      <c r="AT135" s="19" t="n">
        <f aca="false">IF(AND(41&lt;V_Inicio,41&lt;=Fin),1,0)</f>
        <v>0</v>
      </c>
      <c r="AU135" s="19" t="n">
        <f aca="false">IF(AND(42&lt;V_Inicio,42&lt;=Fin),1,0)</f>
        <v>0</v>
      </c>
      <c r="AV135" s="19" t="n">
        <f aca="false">IF(AND(43&lt;V_Inicio,43&lt;=Fin),1,0)</f>
        <v>0</v>
      </c>
      <c r="AW135" s="19" t="n">
        <f aca="false">IF(AND(44&lt;V_Inicio,44&lt;=Fin),1,0)</f>
        <v>0</v>
      </c>
      <c r="AX135" s="19" t="n">
        <f aca="false">IF(AND(45&lt;V_Inicio,45&lt;=Fin),1,0)</f>
        <v>0</v>
      </c>
      <c r="AY135" s="19" t="n">
        <f aca="false">IF(AND(46&lt;V_Inicio,46&lt;=Fin),1,0)</f>
        <v>0</v>
      </c>
      <c r="AZ135" s="19" t="n">
        <f aca="false">IF(AND(47&lt;V_Inicio,47&lt;=Fin),1,0)</f>
        <v>0</v>
      </c>
      <c r="BA135" s="19" t="n">
        <f aca="false">IF(AND(48&lt;V_Inicio,48&lt;=Fin),1,0)</f>
        <v>0</v>
      </c>
      <c r="BB135" s="19" t="n">
        <f aca="false">IF(AND(49&lt;V_Inicio,49&lt;=Fin),1,0)</f>
        <v>0</v>
      </c>
      <c r="BC135" s="19" t="n">
        <f aca="false">IF(AND(50&lt;V_Inicio,50&lt;=Fin),1,0)</f>
        <v>0</v>
      </c>
      <c r="BD135" s="19" t="n">
        <f aca="false">IF(AND(51&lt;V_Inicio,51&lt;=Fin),1,0)</f>
        <v>0</v>
      </c>
      <c r="BE135" s="19" t="n">
        <f aca="false">IF(AND(52&lt;V_Inicio,52&lt;=Fin),1,0)</f>
        <v>0</v>
      </c>
      <c r="BF135" s="19" t="n">
        <f aca="false">IF(AND(53&lt;V_Inicio,53&lt;=Fin),1,0)</f>
        <v>0</v>
      </c>
      <c r="BG135" s="19" t="n">
        <f aca="false">IF(AND(54&lt;V_Inicio,54&lt;=Fin),1,0)</f>
        <v>0</v>
      </c>
      <c r="BH135" s="19" t="n">
        <f aca="false">IF(AND(55&lt;V_Inicio,55&lt;=Fin),1,0)</f>
        <v>0</v>
      </c>
      <c r="BI135" s="19" t="n">
        <f aca="false">IF(AND(56&lt;V_Inicio,56&lt;=Fin),1,0)</f>
        <v>0</v>
      </c>
      <c r="BJ135" s="19" t="n">
        <f aca="false">IF(AND(57&lt;V_Inicio,57&lt;=Fin),1,0)</f>
        <v>0</v>
      </c>
      <c r="BK135" s="19" t="n">
        <f aca="false">IF(AND(58&lt;V_Inicio,58&lt;=Fin),1,0)</f>
        <v>0</v>
      </c>
      <c r="BL135" s="19" t="n">
        <f aca="false">IF(AND(59&lt;V_Inicio,59&lt;=Fin),1,0)</f>
        <v>0</v>
      </c>
      <c r="BM135" s="19" t="n">
        <f aca="false">IF(AND(60&lt;V_Inicio,60&lt;=Fin),1,0)</f>
        <v>0</v>
      </c>
      <c r="BN135" s="19" t="n">
        <f aca="false">IF(AND(61&lt;V_Inicio,61&lt;=Fin),1,0)</f>
        <v>0</v>
      </c>
      <c r="BO135" s="19" t="n">
        <f aca="false">IF(AND(62&lt;V_Inicio,62&lt;=Fin),1,0)</f>
        <v>0</v>
      </c>
      <c r="BP135" s="19" t="n">
        <f aca="false">IF(AND(63&lt;V_Inicio,63&lt;=Fin),1,0)</f>
        <v>0</v>
      </c>
      <c r="BQ135" s="19" t="n">
        <f aca="false">IF(AND(64&lt;V_Inicio,64&lt;=Fin),1,0)</f>
        <v>0</v>
      </c>
      <c r="BR135" s="19" t="n">
        <f aca="false">IF(AND(65&lt;V_Inicio,65&lt;=Fin),1,0)</f>
        <v>0</v>
      </c>
      <c r="BS135" s="19" t="n">
        <f aca="false">IF(AND(66&lt;V_Inicio,66&lt;=Fin),1,0)</f>
        <v>0</v>
      </c>
      <c r="BT135" s="19" t="n">
        <f aca="false">IF(AND(67&lt;V_Inicio,67&lt;=Fin),1,0)</f>
        <v>0</v>
      </c>
      <c r="BU135" s="19" t="n">
        <f aca="false">IF(AND(68&lt;V_Inicio,68&lt;=Fin),1,0)</f>
        <v>0</v>
      </c>
      <c r="BV135" s="19" t="n">
        <f aca="false">IF(AND(69&lt;V_Inicio,69&lt;=Fin),1,0)</f>
        <v>0</v>
      </c>
      <c r="BW135" s="19" t="n">
        <f aca="false">IF(AND(70&lt;V_Inicio,70&lt;=Fin),1,0)</f>
        <v>0</v>
      </c>
      <c r="BX135" s="19" t="n">
        <f aca="false">IF(AND(71&lt;V_Inicio,71&lt;=Fin),1,0)</f>
        <v>0</v>
      </c>
      <c r="BY135" s="19" t="n">
        <f aca="false">IF(AND(72&lt;V_Inicio,72&lt;=Fin),1,0)</f>
        <v>0</v>
      </c>
      <c r="BZ135" s="19" t="n">
        <f aca="false">IF(AND(73&lt;V_Inicio,73&lt;=Fin),1,0)</f>
        <v>0</v>
      </c>
      <c r="CA135" s="19" t="n">
        <f aca="false">IF(AND(74&lt;V_Inicio,74&lt;=Fin),1,0)</f>
        <v>0</v>
      </c>
      <c r="CB135" s="19" t="n">
        <f aca="false">IF(AND(75&lt;V_Inicio,75&lt;=Fin),1,0)</f>
        <v>0</v>
      </c>
      <c r="CC135" s="19" t="n">
        <f aca="false">IF(AND(76&lt;V_Inicio,76&lt;=Fin),1,0)</f>
        <v>0</v>
      </c>
      <c r="CD135" s="19" t="n">
        <f aca="false">IF(AND(77&lt;V_Inicio,77&lt;=Fin),1,0)</f>
        <v>0</v>
      </c>
      <c r="CE135" s="19" t="n">
        <f aca="false">IF(AND(78&lt;V_Inicio,78&lt;=Fin),1,0)</f>
        <v>0</v>
      </c>
      <c r="CF135" s="19" t="n">
        <f aca="false">IF(AND(79&lt;V_Inicio,79&lt;=Fin),1,0)</f>
        <v>0</v>
      </c>
      <c r="CG135" s="19" t="n">
        <f aca="false">IF(AND(80&lt;V_Inicio,80&lt;=Fin),1,0)</f>
        <v>0</v>
      </c>
      <c r="CH135" s="19" t="n">
        <f aca="false">IF(AND(81&lt;V_Inicio,81&lt;=Fin),1,0)</f>
        <v>0</v>
      </c>
      <c r="CI135" s="19" t="n">
        <f aca="false">IF(AND(82&lt;V_Inicio,82&lt;=Fin),1,0)</f>
        <v>0</v>
      </c>
      <c r="CJ135" s="19" t="n">
        <f aca="false">IF(AND(83&lt;V_Inicio,83&lt;=Fin),1,0)</f>
        <v>0</v>
      </c>
      <c r="CK135" s="19" t="n">
        <f aca="false">IF(AND(84&lt;V_Inicio,84&lt;=Fin),1,0)</f>
        <v>0</v>
      </c>
      <c r="CL135" s="19" t="n">
        <f aca="false">IF(AND(85&lt;V_Inicio,85&lt;=Fin),1,0)</f>
        <v>0</v>
      </c>
      <c r="CM135" s="19" t="n">
        <f aca="false">IF(AND(86&lt;V_Inicio,86&lt;=Fin),1,0)</f>
        <v>0</v>
      </c>
      <c r="CN135" s="19" t="n">
        <f aca="false">IF(AND(87&lt;V_Inicio,87&lt;=Fin),1,0)</f>
        <v>0</v>
      </c>
      <c r="CO135" s="19" t="n">
        <f aca="false">IF(AND(88&lt;V_Inicio,88&lt;=Fin),1,0)</f>
        <v>0</v>
      </c>
      <c r="CP135" s="19" t="n">
        <f aca="false">IF(AND(89&lt;V_Inicio,89&lt;=Fin),1,0)</f>
        <v>0</v>
      </c>
      <c r="CQ135" s="19" t="n">
        <f aca="false">IF(AND(90&lt;V_Inicio,90&lt;=Fin),1,0)</f>
        <v>0</v>
      </c>
      <c r="CR135" s="19" t="n">
        <f aca="false">IF(AND(91&lt;V_Inicio,91&lt;=Fin),1,0)</f>
        <v>0</v>
      </c>
      <c r="CS135" s="19" t="n">
        <f aca="false">IF(AND(92&lt;V_Inicio,92&lt;=Fin),1,0)</f>
        <v>0</v>
      </c>
      <c r="CT135" s="19" t="n">
        <f aca="false">IF(AND(93&lt;V_Inicio,93&lt;=Fin),1,0)</f>
        <v>0</v>
      </c>
      <c r="CU135" s="19" t="n">
        <f aca="false">IF(AND(94&lt;V_Inicio,94&lt;=Fin),1,0)</f>
        <v>0</v>
      </c>
      <c r="CV135" s="19" t="n">
        <f aca="false">IF(AND(95&lt;V_Inicio,95&lt;=Fin),1,0)</f>
        <v>0</v>
      </c>
      <c r="CW135" s="19" t="n">
        <f aca="false">IF(AND(96&lt;V_Inicio,96&lt;=Fin),1,0)</f>
        <v>0</v>
      </c>
      <c r="CX135" s="19" t="n">
        <f aca="false">IF(AND(97&lt;V_Inicio,97&lt;=Fin),1,0)</f>
        <v>0</v>
      </c>
      <c r="CY135" s="19" t="n">
        <f aca="false">IF(AND(98&lt;V_Inicio,98&lt;=Fin),1,0)</f>
        <v>0</v>
      </c>
      <c r="CZ135" s="19" t="n">
        <f aca="false">IF(AND(99&lt;V_Inicio,99&lt;=Fin),1,0)</f>
        <v>0</v>
      </c>
      <c r="DA135" s="19" t="n">
        <f aca="false">IF(AND(100&lt;V_Inicio,100&lt;=Fin),1,0)</f>
        <v>0</v>
      </c>
      <c r="DB135" s="19" t="n">
        <f aca="false">IF(AND(101&lt;V_Inicio,101&lt;=Fin),1,0)</f>
        <v>0</v>
      </c>
      <c r="DC135" s="19" t="n">
        <f aca="false">IF(AND(102&lt;V_Inicio,102&lt;=Fin),1,0)</f>
        <v>0</v>
      </c>
      <c r="DD135" s="19" t="n">
        <f aca="false">IF(AND(103&lt;V_Inicio,103&lt;=Fin),1,0)</f>
        <v>0</v>
      </c>
      <c r="DE135" s="19" t="n">
        <f aca="false">IF(AND(104&lt;V_Inicio,104&lt;=Fin),1,0)</f>
        <v>0</v>
      </c>
      <c r="DF135" s="19" t="n">
        <f aca="false">IF(AND(105&lt;V_Inicio,105&lt;=Fin),1,0)</f>
        <v>0</v>
      </c>
      <c r="DG135" s="19" t="n">
        <f aca="false">IF(AND(106&lt;V_Inicio,106&lt;=Fin),1,0)</f>
        <v>0</v>
      </c>
      <c r="DH135" s="19" t="n">
        <f aca="false">IF(AND(107&lt;V_Inicio,107&lt;=Fin),1,0)</f>
        <v>0</v>
      </c>
      <c r="DI135" s="19" t="n">
        <f aca="false">IF(AND(108&lt;V_Inicio,108&lt;=Fin),1,0)</f>
        <v>0</v>
      </c>
      <c r="DJ135" s="19" t="n">
        <f aca="false">IF(AND(109&lt;V_Inicio,109&lt;=Fin),1,0)</f>
        <v>0</v>
      </c>
      <c r="DK135" s="19" t="n">
        <f aca="false">IF(AND(110&lt;V_Inicio,110&lt;=Fin),1,0)</f>
        <v>0</v>
      </c>
      <c r="DL135" s="19" t="n">
        <f aca="false">IF(AND(111&lt;V_Inicio,111&lt;=Fin),1,0)</f>
        <v>0</v>
      </c>
      <c r="DM135" s="19" t="n">
        <f aca="false">IF(AND(112&lt;V_Inicio,112&lt;=Fin),1,0)</f>
        <v>0</v>
      </c>
      <c r="DN135" s="19" t="n">
        <f aca="false">IF(AND(113&lt;V_Inicio,113&lt;=Fin),1,0)</f>
        <v>0</v>
      </c>
      <c r="DO135" s="19" t="n">
        <f aca="false">IF(AND(114&lt;V_Inicio,114&lt;=Fin),1,0)</f>
        <v>0</v>
      </c>
      <c r="DP135" s="19" t="n">
        <f aca="false">IF(AND(115&lt;V_Inicio,115&lt;=Fin),1,0)</f>
        <v>0</v>
      </c>
      <c r="DQ135" s="19" t="n">
        <f aca="false">IF(AND(116&lt;V_Inicio,116&lt;=Fin),1,0)</f>
        <v>0</v>
      </c>
      <c r="DR135" s="19" t="n">
        <f aca="false">IF(AND(117&lt;V_Inicio,117&lt;=Fin),1,0)</f>
        <v>0</v>
      </c>
      <c r="DS135" s="19" t="n">
        <f aca="false">IF(AND(118&lt;V_Inicio,118&lt;=Fin),1,0)</f>
        <v>0</v>
      </c>
      <c r="DT135" s="19" t="n">
        <f aca="false">IF(AND(119&lt;V_Inicio,119&lt;=Fin),1,0)</f>
        <v>0</v>
      </c>
      <c r="DU135" s="19" t="n">
        <f aca="false">IF(AND(120&lt;V_Inicio,120&lt;=Fin),1,0)</f>
        <v>0</v>
      </c>
      <c r="DV135" s="19" t="n">
        <f aca="false">IF(AND(121&lt;V_Inicio,121&lt;=Fin),1,0)</f>
        <v>0</v>
      </c>
      <c r="DW135" s="19" t="n">
        <f aca="false">IF(AND(122&lt;V_Inicio,122&lt;=Fin),1,0)</f>
        <v>0</v>
      </c>
      <c r="DX135" s="19" t="n">
        <f aca="false">IF(AND(123&lt;V_Inicio,123&lt;=Fin),1,0)</f>
        <v>0</v>
      </c>
      <c r="DY135" s="19" t="n">
        <f aca="false">IF(AND(124&lt;V_Inicio,124&lt;=Fin),1,0)</f>
        <v>0</v>
      </c>
      <c r="DZ135" s="19" t="n">
        <f aca="false">IF(AND(125&lt;V_Inicio,125&lt;=Fin),1,0)</f>
        <v>0</v>
      </c>
      <c r="EA135" s="19" t="n">
        <f aca="false">IF(AND(126&lt;V_Inicio,126&lt;=Fin),1,0)</f>
        <v>0</v>
      </c>
      <c r="EB135" s="19" t="n">
        <f aca="false">IF(AND(127&lt;V_Inicio,127&lt;=Fin),1,0)</f>
        <v>0</v>
      </c>
      <c r="EC135" s="19" t="n">
        <f aca="false">IF(AND(128&lt;V_Inicio,128&lt;=Fin),1,0)</f>
        <v>0</v>
      </c>
      <c r="ED135" s="19" t="n">
        <f aca="false">IF(AND(129&lt;V_Inicio,129&lt;=Fin),1,0)</f>
        <v>0</v>
      </c>
      <c r="EE135" s="19" t="n">
        <f aca="false">IF(AND(130&lt;V_Inicio,130&lt;=Fin),1,0)</f>
        <v>0</v>
      </c>
      <c r="EF135" s="19" t="n">
        <f aca="false">IF(AND(131&lt;V_Inicio,131&lt;=Fin),1,0)</f>
        <v>0</v>
      </c>
      <c r="EG135" s="19" t="n">
        <f aca="false">IF(AND(132&lt;V_Inicio,132&lt;=Fin),1,0)</f>
        <v>0</v>
      </c>
      <c r="EH135" s="19" t="n">
        <f aca="false">IF(AND(133&lt;V_Inicio,133&lt;=Fin),1,0)</f>
        <v>0</v>
      </c>
      <c r="EI135" s="19" t="n">
        <f aca="false">IF(AND(134&lt;V_Inicio,134&lt;=Fin),1,0)</f>
        <v>0</v>
      </c>
      <c r="EJ135" s="19" t="n">
        <f aca="false">IF(AND(135&lt;V_Inicio,135&lt;=Fin),1,0)</f>
        <v>0</v>
      </c>
      <c r="EK135" s="19" t="n">
        <f aca="false">IF(AND(136&lt;V_Inicio,136&lt;=Fin),1,0)</f>
        <v>0</v>
      </c>
      <c r="EL135" s="19" t="n">
        <f aca="false">IF(AND(137&lt;V_Inicio,137&lt;=Fin),1,0)</f>
        <v>0</v>
      </c>
      <c r="EM135" s="19" t="n">
        <f aca="false">IF(AND(138&lt;V_Inicio,138&lt;=Fin),1,0)</f>
        <v>0</v>
      </c>
      <c r="EN135" s="19" t="n">
        <f aca="false">IF(AND(139&lt;V_Inicio,139&lt;=Fin),1,0)</f>
        <v>0</v>
      </c>
      <c r="EO135" s="19" t="n">
        <f aca="false">IF(AND(140&lt;V_Inicio,140&lt;=Fin),1,0)</f>
        <v>0</v>
      </c>
      <c r="EP135" s="19" t="n">
        <f aca="false">IF(AND(141&lt;V_Inicio,141&lt;=Fin),1,0)</f>
        <v>0</v>
      </c>
      <c r="EQ135" s="19" t="n">
        <f aca="false">IF(AND(142&lt;V_Inicio,142&lt;=Fin),1,0)</f>
        <v>0</v>
      </c>
      <c r="ER135" s="19" t="n">
        <f aca="false">IF(AND(143&lt;V_Inicio,143&lt;=Fin),1,0)</f>
        <v>0</v>
      </c>
      <c r="ES135" s="19" t="n">
        <f aca="false">IF(AND(144&lt;V_Inicio,144&lt;=Fin),1,0)</f>
        <v>0</v>
      </c>
    </row>
    <row r="136" customFormat="false" ht="15" hidden="false" customHeight="false" outlineLevel="0" collapsed="false">
      <c r="A136" s="2" t="s">
        <v>616</v>
      </c>
      <c r="B136" s="6" t="s">
        <v>427</v>
      </c>
      <c r="C136" s="6" t="s">
        <v>420</v>
      </c>
      <c r="F136" s="19" t="n">
        <f aca="false">MAX(1,F$133)</f>
        <v>1</v>
      </c>
      <c r="G136" s="19" t="n">
        <f aca="false">MAX(1,G$133)</f>
        <v>1</v>
      </c>
      <c r="H136" s="19" t="n">
        <f aca="false">MAX(1,H$133)</f>
        <v>1</v>
      </c>
      <c r="I136" s="19" t="n">
        <f aca="false">MAX(1,I$133)</f>
        <v>1</v>
      </c>
      <c r="J136" s="19" t="n">
        <f aca="false">MAX(1,J$133)</f>
        <v>1</v>
      </c>
      <c r="K136" s="19" t="n">
        <f aca="false">MAX(1,K$133)</f>
        <v>1</v>
      </c>
      <c r="L136" s="19" t="n">
        <f aca="false">MAX(1,L$133)</f>
        <v>1</v>
      </c>
      <c r="M136" s="19" t="n">
        <f aca="false">MAX(1,M$133)</f>
        <v>1</v>
      </c>
      <c r="N136" s="19" t="n">
        <f aca="false">MAX(1,N$133)</f>
        <v>1</v>
      </c>
      <c r="O136" s="19" t="n">
        <f aca="false">MAX(1,O$133)</f>
        <v>1</v>
      </c>
      <c r="P136" s="19" t="n">
        <f aca="false">MAX(1,P$133)</f>
        <v>1</v>
      </c>
      <c r="Q136" s="19" t="n">
        <f aca="false">MAX(1,Q$133)</f>
        <v>1</v>
      </c>
      <c r="R136" s="19" t="n">
        <f aca="false">MAX(1,R$133)</f>
        <v>2</v>
      </c>
      <c r="S136" s="19" t="n">
        <f aca="false">MAX(1,S$133)</f>
        <v>2</v>
      </c>
      <c r="T136" s="19" t="n">
        <f aca="false">MAX(1,T$133)</f>
        <v>2</v>
      </c>
      <c r="U136" s="19" t="n">
        <f aca="false">MAX(1,U$133)</f>
        <v>2</v>
      </c>
      <c r="V136" s="19" t="n">
        <f aca="false">MAX(1,V$133)</f>
        <v>2</v>
      </c>
      <c r="W136" s="19" t="n">
        <f aca="false">MAX(1,W$133)</f>
        <v>2</v>
      </c>
      <c r="X136" s="19" t="n">
        <f aca="false">MAX(1,X$133)</f>
        <v>2</v>
      </c>
      <c r="Y136" s="19" t="n">
        <f aca="false">MAX(1,Y$133)</f>
        <v>2</v>
      </c>
      <c r="Z136" s="19" t="n">
        <f aca="false">MAX(1,Z$133)</f>
        <v>2</v>
      </c>
      <c r="AA136" s="19" t="n">
        <f aca="false">MAX(1,AA$133)</f>
        <v>2</v>
      </c>
      <c r="AB136" s="19" t="n">
        <f aca="false">MAX(1,AB$133)</f>
        <v>2</v>
      </c>
      <c r="AC136" s="19" t="n">
        <f aca="false">MAX(1,AC$133)</f>
        <v>2</v>
      </c>
      <c r="AD136" s="19" t="n">
        <f aca="false">MAX(1,AD$133)</f>
        <v>3</v>
      </c>
      <c r="AE136" s="19" t="n">
        <f aca="false">MAX(1,AE$133)</f>
        <v>3</v>
      </c>
      <c r="AF136" s="19" t="n">
        <f aca="false">MAX(1,AF$133)</f>
        <v>3</v>
      </c>
      <c r="AG136" s="19" t="n">
        <f aca="false">MAX(1,AG$133)</f>
        <v>3</v>
      </c>
      <c r="AH136" s="19" t="n">
        <f aca="false">MAX(1,AH$133)</f>
        <v>3</v>
      </c>
      <c r="AI136" s="19" t="n">
        <f aca="false">MAX(1,AI$133)</f>
        <v>3</v>
      </c>
      <c r="AJ136" s="19" t="n">
        <f aca="false">MAX(1,AJ$133)</f>
        <v>3</v>
      </c>
      <c r="AK136" s="19" t="n">
        <f aca="false">MAX(1,AK$133)</f>
        <v>3</v>
      </c>
      <c r="AL136" s="19" t="n">
        <f aca="false">MAX(1,AL$133)</f>
        <v>3</v>
      </c>
      <c r="AM136" s="19" t="n">
        <f aca="false">MAX(1,AM$133)</f>
        <v>3</v>
      </c>
      <c r="AN136" s="19" t="n">
        <f aca="false">MAX(1,AN$133)</f>
        <v>3</v>
      </c>
      <c r="AO136" s="19" t="n">
        <f aca="false">MAX(1,AO$133)</f>
        <v>3</v>
      </c>
      <c r="AP136" s="19" t="n">
        <f aca="false">MAX(1,AP$133)</f>
        <v>4</v>
      </c>
      <c r="AQ136" s="19" t="n">
        <f aca="false">MAX(1,AQ$133)</f>
        <v>4</v>
      </c>
      <c r="AR136" s="19" t="n">
        <f aca="false">MAX(1,AR$133)</f>
        <v>4</v>
      </c>
      <c r="AS136" s="19" t="n">
        <f aca="false">MAX(1,AS$133)</f>
        <v>4</v>
      </c>
      <c r="AT136" s="19" t="n">
        <f aca="false">MAX(1,AT$133)</f>
        <v>4</v>
      </c>
      <c r="AU136" s="19" t="n">
        <f aca="false">MAX(1,AU$133)</f>
        <v>4</v>
      </c>
      <c r="AV136" s="19" t="n">
        <f aca="false">MAX(1,AV$133)</f>
        <v>4</v>
      </c>
      <c r="AW136" s="19" t="n">
        <f aca="false">MAX(1,AW$133)</f>
        <v>4</v>
      </c>
      <c r="AX136" s="19" t="n">
        <f aca="false">MAX(1,AX$133)</f>
        <v>4</v>
      </c>
      <c r="AY136" s="19" t="n">
        <f aca="false">MAX(1,AY$133)</f>
        <v>4</v>
      </c>
      <c r="AZ136" s="19" t="n">
        <f aca="false">MAX(1,AZ$133)</f>
        <v>4</v>
      </c>
      <c r="BA136" s="19" t="n">
        <f aca="false">MAX(1,BA$133)</f>
        <v>4</v>
      </c>
      <c r="BB136" s="19" t="n">
        <f aca="false">MAX(1,BB$133)</f>
        <v>5</v>
      </c>
      <c r="BC136" s="19" t="n">
        <f aca="false">MAX(1,BC$133)</f>
        <v>5</v>
      </c>
      <c r="BD136" s="19" t="n">
        <f aca="false">MAX(1,BD$133)</f>
        <v>5</v>
      </c>
      <c r="BE136" s="19" t="n">
        <f aca="false">MAX(1,BE$133)</f>
        <v>5</v>
      </c>
      <c r="BF136" s="19" t="n">
        <f aca="false">MAX(1,BF$133)</f>
        <v>5</v>
      </c>
      <c r="BG136" s="19" t="n">
        <f aca="false">MAX(1,BG$133)</f>
        <v>5</v>
      </c>
      <c r="BH136" s="19" t="n">
        <f aca="false">MAX(1,BH$133)</f>
        <v>5</v>
      </c>
      <c r="BI136" s="19" t="n">
        <f aca="false">MAX(1,BI$133)</f>
        <v>5</v>
      </c>
      <c r="BJ136" s="19" t="n">
        <f aca="false">MAX(1,BJ$133)</f>
        <v>5</v>
      </c>
      <c r="BK136" s="19" t="n">
        <f aca="false">MAX(1,BK$133)</f>
        <v>5</v>
      </c>
      <c r="BL136" s="19" t="n">
        <f aca="false">MAX(1,BL$133)</f>
        <v>5</v>
      </c>
      <c r="BM136" s="19" t="n">
        <f aca="false">MAX(1,BM$133)</f>
        <v>5</v>
      </c>
      <c r="BN136" s="19" t="n">
        <f aca="false">MAX(1,BN$133)</f>
        <v>6</v>
      </c>
      <c r="BO136" s="19" t="n">
        <f aca="false">MAX(1,BO$133)</f>
        <v>6</v>
      </c>
      <c r="BP136" s="19" t="n">
        <f aca="false">MAX(1,BP$133)</f>
        <v>6</v>
      </c>
      <c r="BQ136" s="19" t="n">
        <f aca="false">MAX(1,BQ$133)</f>
        <v>6</v>
      </c>
      <c r="BR136" s="19" t="n">
        <f aca="false">MAX(1,BR$133)</f>
        <v>6</v>
      </c>
      <c r="BS136" s="19" t="n">
        <f aca="false">MAX(1,BS$133)</f>
        <v>6</v>
      </c>
      <c r="BT136" s="19" t="n">
        <f aca="false">MAX(1,BT$133)</f>
        <v>6</v>
      </c>
      <c r="BU136" s="19" t="n">
        <f aca="false">MAX(1,BU$133)</f>
        <v>6</v>
      </c>
      <c r="BV136" s="19" t="n">
        <f aca="false">MAX(1,BV$133)</f>
        <v>6</v>
      </c>
      <c r="BW136" s="19" t="n">
        <f aca="false">MAX(1,BW$133)</f>
        <v>6</v>
      </c>
      <c r="BX136" s="19" t="n">
        <f aca="false">MAX(1,BX$133)</f>
        <v>6</v>
      </c>
      <c r="BY136" s="19" t="n">
        <f aca="false">MAX(1,BY$133)</f>
        <v>6</v>
      </c>
      <c r="BZ136" s="19" t="n">
        <f aca="false">MAX(1,BZ$133)</f>
        <v>7</v>
      </c>
      <c r="CA136" s="19" t="n">
        <f aca="false">MAX(1,CA$133)</f>
        <v>7</v>
      </c>
      <c r="CB136" s="19" t="n">
        <f aca="false">MAX(1,CB$133)</f>
        <v>7</v>
      </c>
      <c r="CC136" s="19" t="n">
        <f aca="false">MAX(1,CC$133)</f>
        <v>7</v>
      </c>
      <c r="CD136" s="19" t="n">
        <f aca="false">MAX(1,CD$133)</f>
        <v>7</v>
      </c>
      <c r="CE136" s="19" t="n">
        <f aca="false">MAX(1,CE$133)</f>
        <v>7</v>
      </c>
      <c r="CF136" s="19" t="n">
        <f aca="false">MAX(1,CF$133)</f>
        <v>7</v>
      </c>
      <c r="CG136" s="19" t="n">
        <f aca="false">MAX(1,CG$133)</f>
        <v>7</v>
      </c>
      <c r="CH136" s="19" t="n">
        <f aca="false">MAX(1,CH$133)</f>
        <v>7</v>
      </c>
      <c r="CI136" s="19" t="n">
        <f aca="false">MAX(1,CI$133)</f>
        <v>7</v>
      </c>
      <c r="CJ136" s="19" t="n">
        <f aca="false">MAX(1,CJ$133)</f>
        <v>7</v>
      </c>
      <c r="CK136" s="19" t="n">
        <f aca="false">MAX(1,CK$133)</f>
        <v>7</v>
      </c>
      <c r="CL136" s="19" t="n">
        <f aca="false">MAX(1,CL$133)</f>
        <v>8</v>
      </c>
      <c r="CM136" s="19" t="n">
        <f aca="false">MAX(1,CM$133)</f>
        <v>8</v>
      </c>
      <c r="CN136" s="19" t="n">
        <f aca="false">MAX(1,CN$133)</f>
        <v>8</v>
      </c>
      <c r="CO136" s="19" t="n">
        <f aca="false">MAX(1,CO$133)</f>
        <v>8</v>
      </c>
      <c r="CP136" s="19" t="n">
        <f aca="false">MAX(1,CP$133)</f>
        <v>8</v>
      </c>
      <c r="CQ136" s="19" t="n">
        <f aca="false">MAX(1,CQ$133)</f>
        <v>8</v>
      </c>
      <c r="CR136" s="19" t="n">
        <f aca="false">MAX(1,CR$133)</f>
        <v>8</v>
      </c>
      <c r="CS136" s="19" t="n">
        <f aca="false">MAX(1,CS$133)</f>
        <v>8</v>
      </c>
      <c r="CT136" s="19" t="n">
        <f aca="false">MAX(1,CT$133)</f>
        <v>8</v>
      </c>
      <c r="CU136" s="19" t="n">
        <f aca="false">MAX(1,CU$133)</f>
        <v>8</v>
      </c>
      <c r="CV136" s="19" t="n">
        <f aca="false">MAX(1,CV$133)</f>
        <v>8</v>
      </c>
      <c r="CW136" s="19" t="n">
        <f aca="false">MAX(1,CW$133)</f>
        <v>8</v>
      </c>
      <c r="CX136" s="19" t="n">
        <f aca="false">MAX(1,CX$133)</f>
        <v>9</v>
      </c>
      <c r="CY136" s="19" t="n">
        <f aca="false">MAX(1,CY$133)</f>
        <v>9</v>
      </c>
      <c r="CZ136" s="19" t="n">
        <f aca="false">MAX(1,CZ$133)</f>
        <v>9</v>
      </c>
      <c r="DA136" s="19" t="n">
        <f aca="false">MAX(1,DA$133)</f>
        <v>9</v>
      </c>
      <c r="DB136" s="19" t="n">
        <f aca="false">MAX(1,DB$133)</f>
        <v>9</v>
      </c>
      <c r="DC136" s="19" t="n">
        <f aca="false">MAX(1,DC$133)</f>
        <v>9</v>
      </c>
      <c r="DD136" s="19" t="n">
        <f aca="false">MAX(1,DD$133)</f>
        <v>9</v>
      </c>
      <c r="DE136" s="19" t="n">
        <f aca="false">MAX(1,DE$133)</f>
        <v>9</v>
      </c>
      <c r="DF136" s="19" t="n">
        <f aca="false">MAX(1,DF$133)</f>
        <v>9</v>
      </c>
      <c r="DG136" s="19" t="n">
        <f aca="false">MAX(1,DG$133)</f>
        <v>9</v>
      </c>
      <c r="DH136" s="19" t="n">
        <f aca="false">MAX(1,DH$133)</f>
        <v>9</v>
      </c>
      <c r="DI136" s="19" t="n">
        <f aca="false">MAX(1,DI$133)</f>
        <v>9</v>
      </c>
      <c r="DJ136" s="19" t="n">
        <f aca="false">MAX(1,DJ$133)</f>
        <v>10</v>
      </c>
      <c r="DK136" s="19" t="n">
        <f aca="false">MAX(1,DK$133)</f>
        <v>10</v>
      </c>
      <c r="DL136" s="19" t="n">
        <f aca="false">MAX(1,DL$133)</f>
        <v>10</v>
      </c>
      <c r="DM136" s="19" t="n">
        <f aca="false">MAX(1,DM$133)</f>
        <v>10</v>
      </c>
      <c r="DN136" s="19" t="n">
        <f aca="false">MAX(1,DN$133)</f>
        <v>10</v>
      </c>
      <c r="DO136" s="19" t="n">
        <f aca="false">MAX(1,DO$133)</f>
        <v>10</v>
      </c>
      <c r="DP136" s="19" t="n">
        <f aca="false">MAX(1,DP$133)</f>
        <v>10</v>
      </c>
      <c r="DQ136" s="19" t="n">
        <f aca="false">MAX(1,DQ$133)</f>
        <v>10</v>
      </c>
      <c r="DR136" s="19" t="n">
        <f aca="false">MAX(1,DR$133)</f>
        <v>10</v>
      </c>
      <c r="DS136" s="19" t="n">
        <f aca="false">MAX(1,DS$133)</f>
        <v>10</v>
      </c>
      <c r="DT136" s="19" t="n">
        <f aca="false">MAX(1,DT$133)</f>
        <v>10</v>
      </c>
      <c r="DU136" s="19" t="n">
        <f aca="false">MAX(1,DU$133)</f>
        <v>10</v>
      </c>
      <c r="DV136" s="19" t="n">
        <f aca="false">MAX(1,DV$133)</f>
        <v>1</v>
      </c>
      <c r="DW136" s="19" t="n">
        <f aca="false">MAX(1,DW$133)</f>
        <v>1</v>
      </c>
      <c r="DX136" s="19" t="n">
        <f aca="false">MAX(1,DX$133)</f>
        <v>1</v>
      </c>
      <c r="DY136" s="19" t="n">
        <f aca="false">MAX(1,DY$133)</f>
        <v>1</v>
      </c>
      <c r="DZ136" s="19" t="n">
        <f aca="false">MAX(1,DZ$133)</f>
        <v>1</v>
      </c>
      <c r="EA136" s="19" t="n">
        <f aca="false">MAX(1,EA$133)</f>
        <v>1</v>
      </c>
      <c r="EB136" s="19" t="n">
        <f aca="false">MAX(1,EB$133)</f>
        <v>1</v>
      </c>
      <c r="EC136" s="19" t="n">
        <f aca="false">MAX(1,EC$133)</f>
        <v>1</v>
      </c>
      <c r="ED136" s="19" t="n">
        <f aca="false">MAX(1,ED$133)</f>
        <v>1</v>
      </c>
      <c r="EE136" s="19" t="n">
        <f aca="false">MAX(1,EE$133)</f>
        <v>1</v>
      </c>
      <c r="EF136" s="19" t="n">
        <f aca="false">MAX(1,EF$133)</f>
        <v>1</v>
      </c>
      <c r="EG136" s="19" t="n">
        <f aca="false">MAX(1,EG$133)</f>
        <v>1</v>
      </c>
      <c r="EH136" s="19" t="n">
        <f aca="false">MAX(1,EH$133)</f>
        <v>1</v>
      </c>
      <c r="EI136" s="19" t="n">
        <f aca="false">MAX(1,EI$133)</f>
        <v>1</v>
      </c>
      <c r="EJ136" s="19" t="n">
        <f aca="false">MAX(1,EJ$133)</f>
        <v>1</v>
      </c>
      <c r="EK136" s="19" t="n">
        <f aca="false">MAX(1,EK$133)</f>
        <v>1</v>
      </c>
      <c r="EL136" s="19" t="n">
        <f aca="false">MAX(1,EL$133)</f>
        <v>1</v>
      </c>
      <c r="EM136" s="19" t="n">
        <f aca="false">MAX(1,EM$133)</f>
        <v>1</v>
      </c>
      <c r="EN136" s="19" t="n">
        <f aca="false">MAX(1,EN$133)</f>
        <v>1</v>
      </c>
      <c r="EO136" s="19" t="n">
        <f aca="false">MAX(1,EO$133)</f>
        <v>1</v>
      </c>
      <c r="EP136" s="19" t="n">
        <f aca="false">MAX(1,EP$133)</f>
        <v>1</v>
      </c>
      <c r="EQ136" s="19" t="n">
        <f aca="false">MAX(1,EQ$133)</f>
        <v>1</v>
      </c>
      <c r="ER136" s="19" t="n">
        <f aca="false">MAX(1,ER$133)</f>
        <v>1</v>
      </c>
      <c r="ES136" s="19" t="n">
        <f aca="false">MAX(1,ES$133)</f>
        <v>1</v>
      </c>
    </row>
    <row r="137" customFormat="false" ht="15" hidden="false" customHeight="false" outlineLevel="0" collapsed="false">
      <c r="A137" s="2" t="s">
        <v>617</v>
      </c>
      <c r="B137" s="6" t="s">
        <v>429</v>
      </c>
      <c r="C137" s="6" t="s">
        <v>170</v>
      </c>
      <c r="F137" s="34" t="n">
        <f aca="false">INDEX(TC_V,1,MIN(10,F$6))*(1+V_dTC)</f>
        <v>0</v>
      </c>
      <c r="G137" s="34" t="n">
        <f aca="false">INDEX(TC_V,1,MIN(10,G$6))*(1+V_dTC)</f>
        <v>0</v>
      </c>
      <c r="H137" s="34" t="n">
        <f aca="false">INDEX(TC_V,1,MIN(10,H$6))*(1+V_dTC)</f>
        <v>0</v>
      </c>
      <c r="I137" s="34" t="n">
        <f aca="false">INDEX(TC_V,1,MIN(10,I$6))*(1+V_dTC)</f>
        <v>0</v>
      </c>
      <c r="J137" s="34" t="n">
        <f aca="false">INDEX(TC_V,1,MIN(10,J$6))*(1+V_dTC)</f>
        <v>0</v>
      </c>
      <c r="K137" s="34" t="n">
        <f aca="false">INDEX(TC_V,1,MIN(10,K$6))*(1+V_dTC)</f>
        <v>0</v>
      </c>
      <c r="L137" s="34" t="n">
        <f aca="false">INDEX(TC_V,1,MIN(10,L$6))*(1+V_dTC)</f>
        <v>0</v>
      </c>
      <c r="M137" s="34" t="n">
        <f aca="false">INDEX(TC_V,1,MIN(10,M$6))*(1+V_dTC)</f>
        <v>0</v>
      </c>
      <c r="N137" s="34" t="n">
        <f aca="false">INDEX(TC_V,1,MIN(10,N$6))*(1+V_dTC)</f>
        <v>0</v>
      </c>
      <c r="O137" s="34" t="n">
        <f aca="false">INDEX(TC_V,1,MIN(10,O$6))*(1+V_dTC)</f>
        <v>0</v>
      </c>
      <c r="P137" s="34" t="n">
        <f aca="false">INDEX(TC_V,1,MIN(10,P$6))*(1+V_dTC)</f>
        <v>0</v>
      </c>
      <c r="Q137" s="34" t="n">
        <f aca="false">INDEX(TC_V,1,MIN(10,Q$6))*(1+V_dTC)</f>
        <v>0</v>
      </c>
      <c r="R137" s="34" t="n">
        <f aca="false">INDEX(TC_V,1,MIN(10,R$6))*(1+V_dTC)</f>
        <v>0</v>
      </c>
      <c r="S137" s="34" t="n">
        <f aca="false">INDEX(TC_V,1,MIN(10,S$6))*(1+V_dTC)</f>
        <v>0</v>
      </c>
      <c r="T137" s="34" t="n">
        <f aca="false">INDEX(TC_V,1,MIN(10,T$6))*(1+V_dTC)</f>
        <v>0</v>
      </c>
      <c r="U137" s="34" t="n">
        <f aca="false">INDEX(TC_V,1,MIN(10,U$6))*(1+V_dTC)</f>
        <v>0</v>
      </c>
      <c r="V137" s="34" t="n">
        <f aca="false">INDEX(TC_V,1,MIN(10,V$6))*(1+V_dTC)</f>
        <v>0</v>
      </c>
      <c r="W137" s="34" t="n">
        <f aca="false">INDEX(TC_V,1,MIN(10,W$6))*(1+V_dTC)</f>
        <v>0</v>
      </c>
      <c r="X137" s="34" t="n">
        <f aca="false">INDEX(TC_V,1,MIN(10,X$6))*(1+V_dTC)</f>
        <v>0</v>
      </c>
      <c r="Y137" s="34" t="n">
        <f aca="false">INDEX(TC_V,1,MIN(10,Y$6))*(1+V_dTC)</f>
        <v>0</v>
      </c>
      <c r="Z137" s="34" t="n">
        <f aca="false">INDEX(TC_V,1,MIN(10,Z$6))*(1+V_dTC)</f>
        <v>0</v>
      </c>
      <c r="AA137" s="34" t="n">
        <f aca="false">INDEX(TC_V,1,MIN(10,AA$6))*(1+V_dTC)</f>
        <v>0</v>
      </c>
      <c r="AB137" s="34" t="n">
        <f aca="false">INDEX(TC_V,1,MIN(10,AB$6))*(1+V_dTC)</f>
        <v>0</v>
      </c>
      <c r="AC137" s="34" t="n">
        <f aca="false">INDEX(TC_V,1,MIN(10,AC$6))*(1+V_dTC)</f>
        <v>0</v>
      </c>
      <c r="AD137" s="34" t="n">
        <f aca="false">INDEX(TC_V,1,MIN(10,AD$6))*(1+V_dTC)</f>
        <v>0</v>
      </c>
      <c r="AE137" s="34" t="n">
        <f aca="false">INDEX(TC_V,1,MIN(10,AE$6))*(1+V_dTC)</f>
        <v>0</v>
      </c>
      <c r="AF137" s="34" t="n">
        <f aca="false">INDEX(TC_V,1,MIN(10,AF$6))*(1+V_dTC)</f>
        <v>0</v>
      </c>
      <c r="AG137" s="34" t="n">
        <f aca="false">INDEX(TC_V,1,MIN(10,AG$6))*(1+V_dTC)</f>
        <v>0</v>
      </c>
      <c r="AH137" s="34" t="n">
        <f aca="false">INDEX(TC_V,1,MIN(10,AH$6))*(1+V_dTC)</f>
        <v>0</v>
      </c>
      <c r="AI137" s="34" t="n">
        <f aca="false">INDEX(TC_V,1,MIN(10,AI$6))*(1+V_dTC)</f>
        <v>0</v>
      </c>
      <c r="AJ137" s="34" t="n">
        <f aca="false">INDEX(TC_V,1,MIN(10,AJ$6))*(1+V_dTC)</f>
        <v>0</v>
      </c>
      <c r="AK137" s="34" t="n">
        <f aca="false">INDEX(TC_V,1,MIN(10,AK$6))*(1+V_dTC)</f>
        <v>0</v>
      </c>
      <c r="AL137" s="34" t="n">
        <f aca="false">INDEX(TC_V,1,MIN(10,AL$6))*(1+V_dTC)</f>
        <v>0</v>
      </c>
      <c r="AM137" s="34" t="n">
        <f aca="false">INDEX(TC_V,1,MIN(10,AM$6))*(1+V_dTC)</f>
        <v>0</v>
      </c>
      <c r="AN137" s="34" t="n">
        <f aca="false">INDEX(TC_V,1,MIN(10,AN$6))*(1+V_dTC)</f>
        <v>0</v>
      </c>
      <c r="AO137" s="34" t="n">
        <f aca="false">INDEX(TC_V,1,MIN(10,AO$6))*(1+V_dTC)</f>
        <v>0</v>
      </c>
      <c r="AP137" s="34" t="n">
        <f aca="false">INDEX(TC_V,1,MIN(10,AP$6))*(1+V_dTC)</f>
        <v>0</v>
      </c>
      <c r="AQ137" s="34" t="n">
        <f aca="false">INDEX(TC_V,1,MIN(10,AQ$6))*(1+V_dTC)</f>
        <v>0</v>
      </c>
      <c r="AR137" s="34" t="n">
        <f aca="false">INDEX(TC_V,1,MIN(10,AR$6))*(1+V_dTC)</f>
        <v>0</v>
      </c>
      <c r="AS137" s="34" t="n">
        <f aca="false">INDEX(TC_V,1,MIN(10,AS$6))*(1+V_dTC)</f>
        <v>0</v>
      </c>
      <c r="AT137" s="34" t="n">
        <f aca="false">INDEX(TC_V,1,MIN(10,AT$6))*(1+V_dTC)</f>
        <v>0</v>
      </c>
      <c r="AU137" s="34" t="n">
        <f aca="false">INDEX(TC_V,1,MIN(10,AU$6))*(1+V_dTC)</f>
        <v>0</v>
      </c>
      <c r="AV137" s="34" t="n">
        <f aca="false">INDEX(TC_V,1,MIN(10,AV$6))*(1+V_dTC)</f>
        <v>0</v>
      </c>
      <c r="AW137" s="34" t="n">
        <f aca="false">INDEX(TC_V,1,MIN(10,AW$6))*(1+V_dTC)</f>
        <v>0</v>
      </c>
      <c r="AX137" s="34" t="n">
        <f aca="false">INDEX(TC_V,1,MIN(10,AX$6))*(1+V_dTC)</f>
        <v>0</v>
      </c>
      <c r="AY137" s="34" t="n">
        <f aca="false">INDEX(TC_V,1,MIN(10,AY$6))*(1+V_dTC)</f>
        <v>0</v>
      </c>
      <c r="AZ137" s="34" t="n">
        <f aca="false">INDEX(TC_V,1,MIN(10,AZ$6))*(1+V_dTC)</f>
        <v>0</v>
      </c>
      <c r="BA137" s="34" t="n">
        <f aca="false">INDEX(TC_V,1,MIN(10,BA$6))*(1+V_dTC)</f>
        <v>0</v>
      </c>
      <c r="BB137" s="34" t="n">
        <f aca="false">INDEX(TC_V,1,MIN(10,BB$6))*(1+V_dTC)</f>
        <v>0</v>
      </c>
      <c r="BC137" s="34" t="n">
        <f aca="false">INDEX(TC_V,1,MIN(10,BC$6))*(1+V_dTC)</f>
        <v>0</v>
      </c>
      <c r="BD137" s="34" t="n">
        <f aca="false">INDEX(TC_V,1,MIN(10,BD$6))*(1+V_dTC)</f>
        <v>0</v>
      </c>
      <c r="BE137" s="34" t="n">
        <f aca="false">INDEX(TC_V,1,MIN(10,BE$6))*(1+V_dTC)</f>
        <v>0</v>
      </c>
      <c r="BF137" s="34" t="n">
        <f aca="false">INDEX(TC_V,1,MIN(10,BF$6))*(1+V_dTC)</f>
        <v>0</v>
      </c>
      <c r="BG137" s="34" t="n">
        <f aca="false">INDEX(TC_V,1,MIN(10,BG$6))*(1+V_dTC)</f>
        <v>0</v>
      </c>
      <c r="BH137" s="34" t="n">
        <f aca="false">INDEX(TC_V,1,MIN(10,BH$6))*(1+V_dTC)</f>
        <v>0</v>
      </c>
      <c r="BI137" s="34" t="n">
        <f aca="false">INDEX(TC_V,1,MIN(10,BI$6))*(1+V_dTC)</f>
        <v>0</v>
      </c>
      <c r="BJ137" s="34" t="n">
        <f aca="false">INDEX(TC_V,1,MIN(10,BJ$6))*(1+V_dTC)</f>
        <v>0</v>
      </c>
      <c r="BK137" s="34" t="n">
        <f aca="false">INDEX(TC_V,1,MIN(10,BK$6))*(1+V_dTC)</f>
        <v>0</v>
      </c>
      <c r="BL137" s="34" t="n">
        <f aca="false">INDEX(TC_V,1,MIN(10,BL$6))*(1+V_dTC)</f>
        <v>0</v>
      </c>
      <c r="BM137" s="34" t="n">
        <f aca="false">INDEX(TC_V,1,MIN(10,BM$6))*(1+V_dTC)</f>
        <v>0</v>
      </c>
      <c r="BN137" s="34" t="n">
        <f aca="false">INDEX(TC_V,1,MIN(10,BN$6))*(1+V_dTC)</f>
        <v>0</v>
      </c>
      <c r="BO137" s="34" t="n">
        <f aca="false">INDEX(TC_V,1,MIN(10,BO$6))*(1+V_dTC)</f>
        <v>0</v>
      </c>
      <c r="BP137" s="34" t="n">
        <f aca="false">INDEX(TC_V,1,MIN(10,BP$6))*(1+V_dTC)</f>
        <v>0</v>
      </c>
      <c r="BQ137" s="34" t="n">
        <f aca="false">INDEX(TC_V,1,MIN(10,BQ$6))*(1+V_dTC)</f>
        <v>0</v>
      </c>
      <c r="BR137" s="34" t="n">
        <f aca="false">INDEX(TC_V,1,MIN(10,BR$6))*(1+V_dTC)</f>
        <v>0</v>
      </c>
      <c r="BS137" s="34" t="n">
        <f aca="false">INDEX(TC_V,1,MIN(10,BS$6))*(1+V_dTC)</f>
        <v>0</v>
      </c>
      <c r="BT137" s="34" t="n">
        <f aca="false">INDEX(TC_V,1,MIN(10,BT$6))*(1+V_dTC)</f>
        <v>0</v>
      </c>
      <c r="BU137" s="34" t="n">
        <f aca="false">INDEX(TC_V,1,MIN(10,BU$6))*(1+V_dTC)</f>
        <v>0</v>
      </c>
      <c r="BV137" s="34" t="n">
        <f aca="false">INDEX(TC_V,1,MIN(10,BV$6))*(1+V_dTC)</f>
        <v>0</v>
      </c>
      <c r="BW137" s="34" t="n">
        <f aca="false">INDEX(TC_V,1,MIN(10,BW$6))*(1+V_dTC)</f>
        <v>0</v>
      </c>
      <c r="BX137" s="34" t="n">
        <f aca="false">INDEX(TC_V,1,MIN(10,BX$6))*(1+V_dTC)</f>
        <v>0</v>
      </c>
      <c r="BY137" s="34" t="n">
        <f aca="false">INDEX(TC_V,1,MIN(10,BY$6))*(1+V_dTC)</f>
        <v>0</v>
      </c>
      <c r="BZ137" s="34" t="n">
        <f aca="false">INDEX(TC_V,1,MIN(10,BZ$6))*(1+V_dTC)</f>
        <v>0</v>
      </c>
      <c r="CA137" s="34" t="n">
        <f aca="false">INDEX(TC_V,1,MIN(10,CA$6))*(1+V_dTC)</f>
        <v>0</v>
      </c>
      <c r="CB137" s="34" t="n">
        <f aca="false">INDEX(TC_V,1,MIN(10,CB$6))*(1+V_dTC)</f>
        <v>0</v>
      </c>
      <c r="CC137" s="34" t="n">
        <f aca="false">INDEX(TC_V,1,MIN(10,CC$6))*(1+V_dTC)</f>
        <v>0</v>
      </c>
      <c r="CD137" s="34" t="n">
        <f aca="false">INDEX(TC_V,1,MIN(10,CD$6))*(1+V_dTC)</f>
        <v>0</v>
      </c>
      <c r="CE137" s="34" t="n">
        <f aca="false">INDEX(TC_V,1,MIN(10,CE$6))*(1+V_dTC)</f>
        <v>0</v>
      </c>
      <c r="CF137" s="34" t="n">
        <f aca="false">INDEX(TC_V,1,MIN(10,CF$6))*(1+V_dTC)</f>
        <v>0</v>
      </c>
      <c r="CG137" s="34" t="n">
        <f aca="false">INDEX(TC_V,1,MIN(10,CG$6))*(1+V_dTC)</f>
        <v>0</v>
      </c>
      <c r="CH137" s="34" t="n">
        <f aca="false">INDEX(TC_V,1,MIN(10,CH$6))*(1+V_dTC)</f>
        <v>0</v>
      </c>
      <c r="CI137" s="34" t="n">
        <f aca="false">INDEX(TC_V,1,MIN(10,CI$6))*(1+V_dTC)</f>
        <v>0</v>
      </c>
      <c r="CJ137" s="34" t="n">
        <f aca="false">INDEX(TC_V,1,MIN(10,CJ$6))*(1+V_dTC)</f>
        <v>0</v>
      </c>
      <c r="CK137" s="34" t="n">
        <f aca="false">INDEX(TC_V,1,MIN(10,CK$6))*(1+V_dTC)</f>
        <v>0</v>
      </c>
      <c r="CL137" s="34" t="n">
        <f aca="false">INDEX(TC_V,1,MIN(10,CL$6))*(1+V_dTC)</f>
        <v>0</v>
      </c>
      <c r="CM137" s="34" t="n">
        <f aca="false">INDEX(TC_V,1,MIN(10,CM$6))*(1+V_dTC)</f>
        <v>0</v>
      </c>
      <c r="CN137" s="34" t="n">
        <f aca="false">INDEX(TC_V,1,MIN(10,CN$6))*(1+V_dTC)</f>
        <v>0</v>
      </c>
      <c r="CO137" s="34" t="n">
        <f aca="false">INDEX(TC_V,1,MIN(10,CO$6))*(1+V_dTC)</f>
        <v>0</v>
      </c>
      <c r="CP137" s="34" t="n">
        <f aca="false">INDEX(TC_V,1,MIN(10,CP$6))*(1+V_dTC)</f>
        <v>0</v>
      </c>
      <c r="CQ137" s="34" t="n">
        <f aca="false">INDEX(TC_V,1,MIN(10,CQ$6))*(1+V_dTC)</f>
        <v>0</v>
      </c>
      <c r="CR137" s="34" t="n">
        <f aca="false">INDEX(TC_V,1,MIN(10,CR$6))*(1+V_dTC)</f>
        <v>0</v>
      </c>
      <c r="CS137" s="34" t="n">
        <f aca="false">INDEX(TC_V,1,MIN(10,CS$6))*(1+V_dTC)</f>
        <v>0</v>
      </c>
      <c r="CT137" s="34" t="n">
        <f aca="false">INDEX(TC_V,1,MIN(10,CT$6))*(1+V_dTC)</f>
        <v>0</v>
      </c>
      <c r="CU137" s="34" t="n">
        <f aca="false">INDEX(TC_V,1,MIN(10,CU$6))*(1+V_dTC)</f>
        <v>0</v>
      </c>
      <c r="CV137" s="34" t="n">
        <f aca="false">INDEX(TC_V,1,MIN(10,CV$6))*(1+V_dTC)</f>
        <v>0</v>
      </c>
      <c r="CW137" s="34" t="n">
        <f aca="false">INDEX(TC_V,1,MIN(10,CW$6))*(1+V_dTC)</f>
        <v>0</v>
      </c>
      <c r="CX137" s="34" t="n">
        <f aca="false">INDEX(TC_V,1,MIN(10,CX$6))*(1+V_dTC)</f>
        <v>0</v>
      </c>
      <c r="CY137" s="34" t="n">
        <f aca="false">INDEX(TC_V,1,MIN(10,CY$6))*(1+V_dTC)</f>
        <v>0</v>
      </c>
      <c r="CZ137" s="34" t="n">
        <f aca="false">INDEX(TC_V,1,MIN(10,CZ$6))*(1+V_dTC)</f>
        <v>0</v>
      </c>
      <c r="DA137" s="34" t="n">
        <f aca="false">INDEX(TC_V,1,MIN(10,DA$6))*(1+V_dTC)</f>
        <v>0</v>
      </c>
      <c r="DB137" s="34" t="n">
        <f aca="false">INDEX(TC_V,1,MIN(10,DB$6))*(1+V_dTC)</f>
        <v>0</v>
      </c>
      <c r="DC137" s="34" t="n">
        <f aca="false">INDEX(TC_V,1,MIN(10,DC$6))*(1+V_dTC)</f>
        <v>0</v>
      </c>
      <c r="DD137" s="34" t="n">
        <f aca="false">INDEX(TC_V,1,MIN(10,DD$6))*(1+V_dTC)</f>
        <v>0</v>
      </c>
      <c r="DE137" s="34" t="n">
        <f aca="false">INDEX(TC_V,1,MIN(10,DE$6))*(1+V_dTC)</f>
        <v>0</v>
      </c>
      <c r="DF137" s="34" t="n">
        <f aca="false">INDEX(TC_V,1,MIN(10,DF$6))*(1+V_dTC)</f>
        <v>0</v>
      </c>
      <c r="DG137" s="34" t="n">
        <f aca="false">INDEX(TC_V,1,MIN(10,DG$6))*(1+V_dTC)</f>
        <v>0</v>
      </c>
      <c r="DH137" s="34" t="n">
        <f aca="false">INDEX(TC_V,1,MIN(10,DH$6))*(1+V_dTC)</f>
        <v>0</v>
      </c>
      <c r="DI137" s="34" t="n">
        <f aca="false">INDEX(TC_V,1,MIN(10,DI$6))*(1+V_dTC)</f>
        <v>0</v>
      </c>
      <c r="DJ137" s="34" t="n">
        <f aca="false">INDEX(TC_V,1,MIN(10,DJ$6))*(1+V_dTC)</f>
        <v>0</v>
      </c>
      <c r="DK137" s="34" t="n">
        <f aca="false">INDEX(TC_V,1,MIN(10,DK$6))*(1+V_dTC)</f>
        <v>0</v>
      </c>
      <c r="DL137" s="34" t="n">
        <f aca="false">INDEX(TC_V,1,MIN(10,DL$6))*(1+V_dTC)</f>
        <v>0</v>
      </c>
      <c r="DM137" s="34" t="n">
        <f aca="false">INDEX(TC_V,1,MIN(10,DM$6))*(1+V_dTC)</f>
        <v>0</v>
      </c>
      <c r="DN137" s="34" t="n">
        <f aca="false">INDEX(TC_V,1,MIN(10,DN$6))*(1+V_dTC)</f>
        <v>0</v>
      </c>
      <c r="DO137" s="34" t="n">
        <f aca="false">INDEX(TC_V,1,MIN(10,DO$6))*(1+V_dTC)</f>
        <v>0</v>
      </c>
      <c r="DP137" s="34" t="n">
        <f aca="false">INDEX(TC_V,1,MIN(10,DP$6))*(1+V_dTC)</f>
        <v>0</v>
      </c>
      <c r="DQ137" s="34" t="n">
        <f aca="false">INDEX(TC_V,1,MIN(10,DQ$6))*(1+V_dTC)</f>
        <v>0</v>
      </c>
      <c r="DR137" s="34" t="n">
        <f aca="false">INDEX(TC_V,1,MIN(10,DR$6))*(1+V_dTC)</f>
        <v>0</v>
      </c>
      <c r="DS137" s="34" t="n">
        <f aca="false">INDEX(TC_V,1,MIN(10,DS$6))*(1+V_dTC)</f>
        <v>0</v>
      </c>
      <c r="DT137" s="34" t="n">
        <f aca="false">INDEX(TC_V,1,MIN(10,DT$6))*(1+V_dTC)</f>
        <v>0</v>
      </c>
      <c r="DU137" s="34" t="n">
        <f aca="false">INDEX(TC_V,1,MIN(10,DU$6))*(1+V_dTC)</f>
        <v>0</v>
      </c>
      <c r="DV137" s="34" t="n">
        <f aca="false">INDEX(TC_V,1,MIN(10,DV$6))*(1+V_dTC)</f>
        <v>0</v>
      </c>
      <c r="DW137" s="34" t="n">
        <f aca="false">INDEX(TC_V,1,MIN(10,DW$6))*(1+V_dTC)</f>
        <v>0</v>
      </c>
      <c r="DX137" s="34" t="n">
        <f aca="false">INDEX(TC_V,1,MIN(10,DX$6))*(1+V_dTC)</f>
        <v>0</v>
      </c>
      <c r="DY137" s="34" t="n">
        <f aca="false">INDEX(TC_V,1,MIN(10,DY$6))*(1+V_dTC)</f>
        <v>0</v>
      </c>
      <c r="DZ137" s="34" t="n">
        <f aca="false">INDEX(TC_V,1,MIN(10,DZ$6))*(1+V_dTC)</f>
        <v>0</v>
      </c>
      <c r="EA137" s="34" t="n">
        <f aca="false">INDEX(TC_V,1,MIN(10,EA$6))*(1+V_dTC)</f>
        <v>0</v>
      </c>
      <c r="EB137" s="34" t="n">
        <f aca="false">INDEX(TC_V,1,MIN(10,EB$6))*(1+V_dTC)</f>
        <v>0</v>
      </c>
      <c r="EC137" s="34" t="n">
        <f aca="false">INDEX(TC_V,1,MIN(10,EC$6))*(1+V_dTC)</f>
        <v>0</v>
      </c>
      <c r="ED137" s="34" t="n">
        <f aca="false">INDEX(TC_V,1,MIN(10,ED$6))*(1+V_dTC)</f>
        <v>0</v>
      </c>
      <c r="EE137" s="34" t="n">
        <f aca="false">INDEX(TC_V,1,MIN(10,EE$6))*(1+V_dTC)</f>
        <v>0</v>
      </c>
      <c r="EF137" s="34" t="n">
        <f aca="false">INDEX(TC_V,1,MIN(10,EF$6))*(1+V_dTC)</f>
        <v>0</v>
      </c>
      <c r="EG137" s="34" t="n">
        <f aca="false">INDEX(TC_V,1,MIN(10,EG$6))*(1+V_dTC)</f>
        <v>0</v>
      </c>
      <c r="EH137" s="34" t="n">
        <f aca="false">INDEX(TC_V,1,MIN(10,EH$6))*(1+V_dTC)</f>
        <v>0</v>
      </c>
      <c r="EI137" s="34" t="n">
        <f aca="false">INDEX(TC_V,1,MIN(10,EI$6))*(1+V_dTC)</f>
        <v>0</v>
      </c>
      <c r="EJ137" s="34" t="n">
        <f aca="false">INDEX(TC_V,1,MIN(10,EJ$6))*(1+V_dTC)</f>
        <v>0</v>
      </c>
      <c r="EK137" s="34" t="n">
        <f aca="false">INDEX(TC_V,1,MIN(10,EK$6))*(1+V_dTC)</f>
        <v>0</v>
      </c>
      <c r="EL137" s="34" t="n">
        <f aca="false">INDEX(TC_V,1,MIN(10,EL$6))*(1+V_dTC)</f>
        <v>0</v>
      </c>
      <c r="EM137" s="34" t="n">
        <f aca="false">INDEX(TC_V,1,MIN(10,EM$6))*(1+V_dTC)</f>
        <v>0</v>
      </c>
      <c r="EN137" s="34" t="n">
        <f aca="false">INDEX(TC_V,1,MIN(10,EN$6))*(1+V_dTC)</f>
        <v>0</v>
      </c>
      <c r="EO137" s="34" t="n">
        <f aca="false">INDEX(TC_V,1,MIN(10,EO$6))*(1+V_dTC)</f>
        <v>0</v>
      </c>
      <c r="EP137" s="34" t="n">
        <f aca="false">INDEX(TC_V,1,MIN(10,EP$6))*(1+V_dTC)</f>
        <v>0</v>
      </c>
      <c r="EQ137" s="34" t="n">
        <f aca="false">INDEX(TC_V,1,MIN(10,EQ$6))*(1+V_dTC)</f>
        <v>0</v>
      </c>
      <c r="ER137" s="34" t="n">
        <f aca="false">INDEX(TC_V,1,MIN(10,ER$6))*(1+V_dTC)</f>
        <v>0</v>
      </c>
      <c r="ES137" s="34" t="n">
        <f aca="false">INDEX(TC_V,1,MIN(10,ES$6))*(1+V_dTC)</f>
        <v>0</v>
      </c>
    </row>
    <row r="138" customFormat="false" ht="15" hidden="false" customHeight="false" outlineLevel="0" collapsed="false">
      <c r="A138" s="2" t="s">
        <v>618</v>
      </c>
      <c r="B138" s="6" t="s">
        <v>431</v>
      </c>
      <c r="C138" s="6"/>
      <c r="F138" s="27" t="n">
        <f aca="false">IF(F$137&gt;0,1/F$137,0)</f>
        <v>0</v>
      </c>
      <c r="G138" s="27" t="n">
        <f aca="false">IF(G$137&gt;0,1/G$137,0)</f>
        <v>0</v>
      </c>
      <c r="H138" s="27" t="n">
        <f aca="false">IF(H$137&gt;0,1/H$137,0)</f>
        <v>0</v>
      </c>
      <c r="I138" s="27" t="n">
        <f aca="false">IF(I$137&gt;0,1/I$137,0)</f>
        <v>0</v>
      </c>
      <c r="J138" s="27" t="n">
        <f aca="false">IF(J$137&gt;0,1/J$137,0)</f>
        <v>0</v>
      </c>
      <c r="K138" s="27" t="n">
        <f aca="false">IF(K$137&gt;0,1/K$137,0)</f>
        <v>0</v>
      </c>
      <c r="L138" s="27" t="n">
        <f aca="false">IF(L$137&gt;0,1/L$137,0)</f>
        <v>0</v>
      </c>
      <c r="M138" s="27" t="n">
        <f aca="false">IF(M$137&gt;0,1/M$137,0)</f>
        <v>0</v>
      </c>
      <c r="N138" s="27" t="n">
        <f aca="false">IF(N$137&gt;0,1/N$137,0)</f>
        <v>0</v>
      </c>
      <c r="O138" s="27" t="n">
        <f aca="false">IF(O$137&gt;0,1/O$137,0)</f>
        <v>0</v>
      </c>
      <c r="P138" s="27" t="n">
        <f aca="false">IF(P$137&gt;0,1/P$137,0)</f>
        <v>0</v>
      </c>
      <c r="Q138" s="27" t="n">
        <f aca="false">IF(Q$137&gt;0,1/Q$137,0)</f>
        <v>0</v>
      </c>
      <c r="R138" s="27" t="n">
        <f aca="false">IF(R$137&gt;0,1/R$137,0)</f>
        <v>0</v>
      </c>
      <c r="S138" s="27" t="n">
        <f aca="false">IF(S$137&gt;0,1/S$137,0)</f>
        <v>0</v>
      </c>
      <c r="T138" s="27" t="n">
        <f aca="false">IF(T$137&gt;0,1/T$137,0)</f>
        <v>0</v>
      </c>
      <c r="U138" s="27" t="n">
        <f aca="false">IF(U$137&gt;0,1/U$137,0)</f>
        <v>0</v>
      </c>
      <c r="V138" s="27" t="n">
        <f aca="false">IF(V$137&gt;0,1/V$137,0)</f>
        <v>0</v>
      </c>
      <c r="W138" s="27" t="n">
        <f aca="false">IF(W$137&gt;0,1/W$137,0)</f>
        <v>0</v>
      </c>
      <c r="X138" s="27" t="n">
        <f aca="false">IF(X$137&gt;0,1/X$137,0)</f>
        <v>0</v>
      </c>
      <c r="Y138" s="27" t="n">
        <f aca="false">IF(Y$137&gt;0,1/Y$137,0)</f>
        <v>0</v>
      </c>
      <c r="Z138" s="27" t="n">
        <f aca="false">IF(Z$137&gt;0,1/Z$137,0)</f>
        <v>0</v>
      </c>
      <c r="AA138" s="27" t="n">
        <f aca="false">IF(AA$137&gt;0,1/AA$137,0)</f>
        <v>0</v>
      </c>
      <c r="AB138" s="27" t="n">
        <f aca="false">IF(AB$137&gt;0,1/AB$137,0)</f>
        <v>0</v>
      </c>
      <c r="AC138" s="27" t="n">
        <f aca="false">IF(AC$137&gt;0,1/AC$137,0)</f>
        <v>0</v>
      </c>
      <c r="AD138" s="27" t="n">
        <f aca="false">IF(AD$137&gt;0,1/AD$137,0)</f>
        <v>0</v>
      </c>
      <c r="AE138" s="27" t="n">
        <f aca="false">IF(AE$137&gt;0,1/AE$137,0)</f>
        <v>0</v>
      </c>
      <c r="AF138" s="27" t="n">
        <f aca="false">IF(AF$137&gt;0,1/AF$137,0)</f>
        <v>0</v>
      </c>
      <c r="AG138" s="27" t="n">
        <f aca="false">IF(AG$137&gt;0,1/AG$137,0)</f>
        <v>0</v>
      </c>
      <c r="AH138" s="27" t="n">
        <f aca="false">IF(AH$137&gt;0,1/AH$137,0)</f>
        <v>0</v>
      </c>
      <c r="AI138" s="27" t="n">
        <f aca="false">IF(AI$137&gt;0,1/AI$137,0)</f>
        <v>0</v>
      </c>
      <c r="AJ138" s="27" t="n">
        <f aca="false">IF(AJ$137&gt;0,1/AJ$137,0)</f>
        <v>0</v>
      </c>
      <c r="AK138" s="27" t="n">
        <f aca="false">IF(AK$137&gt;0,1/AK$137,0)</f>
        <v>0</v>
      </c>
      <c r="AL138" s="27" t="n">
        <f aca="false">IF(AL$137&gt;0,1/AL$137,0)</f>
        <v>0</v>
      </c>
      <c r="AM138" s="27" t="n">
        <f aca="false">IF(AM$137&gt;0,1/AM$137,0)</f>
        <v>0</v>
      </c>
      <c r="AN138" s="27" t="n">
        <f aca="false">IF(AN$137&gt;0,1/AN$137,0)</f>
        <v>0</v>
      </c>
      <c r="AO138" s="27" t="n">
        <f aca="false">IF(AO$137&gt;0,1/AO$137,0)</f>
        <v>0</v>
      </c>
      <c r="AP138" s="27" t="n">
        <f aca="false">IF(AP$137&gt;0,1/AP$137,0)</f>
        <v>0</v>
      </c>
      <c r="AQ138" s="27" t="n">
        <f aca="false">IF(AQ$137&gt;0,1/AQ$137,0)</f>
        <v>0</v>
      </c>
      <c r="AR138" s="27" t="n">
        <f aca="false">IF(AR$137&gt;0,1/AR$137,0)</f>
        <v>0</v>
      </c>
      <c r="AS138" s="27" t="n">
        <f aca="false">IF(AS$137&gt;0,1/AS$137,0)</f>
        <v>0</v>
      </c>
      <c r="AT138" s="27" t="n">
        <f aca="false">IF(AT$137&gt;0,1/AT$137,0)</f>
        <v>0</v>
      </c>
      <c r="AU138" s="27" t="n">
        <f aca="false">IF(AU$137&gt;0,1/AU$137,0)</f>
        <v>0</v>
      </c>
      <c r="AV138" s="27" t="n">
        <f aca="false">IF(AV$137&gt;0,1/AV$137,0)</f>
        <v>0</v>
      </c>
      <c r="AW138" s="27" t="n">
        <f aca="false">IF(AW$137&gt;0,1/AW$137,0)</f>
        <v>0</v>
      </c>
      <c r="AX138" s="27" t="n">
        <f aca="false">IF(AX$137&gt;0,1/AX$137,0)</f>
        <v>0</v>
      </c>
      <c r="AY138" s="27" t="n">
        <f aca="false">IF(AY$137&gt;0,1/AY$137,0)</f>
        <v>0</v>
      </c>
      <c r="AZ138" s="27" t="n">
        <f aca="false">IF(AZ$137&gt;0,1/AZ$137,0)</f>
        <v>0</v>
      </c>
      <c r="BA138" s="27" t="n">
        <f aca="false">IF(BA$137&gt;0,1/BA$137,0)</f>
        <v>0</v>
      </c>
      <c r="BB138" s="27" t="n">
        <f aca="false">IF(BB$137&gt;0,1/BB$137,0)</f>
        <v>0</v>
      </c>
      <c r="BC138" s="27" t="n">
        <f aca="false">IF(BC$137&gt;0,1/BC$137,0)</f>
        <v>0</v>
      </c>
      <c r="BD138" s="27" t="n">
        <f aca="false">IF(BD$137&gt;0,1/BD$137,0)</f>
        <v>0</v>
      </c>
      <c r="BE138" s="27" t="n">
        <f aca="false">IF(BE$137&gt;0,1/BE$137,0)</f>
        <v>0</v>
      </c>
      <c r="BF138" s="27" t="n">
        <f aca="false">IF(BF$137&gt;0,1/BF$137,0)</f>
        <v>0</v>
      </c>
      <c r="BG138" s="27" t="n">
        <f aca="false">IF(BG$137&gt;0,1/BG$137,0)</f>
        <v>0</v>
      </c>
      <c r="BH138" s="27" t="n">
        <f aca="false">IF(BH$137&gt;0,1/BH$137,0)</f>
        <v>0</v>
      </c>
      <c r="BI138" s="27" t="n">
        <f aca="false">IF(BI$137&gt;0,1/BI$137,0)</f>
        <v>0</v>
      </c>
      <c r="BJ138" s="27" t="n">
        <f aca="false">IF(BJ$137&gt;0,1/BJ$137,0)</f>
        <v>0</v>
      </c>
      <c r="BK138" s="27" t="n">
        <f aca="false">IF(BK$137&gt;0,1/BK$137,0)</f>
        <v>0</v>
      </c>
      <c r="BL138" s="27" t="n">
        <f aca="false">IF(BL$137&gt;0,1/BL$137,0)</f>
        <v>0</v>
      </c>
      <c r="BM138" s="27" t="n">
        <f aca="false">IF(BM$137&gt;0,1/BM$137,0)</f>
        <v>0</v>
      </c>
      <c r="BN138" s="27" t="n">
        <f aca="false">IF(BN$137&gt;0,1/BN$137,0)</f>
        <v>0</v>
      </c>
      <c r="BO138" s="27" t="n">
        <f aca="false">IF(BO$137&gt;0,1/BO$137,0)</f>
        <v>0</v>
      </c>
      <c r="BP138" s="27" t="n">
        <f aca="false">IF(BP$137&gt;0,1/BP$137,0)</f>
        <v>0</v>
      </c>
      <c r="BQ138" s="27" t="n">
        <f aca="false">IF(BQ$137&gt;0,1/BQ$137,0)</f>
        <v>0</v>
      </c>
      <c r="BR138" s="27" t="n">
        <f aca="false">IF(BR$137&gt;0,1/BR$137,0)</f>
        <v>0</v>
      </c>
      <c r="BS138" s="27" t="n">
        <f aca="false">IF(BS$137&gt;0,1/BS$137,0)</f>
        <v>0</v>
      </c>
      <c r="BT138" s="27" t="n">
        <f aca="false">IF(BT$137&gt;0,1/BT$137,0)</f>
        <v>0</v>
      </c>
      <c r="BU138" s="27" t="n">
        <f aca="false">IF(BU$137&gt;0,1/BU$137,0)</f>
        <v>0</v>
      </c>
      <c r="BV138" s="27" t="n">
        <f aca="false">IF(BV$137&gt;0,1/BV$137,0)</f>
        <v>0</v>
      </c>
      <c r="BW138" s="27" t="n">
        <f aca="false">IF(BW$137&gt;0,1/BW$137,0)</f>
        <v>0</v>
      </c>
      <c r="BX138" s="27" t="n">
        <f aca="false">IF(BX$137&gt;0,1/BX$137,0)</f>
        <v>0</v>
      </c>
      <c r="BY138" s="27" t="n">
        <f aca="false">IF(BY$137&gt;0,1/BY$137,0)</f>
        <v>0</v>
      </c>
      <c r="BZ138" s="27" t="n">
        <f aca="false">IF(BZ$137&gt;0,1/BZ$137,0)</f>
        <v>0</v>
      </c>
      <c r="CA138" s="27" t="n">
        <f aca="false">IF(CA$137&gt;0,1/CA$137,0)</f>
        <v>0</v>
      </c>
      <c r="CB138" s="27" t="n">
        <f aca="false">IF(CB$137&gt;0,1/CB$137,0)</f>
        <v>0</v>
      </c>
      <c r="CC138" s="27" t="n">
        <f aca="false">IF(CC$137&gt;0,1/CC$137,0)</f>
        <v>0</v>
      </c>
      <c r="CD138" s="27" t="n">
        <f aca="false">IF(CD$137&gt;0,1/CD$137,0)</f>
        <v>0</v>
      </c>
      <c r="CE138" s="27" t="n">
        <f aca="false">IF(CE$137&gt;0,1/CE$137,0)</f>
        <v>0</v>
      </c>
      <c r="CF138" s="27" t="n">
        <f aca="false">IF(CF$137&gt;0,1/CF$137,0)</f>
        <v>0</v>
      </c>
      <c r="CG138" s="27" t="n">
        <f aca="false">IF(CG$137&gt;0,1/CG$137,0)</f>
        <v>0</v>
      </c>
      <c r="CH138" s="27" t="n">
        <f aca="false">IF(CH$137&gt;0,1/CH$137,0)</f>
        <v>0</v>
      </c>
      <c r="CI138" s="27" t="n">
        <f aca="false">IF(CI$137&gt;0,1/CI$137,0)</f>
        <v>0</v>
      </c>
      <c r="CJ138" s="27" t="n">
        <f aca="false">IF(CJ$137&gt;0,1/CJ$137,0)</f>
        <v>0</v>
      </c>
      <c r="CK138" s="27" t="n">
        <f aca="false">IF(CK$137&gt;0,1/CK$137,0)</f>
        <v>0</v>
      </c>
      <c r="CL138" s="27" t="n">
        <f aca="false">IF(CL$137&gt;0,1/CL$137,0)</f>
        <v>0</v>
      </c>
      <c r="CM138" s="27" t="n">
        <f aca="false">IF(CM$137&gt;0,1/CM$137,0)</f>
        <v>0</v>
      </c>
      <c r="CN138" s="27" t="n">
        <f aca="false">IF(CN$137&gt;0,1/CN$137,0)</f>
        <v>0</v>
      </c>
      <c r="CO138" s="27" t="n">
        <f aca="false">IF(CO$137&gt;0,1/CO$137,0)</f>
        <v>0</v>
      </c>
      <c r="CP138" s="27" t="n">
        <f aca="false">IF(CP$137&gt;0,1/CP$137,0)</f>
        <v>0</v>
      </c>
      <c r="CQ138" s="27" t="n">
        <f aca="false">IF(CQ$137&gt;0,1/CQ$137,0)</f>
        <v>0</v>
      </c>
      <c r="CR138" s="27" t="n">
        <f aca="false">IF(CR$137&gt;0,1/CR$137,0)</f>
        <v>0</v>
      </c>
      <c r="CS138" s="27" t="n">
        <f aca="false">IF(CS$137&gt;0,1/CS$137,0)</f>
        <v>0</v>
      </c>
      <c r="CT138" s="27" t="n">
        <f aca="false">IF(CT$137&gt;0,1/CT$137,0)</f>
        <v>0</v>
      </c>
      <c r="CU138" s="27" t="n">
        <f aca="false">IF(CU$137&gt;0,1/CU$137,0)</f>
        <v>0</v>
      </c>
      <c r="CV138" s="27" t="n">
        <f aca="false">IF(CV$137&gt;0,1/CV$137,0)</f>
        <v>0</v>
      </c>
      <c r="CW138" s="27" t="n">
        <f aca="false">IF(CW$137&gt;0,1/CW$137,0)</f>
        <v>0</v>
      </c>
      <c r="CX138" s="27" t="n">
        <f aca="false">IF(CX$137&gt;0,1/CX$137,0)</f>
        <v>0</v>
      </c>
      <c r="CY138" s="27" t="n">
        <f aca="false">IF(CY$137&gt;0,1/CY$137,0)</f>
        <v>0</v>
      </c>
      <c r="CZ138" s="27" t="n">
        <f aca="false">IF(CZ$137&gt;0,1/CZ$137,0)</f>
        <v>0</v>
      </c>
      <c r="DA138" s="27" t="n">
        <f aca="false">IF(DA$137&gt;0,1/DA$137,0)</f>
        <v>0</v>
      </c>
      <c r="DB138" s="27" t="n">
        <f aca="false">IF(DB$137&gt;0,1/DB$137,0)</f>
        <v>0</v>
      </c>
      <c r="DC138" s="27" t="n">
        <f aca="false">IF(DC$137&gt;0,1/DC$137,0)</f>
        <v>0</v>
      </c>
      <c r="DD138" s="27" t="n">
        <f aca="false">IF(DD$137&gt;0,1/DD$137,0)</f>
        <v>0</v>
      </c>
      <c r="DE138" s="27" t="n">
        <f aca="false">IF(DE$137&gt;0,1/DE$137,0)</f>
        <v>0</v>
      </c>
      <c r="DF138" s="27" t="n">
        <f aca="false">IF(DF$137&gt;0,1/DF$137,0)</f>
        <v>0</v>
      </c>
      <c r="DG138" s="27" t="n">
        <f aca="false">IF(DG$137&gt;0,1/DG$137,0)</f>
        <v>0</v>
      </c>
      <c r="DH138" s="27" t="n">
        <f aca="false">IF(DH$137&gt;0,1/DH$137,0)</f>
        <v>0</v>
      </c>
      <c r="DI138" s="27" t="n">
        <f aca="false">IF(DI$137&gt;0,1/DI$137,0)</f>
        <v>0</v>
      </c>
      <c r="DJ138" s="27" t="n">
        <f aca="false">IF(DJ$137&gt;0,1/DJ$137,0)</f>
        <v>0</v>
      </c>
      <c r="DK138" s="27" t="n">
        <f aca="false">IF(DK$137&gt;0,1/DK$137,0)</f>
        <v>0</v>
      </c>
      <c r="DL138" s="27" t="n">
        <f aca="false">IF(DL$137&gt;0,1/DL$137,0)</f>
        <v>0</v>
      </c>
      <c r="DM138" s="27" t="n">
        <f aca="false">IF(DM$137&gt;0,1/DM$137,0)</f>
        <v>0</v>
      </c>
      <c r="DN138" s="27" t="n">
        <f aca="false">IF(DN$137&gt;0,1/DN$137,0)</f>
        <v>0</v>
      </c>
      <c r="DO138" s="27" t="n">
        <f aca="false">IF(DO$137&gt;0,1/DO$137,0)</f>
        <v>0</v>
      </c>
      <c r="DP138" s="27" t="n">
        <f aca="false">IF(DP$137&gt;0,1/DP$137,0)</f>
        <v>0</v>
      </c>
      <c r="DQ138" s="27" t="n">
        <f aca="false">IF(DQ$137&gt;0,1/DQ$137,0)</f>
        <v>0</v>
      </c>
      <c r="DR138" s="27" t="n">
        <f aca="false">IF(DR$137&gt;0,1/DR$137,0)</f>
        <v>0</v>
      </c>
      <c r="DS138" s="27" t="n">
        <f aca="false">IF(DS$137&gt;0,1/DS$137,0)</f>
        <v>0</v>
      </c>
      <c r="DT138" s="27" t="n">
        <f aca="false">IF(DT$137&gt;0,1/DT$137,0)</f>
        <v>0</v>
      </c>
      <c r="DU138" s="27" t="n">
        <f aca="false">IF(DU$137&gt;0,1/DU$137,0)</f>
        <v>0</v>
      </c>
      <c r="DV138" s="27" t="n">
        <f aca="false">IF(DV$137&gt;0,1/DV$137,0)</f>
        <v>0</v>
      </c>
      <c r="DW138" s="27" t="n">
        <f aca="false">IF(DW$137&gt;0,1/DW$137,0)</f>
        <v>0</v>
      </c>
      <c r="DX138" s="27" t="n">
        <f aca="false">IF(DX$137&gt;0,1/DX$137,0)</f>
        <v>0</v>
      </c>
      <c r="DY138" s="27" t="n">
        <f aca="false">IF(DY$137&gt;0,1/DY$137,0)</f>
        <v>0</v>
      </c>
      <c r="DZ138" s="27" t="n">
        <f aca="false">IF(DZ$137&gt;0,1/DZ$137,0)</f>
        <v>0</v>
      </c>
      <c r="EA138" s="27" t="n">
        <f aca="false">IF(EA$137&gt;0,1/EA$137,0)</f>
        <v>0</v>
      </c>
      <c r="EB138" s="27" t="n">
        <f aca="false">IF(EB$137&gt;0,1/EB$137,0)</f>
        <v>0</v>
      </c>
      <c r="EC138" s="27" t="n">
        <f aca="false">IF(EC$137&gt;0,1/EC$137,0)</f>
        <v>0</v>
      </c>
      <c r="ED138" s="27" t="n">
        <f aca="false">IF(ED$137&gt;0,1/ED$137,0)</f>
        <v>0</v>
      </c>
      <c r="EE138" s="27" t="n">
        <f aca="false">IF(EE$137&gt;0,1/EE$137,0)</f>
        <v>0</v>
      </c>
      <c r="EF138" s="27" t="n">
        <f aca="false">IF(EF$137&gt;0,1/EF$137,0)</f>
        <v>0</v>
      </c>
      <c r="EG138" s="27" t="n">
        <f aca="false">IF(EG$137&gt;0,1/EG$137,0)</f>
        <v>0</v>
      </c>
      <c r="EH138" s="27" t="n">
        <f aca="false">IF(EH$137&gt;0,1/EH$137,0)</f>
        <v>0</v>
      </c>
      <c r="EI138" s="27" t="n">
        <f aca="false">IF(EI$137&gt;0,1/EI$137,0)</f>
        <v>0</v>
      </c>
      <c r="EJ138" s="27" t="n">
        <f aca="false">IF(EJ$137&gt;0,1/EJ$137,0)</f>
        <v>0</v>
      </c>
      <c r="EK138" s="27" t="n">
        <f aca="false">IF(EK$137&gt;0,1/EK$137,0)</f>
        <v>0</v>
      </c>
      <c r="EL138" s="27" t="n">
        <f aca="false">IF(EL$137&gt;0,1/EL$137,0)</f>
        <v>0</v>
      </c>
      <c r="EM138" s="27" t="n">
        <f aca="false">IF(EM$137&gt;0,1/EM$137,0)</f>
        <v>0</v>
      </c>
      <c r="EN138" s="27" t="n">
        <f aca="false">IF(EN$137&gt;0,1/EN$137,0)</f>
        <v>0</v>
      </c>
      <c r="EO138" s="27" t="n">
        <f aca="false">IF(EO$137&gt;0,1/EO$137,0)</f>
        <v>0</v>
      </c>
      <c r="EP138" s="27" t="n">
        <f aca="false">IF(EP$137&gt;0,1/EP$137,0)</f>
        <v>0</v>
      </c>
      <c r="EQ138" s="27" t="n">
        <f aca="false">IF(EQ$137&gt;0,1/EQ$137,0)</f>
        <v>0</v>
      </c>
      <c r="ER138" s="27" t="n">
        <f aca="false">IF(ER$137&gt;0,1/ER$137,0)</f>
        <v>0</v>
      </c>
      <c r="ES138" s="27" t="n">
        <f aca="false">IF(ES$137&gt;0,1/ES$137,0)</f>
        <v>0</v>
      </c>
    </row>
    <row r="139" customFormat="false" ht="15" hidden="false" customHeight="false" outlineLevel="0" collapsed="false">
      <c r="A139" s="4"/>
      <c r="B139" s="3" t="s">
        <v>210</v>
      </c>
      <c r="C139" s="4"/>
      <c r="D139" s="4"/>
      <c r="E139" s="4"/>
    </row>
    <row r="140" customFormat="false" ht="15" hidden="false" customHeight="false" outlineLevel="0" collapsed="false">
      <c r="A140" s="2" t="s">
        <v>619</v>
      </c>
      <c r="B140" s="39" t="str">
        <f aca="false">IF(INDEX(Prod_Nombre,1)="","Producto 1",INDEX(Prod_Nombre,1))&amp;" — unidades"</f>
        <v>Producto 1 — unidades</v>
      </c>
      <c r="C140" s="6" t="s">
        <v>337</v>
      </c>
      <c r="E140" s="40" t="n">
        <f aca="false">SUM(F140:ES140)</f>
        <v>0</v>
      </c>
      <c r="F140" s="34" t="n">
        <f aca="false">IF(F$8=1,N(Reales!F12),IF(F$134=1,INDEX(Vol_V,1,F$133)/12*(1+V_dVol),0))</f>
        <v>0</v>
      </c>
      <c r="G140" s="34" t="n">
        <f aca="false">IF(G$8=1,N(Reales!G12),IF(G$134=1,INDEX(Vol_V,1,G$133)/12*(1+V_dVol),0))</f>
        <v>0</v>
      </c>
      <c r="H140" s="34" t="n">
        <f aca="false">IF(H$8=1,N(Reales!H12),IF(H$134=1,INDEX(Vol_V,1,H$133)/12*(1+V_dVol),0))</f>
        <v>0</v>
      </c>
      <c r="I140" s="34" t="n">
        <f aca="false">IF(I$8=1,N(Reales!I12),IF(I$134=1,INDEX(Vol_V,1,I$133)/12*(1+V_dVol),0))</f>
        <v>0</v>
      </c>
      <c r="J140" s="34" t="n">
        <f aca="false">IF(J$8=1,N(Reales!J12),IF(J$134=1,INDEX(Vol_V,1,J$133)/12*(1+V_dVol),0))</f>
        <v>0</v>
      </c>
      <c r="K140" s="34" t="n">
        <f aca="false">IF(K$8=1,N(Reales!K12),IF(K$134=1,INDEX(Vol_V,1,K$133)/12*(1+V_dVol),0))</f>
        <v>0</v>
      </c>
      <c r="L140" s="34" t="n">
        <f aca="false">IF(L$8=1,N(Reales!L12),IF(L$134=1,INDEX(Vol_V,1,L$133)/12*(1+V_dVol),0))</f>
        <v>0</v>
      </c>
      <c r="M140" s="34" t="n">
        <f aca="false">IF(M$8=1,N(Reales!M12),IF(M$134=1,INDEX(Vol_V,1,M$133)/12*(1+V_dVol),0))</f>
        <v>0</v>
      </c>
      <c r="N140" s="34" t="n">
        <f aca="false">IF(N$8=1,N(Reales!N12),IF(N$134=1,INDEX(Vol_V,1,N$133)/12*(1+V_dVol),0))</f>
        <v>0</v>
      </c>
      <c r="O140" s="34" t="n">
        <f aca="false">IF(O$8=1,N(Reales!O12),IF(O$134=1,INDEX(Vol_V,1,O$133)/12*(1+V_dVol),0))</f>
        <v>0</v>
      </c>
      <c r="P140" s="34" t="n">
        <f aca="false">IF(P$8=1,N(Reales!P12),IF(P$134=1,INDEX(Vol_V,1,P$133)/12*(1+V_dVol),0))</f>
        <v>0</v>
      </c>
      <c r="Q140" s="34" t="n">
        <f aca="false">IF(Q$8=1,N(Reales!Q12),IF(Q$134=1,INDEX(Vol_V,1,Q$133)/12*(1+V_dVol),0))</f>
        <v>0</v>
      </c>
      <c r="R140" s="34" t="n">
        <f aca="false">IF(R$8=1,N(Reales!R12),IF(R$134=1,INDEX(Vol_V,1,R$133)/12*(1+V_dVol),0))</f>
        <v>0</v>
      </c>
      <c r="S140" s="34" t="n">
        <f aca="false">IF(S$8=1,N(Reales!S12),IF(S$134=1,INDEX(Vol_V,1,S$133)/12*(1+V_dVol),0))</f>
        <v>0</v>
      </c>
      <c r="T140" s="34" t="n">
        <f aca="false">IF(T$8=1,N(Reales!T12),IF(T$134=1,INDEX(Vol_V,1,T$133)/12*(1+V_dVol),0))</f>
        <v>0</v>
      </c>
      <c r="U140" s="34" t="n">
        <f aca="false">IF(U$8=1,N(Reales!U12),IF(U$134=1,INDEX(Vol_V,1,U$133)/12*(1+V_dVol),0))</f>
        <v>0</v>
      </c>
      <c r="V140" s="34" t="n">
        <f aca="false">IF(V$8=1,N(Reales!V12),IF(V$134=1,INDEX(Vol_V,1,V$133)/12*(1+V_dVol),0))</f>
        <v>0</v>
      </c>
      <c r="W140" s="34" t="n">
        <f aca="false">IF(W$8=1,N(Reales!W12),IF(W$134=1,INDEX(Vol_V,1,W$133)/12*(1+V_dVol),0))</f>
        <v>0</v>
      </c>
      <c r="X140" s="34" t="n">
        <f aca="false">IF(X$8=1,N(Reales!X12),IF(X$134=1,INDEX(Vol_V,1,X$133)/12*(1+V_dVol),0))</f>
        <v>0</v>
      </c>
      <c r="Y140" s="34" t="n">
        <f aca="false">IF(Y$8=1,N(Reales!Y12),IF(Y$134=1,INDEX(Vol_V,1,Y$133)/12*(1+V_dVol),0))</f>
        <v>0</v>
      </c>
      <c r="Z140" s="34" t="n">
        <f aca="false">IF(Z$8=1,N(Reales!Z12),IF(Z$134=1,INDEX(Vol_V,1,Z$133)/12*(1+V_dVol),0))</f>
        <v>0</v>
      </c>
      <c r="AA140" s="34" t="n">
        <f aca="false">IF(AA$8=1,N(Reales!AA12),IF(AA$134=1,INDEX(Vol_V,1,AA$133)/12*(1+V_dVol),0))</f>
        <v>0</v>
      </c>
      <c r="AB140" s="34" t="n">
        <f aca="false">IF(AB$8=1,N(Reales!AB12),IF(AB$134=1,INDEX(Vol_V,1,AB$133)/12*(1+V_dVol),0))</f>
        <v>0</v>
      </c>
      <c r="AC140" s="34" t="n">
        <f aca="false">IF(AC$8=1,N(Reales!AC12),IF(AC$134=1,INDEX(Vol_V,1,AC$133)/12*(1+V_dVol),0))</f>
        <v>0</v>
      </c>
      <c r="AD140" s="34" t="n">
        <f aca="false">IF(AD$8=1,N(Reales!AD12),IF(AD$134=1,INDEX(Vol_V,1,AD$133)/12*(1+V_dVol),0))</f>
        <v>0</v>
      </c>
      <c r="AE140" s="34" t="n">
        <f aca="false">IF(AE$8=1,N(Reales!AE12),IF(AE$134=1,INDEX(Vol_V,1,AE$133)/12*(1+V_dVol),0))</f>
        <v>0</v>
      </c>
      <c r="AF140" s="34" t="n">
        <f aca="false">IF(AF$8=1,N(Reales!AF12),IF(AF$134=1,INDEX(Vol_V,1,AF$133)/12*(1+V_dVol),0))</f>
        <v>0</v>
      </c>
      <c r="AG140" s="34" t="n">
        <f aca="false">IF(AG$8=1,N(Reales!AG12),IF(AG$134=1,INDEX(Vol_V,1,AG$133)/12*(1+V_dVol),0))</f>
        <v>0</v>
      </c>
      <c r="AH140" s="34" t="n">
        <f aca="false">IF(AH$8=1,N(Reales!AH12),IF(AH$134=1,INDEX(Vol_V,1,AH$133)/12*(1+V_dVol),0))</f>
        <v>0</v>
      </c>
      <c r="AI140" s="34" t="n">
        <f aca="false">IF(AI$8=1,N(Reales!AI12),IF(AI$134=1,INDEX(Vol_V,1,AI$133)/12*(1+V_dVol),0))</f>
        <v>0</v>
      </c>
      <c r="AJ140" s="34" t="n">
        <f aca="false">IF(AJ$8=1,N(Reales!AJ12),IF(AJ$134=1,INDEX(Vol_V,1,AJ$133)/12*(1+V_dVol),0))</f>
        <v>0</v>
      </c>
      <c r="AK140" s="34" t="n">
        <f aca="false">IF(AK$8=1,N(Reales!AK12),IF(AK$134=1,INDEX(Vol_V,1,AK$133)/12*(1+V_dVol),0))</f>
        <v>0</v>
      </c>
      <c r="AL140" s="34" t="n">
        <f aca="false">IF(AL$8=1,N(Reales!AL12),IF(AL$134=1,INDEX(Vol_V,1,AL$133)/12*(1+V_dVol),0))</f>
        <v>0</v>
      </c>
      <c r="AM140" s="34" t="n">
        <f aca="false">IF(AM$8=1,N(Reales!AM12),IF(AM$134=1,INDEX(Vol_V,1,AM$133)/12*(1+V_dVol),0))</f>
        <v>0</v>
      </c>
      <c r="AN140" s="34" t="n">
        <f aca="false">IF(AN$8=1,N(Reales!AN12),IF(AN$134=1,INDEX(Vol_V,1,AN$133)/12*(1+V_dVol),0))</f>
        <v>0</v>
      </c>
      <c r="AO140" s="34" t="n">
        <f aca="false">IF(AO$8=1,N(Reales!AO12),IF(AO$134=1,INDEX(Vol_V,1,AO$133)/12*(1+V_dVol),0))</f>
        <v>0</v>
      </c>
      <c r="AP140" s="34" t="n">
        <f aca="false">IF(AP$8=1,N(Reales!AP12),IF(AP$134=1,INDEX(Vol_V,1,AP$133)/12*(1+V_dVol),0))</f>
        <v>0</v>
      </c>
      <c r="AQ140" s="34" t="n">
        <f aca="false">IF(AQ$8=1,N(Reales!AQ12),IF(AQ$134=1,INDEX(Vol_V,1,AQ$133)/12*(1+V_dVol),0))</f>
        <v>0</v>
      </c>
      <c r="AR140" s="34" t="n">
        <f aca="false">IF(AR$8=1,N(Reales!AR12),IF(AR$134=1,INDEX(Vol_V,1,AR$133)/12*(1+V_dVol),0))</f>
        <v>0</v>
      </c>
      <c r="AS140" s="34" t="n">
        <f aca="false">IF(AS$8=1,N(Reales!AS12),IF(AS$134=1,INDEX(Vol_V,1,AS$133)/12*(1+V_dVol),0))</f>
        <v>0</v>
      </c>
      <c r="AT140" s="34" t="n">
        <f aca="false">IF(AT$8=1,N(Reales!AT12),IF(AT$134=1,INDEX(Vol_V,1,AT$133)/12*(1+V_dVol),0))</f>
        <v>0</v>
      </c>
      <c r="AU140" s="34" t="n">
        <f aca="false">IF(AU$8=1,N(Reales!AU12),IF(AU$134=1,INDEX(Vol_V,1,AU$133)/12*(1+V_dVol),0))</f>
        <v>0</v>
      </c>
      <c r="AV140" s="34" t="n">
        <f aca="false">IF(AV$8=1,N(Reales!AV12),IF(AV$134=1,INDEX(Vol_V,1,AV$133)/12*(1+V_dVol),0))</f>
        <v>0</v>
      </c>
      <c r="AW140" s="34" t="n">
        <f aca="false">IF(AW$8=1,N(Reales!AW12),IF(AW$134=1,INDEX(Vol_V,1,AW$133)/12*(1+V_dVol),0))</f>
        <v>0</v>
      </c>
      <c r="AX140" s="34" t="n">
        <f aca="false">IF(AX$8=1,N(Reales!AX12),IF(AX$134=1,INDEX(Vol_V,1,AX$133)/12*(1+V_dVol),0))</f>
        <v>0</v>
      </c>
      <c r="AY140" s="34" t="n">
        <f aca="false">IF(AY$8=1,N(Reales!AY12),IF(AY$134=1,INDEX(Vol_V,1,AY$133)/12*(1+V_dVol),0))</f>
        <v>0</v>
      </c>
      <c r="AZ140" s="34" t="n">
        <f aca="false">IF(AZ$8=1,N(Reales!AZ12),IF(AZ$134=1,INDEX(Vol_V,1,AZ$133)/12*(1+V_dVol),0))</f>
        <v>0</v>
      </c>
      <c r="BA140" s="34" t="n">
        <f aca="false">IF(BA$8=1,N(Reales!BA12),IF(BA$134=1,INDEX(Vol_V,1,BA$133)/12*(1+V_dVol),0))</f>
        <v>0</v>
      </c>
      <c r="BB140" s="34" t="n">
        <f aca="false">IF(BB$8=1,N(Reales!BB12),IF(BB$134=1,INDEX(Vol_V,1,BB$133)/12*(1+V_dVol),0))</f>
        <v>0</v>
      </c>
      <c r="BC140" s="34" t="n">
        <f aca="false">IF(BC$8=1,N(Reales!BC12),IF(BC$134=1,INDEX(Vol_V,1,BC$133)/12*(1+V_dVol),0))</f>
        <v>0</v>
      </c>
      <c r="BD140" s="34" t="n">
        <f aca="false">IF(BD$8=1,N(Reales!BD12),IF(BD$134=1,INDEX(Vol_V,1,BD$133)/12*(1+V_dVol),0))</f>
        <v>0</v>
      </c>
      <c r="BE140" s="34" t="n">
        <f aca="false">IF(BE$8=1,N(Reales!BE12),IF(BE$134=1,INDEX(Vol_V,1,BE$133)/12*(1+V_dVol),0))</f>
        <v>0</v>
      </c>
      <c r="BF140" s="34" t="n">
        <f aca="false">IF(BF$8=1,N(Reales!BF12),IF(BF$134=1,INDEX(Vol_V,1,BF$133)/12*(1+V_dVol),0))</f>
        <v>0</v>
      </c>
      <c r="BG140" s="34" t="n">
        <f aca="false">IF(BG$8=1,N(Reales!BG12),IF(BG$134=1,INDEX(Vol_V,1,BG$133)/12*(1+V_dVol),0))</f>
        <v>0</v>
      </c>
      <c r="BH140" s="34" t="n">
        <f aca="false">IF(BH$8=1,N(Reales!BH12),IF(BH$134=1,INDEX(Vol_V,1,BH$133)/12*(1+V_dVol),0))</f>
        <v>0</v>
      </c>
      <c r="BI140" s="34" t="n">
        <f aca="false">IF(BI$8=1,N(Reales!BI12),IF(BI$134=1,INDEX(Vol_V,1,BI$133)/12*(1+V_dVol),0))</f>
        <v>0</v>
      </c>
      <c r="BJ140" s="34" t="n">
        <f aca="false">IF(BJ$8=1,N(Reales!BJ12),IF(BJ$134=1,INDEX(Vol_V,1,BJ$133)/12*(1+V_dVol),0))</f>
        <v>0</v>
      </c>
      <c r="BK140" s="34" t="n">
        <f aca="false">IF(BK$8=1,N(Reales!BK12),IF(BK$134=1,INDEX(Vol_V,1,BK$133)/12*(1+V_dVol),0))</f>
        <v>0</v>
      </c>
      <c r="BL140" s="34" t="n">
        <f aca="false">IF(BL$8=1,N(Reales!BL12),IF(BL$134=1,INDEX(Vol_V,1,BL$133)/12*(1+V_dVol),0))</f>
        <v>0</v>
      </c>
      <c r="BM140" s="34" t="n">
        <f aca="false">IF(BM$8=1,N(Reales!BM12),IF(BM$134=1,INDEX(Vol_V,1,BM$133)/12*(1+V_dVol),0))</f>
        <v>0</v>
      </c>
      <c r="BN140" s="34" t="n">
        <f aca="false">IF(BN$8=1,N(Reales!BN12),IF(BN$134=1,INDEX(Vol_V,1,BN$133)/12*(1+V_dVol),0))</f>
        <v>0</v>
      </c>
      <c r="BO140" s="34" t="n">
        <f aca="false">IF(BO$8=1,N(Reales!BO12),IF(BO$134=1,INDEX(Vol_V,1,BO$133)/12*(1+V_dVol),0))</f>
        <v>0</v>
      </c>
      <c r="BP140" s="34" t="n">
        <f aca="false">IF(BP$8=1,N(Reales!BP12),IF(BP$134=1,INDEX(Vol_V,1,BP$133)/12*(1+V_dVol),0))</f>
        <v>0</v>
      </c>
      <c r="BQ140" s="34" t="n">
        <f aca="false">IF(BQ$8=1,N(Reales!BQ12),IF(BQ$134=1,INDEX(Vol_V,1,BQ$133)/12*(1+V_dVol),0))</f>
        <v>0</v>
      </c>
      <c r="BR140" s="34" t="n">
        <f aca="false">IF(BR$8=1,N(Reales!BR12),IF(BR$134=1,INDEX(Vol_V,1,BR$133)/12*(1+V_dVol),0))</f>
        <v>0</v>
      </c>
      <c r="BS140" s="34" t="n">
        <f aca="false">IF(BS$8=1,N(Reales!BS12),IF(BS$134=1,INDEX(Vol_V,1,BS$133)/12*(1+V_dVol),0))</f>
        <v>0</v>
      </c>
      <c r="BT140" s="34" t="n">
        <f aca="false">IF(BT$8=1,N(Reales!BT12),IF(BT$134=1,INDEX(Vol_V,1,BT$133)/12*(1+V_dVol),0))</f>
        <v>0</v>
      </c>
      <c r="BU140" s="34" t="n">
        <f aca="false">IF(BU$8=1,N(Reales!BU12),IF(BU$134=1,INDEX(Vol_V,1,BU$133)/12*(1+V_dVol),0))</f>
        <v>0</v>
      </c>
      <c r="BV140" s="34" t="n">
        <f aca="false">IF(BV$8=1,N(Reales!BV12),IF(BV$134=1,INDEX(Vol_V,1,BV$133)/12*(1+V_dVol),0))</f>
        <v>0</v>
      </c>
      <c r="BW140" s="34" t="n">
        <f aca="false">IF(BW$8=1,N(Reales!BW12),IF(BW$134=1,INDEX(Vol_V,1,BW$133)/12*(1+V_dVol),0))</f>
        <v>0</v>
      </c>
      <c r="BX140" s="34" t="n">
        <f aca="false">IF(BX$8=1,N(Reales!BX12),IF(BX$134=1,INDEX(Vol_V,1,BX$133)/12*(1+V_dVol),0))</f>
        <v>0</v>
      </c>
      <c r="BY140" s="34" t="n">
        <f aca="false">IF(BY$8=1,N(Reales!BY12),IF(BY$134=1,INDEX(Vol_V,1,BY$133)/12*(1+V_dVol),0))</f>
        <v>0</v>
      </c>
      <c r="BZ140" s="34" t="n">
        <f aca="false">IF(BZ$8=1,N(Reales!BZ12),IF(BZ$134=1,INDEX(Vol_V,1,BZ$133)/12*(1+V_dVol),0))</f>
        <v>0</v>
      </c>
      <c r="CA140" s="34" t="n">
        <f aca="false">IF(CA$8=1,N(Reales!CA12),IF(CA$134=1,INDEX(Vol_V,1,CA$133)/12*(1+V_dVol),0))</f>
        <v>0</v>
      </c>
      <c r="CB140" s="34" t="n">
        <f aca="false">IF(CB$8=1,N(Reales!CB12),IF(CB$134=1,INDEX(Vol_V,1,CB$133)/12*(1+V_dVol),0))</f>
        <v>0</v>
      </c>
      <c r="CC140" s="34" t="n">
        <f aca="false">IF(CC$8=1,N(Reales!CC12),IF(CC$134=1,INDEX(Vol_V,1,CC$133)/12*(1+V_dVol),0))</f>
        <v>0</v>
      </c>
      <c r="CD140" s="34" t="n">
        <f aca="false">IF(CD$8=1,N(Reales!CD12),IF(CD$134=1,INDEX(Vol_V,1,CD$133)/12*(1+V_dVol),0))</f>
        <v>0</v>
      </c>
      <c r="CE140" s="34" t="n">
        <f aca="false">IF(CE$8=1,N(Reales!CE12),IF(CE$134=1,INDEX(Vol_V,1,CE$133)/12*(1+V_dVol),0))</f>
        <v>0</v>
      </c>
      <c r="CF140" s="34" t="n">
        <f aca="false">IF(CF$8=1,N(Reales!CF12),IF(CF$134=1,INDEX(Vol_V,1,CF$133)/12*(1+V_dVol),0))</f>
        <v>0</v>
      </c>
      <c r="CG140" s="34" t="n">
        <f aca="false">IF(CG$8=1,N(Reales!CG12),IF(CG$134=1,INDEX(Vol_V,1,CG$133)/12*(1+V_dVol),0))</f>
        <v>0</v>
      </c>
      <c r="CH140" s="34" t="n">
        <f aca="false">IF(CH$8=1,N(Reales!CH12),IF(CH$134=1,INDEX(Vol_V,1,CH$133)/12*(1+V_dVol),0))</f>
        <v>0</v>
      </c>
      <c r="CI140" s="34" t="n">
        <f aca="false">IF(CI$8=1,N(Reales!CI12),IF(CI$134=1,INDEX(Vol_V,1,CI$133)/12*(1+V_dVol),0))</f>
        <v>0</v>
      </c>
      <c r="CJ140" s="34" t="n">
        <f aca="false">IF(CJ$8=1,N(Reales!CJ12),IF(CJ$134=1,INDEX(Vol_V,1,CJ$133)/12*(1+V_dVol),0))</f>
        <v>0</v>
      </c>
      <c r="CK140" s="34" t="n">
        <f aca="false">IF(CK$8=1,N(Reales!CK12),IF(CK$134=1,INDEX(Vol_V,1,CK$133)/12*(1+V_dVol),0))</f>
        <v>0</v>
      </c>
      <c r="CL140" s="34" t="n">
        <f aca="false">IF(CL$8=1,N(Reales!CL12),IF(CL$134=1,INDEX(Vol_V,1,CL$133)/12*(1+V_dVol),0))</f>
        <v>0</v>
      </c>
      <c r="CM140" s="34" t="n">
        <f aca="false">IF(CM$8=1,N(Reales!CM12),IF(CM$134=1,INDEX(Vol_V,1,CM$133)/12*(1+V_dVol),0))</f>
        <v>0</v>
      </c>
      <c r="CN140" s="34" t="n">
        <f aca="false">IF(CN$8=1,N(Reales!CN12),IF(CN$134=1,INDEX(Vol_V,1,CN$133)/12*(1+V_dVol),0))</f>
        <v>0</v>
      </c>
      <c r="CO140" s="34" t="n">
        <f aca="false">IF(CO$8=1,N(Reales!CO12),IF(CO$134=1,INDEX(Vol_V,1,CO$133)/12*(1+V_dVol),0))</f>
        <v>0</v>
      </c>
      <c r="CP140" s="34" t="n">
        <f aca="false">IF(CP$8=1,N(Reales!CP12),IF(CP$134=1,INDEX(Vol_V,1,CP$133)/12*(1+V_dVol),0))</f>
        <v>0</v>
      </c>
      <c r="CQ140" s="34" t="n">
        <f aca="false">IF(CQ$8=1,N(Reales!CQ12),IF(CQ$134=1,INDEX(Vol_V,1,CQ$133)/12*(1+V_dVol),0))</f>
        <v>0</v>
      </c>
      <c r="CR140" s="34" t="n">
        <f aca="false">IF(CR$8=1,N(Reales!CR12),IF(CR$134=1,INDEX(Vol_V,1,CR$133)/12*(1+V_dVol),0))</f>
        <v>0</v>
      </c>
      <c r="CS140" s="34" t="n">
        <f aca="false">IF(CS$8=1,N(Reales!CS12),IF(CS$134=1,INDEX(Vol_V,1,CS$133)/12*(1+V_dVol),0))</f>
        <v>0</v>
      </c>
      <c r="CT140" s="34" t="n">
        <f aca="false">IF(CT$8=1,N(Reales!CT12),IF(CT$134=1,INDEX(Vol_V,1,CT$133)/12*(1+V_dVol),0))</f>
        <v>0</v>
      </c>
      <c r="CU140" s="34" t="n">
        <f aca="false">IF(CU$8=1,N(Reales!CU12),IF(CU$134=1,INDEX(Vol_V,1,CU$133)/12*(1+V_dVol),0))</f>
        <v>0</v>
      </c>
      <c r="CV140" s="34" t="n">
        <f aca="false">IF(CV$8=1,N(Reales!CV12),IF(CV$134=1,INDEX(Vol_V,1,CV$133)/12*(1+V_dVol),0))</f>
        <v>0</v>
      </c>
      <c r="CW140" s="34" t="n">
        <f aca="false">IF(CW$8=1,N(Reales!CW12),IF(CW$134=1,INDEX(Vol_V,1,CW$133)/12*(1+V_dVol),0))</f>
        <v>0</v>
      </c>
      <c r="CX140" s="34" t="n">
        <f aca="false">IF(CX$8=1,N(Reales!CX12),IF(CX$134=1,INDEX(Vol_V,1,CX$133)/12*(1+V_dVol),0))</f>
        <v>0</v>
      </c>
      <c r="CY140" s="34" t="n">
        <f aca="false">IF(CY$8=1,N(Reales!CY12),IF(CY$134=1,INDEX(Vol_V,1,CY$133)/12*(1+V_dVol),0))</f>
        <v>0</v>
      </c>
      <c r="CZ140" s="34" t="n">
        <f aca="false">IF(CZ$8=1,N(Reales!CZ12),IF(CZ$134=1,INDEX(Vol_V,1,CZ$133)/12*(1+V_dVol),0))</f>
        <v>0</v>
      </c>
      <c r="DA140" s="34" t="n">
        <f aca="false">IF(DA$8=1,N(Reales!DA12),IF(DA$134=1,INDEX(Vol_V,1,DA$133)/12*(1+V_dVol),0))</f>
        <v>0</v>
      </c>
      <c r="DB140" s="34" t="n">
        <f aca="false">IF(DB$8=1,N(Reales!DB12),IF(DB$134=1,INDEX(Vol_V,1,DB$133)/12*(1+V_dVol),0))</f>
        <v>0</v>
      </c>
      <c r="DC140" s="34" t="n">
        <f aca="false">IF(DC$8=1,N(Reales!DC12),IF(DC$134=1,INDEX(Vol_V,1,DC$133)/12*(1+V_dVol),0))</f>
        <v>0</v>
      </c>
      <c r="DD140" s="34" t="n">
        <f aca="false">IF(DD$8=1,N(Reales!DD12),IF(DD$134=1,INDEX(Vol_V,1,DD$133)/12*(1+V_dVol),0))</f>
        <v>0</v>
      </c>
      <c r="DE140" s="34" t="n">
        <f aca="false">IF(DE$8=1,N(Reales!DE12),IF(DE$134=1,INDEX(Vol_V,1,DE$133)/12*(1+V_dVol),0))</f>
        <v>0</v>
      </c>
      <c r="DF140" s="34" t="n">
        <f aca="false">IF(DF$8=1,N(Reales!DF12),IF(DF$134=1,INDEX(Vol_V,1,DF$133)/12*(1+V_dVol),0))</f>
        <v>0</v>
      </c>
      <c r="DG140" s="34" t="n">
        <f aca="false">IF(DG$8=1,N(Reales!DG12),IF(DG$134=1,INDEX(Vol_V,1,DG$133)/12*(1+V_dVol),0))</f>
        <v>0</v>
      </c>
      <c r="DH140" s="34" t="n">
        <f aca="false">IF(DH$8=1,N(Reales!DH12),IF(DH$134=1,INDEX(Vol_V,1,DH$133)/12*(1+V_dVol),0))</f>
        <v>0</v>
      </c>
      <c r="DI140" s="34" t="n">
        <f aca="false">IF(DI$8=1,N(Reales!DI12),IF(DI$134=1,INDEX(Vol_V,1,DI$133)/12*(1+V_dVol),0))</f>
        <v>0</v>
      </c>
      <c r="DJ140" s="34" t="n">
        <f aca="false">IF(DJ$8=1,N(Reales!DJ12),IF(DJ$134=1,INDEX(Vol_V,1,DJ$133)/12*(1+V_dVol),0))</f>
        <v>0</v>
      </c>
      <c r="DK140" s="34" t="n">
        <f aca="false">IF(DK$8=1,N(Reales!DK12),IF(DK$134=1,INDEX(Vol_V,1,DK$133)/12*(1+V_dVol),0))</f>
        <v>0</v>
      </c>
      <c r="DL140" s="34" t="n">
        <f aca="false">IF(DL$8=1,N(Reales!DL12),IF(DL$134=1,INDEX(Vol_V,1,DL$133)/12*(1+V_dVol),0))</f>
        <v>0</v>
      </c>
      <c r="DM140" s="34" t="n">
        <f aca="false">IF(DM$8=1,N(Reales!DM12),IF(DM$134=1,INDEX(Vol_V,1,DM$133)/12*(1+V_dVol),0))</f>
        <v>0</v>
      </c>
      <c r="DN140" s="34" t="n">
        <f aca="false">IF(DN$8=1,N(Reales!DN12),IF(DN$134=1,INDEX(Vol_V,1,DN$133)/12*(1+V_dVol),0))</f>
        <v>0</v>
      </c>
      <c r="DO140" s="34" t="n">
        <f aca="false">IF(DO$8=1,N(Reales!DO12),IF(DO$134=1,INDEX(Vol_V,1,DO$133)/12*(1+V_dVol),0))</f>
        <v>0</v>
      </c>
      <c r="DP140" s="34" t="n">
        <f aca="false">IF(DP$8=1,N(Reales!DP12),IF(DP$134=1,INDEX(Vol_V,1,DP$133)/12*(1+V_dVol),0))</f>
        <v>0</v>
      </c>
      <c r="DQ140" s="34" t="n">
        <f aca="false">IF(DQ$8=1,N(Reales!DQ12),IF(DQ$134=1,INDEX(Vol_V,1,DQ$133)/12*(1+V_dVol),0))</f>
        <v>0</v>
      </c>
      <c r="DR140" s="34" t="n">
        <f aca="false">IF(DR$8=1,N(Reales!DR12),IF(DR$134=1,INDEX(Vol_V,1,DR$133)/12*(1+V_dVol),0))</f>
        <v>0</v>
      </c>
      <c r="DS140" s="34" t="n">
        <f aca="false">IF(DS$8=1,N(Reales!DS12),IF(DS$134=1,INDEX(Vol_V,1,DS$133)/12*(1+V_dVol),0))</f>
        <v>0</v>
      </c>
      <c r="DT140" s="34" t="n">
        <f aca="false">IF(DT$8=1,N(Reales!DT12),IF(DT$134=1,INDEX(Vol_V,1,DT$133)/12*(1+V_dVol),0))</f>
        <v>0</v>
      </c>
      <c r="DU140" s="34" t="n">
        <f aca="false">IF(DU$8=1,N(Reales!DU12),IF(DU$134=1,INDEX(Vol_V,1,DU$133)/12*(1+V_dVol),0))</f>
        <v>0</v>
      </c>
      <c r="DV140" s="34" t="n">
        <f aca="false">IF(DV$8=1,N(Reales!DV12),IF(DV$134=1,INDEX(Vol_V,1,DV$133)/12*(1+V_dVol),0))</f>
        <v>0</v>
      </c>
      <c r="DW140" s="34" t="n">
        <f aca="false">IF(DW$8=1,N(Reales!DW12),IF(DW$134=1,INDEX(Vol_V,1,DW$133)/12*(1+V_dVol),0))</f>
        <v>0</v>
      </c>
      <c r="DX140" s="34" t="n">
        <f aca="false">IF(DX$8=1,N(Reales!DX12),IF(DX$134=1,INDEX(Vol_V,1,DX$133)/12*(1+V_dVol),0))</f>
        <v>0</v>
      </c>
      <c r="DY140" s="34" t="n">
        <f aca="false">IF(DY$8=1,N(Reales!DY12),IF(DY$134=1,INDEX(Vol_V,1,DY$133)/12*(1+V_dVol),0))</f>
        <v>0</v>
      </c>
      <c r="DZ140" s="34" t="n">
        <f aca="false">IF(DZ$8=1,N(Reales!DZ12),IF(DZ$134=1,INDEX(Vol_V,1,DZ$133)/12*(1+V_dVol),0))</f>
        <v>0</v>
      </c>
      <c r="EA140" s="34" t="n">
        <f aca="false">IF(EA$8=1,N(Reales!EA12),IF(EA$134=1,INDEX(Vol_V,1,EA$133)/12*(1+V_dVol),0))</f>
        <v>0</v>
      </c>
      <c r="EB140" s="34" t="n">
        <f aca="false">IF(EB$8=1,N(Reales!EB12),IF(EB$134=1,INDEX(Vol_V,1,EB$133)/12*(1+V_dVol),0))</f>
        <v>0</v>
      </c>
      <c r="EC140" s="34" t="n">
        <f aca="false">IF(EC$8=1,N(Reales!EC12),IF(EC$134=1,INDEX(Vol_V,1,EC$133)/12*(1+V_dVol),0))</f>
        <v>0</v>
      </c>
      <c r="ED140" s="34" t="n">
        <f aca="false">IF(ED$8=1,N(Reales!ED12),IF(ED$134=1,INDEX(Vol_V,1,ED$133)/12*(1+V_dVol),0))</f>
        <v>0</v>
      </c>
      <c r="EE140" s="34" t="n">
        <f aca="false">IF(EE$8=1,N(Reales!EE12),IF(EE$134=1,INDEX(Vol_V,1,EE$133)/12*(1+V_dVol),0))</f>
        <v>0</v>
      </c>
      <c r="EF140" s="34" t="n">
        <f aca="false">IF(EF$8=1,N(Reales!EF12),IF(EF$134=1,INDEX(Vol_V,1,EF$133)/12*(1+V_dVol),0))</f>
        <v>0</v>
      </c>
      <c r="EG140" s="34" t="n">
        <f aca="false">IF(EG$8=1,N(Reales!EG12),IF(EG$134=1,INDEX(Vol_V,1,EG$133)/12*(1+V_dVol),0))</f>
        <v>0</v>
      </c>
      <c r="EH140" s="34" t="n">
        <f aca="false">IF(EH$8=1,N(Reales!EH12),IF(EH$134=1,INDEX(Vol_V,1,EH$133)/12*(1+V_dVol),0))</f>
        <v>0</v>
      </c>
      <c r="EI140" s="34" t="n">
        <f aca="false">IF(EI$8=1,N(Reales!EI12),IF(EI$134=1,INDEX(Vol_V,1,EI$133)/12*(1+V_dVol),0))</f>
        <v>0</v>
      </c>
      <c r="EJ140" s="34" t="n">
        <f aca="false">IF(EJ$8=1,N(Reales!EJ12),IF(EJ$134=1,INDEX(Vol_V,1,EJ$133)/12*(1+V_dVol),0))</f>
        <v>0</v>
      </c>
      <c r="EK140" s="34" t="n">
        <f aca="false">IF(EK$8=1,N(Reales!EK12),IF(EK$134=1,INDEX(Vol_V,1,EK$133)/12*(1+V_dVol),0))</f>
        <v>0</v>
      </c>
      <c r="EL140" s="34" t="n">
        <f aca="false">IF(EL$8=1,N(Reales!EL12),IF(EL$134=1,INDEX(Vol_V,1,EL$133)/12*(1+V_dVol),0))</f>
        <v>0</v>
      </c>
      <c r="EM140" s="34" t="n">
        <f aca="false">IF(EM$8=1,N(Reales!EM12),IF(EM$134=1,INDEX(Vol_V,1,EM$133)/12*(1+V_dVol),0))</f>
        <v>0</v>
      </c>
      <c r="EN140" s="34" t="n">
        <f aca="false">IF(EN$8=1,N(Reales!EN12),IF(EN$134=1,INDEX(Vol_V,1,EN$133)/12*(1+V_dVol),0))</f>
        <v>0</v>
      </c>
      <c r="EO140" s="34" t="n">
        <f aca="false">IF(EO$8=1,N(Reales!EO12),IF(EO$134=1,INDEX(Vol_V,1,EO$133)/12*(1+V_dVol),0))</f>
        <v>0</v>
      </c>
      <c r="EP140" s="34" t="n">
        <f aca="false">IF(EP$8=1,N(Reales!EP12),IF(EP$134=1,INDEX(Vol_V,1,EP$133)/12*(1+V_dVol),0))</f>
        <v>0</v>
      </c>
      <c r="EQ140" s="34" t="n">
        <f aca="false">IF(EQ$8=1,N(Reales!EQ12),IF(EQ$134=1,INDEX(Vol_V,1,EQ$133)/12*(1+V_dVol),0))</f>
        <v>0</v>
      </c>
      <c r="ER140" s="34" t="n">
        <f aca="false">IF(ER$8=1,N(Reales!ER12),IF(ER$134=1,INDEX(Vol_V,1,ER$133)/12*(1+V_dVol),0))</f>
        <v>0</v>
      </c>
      <c r="ES140" s="34" t="n">
        <f aca="false">IF(ES$8=1,N(Reales!ES12),IF(ES$134=1,INDEX(Vol_V,1,ES$133)/12*(1+V_dVol),0))</f>
        <v>0</v>
      </c>
    </row>
    <row r="141" customFormat="false" ht="15" hidden="false" customHeight="false" outlineLevel="0" collapsed="false">
      <c r="A141" s="2" t="s">
        <v>620</v>
      </c>
      <c r="B141" s="39" t="str">
        <f aca="false">IF(INDEX(Prod_Nombre,2)="","Producto 2",INDEX(Prod_Nombre,2))&amp;" — unidades"</f>
        <v>Producto 2 — unidades</v>
      </c>
      <c r="C141" s="6" t="s">
        <v>337</v>
      </c>
      <c r="E141" s="40" t="n">
        <f aca="false">SUM(F141:ES141)</f>
        <v>0</v>
      </c>
      <c r="F141" s="34" t="n">
        <f aca="false">IF(F$8=1,N(Reales!F13),IF(F$134=1,INDEX(Vol_V,2,F$133)/12*(1+V_dVol),0))</f>
        <v>0</v>
      </c>
      <c r="G141" s="34" t="n">
        <f aca="false">IF(G$8=1,N(Reales!G13),IF(G$134=1,INDEX(Vol_V,2,G$133)/12*(1+V_dVol),0))</f>
        <v>0</v>
      </c>
      <c r="H141" s="34" t="n">
        <f aca="false">IF(H$8=1,N(Reales!H13),IF(H$134=1,INDEX(Vol_V,2,H$133)/12*(1+V_dVol),0))</f>
        <v>0</v>
      </c>
      <c r="I141" s="34" t="n">
        <f aca="false">IF(I$8=1,N(Reales!I13),IF(I$134=1,INDEX(Vol_V,2,I$133)/12*(1+V_dVol),0))</f>
        <v>0</v>
      </c>
      <c r="J141" s="34" t="n">
        <f aca="false">IF(J$8=1,N(Reales!J13),IF(J$134=1,INDEX(Vol_V,2,J$133)/12*(1+V_dVol),0))</f>
        <v>0</v>
      </c>
      <c r="K141" s="34" t="n">
        <f aca="false">IF(K$8=1,N(Reales!K13),IF(K$134=1,INDEX(Vol_V,2,K$133)/12*(1+V_dVol),0))</f>
        <v>0</v>
      </c>
      <c r="L141" s="34" t="n">
        <f aca="false">IF(L$8=1,N(Reales!L13),IF(L$134=1,INDEX(Vol_V,2,L$133)/12*(1+V_dVol),0))</f>
        <v>0</v>
      </c>
      <c r="M141" s="34" t="n">
        <f aca="false">IF(M$8=1,N(Reales!M13),IF(M$134=1,INDEX(Vol_V,2,M$133)/12*(1+V_dVol),0))</f>
        <v>0</v>
      </c>
      <c r="N141" s="34" t="n">
        <f aca="false">IF(N$8=1,N(Reales!N13),IF(N$134=1,INDEX(Vol_V,2,N$133)/12*(1+V_dVol),0))</f>
        <v>0</v>
      </c>
      <c r="O141" s="34" t="n">
        <f aca="false">IF(O$8=1,N(Reales!O13),IF(O$134=1,INDEX(Vol_V,2,O$133)/12*(1+V_dVol),0))</f>
        <v>0</v>
      </c>
      <c r="P141" s="34" t="n">
        <f aca="false">IF(P$8=1,N(Reales!P13),IF(P$134=1,INDEX(Vol_V,2,P$133)/12*(1+V_dVol),0))</f>
        <v>0</v>
      </c>
      <c r="Q141" s="34" t="n">
        <f aca="false">IF(Q$8=1,N(Reales!Q13),IF(Q$134=1,INDEX(Vol_V,2,Q$133)/12*(1+V_dVol),0))</f>
        <v>0</v>
      </c>
      <c r="R141" s="34" t="n">
        <f aca="false">IF(R$8=1,N(Reales!R13),IF(R$134=1,INDEX(Vol_V,2,R$133)/12*(1+V_dVol),0))</f>
        <v>0</v>
      </c>
      <c r="S141" s="34" t="n">
        <f aca="false">IF(S$8=1,N(Reales!S13),IF(S$134=1,INDEX(Vol_V,2,S$133)/12*(1+V_dVol),0))</f>
        <v>0</v>
      </c>
      <c r="T141" s="34" t="n">
        <f aca="false">IF(T$8=1,N(Reales!T13),IF(T$134=1,INDEX(Vol_V,2,T$133)/12*(1+V_dVol),0))</f>
        <v>0</v>
      </c>
      <c r="U141" s="34" t="n">
        <f aca="false">IF(U$8=1,N(Reales!U13),IF(U$134=1,INDEX(Vol_V,2,U$133)/12*(1+V_dVol),0))</f>
        <v>0</v>
      </c>
      <c r="V141" s="34" t="n">
        <f aca="false">IF(V$8=1,N(Reales!V13),IF(V$134=1,INDEX(Vol_V,2,V$133)/12*(1+V_dVol),0))</f>
        <v>0</v>
      </c>
      <c r="W141" s="34" t="n">
        <f aca="false">IF(W$8=1,N(Reales!W13),IF(W$134=1,INDEX(Vol_V,2,W$133)/12*(1+V_dVol),0))</f>
        <v>0</v>
      </c>
      <c r="X141" s="34" t="n">
        <f aca="false">IF(X$8=1,N(Reales!X13),IF(X$134=1,INDEX(Vol_V,2,X$133)/12*(1+V_dVol),0))</f>
        <v>0</v>
      </c>
      <c r="Y141" s="34" t="n">
        <f aca="false">IF(Y$8=1,N(Reales!Y13),IF(Y$134=1,INDEX(Vol_V,2,Y$133)/12*(1+V_dVol),0))</f>
        <v>0</v>
      </c>
      <c r="Z141" s="34" t="n">
        <f aca="false">IF(Z$8=1,N(Reales!Z13),IF(Z$134=1,INDEX(Vol_V,2,Z$133)/12*(1+V_dVol),0))</f>
        <v>0</v>
      </c>
      <c r="AA141" s="34" t="n">
        <f aca="false">IF(AA$8=1,N(Reales!AA13),IF(AA$134=1,INDEX(Vol_V,2,AA$133)/12*(1+V_dVol),0))</f>
        <v>0</v>
      </c>
      <c r="AB141" s="34" t="n">
        <f aca="false">IF(AB$8=1,N(Reales!AB13),IF(AB$134=1,INDEX(Vol_V,2,AB$133)/12*(1+V_dVol),0))</f>
        <v>0</v>
      </c>
      <c r="AC141" s="34" t="n">
        <f aca="false">IF(AC$8=1,N(Reales!AC13),IF(AC$134=1,INDEX(Vol_V,2,AC$133)/12*(1+V_dVol),0))</f>
        <v>0</v>
      </c>
      <c r="AD141" s="34" t="n">
        <f aca="false">IF(AD$8=1,N(Reales!AD13),IF(AD$134=1,INDEX(Vol_V,2,AD$133)/12*(1+V_dVol),0))</f>
        <v>0</v>
      </c>
      <c r="AE141" s="34" t="n">
        <f aca="false">IF(AE$8=1,N(Reales!AE13),IF(AE$134=1,INDEX(Vol_V,2,AE$133)/12*(1+V_dVol),0))</f>
        <v>0</v>
      </c>
      <c r="AF141" s="34" t="n">
        <f aca="false">IF(AF$8=1,N(Reales!AF13),IF(AF$134=1,INDEX(Vol_V,2,AF$133)/12*(1+V_dVol),0))</f>
        <v>0</v>
      </c>
      <c r="AG141" s="34" t="n">
        <f aca="false">IF(AG$8=1,N(Reales!AG13),IF(AG$134=1,INDEX(Vol_V,2,AG$133)/12*(1+V_dVol),0))</f>
        <v>0</v>
      </c>
      <c r="AH141" s="34" t="n">
        <f aca="false">IF(AH$8=1,N(Reales!AH13),IF(AH$134=1,INDEX(Vol_V,2,AH$133)/12*(1+V_dVol),0))</f>
        <v>0</v>
      </c>
      <c r="AI141" s="34" t="n">
        <f aca="false">IF(AI$8=1,N(Reales!AI13),IF(AI$134=1,INDEX(Vol_V,2,AI$133)/12*(1+V_dVol),0))</f>
        <v>0</v>
      </c>
      <c r="AJ141" s="34" t="n">
        <f aca="false">IF(AJ$8=1,N(Reales!AJ13),IF(AJ$134=1,INDEX(Vol_V,2,AJ$133)/12*(1+V_dVol),0))</f>
        <v>0</v>
      </c>
      <c r="AK141" s="34" t="n">
        <f aca="false">IF(AK$8=1,N(Reales!AK13),IF(AK$134=1,INDEX(Vol_V,2,AK$133)/12*(1+V_dVol),0))</f>
        <v>0</v>
      </c>
      <c r="AL141" s="34" t="n">
        <f aca="false">IF(AL$8=1,N(Reales!AL13),IF(AL$134=1,INDEX(Vol_V,2,AL$133)/12*(1+V_dVol),0))</f>
        <v>0</v>
      </c>
      <c r="AM141" s="34" t="n">
        <f aca="false">IF(AM$8=1,N(Reales!AM13),IF(AM$134=1,INDEX(Vol_V,2,AM$133)/12*(1+V_dVol),0))</f>
        <v>0</v>
      </c>
      <c r="AN141" s="34" t="n">
        <f aca="false">IF(AN$8=1,N(Reales!AN13),IF(AN$134=1,INDEX(Vol_V,2,AN$133)/12*(1+V_dVol),0))</f>
        <v>0</v>
      </c>
      <c r="AO141" s="34" t="n">
        <f aca="false">IF(AO$8=1,N(Reales!AO13),IF(AO$134=1,INDEX(Vol_V,2,AO$133)/12*(1+V_dVol),0))</f>
        <v>0</v>
      </c>
      <c r="AP141" s="34" t="n">
        <f aca="false">IF(AP$8=1,N(Reales!AP13),IF(AP$134=1,INDEX(Vol_V,2,AP$133)/12*(1+V_dVol),0))</f>
        <v>0</v>
      </c>
      <c r="AQ141" s="34" t="n">
        <f aca="false">IF(AQ$8=1,N(Reales!AQ13),IF(AQ$134=1,INDEX(Vol_V,2,AQ$133)/12*(1+V_dVol),0))</f>
        <v>0</v>
      </c>
      <c r="AR141" s="34" t="n">
        <f aca="false">IF(AR$8=1,N(Reales!AR13),IF(AR$134=1,INDEX(Vol_V,2,AR$133)/12*(1+V_dVol),0))</f>
        <v>0</v>
      </c>
      <c r="AS141" s="34" t="n">
        <f aca="false">IF(AS$8=1,N(Reales!AS13),IF(AS$134=1,INDEX(Vol_V,2,AS$133)/12*(1+V_dVol),0))</f>
        <v>0</v>
      </c>
      <c r="AT141" s="34" t="n">
        <f aca="false">IF(AT$8=1,N(Reales!AT13),IF(AT$134=1,INDEX(Vol_V,2,AT$133)/12*(1+V_dVol),0))</f>
        <v>0</v>
      </c>
      <c r="AU141" s="34" t="n">
        <f aca="false">IF(AU$8=1,N(Reales!AU13),IF(AU$134=1,INDEX(Vol_V,2,AU$133)/12*(1+V_dVol),0))</f>
        <v>0</v>
      </c>
      <c r="AV141" s="34" t="n">
        <f aca="false">IF(AV$8=1,N(Reales!AV13),IF(AV$134=1,INDEX(Vol_V,2,AV$133)/12*(1+V_dVol),0))</f>
        <v>0</v>
      </c>
      <c r="AW141" s="34" t="n">
        <f aca="false">IF(AW$8=1,N(Reales!AW13),IF(AW$134=1,INDEX(Vol_V,2,AW$133)/12*(1+V_dVol),0))</f>
        <v>0</v>
      </c>
      <c r="AX141" s="34" t="n">
        <f aca="false">IF(AX$8=1,N(Reales!AX13),IF(AX$134=1,INDEX(Vol_V,2,AX$133)/12*(1+V_dVol),0))</f>
        <v>0</v>
      </c>
      <c r="AY141" s="34" t="n">
        <f aca="false">IF(AY$8=1,N(Reales!AY13),IF(AY$134=1,INDEX(Vol_V,2,AY$133)/12*(1+V_dVol),0))</f>
        <v>0</v>
      </c>
      <c r="AZ141" s="34" t="n">
        <f aca="false">IF(AZ$8=1,N(Reales!AZ13),IF(AZ$134=1,INDEX(Vol_V,2,AZ$133)/12*(1+V_dVol),0))</f>
        <v>0</v>
      </c>
      <c r="BA141" s="34" t="n">
        <f aca="false">IF(BA$8=1,N(Reales!BA13),IF(BA$134=1,INDEX(Vol_V,2,BA$133)/12*(1+V_dVol),0))</f>
        <v>0</v>
      </c>
      <c r="BB141" s="34" t="n">
        <f aca="false">IF(BB$8=1,N(Reales!BB13),IF(BB$134=1,INDEX(Vol_V,2,BB$133)/12*(1+V_dVol),0))</f>
        <v>0</v>
      </c>
      <c r="BC141" s="34" t="n">
        <f aca="false">IF(BC$8=1,N(Reales!BC13),IF(BC$134=1,INDEX(Vol_V,2,BC$133)/12*(1+V_dVol),0))</f>
        <v>0</v>
      </c>
      <c r="BD141" s="34" t="n">
        <f aca="false">IF(BD$8=1,N(Reales!BD13),IF(BD$134=1,INDEX(Vol_V,2,BD$133)/12*(1+V_dVol),0))</f>
        <v>0</v>
      </c>
      <c r="BE141" s="34" t="n">
        <f aca="false">IF(BE$8=1,N(Reales!BE13),IF(BE$134=1,INDEX(Vol_V,2,BE$133)/12*(1+V_dVol),0))</f>
        <v>0</v>
      </c>
      <c r="BF141" s="34" t="n">
        <f aca="false">IF(BF$8=1,N(Reales!BF13),IF(BF$134=1,INDEX(Vol_V,2,BF$133)/12*(1+V_dVol),0))</f>
        <v>0</v>
      </c>
      <c r="BG141" s="34" t="n">
        <f aca="false">IF(BG$8=1,N(Reales!BG13),IF(BG$134=1,INDEX(Vol_V,2,BG$133)/12*(1+V_dVol),0))</f>
        <v>0</v>
      </c>
      <c r="BH141" s="34" t="n">
        <f aca="false">IF(BH$8=1,N(Reales!BH13),IF(BH$134=1,INDEX(Vol_V,2,BH$133)/12*(1+V_dVol),0))</f>
        <v>0</v>
      </c>
      <c r="BI141" s="34" t="n">
        <f aca="false">IF(BI$8=1,N(Reales!BI13),IF(BI$134=1,INDEX(Vol_V,2,BI$133)/12*(1+V_dVol),0))</f>
        <v>0</v>
      </c>
      <c r="BJ141" s="34" t="n">
        <f aca="false">IF(BJ$8=1,N(Reales!BJ13),IF(BJ$134=1,INDEX(Vol_V,2,BJ$133)/12*(1+V_dVol),0))</f>
        <v>0</v>
      </c>
      <c r="BK141" s="34" t="n">
        <f aca="false">IF(BK$8=1,N(Reales!BK13),IF(BK$134=1,INDEX(Vol_V,2,BK$133)/12*(1+V_dVol),0))</f>
        <v>0</v>
      </c>
      <c r="BL141" s="34" t="n">
        <f aca="false">IF(BL$8=1,N(Reales!BL13),IF(BL$134=1,INDEX(Vol_V,2,BL$133)/12*(1+V_dVol),0))</f>
        <v>0</v>
      </c>
      <c r="BM141" s="34" t="n">
        <f aca="false">IF(BM$8=1,N(Reales!BM13),IF(BM$134=1,INDEX(Vol_V,2,BM$133)/12*(1+V_dVol),0))</f>
        <v>0</v>
      </c>
      <c r="BN141" s="34" t="n">
        <f aca="false">IF(BN$8=1,N(Reales!BN13),IF(BN$134=1,INDEX(Vol_V,2,BN$133)/12*(1+V_dVol),0))</f>
        <v>0</v>
      </c>
      <c r="BO141" s="34" t="n">
        <f aca="false">IF(BO$8=1,N(Reales!BO13),IF(BO$134=1,INDEX(Vol_V,2,BO$133)/12*(1+V_dVol),0))</f>
        <v>0</v>
      </c>
      <c r="BP141" s="34" t="n">
        <f aca="false">IF(BP$8=1,N(Reales!BP13),IF(BP$134=1,INDEX(Vol_V,2,BP$133)/12*(1+V_dVol),0))</f>
        <v>0</v>
      </c>
      <c r="BQ141" s="34" t="n">
        <f aca="false">IF(BQ$8=1,N(Reales!BQ13),IF(BQ$134=1,INDEX(Vol_V,2,BQ$133)/12*(1+V_dVol),0))</f>
        <v>0</v>
      </c>
      <c r="BR141" s="34" t="n">
        <f aca="false">IF(BR$8=1,N(Reales!BR13),IF(BR$134=1,INDEX(Vol_V,2,BR$133)/12*(1+V_dVol),0))</f>
        <v>0</v>
      </c>
      <c r="BS141" s="34" t="n">
        <f aca="false">IF(BS$8=1,N(Reales!BS13),IF(BS$134=1,INDEX(Vol_V,2,BS$133)/12*(1+V_dVol),0))</f>
        <v>0</v>
      </c>
      <c r="BT141" s="34" t="n">
        <f aca="false">IF(BT$8=1,N(Reales!BT13),IF(BT$134=1,INDEX(Vol_V,2,BT$133)/12*(1+V_dVol),0))</f>
        <v>0</v>
      </c>
      <c r="BU141" s="34" t="n">
        <f aca="false">IF(BU$8=1,N(Reales!BU13),IF(BU$134=1,INDEX(Vol_V,2,BU$133)/12*(1+V_dVol),0))</f>
        <v>0</v>
      </c>
      <c r="BV141" s="34" t="n">
        <f aca="false">IF(BV$8=1,N(Reales!BV13),IF(BV$134=1,INDEX(Vol_V,2,BV$133)/12*(1+V_dVol),0))</f>
        <v>0</v>
      </c>
      <c r="BW141" s="34" t="n">
        <f aca="false">IF(BW$8=1,N(Reales!BW13),IF(BW$134=1,INDEX(Vol_V,2,BW$133)/12*(1+V_dVol),0))</f>
        <v>0</v>
      </c>
      <c r="BX141" s="34" t="n">
        <f aca="false">IF(BX$8=1,N(Reales!BX13),IF(BX$134=1,INDEX(Vol_V,2,BX$133)/12*(1+V_dVol),0))</f>
        <v>0</v>
      </c>
      <c r="BY141" s="34" t="n">
        <f aca="false">IF(BY$8=1,N(Reales!BY13),IF(BY$134=1,INDEX(Vol_V,2,BY$133)/12*(1+V_dVol),0))</f>
        <v>0</v>
      </c>
      <c r="BZ141" s="34" t="n">
        <f aca="false">IF(BZ$8=1,N(Reales!BZ13),IF(BZ$134=1,INDEX(Vol_V,2,BZ$133)/12*(1+V_dVol),0))</f>
        <v>0</v>
      </c>
      <c r="CA141" s="34" t="n">
        <f aca="false">IF(CA$8=1,N(Reales!CA13),IF(CA$134=1,INDEX(Vol_V,2,CA$133)/12*(1+V_dVol),0))</f>
        <v>0</v>
      </c>
      <c r="CB141" s="34" t="n">
        <f aca="false">IF(CB$8=1,N(Reales!CB13),IF(CB$134=1,INDEX(Vol_V,2,CB$133)/12*(1+V_dVol),0))</f>
        <v>0</v>
      </c>
      <c r="CC141" s="34" t="n">
        <f aca="false">IF(CC$8=1,N(Reales!CC13),IF(CC$134=1,INDEX(Vol_V,2,CC$133)/12*(1+V_dVol),0))</f>
        <v>0</v>
      </c>
      <c r="CD141" s="34" t="n">
        <f aca="false">IF(CD$8=1,N(Reales!CD13),IF(CD$134=1,INDEX(Vol_V,2,CD$133)/12*(1+V_dVol),0))</f>
        <v>0</v>
      </c>
      <c r="CE141" s="34" t="n">
        <f aca="false">IF(CE$8=1,N(Reales!CE13),IF(CE$134=1,INDEX(Vol_V,2,CE$133)/12*(1+V_dVol),0))</f>
        <v>0</v>
      </c>
      <c r="CF141" s="34" t="n">
        <f aca="false">IF(CF$8=1,N(Reales!CF13),IF(CF$134=1,INDEX(Vol_V,2,CF$133)/12*(1+V_dVol),0))</f>
        <v>0</v>
      </c>
      <c r="CG141" s="34" t="n">
        <f aca="false">IF(CG$8=1,N(Reales!CG13),IF(CG$134=1,INDEX(Vol_V,2,CG$133)/12*(1+V_dVol),0))</f>
        <v>0</v>
      </c>
      <c r="CH141" s="34" t="n">
        <f aca="false">IF(CH$8=1,N(Reales!CH13),IF(CH$134=1,INDEX(Vol_V,2,CH$133)/12*(1+V_dVol),0))</f>
        <v>0</v>
      </c>
      <c r="CI141" s="34" t="n">
        <f aca="false">IF(CI$8=1,N(Reales!CI13),IF(CI$134=1,INDEX(Vol_V,2,CI$133)/12*(1+V_dVol),0))</f>
        <v>0</v>
      </c>
      <c r="CJ141" s="34" t="n">
        <f aca="false">IF(CJ$8=1,N(Reales!CJ13),IF(CJ$134=1,INDEX(Vol_V,2,CJ$133)/12*(1+V_dVol),0))</f>
        <v>0</v>
      </c>
      <c r="CK141" s="34" t="n">
        <f aca="false">IF(CK$8=1,N(Reales!CK13),IF(CK$134=1,INDEX(Vol_V,2,CK$133)/12*(1+V_dVol),0))</f>
        <v>0</v>
      </c>
      <c r="CL141" s="34" t="n">
        <f aca="false">IF(CL$8=1,N(Reales!CL13),IF(CL$134=1,INDEX(Vol_V,2,CL$133)/12*(1+V_dVol),0))</f>
        <v>0</v>
      </c>
      <c r="CM141" s="34" t="n">
        <f aca="false">IF(CM$8=1,N(Reales!CM13),IF(CM$134=1,INDEX(Vol_V,2,CM$133)/12*(1+V_dVol),0))</f>
        <v>0</v>
      </c>
      <c r="CN141" s="34" t="n">
        <f aca="false">IF(CN$8=1,N(Reales!CN13),IF(CN$134=1,INDEX(Vol_V,2,CN$133)/12*(1+V_dVol),0))</f>
        <v>0</v>
      </c>
      <c r="CO141" s="34" t="n">
        <f aca="false">IF(CO$8=1,N(Reales!CO13),IF(CO$134=1,INDEX(Vol_V,2,CO$133)/12*(1+V_dVol),0))</f>
        <v>0</v>
      </c>
      <c r="CP141" s="34" t="n">
        <f aca="false">IF(CP$8=1,N(Reales!CP13),IF(CP$134=1,INDEX(Vol_V,2,CP$133)/12*(1+V_dVol),0))</f>
        <v>0</v>
      </c>
      <c r="CQ141" s="34" t="n">
        <f aca="false">IF(CQ$8=1,N(Reales!CQ13),IF(CQ$134=1,INDEX(Vol_V,2,CQ$133)/12*(1+V_dVol),0))</f>
        <v>0</v>
      </c>
      <c r="CR141" s="34" t="n">
        <f aca="false">IF(CR$8=1,N(Reales!CR13),IF(CR$134=1,INDEX(Vol_V,2,CR$133)/12*(1+V_dVol),0))</f>
        <v>0</v>
      </c>
      <c r="CS141" s="34" t="n">
        <f aca="false">IF(CS$8=1,N(Reales!CS13),IF(CS$134=1,INDEX(Vol_V,2,CS$133)/12*(1+V_dVol),0))</f>
        <v>0</v>
      </c>
      <c r="CT141" s="34" t="n">
        <f aca="false">IF(CT$8=1,N(Reales!CT13),IF(CT$134=1,INDEX(Vol_V,2,CT$133)/12*(1+V_dVol),0))</f>
        <v>0</v>
      </c>
      <c r="CU141" s="34" t="n">
        <f aca="false">IF(CU$8=1,N(Reales!CU13),IF(CU$134=1,INDEX(Vol_V,2,CU$133)/12*(1+V_dVol),0))</f>
        <v>0</v>
      </c>
      <c r="CV141" s="34" t="n">
        <f aca="false">IF(CV$8=1,N(Reales!CV13),IF(CV$134=1,INDEX(Vol_V,2,CV$133)/12*(1+V_dVol),0))</f>
        <v>0</v>
      </c>
      <c r="CW141" s="34" t="n">
        <f aca="false">IF(CW$8=1,N(Reales!CW13),IF(CW$134=1,INDEX(Vol_V,2,CW$133)/12*(1+V_dVol),0))</f>
        <v>0</v>
      </c>
      <c r="CX141" s="34" t="n">
        <f aca="false">IF(CX$8=1,N(Reales!CX13),IF(CX$134=1,INDEX(Vol_V,2,CX$133)/12*(1+V_dVol),0))</f>
        <v>0</v>
      </c>
      <c r="CY141" s="34" t="n">
        <f aca="false">IF(CY$8=1,N(Reales!CY13),IF(CY$134=1,INDEX(Vol_V,2,CY$133)/12*(1+V_dVol),0))</f>
        <v>0</v>
      </c>
      <c r="CZ141" s="34" t="n">
        <f aca="false">IF(CZ$8=1,N(Reales!CZ13),IF(CZ$134=1,INDEX(Vol_V,2,CZ$133)/12*(1+V_dVol),0))</f>
        <v>0</v>
      </c>
      <c r="DA141" s="34" t="n">
        <f aca="false">IF(DA$8=1,N(Reales!DA13),IF(DA$134=1,INDEX(Vol_V,2,DA$133)/12*(1+V_dVol),0))</f>
        <v>0</v>
      </c>
      <c r="DB141" s="34" t="n">
        <f aca="false">IF(DB$8=1,N(Reales!DB13),IF(DB$134=1,INDEX(Vol_V,2,DB$133)/12*(1+V_dVol),0))</f>
        <v>0</v>
      </c>
      <c r="DC141" s="34" t="n">
        <f aca="false">IF(DC$8=1,N(Reales!DC13),IF(DC$134=1,INDEX(Vol_V,2,DC$133)/12*(1+V_dVol),0))</f>
        <v>0</v>
      </c>
      <c r="DD141" s="34" t="n">
        <f aca="false">IF(DD$8=1,N(Reales!DD13),IF(DD$134=1,INDEX(Vol_V,2,DD$133)/12*(1+V_dVol),0))</f>
        <v>0</v>
      </c>
      <c r="DE141" s="34" t="n">
        <f aca="false">IF(DE$8=1,N(Reales!DE13),IF(DE$134=1,INDEX(Vol_V,2,DE$133)/12*(1+V_dVol),0))</f>
        <v>0</v>
      </c>
      <c r="DF141" s="34" t="n">
        <f aca="false">IF(DF$8=1,N(Reales!DF13),IF(DF$134=1,INDEX(Vol_V,2,DF$133)/12*(1+V_dVol),0))</f>
        <v>0</v>
      </c>
      <c r="DG141" s="34" t="n">
        <f aca="false">IF(DG$8=1,N(Reales!DG13),IF(DG$134=1,INDEX(Vol_V,2,DG$133)/12*(1+V_dVol),0))</f>
        <v>0</v>
      </c>
      <c r="DH141" s="34" t="n">
        <f aca="false">IF(DH$8=1,N(Reales!DH13),IF(DH$134=1,INDEX(Vol_V,2,DH$133)/12*(1+V_dVol),0))</f>
        <v>0</v>
      </c>
      <c r="DI141" s="34" t="n">
        <f aca="false">IF(DI$8=1,N(Reales!DI13),IF(DI$134=1,INDEX(Vol_V,2,DI$133)/12*(1+V_dVol),0))</f>
        <v>0</v>
      </c>
      <c r="DJ141" s="34" t="n">
        <f aca="false">IF(DJ$8=1,N(Reales!DJ13),IF(DJ$134=1,INDEX(Vol_V,2,DJ$133)/12*(1+V_dVol),0))</f>
        <v>0</v>
      </c>
      <c r="DK141" s="34" t="n">
        <f aca="false">IF(DK$8=1,N(Reales!DK13),IF(DK$134=1,INDEX(Vol_V,2,DK$133)/12*(1+V_dVol),0))</f>
        <v>0</v>
      </c>
      <c r="DL141" s="34" t="n">
        <f aca="false">IF(DL$8=1,N(Reales!DL13),IF(DL$134=1,INDEX(Vol_V,2,DL$133)/12*(1+V_dVol),0))</f>
        <v>0</v>
      </c>
      <c r="DM141" s="34" t="n">
        <f aca="false">IF(DM$8=1,N(Reales!DM13),IF(DM$134=1,INDEX(Vol_V,2,DM$133)/12*(1+V_dVol),0))</f>
        <v>0</v>
      </c>
      <c r="DN141" s="34" t="n">
        <f aca="false">IF(DN$8=1,N(Reales!DN13),IF(DN$134=1,INDEX(Vol_V,2,DN$133)/12*(1+V_dVol),0))</f>
        <v>0</v>
      </c>
      <c r="DO141" s="34" t="n">
        <f aca="false">IF(DO$8=1,N(Reales!DO13),IF(DO$134=1,INDEX(Vol_V,2,DO$133)/12*(1+V_dVol),0))</f>
        <v>0</v>
      </c>
      <c r="DP141" s="34" t="n">
        <f aca="false">IF(DP$8=1,N(Reales!DP13),IF(DP$134=1,INDEX(Vol_V,2,DP$133)/12*(1+V_dVol),0))</f>
        <v>0</v>
      </c>
      <c r="DQ141" s="34" t="n">
        <f aca="false">IF(DQ$8=1,N(Reales!DQ13),IF(DQ$134=1,INDEX(Vol_V,2,DQ$133)/12*(1+V_dVol),0))</f>
        <v>0</v>
      </c>
      <c r="DR141" s="34" t="n">
        <f aca="false">IF(DR$8=1,N(Reales!DR13),IF(DR$134=1,INDEX(Vol_V,2,DR$133)/12*(1+V_dVol),0))</f>
        <v>0</v>
      </c>
      <c r="DS141" s="34" t="n">
        <f aca="false">IF(DS$8=1,N(Reales!DS13),IF(DS$134=1,INDEX(Vol_V,2,DS$133)/12*(1+V_dVol),0))</f>
        <v>0</v>
      </c>
      <c r="DT141" s="34" t="n">
        <f aca="false">IF(DT$8=1,N(Reales!DT13),IF(DT$134=1,INDEX(Vol_V,2,DT$133)/12*(1+V_dVol),0))</f>
        <v>0</v>
      </c>
      <c r="DU141" s="34" t="n">
        <f aca="false">IF(DU$8=1,N(Reales!DU13),IF(DU$134=1,INDEX(Vol_V,2,DU$133)/12*(1+V_dVol),0))</f>
        <v>0</v>
      </c>
      <c r="DV141" s="34" t="n">
        <f aca="false">IF(DV$8=1,N(Reales!DV13),IF(DV$134=1,INDEX(Vol_V,2,DV$133)/12*(1+V_dVol),0))</f>
        <v>0</v>
      </c>
      <c r="DW141" s="34" t="n">
        <f aca="false">IF(DW$8=1,N(Reales!DW13),IF(DW$134=1,INDEX(Vol_V,2,DW$133)/12*(1+V_dVol),0))</f>
        <v>0</v>
      </c>
      <c r="DX141" s="34" t="n">
        <f aca="false">IF(DX$8=1,N(Reales!DX13),IF(DX$134=1,INDEX(Vol_V,2,DX$133)/12*(1+V_dVol),0))</f>
        <v>0</v>
      </c>
      <c r="DY141" s="34" t="n">
        <f aca="false">IF(DY$8=1,N(Reales!DY13),IF(DY$134=1,INDEX(Vol_V,2,DY$133)/12*(1+V_dVol),0))</f>
        <v>0</v>
      </c>
      <c r="DZ141" s="34" t="n">
        <f aca="false">IF(DZ$8=1,N(Reales!DZ13),IF(DZ$134=1,INDEX(Vol_V,2,DZ$133)/12*(1+V_dVol),0))</f>
        <v>0</v>
      </c>
      <c r="EA141" s="34" t="n">
        <f aca="false">IF(EA$8=1,N(Reales!EA13),IF(EA$134=1,INDEX(Vol_V,2,EA$133)/12*(1+V_dVol),0))</f>
        <v>0</v>
      </c>
      <c r="EB141" s="34" t="n">
        <f aca="false">IF(EB$8=1,N(Reales!EB13),IF(EB$134=1,INDEX(Vol_V,2,EB$133)/12*(1+V_dVol),0))</f>
        <v>0</v>
      </c>
      <c r="EC141" s="34" t="n">
        <f aca="false">IF(EC$8=1,N(Reales!EC13),IF(EC$134=1,INDEX(Vol_V,2,EC$133)/12*(1+V_dVol),0))</f>
        <v>0</v>
      </c>
      <c r="ED141" s="34" t="n">
        <f aca="false">IF(ED$8=1,N(Reales!ED13),IF(ED$134=1,INDEX(Vol_V,2,ED$133)/12*(1+V_dVol),0))</f>
        <v>0</v>
      </c>
      <c r="EE141" s="34" t="n">
        <f aca="false">IF(EE$8=1,N(Reales!EE13),IF(EE$134=1,INDEX(Vol_V,2,EE$133)/12*(1+V_dVol),0))</f>
        <v>0</v>
      </c>
      <c r="EF141" s="34" t="n">
        <f aca="false">IF(EF$8=1,N(Reales!EF13),IF(EF$134=1,INDEX(Vol_V,2,EF$133)/12*(1+V_dVol),0))</f>
        <v>0</v>
      </c>
      <c r="EG141" s="34" t="n">
        <f aca="false">IF(EG$8=1,N(Reales!EG13),IF(EG$134=1,INDEX(Vol_V,2,EG$133)/12*(1+V_dVol),0))</f>
        <v>0</v>
      </c>
      <c r="EH141" s="34" t="n">
        <f aca="false">IF(EH$8=1,N(Reales!EH13),IF(EH$134=1,INDEX(Vol_V,2,EH$133)/12*(1+V_dVol),0))</f>
        <v>0</v>
      </c>
      <c r="EI141" s="34" t="n">
        <f aca="false">IF(EI$8=1,N(Reales!EI13),IF(EI$134=1,INDEX(Vol_V,2,EI$133)/12*(1+V_dVol),0))</f>
        <v>0</v>
      </c>
      <c r="EJ141" s="34" t="n">
        <f aca="false">IF(EJ$8=1,N(Reales!EJ13),IF(EJ$134=1,INDEX(Vol_V,2,EJ$133)/12*(1+V_dVol),0))</f>
        <v>0</v>
      </c>
      <c r="EK141" s="34" t="n">
        <f aca="false">IF(EK$8=1,N(Reales!EK13),IF(EK$134=1,INDEX(Vol_V,2,EK$133)/12*(1+V_dVol),0))</f>
        <v>0</v>
      </c>
      <c r="EL141" s="34" t="n">
        <f aca="false">IF(EL$8=1,N(Reales!EL13),IF(EL$134=1,INDEX(Vol_V,2,EL$133)/12*(1+V_dVol),0))</f>
        <v>0</v>
      </c>
      <c r="EM141" s="34" t="n">
        <f aca="false">IF(EM$8=1,N(Reales!EM13),IF(EM$134=1,INDEX(Vol_V,2,EM$133)/12*(1+V_dVol),0))</f>
        <v>0</v>
      </c>
      <c r="EN141" s="34" t="n">
        <f aca="false">IF(EN$8=1,N(Reales!EN13),IF(EN$134=1,INDEX(Vol_V,2,EN$133)/12*(1+V_dVol),0))</f>
        <v>0</v>
      </c>
      <c r="EO141" s="34" t="n">
        <f aca="false">IF(EO$8=1,N(Reales!EO13),IF(EO$134=1,INDEX(Vol_V,2,EO$133)/12*(1+V_dVol),0))</f>
        <v>0</v>
      </c>
      <c r="EP141" s="34" t="n">
        <f aca="false">IF(EP$8=1,N(Reales!EP13),IF(EP$134=1,INDEX(Vol_V,2,EP$133)/12*(1+V_dVol),0))</f>
        <v>0</v>
      </c>
      <c r="EQ141" s="34" t="n">
        <f aca="false">IF(EQ$8=1,N(Reales!EQ13),IF(EQ$134=1,INDEX(Vol_V,2,EQ$133)/12*(1+V_dVol),0))</f>
        <v>0</v>
      </c>
      <c r="ER141" s="34" t="n">
        <f aca="false">IF(ER$8=1,N(Reales!ER13),IF(ER$134=1,INDEX(Vol_V,2,ER$133)/12*(1+V_dVol),0))</f>
        <v>0</v>
      </c>
      <c r="ES141" s="34" t="n">
        <f aca="false">IF(ES$8=1,N(Reales!ES13),IF(ES$134=1,INDEX(Vol_V,2,ES$133)/12*(1+V_dVol),0))</f>
        <v>0</v>
      </c>
    </row>
    <row r="142" customFormat="false" ht="15" hidden="false" customHeight="false" outlineLevel="0" collapsed="false">
      <c r="A142" s="2" t="s">
        <v>621</v>
      </c>
      <c r="B142" s="39" t="str">
        <f aca="false">IF(INDEX(Prod_Nombre,3)="","Producto 3",INDEX(Prod_Nombre,3))&amp;" — unidades"</f>
        <v>Producto 3 — unidades</v>
      </c>
      <c r="C142" s="6" t="s">
        <v>337</v>
      </c>
      <c r="E142" s="40" t="n">
        <f aca="false">SUM(F142:ES142)</f>
        <v>0</v>
      </c>
      <c r="F142" s="34" t="n">
        <f aca="false">IF(F$8=1,N(Reales!F14),IF(F$134=1,INDEX(Vol_V,3,F$133)/12*(1+V_dVol),0))</f>
        <v>0</v>
      </c>
      <c r="G142" s="34" t="n">
        <f aca="false">IF(G$8=1,N(Reales!G14),IF(G$134=1,INDEX(Vol_V,3,G$133)/12*(1+V_dVol),0))</f>
        <v>0</v>
      </c>
      <c r="H142" s="34" t="n">
        <f aca="false">IF(H$8=1,N(Reales!H14),IF(H$134=1,INDEX(Vol_V,3,H$133)/12*(1+V_dVol),0))</f>
        <v>0</v>
      </c>
      <c r="I142" s="34" t="n">
        <f aca="false">IF(I$8=1,N(Reales!I14),IF(I$134=1,INDEX(Vol_V,3,I$133)/12*(1+V_dVol),0))</f>
        <v>0</v>
      </c>
      <c r="J142" s="34" t="n">
        <f aca="false">IF(J$8=1,N(Reales!J14),IF(J$134=1,INDEX(Vol_V,3,J$133)/12*(1+V_dVol),0))</f>
        <v>0</v>
      </c>
      <c r="K142" s="34" t="n">
        <f aca="false">IF(K$8=1,N(Reales!K14),IF(K$134=1,INDEX(Vol_V,3,K$133)/12*(1+V_dVol),0))</f>
        <v>0</v>
      </c>
      <c r="L142" s="34" t="n">
        <f aca="false">IF(L$8=1,N(Reales!L14),IF(L$134=1,INDEX(Vol_V,3,L$133)/12*(1+V_dVol),0))</f>
        <v>0</v>
      </c>
      <c r="M142" s="34" t="n">
        <f aca="false">IF(M$8=1,N(Reales!M14),IF(M$134=1,INDEX(Vol_V,3,M$133)/12*(1+V_dVol),0))</f>
        <v>0</v>
      </c>
      <c r="N142" s="34" t="n">
        <f aca="false">IF(N$8=1,N(Reales!N14),IF(N$134=1,INDEX(Vol_V,3,N$133)/12*(1+V_dVol),0))</f>
        <v>0</v>
      </c>
      <c r="O142" s="34" t="n">
        <f aca="false">IF(O$8=1,N(Reales!O14),IF(O$134=1,INDEX(Vol_V,3,O$133)/12*(1+V_dVol),0))</f>
        <v>0</v>
      </c>
      <c r="P142" s="34" t="n">
        <f aca="false">IF(P$8=1,N(Reales!P14),IF(P$134=1,INDEX(Vol_V,3,P$133)/12*(1+V_dVol),0))</f>
        <v>0</v>
      </c>
      <c r="Q142" s="34" t="n">
        <f aca="false">IF(Q$8=1,N(Reales!Q14),IF(Q$134=1,INDEX(Vol_V,3,Q$133)/12*(1+V_dVol),0))</f>
        <v>0</v>
      </c>
      <c r="R142" s="34" t="n">
        <f aca="false">IF(R$8=1,N(Reales!R14),IF(R$134=1,INDEX(Vol_V,3,R$133)/12*(1+V_dVol),0))</f>
        <v>0</v>
      </c>
      <c r="S142" s="34" t="n">
        <f aca="false">IF(S$8=1,N(Reales!S14),IF(S$134=1,INDEX(Vol_V,3,S$133)/12*(1+V_dVol),0))</f>
        <v>0</v>
      </c>
      <c r="T142" s="34" t="n">
        <f aca="false">IF(T$8=1,N(Reales!T14),IF(T$134=1,INDEX(Vol_V,3,T$133)/12*(1+V_dVol),0))</f>
        <v>0</v>
      </c>
      <c r="U142" s="34" t="n">
        <f aca="false">IF(U$8=1,N(Reales!U14),IF(U$134=1,INDEX(Vol_V,3,U$133)/12*(1+V_dVol),0))</f>
        <v>0</v>
      </c>
      <c r="V142" s="34" t="n">
        <f aca="false">IF(V$8=1,N(Reales!V14),IF(V$134=1,INDEX(Vol_V,3,V$133)/12*(1+V_dVol),0))</f>
        <v>0</v>
      </c>
      <c r="W142" s="34" t="n">
        <f aca="false">IF(W$8=1,N(Reales!W14),IF(W$134=1,INDEX(Vol_V,3,W$133)/12*(1+V_dVol),0))</f>
        <v>0</v>
      </c>
      <c r="X142" s="34" t="n">
        <f aca="false">IF(X$8=1,N(Reales!X14),IF(X$134=1,INDEX(Vol_V,3,X$133)/12*(1+V_dVol),0))</f>
        <v>0</v>
      </c>
      <c r="Y142" s="34" t="n">
        <f aca="false">IF(Y$8=1,N(Reales!Y14),IF(Y$134=1,INDEX(Vol_V,3,Y$133)/12*(1+V_dVol),0))</f>
        <v>0</v>
      </c>
      <c r="Z142" s="34" t="n">
        <f aca="false">IF(Z$8=1,N(Reales!Z14),IF(Z$134=1,INDEX(Vol_V,3,Z$133)/12*(1+V_dVol),0))</f>
        <v>0</v>
      </c>
      <c r="AA142" s="34" t="n">
        <f aca="false">IF(AA$8=1,N(Reales!AA14),IF(AA$134=1,INDEX(Vol_V,3,AA$133)/12*(1+V_dVol),0))</f>
        <v>0</v>
      </c>
      <c r="AB142" s="34" t="n">
        <f aca="false">IF(AB$8=1,N(Reales!AB14),IF(AB$134=1,INDEX(Vol_V,3,AB$133)/12*(1+V_dVol),0))</f>
        <v>0</v>
      </c>
      <c r="AC142" s="34" t="n">
        <f aca="false">IF(AC$8=1,N(Reales!AC14),IF(AC$134=1,INDEX(Vol_V,3,AC$133)/12*(1+V_dVol),0))</f>
        <v>0</v>
      </c>
      <c r="AD142" s="34" t="n">
        <f aca="false">IF(AD$8=1,N(Reales!AD14),IF(AD$134=1,INDEX(Vol_V,3,AD$133)/12*(1+V_dVol),0))</f>
        <v>0</v>
      </c>
      <c r="AE142" s="34" t="n">
        <f aca="false">IF(AE$8=1,N(Reales!AE14),IF(AE$134=1,INDEX(Vol_V,3,AE$133)/12*(1+V_dVol),0))</f>
        <v>0</v>
      </c>
      <c r="AF142" s="34" t="n">
        <f aca="false">IF(AF$8=1,N(Reales!AF14),IF(AF$134=1,INDEX(Vol_V,3,AF$133)/12*(1+V_dVol),0))</f>
        <v>0</v>
      </c>
      <c r="AG142" s="34" t="n">
        <f aca="false">IF(AG$8=1,N(Reales!AG14),IF(AG$134=1,INDEX(Vol_V,3,AG$133)/12*(1+V_dVol),0))</f>
        <v>0</v>
      </c>
      <c r="AH142" s="34" t="n">
        <f aca="false">IF(AH$8=1,N(Reales!AH14),IF(AH$134=1,INDEX(Vol_V,3,AH$133)/12*(1+V_dVol),0))</f>
        <v>0</v>
      </c>
      <c r="AI142" s="34" t="n">
        <f aca="false">IF(AI$8=1,N(Reales!AI14),IF(AI$134=1,INDEX(Vol_V,3,AI$133)/12*(1+V_dVol),0))</f>
        <v>0</v>
      </c>
      <c r="AJ142" s="34" t="n">
        <f aca="false">IF(AJ$8=1,N(Reales!AJ14),IF(AJ$134=1,INDEX(Vol_V,3,AJ$133)/12*(1+V_dVol),0))</f>
        <v>0</v>
      </c>
      <c r="AK142" s="34" t="n">
        <f aca="false">IF(AK$8=1,N(Reales!AK14),IF(AK$134=1,INDEX(Vol_V,3,AK$133)/12*(1+V_dVol),0))</f>
        <v>0</v>
      </c>
      <c r="AL142" s="34" t="n">
        <f aca="false">IF(AL$8=1,N(Reales!AL14),IF(AL$134=1,INDEX(Vol_V,3,AL$133)/12*(1+V_dVol),0))</f>
        <v>0</v>
      </c>
      <c r="AM142" s="34" t="n">
        <f aca="false">IF(AM$8=1,N(Reales!AM14),IF(AM$134=1,INDEX(Vol_V,3,AM$133)/12*(1+V_dVol),0))</f>
        <v>0</v>
      </c>
      <c r="AN142" s="34" t="n">
        <f aca="false">IF(AN$8=1,N(Reales!AN14),IF(AN$134=1,INDEX(Vol_V,3,AN$133)/12*(1+V_dVol),0))</f>
        <v>0</v>
      </c>
      <c r="AO142" s="34" t="n">
        <f aca="false">IF(AO$8=1,N(Reales!AO14),IF(AO$134=1,INDEX(Vol_V,3,AO$133)/12*(1+V_dVol),0))</f>
        <v>0</v>
      </c>
      <c r="AP142" s="34" t="n">
        <f aca="false">IF(AP$8=1,N(Reales!AP14),IF(AP$134=1,INDEX(Vol_V,3,AP$133)/12*(1+V_dVol),0))</f>
        <v>0</v>
      </c>
      <c r="AQ142" s="34" t="n">
        <f aca="false">IF(AQ$8=1,N(Reales!AQ14),IF(AQ$134=1,INDEX(Vol_V,3,AQ$133)/12*(1+V_dVol),0))</f>
        <v>0</v>
      </c>
      <c r="AR142" s="34" t="n">
        <f aca="false">IF(AR$8=1,N(Reales!AR14),IF(AR$134=1,INDEX(Vol_V,3,AR$133)/12*(1+V_dVol),0))</f>
        <v>0</v>
      </c>
      <c r="AS142" s="34" t="n">
        <f aca="false">IF(AS$8=1,N(Reales!AS14),IF(AS$134=1,INDEX(Vol_V,3,AS$133)/12*(1+V_dVol),0))</f>
        <v>0</v>
      </c>
      <c r="AT142" s="34" t="n">
        <f aca="false">IF(AT$8=1,N(Reales!AT14),IF(AT$134=1,INDEX(Vol_V,3,AT$133)/12*(1+V_dVol),0))</f>
        <v>0</v>
      </c>
      <c r="AU142" s="34" t="n">
        <f aca="false">IF(AU$8=1,N(Reales!AU14),IF(AU$134=1,INDEX(Vol_V,3,AU$133)/12*(1+V_dVol),0))</f>
        <v>0</v>
      </c>
      <c r="AV142" s="34" t="n">
        <f aca="false">IF(AV$8=1,N(Reales!AV14),IF(AV$134=1,INDEX(Vol_V,3,AV$133)/12*(1+V_dVol),0))</f>
        <v>0</v>
      </c>
      <c r="AW142" s="34" t="n">
        <f aca="false">IF(AW$8=1,N(Reales!AW14),IF(AW$134=1,INDEX(Vol_V,3,AW$133)/12*(1+V_dVol),0))</f>
        <v>0</v>
      </c>
      <c r="AX142" s="34" t="n">
        <f aca="false">IF(AX$8=1,N(Reales!AX14),IF(AX$134=1,INDEX(Vol_V,3,AX$133)/12*(1+V_dVol),0))</f>
        <v>0</v>
      </c>
      <c r="AY142" s="34" t="n">
        <f aca="false">IF(AY$8=1,N(Reales!AY14),IF(AY$134=1,INDEX(Vol_V,3,AY$133)/12*(1+V_dVol),0))</f>
        <v>0</v>
      </c>
      <c r="AZ142" s="34" t="n">
        <f aca="false">IF(AZ$8=1,N(Reales!AZ14),IF(AZ$134=1,INDEX(Vol_V,3,AZ$133)/12*(1+V_dVol),0))</f>
        <v>0</v>
      </c>
      <c r="BA142" s="34" t="n">
        <f aca="false">IF(BA$8=1,N(Reales!BA14),IF(BA$134=1,INDEX(Vol_V,3,BA$133)/12*(1+V_dVol),0))</f>
        <v>0</v>
      </c>
      <c r="BB142" s="34" t="n">
        <f aca="false">IF(BB$8=1,N(Reales!BB14),IF(BB$134=1,INDEX(Vol_V,3,BB$133)/12*(1+V_dVol),0))</f>
        <v>0</v>
      </c>
      <c r="BC142" s="34" t="n">
        <f aca="false">IF(BC$8=1,N(Reales!BC14),IF(BC$134=1,INDEX(Vol_V,3,BC$133)/12*(1+V_dVol),0))</f>
        <v>0</v>
      </c>
      <c r="BD142" s="34" t="n">
        <f aca="false">IF(BD$8=1,N(Reales!BD14),IF(BD$134=1,INDEX(Vol_V,3,BD$133)/12*(1+V_dVol),0))</f>
        <v>0</v>
      </c>
      <c r="BE142" s="34" t="n">
        <f aca="false">IF(BE$8=1,N(Reales!BE14),IF(BE$134=1,INDEX(Vol_V,3,BE$133)/12*(1+V_dVol),0))</f>
        <v>0</v>
      </c>
      <c r="BF142" s="34" t="n">
        <f aca="false">IF(BF$8=1,N(Reales!BF14),IF(BF$134=1,INDEX(Vol_V,3,BF$133)/12*(1+V_dVol),0))</f>
        <v>0</v>
      </c>
      <c r="BG142" s="34" t="n">
        <f aca="false">IF(BG$8=1,N(Reales!BG14),IF(BG$134=1,INDEX(Vol_V,3,BG$133)/12*(1+V_dVol),0))</f>
        <v>0</v>
      </c>
      <c r="BH142" s="34" t="n">
        <f aca="false">IF(BH$8=1,N(Reales!BH14),IF(BH$134=1,INDEX(Vol_V,3,BH$133)/12*(1+V_dVol),0))</f>
        <v>0</v>
      </c>
      <c r="BI142" s="34" t="n">
        <f aca="false">IF(BI$8=1,N(Reales!BI14),IF(BI$134=1,INDEX(Vol_V,3,BI$133)/12*(1+V_dVol),0))</f>
        <v>0</v>
      </c>
      <c r="BJ142" s="34" t="n">
        <f aca="false">IF(BJ$8=1,N(Reales!BJ14),IF(BJ$134=1,INDEX(Vol_V,3,BJ$133)/12*(1+V_dVol),0))</f>
        <v>0</v>
      </c>
      <c r="BK142" s="34" t="n">
        <f aca="false">IF(BK$8=1,N(Reales!BK14),IF(BK$134=1,INDEX(Vol_V,3,BK$133)/12*(1+V_dVol),0))</f>
        <v>0</v>
      </c>
      <c r="BL142" s="34" t="n">
        <f aca="false">IF(BL$8=1,N(Reales!BL14),IF(BL$134=1,INDEX(Vol_V,3,BL$133)/12*(1+V_dVol),0))</f>
        <v>0</v>
      </c>
      <c r="BM142" s="34" t="n">
        <f aca="false">IF(BM$8=1,N(Reales!BM14),IF(BM$134=1,INDEX(Vol_V,3,BM$133)/12*(1+V_dVol),0))</f>
        <v>0</v>
      </c>
      <c r="BN142" s="34" t="n">
        <f aca="false">IF(BN$8=1,N(Reales!BN14),IF(BN$134=1,INDEX(Vol_V,3,BN$133)/12*(1+V_dVol),0))</f>
        <v>0</v>
      </c>
      <c r="BO142" s="34" t="n">
        <f aca="false">IF(BO$8=1,N(Reales!BO14),IF(BO$134=1,INDEX(Vol_V,3,BO$133)/12*(1+V_dVol),0))</f>
        <v>0</v>
      </c>
      <c r="BP142" s="34" t="n">
        <f aca="false">IF(BP$8=1,N(Reales!BP14),IF(BP$134=1,INDEX(Vol_V,3,BP$133)/12*(1+V_dVol),0))</f>
        <v>0</v>
      </c>
      <c r="BQ142" s="34" t="n">
        <f aca="false">IF(BQ$8=1,N(Reales!BQ14),IF(BQ$134=1,INDEX(Vol_V,3,BQ$133)/12*(1+V_dVol),0))</f>
        <v>0</v>
      </c>
      <c r="BR142" s="34" t="n">
        <f aca="false">IF(BR$8=1,N(Reales!BR14),IF(BR$134=1,INDEX(Vol_V,3,BR$133)/12*(1+V_dVol),0))</f>
        <v>0</v>
      </c>
      <c r="BS142" s="34" t="n">
        <f aca="false">IF(BS$8=1,N(Reales!BS14),IF(BS$134=1,INDEX(Vol_V,3,BS$133)/12*(1+V_dVol),0))</f>
        <v>0</v>
      </c>
      <c r="BT142" s="34" t="n">
        <f aca="false">IF(BT$8=1,N(Reales!BT14),IF(BT$134=1,INDEX(Vol_V,3,BT$133)/12*(1+V_dVol),0))</f>
        <v>0</v>
      </c>
      <c r="BU142" s="34" t="n">
        <f aca="false">IF(BU$8=1,N(Reales!BU14),IF(BU$134=1,INDEX(Vol_V,3,BU$133)/12*(1+V_dVol),0))</f>
        <v>0</v>
      </c>
      <c r="BV142" s="34" t="n">
        <f aca="false">IF(BV$8=1,N(Reales!BV14),IF(BV$134=1,INDEX(Vol_V,3,BV$133)/12*(1+V_dVol),0))</f>
        <v>0</v>
      </c>
      <c r="BW142" s="34" t="n">
        <f aca="false">IF(BW$8=1,N(Reales!BW14),IF(BW$134=1,INDEX(Vol_V,3,BW$133)/12*(1+V_dVol),0))</f>
        <v>0</v>
      </c>
      <c r="BX142" s="34" t="n">
        <f aca="false">IF(BX$8=1,N(Reales!BX14),IF(BX$134=1,INDEX(Vol_V,3,BX$133)/12*(1+V_dVol),0))</f>
        <v>0</v>
      </c>
      <c r="BY142" s="34" t="n">
        <f aca="false">IF(BY$8=1,N(Reales!BY14),IF(BY$134=1,INDEX(Vol_V,3,BY$133)/12*(1+V_dVol),0))</f>
        <v>0</v>
      </c>
      <c r="BZ142" s="34" t="n">
        <f aca="false">IF(BZ$8=1,N(Reales!BZ14),IF(BZ$134=1,INDEX(Vol_V,3,BZ$133)/12*(1+V_dVol),0))</f>
        <v>0</v>
      </c>
      <c r="CA142" s="34" t="n">
        <f aca="false">IF(CA$8=1,N(Reales!CA14),IF(CA$134=1,INDEX(Vol_V,3,CA$133)/12*(1+V_dVol),0))</f>
        <v>0</v>
      </c>
      <c r="CB142" s="34" t="n">
        <f aca="false">IF(CB$8=1,N(Reales!CB14),IF(CB$134=1,INDEX(Vol_V,3,CB$133)/12*(1+V_dVol),0))</f>
        <v>0</v>
      </c>
      <c r="CC142" s="34" t="n">
        <f aca="false">IF(CC$8=1,N(Reales!CC14),IF(CC$134=1,INDEX(Vol_V,3,CC$133)/12*(1+V_dVol),0))</f>
        <v>0</v>
      </c>
      <c r="CD142" s="34" t="n">
        <f aca="false">IF(CD$8=1,N(Reales!CD14),IF(CD$134=1,INDEX(Vol_V,3,CD$133)/12*(1+V_dVol),0))</f>
        <v>0</v>
      </c>
      <c r="CE142" s="34" t="n">
        <f aca="false">IF(CE$8=1,N(Reales!CE14),IF(CE$134=1,INDEX(Vol_V,3,CE$133)/12*(1+V_dVol),0))</f>
        <v>0</v>
      </c>
      <c r="CF142" s="34" t="n">
        <f aca="false">IF(CF$8=1,N(Reales!CF14),IF(CF$134=1,INDEX(Vol_V,3,CF$133)/12*(1+V_dVol),0))</f>
        <v>0</v>
      </c>
      <c r="CG142" s="34" t="n">
        <f aca="false">IF(CG$8=1,N(Reales!CG14),IF(CG$134=1,INDEX(Vol_V,3,CG$133)/12*(1+V_dVol),0))</f>
        <v>0</v>
      </c>
      <c r="CH142" s="34" t="n">
        <f aca="false">IF(CH$8=1,N(Reales!CH14),IF(CH$134=1,INDEX(Vol_V,3,CH$133)/12*(1+V_dVol),0))</f>
        <v>0</v>
      </c>
      <c r="CI142" s="34" t="n">
        <f aca="false">IF(CI$8=1,N(Reales!CI14),IF(CI$134=1,INDEX(Vol_V,3,CI$133)/12*(1+V_dVol),0))</f>
        <v>0</v>
      </c>
      <c r="CJ142" s="34" t="n">
        <f aca="false">IF(CJ$8=1,N(Reales!CJ14),IF(CJ$134=1,INDEX(Vol_V,3,CJ$133)/12*(1+V_dVol),0))</f>
        <v>0</v>
      </c>
      <c r="CK142" s="34" t="n">
        <f aca="false">IF(CK$8=1,N(Reales!CK14),IF(CK$134=1,INDEX(Vol_V,3,CK$133)/12*(1+V_dVol),0))</f>
        <v>0</v>
      </c>
      <c r="CL142" s="34" t="n">
        <f aca="false">IF(CL$8=1,N(Reales!CL14),IF(CL$134=1,INDEX(Vol_V,3,CL$133)/12*(1+V_dVol),0))</f>
        <v>0</v>
      </c>
      <c r="CM142" s="34" t="n">
        <f aca="false">IF(CM$8=1,N(Reales!CM14),IF(CM$134=1,INDEX(Vol_V,3,CM$133)/12*(1+V_dVol),0))</f>
        <v>0</v>
      </c>
      <c r="CN142" s="34" t="n">
        <f aca="false">IF(CN$8=1,N(Reales!CN14),IF(CN$134=1,INDEX(Vol_V,3,CN$133)/12*(1+V_dVol),0))</f>
        <v>0</v>
      </c>
      <c r="CO142" s="34" t="n">
        <f aca="false">IF(CO$8=1,N(Reales!CO14),IF(CO$134=1,INDEX(Vol_V,3,CO$133)/12*(1+V_dVol),0))</f>
        <v>0</v>
      </c>
      <c r="CP142" s="34" t="n">
        <f aca="false">IF(CP$8=1,N(Reales!CP14),IF(CP$134=1,INDEX(Vol_V,3,CP$133)/12*(1+V_dVol),0))</f>
        <v>0</v>
      </c>
      <c r="CQ142" s="34" t="n">
        <f aca="false">IF(CQ$8=1,N(Reales!CQ14),IF(CQ$134=1,INDEX(Vol_V,3,CQ$133)/12*(1+V_dVol),0))</f>
        <v>0</v>
      </c>
      <c r="CR142" s="34" t="n">
        <f aca="false">IF(CR$8=1,N(Reales!CR14),IF(CR$134=1,INDEX(Vol_V,3,CR$133)/12*(1+V_dVol),0))</f>
        <v>0</v>
      </c>
      <c r="CS142" s="34" t="n">
        <f aca="false">IF(CS$8=1,N(Reales!CS14),IF(CS$134=1,INDEX(Vol_V,3,CS$133)/12*(1+V_dVol),0))</f>
        <v>0</v>
      </c>
      <c r="CT142" s="34" t="n">
        <f aca="false">IF(CT$8=1,N(Reales!CT14),IF(CT$134=1,INDEX(Vol_V,3,CT$133)/12*(1+V_dVol),0))</f>
        <v>0</v>
      </c>
      <c r="CU142" s="34" t="n">
        <f aca="false">IF(CU$8=1,N(Reales!CU14),IF(CU$134=1,INDEX(Vol_V,3,CU$133)/12*(1+V_dVol),0))</f>
        <v>0</v>
      </c>
      <c r="CV142" s="34" t="n">
        <f aca="false">IF(CV$8=1,N(Reales!CV14),IF(CV$134=1,INDEX(Vol_V,3,CV$133)/12*(1+V_dVol),0))</f>
        <v>0</v>
      </c>
      <c r="CW142" s="34" t="n">
        <f aca="false">IF(CW$8=1,N(Reales!CW14),IF(CW$134=1,INDEX(Vol_V,3,CW$133)/12*(1+V_dVol),0))</f>
        <v>0</v>
      </c>
      <c r="CX142" s="34" t="n">
        <f aca="false">IF(CX$8=1,N(Reales!CX14),IF(CX$134=1,INDEX(Vol_V,3,CX$133)/12*(1+V_dVol),0))</f>
        <v>0</v>
      </c>
      <c r="CY142" s="34" t="n">
        <f aca="false">IF(CY$8=1,N(Reales!CY14),IF(CY$134=1,INDEX(Vol_V,3,CY$133)/12*(1+V_dVol),0))</f>
        <v>0</v>
      </c>
      <c r="CZ142" s="34" t="n">
        <f aca="false">IF(CZ$8=1,N(Reales!CZ14),IF(CZ$134=1,INDEX(Vol_V,3,CZ$133)/12*(1+V_dVol),0))</f>
        <v>0</v>
      </c>
      <c r="DA142" s="34" t="n">
        <f aca="false">IF(DA$8=1,N(Reales!DA14),IF(DA$134=1,INDEX(Vol_V,3,DA$133)/12*(1+V_dVol),0))</f>
        <v>0</v>
      </c>
      <c r="DB142" s="34" t="n">
        <f aca="false">IF(DB$8=1,N(Reales!DB14),IF(DB$134=1,INDEX(Vol_V,3,DB$133)/12*(1+V_dVol),0))</f>
        <v>0</v>
      </c>
      <c r="DC142" s="34" t="n">
        <f aca="false">IF(DC$8=1,N(Reales!DC14),IF(DC$134=1,INDEX(Vol_V,3,DC$133)/12*(1+V_dVol),0))</f>
        <v>0</v>
      </c>
      <c r="DD142" s="34" t="n">
        <f aca="false">IF(DD$8=1,N(Reales!DD14),IF(DD$134=1,INDEX(Vol_V,3,DD$133)/12*(1+V_dVol),0))</f>
        <v>0</v>
      </c>
      <c r="DE142" s="34" t="n">
        <f aca="false">IF(DE$8=1,N(Reales!DE14),IF(DE$134=1,INDEX(Vol_V,3,DE$133)/12*(1+V_dVol),0))</f>
        <v>0</v>
      </c>
      <c r="DF142" s="34" t="n">
        <f aca="false">IF(DF$8=1,N(Reales!DF14),IF(DF$134=1,INDEX(Vol_V,3,DF$133)/12*(1+V_dVol),0))</f>
        <v>0</v>
      </c>
      <c r="DG142" s="34" t="n">
        <f aca="false">IF(DG$8=1,N(Reales!DG14),IF(DG$134=1,INDEX(Vol_V,3,DG$133)/12*(1+V_dVol),0))</f>
        <v>0</v>
      </c>
      <c r="DH142" s="34" t="n">
        <f aca="false">IF(DH$8=1,N(Reales!DH14),IF(DH$134=1,INDEX(Vol_V,3,DH$133)/12*(1+V_dVol),0))</f>
        <v>0</v>
      </c>
      <c r="DI142" s="34" t="n">
        <f aca="false">IF(DI$8=1,N(Reales!DI14),IF(DI$134=1,INDEX(Vol_V,3,DI$133)/12*(1+V_dVol),0))</f>
        <v>0</v>
      </c>
      <c r="DJ142" s="34" t="n">
        <f aca="false">IF(DJ$8=1,N(Reales!DJ14),IF(DJ$134=1,INDEX(Vol_V,3,DJ$133)/12*(1+V_dVol),0))</f>
        <v>0</v>
      </c>
      <c r="DK142" s="34" t="n">
        <f aca="false">IF(DK$8=1,N(Reales!DK14),IF(DK$134=1,INDEX(Vol_V,3,DK$133)/12*(1+V_dVol),0))</f>
        <v>0</v>
      </c>
      <c r="DL142" s="34" t="n">
        <f aca="false">IF(DL$8=1,N(Reales!DL14),IF(DL$134=1,INDEX(Vol_V,3,DL$133)/12*(1+V_dVol),0))</f>
        <v>0</v>
      </c>
      <c r="DM142" s="34" t="n">
        <f aca="false">IF(DM$8=1,N(Reales!DM14),IF(DM$134=1,INDEX(Vol_V,3,DM$133)/12*(1+V_dVol),0))</f>
        <v>0</v>
      </c>
      <c r="DN142" s="34" t="n">
        <f aca="false">IF(DN$8=1,N(Reales!DN14),IF(DN$134=1,INDEX(Vol_V,3,DN$133)/12*(1+V_dVol),0))</f>
        <v>0</v>
      </c>
      <c r="DO142" s="34" t="n">
        <f aca="false">IF(DO$8=1,N(Reales!DO14),IF(DO$134=1,INDEX(Vol_V,3,DO$133)/12*(1+V_dVol),0))</f>
        <v>0</v>
      </c>
      <c r="DP142" s="34" t="n">
        <f aca="false">IF(DP$8=1,N(Reales!DP14),IF(DP$134=1,INDEX(Vol_V,3,DP$133)/12*(1+V_dVol),0))</f>
        <v>0</v>
      </c>
      <c r="DQ142" s="34" t="n">
        <f aca="false">IF(DQ$8=1,N(Reales!DQ14),IF(DQ$134=1,INDEX(Vol_V,3,DQ$133)/12*(1+V_dVol),0))</f>
        <v>0</v>
      </c>
      <c r="DR142" s="34" t="n">
        <f aca="false">IF(DR$8=1,N(Reales!DR14),IF(DR$134=1,INDEX(Vol_V,3,DR$133)/12*(1+V_dVol),0))</f>
        <v>0</v>
      </c>
      <c r="DS142" s="34" t="n">
        <f aca="false">IF(DS$8=1,N(Reales!DS14),IF(DS$134=1,INDEX(Vol_V,3,DS$133)/12*(1+V_dVol),0))</f>
        <v>0</v>
      </c>
      <c r="DT142" s="34" t="n">
        <f aca="false">IF(DT$8=1,N(Reales!DT14),IF(DT$134=1,INDEX(Vol_V,3,DT$133)/12*(1+V_dVol),0))</f>
        <v>0</v>
      </c>
      <c r="DU142" s="34" t="n">
        <f aca="false">IF(DU$8=1,N(Reales!DU14),IF(DU$134=1,INDEX(Vol_V,3,DU$133)/12*(1+V_dVol),0))</f>
        <v>0</v>
      </c>
      <c r="DV142" s="34" t="n">
        <f aca="false">IF(DV$8=1,N(Reales!DV14),IF(DV$134=1,INDEX(Vol_V,3,DV$133)/12*(1+V_dVol),0))</f>
        <v>0</v>
      </c>
      <c r="DW142" s="34" t="n">
        <f aca="false">IF(DW$8=1,N(Reales!DW14),IF(DW$134=1,INDEX(Vol_V,3,DW$133)/12*(1+V_dVol),0))</f>
        <v>0</v>
      </c>
      <c r="DX142" s="34" t="n">
        <f aca="false">IF(DX$8=1,N(Reales!DX14),IF(DX$134=1,INDEX(Vol_V,3,DX$133)/12*(1+V_dVol),0))</f>
        <v>0</v>
      </c>
      <c r="DY142" s="34" t="n">
        <f aca="false">IF(DY$8=1,N(Reales!DY14),IF(DY$134=1,INDEX(Vol_V,3,DY$133)/12*(1+V_dVol),0))</f>
        <v>0</v>
      </c>
      <c r="DZ142" s="34" t="n">
        <f aca="false">IF(DZ$8=1,N(Reales!DZ14),IF(DZ$134=1,INDEX(Vol_V,3,DZ$133)/12*(1+V_dVol),0))</f>
        <v>0</v>
      </c>
      <c r="EA142" s="34" t="n">
        <f aca="false">IF(EA$8=1,N(Reales!EA14),IF(EA$134=1,INDEX(Vol_V,3,EA$133)/12*(1+V_dVol),0))</f>
        <v>0</v>
      </c>
      <c r="EB142" s="34" t="n">
        <f aca="false">IF(EB$8=1,N(Reales!EB14),IF(EB$134=1,INDEX(Vol_V,3,EB$133)/12*(1+V_dVol),0))</f>
        <v>0</v>
      </c>
      <c r="EC142" s="34" t="n">
        <f aca="false">IF(EC$8=1,N(Reales!EC14),IF(EC$134=1,INDEX(Vol_V,3,EC$133)/12*(1+V_dVol),0))</f>
        <v>0</v>
      </c>
      <c r="ED142" s="34" t="n">
        <f aca="false">IF(ED$8=1,N(Reales!ED14),IF(ED$134=1,INDEX(Vol_V,3,ED$133)/12*(1+V_dVol),0))</f>
        <v>0</v>
      </c>
      <c r="EE142" s="34" t="n">
        <f aca="false">IF(EE$8=1,N(Reales!EE14),IF(EE$134=1,INDEX(Vol_V,3,EE$133)/12*(1+V_dVol),0))</f>
        <v>0</v>
      </c>
      <c r="EF142" s="34" t="n">
        <f aca="false">IF(EF$8=1,N(Reales!EF14),IF(EF$134=1,INDEX(Vol_V,3,EF$133)/12*(1+V_dVol),0))</f>
        <v>0</v>
      </c>
      <c r="EG142" s="34" t="n">
        <f aca="false">IF(EG$8=1,N(Reales!EG14),IF(EG$134=1,INDEX(Vol_V,3,EG$133)/12*(1+V_dVol),0))</f>
        <v>0</v>
      </c>
      <c r="EH142" s="34" t="n">
        <f aca="false">IF(EH$8=1,N(Reales!EH14),IF(EH$134=1,INDEX(Vol_V,3,EH$133)/12*(1+V_dVol),0))</f>
        <v>0</v>
      </c>
      <c r="EI142" s="34" t="n">
        <f aca="false">IF(EI$8=1,N(Reales!EI14),IF(EI$134=1,INDEX(Vol_V,3,EI$133)/12*(1+V_dVol),0))</f>
        <v>0</v>
      </c>
      <c r="EJ142" s="34" t="n">
        <f aca="false">IF(EJ$8=1,N(Reales!EJ14),IF(EJ$134=1,INDEX(Vol_V,3,EJ$133)/12*(1+V_dVol),0))</f>
        <v>0</v>
      </c>
      <c r="EK142" s="34" t="n">
        <f aca="false">IF(EK$8=1,N(Reales!EK14),IF(EK$134=1,INDEX(Vol_V,3,EK$133)/12*(1+V_dVol),0))</f>
        <v>0</v>
      </c>
      <c r="EL142" s="34" t="n">
        <f aca="false">IF(EL$8=1,N(Reales!EL14),IF(EL$134=1,INDEX(Vol_V,3,EL$133)/12*(1+V_dVol),0))</f>
        <v>0</v>
      </c>
      <c r="EM142" s="34" t="n">
        <f aca="false">IF(EM$8=1,N(Reales!EM14),IF(EM$134=1,INDEX(Vol_V,3,EM$133)/12*(1+V_dVol),0))</f>
        <v>0</v>
      </c>
      <c r="EN142" s="34" t="n">
        <f aca="false">IF(EN$8=1,N(Reales!EN14),IF(EN$134=1,INDEX(Vol_V,3,EN$133)/12*(1+V_dVol),0))</f>
        <v>0</v>
      </c>
      <c r="EO142" s="34" t="n">
        <f aca="false">IF(EO$8=1,N(Reales!EO14),IF(EO$134=1,INDEX(Vol_V,3,EO$133)/12*(1+V_dVol),0))</f>
        <v>0</v>
      </c>
      <c r="EP142" s="34" t="n">
        <f aca="false">IF(EP$8=1,N(Reales!EP14),IF(EP$134=1,INDEX(Vol_V,3,EP$133)/12*(1+V_dVol),0))</f>
        <v>0</v>
      </c>
      <c r="EQ142" s="34" t="n">
        <f aca="false">IF(EQ$8=1,N(Reales!EQ14),IF(EQ$134=1,INDEX(Vol_V,3,EQ$133)/12*(1+V_dVol),0))</f>
        <v>0</v>
      </c>
      <c r="ER142" s="34" t="n">
        <f aca="false">IF(ER$8=1,N(Reales!ER14),IF(ER$134=1,INDEX(Vol_V,3,ER$133)/12*(1+V_dVol),0))</f>
        <v>0</v>
      </c>
      <c r="ES142" s="34" t="n">
        <f aca="false">IF(ES$8=1,N(Reales!ES14),IF(ES$134=1,INDEX(Vol_V,3,ES$133)/12*(1+V_dVol),0))</f>
        <v>0</v>
      </c>
    </row>
    <row r="143" customFormat="false" ht="15" hidden="false" customHeight="false" outlineLevel="0" collapsed="false">
      <c r="A143" s="2" t="s">
        <v>622</v>
      </c>
      <c r="B143" s="39" t="str">
        <f aca="false">IF(INDEX(Prod_Nombre,4)="","Producto 4",INDEX(Prod_Nombre,4))&amp;" — unidades"</f>
        <v>Producto 4 — unidades</v>
      </c>
      <c r="C143" s="6" t="s">
        <v>337</v>
      </c>
      <c r="E143" s="40" t="n">
        <f aca="false">SUM(F143:ES143)</f>
        <v>0</v>
      </c>
      <c r="F143" s="34" t="n">
        <f aca="false">IF(F$8=1,N(Reales!F15),IF(F$134=1,INDEX(Vol_V,4,F$133)/12*(1+V_dVol),0))</f>
        <v>0</v>
      </c>
      <c r="G143" s="34" t="n">
        <f aca="false">IF(G$8=1,N(Reales!G15),IF(G$134=1,INDEX(Vol_V,4,G$133)/12*(1+V_dVol),0))</f>
        <v>0</v>
      </c>
      <c r="H143" s="34" t="n">
        <f aca="false">IF(H$8=1,N(Reales!H15),IF(H$134=1,INDEX(Vol_V,4,H$133)/12*(1+V_dVol),0))</f>
        <v>0</v>
      </c>
      <c r="I143" s="34" t="n">
        <f aca="false">IF(I$8=1,N(Reales!I15),IF(I$134=1,INDEX(Vol_V,4,I$133)/12*(1+V_dVol),0))</f>
        <v>0</v>
      </c>
      <c r="J143" s="34" t="n">
        <f aca="false">IF(J$8=1,N(Reales!J15),IF(J$134=1,INDEX(Vol_V,4,J$133)/12*(1+V_dVol),0))</f>
        <v>0</v>
      </c>
      <c r="K143" s="34" t="n">
        <f aca="false">IF(K$8=1,N(Reales!K15),IF(K$134=1,INDEX(Vol_V,4,K$133)/12*(1+V_dVol),0))</f>
        <v>0</v>
      </c>
      <c r="L143" s="34" t="n">
        <f aca="false">IF(L$8=1,N(Reales!L15),IF(L$134=1,INDEX(Vol_V,4,L$133)/12*(1+V_dVol),0))</f>
        <v>0</v>
      </c>
      <c r="M143" s="34" t="n">
        <f aca="false">IF(M$8=1,N(Reales!M15),IF(M$134=1,INDEX(Vol_V,4,M$133)/12*(1+V_dVol),0))</f>
        <v>0</v>
      </c>
      <c r="N143" s="34" t="n">
        <f aca="false">IF(N$8=1,N(Reales!N15),IF(N$134=1,INDEX(Vol_V,4,N$133)/12*(1+V_dVol),0))</f>
        <v>0</v>
      </c>
      <c r="O143" s="34" t="n">
        <f aca="false">IF(O$8=1,N(Reales!O15),IF(O$134=1,INDEX(Vol_V,4,O$133)/12*(1+V_dVol),0))</f>
        <v>0</v>
      </c>
      <c r="P143" s="34" t="n">
        <f aca="false">IF(P$8=1,N(Reales!P15),IF(P$134=1,INDEX(Vol_V,4,P$133)/12*(1+V_dVol),0))</f>
        <v>0</v>
      </c>
      <c r="Q143" s="34" t="n">
        <f aca="false">IF(Q$8=1,N(Reales!Q15),IF(Q$134=1,INDEX(Vol_V,4,Q$133)/12*(1+V_dVol),0))</f>
        <v>0</v>
      </c>
      <c r="R143" s="34" t="n">
        <f aca="false">IF(R$8=1,N(Reales!R15),IF(R$134=1,INDEX(Vol_V,4,R$133)/12*(1+V_dVol),0))</f>
        <v>0</v>
      </c>
      <c r="S143" s="34" t="n">
        <f aca="false">IF(S$8=1,N(Reales!S15),IF(S$134=1,INDEX(Vol_V,4,S$133)/12*(1+V_dVol),0))</f>
        <v>0</v>
      </c>
      <c r="T143" s="34" t="n">
        <f aca="false">IF(T$8=1,N(Reales!T15),IF(T$134=1,INDEX(Vol_V,4,T$133)/12*(1+V_dVol),0))</f>
        <v>0</v>
      </c>
      <c r="U143" s="34" t="n">
        <f aca="false">IF(U$8=1,N(Reales!U15),IF(U$134=1,INDEX(Vol_V,4,U$133)/12*(1+V_dVol),0))</f>
        <v>0</v>
      </c>
      <c r="V143" s="34" t="n">
        <f aca="false">IF(V$8=1,N(Reales!V15),IF(V$134=1,INDEX(Vol_V,4,V$133)/12*(1+V_dVol),0))</f>
        <v>0</v>
      </c>
      <c r="W143" s="34" t="n">
        <f aca="false">IF(W$8=1,N(Reales!W15),IF(W$134=1,INDEX(Vol_V,4,W$133)/12*(1+V_dVol),0))</f>
        <v>0</v>
      </c>
      <c r="X143" s="34" t="n">
        <f aca="false">IF(X$8=1,N(Reales!X15),IF(X$134=1,INDEX(Vol_V,4,X$133)/12*(1+V_dVol),0))</f>
        <v>0</v>
      </c>
      <c r="Y143" s="34" t="n">
        <f aca="false">IF(Y$8=1,N(Reales!Y15),IF(Y$134=1,INDEX(Vol_V,4,Y$133)/12*(1+V_dVol),0))</f>
        <v>0</v>
      </c>
      <c r="Z143" s="34" t="n">
        <f aca="false">IF(Z$8=1,N(Reales!Z15),IF(Z$134=1,INDEX(Vol_V,4,Z$133)/12*(1+V_dVol),0))</f>
        <v>0</v>
      </c>
      <c r="AA143" s="34" t="n">
        <f aca="false">IF(AA$8=1,N(Reales!AA15),IF(AA$134=1,INDEX(Vol_V,4,AA$133)/12*(1+V_dVol),0))</f>
        <v>0</v>
      </c>
      <c r="AB143" s="34" t="n">
        <f aca="false">IF(AB$8=1,N(Reales!AB15),IF(AB$134=1,INDEX(Vol_V,4,AB$133)/12*(1+V_dVol),0))</f>
        <v>0</v>
      </c>
      <c r="AC143" s="34" t="n">
        <f aca="false">IF(AC$8=1,N(Reales!AC15),IF(AC$134=1,INDEX(Vol_V,4,AC$133)/12*(1+V_dVol),0))</f>
        <v>0</v>
      </c>
      <c r="AD143" s="34" t="n">
        <f aca="false">IF(AD$8=1,N(Reales!AD15),IF(AD$134=1,INDEX(Vol_V,4,AD$133)/12*(1+V_dVol),0))</f>
        <v>0</v>
      </c>
      <c r="AE143" s="34" t="n">
        <f aca="false">IF(AE$8=1,N(Reales!AE15),IF(AE$134=1,INDEX(Vol_V,4,AE$133)/12*(1+V_dVol),0))</f>
        <v>0</v>
      </c>
      <c r="AF143" s="34" t="n">
        <f aca="false">IF(AF$8=1,N(Reales!AF15),IF(AF$134=1,INDEX(Vol_V,4,AF$133)/12*(1+V_dVol),0))</f>
        <v>0</v>
      </c>
      <c r="AG143" s="34" t="n">
        <f aca="false">IF(AG$8=1,N(Reales!AG15),IF(AG$134=1,INDEX(Vol_V,4,AG$133)/12*(1+V_dVol),0))</f>
        <v>0</v>
      </c>
      <c r="AH143" s="34" t="n">
        <f aca="false">IF(AH$8=1,N(Reales!AH15),IF(AH$134=1,INDEX(Vol_V,4,AH$133)/12*(1+V_dVol),0))</f>
        <v>0</v>
      </c>
      <c r="AI143" s="34" t="n">
        <f aca="false">IF(AI$8=1,N(Reales!AI15),IF(AI$134=1,INDEX(Vol_V,4,AI$133)/12*(1+V_dVol),0))</f>
        <v>0</v>
      </c>
      <c r="AJ143" s="34" t="n">
        <f aca="false">IF(AJ$8=1,N(Reales!AJ15),IF(AJ$134=1,INDEX(Vol_V,4,AJ$133)/12*(1+V_dVol),0))</f>
        <v>0</v>
      </c>
      <c r="AK143" s="34" t="n">
        <f aca="false">IF(AK$8=1,N(Reales!AK15),IF(AK$134=1,INDEX(Vol_V,4,AK$133)/12*(1+V_dVol),0))</f>
        <v>0</v>
      </c>
      <c r="AL143" s="34" t="n">
        <f aca="false">IF(AL$8=1,N(Reales!AL15),IF(AL$134=1,INDEX(Vol_V,4,AL$133)/12*(1+V_dVol),0))</f>
        <v>0</v>
      </c>
      <c r="AM143" s="34" t="n">
        <f aca="false">IF(AM$8=1,N(Reales!AM15),IF(AM$134=1,INDEX(Vol_V,4,AM$133)/12*(1+V_dVol),0))</f>
        <v>0</v>
      </c>
      <c r="AN143" s="34" t="n">
        <f aca="false">IF(AN$8=1,N(Reales!AN15),IF(AN$134=1,INDEX(Vol_V,4,AN$133)/12*(1+V_dVol),0))</f>
        <v>0</v>
      </c>
      <c r="AO143" s="34" t="n">
        <f aca="false">IF(AO$8=1,N(Reales!AO15),IF(AO$134=1,INDEX(Vol_V,4,AO$133)/12*(1+V_dVol),0))</f>
        <v>0</v>
      </c>
      <c r="AP143" s="34" t="n">
        <f aca="false">IF(AP$8=1,N(Reales!AP15),IF(AP$134=1,INDEX(Vol_V,4,AP$133)/12*(1+V_dVol),0))</f>
        <v>0</v>
      </c>
      <c r="AQ143" s="34" t="n">
        <f aca="false">IF(AQ$8=1,N(Reales!AQ15),IF(AQ$134=1,INDEX(Vol_V,4,AQ$133)/12*(1+V_dVol),0))</f>
        <v>0</v>
      </c>
      <c r="AR143" s="34" t="n">
        <f aca="false">IF(AR$8=1,N(Reales!AR15),IF(AR$134=1,INDEX(Vol_V,4,AR$133)/12*(1+V_dVol),0))</f>
        <v>0</v>
      </c>
      <c r="AS143" s="34" t="n">
        <f aca="false">IF(AS$8=1,N(Reales!AS15),IF(AS$134=1,INDEX(Vol_V,4,AS$133)/12*(1+V_dVol),0))</f>
        <v>0</v>
      </c>
      <c r="AT143" s="34" t="n">
        <f aca="false">IF(AT$8=1,N(Reales!AT15),IF(AT$134=1,INDEX(Vol_V,4,AT$133)/12*(1+V_dVol),0))</f>
        <v>0</v>
      </c>
      <c r="AU143" s="34" t="n">
        <f aca="false">IF(AU$8=1,N(Reales!AU15),IF(AU$134=1,INDEX(Vol_V,4,AU$133)/12*(1+V_dVol),0))</f>
        <v>0</v>
      </c>
      <c r="AV143" s="34" t="n">
        <f aca="false">IF(AV$8=1,N(Reales!AV15),IF(AV$134=1,INDEX(Vol_V,4,AV$133)/12*(1+V_dVol),0))</f>
        <v>0</v>
      </c>
      <c r="AW143" s="34" t="n">
        <f aca="false">IF(AW$8=1,N(Reales!AW15),IF(AW$134=1,INDEX(Vol_V,4,AW$133)/12*(1+V_dVol),0))</f>
        <v>0</v>
      </c>
      <c r="AX143" s="34" t="n">
        <f aca="false">IF(AX$8=1,N(Reales!AX15),IF(AX$134=1,INDEX(Vol_V,4,AX$133)/12*(1+V_dVol),0))</f>
        <v>0</v>
      </c>
      <c r="AY143" s="34" t="n">
        <f aca="false">IF(AY$8=1,N(Reales!AY15),IF(AY$134=1,INDEX(Vol_V,4,AY$133)/12*(1+V_dVol),0))</f>
        <v>0</v>
      </c>
      <c r="AZ143" s="34" t="n">
        <f aca="false">IF(AZ$8=1,N(Reales!AZ15),IF(AZ$134=1,INDEX(Vol_V,4,AZ$133)/12*(1+V_dVol),0))</f>
        <v>0</v>
      </c>
      <c r="BA143" s="34" t="n">
        <f aca="false">IF(BA$8=1,N(Reales!BA15),IF(BA$134=1,INDEX(Vol_V,4,BA$133)/12*(1+V_dVol),0))</f>
        <v>0</v>
      </c>
      <c r="BB143" s="34" t="n">
        <f aca="false">IF(BB$8=1,N(Reales!BB15),IF(BB$134=1,INDEX(Vol_V,4,BB$133)/12*(1+V_dVol),0))</f>
        <v>0</v>
      </c>
      <c r="BC143" s="34" t="n">
        <f aca="false">IF(BC$8=1,N(Reales!BC15),IF(BC$134=1,INDEX(Vol_V,4,BC$133)/12*(1+V_dVol),0))</f>
        <v>0</v>
      </c>
      <c r="BD143" s="34" t="n">
        <f aca="false">IF(BD$8=1,N(Reales!BD15),IF(BD$134=1,INDEX(Vol_V,4,BD$133)/12*(1+V_dVol),0))</f>
        <v>0</v>
      </c>
      <c r="BE143" s="34" t="n">
        <f aca="false">IF(BE$8=1,N(Reales!BE15),IF(BE$134=1,INDEX(Vol_V,4,BE$133)/12*(1+V_dVol),0))</f>
        <v>0</v>
      </c>
      <c r="BF143" s="34" t="n">
        <f aca="false">IF(BF$8=1,N(Reales!BF15),IF(BF$134=1,INDEX(Vol_V,4,BF$133)/12*(1+V_dVol),0))</f>
        <v>0</v>
      </c>
      <c r="BG143" s="34" t="n">
        <f aca="false">IF(BG$8=1,N(Reales!BG15),IF(BG$134=1,INDEX(Vol_V,4,BG$133)/12*(1+V_dVol),0))</f>
        <v>0</v>
      </c>
      <c r="BH143" s="34" t="n">
        <f aca="false">IF(BH$8=1,N(Reales!BH15),IF(BH$134=1,INDEX(Vol_V,4,BH$133)/12*(1+V_dVol),0))</f>
        <v>0</v>
      </c>
      <c r="BI143" s="34" t="n">
        <f aca="false">IF(BI$8=1,N(Reales!BI15),IF(BI$134=1,INDEX(Vol_V,4,BI$133)/12*(1+V_dVol),0))</f>
        <v>0</v>
      </c>
      <c r="BJ143" s="34" t="n">
        <f aca="false">IF(BJ$8=1,N(Reales!BJ15),IF(BJ$134=1,INDEX(Vol_V,4,BJ$133)/12*(1+V_dVol),0))</f>
        <v>0</v>
      </c>
      <c r="BK143" s="34" t="n">
        <f aca="false">IF(BK$8=1,N(Reales!BK15),IF(BK$134=1,INDEX(Vol_V,4,BK$133)/12*(1+V_dVol),0))</f>
        <v>0</v>
      </c>
      <c r="BL143" s="34" t="n">
        <f aca="false">IF(BL$8=1,N(Reales!BL15),IF(BL$134=1,INDEX(Vol_V,4,BL$133)/12*(1+V_dVol),0))</f>
        <v>0</v>
      </c>
      <c r="BM143" s="34" t="n">
        <f aca="false">IF(BM$8=1,N(Reales!BM15),IF(BM$134=1,INDEX(Vol_V,4,BM$133)/12*(1+V_dVol),0))</f>
        <v>0</v>
      </c>
      <c r="BN143" s="34" t="n">
        <f aca="false">IF(BN$8=1,N(Reales!BN15),IF(BN$134=1,INDEX(Vol_V,4,BN$133)/12*(1+V_dVol),0))</f>
        <v>0</v>
      </c>
      <c r="BO143" s="34" t="n">
        <f aca="false">IF(BO$8=1,N(Reales!BO15),IF(BO$134=1,INDEX(Vol_V,4,BO$133)/12*(1+V_dVol),0))</f>
        <v>0</v>
      </c>
      <c r="BP143" s="34" t="n">
        <f aca="false">IF(BP$8=1,N(Reales!BP15),IF(BP$134=1,INDEX(Vol_V,4,BP$133)/12*(1+V_dVol),0))</f>
        <v>0</v>
      </c>
      <c r="BQ143" s="34" t="n">
        <f aca="false">IF(BQ$8=1,N(Reales!BQ15),IF(BQ$134=1,INDEX(Vol_V,4,BQ$133)/12*(1+V_dVol),0))</f>
        <v>0</v>
      </c>
      <c r="BR143" s="34" t="n">
        <f aca="false">IF(BR$8=1,N(Reales!BR15),IF(BR$134=1,INDEX(Vol_V,4,BR$133)/12*(1+V_dVol),0))</f>
        <v>0</v>
      </c>
      <c r="BS143" s="34" t="n">
        <f aca="false">IF(BS$8=1,N(Reales!BS15),IF(BS$134=1,INDEX(Vol_V,4,BS$133)/12*(1+V_dVol),0))</f>
        <v>0</v>
      </c>
      <c r="BT143" s="34" t="n">
        <f aca="false">IF(BT$8=1,N(Reales!BT15),IF(BT$134=1,INDEX(Vol_V,4,BT$133)/12*(1+V_dVol),0))</f>
        <v>0</v>
      </c>
      <c r="BU143" s="34" t="n">
        <f aca="false">IF(BU$8=1,N(Reales!BU15),IF(BU$134=1,INDEX(Vol_V,4,BU$133)/12*(1+V_dVol),0))</f>
        <v>0</v>
      </c>
      <c r="BV143" s="34" t="n">
        <f aca="false">IF(BV$8=1,N(Reales!BV15),IF(BV$134=1,INDEX(Vol_V,4,BV$133)/12*(1+V_dVol),0))</f>
        <v>0</v>
      </c>
      <c r="BW143" s="34" t="n">
        <f aca="false">IF(BW$8=1,N(Reales!BW15),IF(BW$134=1,INDEX(Vol_V,4,BW$133)/12*(1+V_dVol),0))</f>
        <v>0</v>
      </c>
      <c r="BX143" s="34" t="n">
        <f aca="false">IF(BX$8=1,N(Reales!BX15),IF(BX$134=1,INDEX(Vol_V,4,BX$133)/12*(1+V_dVol),0))</f>
        <v>0</v>
      </c>
      <c r="BY143" s="34" t="n">
        <f aca="false">IF(BY$8=1,N(Reales!BY15),IF(BY$134=1,INDEX(Vol_V,4,BY$133)/12*(1+V_dVol),0))</f>
        <v>0</v>
      </c>
      <c r="BZ143" s="34" t="n">
        <f aca="false">IF(BZ$8=1,N(Reales!BZ15),IF(BZ$134=1,INDEX(Vol_V,4,BZ$133)/12*(1+V_dVol),0))</f>
        <v>0</v>
      </c>
      <c r="CA143" s="34" t="n">
        <f aca="false">IF(CA$8=1,N(Reales!CA15),IF(CA$134=1,INDEX(Vol_V,4,CA$133)/12*(1+V_dVol),0))</f>
        <v>0</v>
      </c>
      <c r="CB143" s="34" t="n">
        <f aca="false">IF(CB$8=1,N(Reales!CB15),IF(CB$134=1,INDEX(Vol_V,4,CB$133)/12*(1+V_dVol),0))</f>
        <v>0</v>
      </c>
      <c r="CC143" s="34" t="n">
        <f aca="false">IF(CC$8=1,N(Reales!CC15),IF(CC$134=1,INDEX(Vol_V,4,CC$133)/12*(1+V_dVol),0))</f>
        <v>0</v>
      </c>
      <c r="CD143" s="34" t="n">
        <f aca="false">IF(CD$8=1,N(Reales!CD15),IF(CD$134=1,INDEX(Vol_V,4,CD$133)/12*(1+V_dVol),0))</f>
        <v>0</v>
      </c>
      <c r="CE143" s="34" t="n">
        <f aca="false">IF(CE$8=1,N(Reales!CE15),IF(CE$134=1,INDEX(Vol_V,4,CE$133)/12*(1+V_dVol),0))</f>
        <v>0</v>
      </c>
      <c r="CF143" s="34" t="n">
        <f aca="false">IF(CF$8=1,N(Reales!CF15),IF(CF$134=1,INDEX(Vol_V,4,CF$133)/12*(1+V_dVol),0))</f>
        <v>0</v>
      </c>
      <c r="CG143" s="34" t="n">
        <f aca="false">IF(CG$8=1,N(Reales!CG15),IF(CG$134=1,INDEX(Vol_V,4,CG$133)/12*(1+V_dVol),0))</f>
        <v>0</v>
      </c>
      <c r="CH143" s="34" t="n">
        <f aca="false">IF(CH$8=1,N(Reales!CH15),IF(CH$134=1,INDEX(Vol_V,4,CH$133)/12*(1+V_dVol),0))</f>
        <v>0</v>
      </c>
      <c r="CI143" s="34" t="n">
        <f aca="false">IF(CI$8=1,N(Reales!CI15),IF(CI$134=1,INDEX(Vol_V,4,CI$133)/12*(1+V_dVol),0))</f>
        <v>0</v>
      </c>
      <c r="CJ143" s="34" t="n">
        <f aca="false">IF(CJ$8=1,N(Reales!CJ15),IF(CJ$134=1,INDEX(Vol_V,4,CJ$133)/12*(1+V_dVol),0))</f>
        <v>0</v>
      </c>
      <c r="CK143" s="34" t="n">
        <f aca="false">IF(CK$8=1,N(Reales!CK15),IF(CK$134=1,INDEX(Vol_V,4,CK$133)/12*(1+V_dVol),0))</f>
        <v>0</v>
      </c>
      <c r="CL143" s="34" t="n">
        <f aca="false">IF(CL$8=1,N(Reales!CL15),IF(CL$134=1,INDEX(Vol_V,4,CL$133)/12*(1+V_dVol),0))</f>
        <v>0</v>
      </c>
      <c r="CM143" s="34" t="n">
        <f aca="false">IF(CM$8=1,N(Reales!CM15),IF(CM$134=1,INDEX(Vol_V,4,CM$133)/12*(1+V_dVol),0))</f>
        <v>0</v>
      </c>
      <c r="CN143" s="34" t="n">
        <f aca="false">IF(CN$8=1,N(Reales!CN15),IF(CN$134=1,INDEX(Vol_V,4,CN$133)/12*(1+V_dVol),0))</f>
        <v>0</v>
      </c>
      <c r="CO143" s="34" t="n">
        <f aca="false">IF(CO$8=1,N(Reales!CO15),IF(CO$134=1,INDEX(Vol_V,4,CO$133)/12*(1+V_dVol),0))</f>
        <v>0</v>
      </c>
      <c r="CP143" s="34" t="n">
        <f aca="false">IF(CP$8=1,N(Reales!CP15),IF(CP$134=1,INDEX(Vol_V,4,CP$133)/12*(1+V_dVol),0))</f>
        <v>0</v>
      </c>
      <c r="CQ143" s="34" t="n">
        <f aca="false">IF(CQ$8=1,N(Reales!CQ15),IF(CQ$134=1,INDEX(Vol_V,4,CQ$133)/12*(1+V_dVol),0))</f>
        <v>0</v>
      </c>
      <c r="CR143" s="34" t="n">
        <f aca="false">IF(CR$8=1,N(Reales!CR15),IF(CR$134=1,INDEX(Vol_V,4,CR$133)/12*(1+V_dVol),0))</f>
        <v>0</v>
      </c>
      <c r="CS143" s="34" t="n">
        <f aca="false">IF(CS$8=1,N(Reales!CS15),IF(CS$134=1,INDEX(Vol_V,4,CS$133)/12*(1+V_dVol),0))</f>
        <v>0</v>
      </c>
      <c r="CT143" s="34" t="n">
        <f aca="false">IF(CT$8=1,N(Reales!CT15),IF(CT$134=1,INDEX(Vol_V,4,CT$133)/12*(1+V_dVol),0))</f>
        <v>0</v>
      </c>
      <c r="CU143" s="34" t="n">
        <f aca="false">IF(CU$8=1,N(Reales!CU15),IF(CU$134=1,INDEX(Vol_V,4,CU$133)/12*(1+V_dVol),0))</f>
        <v>0</v>
      </c>
      <c r="CV143" s="34" t="n">
        <f aca="false">IF(CV$8=1,N(Reales!CV15),IF(CV$134=1,INDEX(Vol_V,4,CV$133)/12*(1+V_dVol),0))</f>
        <v>0</v>
      </c>
      <c r="CW143" s="34" t="n">
        <f aca="false">IF(CW$8=1,N(Reales!CW15),IF(CW$134=1,INDEX(Vol_V,4,CW$133)/12*(1+V_dVol),0))</f>
        <v>0</v>
      </c>
      <c r="CX143" s="34" t="n">
        <f aca="false">IF(CX$8=1,N(Reales!CX15),IF(CX$134=1,INDEX(Vol_V,4,CX$133)/12*(1+V_dVol),0))</f>
        <v>0</v>
      </c>
      <c r="CY143" s="34" t="n">
        <f aca="false">IF(CY$8=1,N(Reales!CY15),IF(CY$134=1,INDEX(Vol_V,4,CY$133)/12*(1+V_dVol),0))</f>
        <v>0</v>
      </c>
      <c r="CZ143" s="34" t="n">
        <f aca="false">IF(CZ$8=1,N(Reales!CZ15),IF(CZ$134=1,INDEX(Vol_V,4,CZ$133)/12*(1+V_dVol),0))</f>
        <v>0</v>
      </c>
      <c r="DA143" s="34" t="n">
        <f aca="false">IF(DA$8=1,N(Reales!DA15),IF(DA$134=1,INDEX(Vol_V,4,DA$133)/12*(1+V_dVol),0))</f>
        <v>0</v>
      </c>
      <c r="DB143" s="34" t="n">
        <f aca="false">IF(DB$8=1,N(Reales!DB15),IF(DB$134=1,INDEX(Vol_V,4,DB$133)/12*(1+V_dVol),0))</f>
        <v>0</v>
      </c>
      <c r="DC143" s="34" t="n">
        <f aca="false">IF(DC$8=1,N(Reales!DC15),IF(DC$134=1,INDEX(Vol_V,4,DC$133)/12*(1+V_dVol),0))</f>
        <v>0</v>
      </c>
      <c r="DD143" s="34" t="n">
        <f aca="false">IF(DD$8=1,N(Reales!DD15),IF(DD$134=1,INDEX(Vol_V,4,DD$133)/12*(1+V_dVol),0))</f>
        <v>0</v>
      </c>
      <c r="DE143" s="34" t="n">
        <f aca="false">IF(DE$8=1,N(Reales!DE15),IF(DE$134=1,INDEX(Vol_V,4,DE$133)/12*(1+V_dVol),0))</f>
        <v>0</v>
      </c>
      <c r="DF143" s="34" t="n">
        <f aca="false">IF(DF$8=1,N(Reales!DF15),IF(DF$134=1,INDEX(Vol_V,4,DF$133)/12*(1+V_dVol),0))</f>
        <v>0</v>
      </c>
      <c r="DG143" s="34" t="n">
        <f aca="false">IF(DG$8=1,N(Reales!DG15),IF(DG$134=1,INDEX(Vol_V,4,DG$133)/12*(1+V_dVol),0))</f>
        <v>0</v>
      </c>
      <c r="DH143" s="34" t="n">
        <f aca="false">IF(DH$8=1,N(Reales!DH15),IF(DH$134=1,INDEX(Vol_V,4,DH$133)/12*(1+V_dVol),0))</f>
        <v>0</v>
      </c>
      <c r="DI143" s="34" t="n">
        <f aca="false">IF(DI$8=1,N(Reales!DI15),IF(DI$134=1,INDEX(Vol_V,4,DI$133)/12*(1+V_dVol),0))</f>
        <v>0</v>
      </c>
      <c r="DJ143" s="34" t="n">
        <f aca="false">IF(DJ$8=1,N(Reales!DJ15),IF(DJ$134=1,INDEX(Vol_V,4,DJ$133)/12*(1+V_dVol),0))</f>
        <v>0</v>
      </c>
      <c r="DK143" s="34" t="n">
        <f aca="false">IF(DK$8=1,N(Reales!DK15),IF(DK$134=1,INDEX(Vol_V,4,DK$133)/12*(1+V_dVol),0))</f>
        <v>0</v>
      </c>
      <c r="DL143" s="34" t="n">
        <f aca="false">IF(DL$8=1,N(Reales!DL15),IF(DL$134=1,INDEX(Vol_V,4,DL$133)/12*(1+V_dVol),0))</f>
        <v>0</v>
      </c>
      <c r="DM143" s="34" t="n">
        <f aca="false">IF(DM$8=1,N(Reales!DM15),IF(DM$134=1,INDEX(Vol_V,4,DM$133)/12*(1+V_dVol),0))</f>
        <v>0</v>
      </c>
      <c r="DN143" s="34" t="n">
        <f aca="false">IF(DN$8=1,N(Reales!DN15),IF(DN$134=1,INDEX(Vol_V,4,DN$133)/12*(1+V_dVol),0))</f>
        <v>0</v>
      </c>
      <c r="DO143" s="34" t="n">
        <f aca="false">IF(DO$8=1,N(Reales!DO15),IF(DO$134=1,INDEX(Vol_V,4,DO$133)/12*(1+V_dVol),0))</f>
        <v>0</v>
      </c>
      <c r="DP143" s="34" t="n">
        <f aca="false">IF(DP$8=1,N(Reales!DP15),IF(DP$134=1,INDEX(Vol_V,4,DP$133)/12*(1+V_dVol),0))</f>
        <v>0</v>
      </c>
      <c r="DQ143" s="34" t="n">
        <f aca="false">IF(DQ$8=1,N(Reales!DQ15),IF(DQ$134=1,INDEX(Vol_V,4,DQ$133)/12*(1+V_dVol),0))</f>
        <v>0</v>
      </c>
      <c r="DR143" s="34" t="n">
        <f aca="false">IF(DR$8=1,N(Reales!DR15),IF(DR$134=1,INDEX(Vol_V,4,DR$133)/12*(1+V_dVol),0))</f>
        <v>0</v>
      </c>
      <c r="DS143" s="34" t="n">
        <f aca="false">IF(DS$8=1,N(Reales!DS15),IF(DS$134=1,INDEX(Vol_V,4,DS$133)/12*(1+V_dVol),0))</f>
        <v>0</v>
      </c>
      <c r="DT143" s="34" t="n">
        <f aca="false">IF(DT$8=1,N(Reales!DT15),IF(DT$134=1,INDEX(Vol_V,4,DT$133)/12*(1+V_dVol),0))</f>
        <v>0</v>
      </c>
      <c r="DU143" s="34" t="n">
        <f aca="false">IF(DU$8=1,N(Reales!DU15),IF(DU$134=1,INDEX(Vol_V,4,DU$133)/12*(1+V_dVol),0))</f>
        <v>0</v>
      </c>
      <c r="DV143" s="34" t="n">
        <f aca="false">IF(DV$8=1,N(Reales!DV15),IF(DV$134=1,INDEX(Vol_V,4,DV$133)/12*(1+V_dVol),0))</f>
        <v>0</v>
      </c>
      <c r="DW143" s="34" t="n">
        <f aca="false">IF(DW$8=1,N(Reales!DW15),IF(DW$134=1,INDEX(Vol_V,4,DW$133)/12*(1+V_dVol),0))</f>
        <v>0</v>
      </c>
      <c r="DX143" s="34" t="n">
        <f aca="false">IF(DX$8=1,N(Reales!DX15),IF(DX$134=1,INDEX(Vol_V,4,DX$133)/12*(1+V_dVol),0))</f>
        <v>0</v>
      </c>
      <c r="DY143" s="34" t="n">
        <f aca="false">IF(DY$8=1,N(Reales!DY15),IF(DY$134=1,INDEX(Vol_V,4,DY$133)/12*(1+V_dVol),0))</f>
        <v>0</v>
      </c>
      <c r="DZ143" s="34" t="n">
        <f aca="false">IF(DZ$8=1,N(Reales!DZ15),IF(DZ$134=1,INDEX(Vol_V,4,DZ$133)/12*(1+V_dVol),0))</f>
        <v>0</v>
      </c>
      <c r="EA143" s="34" t="n">
        <f aca="false">IF(EA$8=1,N(Reales!EA15),IF(EA$134=1,INDEX(Vol_V,4,EA$133)/12*(1+V_dVol),0))</f>
        <v>0</v>
      </c>
      <c r="EB143" s="34" t="n">
        <f aca="false">IF(EB$8=1,N(Reales!EB15),IF(EB$134=1,INDEX(Vol_V,4,EB$133)/12*(1+V_dVol),0))</f>
        <v>0</v>
      </c>
      <c r="EC143" s="34" t="n">
        <f aca="false">IF(EC$8=1,N(Reales!EC15),IF(EC$134=1,INDEX(Vol_V,4,EC$133)/12*(1+V_dVol),0))</f>
        <v>0</v>
      </c>
      <c r="ED143" s="34" t="n">
        <f aca="false">IF(ED$8=1,N(Reales!ED15),IF(ED$134=1,INDEX(Vol_V,4,ED$133)/12*(1+V_dVol),0))</f>
        <v>0</v>
      </c>
      <c r="EE143" s="34" t="n">
        <f aca="false">IF(EE$8=1,N(Reales!EE15),IF(EE$134=1,INDEX(Vol_V,4,EE$133)/12*(1+V_dVol),0))</f>
        <v>0</v>
      </c>
      <c r="EF143" s="34" t="n">
        <f aca="false">IF(EF$8=1,N(Reales!EF15),IF(EF$134=1,INDEX(Vol_V,4,EF$133)/12*(1+V_dVol),0))</f>
        <v>0</v>
      </c>
      <c r="EG143" s="34" t="n">
        <f aca="false">IF(EG$8=1,N(Reales!EG15),IF(EG$134=1,INDEX(Vol_V,4,EG$133)/12*(1+V_dVol),0))</f>
        <v>0</v>
      </c>
      <c r="EH143" s="34" t="n">
        <f aca="false">IF(EH$8=1,N(Reales!EH15),IF(EH$134=1,INDEX(Vol_V,4,EH$133)/12*(1+V_dVol),0))</f>
        <v>0</v>
      </c>
      <c r="EI143" s="34" t="n">
        <f aca="false">IF(EI$8=1,N(Reales!EI15),IF(EI$134=1,INDEX(Vol_V,4,EI$133)/12*(1+V_dVol),0))</f>
        <v>0</v>
      </c>
      <c r="EJ143" s="34" t="n">
        <f aca="false">IF(EJ$8=1,N(Reales!EJ15),IF(EJ$134=1,INDEX(Vol_V,4,EJ$133)/12*(1+V_dVol),0))</f>
        <v>0</v>
      </c>
      <c r="EK143" s="34" t="n">
        <f aca="false">IF(EK$8=1,N(Reales!EK15),IF(EK$134=1,INDEX(Vol_V,4,EK$133)/12*(1+V_dVol),0))</f>
        <v>0</v>
      </c>
      <c r="EL143" s="34" t="n">
        <f aca="false">IF(EL$8=1,N(Reales!EL15),IF(EL$134=1,INDEX(Vol_V,4,EL$133)/12*(1+V_dVol),0))</f>
        <v>0</v>
      </c>
      <c r="EM143" s="34" t="n">
        <f aca="false">IF(EM$8=1,N(Reales!EM15),IF(EM$134=1,INDEX(Vol_V,4,EM$133)/12*(1+V_dVol),0))</f>
        <v>0</v>
      </c>
      <c r="EN143" s="34" t="n">
        <f aca="false">IF(EN$8=1,N(Reales!EN15),IF(EN$134=1,INDEX(Vol_V,4,EN$133)/12*(1+V_dVol),0))</f>
        <v>0</v>
      </c>
      <c r="EO143" s="34" t="n">
        <f aca="false">IF(EO$8=1,N(Reales!EO15),IF(EO$134=1,INDEX(Vol_V,4,EO$133)/12*(1+V_dVol),0))</f>
        <v>0</v>
      </c>
      <c r="EP143" s="34" t="n">
        <f aca="false">IF(EP$8=1,N(Reales!EP15),IF(EP$134=1,INDEX(Vol_V,4,EP$133)/12*(1+V_dVol),0))</f>
        <v>0</v>
      </c>
      <c r="EQ143" s="34" t="n">
        <f aca="false">IF(EQ$8=1,N(Reales!EQ15),IF(EQ$134=1,INDEX(Vol_V,4,EQ$133)/12*(1+V_dVol),0))</f>
        <v>0</v>
      </c>
      <c r="ER143" s="34" t="n">
        <f aca="false">IF(ER$8=1,N(Reales!ER15),IF(ER$134=1,INDEX(Vol_V,4,ER$133)/12*(1+V_dVol),0))</f>
        <v>0</v>
      </c>
      <c r="ES143" s="34" t="n">
        <f aca="false">IF(ES$8=1,N(Reales!ES15),IF(ES$134=1,INDEX(Vol_V,4,ES$133)/12*(1+V_dVol),0))</f>
        <v>0</v>
      </c>
    </row>
    <row r="144" customFormat="false" ht="15" hidden="false" customHeight="false" outlineLevel="0" collapsed="false">
      <c r="A144" s="2" t="s">
        <v>623</v>
      </c>
      <c r="B144" s="39" t="str">
        <f aca="false">IF(INDEX(Prod_Nombre,5)="","Producto 5",INDEX(Prod_Nombre,5))&amp;" — unidades"</f>
        <v>Producto 5 — unidades</v>
      </c>
      <c r="C144" s="6" t="s">
        <v>337</v>
      </c>
      <c r="E144" s="40" t="n">
        <f aca="false">SUM(F144:ES144)</f>
        <v>0</v>
      </c>
      <c r="F144" s="34" t="n">
        <f aca="false">IF(F$8=1,N(Reales!F16),IF(F$134=1,INDEX(Vol_V,5,F$133)/12*(1+V_dVol),0))</f>
        <v>0</v>
      </c>
      <c r="G144" s="34" t="n">
        <f aca="false">IF(G$8=1,N(Reales!G16),IF(G$134=1,INDEX(Vol_V,5,G$133)/12*(1+V_dVol),0))</f>
        <v>0</v>
      </c>
      <c r="H144" s="34" t="n">
        <f aca="false">IF(H$8=1,N(Reales!H16),IF(H$134=1,INDEX(Vol_V,5,H$133)/12*(1+V_dVol),0))</f>
        <v>0</v>
      </c>
      <c r="I144" s="34" t="n">
        <f aca="false">IF(I$8=1,N(Reales!I16),IF(I$134=1,INDEX(Vol_V,5,I$133)/12*(1+V_dVol),0))</f>
        <v>0</v>
      </c>
      <c r="J144" s="34" t="n">
        <f aca="false">IF(J$8=1,N(Reales!J16),IF(J$134=1,INDEX(Vol_V,5,J$133)/12*(1+V_dVol),0))</f>
        <v>0</v>
      </c>
      <c r="K144" s="34" t="n">
        <f aca="false">IF(K$8=1,N(Reales!K16),IF(K$134=1,INDEX(Vol_V,5,K$133)/12*(1+V_dVol),0))</f>
        <v>0</v>
      </c>
      <c r="L144" s="34" t="n">
        <f aca="false">IF(L$8=1,N(Reales!L16),IF(L$134=1,INDEX(Vol_V,5,L$133)/12*(1+V_dVol),0))</f>
        <v>0</v>
      </c>
      <c r="M144" s="34" t="n">
        <f aca="false">IF(M$8=1,N(Reales!M16),IF(M$134=1,INDEX(Vol_V,5,M$133)/12*(1+V_dVol),0))</f>
        <v>0</v>
      </c>
      <c r="N144" s="34" t="n">
        <f aca="false">IF(N$8=1,N(Reales!N16),IF(N$134=1,INDEX(Vol_V,5,N$133)/12*(1+V_dVol),0))</f>
        <v>0</v>
      </c>
      <c r="O144" s="34" t="n">
        <f aca="false">IF(O$8=1,N(Reales!O16),IF(O$134=1,INDEX(Vol_V,5,O$133)/12*(1+V_dVol),0))</f>
        <v>0</v>
      </c>
      <c r="P144" s="34" t="n">
        <f aca="false">IF(P$8=1,N(Reales!P16),IF(P$134=1,INDEX(Vol_V,5,P$133)/12*(1+V_dVol),0))</f>
        <v>0</v>
      </c>
      <c r="Q144" s="34" t="n">
        <f aca="false">IF(Q$8=1,N(Reales!Q16),IF(Q$134=1,INDEX(Vol_V,5,Q$133)/12*(1+V_dVol),0))</f>
        <v>0</v>
      </c>
      <c r="R144" s="34" t="n">
        <f aca="false">IF(R$8=1,N(Reales!R16),IF(R$134=1,INDEX(Vol_V,5,R$133)/12*(1+V_dVol),0))</f>
        <v>0</v>
      </c>
      <c r="S144" s="34" t="n">
        <f aca="false">IF(S$8=1,N(Reales!S16),IF(S$134=1,INDEX(Vol_V,5,S$133)/12*(1+V_dVol),0))</f>
        <v>0</v>
      </c>
      <c r="T144" s="34" t="n">
        <f aca="false">IF(T$8=1,N(Reales!T16),IF(T$134=1,INDEX(Vol_V,5,T$133)/12*(1+V_dVol),0))</f>
        <v>0</v>
      </c>
      <c r="U144" s="34" t="n">
        <f aca="false">IF(U$8=1,N(Reales!U16),IF(U$134=1,INDEX(Vol_V,5,U$133)/12*(1+V_dVol),0))</f>
        <v>0</v>
      </c>
      <c r="V144" s="34" t="n">
        <f aca="false">IF(V$8=1,N(Reales!V16),IF(V$134=1,INDEX(Vol_V,5,V$133)/12*(1+V_dVol),0))</f>
        <v>0</v>
      </c>
      <c r="W144" s="34" t="n">
        <f aca="false">IF(W$8=1,N(Reales!W16),IF(W$134=1,INDEX(Vol_V,5,W$133)/12*(1+V_dVol),0))</f>
        <v>0</v>
      </c>
      <c r="X144" s="34" t="n">
        <f aca="false">IF(X$8=1,N(Reales!X16),IF(X$134=1,INDEX(Vol_V,5,X$133)/12*(1+V_dVol),0))</f>
        <v>0</v>
      </c>
      <c r="Y144" s="34" t="n">
        <f aca="false">IF(Y$8=1,N(Reales!Y16),IF(Y$134=1,INDEX(Vol_V,5,Y$133)/12*(1+V_dVol),0))</f>
        <v>0</v>
      </c>
      <c r="Z144" s="34" t="n">
        <f aca="false">IF(Z$8=1,N(Reales!Z16),IF(Z$134=1,INDEX(Vol_V,5,Z$133)/12*(1+V_dVol),0))</f>
        <v>0</v>
      </c>
      <c r="AA144" s="34" t="n">
        <f aca="false">IF(AA$8=1,N(Reales!AA16),IF(AA$134=1,INDEX(Vol_V,5,AA$133)/12*(1+V_dVol),0))</f>
        <v>0</v>
      </c>
      <c r="AB144" s="34" t="n">
        <f aca="false">IF(AB$8=1,N(Reales!AB16),IF(AB$134=1,INDEX(Vol_V,5,AB$133)/12*(1+V_dVol),0))</f>
        <v>0</v>
      </c>
      <c r="AC144" s="34" t="n">
        <f aca="false">IF(AC$8=1,N(Reales!AC16),IF(AC$134=1,INDEX(Vol_V,5,AC$133)/12*(1+V_dVol),0))</f>
        <v>0</v>
      </c>
      <c r="AD144" s="34" t="n">
        <f aca="false">IF(AD$8=1,N(Reales!AD16),IF(AD$134=1,INDEX(Vol_V,5,AD$133)/12*(1+V_dVol),0))</f>
        <v>0</v>
      </c>
      <c r="AE144" s="34" t="n">
        <f aca="false">IF(AE$8=1,N(Reales!AE16),IF(AE$134=1,INDEX(Vol_V,5,AE$133)/12*(1+V_dVol),0))</f>
        <v>0</v>
      </c>
      <c r="AF144" s="34" t="n">
        <f aca="false">IF(AF$8=1,N(Reales!AF16),IF(AF$134=1,INDEX(Vol_V,5,AF$133)/12*(1+V_dVol),0))</f>
        <v>0</v>
      </c>
      <c r="AG144" s="34" t="n">
        <f aca="false">IF(AG$8=1,N(Reales!AG16),IF(AG$134=1,INDEX(Vol_V,5,AG$133)/12*(1+V_dVol),0))</f>
        <v>0</v>
      </c>
      <c r="AH144" s="34" t="n">
        <f aca="false">IF(AH$8=1,N(Reales!AH16),IF(AH$134=1,INDEX(Vol_V,5,AH$133)/12*(1+V_dVol),0))</f>
        <v>0</v>
      </c>
      <c r="AI144" s="34" t="n">
        <f aca="false">IF(AI$8=1,N(Reales!AI16),IF(AI$134=1,INDEX(Vol_V,5,AI$133)/12*(1+V_dVol),0))</f>
        <v>0</v>
      </c>
      <c r="AJ144" s="34" t="n">
        <f aca="false">IF(AJ$8=1,N(Reales!AJ16),IF(AJ$134=1,INDEX(Vol_V,5,AJ$133)/12*(1+V_dVol),0))</f>
        <v>0</v>
      </c>
      <c r="AK144" s="34" t="n">
        <f aca="false">IF(AK$8=1,N(Reales!AK16),IF(AK$134=1,INDEX(Vol_V,5,AK$133)/12*(1+V_dVol),0))</f>
        <v>0</v>
      </c>
      <c r="AL144" s="34" t="n">
        <f aca="false">IF(AL$8=1,N(Reales!AL16),IF(AL$134=1,INDEX(Vol_V,5,AL$133)/12*(1+V_dVol),0))</f>
        <v>0</v>
      </c>
      <c r="AM144" s="34" t="n">
        <f aca="false">IF(AM$8=1,N(Reales!AM16),IF(AM$134=1,INDEX(Vol_V,5,AM$133)/12*(1+V_dVol),0))</f>
        <v>0</v>
      </c>
      <c r="AN144" s="34" t="n">
        <f aca="false">IF(AN$8=1,N(Reales!AN16),IF(AN$134=1,INDEX(Vol_V,5,AN$133)/12*(1+V_dVol),0))</f>
        <v>0</v>
      </c>
      <c r="AO144" s="34" t="n">
        <f aca="false">IF(AO$8=1,N(Reales!AO16),IF(AO$134=1,INDEX(Vol_V,5,AO$133)/12*(1+V_dVol),0))</f>
        <v>0</v>
      </c>
      <c r="AP144" s="34" t="n">
        <f aca="false">IF(AP$8=1,N(Reales!AP16),IF(AP$134=1,INDEX(Vol_V,5,AP$133)/12*(1+V_dVol),0))</f>
        <v>0</v>
      </c>
      <c r="AQ144" s="34" t="n">
        <f aca="false">IF(AQ$8=1,N(Reales!AQ16),IF(AQ$134=1,INDEX(Vol_V,5,AQ$133)/12*(1+V_dVol),0))</f>
        <v>0</v>
      </c>
      <c r="AR144" s="34" t="n">
        <f aca="false">IF(AR$8=1,N(Reales!AR16),IF(AR$134=1,INDEX(Vol_V,5,AR$133)/12*(1+V_dVol),0))</f>
        <v>0</v>
      </c>
      <c r="AS144" s="34" t="n">
        <f aca="false">IF(AS$8=1,N(Reales!AS16),IF(AS$134=1,INDEX(Vol_V,5,AS$133)/12*(1+V_dVol),0))</f>
        <v>0</v>
      </c>
      <c r="AT144" s="34" t="n">
        <f aca="false">IF(AT$8=1,N(Reales!AT16),IF(AT$134=1,INDEX(Vol_V,5,AT$133)/12*(1+V_dVol),0))</f>
        <v>0</v>
      </c>
      <c r="AU144" s="34" t="n">
        <f aca="false">IF(AU$8=1,N(Reales!AU16),IF(AU$134=1,INDEX(Vol_V,5,AU$133)/12*(1+V_dVol),0))</f>
        <v>0</v>
      </c>
      <c r="AV144" s="34" t="n">
        <f aca="false">IF(AV$8=1,N(Reales!AV16),IF(AV$134=1,INDEX(Vol_V,5,AV$133)/12*(1+V_dVol),0))</f>
        <v>0</v>
      </c>
      <c r="AW144" s="34" t="n">
        <f aca="false">IF(AW$8=1,N(Reales!AW16),IF(AW$134=1,INDEX(Vol_V,5,AW$133)/12*(1+V_dVol),0))</f>
        <v>0</v>
      </c>
      <c r="AX144" s="34" t="n">
        <f aca="false">IF(AX$8=1,N(Reales!AX16),IF(AX$134=1,INDEX(Vol_V,5,AX$133)/12*(1+V_dVol),0))</f>
        <v>0</v>
      </c>
      <c r="AY144" s="34" t="n">
        <f aca="false">IF(AY$8=1,N(Reales!AY16),IF(AY$134=1,INDEX(Vol_V,5,AY$133)/12*(1+V_dVol),0))</f>
        <v>0</v>
      </c>
      <c r="AZ144" s="34" t="n">
        <f aca="false">IF(AZ$8=1,N(Reales!AZ16),IF(AZ$134=1,INDEX(Vol_V,5,AZ$133)/12*(1+V_dVol),0))</f>
        <v>0</v>
      </c>
      <c r="BA144" s="34" t="n">
        <f aca="false">IF(BA$8=1,N(Reales!BA16),IF(BA$134=1,INDEX(Vol_V,5,BA$133)/12*(1+V_dVol),0))</f>
        <v>0</v>
      </c>
      <c r="BB144" s="34" t="n">
        <f aca="false">IF(BB$8=1,N(Reales!BB16),IF(BB$134=1,INDEX(Vol_V,5,BB$133)/12*(1+V_dVol),0))</f>
        <v>0</v>
      </c>
      <c r="BC144" s="34" t="n">
        <f aca="false">IF(BC$8=1,N(Reales!BC16),IF(BC$134=1,INDEX(Vol_V,5,BC$133)/12*(1+V_dVol),0))</f>
        <v>0</v>
      </c>
      <c r="BD144" s="34" t="n">
        <f aca="false">IF(BD$8=1,N(Reales!BD16),IF(BD$134=1,INDEX(Vol_V,5,BD$133)/12*(1+V_dVol),0))</f>
        <v>0</v>
      </c>
      <c r="BE144" s="34" t="n">
        <f aca="false">IF(BE$8=1,N(Reales!BE16),IF(BE$134=1,INDEX(Vol_V,5,BE$133)/12*(1+V_dVol),0))</f>
        <v>0</v>
      </c>
      <c r="BF144" s="34" t="n">
        <f aca="false">IF(BF$8=1,N(Reales!BF16),IF(BF$134=1,INDEX(Vol_V,5,BF$133)/12*(1+V_dVol),0))</f>
        <v>0</v>
      </c>
      <c r="BG144" s="34" t="n">
        <f aca="false">IF(BG$8=1,N(Reales!BG16),IF(BG$134=1,INDEX(Vol_V,5,BG$133)/12*(1+V_dVol),0))</f>
        <v>0</v>
      </c>
      <c r="BH144" s="34" t="n">
        <f aca="false">IF(BH$8=1,N(Reales!BH16),IF(BH$134=1,INDEX(Vol_V,5,BH$133)/12*(1+V_dVol),0))</f>
        <v>0</v>
      </c>
      <c r="BI144" s="34" t="n">
        <f aca="false">IF(BI$8=1,N(Reales!BI16),IF(BI$134=1,INDEX(Vol_V,5,BI$133)/12*(1+V_dVol),0))</f>
        <v>0</v>
      </c>
      <c r="BJ144" s="34" t="n">
        <f aca="false">IF(BJ$8=1,N(Reales!BJ16),IF(BJ$134=1,INDEX(Vol_V,5,BJ$133)/12*(1+V_dVol),0))</f>
        <v>0</v>
      </c>
      <c r="BK144" s="34" t="n">
        <f aca="false">IF(BK$8=1,N(Reales!BK16),IF(BK$134=1,INDEX(Vol_V,5,BK$133)/12*(1+V_dVol),0))</f>
        <v>0</v>
      </c>
      <c r="BL144" s="34" t="n">
        <f aca="false">IF(BL$8=1,N(Reales!BL16),IF(BL$134=1,INDEX(Vol_V,5,BL$133)/12*(1+V_dVol),0))</f>
        <v>0</v>
      </c>
      <c r="BM144" s="34" t="n">
        <f aca="false">IF(BM$8=1,N(Reales!BM16),IF(BM$134=1,INDEX(Vol_V,5,BM$133)/12*(1+V_dVol),0))</f>
        <v>0</v>
      </c>
      <c r="BN144" s="34" t="n">
        <f aca="false">IF(BN$8=1,N(Reales!BN16),IF(BN$134=1,INDEX(Vol_V,5,BN$133)/12*(1+V_dVol),0))</f>
        <v>0</v>
      </c>
      <c r="BO144" s="34" t="n">
        <f aca="false">IF(BO$8=1,N(Reales!BO16),IF(BO$134=1,INDEX(Vol_V,5,BO$133)/12*(1+V_dVol),0))</f>
        <v>0</v>
      </c>
      <c r="BP144" s="34" t="n">
        <f aca="false">IF(BP$8=1,N(Reales!BP16),IF(BP$134=1,INDEX(Vol_V,5,BP$133)/12*(1+V_dVol),0))</f>
        <v>0</v>
      </c>
      <c r="BQ144" s="34" t="n">
        <f aca="false">IF(BQ$8=1,N(Reales!BQ16),IF(BQ$134=1,INDEX(Vol_V,5,BQ$133)/12*(1+V_dVol),0))</f>
        <v>0</v>
      </c>
      <c r="BR144" s="34" t="n">
        <f aca="false">IF(BR$8=1,N(Reales!BR16),IF(BR$134=1,INDEX(Vol_V,5,BR$133)/12*(1+V_dVol),0))</f>
        <v>0</v>
      </c>
      <c r="BS144" s="34" t="n">
        <f aca="false">IF(BS$8=1,N(Reales!BS16),IF(BS$134=1,INDEX(Vol_V,5,BS$133)/12*(1+V_dVol),0))</f>
        <v>0</v>
      </c>
      <c r="BT144" s="34" t="n">
        <f aca="false">IF(BT$8=1,N(Reales!BT16),IF(BT$134=1,INDEX(Vol_V,5,BT$133)/12*(1+V_dVol),0))</f>
        <v>0</v>
      </c>
      <c r="BU144" s="34" t="n">
        <f aca="false">IF(BU$8=1,N(Reales!BU16),IF(BU$134=1,INDEX(Vol_V,5,BU$133)/12*(1+V_dVol),0))</f>
        <v>0</v>
      </c>
      <c r="BV144" s="34" t="n">
        <f aca="false">IF(BV$8=1,N(Reales!BV16),IF(BV$134=1,INDEX(Vol_V,5,BV$133)/12*(1+V_dVol),0))</f>
        <v>0</v>
      </c>
      <c r="BW144" s="34" t="n">
        <f aca="false">IF(BW$8=1,N(Reales!BW16),IF(BW$134=1,INDEX(Vol_V,5,BW$133)/12*(1+V_dVol),0))</f>
        <v>0</v>
      </c>
      <c r="BX144" s="34" t="n">
        <f aca="false">IF(BX$8=1,N(Reales!BX16),IF(BX$134=1,INDEX(Vol_V,5,BX$133)/12*(1+V_dVol),0))</f>
        <v>0</v>
      </c>
      <c r="BY144" s="34" t="n">
        <f aca="false">IF(BY$8=1,N(Reales!BY16),IF(BY$134=1,INDEX(Vol_V,5,BY$133)/12*(1+V_dVol),0))</f>
        <v>0</v>
      </c>
      <c r="BZ144" s="34" t="n">
        <f aca="false">IF(BZ$8=1,N(Reales!BZ16),IF(BZ$134=1,INDEX(Vol_V,5,BZ$133)/12*(1+V_dVol),0))</f>
        <v>0</v>
      </c>
      <c r="CA144" s="34" t="n">
        <f aca="false">IF(CA$8=1,N(Reales!CA16),IF(CA$134=1,INDEX(Vol_V,5,CA$133)/12*(1+V_dVol),0))</f>
        <v>0</v>
      </c>
      <c r="CB144" s="34" t="n">
        <f aca="false">IF(CB$8=1,N(Reales!CB16),IF(CB$134=1,INDEX(Vol_V,5,CB$133)/12*(1+V_dVol),0))</f>
        <v>0</v>
      </c>
      <c r="CC144" s="34" t="n">
        <f aca="false">IF(CC$8=1,N(Reales!CC16),IF(CC$134=1,INDEX(Vol_V,5,CC$133)/12*(1+V_dVol),0))</f>
        <v>0</v>
      </c>
      <c r="CD144" s="34" t="n">
        <f aca="false">IF(CD$8=1,N(Reales!CD16),IF(CD$134=1,INDEX(Vol_V,5,CD$133)/12*(1+V_dVol),0))</f>
        <v>0</v>
      </c>
      <c r="CE144" s="34" t="n">
        <f aca="false">IF(CE$8=1,N(Reales!CE16),IF(CE$134=1,INDEX(Vol_V,5,CE$133)/12*(1+V_dVol),0))</f>
        <v>0</v>
      </c>
      <c r="CF144" s="34" t="n">
        <f aca="false">IF(CF$8=1,N(Reales!CF16),IF(CF$134=1,INDEX(Vol_V,5,CF$133)/12*(1+V_dVol),0))</f>
        <v>0</v>
      </c>
      <c r="CG144" s="34" t="n">
        <f aca="false">IF(CG$8=1,N(Reales!CG16),IF(CG$134=1,INDEX(Vol_V,5,CG$133)/12*(1+V_dVol),0))</f>
        <v>0</v>
      </c>
      <c r="CH144" s="34" t="n">
        <f aca="false">IF(CH$8=1,N(Reales!CH16),IF(CH$134=1,INDEX(Vol_V,5,CH$133)/12*(1+V_dVol),0))</f>
        <v>0</v>
      </c>
      <c r="CI144" s="34" t="n">
        <f aca="false">IF(CI$8=1,N(Reales!CI16),IF(CI$134=1,INDEX(Vol_V,5,CI$133)/12*(1+V_dVol),0))</f>
        <v>0</v>
      </c>
      <c r="CJ144" s="34" t="n">
        <f aca="false">IF(CJ$8=1,N(Reales!CJ16),IF(CJ$134=1,INDEX(Vol_V,5,CJ$133)/12*(1+V_dVol),0))</f>
        <v>0</v>
      </c>
      <c r="CK144" s="34" t="n">
        <f aca="false">IF(CK$8=1,N(Reales!CK16),IF(CK$134=1,INDEX(Vol_V,5,CK$133)/12*(1+V_dVol),0))</f>
        <v>0</v>
      </c>
      <c r="CL144" s="34" t="n">
        <f aca="false">IF(CL$8=1,N(Reales!CL16),IF(CL$134=1,INDEX(Vol_V,5,CL$133)/12*(1+V_dVol),0))</f>
        <v>0</v>
      </c>
      <c r="CM144" s="34" t="n">
        <f aca="false">IF(CM$8=1,N(Reales!CM16),IF(CM$134=1,INDEX(Vol_V,5,CM$133)/12*(1+V_dVol),0))</f>
        <v>0</v>
      </c>
      <c r="CN144" s="34" t="n">
        <f aca="false">IF(CN$8=1,N(Reales!CN16),IF(CN$134=1,INDEX(Vol_V,5,CN$133)/12*(1+V_dVol),0))</f>
        <v>0</v>
      </c>
      <c r="CO144" s="34" t="n">
        <f aca="false">IF(CO$8=1,N(Reales!CO16),IF(CO$134=1,INDEX(Vol_V,5,CO$133)/12*(1+V_dVol),0))</f>
        <v>0</v>
      </c>
      <c r="CP144" s="34" t="n">
        <f aca="false">IF(CP$8=1,N(Reales!CP16),IF(CP$134=1,INDEX(Vol_V,5,CP$133)/12*(1+V_dVol),0))</f>
        <v>0</v>
      </c>
      <c r="CQ144" s="34" t="n">
        <f aca="false">IF(CQ$8=1,N(Reales!CQ16),IF(CQ$134=1,INDEX(Vol_V,5,CQ$133)/12*(1+V_dVol),0))</f>
        <v>0</v>
      </c>
      <c r="CR144" s="34" t="n">
        <f aca="false">IF(CR$8=1,N(Reales!CR16),IF(CR$134=1,INDEX(Vol_V,5,CR$133)/12*(1+V_dVol),0))</f>
        <v>0</v>
      </c>
      <c r="CS144" s="34" t="n">
        <f aca="false">IF(CS$8=1,N(Reales!CS16),IF(CS$134=1,INDEX(Vol_V,5,CS$133)/12*(1+V_dVol),0))</f>
        <v>0</v>
      </c>
      <c r="CT144" s="34" t="n">
        <f aca="false">IF(CT$8=1,N(Reales!CT16),IF(CT$134=1,INDEX(Vol_V,5,CT$133)/12*(1+V_dVol),0))</f>
        <v>0</v>
      </c>
      <c r="CU144" s="34" t="n">
        <f aca="false">IF(CU$8=1,N(Reales!CU16),IF(CU$134=1,INDEX(Vol_V,5,CU$133)/12*(1+V_dVol),0))</f>
        <v>0</v>
      </c>
      <c r="CV144" s="34" t="n">
        <f aca="false">IF(CV$8=1,N(Reales!CV16),IF(CV$134=1,INDEX(Vol_V,5,CV$133)/12*(1+V_dVol),0))</f>
        <v>0</v>
      </c>
      <c r="CW144" s="34" t="n">
        <f aca="false">IF(CW$8=1,N(Reales!CW16),IF(CW$134=1,INDEX(Vol_V,5,CW$133)/12*(1+V_dVol),0))</f>
        <v>0</v>
      </c>
      <c r="CX144" s="34" t="n">
        <f aca="false">IF(CX$8=1,N(Reales!CX16),IF(CX$134=1,INDEX(Vol_V,5,CX$133)/12*(1+V_dVol),0))</f>
        <v>0</v>
      </c>
      <c r="CY144" s="34" t="n">
        <f aca="false">IF(CY$8=1,N(Reales!CY16),IF(CY$134=1,INDEX(Vol_V,5,CY$133)/12*(1+V_dVol),0))</f>
        <v>0</v>
      </c>
      <c r="CZ144" s="34" t="n">
        <f aca="false">IF(CZ$8=1,N(Reales!CZ16),IF(CZ$134=1,INDEX(Vol_V,5,CZ$133)/12*(1+V_dVol),0))</f>
        <v>0</v>
      </c>
      <c r="DA144" s="34" t="n">
        <f aca="false">IF(DA$8=1,N(Reales!DA16),IF(DA$134=1,INDEX(Vol_V,5,DA$133)/12*(1+V_dVol),0))</f>
        <v>0</v>
      </c>
      <c r="DB144" s="34" t="n">
        <f aca="false">IF(DB$8=1,N(Reales!DB16),IF(DB$134=1,INDEX(Vol_V,5,DB$133)/12*(1+V_dVol),0))</f>
        <v>0</v>
      </c>
      <c r="DC144" s="34" t="n">
        <f aca="false">IF(DC$8=1,N(Reales!DC16),IF(DC$134=1,INDEX(Vol_V,5,DC$133)/12*(1+V_dVol),0))</f>
        <v>0</v>
      </c>
      <c r="DD144" s="34" t="n">
        <f aca="false">IF(DD$8=1,N(Reales!DD16),IF(DD$134=1,INDEX(Vol_V,5,DD$133)/12*(1+V_dVol),0))</f>
        <v>0</v>
      </c>
      <c r="DE144" s="34" t="n">
        <f aca="false">IF(DE$8=1,N(Reales!DE16),IF(DE$134=1,INDEX(Vol_V,5,DE$133)/12*(1+V_dVol),0))</f>
        <v>0</v>
      </c>
      <c r="DF144" s="34" t="n">
        <f aca="false">IF(DF$8=1,N(Reales!DF16),IF(DF$134=1,INDEX(Vol_V,5,DF$133)/12*(1+V_dVol),0))</f>
        <v>0</v>
      </c>
      <c r="DG144" s="34" t="n">
        <f aca="false">IF(DG$8=1,N(Reales!DG16),IF(DG$134=1,INDEX(Vol_V,5,DG$133)/12*(1+V_dVol),0))</f>
        <v>0</v>
      </c>
      <c r="DH144" s="34" t="n">
        <f aca="false">IF(DH$8=1,N(Reales!DH16),IF(DH$134=1,INDEX(Vol_V,5,DH$133)/12*(1+V_dVol),0))</f>
        <v>0</v>
      </c>
      <c r="DI144" s="34" t="n">
        <f aca="false">IF(DI$8=1,N(Reales!DI16),IF(DI$134=1,INDEX(Vol_V,5,DI$133)/12*(1+V_dVol),0))</f>
        <v>0</v>
      </c>
      <c r="DJ144" s="34" t="n">
        <f aca="false">IF(DJ$8=1,N(Reales!DJ16),IF(DJ$134=1,INDEX(Vol_V,5,DJ$133)/12*(1+V_dVol),0))</f>
        <v>0</v>
      </c>
      <c r="DK144" s="34" t="n">
        <f aca="false">IF(DK$8=1,N(Reales!DK16),IF(DK$134=1,INDEX(Vol_V,5,DK$133)/12*(1+V_dVol),0))</f>
        <v>0</v>
      </c>
      <c r="DL144" s="34" t="n">
        <f aca="false">IF(DL$8=1,N(Reales!DL16),IF(DL$134=1,INDEX(Vol_V,5,DL$133)/12*(1+V_dVol),0))</f>
        <v>0</v>
      </c>
      <c r="DM144" s="34" t="n">
        <f aca="false">IF(DM$8=1,N(Reales!DM16),IF(DM$134=1,INDEX(Vol_V,5,DM$133)/12*(1+V_dVol),0))</f>
        <v>0</v>
      </c>
      <c r="DN144" s="34" t="n">
        <f aca="false">IF(DN$8=1,N(Reales!DN16),IF(DN$134=1,INDEX(Vol_V,5,DN$133)/12*(1+V_dVol),0))</f>
        <v>0</v>
      </c>
      <c r="DO144" s="34" t="n">
        <f aca="false">IF(DO$8=1,N(Reales!DO16),IF(DO$134=1,INDEX(Vol_V,5,DO$133)/12*(1+V_dVol),0))</f>
        <v>0</v>
      </c>
      <c r="DP144" s="34" t="n">
        <f aca="false">IF(DP$8=1,N(Reales!DP16),IF(DP$134=1,INDEX(Vol_V,5,DP$133)/12*(1+V_dVol),0))</f>
        <v>0</v>
      </c>
      <c r="DQ144" s="34" t="n">
        <f aca="false">IF(DQ$8=1,N(Reales!DQ16),IF(DQ$134=1,INDEX(Vol_V,5,DQ$133)/12*(1+V_dVol),0))</f>
        <v>0</v>
      </c>
      <c r="DR144" s="34" t="n">
        <f aca="false">IF(DR$8=1,N(Reales!DR16),IF(DR$134=1,INDEX(Vol_V,5,DR$133)/12*(1+V_dVol),0))</f>
        <v>0</v>
      </c>
      <c r="DS144" s="34" t="n">
        <f aca="false">IF(DS$8=1,N(Reales!DS16),IF(DS$134=1,INDEX(Vol_V,5,DS$133)/12*(1+V_dVol),0))</f>
        <v>0</v>
      </c>
      <c r="DT144" s="34" t="n">
        <f aca="false">IF(DT$8=1,N(Reales!DT16),IF(DT$134=1,INDEX(Vol_V,5,DT$133)/12*(1+V_dVol),0))</f>
        <v>0</v>
      </c>
      <c r="DU144" s="34" t="n">
        <f aca="false">IF(DU$8=1,N(Reales!DU16),IF(DU$134=1,INDEX(Vol_V,5,DU$133)/12*(1+V_dVol),0))</f>
        <v>0</v>
      </c>
      <c r="DV144" s="34" t="n">
        <f aca="false">IF(DV$8=1,N(Reales!DV16),IF(DV$134=1,INDEX(Vol_V,5,DV$133)/12*(1+V_dVol),0))</f>
        <v>0</v>
      </c>
      <c r="DW144" s="34" t="n">
        <f aca="false">IF(DW$8=1,N(Reales!DW16),IF(DW$134=1,INDEX(Vol_V,5,DW$133)/12*(1+V_dVol),0))</f>
        <v>0</v>
      </c>
      <c r="DX144" s="34" t="n">
        <f aca="false">IF(DX$8=1,N(Reales!DX16),IF(DX$134=1,INDEX(Vol_V,5,DX$133)/12*(1+V_dVol),0))</f>
        <v>0</v>
      </c>
      <c r="DY144" s="34" t="n">
        <f aca="false">IF(DY$8=1,N(Reales!DY16),IF(DY$134=1,INDEX(Vol_V,5,DY$133)/12*(1+V_dVol),0))</f>
        <v>0</v>
      </c>
      <c r="DZ144" s="34" t="n">
        <f aca="false">IF(DZ$8=1,N(Reales!DZ16),IF(DZ$134=1,INDEX(Vol_V,5,DZ$133)/12*(1+V_dVol),0))</f>
        <v>0</v>
      </c>
      <c r="EA144" s="34" t="n">
        <f aca="false">IF(EA$8=1,N(Reales!EA16),IF(EA$134=1,INDEX(Vol_V,5,EA$133)/12*(1+V_dVol),0))</f>
        <v>0</v>
      </c>
      <c r="EB144" s="34" t="n">
        <f aca="false">IF(EB$8=1,N(Reales!EB16),IF(EB$134=1,INDEX(Vol_V,5,EB$133)/12*(1+V_dVol),0))</f>
        <v>0</v>
      </c>
      <c r="EC144" s="34" t="n">
        <f aca="false">IF(EC$8=1,N(Reales!EC16),IF(EC$134=1,INDEX(Vol_V,5,EC$133)/12*(1+V_dVol),0))</f>
        <v>0</v>
      </c>
      <c r="ED144" s="34" t="n">
        <f aca="false">IF(ED$8=1,N(Reales!ED16),IF(ED$134=1,INDEX(Vol_V,5,ED$133)/12*(1+V_dVol),0))</f>
        <v>0</v>
      </c>
      <c r="EE144" s="34" t="n">
        <f aca="false">IF(EE$8=1,N(Reales!EE16),IF(EE$134=1,INDEX(Vol_V,5,EE$133)/12*(1+V_dVol),0))</f>
        <v>0</v>
      </c>
      <c r="EF144" s="34" t="n">
        <f aca="false">IF(EF$8=1,N(Reales!EF16),IF(EF$134=1,INDEX(Vol_V,5,EF$133)/12*(1+V_dVol),0))</f>
        <v>0</v>
      </c>
      <c r="EG144" s="34" t="n">
        <f aca="false">IF(EG$8=1,N(Reales!EG16),IF(EG$134=1,INDEX(Vol_V,5,EG$133)/12*(1+V_dVol),0))</f>
        <v>0</v>
      </c>
      <c r="EH144" s="34" t="n">
        <f aca="false">IF(EH$8=1,N(Reales!EH16),IF(EH$134=1,INDEX(Vol_V,5,EH$133)/12*(1+V_dVol),0))</f>
        <v>0</v>
      </c>
      <c r="EI144" s="34" t="n">
        <f aca="false">IF(EI$8=1,N(Reales!EI16),IF(EI$134=1,INDEX(Vol_V,5,EI$133)/12*(1+V_dVol),0))</f>
        <v>0</v>
      </c>
      <c r="EJ144" s="34" t="n">
        <f aca="false">IF(EJ$8=1,N(Reales!EJ16),IF(EJ$134=1,INDEX(Vol_V,5,EJ$133)/12*(1+V_dVol),0))</f>
        <v>0</v>
      </c>
      <c r="EK144" s="34" t="n">
        <f aca="false">IF(EK$8=1,N(Reales!EK16),IF(EK$134=1,INDEX(Vol_V,5,EK$133)/12*(1+V_dVol),0))</f>
        <v>0</v>
      </c>
      <c r="EL144" s="34" t="n">
        <f aca="false">IF(EL$8=1,N(Reales!EL16),IF(EL$134=1,INDEX(Vol_V,5,EL$133)/12*(1+V_dVol),0))</f>
        <v>0</v>
      </c>
      <c r="EM144" s="34" t="n">
        <f aca="false">IF(EM$8=1,N(Reales!EM16),IF(EM$134=1,INDEX(Vol_V,5,EM$133)/12*(1+V_dVol),0))</f>
        <v>0</v>
      </c>
      <c r="EN144" s="34" t="n">
        <f aca="false">IF(EN$8=1,N(Reales!EN16),IF(EN$134=1,INDEX(Vol_V,5,EN$133)/12*(1+V_dVol),0))</f>
        <v>0</v>
      </c>
      <c r="EO144" s="34" t="n">
        <f aca="false">IF(EO$8=1,N(Reales!EO16),IF(EO$134=1,INDEX(Vol_V,5,EO$133)/12*(1+V_dVol),0))</f>
        <v>0</v>
      </c>
      <c r="EP144" s="34" t="n">
        <f aca="false">IF(EP$8=1,N(Reales!EP16),IF(EP$134=1,INDEX(Vol_V,5,EP$133)/12*(1+V_dVol),0))</f>
        <v>0</v>
      </c>
      <c r="EQ144" s="34" t="n">
        <f aca="false">IF(EQ$8=1,N(Reales!EQ16),IF(EQ$134=1,INDEX(Vol_V,5,EQ$133)/12*(1+V_dVol),0))</f>
        <v>0</v>
      </c>
      <c r="ER144" s="34" t="n">
        <f aca="false">IF(ER$8=1,N(Reales!ER16),IF(ER$134=1,INDEX(Vol_V,5,ER$133)/12*(1+V_dVol),0))</f>
        <v>0</v>
      </c>
      <c r="ES144" s="34" t="n">
        <f aca="false">IF(ES$8=1,N(Reales!ES16),IF(ES$134=1,INDEX(Vol_V,5,ES$133)/12*(1+V_dVol),0))</f>
        <v>0</v>
      </c>
    </row>
    <row r="145" customFormat="false" ht="15" hidden="false" customHeight="false" outlineLevel="0" collapsed="false">
      <c r="A145" s="2" t="s">
        <v>624</v>
      </c>
      <c r="B145" s="39" t="str">
        <f aca="false">IF(INDEX(Prod_Nombre,6)="","Producto 6",INDEX(Prod_Nombre,6))&amp;" — unidades"</f>
        <v>Producto 6 — unidades</v>
      </c>
      <c r="C145" s="6" t="s">
        <v>337</v>
      </c>
      <c r="E145" s="40" t="n">
        <f aca="false">SUM(F145:ES145)</f>
        <v>0</v>
      </c>
      <c r="F145" s="34" t="n">
        <f aca="false">IF(F$8=1,N(Reales!F17),IF(F$134=1,INDEX(Vol_V,6,F$133)/12*(1+V_dVol),0))</f>
        <v>0</v>
      </c>
      <c r="G145" s="34" t="n">
        <f aca="false">IF(G$8=1,N(Reales!G17),IF(G$134=1,INDEX(Vol_V,6,G$133)/12*(1+V_dVol),0))</f>
        <v>0</v>
      </c>
      <c r="H145" s="34" t="n">
        <f aca="false">IF(H$8=1,N(Reales!H17),IF(H$134=1,INDEX(Vol_V,6,H$133)/12*(1+V_dVol),0))</f>
        <v>0</v>
      </c>
      <c r="I145" s="34" t="n">
        <f aca="false">IF(I$8=1,N(Reales!I17),IF(I$134=1,INDEX(Vol_V,6,I$133)/12*(1+V_dVol),0))</f>
        <v>0</v>
      </c>
      <c r="J145" s="34" t="n">
        <f aca="false">IF(J$8=1,N(Reales!J17),IF(J$134=1,INDEX(Vol_V,6,J$133)/12*(1+V_dVol),0))</f>
        <v>0</v>
      </c>
      <c r="K145" s="34" t="n">
        <f aca="false">IF(K$8=1,N(Reales!K17),IF(K$134=1,INDEX(Vol_V,6,K$133)/12*(1+V_dVol),0))</f>
        <v>0</v>
      </c>
      <c r="L145" s="34" t="n">
        <f aca="false">IF(L$8=1,N(Reales!L17),IF(L$134=1,INDEX(Vol_V,6,L$133)/12*(1+V_dVol),0))</f>
        <v>0</v>
      </c>
      <c r="M145" s="34" t="n">
        <f aca="false">IF(M$8=1,N(Reales!M17),IF(M$134=1,INDEX(Vol_V,6,M$133)/12*(1+V_dVol),0))</f>
        <v>0</v>
      </c>
      <c r="N145" s="34" t="n">
        <f aca="false">IF(N$8=1,N(Reales!N17),IF(N$134=1,INDEX(Vol_V,6,N$133)/12*(1+V_dVol),0))</f>
        <v>0</v>
      </c>
      <c r="O145" s="34" t="n">
        <f aca="false">IF(O$8=1,N(Reales!O17),IF(O$134=1,INDEX(Vol_V,6,O$133)/12*(1+V_dVol),0))</f>
        <v>0</v>
      </c>
      <c r="P145" s="34" t="n">
        <f aca="false">IF(P$8=1,N(Reales!P17),IF(P$134=1,INDEX(Vol_V,6,P$133)/12*(1+V_dVol),0))</f>
        <v>0</v>
      </c>
      <c r="Q145" s="34" t="n">
        <f aca="false">IF(Q$8=1,N(Reales!Q17),IF(Q$134=1,INDEX(Vol_V,6,Q$133)/12*(1+V_dVol),0))</f>
        <v>0</v>
      </c>
      <c r="R145" s="34" t="n">
        <f aca="false">IF(R$8=1,N(Reales!R17),IF(R$134=1,INDEX(Vol_V,6,R$133)/12*(1+V_dVol),0))</f>
        <v>0</v>
      </c>
      <c r="S145" s="34" t="n">
        <f aca="false">IF(S$8=1,N(Reales!S17),IF(S$134=1,INDEX(Vol_V,6,S$133)/12*(1+V_dVol),0))</f>
        <v>0</v>
      </c>
      <c r="T145" s="34" t="n">
        <f aca="false">IF(T$8=1,N(Reales!T17),IF(T$134=1,INDEX(Vol_V,6,T$133)/12*(1+V_dVol),0))</f>
        <v>0</v>
      </c>
      <c r="U145" s="34" t="n">
        <f aca="false">IF(U$8=1,N(Reales!U17),IF(U$134=1,INDEX(Vol_V,6,U$133)/12*(1+V_dVol),0))</f>
        <v>0</v>
      </c>
      <c r="V145" s="34" t="n">
        <f aca="false">IF(V$8=1,N(Reales!V17),IF(V$134=1,INDEX(Vol_V,6,V$133)/12*(1+V_dVol),0))</f>
        <v>0</v>
      </c>
      <c r="W145" s="34" t="n">
        <f aca="false">IF(W$8=1,N(Reales!W17),IF(W$134=1,INDEX(Vol_V,6,W$133)/12*(1+V_dVol),0))</f>
        <v>0</v>
      </c>
      <c r="X145" s="34" t="n">
        <f aca="false">IF(X$8=1,N(Reales!X17),IF(X$134=1,INDEX(Vol_V,6,X$133)/12*(1+V_dVol),0))</f>
        <v>0</v>
      </c>
      <c r="Y145" s="34" t="n">
        <f aca="false">IF(Y$8=1,N(Reales!Y17),IF(Y$134=1,INDEX(Vol_V,6,Y$133)/12*(1+V_dVol),0))</f>
        <v>0</v>
      </c>
      <c r="Z145" s="34" t="n">
        <f aca="false">IF(Z$8=1,N(Reales!Z17),IF(Z$134=1,INDEX(Vol_V,6,Z$133)/12*(1+V_dVol),0))</f>
        <v>0</v>
      </c>
      <c r="AA145" s="34" t="n">
        <f aca="false">IF(AA$8=1,N(Reales!AA17),IF(AA$134=1,INDEX(Vol_V,6,AA$133)/12*(1+V_dVol),0))</f>
        <v>0</v>
      </c>
      <c r="AB145" s="34" t="n">
        <f aca="false">IF(AB$8=1,N(Reales!AB17),IF(AB$134=1,INDEX(Vol_V,6,AB$133)/12*(1+V_dVol),0))</f>
        <v>0</v>
      </c>
      <c r="AC145" s="34" t="n">
        <f aca="false">IF(AC$8=1,N(Reales!AC17),IF(AC$134=1,INDEX(Vol_V,6,AC$133)/12*(1+V_dVol),0))</f>
        <v>0</v>
      </c>
      <c r="AD145" s="34" t="n">
        <f aca="false">IF(AD$8=1,N(Reales!AD17),IF(AD$134=1,INDEX(Vol_V,6,AD$133)/12*(1+V_dVol),0))</f>
        <v>0</v>
      </c>
      <c r="AE145" s="34" t="n">
        <f aca="false">IF(AE$8=1,N(Reales!AE17),IF(AE$134=1,INDEX(Vol_V,6,AE$133)/12*(1+V_dVol),0))</f>
        <v>0</v>
      </c>
      <c r="AF145" s="34" t="n">
        <f aca="false">IF(AF$8=1,N(Reales!AF17),IF(AF$134=1,INDEX(Vol_V,6,AF$133)/12*(1+V_dVol),0))</f>
        <v>0</v>
      </c>
      <c r="AG145" s="34" t="n">
        <f aca="false">IF(AG$8=1,N(Reales!AG17),IF(AG$134=1,INDEX(Vol_V,6,AG$133)/12*(1+V_dVol),0))</f>
        <v>0</v>
      </c>
      <c r="AH145" s="34" t="n">
        <f aca="false">IF(AH$8=1,N(Reales!AH17),IF(AH$134=1,INDEX(Vol_V,6,AH$133)/12*(1+V_dVol),0))</f>
        <v>0</v>
      </c>
      <c r="AI145" s="34" t="n">
        <f aca="false">IF(AI$8=1,N(Reales!AI17),IF(AI$134=1,INDEX(Vol_V,6,AI$133)/12*(1+V_dVol),0))</f>
        <v>0</v>
      </c>
      <c r="AJ145" s="34" t="n">
        <f aca="false">IF(AJ$8=1,N(Reales!AJ17),IF(AJ$134=1,INDEX(Vol_V,6,AJ$133)/12*(1+V_dVol),0))</f>
        <v>0</v>
      </c>
      <c r="AK145" s="34" t="n">
        <f aca="false">IF(AK$8=1,N(Reales!AK17),IF(AK$134=1,INDEX(Vol_V,6,AK$133)/12*(1+V_dVol),0))</f>
        <v>0</v>
      </c>
      <c r="AL145" s="34" t="n">
        <f aca="false">IF(AL$8=1,N(Reales!AL17),IF(AL$134=1,INDEX(Vol_V,6,AL$133)/12*(1+V_dVol),0))</f>
        <v>0</v>
      </c>
      <c r="AM145" s="34" t="n">
        <f aca="false">IF(AM$8=1,N(Reales!AM17),IF(AM$134=1,INDEX(Vol_V,6,AM$133)/12*(1+V_dVol),0))</f>
        <v>0</v>
      </c>
      <c r="AN145" s="34" t="n">
        <f aca="false">IF(AN$8=1,N(Reales!AN17),IF(AN$134=1,INDEX(Vol_V,6,AN$133)/12*(1+V_dVol),0))</f>
        <v>0</v>
      </c>
      <c r="AO145" s="34" t="n">
        <f aca="false">IF(AO$8=1,N(Reales!AO17),IF(AO$134=1,INDEX(Vol_V,6,AO$133)/12*(1+V_dVol),0))</f>
        <v>0</v>
      </c>
      <c r="AP145" s="34" t="n">
        <f aca="false">IF(AP$8=1,N(Reales!AP17),IF(AP$134=1,INDEX(Vol_V,6,AP$133)/12*(1+V_dVol),0))</f>
        <v>0</v>
      </c>
      <c r="AQ145" s="34" t="n">
        <f aca="false">IF(AQ$8=1,N(Reales!AQ17),IF(AQ$134=1,INDEX(Vol_V,6,AQ$133)/12*(1+V_dVol),0))</f>
        <v>0</v>
      </c>
      <c r="AR145" s="34" t="n">
        <f aca="false">IF(AR$8=1,N(Reales!AR17),IF(AR$134=1,INDEX(Vol_V,6,AR$133)/12*(1+V_dVol),0))</f>
        <v>0</v>
      </c>
      <c r="AS145" s="34" t="n">
        <f aca="false">IF(AS$8=1,N(Reales!AS17),IF(AS$134=1,INDEX(Vol_V,6,AS$133)/12*(1+V_dVol),0))</f>
        <v>0</v>
      </c>
      <c r="AT145" s="34" t="n">
        <f aca="false">IF(AT$8=1,N(Reales!AT17),IF(AT$134=1,INDEX(Vol_V,6,AT$133)/12*(1+V_dVol),0))</f>
        <v>0</v>
      </c>
      <c r="AU145" s="34" t="n">
        <f aca="false">IF(AU$8=1,N(Reales!AU17),IF(AU$134=1,INDEX(Vol_V,6,AU$133)/12*(1+V_dVol),0))</f>
        <v>0</v>
      </c>
      <c r="AV145" s="34" t="n">
        <f aca="false">IF(AV$8=1,N(Reales!AV17),IF(AV$134=1,INDEX(Vol_V,6,AV$133)/12*(1+V_dVol),0))</f>
        <v>0</v>
      </c>
      <c r="AW145" s="34" t="n">
        <f aca="false">IF(AW$8=1,N(Reales!AW17),IF(AW$134=1,INDEX(Vol_V,6,AW$133)/12*(1+V_dVol),0))</f>
        <v>0</v>
      </c>
      <c r="AX145" s="34" t="n">
        <f aca="false">IF(AX$8=1,N(Reales!AX17),IF(AX$134=1,INDEX(Vol_V,6,AX$133)/12*(1+V_dVol),0))</f>
        <v>0</v>
      </c>
      <c r="AY145" s="34" t="n">
        <f aca="false">IF(AY$8=1,N(Reales!AY17),IF(AY$134=1,INDEX(Vol_V,6,AY$133)/12*(1+V_dVol),0))</f>
        <v>0</v>
      </c>
      <c r="AZ145" s="34" t="n">
        <f aca="false">IF(AZ$8=1,N(Reales!AZ17),IF(AZ$134=1,INDEX(Vol_V,6,AZ$133)/12*(1+V_dVol),0))</f>
        <v>0</v>
      </c>
      <c r="BA145" s="34" t="n">
        <f aca="false">IF(BA$8=1,N(Reales!BA17),IF(BA$134=1,INDEX(Vol_V,6,BA$133)/12*(1+V_dVol),0))</f>
        <v>0</v>
      </c>
      <c r="BB145" s="34" t="n">
        <f aca="false">IF(BB$8=1,N(Reales!BB17),IF(BB$134=1,INDEX(Vol_V,6,BB$133)/12*(1+V_dVol),0))</f>
        <v>0</v>
      </c>
      <c r="BC145" s="34" t="n">
        <f aca="false">IF(BC$8=1,N(Reales!BC17),IF(BC$134=1,INDEX(Vol_V,6,BC$133)/12*(1+V_dVol),0))</f>
        <v>0</v>
      </c>
      <c r="BD145" s="34" t="n">
        <f aca="false">IF(BD$8=1,N(Reales!BD17),IF(BD$134=1,INDEX(Vol_V,6,BD$133)/12*(1+V_dVol),0))</f>
        <v>0</v>
      </c>
      <c r="BE145" s="34" t="n">
        <f aca="false">IF(BE$8=1,N(Reales!BE17),IF(BE$134=1,INDEX(Vol_V,6,BE$133)/12*(1+V_dVol),0))</f>
        <v>0</v>
      </c>
      <c r="BF145" s="34" t="n">
        <f aca="false">IF(BF$8=1,N(Reales!BF17),IF(BF$134=1,INDEX(Vol_V,6,BF$133)/12*(1+V_dVol),0))</f>
        <v>0</v>
      </c>
      <c r="BG145" s="34" t="n">
        <f aca="false">IF(BG$8=1,N(Reales!BG17),IF(BG$134=1,INDEX(Vol_V,6,BG$133)/12*(1+V_dVol),0))</f>
        <v>0</v>
      </c>
      <c r="BH145" s="34" t="n">
        <f aca="false">IF(BH$8=1,N(Reales!BH17),IF(BH$134=1,INDEX(Vol_V,6,BH$133)/12*(1+V_dVol),0))</f>
        <v>0</v>
      </c>
      <c r="BI145" s="34" t="n">
        <f aca="false">IF(BI$8=1,N(Reales!BI17),IF(BI$134=1,INDEX(Vol_V,6,BI$133)/12*(1+V_dVol),0))</f>
        <v>0</v>
      </c>
      <c r="BJ145" s="34" t="n">
        <f aca="false">IF(BJ$8=1,N(Reales!BJ17),IF(BJ$134=1,INDEX(Vol_V,6,BJ$133)/12*(1+V_dVol),0))</f>
        <v>0</v>
      </c>
      <c r="BK145" s="34" t="n">
        <f aca="false">IF(BK$8=1,N(Reales!BK17),IF(BK$134=1,INDEX(Vol_V,6,BK$133)/12*(1+V_dVol),0))</f>
        <v>0</v>
      </c>
      <c r="BL145" s="34" t="n">
        <f aca="false">IF(BL$8=1,N(Reales!BL17),IF(BL$134=1,INDEX(Vol_V,6,BL$133)/12*(1+V_dVol),0))</f>
        <v>0</v>
      </c>
      <c r="BM145" s="34" t="n">
        <f aca="false">IF(BM$8=1,N(Reales!BM17),IF(BM$134=1,INDEX(Vol_V,6,BM$133)/12*(1+V_dVol),0))</f>
        <v>0</v>
      </c>
      <c r="BN145" s="34" t="n">
        <f aca="false">IF(BN$8=1,N(Reales!BN17),IF(BN$134=1,INDEX(Vol_V,6,BN$133)/12*(1+V_dVol),0))</f>
        <v>0</v>
      </c>
      <c r="BO145" s="34" t="n">
        <f aca="false">IF(BO$8=1,N(Reales!BO17),IF(BO$134=1,INDEX(Vol_V,6,BO$133)/12*(1+V_dVol),0))</f>
        <v>0</v>
      </c>
      <c r="BP145" s="34" t="n">
        <f aca="false">IF(BP$8=1,N(Reales!BP17),IF(BP$134=1,INDEX(Vol_V,6,BP$133)/12*(1+V_dVol),0))</f>
        <v>0</v>
      </c>
      <c r="BQ145" s="34" t="n">
        <f aca="false">IF(BQ$8=1,N(Reales!BQ17),IF(BQ$134=1,INDEX(Vol_V,6,BQ$133)/12*(1+V_dVol),0))</f>
        <v>0</v>
      </c>
      <c r="BR145" s="34" t="n">
        <f aca="false">IF(BR$8=1,N(Reales!BR17),IF(BR$134=1,INDEX(Vol_V,6,BR$133)/12*(1+V_dVol),0))</f>
        <v>0</v>
      </c>
      <c r="BS145" s="34" t="n">
        <f aca="false">IF(BS$8=1,N(Reales!BS17),IF(BS$134=1,INDEX(Vol_V,6,BS$133)/12*(1+V_dVol),0))</f>
        <v>0</v>
      </c>
      <c r="BT145" s="34" t="n">
        <f aca="false">IF(BT$8=1,N(Reales!BT17),IF(BT$134=1,INDEX(Vol_V,6,BT$133)/12*(1+V_dVol),0))</f>
        <v>0</v>
      </c>
      <c r="BU145" s="34" t="n">
        <f aca="false">IF(BU$8=1,N(Reales!BU17),IF(BU$134=1,INDEX(Vol_V,6,BU$133)/12*(1+V_dVol),0))</f>
        <v>0</v>
      </c>
      <c r="BV145" s="34" t="n">
        <f aca="false">IF(BV$8=1,N(Reales!BV17),IF(BV$134=1,INDEX(Vol_V,6,BV$133)/12*(1+V_dVol),0))</f>
        <v>0</v>
      </c>
      <c r="BW145" s="34" t="n">
        <f aca="false">IF(BW$8=1,N(Reales!BW17),IF(BW$134=1,INDEX(Vol_V,6,BW$133)/12*(1+V_dVol),0))</f>
        <v>0</v>
      </c>
      <c r="BX145" s="34" t="n">
        <f aca="false">IF(BX$8=1,N(Reales!BX17),IF(BX$134=1,INDEX(Vol_V,6,BX$133)/12*(1+V_dVol),0))</f>
        <v>0</v>
      </c>
      <c r="BY145" s="34" t="n">
        <f aca="false">IF(BY$8=1,N(Reales!BY17),IF(BY$134=1,INDEX(Vol_V,6,BY$133)/12*(1+V_dVol),0))</f>
        <v>0</v>
      </c>
      <c r="BZ145" s="34" t="n">
        <f aca="false">IF(BZ$8=1,N(Reales!BZ17),IF(BZ$134=1,INDEX(Vol_V,6,BZ$133)/12*(1+V_dVol),0))</f>
        <v>0</v>
      </c>
      <c r="CA145" s="34" t="n">
        <f aca="false">IF(CA$8=1,N(Reales!CA17),IF(CA$134=1,INDEX(Vol_V,6,CA$133)/12*(1+V_dVol),0))</f>
        <v>0</v>
      </c>
      <c r="CB145" s="34" t="n">
        <f aca="false">IF(CB$8=1,N(Reales!CB17),IF(CB$134=1,INDEX(Vol_V,6,CB$133)/12*(1+V_dVol),0))</f>
        <v>0</v>
      </c>
      <c r="CC145" s="34" t="n">
        <f aca="false">IF(CC$8=1,N(Reales!CC17),IF(CC$134=1,INDEX(Vol_V,6,CC$133)/12*(1+V_dVol),0))</f>
        <v>0</v>
      </c>
      <c r="CD145" s="34" t="n">
        <f aca="false">IF(CD$8=1,N(Reales!CD17),IF(CD$134=1,INDEX(Vol_V,6,CD$133)/12*(1+V_dVol),0))</f>
        <v>0</v>
      </c>
      <c r="CE145" s="34" t="n">
        <f aca="false">IF(CE$8=1,N(Reales!CE17),IF(CE$134=1,INDEX(Vol_V,6,CE$133)/12*(1+V_dVol),0))</f>
        <v>0</v>
      </c>
      <c r="CF145" s="34" t="n">
        <f aca="false">IF(CF$8=1,N(Reales!CF17),IF(CF$134=1,INDEX(Vol_V,6,CF$133)/12*(1+V_dVol),0))</f>
        <v>0</v>
      </c>
      <c r="CG145" s="34" t="n">
        <f aca="false">IF(CG$8=1,N(Reales!CG17),IF(CG$134=1,INDEX(Vol_V,6,CG$133)/12*(1+V_dVol),0))</f>
        <v>0</v>
      </c>
      <c r="CH145" s="34" t="n">
        <f aca="false">IF(CH$8=1,N(Reales!CH17),IF(CH$134=1,INDEX(Vol_V,6,CH$133)/12*(1+V_dVol),0))</f>
        <v>0</v>
      </c>
      <c r="CI145" s="34" t="n">
        <f aca="false">IF(CI$8=1,N(Reales!CI17),IF(CI$134=1,INDEX(Vol_V,6,CI$133)/12*(1+V_dVol),0))</f>
        <v>0</v>
      </c>
      <c r="CJ145" s="34" t="n">
        <f aca="false">IF(CJ$8=1,N(Reales!CJ17),IF(CJ$134=1,INDEX(Vol_V,6,CJ$133)/12*(1+V_dVol),0))</f>
        <v>0</v>
      </c>
      <c r="CK145" s="34" t="n">
        <f aca="false">IF(CK$8=1,N(Reales!CK17),IF(CK$134=1,INDEX(Vol_V,6,CK$133)/12*(1+V_dVol),0))</f>
        <v>0</v>
      </c>
      <c r="CL145" s="34" t="n">
        <f aca="false">IF(CL$8=1,N(Reales!CL17),IF(CL$134=1,INDEX(Vol_V,6,CL$133)/12*(1+V_dVol),0))</f>
        <v>0</v>
      </c>
      <c r="CM145" s="34" t="n">
        <f aca="false">IF(CM$8=1,N(Reales!CM17),IF(CM$134=1,INDEX(Vol_V,6,CM$133)/12*(1+V_dVol),0))</f>
        <v>0</v>
      </c>
      <c r="CN145" s="34" t="n">
        <f aca="false">IF(CN$8=1,N(Reales!CN17),IF(CN$134=1,INDEX(Vol_V,6,CN$133)/12*(1+V_dVol),0))</f>
        <v>0</v>
      </c>
      <c r="CO145" s="34" t="n">
        <f aca="false">IF(CO$8=1,N(Reales!CO17),IF(CO$134=1,INDEX(Vol_V,6,CO$133)/12*(1+V_dVol),0))</f>
        <v>0</v>
      </c>
      <c r="CP145" s="34" t="n">
        <f aca="false">IF(CP$8=1,N(Reales!CP17),IF(CP$134=1,INDEX(Vol_V,6,CP$133)/12*(1+V_dVol),0))</f>
        <v>0</v>
      </c>
      <c r="CQ145" s="34" t="n">
        <f aca="false">IF(CQ$8=1,N(Reales!CQ17),IF(CQ$134=1,INDEX(Vol_V,6,CQ$133)/12*(1+V_dVol),0))</f>
        <v>0</v>
      </c>
      <c r="CR145" s="34" t="n">
        <f aca="false">IF(CR$8=1,N(Reales!CR17),IF(CR$134=1,INDEX(Vol_V,6,CR$133)/12*(1+V_dVol),0))</f>
        <v>0</v>
      </c>
      <c r="CS145" s="34" t="n">
        <f aca="false">IF(CS$8=1,N(Reales!CS17),IF(CS$134=1,INDEX(Vol_V,6,CS$133)/12*(1+V_dVol),0))</f>
        <v>0</v>
      </c>
      <c r="CT145" s="34" t="n">
        <f aca="false">IF(CT$8=1,N(Reales!CT17),IF(CT$134=1,INDEX(Vol_V,6,CT$133)/12*(1+V_dVol),0))</f>
        <v>0</v>
      </c>
      <c r="CU145" s="34" t="n">
        <f aca="false">IF(CU$8=1,N(Reales!CU17),IF(CU$134=1,INDEX(Vol_V,6,CU$133)/12*(1+V_dVol),0))</f>
        <v>0</v>
      </c>
      <c r="CV145" s="34" t="n">
        <f aca="false">IF(CV$8=1,N(Reales!CV17),IF(CV$134=1,INDEX(Vol_V,6,CV$133)/12*(1+V_dVol),0))</f>
        <v>0</v>
      </c>
      <c r="CW145" s="34" t="n">
        <f aca="false">IF(CW$8=1,N(Reales!CW17),IF(CW$134=1,INDEX(Vol_V,6,CW$133)/12*(1+V_dVol),0))</f>
        <v>0</v>
      </c>
      <c r="CX145" s="34" t="n">
        <f aca="false">IF(CX$8=1,N(Reales!CX17),IF(CX$134=1,INDEX(Vol_V,6,CX$133)/12*(1+V_dVol),0))</f>
        <v>0</v>
      </c>
      <c r="CY145" s="34" t="n">
        <f aca="false">IF(CY$8=1,N(Reales!CY17),IF(CY$134=1,INDEX(Vol_V,6,CY$133)/12*(1+V_dVol),0))</f>
        <v>0</v>
      </c>
      <c r="CZ145" s="34" t="n">
        <f aca="false">IF(CZ$8=1,N(Reales!CZ17),IF(CZ$134=1,INDEX(Vol_V,6,CZ$133)/12*(1+V_dVol),0))</f>
        <v>0</v>
      </c>
      <c r="DA145" s="34" t="n">
        <f aca="false">IF(DA$8=1,N(Reales!DA17),IF(DA$134=1,INDEX(Vol_V,6,DA$133)/12*(1+V_dVol),0))</f>
        <v>0</v>
      </c>
      <c r="DB145" s="34" t="n">
        <f aca="false">IF(DB$8=1,N(Reales!DB17),IF(DB$134=1,INDEX(Vol_V,6,DB$133)/12*(1+V_dVol),0))</f>
        <v>0</v>
      </c>
      <c r="DC145" s="34" t="n">
        <f aca="false">IF(DC$8=1,N(Reales!DC17),IF(DC$134=1,INDEX(Vol_V,6,DC$133)/12*(1+V_dVol),0))</f>
        <v>0</v>
      </c>
      <c r="DD145" s="34" t="n">
        <f aca="false">IF(DD$8=1,N(Reales!DD17),IF(DD$134=1,INDEX(Vol_V,6,DD$133)/12*(1+V_dVol),0))</f>
        <v>0</v>
      </c>
      <c r="DE145" s="34" t="n">
        <f aca="false">IF(DE$8=1,N(Reales!DE17),IF(DE$134=1,INDEX(Vol_V,6,DE$133)/12*(1+V_dVol),0))</f>
        <v>0</v>
      </c>
      <c r="DF145" s="34" t="n">
        <f aca="false">IF(DF$8=1,N(Reales!DF17),IF(DF$134=1,INDEX(Vol_V,6,DF$133)/12*(1+V_dVol),0))</f>
        <v>0</v>
      </c>
      <c r="DG145" s="34" t="n">
        <f aca="false">IF(DG$8=1,N(Reales!DG17),IF(DG$134=1,INDEX(Vol_V,6,DG$133)/12*(1+V_dVol),0))</f>
        <v>0</v>
      </c>
      <c r="DH145" s="34" t="n">
        <f aca="false">IF(DH$8=1,N(Reales!DH17),IF(DH$134=1,INDEX(Vol_V,6,DH$133)/12*(1+V_dVol),0))</f>
        <v>0</v>
      </c>
      <c r="DI145" s="34" t="n">
        <f aca="false">IF(DI$8=1,N(Reales!DI17),IF(DI$134=1,INDEX(Vol_V,6,DI$133)/12*(1+V_dVol),0))</f>
        <v>0</v>
      </c>
      <c r="DJ145" s="34" t="n">
        <f aca="false">IF(DJ$8=1,N(Reales!DJ17),IF(DJ$134=1,INDEX(Vol_V,6,DJ$133)/12*(1+V_dVol),0))</f>
        <v>0</v>
      </c>
      <c r="DK145" s="34" t="n">
        <f aca="false">IF(DK$8=1,N(Reales!DK17),IF(DK$134=1,INDEX(Vol_V,6,DK$133)/12*(1+V_dVol),0))</f>
        <v>0</v>
      </c>
      <c r="DL145" s="34" t="n">
        <f aca="false">IF(DL$8=1,N(Reales!DL17),IF(DL$134=1,INDEX(Vol_V,6,DL$133)/12*(1+V_dVol),0))</f>
        <v>0</v>
      </c>
      <c r="DM145" s="34" t="n">
        <f aca="false">IF(DM$8=1,N(Reales!DM17),IF(DM$134=1,INDEX(Vol_V,6,DM$133)/12*(1+V_dVol),0))</f>
        <v>0</v>
      </c>
      <c r="DN145" s="34" t="n">
        <f aca="false">IF(DN$8=1,N(Reales!DN17),IF(DN$134=1,INDEX(Vol_V,6,DN$133)/12*(1+V_dVol),0))</f>
        <v>0</v>
      </c>
      <c r="DO145" s="34" t="n">
        <f aca="false">IF(DO$8=1,N(Reales!DO17),IF(DO$134=1,INDEX(Vol_V,6,DO$133)/12*(1+V_dVol),0))</f>
        <v>0</v>
      </c>
      <c r="DP145" s="34" t="n">
        <f aca="false">IF(DP$8=1,N(Reales!DP17),IF(DP$134=1,INDEX(Vol_V,6,DP$133)/12*(1+V_dVol),0))</f>
        <v>0</v>
      </c>
      <c r="DQ145" s="34" t="n">
        <f aca="false">IF(DQ$8=1,N(Reales!DQ17),IF(DQ$134=1,INDEX(Vol_V,6,DQ$133)/12*(1+V_dVol),0))</f>
        <v>0</v>
      </c>
      <c r="DR145" s="34" t="n">
        <f aca="false">IF(DR$8=1,N(Reales!DR17),IF(DR$134=1,INDEX(Vol_V,6,DR$133)/12*(1+V_dVol),0))</f>
        <v>0</v>
      </c>
      <c r="DS145" s="34" t="n">
        <f aca="false">IF(DS$8=1,N(Reales!DS17),IF(DS$134=1,INDEX(Vol_V,6,DS$133)/12*(1+V_dVol),0))</f>
        <v>0</v>
      </c>
      <c r="DT145" s="34" t="n">
        <f aca="false">IF(DT$8=1,N(Reales!DT17),IF(DT$134=1,INDEX(Vol_V,6,DT$133)/12*(1+V_dVol),0))</f>
        <v>0</v>
      </c>
      <c r="DU145" s="34" t="n">
        <f aca="false">IF(DU$8=1,N(Reales!DU17),IF(DU$134=1,INDEX(Vol_V,6,DU$133)/12*(1+V_dVol),0))</f>
        <v>0</v>
      </c>
      <c r="DV145" s="34" t="n">
        <f aca="false">IF(DV$8=1,N(Reales!DV17),IF(DV$134=1,INDEX(Vol_V,6,DV$133)/12*(1+V_dVol),0))</f>
        <v>0</v>
      </c>
      <c r="DW145" s="34" t="n">
        <f aca="false">IF(DW$8=1,N(Reales!DW17),IF(DW$134=1,INDEX(Vol_V,6,DW$133)/12*(1+V_dVol),0))</f>
        <v>0</v>
      </c>
      <c r="DX145" s="34" t="n">
        <f aca="false">IF(DX$8=1,N(Reales!DX17),IF(DX$134=1,INDEX(Vol_V,6,DX$133)/12*(1+V_dVol),0))</f>
        <v>0</v>
      </c>
      <c r="DY145" s="34" t="n">
        <f aca="false">IF(DY$8=1,N(Reales!DY17),IF(DY$134=1,INDEX(Vol_V,6,DY$133)/12*(1+V_dVol),0))</f>
        <v>0</v>
      </c>
      <c r="DZ145" s="34" t="n">
        <f aca="false">IF(DZ$8=1,N(Reales!DZ17),IF(DZ$134=1,INDEX(Vol_V,6,DZ$133)/12*(1+V_dVol),0))</f>
        <v>0</v>
      </c>
      <c r="EA145" s="34" t="n">
        <f aca="false">IF(EA$8=1,N(Reales!EA17),IF(EA$134=1,INDEX(Vol_V,6,EA$133)/12*(1+V_dVol),0))</f>
        <v>0</v>
      </c>
      <c r="EB145" s="34" t="n">
        <f aca="false">IF(EB$8=1,N(Reales!EB17),IF(EB$134=1,INDEX(Vol_V,6,EB$133)/12*(1+V_dVol),0))</f>
        <v>0</v>
      </c>
      <c r="EC145" s="34" t="n">
        <f aca="false">IF(EC$8=1,N(Reales!EC17),IF(EC$134=1,INDEX(Vol_V,6,EC$133)/12*(1+V_dVol),0))</f>
        <v>0</v>
      </c>
      <c r="ED145" s="34" t="n">
        <f aca="false">IF(ED$8=1,N(Reales!ED17),IF(ED$134=1,INDEX(Vol_V,6,ED$133)/12*(1+V_dVol),0))</f>
        <v>0</v>
      </c>
      <c r="EE145" s="34" t="n">
        <f aca="false">IF(EE$8=1,N(Reales!EE17),IF(EE$134=1,INDEX(Vol_V,6,EE$133)/12*(1+V_dVol),0))</f>
        <v>0</v>
      </c>
      <c r="EF145" s="34" t="n">
        <f aca="false">IF(EF$8=1,N(Reales!EF17),IF(EF$134=1,INDEX(Vol_V,6,EF$133)/12*(1+V_dVol),0))</f>
        <v>0</v>
      </c>
      <c r="EG145" s="34" t="n">
        <f aca="false">IF(EG$8=1,N(Reales!EG17),IF(EG$134=1,INDEX(Vol_V,6,EG$133)/12*(1+V_dVol),0))</f>
        <v>0</v>
      </c>
      <c r="EH145" s="34" t="n">
        <f aca="false">IF(EH$8=1,N(Reales!EH17),IF(EH$134=1,INDEX(Vol_V,6,EH$133)/12*(1+V_dVol),0))</f>
        <v>0</v>
      </c>
      <c r="EI145" s="34" t="n">
        <f aca="false">IF(EI$8=1,N(Reales!EI17),IF(EI$134=1,INDEX(Vol_V,6,EI$133)/12*(1+V_dVol),0))</f>
        <v>0</v>
      </c>
      <c r="EJ145" s="34" t="n">
        <f aca="false">IF(EJ$8=1,N(Reales!EJ17),IF(EJ$134=1,INDEX(Vol_V,6,EJ$133)/12*(1+V_dVol),0))</f>
        <v>0</v>
      </c>
      <c r="EK145" s="34" t="n">
        <f aca="false">IF(EK$8=1,N(Reales!EK17),IF(EK$134=1,INDEX(Vol_V,6,EK$133)/12*(1+V_dVol),0))</f>
        <v>0</v>
      </c>
      <c r="EL145" s="34" t="n">
        <f aca="false">IF(EL$8=1,N(Reales!EL17),IF(EL$134=1,INDEX(Vol_V,6,EL$133)/12*(1+V_dVol),0))</f>
        <v>0</v>
      </c>
      <c r="EM145" s="34" t="n">
        <f aca="false">IF(EM$8=1,N(Reales!EM17),IF(EM$134=1,INDEX(Vol_V,6,EM$133)/12*(1+V_dVol),0))</f>
        <v>0</v>
      </c>
      <c r="EN145" s="34" t="n">
        <f aca="false">IF(EN$8=1,N(Reales!EN17),IF(EN$134=1,INDEX(Vol_V,6,EN$133)/12*(1+V_dVol),0))</f>
        <v>0</v>
      </c>
      <c r="EO145" s="34" t="n">
        <f aca="false">IF(EO$8=1,N(Reales!EO17),IF(EO$134=1,INDEX(Vol_V,6,EO$133)/12*(1+V_dVol),0))</f>
        <v>0</v>
      </c>
      <c r="EP145" s="34" t="n">
        <f aca="false">IF(EP$8=1,N(Reales!EP17),IF(EP$134=1,INDEX(Vol_V,6,EP$133)/12*(1+V_dVol),0))</f>
        <v>0</v>
      </c>
      <c r="EQ145" s="34" t="n">
        <f aca="false">IF(EQ$8=1,N(Reales!EQ17),IF(EQ$134=1,INDEX(Vol_V,6,EQ$133)/12*(1+V_dVol),0))</f>
        <v>0</v>
      </c>
      <c r="ER145" s="34" t="n">
        <f aca="false">IF(ER$8=1,N(Reales!ER17),IF(ER$134=1,INDEX(Vol_V,6,ER$133)/12*(1+V_dVol),0))</f>
        <v>0</v>
      </c>
      <c r="ES145" s="34" t="n">
        <f aca="false">IF(ES$8=1,N(Reales!ES17),IF(ES$134=1,INDEX(Vol_V,6,ES$133)/12*(1+V_dVol),0))</f>
        <v>0</v>
      </c>
    </row>
    <row r="146" customFormat="false" ht="15" hidden="false" customHeight="false" outlineLevel="0" collapsed="false">
      <c r="A146" s="2" t="s">
        <v>625</v>
      </c>
      <c r="B146" s="39" t="str">
        <f aca="false">IF(INDEX(Prod_Nombre,7)="","Producto 7",INDEX(Prod_Nombre,7))&amp;" — unidades"</f>
        <v>Producto 7 — unidades</v>
      </c>
      <c r="C146" s="6" t="s">
        <v>337</v>
      </c>
      <c r="E146" s="40" t="n">
        <f aca="false">SUM(F146:ES146)</f>
        <v>0</v>
      </c>
      <c r="F146" s="34" t="n">
        <f aca="false">IF(F$8=1,N(Reales!F18),IF(F$134=1,INDEX(Vol_V,7,F$133)/12*(1+V_dVol),0))</f>
        <v>0</v>
      </c>
      <c r="G146" s="34" t="n">
        <f aca="false">IF(G$8=1,N(Reales!G18),IF(G$134=1,INDEX(Vol_V,7,G$133)/12*(1+V_dVol),0))</f>
        <v>0</v>
      </c>
      <c r="H146" s="34" t="n">
        <f aca="false">IF(H$8=1,N(Reales!H18),IF(H$134=1,INDEX(Vol_V,7,H$133)/12*(1+V_dVol),0))</f>
        <v>0</v>
      </c>
      <c r="I146" s="34" t="n">
        <f aca="false">IF(I$8=1,N(Reales!I18),IF(I$134=1,INDEX(Vol_V,7,I$133)/12*(1+V_dVol),0))</f>
        <v>0</v>
      </c>
      <c r="J146" s="34" t="n">
        <f aca="false">IF(J$8=1,N(Reales!J18),IF(J$134=1,INDEX(Vol_V,7,J$133)/12*(1+V_dVol),0))</f>
        <v>0</v>
      </c>
      <c r="K146" s="34" t="n">
        <f aca="false">IF(K$8=1,N(Reales!K18),IF(K$134=1,INDEX(Vol_V,7,K$133)/12*(1+V_dVol),0))</f>
        <v>0</v>
      </c>
      <c r="L146" s="34" t="n">
        <f aca="false">IF(L$8=1,N(Reales!L18),IF(L$134=1,INDEX(Vol_V,7,L$133)/12*(1+V_dVol),0))</f>
        <v>0</v>
      </c>
      <c r="M146" s="34" t="n">
        <f aca="false">IF(M$8=1,N(Reales!M18),IF(M$134=1,INDEX(Vol_V,7,M$133)/12*(1+V_dVol),0))</f>
        <v>0</v>
      </c>
      <c r="N146" s="34" t="n">
        <f aca="false">IF(N$8=1,N(Reales!N18),IF(N$134=1,INDEX(Vol_V,7,N$133)/12*(1+V_dVol),0))</f>
        <v>0</v>
      </c>
      <c r="O146" s="34" t="n">
        <f aca="false">IF(O$8=1,N(Reales!O18),IF(O$134=1,INDEX(Vol_V,7,O$133)/12*(1+V_dVol),0))</f>
        <v>0</v>
      </c>
      <c r="P146" s="34" t="n">
        <f aca="false">IF(P$8=1,N(Reales!P18),IF(P$134=1,INDEX(Vol_V,7,P$133)/12*(1+V_dVol),0))</f>
        <v>0</v>
      </c>
      <c r="Q146" s="34" t="n">
        <f aca="false">IF(Q$8=1,N(Reales!Q18),IF(Q$134=1,INDEX(Vol_V,7,Q$133)/12*(1+V_dVol),0))</f>
        <v>0</v>
      </c>
      <c r="R146" s="34" t="n">
        <f aca="false">IF(R$8=1,N(Reales!R18),IF(R$134=1,INDEX(Vol_V,7,R$133)/12*(1+V_dVol),0))</f>
        <v>0</v>
      </c>
      <c r="S146" s="34" t="n">
        <f aca="false">IF(S$8=1,N(Reales!S18),IF(S$134=1,INDEX(Vol_V,7,S$133)/12*(1+V_dVol),0))</f>
        <v>0</v>
      </c>
      <c r="T146" s="34" t="n">
        <f aca="false">IF(T$8=1,N(Reales!T18),IF(T$134=1,INDEX(Vol_V,7,T$133)/12*(1+V_dVol),0))</f>
        <v>0</v>
      </c>
      <c r="U146" s="34" t="n">
        <f aca="false">IF(U$8=1,N(Reales!U18),IF(U$134=1,INDEX(Vol_V,7,U$133)/12*(1+V_dVol),0))</f>
        <v>0</v>
      </c>
      <c r="V146" s="34" t="n">
        <f aca="false">IF(V$8=1,N(Reales!V18),IF(V$134=1,INDEX(Vol_V,7,V$133)/12*(1+V_dVol),0))</f>
        <v>0</v>
      </c>
      <c r="W146" s="34" t="n">
        <f aca="false">IF(W$8=1,N(Reales!W18),IF(W$134=1,INDEX(Vol_V,7,W$133)/12*(1+V_dVol),0))</f>
        <v>0</v>
      </c>
      <c r="X146" s="34" t="n">
        <f aca="false">IF(X$8=1,N(Reales!X18),IF(X$134=1,INDEX(Vol_V,7,X$133)/12*(1+V_dVol),0))</f>
        <v>0</v>
      </c>
      <c r="Y146" s="34" t="n">
        <f aca="false">IF(Y$8=1,N(Reales!Y18),IF(Y$134=1,INDEX(Vol_V,7,Y$133)/12*(1+V_dVol),0))</f>
        <v>0</v>
      </c>
      <c r="Z146" s="34" t="n">
        <f aca="false">IF(Z$8=1,N(Reales!Z18),IF(Z$134=1,INDEX(Vol_V,7,Z$133)/12*(1+V_dVol),0))</f>
        <v>0</v>
      </c>
      <c r="AA146" s="34" t="n">
        <f aca="false">IF(AA$8=1,N(Reales!AA18),IF(AA$134=1,INDEX(Vol_V,7,AA$133)/12*(1+V_dVol),0))</f>
        <v>0</v>
      </c>
      <c r="AB146" s="34" t="n">
        <f aca="false">IF(AB$8=1,N(Reales!AB18),IF(AB$134=1,INDEX(Vol_V,7,AB$133)/12*(1+V_dVol),0))</f>
        <v>0</v>
      </c>
      <c r="AC146" s="34" t="n">
        <f aca="false">IF(AC$8=1,N(Reales!AC18),IF(AC$134=1,INDEX(Vol_V,7,AC$133)/12*(1+V_dVol),0))</f>
        <v>0</v>
      </c>
      <c r="AD146" s="34" t="n">
        <f aca="false">IF(AD$8=1,N(Reales!AD18),IF(AD$134=1,INDEX(Vol_V,7,AD$133)/12*(1+V_dVol),0))</f>
        <v>0</v>
      </c>
      <c r="AE146" s="34" t="n">
        <f aca="false">IF(AE$8=1,N(Reales!AE18),IF(AE$134=1,INDEX(Vol_V,7,AE$133)/12*(1+V_dVol),0))</f>
        <v>0</v>
      </c>
      <c r="AF146" s="34" t="n">
        <f aca="false">IF(AF$8=1,N(Reales!AF18),IF(AF$134=1,INDEX(Vol_V,7,AF$133)/12*(1+V_dVol),0))</f>
        <v>0</v>
      </c>
      <c r="AG146" s="34" t="n">
        <f aca="false">IF(AG$8=1,N(Reales!AG18),IF(AG$134=1,INDEX(Vol_V,7,AG$133)/12*(1+V_dVol),0))</f>
        <v>0</v>
      </c>
      <c r="AH146" s="34" t="n">
        <f aca="false">IF(AH$8=1,N(Reales!AH18),IF(AH$134=1,INDEX(Vol_V,7,AH$133)/12*(1+V_dVol),0))</f>
        <v>0</v>
      </c>
      <c r="AI146" s="34" t="n">
        <f aca="false">IF(AI$8=1,N(Reales!AI18),IF(AI$134=1,INDEX(Vol_V,7,AI$133)/12*(1+V_dVol),0))</f>
        <v>0</v>
      </c>
      <c r="AJ146" s="34" t="n">
        <f aca="false">IF(AJ$8=1,N(Reales!AJ18),IF(AJ$134=1,INDEX(Vol_V,7,AJ$133)/12*(1+V_dVol),0))</f>
        <v>0</v>
      </c>
      <c r="AK146" s="34" t="n">
        <f aca="false">IF(AK$8=1,N(Reales!AK18),IF(AK$134=1,INDEX(Vol_V,7,AK$133)/12*(1+V_dVol),0))</f>
        <v>0</v>
      </c>
      <c r="AL146" s="34" t="n">
        <f aca="false">IF(AL$8=1,N(Reales!AL18),IF(AL$134=1,INDEX(Vol_V,7,AL$133)/12*(1+V_dVol),0))</f>
        <v>0</v>
      </c>
      <c r="AM146" s="34" t="n">
        <f aca="false">IF(AM$8=1,N(Reales!AM18),IF(AM$134=1,INDEX(Vol_V,7,AM$133)/12*(1+V_dVol),0))</f>
        <v>0</v>
      </c>
      <c r="AN146" s="34" t="n">
        <f aca="false">IF(AN$8=1,N(Reales!AN18),IF(AN$134=1,INDEX(Vol_V,7,AN$133)/12*(1+V_dVol),0))</f>
        <v>0</v>
      </c>
      <c r="AO146" s="34" t="n">
        <f aca="false">IF(AO$8=1,N(Reales!AO18),IF(AO$134=1,INDEX(Vol_V,7,AO$133)/12*(1+V_dVol),0))</f>
        <v>0</v>
      </c>
      <c r="AP146" s="34" t="n">
        <f aca="false">IF(AP$8=1,N(Reales!AP18),IF(AP$134=1,INDEX(Vol_V,7,AP$133)/12*(1+V_dVol),0))</f>
        <v>0</v>
      </c>
      <c r="AQ146" s="34" t="n">
        <f aca="false">IF(AQ$8=1,N(Reales!AQ18),IF(AQ$134=1,INDEX(Vol_V,7,AQ$133)/12*(1+V_dVol),0))</f>
        <v>0</v>
      </c>
      <c r="AR146" s="34" t="n">
        <f aca="false">IF(AR$8=1,N(Reales!AR18),IF(AR$134=1,INDEX(Vol_V,7,AR$133)/12*(1+V_dVol),0))</f>
        <v>0</v>
      </c>
      <c r="AS146" s="34" t="n">
        <f aca="false">IF(AS$8=1,N(Reales!AS18),IF(AS$134=1,INDEX(Vol_V,7,AS$133)/12*(1+V_dVol),0))</f>
        <v>0</v>
      </c>
      <c r="AT146" s="34" t="n">
        <f aca="false">IF(AT$8=1,N(Reales!AT18),IF(AT$134=1,INDEX(Vol_V,7,AT$133)/12*(1+V_dVol),0))</f>
        <v>0</v>
      </c>
      <c r="AU146" s="34" t="n">
        <f aca="false">IF(AU$8=1,N(Reales!AU18),IF(AU$134=1,INDEX(Vol_V,7,AU$133)/12*(1+V_dVol),0))</f>
        <v>0</v>
      </c>
      <c r="AV146" s="34" t="n">
        <f aca="false">IF(AV$8=1,N(Reales!AV18),IF(AV$134=1,INDEX(Vol_V,7,AV$133)/12*(1+V_dVol),0))</f>
        <v>0</v>
      </c>
      <c r="AW146" s="34" t="n">
        <f aca="false">IF(AW$8=1,N(Reales!AW18),IF(AW$134=1,INDEX(Vol_V,7,AW$133)/12*(1+V_dVol),0))</f>
        <v>0</v>
      </c>
      <c r="AX146" s="34" t="n">
        <f aca="false">IF(AX$8=1,N(Reales!AX18),IF(AX$134=1,INDEX(Vol_V,7,AX$133)/12*(1+V_dVol),0))</f>
        <v>0</v>
      </c>
      <c r="AY146" s="34" t="n">
        <f aca="false">IF(AY$8=1,N(Reales!AY18),IF(AY$134=1,INDEX(Vol_V,7,AY$133)/12*(1+V_dVol),0))</f>
        <v>0</v>
      </c>
      <c r="AZ146" s="34" t="n">
        <f aca="false">IF(AZ$8=1,N(Reales!AZ18),IF(AZ$134=1,INDEX(Vol_V,7,AZ$133)/12*(1+V_dVol),0))</f>
        <v>0</v>
      </c>
      <c r="BA146" s="34" t="n">
        <f aca="false">IF(BA$8=1,N(Reales!BA18),IF(BA$134=1,INDEX(Vol_V,7,BA$133)/12*(1+V_dVol),0))</f>
        <v>0</v>
      </c>
      <c r="BB146" s="34" t="n">
        <f aca="false">IF(BB$8=1,N(Reales!BB18),IF(BB$134=1,INDEX(Vol_V,7,BB$133)/12*(1+V_dVol),0))</f>
        <v>0</v>
      </c>
      <c r="BC146" s="34" t="n">
        <f aca="false">IF(BC$8=1,N(Reales!BC18),IF(BC$134=1,INDEX(Vol_V,7,BC$133)/12*(1+V_dVol),0))</f>
        <v>0</v>
      </c>
      <c r="BD146" s="34" t="n">
        <f aca="false">IF(BD$8=1,N(Reales!BD18),IF(BD$134=1,INDEX(Vol_V,7,BD$133)/12*(1+V_dVol),0))</f>
        <v>0</v>
      </c>
      <c r="BE146" s="34" t="n">
        <f aca="false">IF(BE$8=1,N(Reales!BE18),IF(BE$134=1,INDEX(Vol_V,7,BE$133)/12*(1+V_dVol),0))</f>
        <v>0</v>
      </c>
      <c r="BF146" s="34" t="n">
        <f aca="false">IF(BF$8=1,N(Reales!BF18),IF(BF$134=1,INDEX(Vol_V,7,BF$133)/12*(1+V_dVol),0))</f>
        <v>0</v>
      </c>
      <c r="BG146" s="34" t="n">
        <f aca="false">IF(BG$8=1,N(Reales!BG18),IF(BG$134=1,INDEX(Vol_V,7,BG$133)/12*(1+V_dVol),0))</f>
        <v>0</v>
      </c>
      <c r="BH146" s="34" t="n">
        <f aca="false">IF(BH$8=1,N(Reales!BH18),IF(BH$134=1,INDEX(Vol_V,7,BH$133)/12*(1+V_dVol),0))</f>
        <v>0</v>
      </c>
      <c r="BI146" s="34" t="n">
        <f aca="false">IF(BI$8=1,N(Reales!BI18),IF(BI$134=1,INDEX(Vol_V,7,BI$133)/12*(1+V_dVol),0))</f>
        <v>0</v>
      </c>
      <c r="BJ146" s="34" t="n">
        <f aca="false">IF(BJ$8=1,N(Reales!BJ18),IF(BJ$134=1,INDEX(Vol_V,7,BJ$133)/12*(1+V_dVol),0))</f>
        <v>0</v>
      </c>
      <c r="BK146" s="34" t="n">
        <f aca="false">IF(BK$8=1,N(Reales!BK18),IF(BK$134=1,INDEX(Vol_V,7,BK$133)/12*(1+V_dVol),0))</f>
        <v>0</v>
      </c>
      <c r="BL146" s="34" t="n">
        <f aca="false">IF(BL$8=1,N(Reales!BL18),IF(BL$134=1,INDEX(Vol_V,7,BL$133)/12*(1+V_dVol),0))</f>
        <v>0</v>
      </c>
      <c r="BM146" s="34" t="n">
        <f aca="false">IF(BM$8=1,N(Reales!BM18),IF(BM$134=1,INDEX(Vol_V,7,BM$133)/12*(1+V_dVol),0))</f>
        <v>0</v>
      </c>
      <c r="BN146" s="34" t="n">
        <f aca="false">IF(BN$8=1,N(Reales!BN18),IF(BN$134=1,INDEX(Vol_V,7,BN$133)/12*(1+V_dVol),0))</f>
        <v>0</v>
      </c>
      <c r="BO146" s="34" t="n">
        <f aca="false">IF(BO$8=1,N(Reales!BO18),IF(BO$134=1,INDEX(Vol_V,7,BO$133)/12*(1+V_dVol),0))</f>
        <v>0</v>
      </c>
      <c r="BP146" s="34" t="n">
        <f aca="false">IF(BP$8=1,N(Reales!BP18),IF(BP$134=1,INDEX(Vol_V,7,BP$133)/12*(1+V_dVol),0))</f>
        <v>0</v>
      </c>
      <c r="BQ146" s="34" t="n">
        <f aca="false">IF(BQ$8=1,N(Reales!BQ18),IF(BQ$134=1,INDEX(Vol_V,7,BQ$133)/12*(1+V_dVol),0))</f>
        <v>0</v>
      </c>
      <c r="BR146" s="34" t="n">
        <f aca="false">IF(BR$8=1,N(Reales!BR18),IF(BR$134=1,INDEX(Vol_V,7,BR$133)/12*(1+V_dVol),0))</f>
        <v>0</v>
      </c>
      <c r="BS146" s="34" t="n">
        <f aca="false">IF(BS$8=1,N(Reales!BS18),IF(BS$134=1,INDEX(Vol_V,7,BS$133)/12*(1+V_dVol),0))</f>
        <v>0</v>
      </c>
      <c r="BT146" s="34" t="n">
        <f aca="false">IF(BT$8=1,N(Reales!BT18),IF(BT$134=1,INDEX(Vol_V,7,BT$133)/12*(1+V_dVol),0))</f>
        <v>0</v>
      </c>
      <c r="BU146" s="34" t="n">
        <f aca="false">IF(BU$8=1,N(Reales!BU18),IF(BU$134=1,INDEX(Vol_V,7,BU$133)/12*(1+V_dVol),0))</f>
        <v>0</v>
      </c>
      <c r="BV146" s="34" t="n">
        <f aca="false">IF(BV$8=1,N(Reales!BV18),IF(BV$134=1,INDEX(Vol_V,7,BV$133)/12*(1+V_dVol),0))</f>
        <v>0</v>
      </c>
      <c r="BW146" s="34" t="n">
        <f aca="false">IF(BW$8=1,N(Reales!BW18),IF(BW$134=1,INDEX(Vol_V,7,BW$133)/12*(1+V_dVol),0))</f>
        <v>0</v>
      </c>
      <c r="BX146" s="34" t="n">
        <f aca="false">IF(BX$8=1,N(Reales!BX18),IF(BX$134=1,INDEX(Vol_V,7,BX$133)/12*(1+V_dVol),0))</f>
        <v>0</v>
      </c>
      <c r="BY146" s="34" t="n">
        <f aca="false">IF(BY$8=1,N(Reales!BY18),IF(BY$134=1,INDEX(Vol_V,7,BY$133)/12*(1+V_dVol),0))</f>
        <v>0</v>
      </c>
      <c r="BZ146" s="34" t="n">
        <f aca="false">IF(BZ$8=1,N(Reales!BZ18),IF(BZ$134=1,INDEX(Vol_V,7,BZ$133)/12*(1+V_dVol),0))</f>
        <v>0</v>
      </c>
      <c r="CA146" s="34" t="n">
        <f aca="false">IF(CA$8=1,N(Reales!CA18),IF(CA$134=1,INDEX(Vol_V,7,CA$133)/12*(1+V_dVol),0))</f>
        <v>0</v>
      </c>
      <c r="CB146" s="34" t="n">
        <f aca="false">IF(CB$8=1,N(Reales!CB18),IF(CB$134=1,INDEX(Vol_V,7,CB$133)/12*(1+V_dVol),0))</f>
        <v>0</v>
      </c>
      <c r="CC146" s="34" t="n">
        <f aca="false">IF(CC$8=1,N(Reales!CC18),IF(CC$134=1,INDEX(Vol_V,7,CC$133)/12*(1+V_dVol),0))</f>
        <v>0</v>
      </c>
      <c r="CD146" s="34" t="n">
        <f aca="false">IF(CD$8=1,N(Reales!CD18),IF(CD$134=1,INDEX(Vol_V,7,CD$133)/12*(1+V_dVol),0))</f>
        <v>0</v>
      </c>
      <c r="CE146" s="34" t="n">
        <f aca="false">IF(CE$8=1,N(Reales!CE18),IF(CE$134=1,INDEX(Vol_V,7,CE$133)/12*(1+V_dVol),0))</f>
        <v>0</v>
      </c>
      <c r="CF146" s="34" t="n">
        <f aca="false">IF(CF$8=1,N(Reales!CF18),IF(CF$134=1,INDEX(Vol_V,7,CF$133)/12*(1+V_dVol),0))</f>
        <v>0</v>
      </c>
      <c r="CG146" s="34" t="n">
        <f aca="false">IF(CG$8=1,N(Reales!CG18),IF(CG$134=1,INDEX(Vol_V,7,CG$133)/12*(1+V_dVol),0))</f>
        <v>0</v>
      </c>
      <c r="CH146" s="34" t="n">
        <f aca="false">IF(CH$8=1,N(Reales!CH18),IF(CH$134=1,INDEX(Vol_V,7,CH$133)/12*(1+V_dVol),0))</f>
        <v>0</v>
      </c>
      <c r="CI146" s="34" t="n">
        <f aca="false">IF(CI$8=1,N(Reales!CI18),IF(CI$134=1,INDEX(Vol_V,7,CI$133)/12*(1+V_dVol),0))</f>
        <v>0</v>
      </c>
      <c r="CJ146" s="34" t="n">
        <f aca="false">IF(CJ$8=1,N(Reales!CJ18),IF(CJ$134=1,INDEX(Vol_V,7,CJ$133)/12*(1+V_dVol),0))</f>
        <v>0</v>
      </c>
      <c r="CK146" s="34" t="n">
        <f aca="false">IF(CK$8=1,N(Reales!CK18),IF(CK$134=1,INDEX(Vol_V,7,CK$133)/12*(1+V_dVol),0))</f>
        <v>0</v>
      </c>
      <c r="CL146" s="34" t="n">
        <f aca="false">IF(CL$8=1,N(Reales!CL18),IF(CL$134=1,INDEX(Vol_V,7,CL$133)/12*(1+V_dVol),0))</f>
        <v>0</v>
      </c>
      <c r="CM146" s="34" t="n">
        <f aca="false">IF(CM$8=1,N(Reales!CM18),IF(CM$134=1,INDEX(Vol_V,7,CM$133)/12*(1+V_dVol),0))</f>
        <v>0</v>
      </c>
      <c r="CN146" s="34" t="n">
        <f aca="false">IF(CN$8=1,N(Reales!CN18),IF(CN$134=1,INDEX(Vol_V,7,CN$133)/12*(1+V_dVol),0))</f>
        <v>0</v>
      </c>
      <c r="CO146" s="34" t="n">
        <f aca="false">IF(CO$8=1,N(Reales!CO18),IF(CO$134=1,INDEX(Vol_V,7,CO$133)/12*(1+V_dVol),0))</f>
        <v>0</v>
      </c>
      <c r="CP146" s="34" t="n">
        <f aca="false">IF(CP$8=1,N(Reales!CP18),IF(CP$134=1,INDEX(Vol_V,7,CP$133)/12*(1+V_dVol),0))</f>
        <v>0</v>
      </c>
      <c r="CQ146" s="34" t="n">
        <f aca="false">IF(CQ$8=1,N(Reales!CQ18),IF(CQ$134=1,INDEX(Vol_V,7,CQ$133)/12*(1+V_dVol),0))</f>
        <v>0</v>
      </c>
      <c r="CR146" s="34" t="n">
        <f aca="false">IF(CR$8=1,N(Reales!CR18),IF(CR$134=1,INDEX(Vol_V,7,CR$133)/12*(1+V_dVol),0))</f>
        <v>0</v>
      </c>
      <c r="CS146" s="34" t="n">
        <f aca="false">IF(CS$8=1,N(Reales!CS18),IF(CS$134=1,INDEX(Vol_V,7,CS$133)/12*(1+V_dVol),0))</f>
        <v>0</v>
      </c>
      <c r="CT146" s="34" t="n">
        <f aca="false">IF(CT$8=1,N(Reales!CT18),IF(CT$134=1,INDEX(Vol_V,7,CT$133)/12*(1+V_dVol),0))</f>
        <v>0</v>
      </c>
      <c r="CU146" s="34" t="n">
        <f aca="false">IF(CU$8=1,N(Reales!CU18),IF(CU$134=1,INDEX(Vol_V,7,CU$133)/12*(1+V_dVol),0))</f>
        <v>0</v>
      </c>
      <c r="CV146" s="34" t="n">
        <f aca="false">IF(CV$8=1,N(Reales!CV18),IF(CV$134=1,INDEX(Vol_V,7,CV$133)/12*(1+V_dVol),0))</f>
        <v>0</v>
      </c>
      <c r="CW146" s="34" t="n">
        <f aca="false">IF(CW$8=1,N(Reales!CW18),IF(CW$134=1,INDEX(Vol_V,7,CW$133)/12*(1+V_dVol),0))</f>
        <v>0</v>
      </c>
      <c r="CX146" s="34" t="n">
        <f aca="false">IF(CX$8=1,N(Reales!CX18),IF(CX$134=1,INDEX(Vol_V,7,CX$133)/12*(1+V_dVol),0))</f>
        <v>0</v>
      </c>
      <c r="CY146" s="34" t="n">
        <f aca="false">IF(CY$8=1,N(Reales!CY18),IF(CY$134=1,INDEX(Vol_V,7,CY$133)/12*(1+V_dVol),0))</f>
        <v>0</v>
      </c>
      <c r="CZ146" s="34" t="n">
        <f aca="false">IF(CZ$8=1,N(Reales!CZ18),IF(CZ$134=1,INDEX(Vol_V,7,CZ$133)/12*(1+V_dVol),0))</f>
        <v>0</v>
      </c>
      <c r="DA146" s="34" t="n">
        <f aca="false">IF(DA$8=1,N(Reales!DA18),IF(DA$134=1,INDEX(Vol_V,7,DA$133)/12*(1+V_dVol),0))</f>
        <v>0</v>
      </c>
      <c r="DB146" s="34" t="n">
        <f aca="false">IF(DB$8=1,N(Reales!DB18),IF(DB$134=1,INDEX(Vol_V,7,DB$133)/12*(1+V_dVol),0))</f>
        <v>0</v>
      </c>
      <c r="DC146" s="34" t="n">
        <f aca="false">IF(DC$8=1,N(Reales!DC18),IF(DC$134=1,INDEX(Vol_V,7,DC$133)/12*(1+V_dVol),0))</f>
        <v>0</v>
      </c>
      <c r="DD146" s="34" t="n">
        <f aca="false">IF(DD$8=1,N(Reales!DD18),IF(DD$134=1,INDEX(Vol_V,7,DD$133)/12*(1+V_dVol),0))</f>
        <v>0</v>
      </c>
      <c r="DE146" s="34" t="n">
        <f aca="false">IF(DE$8=1,N(Reales!DE18),IF(DE$134=1,INDEX(Vol_V,7,DE$133)/12*(1+V_dVol),0))</f>
        <v>0</v>
      </c>
      <c r="DF146" s="34" t="n">
        <f aca="false">IF(DF$8=1,N(Reales!DF18),IF(DF$134=1,INDEX(Vol_V,7,DF$133)/12*(1+V_dVol),0))</f>
        <v>0</v>
      </c>
      <c r="DG146" s="34" t="n">
        <f aca="false">IF(DG$8=1,N(Reales!DG18),IF(DG$134=1,INDEX(Vol_V,7,DG$133)/12*(1+V_dVol),0))</f>
        <v>0</v>
      </c>
      <c r="DH146" s="34" t="n">
        <f aca="false">IF(DH$8=1,N(Reales!DH18),IF(DH$134=1,INDEX(Vol_V,7,DH$133)/12*(1+V_dVol),0))</f>
        <v>0</v>
      </c>
      <c r="DI146" s="34" t="n">
        <f aca="false">IF(DI$8=1,N(Reales!DI18),IF(DI$134=1,INDEX(Vol_V,7,DI$133)/12*(1+V_dVol),0))</f>
        <v>0</v>
      </c>
      <c r="DJ146" s="34" t="n">
        <f aca="false">IF(DJ$8=1,N(Reales!DJ18),IF(DJ$134=1,INDEX(Vol_V,7,DJ$133)/12*(1+V_dVol),0))</f>
        <v>0</v>
      </c>
      <c r="DK146" s="34" t="n">
        <f aca="false">IF(DK$8=1,N(Reales!DK18),IF(DK$134=1,INDEX(Vol_V,7,DK$133)/12*(1+V_dVol),0))</f>
        <v>0</v>
      </c>
      <c r="DL146" s="34" t="n">
        <f aca="false">IF(DL$8=1,N(Reales!DL18),IF(DL$134=1,INDEX(Vol_V,7,DL$133)/12*(1+V_dVol),0))</f>
        <v>0</v>
      </c>
      <c r="DM146" s="34" t="n">
        <f aca="false">IF(DM$8=1,N(Reales!DM18),IF(DM$134=1,INDEX(Vol_V,7,DM$133)/12*(1+V_dVol),0))</f>
        <v>0</v>
      </c>
      <c r="DN146" s="34" t="n">
        <f aca="false">IF(DN$8=1,N(Reales!DN18),IF(DN$134=1,INDEX(Vol_V,7,DN$133)/12*(1+V_dVol),0))</f>
        <v>0</v>
      </c>
      <c r="DO146" s="34" t="n">
        <f aca="false">IF(DO$8=1,N(Reales!DO18),IF(DO$134=1,INDEX(Vol_V,7,DO$133)/12*(1+V_dVol),0))</f>
        <v>0</v>
      </c>
      <c r="DP146" s="34" t="n">
        <f aca="false">IF(DP$8=1,N(Reales!DP18),IF(DP$134=1,INDEX(Vol_V,7,DP$133)/12*(1+V_dVol),0))</f>
        <v>0</v>
      </c>
      <c r="DQ146" s="34" t="n">
        <f aca="false">IF(DQ$8=1,N(Reales!DQ18),IF(DQ$134=1,INDEX(Vol_V,7,DQ$133)/12*(1+V_dVol),0))</f>
        <v>0</v>
      </c>
      <c r="DR146" s="34" t="n">
        <f aca="false">IF(DR$8=1,N(Reales!DR18),IF(DR$134=1,INDEX(Vol_V,7,DR$133)/12*(1+V_dVol),0))</f>
        <v>0</v>
      </c>
      <c r="DS146" s="34" t="n">
        <f aca="false">IF(DS$8=1,N(Reales!DS18),IF(DS$134=1,INDEX(Vol_V,7,DS$133)/12*(1+V_dVol),0))</f>
        <v>0</v>
      </c>
      <c r="DT146" s="34" t="n">
        <f aca="false">IF(DT$8=1,N(Reales!DT18),IF(DT$134=1,INDEX(Vol_V,7,DT$133)/12*(1+V_dVol),0))</f>
        <v>0</v>
      </c>
      <c r="DU146" s="34" t="n">
        <f aca="false">IF(DU$8=1,N(Reales!DU18),IF(DU$134=1,INDEX(Vol_V,7,DU$133)/12*(1+V_dVol),0))</f>
        <v>0</v>
      </c>
      <c r="DV146" s="34" t="n">
        <f aca="false">IF(DV$8=1,N(Reales!DV18),IF(DV$134=1,INDEX(Vol_V,7,DV$133)/12*(1+V_dVol),0))</f>
        <v>0</v>
      </c>
      <c r="DW146" s="34" t="n">
        <f aca="false">IF(DW$8=1,N(Reales!DW18),IF(DW$134=1,INDEX(Vol_V,7,DW$133)/12*(1+V_dVol),0))</f>
        <v>0</v>
      </c>
      <c r="DX146" s="34" t="n">
        <f aca="false">IF(DX$8=1,N(Reales!DX18),IF(DX$134=1,INDEX(Vol_V,7,DX$133)/12*(1+V_dVol),0))</f>
        <v>0</v>
      </c>
      <c r="DY146" s="34" t="n">
        <f aca="false">IF(DY$8=1,N(Reales!DY18),IF(DY$134=1,INDEX(Vol_V,7,DY$133)/12*(1+V_dVol),0))</f>
        <v>0</v>
      </c>
      <c r="DZ146" s="34" t="n">
        <f aca="false">IF(DZ$8=1,N(Reales!DZ18),IF(DZ$134=1,INDEX(Vol_V,7,DZ$133)/12*(1+V_dVol),0))</f>
        <v>0</v>
      </c>
      <c r="EA146" s="34" t="n">
        <f aca="false">IF(EA$8=1,N(Reales!EA18),IF(EA$134=1,INDEX(Vol_V,7,EA$133)/12*(1+V_dVol),0))</f>
        <v>0</v>
      </c>
      <c r="EB146" s="34" t="n">
        <f aca="false">IF(EB$8=1,N(Reales!EB18),IF(EB$134=1,INDEX(Vol_V,7,EB$133)/12*(1+V_dVol),0))</f>
        <v>0</v>
      </c>
      <c r="EC146" s="34" t="n">
        <f aca="false">IF(EC$8=1,N(Reales!EC18),IF(EC$134=1,INDEX(Vol_V,7,EC$133)/12*(1+V_dVol),0))</f>
        <v>0</v>
      </c>
      <c r="ED146" s="34" t="n">
        <f aca="false">IF(ED$8=1,N(Reales!ED18),IF(ED$134=1,INDEX(Vol_V,7,ED$133)/12*(1+V_dVol),0))</f>
        <v>0</v>
      </c>
      <c r="EE146" s="34" t="n">
        <f aca="false">IF(EE$8=1,N(Reales!EE18),IF(EE$134=1,INDEX(Vol_V,7,EE$133)/12*(1+V_dVol),0))</f>
        <v>0</v>
      </c>
      <c r="EF146" s="34" t="n">
        <f aca="false">IF(EF$8=1,N(Reales!EF18),IF(EF$134=1,INDEX(Vol_V,7,EF$133)/12*(1+V_dVol),0))</f>
        <v>0</v>
      </c>
      <c r="EG146" s="34" t="n">
        <f aca="false">IF(EG$8=1,N(Reales!EG18),IF(EG$134=1,INDEX(Vol_V,7,EG$133)/12*(1+V_dVol),0))</f>
        <v>0</v>
      </c>
      <c r="EH146" s="34" t="n">
        <f aca="false">IF(EH$8=1,N(Reales!EH18),IF(EH$134=1,INDEX(Vol_V,7,EH$133)/12*(1+V_dVol),0))</f>
        <v>0</v>
      </c>
      <c r="EI146" s="34" t="n">
        <f aca="false">IF(EI$8=1,N(Reales!EI18),IF(EI$134=1,INDEX(Vol_V,7,EI$133)/12*(1+V_dVol),0))</f>
        <v>0</v>
      </c>
      <c r="EJ146" s="34" t="n">
        <f aca="false">IF(EJ$8=1,N(Reales!EJ18),IF(EJ$134=1,INDEX(Vol_V,7,EJ$133)/12*(1+V_dVol),0))</f>
        <v>0</v>
      </c>
      <c r="EK146" s="34" t="n">
        <f aca="false">IF(EK$8=1,N(Reales!EK18),IF(EK$134=1,INDEX(Vol_V,7,EK$133)/12*(1+V_dVol),0))</f>
        <v>0</v>
      </c>
      <c r="EL146" s="34" t="n">
        <f aca="false">IF(EL$8=1,N(Reales!EL18),IF(EL$134=1,INDEX(Vol_V,7,EL$133)/12*(1+V_dVol),0))</f>
        <v>0</v>
      </c>
      <c r="EM146" s="34" t="n">
        <f aca="false">IF(EM$8=1,N(Reales!EM18),IF(EM$134=1,INDEX(Vol_V,7,EM$133)/12*(1+V_dVol),0))</f>
        <v>0</v>
      </c>
      <c r="EN146" s="34" t="n">
        <f aca="false">IF(EN$8=1,N(Reales!EN18),IF(EN$134=1,INDEX(Vol_V,7,EN$133)/12*(1+V_dVol),0))</f>
        <v>0</v>
      </c>
      <c r="EO146" s="34" t="n">
        <f aca="false">IF(EO$8=1,N(Reales!EO18),IF(EO$134=1,INDEX(Vol_V,7,EO$133)/12*(1+V_dVol),0))</f>
        <v>0</v>
      </c>
      <c r="EP146" s="34" t="n">
        <f aca="false">IF(EP$8=1,N(Reales!EP18),IF(EP$134=1,INDEX(Vol_V,7,EP$133)/12*(1+V_dVol),0))</f>
        <v>0</v>
      </c>
      <c r="EQ146" s="34" t="n">
        <f aca="false">IF(EQ$8=1,N(Reales!EQ18),IF(EQ$134=1,INDEX(Vol_V,7,EQ$133)/12*(1+V_dVol),0))</f>
        <v>0</v>
      </c>
      <c r="ER146" s="34" t="n">
        <f aca="false">IF(ER$8=1,N(Reales!ER18),IF(ER$134=1,INDEX(Vol_V,7,ER$133)/12*(1+V_dVol),0))</f>
        <v>0</v>
      </c>
      <c r="ES146" s="34" t="n">
        <f aca="false">IF(ES$8=1,N(Reales!ES18),IF(ES$134=1,INDEX(Vol_V,7,ES$133)/12*(1+V_dVol),0))</f>
        <v>0</v>
      </c>
    </row>
    <row r="147" customFormat="false" ht="15" hidden="false" customHeight="false" outlineLevel="0" collapsed="false">
      <c r="A147" s="2" t="s">
        <v>626</v>
      </c>
      <c r="B147" s="39" t="str">
        <f aca="false">IF(INDEX(Prod_Nombre,8)="","Producto 8",INDEX(Prod_Nombre,8))&amp;" — unidades"</f>
        <v>Producto 8 — unidades</v>
      </c>
      <c r="C147" s="6" t="s">
        <v>337</v>
      </c>
      <c r="E147" s="40" t="n">
        <f aca="false">SUM(F147:ES147)</f>
        <v>0</v>
      </c>
      <c r="F147" s="34" t="n">
        <f aca="false">IF(F$8=1,N(Reales!F19),IF(F$134=1,INDEX(Vol_V,8,F$133)/12*(1+V_dVol),0))</f>
        <v>0</v>
      </c>
      <c r="G147" s="34" t="n">
        <f aca="false">IF(G$8=1,N(Reales!G19),IF(G$134=1,INDEX(Vol_V,8,G$133)/12*(1+V_dVol),0))</f>
        <v>0</v>
      </c>
      <c r="H147" s="34" t="n">
        <f aca="false">IF(H$8=1,N(Reales!H19),IF(H$134=1,INDEX(Vol_V,8,H$133)/12*(1+V_dVol),0))</f>
        <v>0</v>
      </c>
      <c r="I147" s="34" t="n">
        <f aca="false">IF(I$8=1,N(Reales!I19),IF(I$134=1,INDEX(Vol_V,8,I$133)/12*(1+V_dVol),0))</f>
        <v>0</v>
      </c>
      <c r="J147" s="34" t="n">
        <f aca="false">IF(J$8=1,N(Reales!J19),IF(J$134=1,INDEX(Vol_V,8,J$133)/12*(1+V_dVol),0))</f>
        <v>0</v>
      </c>
      <c r="K147" s="34" t="n">
        <f aca="false">IF(K$8=1,N(Reales!K19),IF(K$134=1,INDEX(Vol_V,8,K$133)/12*(1+V_dVol),0))</f>
        <v>0</v>
      </c>
      <c r="L147" s="34" t="n">
        <f aca="false">IF(L$8=1,N(Reales!L19),IF(L$134=1,INDEX(Vol_V,8,L$133)/12*(1+V_dVol),0))</f>
        <v>0</v>
      </c>
      <c r="M147" s="34" t="n">
        <f aca="false">IF(M$8=1,N(Reales!M19),IF(M$134=1,INDEX(Vol_V,8,M$133)/12*(1+V_dVol),0))</f>
        <v>0</v>
      </c>
      <c r="N147" s="34" t="n">
        <f aca="false">IF(N$8=1,N(Reales!N19),IF(N$134=1,INDEX(Vol_V,8,N$133)/12*(1+V_dVol),0))</f>
        <v>0</v>
      </c>
      <c r="O147" s="34" t="n">
        <f aca="false">IF(O$8=1,N(Reales!O19),IF(O$134=1,INDEX(Vol_V,8,O$133)/12*(1+V_dVol),0))</f>
        <v>0</v>
      </c>
      <c r="P147" s="34" t="n">
        <f aca="false">IF(P$8=1,N(Reales!P19),IF(P$134=1,INDEX(Vol_V,8,P$133)/12*(1+V_dVol),0))</f>
        <v>0</v>
      </c>
      <c r="Q147" s="34" t="n">
        <f aca="false">IF(Q$8=1,N(Reales!Q19),IF(Q$134=1,INDEX(Vol_V,8,Q$133)/12*(1+V_dVol),0))</f>
        <v>0</v>
      </c>
      <c r="R147" s="34" t="n">
        <f aca="false">IF(R$8=1,N(Reales!R19),IF(R$134=1,INDEX(Vol_V,8,R$133)/12*(1+V_dVol),0))</f>
        <v>0</v>
      </c>
      <c r="S147" s="34" t="n">
        <f aca="false">IF(S$8=1,N(Reales!S19),IF(S$134=1,INDEX(Vol_V,8,S$133)/12*(1+V_dVol),0))</f>
        <v>0</v>
      </c>
      <c r="T147" s="34" t="n">
        <f aca="false">IF(T$8=1,N(Reales!T19),IF(T$134=1,INDEX(Vol_V,8,T$133)/12*(1+V_dVol),0))</f>
        <v>0</v>
      </c>
      <c r="U147" s="34" t="n">
        <f aca="false">IF(U$8=1,N(Reales!U19),IF(U$134=1,INDEX(Vol_V,8,U$133)/12*(1+V_dVol),0))</f>
        <v>0</v>
      </c>
      <c r="V147" s="34" t="n">
        <f aca="false">IF(V$8=1,N(Reales!V19),IF(V$134=1,INDEX(Vol_V,8,V$133)/12*(1+V_dVol),0))</f>
        <v>0</v>
      </c>
      <c r="W147" s="34" t="n">
        <f aca="false">IF(W$8=1,N(Reales!W19),IF(W$134=1,INDEX(Vol_V,8,W$133)/12*(1+V_dVol),0))</f>
        <v>0</v>
      </c>
      <c r="X147" s="34" t="n">
        <f aca="false">IF(X$8=1,N(Reales!X19),IF(X$134=1,INDEX(Vol_V,8,X$133)/12*(1+V_dVol),0))</f>
        <v>0</v>
      </c>
      <c r="Y147" s="34" t="n">
        <f aca="false">IF(Y$8=1,N(Reales!Y19),IF(Y$134=1,INDEX(Vol_V,8,Y$133)/12*(1+V_dVol),0))</f>
        <v>0</v>
      </c>
      <c r="Z147" s="34" t="n">
        <f aca="false">IF(Z$8=1,N(Reales!Z19),IF(Z$134=1,INDEX(Vol_V,8,Z$133)/12*(1+V_dVol),0))</f>
        <v>0</v>
      </c>
      <c r="AA147" s="34" t="n">
        <f aca="false">IF(AA$8=1,N(Reales!AA19),IF(AA$134=1,INDEX(Vol_V,8,AA$133)/12*(1+V_dVol),0))</f>
        <v>0</v>
      </c>
      <c r="AB147" s="34" t="n">
        <f aca="false">IF(AB$8=1,N(Reales!AB19),IF(AB$134=1,INDEX(Vol_V,8,AB$133)/12*(1+V_dVol),0))</f>
        <v>0</v>
      </c>
      <c r="AC147" s="34" t="n">
        <f aca="false">IF(AC$8=1,N(Reales!AC19),IF(AC$134=1,INDEX(Vol_V,8,AC$133)/12*(1+V_dVol),0))</f>
        <v>0</v>
      </c>
      <c r="AD147" s="34" t="n">
        <f aca="false">IF(AD$8=1,N(Reales!AD19),IF(AD$134=1,INDEX(Vol_V,8,AD$133)/12*(1+V_dVol),0))</f>
        <v>0</v>
      </c>
      <c r="AE147" s="34" t="n">
        <f aca="false">IF(AE$8=1,N(Reales!AE19),IF(AE$134=1,INDEX(Vol_V,8,AE$133)/12*(1+V_dVol),0))</f>
        <v>0</v>
      </c>
      <c r="AF147" s="34" t="n">
        <f aca="false">IF(AF$8=1,N(Reales!AF19),IF(AF$134=1,INDEX(Vol_V,8,AF$133)/12*(1+V_dVol),0))</f>
        <v>0</v>
      </c>
      <c r="AG147" s="34" t="n">
        <f aca="false">IF(AG$8=1,N(Reales!AG19),IF(AG$134=1,INDEX(Vol_V,8,AG$133)/12*(1+V_dVol),0))</f>
        <v>0</v>
      </c>
      <c r="AH147" s="34" t="n">
        <f aca="false">IF(AH$8=1,N(Reales!AH19),IF(AH$134=1,INDEX(Vol_V,8,AH$133)/12*(1+V_dVol),0))</f>
        <v>0</v>
      </c>
      <c r="AI147" s="34" t="n">
        <f aca="false">IF(AI$8=1,N(Reales!AI19),IF(AI$134=1,INDEX(Vol_V,8,AI$133)/12*(1+V_dVol),0))</f>
        <v>0</v>
      </c>
      <c r="AJ147" s="34" t="n">
        <f aca="false">IF(AJ$8=1,N(Reales!AJ19),IF(AJ$134=1,INDEX(Vol_V,8,AJ$133)/12*(1+V_dVol),0))</f>
        <v>0</v>
      </c>
      <c r="AK147" s="34" t="n">
        <f aca="false">IF(AK$8=1,N(Reales!AK19),IF(AK$134=1,INDEX(Vol_V,8,AK$133)/12*(1+V_dVol),0))</f>
        <v>0</v>
      </c>
      <c r="AL147" s="34" t="n">
        <f aca="false">IF(AL$8=1,N(Reales!AL19),IF(AL$134=1,INDEX(Vol_V,8,AL$133)/12*(1+V_dVol),0))</f>
        <v>0</v>
      </c>
      <c r="AM147" s="34" t="n">
        <f aca="false">IF(AM$8=1,N(Reales!AM19),IF(AM$134=1,INDEX(Vol_V,8,AM$133)/12*(1+V_dVol),0))</f>
        <v>0</v>
      </c>
      <c r="AN147" s="34" t="n">
        <f aca="false">IF(AN$8=1,N(Reales!AN19),IF(AN$134=1,INDEX(Vol_V,8,AN$133)/12*(1+V_dVol),0))</f>
        <v>0</v>
      </c>
      <c r="AO147" s="34" t="n">
        <f aca="false">IF(AO$8=1,N(Reales!AO19),IF(AO$134=1,INDEX(Vol_V,8,AO$133)/12*(1+V_dVol),0))</f>
        <v>0</v>
      </c>
      <c r="AP147" s="34" t="n">
        <f aca="false">IF(AP$8=1,N(Reales!AP19),IF(AP$134=1,INDEX(Vol_V,8,AP$133)/12*(1+V_dVol),0))</f>
        <v>0</v>
      </c>
      <c r="AQ147" s="34" t="n">
        <f aca="false">IF(AQ$8=1,N(Reales!AQ19),IF(AQ$134=1,INDEX(Vol_V,8,AQ$133)/12*(1+V_dVol),0))</f>
        <v>0</v>
      </c>
      <c r="AR147" s="34" t="n">
        <f aca="false">IF(AR$8=1,N(Reales!AR19),IF(AR$134=1,INDEX(Vol_V,8,AR$133)/12*(1+V_dVol),0))</f>
        <v>0</v>
      </c>
      <c r="AS147" s="34" t="n">
        <f aca="false">IF(AS$8=1,N(Reales!AS19),IF(AS$134=1,INDEX(Vol_V,8,AS$133)/12*(1+V_dVol),0))</f>
        <v>0</v>
      </c>
      <c r="AT147" s="34" t="n">
        <f aca="false">IF(AT$8=1,N(Reales!AT19),IF(AT$134=1,INDEX(Vol_V,8,AT$133)/12*(1+V_dVol),0))</f>
        <v>0</v>
      </c>
      <c r="AU147" s="34" t="n">
        <f aca="false">IF(AU$8=1,N(Reales!AU19),IF(AU$134=1,INDEX(Vol_V,8,AU$133)/12*(1+V_dVol),0))</f>
        <v>0</v>
      </c>
      <c r="AV147" s="34" t="n">
        <f aca="false">IF(AV$8=1,N(Reales!AV19),IF(AV$134=1,INDEX(Vol_V,8,AV$133)/12*(1+V_dVol),0))</f>
        <v>0</v>
      </c>
      <c r="AW147" s="34" t="n">
        <f aca="false">IF(AW$8=1,N(Reales!AW19),IF(AW$134=1,INDEX(Vol_V,8,AW$133)/12*(1+V_dVol),0))</f>
        <v>0</v>
      </c>
      <c r="AX147" s="34" t="n">
        <f aca="false">IF(AX$8=1,N(Reales!AX19),IF(AX$134=1,INDEX(Vol_V,8,AX$133)/12*(1+V_dVol),0))</f>
        <v>0</v>
      </c>
      <c r="AY147" s="34" t="n">
        <f aca="false">IF(AY$8=1,N(Reales!AY19),IF(AY$134=1,INDEX(Vol_V,8,AY$133)/12*(1+V_dVol),0))</f>
        <v>0</v>
      </c>
      <c r="AZ147" s="34" t="n">
        <f aca="false">IF(AZ$8=1,N(Reales!AZ19),IF(AZ$134=1,INDEX(Vol_V,8,AZ$133)/12*(1+V_dVol),0))</f>
        <v>0</v>
      </c>
      <c r="BA147" s="34" t="n">
        <f aca="false">IF(BA$8=1,N(Reales!BA19),IF(BA$134=1,INDEX(Vol_V,8,BA$133)/12*(1+V_dVol),0))</f>
        <v>0</v>
      </c>
      <c r="BB147" s="34" t="n">
        <f aca="false">IF(BB$8=1,N(Reales!BB19),IF(BB$134=1,INDEX(Vol_V,8,BB$133)/12*(1+V_dVol),0))</f>
        <v>0</v>
      </c>
      <c r="BC147" s="34" t="n">
        <f aca="false">IF(BC$8=1,N(Reales!BC19),IF(BC$134=1,INDEX(Vol_V,8,BC$133)/12*(1+V_dVol),0))</f>
        <v>0</v>
      </c>
      <c r="BD147" s="34" t="n">
        <f aca="false">IF(BD$8=1,N(Reales!BD19),IF(BD$134=1,INDEX(Vol_V,8,BD$133)/12*(1+V_dVol),0))</f>
        <v>0</v>
      </c>
      <c r="BE147" s="34" t="n">
        <f aca="false">IF(BE$8=1,N(Reales!BE19),IF(BE$134=1,INDEX(Vol_V,8,BE$133)/12*(1+V_dVol),0))</f>
        <v>0</v>
      </c>
      <c r="BF147" s="34" t="n">
        <f aca="false">IF(BF$8=1,N(Reales!BF19),IF(BF$134=1,INDEX(Vol_V,8,BF$133)/12*(1+V_dVol),0))</f>
        <v>0</v>
      </c>
      <c r="BG147" s="34" t="n">
        <f aca="false">IF(BG$8=1,N(Reales!BG19),IF(BG$134=1,INDEX(Vol_V,8,BG$133)/12*(1+V_dVol),0))</f>
        <v>0</v>
      </c>
      <c r="BH147" s="34" t="n">
        <f aca="false">IF(BH$8=1,N(Reales!BH19),IF(BH$134=1,INDEX(Vol_V,8,BH$133)/12*(1+V_dVol),0))</f>
        <v>0</v>
      </c>
      <c r="BI147" s="34" t="n">
        <f aca="false">IF(BI$8=1,N(Reales!BI19),IF(BI$134=1,INDEX(Vol_V,8,BI$133)/12*(1+V_dVol),0))</f>
        <v>0</v>
      </c>
      <c r="BJ147" s="34" t="n">
        <f aca="false">IF(BJ$8=1,N(Reales!BJ19),IF(BJ$134=1,INDEX(Vol_V,8,BJ$133)/12*(1+V_dVol),0))</f>
        <v>0</v>
      </c>
      <c r="BK147" s="34" t="n">
        <f aca="false">IF(BK$8=1,N(Reales!BK19),IF(BK$134=1,INDEX(Vol_V,8,BK$133)/12*(1+V_dVol),0))</f>
        <v>0</v>
      </c>
      <c r="BL147" s="34" t="n">
        <f aca="false">IF(BL$8=1,N(Reales!BL19),IF(BL$134=1,INDEX(Vol_V,8,BL$133)/12*(1+V_dVol),0))</f>
        <v>0</v>
      </c>
      <c r="BM147" s="34" t="n">
        <f aca="false">IF(BM$8=1,N(Reales!BM19),IF(BM$134=1,INDEX(Vol_V,8,BM$133)/12*(1+V_dVol),0))</f>
        <v>0</v>
      </c>
      <c r="BN147" s="34" t="n">
        <f aca="false">IF(BN$8=1,N(Reales!BN19),IF(BN$134=1,INDEX(Vol_V,8,BN$133)/12*(1+V_dVol),0))</f>
        <v>0</v>
      </c>
      <c r="BO147" s="34" t="n">
        <f aca="false">IF(BO$8=1,N(Reales!BO19),IF(BO$134=1,INDEX(Vol_V,8,BO$133)/12*(1+V_dVol),0))</f>
        <v>0</v>
      </c>
      <c r="BP147" s="34" t="n">
        <f aca="false">IF(BP$8=1,N(Reales!BP19),IF(BP$134=1,INDEX(Vol_V,8,BP$133)/12*(1+V_dVol),0))</f>
        <v>0</v>
      </c>
      <c r="BQ147" s="34" t="n">
        <f aca="false">IF(BQ$8=1,N(Reales!BQ19),IF(BQ$134=1,INDEX(Vol_V,8,BQ$133)/12*(1+V_dVol),0))</f>
        <v>0</v>
      </c>
      <c r="BR147" s="34" t="n">
        <f aca="false">IF(BR$8=1,N(Reales!BR19),IF(BR$134=1,INDEX(Vol_V,8,BR$133)/12*(1+V_dVol),0))</f>
        <v>0</v>
      </c>
      <c r="BS147" s="34" t="n">
        <f aca="false">IF(BS$8=1,N(Reales!BS19),IF(BS$134=1,INDEX(Vol_V,8,BS$133)/12*(1+V_dVol),0))</f>
        <v>0</v>
      </c>
      <c r="BT147" s="34" t="n">
        <f aca="false">IF(BT$8=1,N(Reales!BT19),IF(BT$134=1,INDEX(Vol_V,8,BT$133)/12*(1+V_dVol),0))</f>
        <v>0</v>
      </c>
      <c r="BU147" s="34" t="n">
        <f aca="false">IF(BU$8=1,N(Reales!BU19),IF(BU$134=1,INDEX(Vol_V,8,BU$133)/12*(1+V_dVol),0))</f>
        <v>0</v>
      </c>
      <c r="BV147" s="34" t="n">
        <f aca="false">IF(BV$8=1,N(Reales!BV19),IF(BV$134=1,INDEX(Vol_V,8,BV$133)/12*(1+V_dVol),0))</f>
        <v>0</v>
      </c>
      <c r="BW147" s="34" t="n">
        <f aca="false">IF(BW$8=1,N(Reales!BW19),IF(BW$134=1,INDEX(Vol_V,8,BW$133)/12*(1+V_dVol),0))</f>
        <v>0</v>
      </c>
      <c r="BX147" s="34" t="n">
        <f aca="false">IF(BX$8=1,N(Reales!BX19),IF(BX$134=1,INDEX(Vol_V,8,BX$133)/12*(1+V_dVol),0))</f>
        <v>0</v>
      </c>
      <c r="BY147" s="34" t="n">
        <f aca="false">IF(BY$8=1,N(Reales!BY19),IF(BY$134=1,INDEX(Vol_V,8,BY$133)/12*(1+V_dVol),0))</f>
        <v>0</v>
      </c>
      <c r="BZ147" s="34" t="n">
        <f aca="false">IF(BZ$8=1,N(Reales!BZ19),IF(BZ$134=1,INDEX(Vol_V,8,BZ$133)/12*(1+V_dVol),0))</f>
        <v>0</v>
      </c>
      <c r="CA147" s="34" t="n">
        <f aca="false">IF(CA$8=1,N(Reales!CA19),IF(CA$134=1,INDEX(Vol_V,8,CA$133)/12*(1+V_dVol),0))</f>
        <v>0</v>
      </c>
      <c r="CB147" s="34" t="n">
        <f aca="false">IF(CB$8=1,N(Reales!CB19),IF(CB$134=1,INDEX(Vol_V,8,CB$133)/12*(1+V_dVol),0))</f>
        <v>0</v>
      </c>
      <c r="CC147" s="34" t="n">
        <f aca="false">IF(CC$8=1,N(Reales!CC19),IF(CC$134=1,INDEX(Vol_V,8,CC$133)/12*(1+V_dVol),0))</f>
        <v>0</v>
      </c>
      <c r="CD147" s="34" t="n">
        <f aca="false">IF(CD$8=1,N(Reales!CD19),IF(CD$134=1,INDEX(Vol_V,8,CD$133)/12*(1+V_dVol),0))</f>
        <v>0</v>
      </c>
      <c r="CE147" s="34" t="n">
        <f aca="false">IF(CE$8=1,N(Reales!CE19),IF(CE$134=1,INDEX(Vol_V,8,CE$133)/12*(1+V_dVol),0))</f>
        <v>0</v>
      </c>
      <c r="CF147" s="34" t="n">
        <f aca="false">IF(CF$8=1,N(Reales!CF19),IF(CF$134=1,INDEX(Vol_V,8,CF$133)/12*(1+V_dVol),0))</f>
        <v>0</v>
      </c>
      <c r="CG147" s="34" t="n">
        <f aca="false">IF(CG$8=1,N(Reales!CG19),IF(CG$134=1,INDEX(Vol_V,8,CG$133)/12*(1+V_dVol),0))</f>
        <v>0</v>
      </c>
      <c r="CH147" s="34" t="n">
        <f aca="false">IF(CH$8=1,N(Reales!CH19),IF(CH$134=1,INDEX(Vol_V,8,CH$133)/12*(1+V_dVol),0))</f>
        <v>0</v>
      </c>
      <c r="CI147" s="34" t="n">
        <f aca="false">IF(CI$8=1,N(Reales!CI19),IF(CI$134=1,INDEX(Vol_V,8,CI$133)/12*(1+V_dVol),0))</f>
        <v>0</v>
      </c>
      <c r="CJ147" s="34" t="n">
        <f aca="false">IF(CJ$8=1,N(Reales!CJ19),IF(CJ$134=1,INDEX(Vol_V,8,CJ$133)/12*(1+V_dVol),0))</f>
        <v>0</v>
      </c>
      <c r="CK147" s="34" t="n">
        <f aca="false">IF(CK$8=1,N(Reales!CK19),IF(CK$134=1,INDEX(Vol_V,8,CK$133)/12*(1+V_dVol),0))</f>
        <v>0</v>
      </c>
      <c r="CL147" s="34" t="n">
        <f aca="false">IF(CL$8=1,N(Reales!CL19),IF(CL$134=1,INDEX(Vol_V,8,CL$133)/12*(1+V_dVol),0))</f>
        <v>0</v>
      </c>
      <c r="CM147" s="34" t="n">
        <f aca="false">IF(CM$8=1,N(Reales!CM19),IF(CM$134=1,INDEX(Vol_V,8,CM$133)/12*(1+V_dVol),0))</f>
        <v>0</v>
      </c>
      <c r="CN147" s="34" t="n">
        <f aca="false">IF(CN$8=1,N(Reales!CN19),IF(CN$134=1,INDEX(Vol_V,8,CN$133)/12*(1+V_dVol),0))</f>
        <v>0</v>
      </c>
      <c r="CO147" s="34" t="n">
        <f aca="false">IF(CO$8=1,N(Reales!CO19),IF(CO$134=1,INDEX(Vol_V,8,CO$133)/12*(1+V_dVol),0))</f>
        <v>0</v>
      </c>
      <c r="CP147" s="34" t="n">
        <f aca="false">IF(CP$8=1,N(Reales!CP19),IF(CP$134=1,INDEX(Vol_V,8,CP$133)/12*(1+V_dVol),0))</f>
        <v>0</v>
      </c>
      <c r="CQ147" s="34" t="n">
        <f aca="false">IF(CQ$8=1,N(Reales!CQ19),IF(CQ$134=1,INDEX(Vol_V,8,CQ$133)/12*(1+V_dVol),0))</f>
        <v>0</v>
      </c>
      <c r="CR147" s="34" t="n">
        <f aca="false">IF(CR$8=1,N(Reales!CR19),IF(CR$134=1,INDEX(Vol_V,8,CR$133)/12*(1+V_dVol),0))</f>
        <v>0</v>
      </c>
      <c r="CS147" s="34" t="n">
        <f aca="false">IF(CS$8=1,N(Reales!CS19),IF(CS$134=1,INDEX(Vol_V,8,CS$133)/12*(1+V_dVol),0))</f>
        <v>0</v>
      </c>
      <c r="CT147" s="34" t="n">
        <f aca="false">IF(CT$8=1,N(Reales!CT19),IF(CT$134=1,INDEX(Vol_V,8,CT$133)/12*(1+V_dVol),0))</f>
        <v>0</v>
      </c>
      <c r="CU147" s="34" t="n">
        <f aca="false">IF(CU$8=1,N(Reales!CU19),IF(CU$134=1,INDEX(Vol_V,8,CU$133)/12*(1+V_dVol),0))</f>
        <v>0</v>
      </c>
      <c r="CV147" s="34" t="n">
        <f aca="false">IF(CV$8=1,N(Reales!CV19),IF(CV$134=1,INDEX(Vol_V,8,CV$133)/12*(1+V_dVol),0))</f>
        <v>0</v>
      </c>
      <c r="CW147" s="34" t="n">
        <f aca="false">IF(CW$8=1,N(Reales!CW19),IF(CW$134=1,INDEX(Vol_V,8,CW$133)/12*(1+V_dVol),0))</f>
        <v>0</v>
      </c>
      <c r="CX147" s="34" t="n">
        <f aca="false">IF(CX$8=1,N(Reales!CX19),IF(CX$134=1,INDEX(Vol_V,8,CX$133)/12*(1+V_dVol),0))</f>
        <v>0</v>
      </c>
      <c r="CY147" s="34" t="n">
        <f aca="false">IF(CY$8=1,N(Reales!CY19),IF(CY$134=1,INDEX(Vol_V,8,CY$133)/12*(1+V_dVol),0))</f>
        <v>0</v>
      </c>
      <c r="CZ147" s="34" t="n">
        <f aca="false">IF(CZ$8=1,N(Reales!CZ19),IF(CZ$134=1,INDEX(Vol_V,8,CZ$133)/12*(1+V_dVol),0))</f>
        <v>0</v>
      </c>
      <c r="DA147" s="34" t="n">
        <f aca="false">IF(DA$8=1,N(Reales!DA19),IF(DA$134=1,INDEX(Vol_V,8,DA$133)/12*(1+V_dVol),0))</f>
        <v>0</v>
      </c>
      <c r="DB147" s="34" t="n">
        <f aca="false">IF(DB$8=1,N(Reales!DB19),IF(DB$134=1,INDEX(Vol_V,8,DB$133)/12*(1+V_dVol),0))</f>
        <v>0</v>
      </c>
      <c r="DC147" s="34" t="n">
        <f aca="false">IF(DC$8=1,N(Reales!DC19),IF(DC$134=1,INDEX(Vol_V,8,DC$133)/12*(1+V_dVol),0))</f>
        <v>0</v>
      </c>
      <c r="DD147" s="34" t="n">
        <f aca="false">IF(DD$8=1,N(Reales!DD19),IF(DD$134=1,INDEX(Vol_V,8,DD$133)/12*(1+V_dVol),0))</f>
        <v>0</v>
      </c>
      <c r="DE147" s="34" t="n">
        <f aca="false">IF(DE$8=1,N(Reales!DE19),IF(DE$134=1,INDEX(Vol_V,8,DE$133)/12*(1+V_dVol),0))</f>
        <v>0</v>
      </c>
      <c r="DF147" s="34" t="n">
        <f aca="false">IF(DF$8=1,N(Reales!DF19),IF(DF$134=1,INDEX(Vol_V,8,DF$133)/12*(1+V_dVol),0))</f>
        <v>0</v>
      </c>
      <c r="DG147" s="34" t="n">
        <f aca="false">IF(DG$8=1,N(Reales!DG19),IF(DG$134=1,INDEX(Vol_V,8,DG$133)/12*(1+V_dVol),0))</f>
        <v>0</v>
      </c>
      <c r="DH147" s="34" t="n">
        <f aca="false">IF(DH$8=1,N(Reales!DH19),IF(DH$134=1,INDEX(Vol_V,8,DH$133)/12*(1+V_dVol),0))</f>
        <v>0</v>
      </c>
      <c r="DI147" s="34" t="n">
        <f aca="false">IF(DI$8=1,N(Reales!DI19),IF(DI$134=1,INDEX(Vol_V,8,DI$133)/12*(1+V_dVol),0))</f>
        <v>0</v>
      </c>
      <c r="DJ147" s="34" t="n">
        <f aca="false">IF(DJ$8=1,N(Reales!DJ19),IF(DJ$134=1,INDEX(Vol_V,8,DJ$133)/12*(1+V_dVol),0))</f>
        <v>0</v>
      </c>
      <c r="DK147" s="34" t="n">
        <f aca="false">IF(DK$8=1,N(Reales!DK19),IF(DK$134=1,INDEX(Vol_V,8,DK$133)/12*(1+V_dVol),0))</f>
        <v>0</v>
      </c>
      <c r="DL147" s="34" t="n">
        <f aca="false">IF(DL$8=1,N(Reales!DL19),IF(DL$134=1,INDEX(Vol_V,8,DL$133)/12*(1+V_dVol),0))</f>
        <v>0</v>
      </c>
      <c r="DM147" s="34" t="n">
        <f aca="false">IF(DM$8=1,N(Reales!DM19),IF(DM$134=1,INDEX(Vol_V,8,DM$133)/12*(1+V_dVol),0))</f>
        <v>0</v>
      </c>
      <c r="DN147" s="34" t="n">
        <f aca="false">IF(DN$8=1,N(Reales!DN19),IF(DN$134=1,INDEX(Vol_V,8,DN$133)/12*(1+V_dVol),0))</f>
        <v>0</v>
      </c>
      <c r="DO147" s="34" t="n">
        <f aca="false">IF(DO$8=1,N(Reales!DO19),IF(DO$134=1,INDEX(Vol_V,8,DO$133)/12*(1+V_dVol),0))</f>
        <v>0</v>
      </c>
      <c r="DP147" s="34" t="n">
        <f aca="false">IF(DP$8=1,N(Reales!DP19),IF(DP$134=1,INDEX(Vol_V,8,DP$133)/12*(1+V_dVol),0))</f>
        <v>0</v>
      </c>
      <c r="DQ147" s="34" t="n">
        <f aca="false">IF(DQ$8=1,N(Reales!DQ19),IF(DQ$134=1,INDEX(Vol_V,8,DQ$133)/12*(1+V_dVol),0))</f>
        <v>0</v>
      </c>
      <c r="DR147" s="34" t="n">
        <f aca="false">IF(DR$8=1,N(Reales!DR19),IF(DR$134=1,INDEX(Vol_V,8,DR$133)/12*(1+V_dVol),0))</f>
        <v>0</v>
      </c>
      <c r="DS147" s="34" t="n">
        <f aca="false">IF(DS$8=1,N(Reales!DS19),IF(DS$134=1,INDEX(Vol_V,8,DS$133)/12*(1+V_dVol),0))</f>
        <v>0</v>
      </c>
      <c r="DT147" s="34" t="n">
        <f aca="false">IF(DT$8=1,N(Reales!DT19),IF(DT$134=1,INDEX(Vol_V,8,DT$133)/12*(1+V_dVol),0))</f>
        <v>0</v>
      </c>
      <c r="DU147" s="34" t="n">
        <f aca="false">IF(DU$8=1,N(Reales!DU19),IF(DU$134=1,INDEX(Vol_V,8,DU$133)/12*(1+V_dVol),0))</f>
        <v>0</v>
      </c>
      <c r="DV147" s="34" t="n">
        <f aca="false">IF(DV$8=1,N(Reales!DV19),IF(DV$134=1,INDEX(Vol_V,8,DV$133)/12*(1+V_dVol),0))</f>
        <v>0</v>
      </c>
      <c r="DW147" s="34" t="n">
        <f aca="false">IF(DW$8=1,N(Reales!DW19),IF(DW$134=1,INDEX(Vol_V,8,DW$133)/12*(1+V_dVol),0))</f>
        <v>0</v>
      </c>
      <c r="DX147" s="34" t="n">
        <f aca="false">IF(DX$8=1,N(Reales!DX19),IF(DX$134=1,INDEX(Vol_V,8,DX$133)/12*(1+V_dVol),0))</f>
        <v>0</v>
      </c>
      <c r="DY147" s="34" t="n">
        <f aca="false">IF(DY$8=1,N(Reales!DY19),IF(DY$134=1,INDEX(Vol_V,8,DY$133)/12*(1+V_dVol),0))</f>
        <v>0</v>
      </c>
      <c r="DZ147" s="34" t="n">
        <f aca="false">IF(DZ$8=1,N(Reales!DZ19),IF(DZ$134=1,INDEX(Vol_V,8,DZ$133)/12*(1+V_dVol),0))</f>
        <v>0</v>
      </c>
      <c r="EA147" s="34" t="n">
        <f aca="false">IF(EA$8=1,N(Reales!EA19),IF(EA$134=1,INDEX(Vol_V,8,EA$133)/12*(1+V_dVol),0))</f>
        <v>0</v>
      </c>
      <c r="EB147" s="34" t="n">
        <f aca="false">IF(EB$8=1,N(Reales!EB19),IF(EB$134=1,INDEX(Vol_V,8,EB$133)/12*(1+V_dVol),0))</f>
        <v>0</v>
      </c>
      <c r="EC147" s="34" t="n">
        <f aca="false">IF(EC$8=1,N(Reales!EC19),IF(EC$134=1,INDEX(Vol_V,8,EC$133)/12*(1+V_dVol),0))</f>
        <v>0</v>
      </c>
      <c r="ED147" s="34" t="n">
        <f aca="false">IF(ED$8=1,N(Reales!ED19),IF(ED$134=1,INDEX(Vol_V,8,ED$133)/12*(1+V_dVol),0))</f>
        <v>0</v>
      </c>
      <c r="EE147" s="34" t="n">
        <f aca="false">IF(EE$8=1,N(Reales!EE19),IF(EE$134=1,INDEX(Vol_V,8,EE$133)/12*(1+V_dVol),0))</f>
        <v>0</v>
      </c>
      <c r="EF147" s="34" t="n">
        <f aca="false">IF(EF$8=1,N(Reales!EF19),IF(EF$134=1,INDEX(Vol_V,8,EF$133)/12*(1+V_dVol),0))</f>
        <v>0</v>
      </c>
      <c r="EG147" s="34" t="n">
        <f aca="false">IF(EG$8=1,N(Reales!EG19),IF(EG$134=1,INDEX(Vol_V,8,EG$133)/12*(1+V_dVol),0))</f>
        <v>0</v>
      </c>
      <c r="EH147" s="34" t="n">
        <f aca="false">IF(EH$8=1,N(Reales!EH19),IF(EH$134=1,INDEX(Vol_V,8,EH$133)/12*(1+V_dVol),0))</f>
        <v>0</v>
      </c>
      <c r="EI147" s="34" t="n">
        <f aca="false">IF(EI$8=1,N(Reales!EI19),IF(EI$134=1,INDEX(Vol_V,8,EI$133)/12*(1+V_dVol),0))</f>
        <v>0</v>
      </c>
      <c r="EJ147" s="34" t="n">
        <f aca="false">IF(EJ$8=1,N(Reales!EJ19),IF(EJ$134=1,INDEX(Vol_V,8,EJ$133)/12*(1+V_dVol),0))</f>
        <v>0</v>
      </c>
      <c r="EK147" s="34" t="n">
        <f aca="false">IF(EK$8=1,N(Reales!EK19),IF(EK$134=1,INDEX(Vol_V,8,EK$133)/12*(1+V_dVol),0))</f>
        <v>0</v>
      </c>
      <c r="EL147" s="34" t="n">
        <f aca="false">IF(EL$8=1,N(Reales!EL19),IF(EL$134=1,INDEX(Vol_V,8,EL$133)/12*(1+V_dVol),0))</f>
        <v>0</v>
      </c>
      <c r="EM147" s="34" t="n">
        <f aca="false">IF(EM$8=1,N(Reales!EM19),IF(EM$134=1,INDEX(Vol_V,8,EM$133)/12*(1+V_dVol),0))</f>
        <v>0</v>
      </c>
      <c r="EN147" s="34" t="n">
        <f aca="false">IF(EN$8=1,N(Reales!EN19),IF(EN$134=1,INDEX(Vol_V,8,EN$133)/12*(1+V_dVol),0))</f>
        <v>0</v>
      </c>
      <c r="EO147" s="34" t="n">
        <f aca="false">IF(EO$8=1,N(Reales!EO19),IF(EO$134=1,INDEX(Vol_V,8,EO$133)/12*(1+V_dVol),0))</f>
        <v>0</v>
      </c>
      <c r="EP147" s="34" t="n">
        <f aca="false">IF(EP$8=1,N(Reales!EP19),IF(EP$134=1,INDEX(Vol_V,8,EP$133)/12*(1+V_dVol),0))</f>
        <v>0</v>
      </c>
      <c r="EQ147" s="34" t="n">
        <f aca="false">IF(EQ$8=1,N(Reales!EQ19),IF(EQ$134=1,INDEX(Vol_V,8,EQ$133)/12*(1+V_dVol),0))</f>
        <v>0</v>
      </c>
      <c r="ER147" s="34" t="n">
        <f aca="false">IF(ER$8=1,N(Reales!ER19),IF(ER$134=1,INDEX(Vol_V,8,ER$133)/12*(1+V_dVol),0))</f>
        <v>0</v>
      </c>
      <c r="ES147" s="34" t="n">
        <f aca="false">IF(ES$8=1,N(Reales!ES19),IF(ES$134=1,INDEX(Vol_V,8,ES$133)/12*(1+V_dVol),0))</f>
        <v>0</v>
      </c>
    </row>
    <row r="148" customFormat="false" ht="15" hidden="false" customHeight="false" outlineLevel="0" collapsed="false">
      <c r="A148" s="2" t="s">
        <v>627</v>
      </c>
      <c r="B148" s="39" t="str">
        <f aca="false">IF(INDEX(Prod_Nombre,9)="","Producto 9",INDEX(Prod_Nombre,9))&amp;" — unidades"</f>
        <v>Producto 9 — unidades</v>
      </c>
      <c r="C148" s="6" t="s">
        <v>337</v>
      </c>
      <c r="E148" s="40" t="n">
        <f aca="false">SUM(F148:ES148)</f>
        <v>0</v>
      </c>
      <c r="F148" s="34" t="n">
        <f aca="false">IF(F$8=1,N(Reales!F20),IF(F$134=1,INDEX(Vol_V,9,F$133)/12*(1+V_dVol),0))</f>
        <v>0</v>
      </c>
      <c r="G148" s="34" t="n">
        <f aca="false">IF(G$8=1,N(Reales!G20),IF(G$134=1,INDEX(Vol_V,9,G$133)/12*(1+V_dVol),0))</f>
        <v>0</v>
      </c>
      <c r="H148" s="34" t="n">
        <f aca="false">IF(H$8=1,N(Reales!H20),IF(H$134=1,INDEX(Vol_V,9,H$133)/12*(1+V_dVol),0))</f>
        <v>0</v>
      </c>
      <c r="I148" s="34" t="n">
        <f aca="false">IF(I$8=1,N(Reales!I20),IF(I$134=1,INDEX(Vol_V,9,I$133)/12*(1+V_dVol),0))</f>
        <v>0</v>
      </c>
      <c r="J148" s="34" t="n">
        <f aca="false">IF(J$8=1,N(Reales!J20),IF(J$134=1,INDEX(Vol_V,9,J$133)/12*(1+V_dVol),0))</f>
        <v>0</v>
      </c>
      <c r="K148" s="34" t="n">
        <f aca="false">IF(K$8=1,N(Reales!K20),IF(K$134=1,INDEX(Vol_V,9,K$133)/12*(1+V_dVol),0))</f>
        <v>0</v>
      </c>
      <c r="L148" s="34" t="n">
        <f aca="false">IF(L$8=1,N(Reales!L20),IF(L$134=1,INDEX(Vol_V,9,L$133)/12*(1+V_dVol),0))</f>
        <v>0</v>
      </c>
      <c r="M148" s="34" t="n">
        <f aca="false">IF(M$8=1,N(Reales!M20),IF(M$134=1,INDEX(Vol_V,9,M$133)/12*(1+V_dVol),0))</f>
        <v>0</v>
      </c>
      <c r="N148" s="34" t="n">
        <f aca="false">IF(N$8=1,N(Reales!N20),IF(N$134=1,INDEX(Vol_V,9,N$133)/12*(1+V_dVol),0))</f>
        <v>0</v>
      </c>
      <c r="O148" s="34" t="n">
        <f aca="false">IF(O$8=1,N(Reales!O20),IF(O$134=1,INDEX(Vol_V,9,O$133)/12*(1+V_dVol),0))</f>
        <v>0</v>
      </c>
      <c r="P148" s="34" t="n">
        <f aca="false">IF(P$8=1,N(Reales!P20),IF(P$134=1,INDEX(Vol_V,9,P$133)/12*(1+V_dVol),0))</f>
        <v>0</v>
      </c>
      <c r="Q148" s="34" t="n">
        <f aca="false">IF(Q$8=1,N(Reales!Q20),IF(Q$134=1,INDEX(Vol_V,9,Q$133)/12*(1+V_dVol),0))</f>
        <v>0</v>
      </c>
      <c r="R148" s="34" t="n">
        <f aca="false">IF(R$8=1,N(Reales!R20),IF(R$134=1,INDEX(Vol_V,9,R$133)/12*(1+V_dVol),0))</f>
        <v>0</v>
      </c>
      <c r="S148" s="34" t="n">
        <f aca="false">IF(S$8=1,N(Reales!S20),IF(S$134=1,INDEX(Vol_V,9,S$133)/12*(1+V_dVol),0))</f>
        <v>0</v>
      </c>
      <c r="T148" s="34" t="n">
        <f aca="false">IF(T$8=1,N(Reales!T20),IF(T$134=1,INDEX(Vol_V,9,T$133)/12*(1+V_dVol),0))</f>
        <v>0</v>
      </c>
      <c r="U148" s="34" t="n">
        <f aca="false">IF(U$8=1,N(Reales!U20),IF(U$134=1,INDEX(Vol_V,9,U$133)/12*(1+V_dVol),0))</f>
        <v>0</v>
      </c>
      <c r="V148" s="34" t="n">
        <f aca="false">IF(V$8=1,N(Reales!V20),IF(V$134=1,INDEX(Vol_V,9,V$133)/12*(1+V_dVol),0))</f>
        <v>0</v>
      </c>
      <c r="W148" s="34" t="n">
        <f aca="false">IF(W$8=1,N(Reales!W20),IF(W$134=1,INDEX(Vol_V,9,W$133)/12*(1+V_dVol),0))</f>
        <v>0</v>
      </c>
      <c r="X148" s="34" t="n">
        <f aca="false">IF(X$8=1,N(Reales!X20),IF(X$134=1,INDEX(Vol_V,9,X$133)/12*(1+V_dVol),0))</f>
        <v>0</v>
      </c>
      <c r="Y148" s="34" t="n">
        <f aca="false">IF(Y$8=1,N(Reales!Y20),IF(Y$134=1,INDEX(Vol_V,9,Y$133)/12*(1+V_dVol),0))</f>
        <v>0</v>
      </c>
      <c r="Z148" s="34" t="n">
        <f aca="false">IF(Z$8=1,N(Reales!Z20),IF(Z$134=1,INDEX(Vol_V,9,Z$133)/12*(1+V_dVol),0))</f>
        <v>0</v>
      </c>
      <c r="AA148" s="34" t="n">
        <f aca="false">IF(AA$8=1,N(Reales!AA20),IF(AA$134=1,INDEX(Vol_V,9,AA$133)/12*(1+V_dVol),0))</f>
        <v>0</v>
      </c>
      <c r="AB148" s="34" t="n">
        <f aca="false">IF(AB$8=1,N(Reales!AB20),IF(AB$134=1,INDEX(Vol_V,9,AB$133)/12*(1+V_dVol),0))</f>
        <v>0</v>
      </c>
      <c r="AC148" s="34" t="n">
        <f aca="false">IF(AC$8=1,N(Reales!AC20),IF(AC$134=1,INDEX(Vol_V,9,AC$133)/12*(1+V_dVol),0))</f>
        <v>0</v>
      </c>
      <c r="AD148" s="34" t="n">
        <f aca="false">IF(AD$8=1,N(Reales!AD20),IF(AD$134=1,INDEX(Vol_V,9,AD$133)/12*(1+V_dVol),0))</f>
        <v>0</v>
      </c>
      <c r="AE148" s="34" t="n">
        <f aca="false">IF(AE$8=1,N(Reales!AE20),IF(AE$134=1,INDEX(Vol_V,9,AE$133)/12*(1+V_dVol),0))</f>
        <v>0</v>
      </c>
      <c r="AF148" s="34" t="n">
        <f aca="false">IF(AF$8=1,N(Reales!AF20),IF(AF$134=1,INDEX(Vol_V,9,AF$133)/12*(1+V_dVol),0))</f>
        <v>0</v>
      </c>
      <c r="AG148" s="34" t="n">
        <f aca="false">IF(AG$8=1,N(Reales!AG20),IF(AG$134=1,INDEX(Vol_V,9,AG$133)/12*(1+V_dVol),0))</f>
        <v>0</v>
      </c>
      <c r="AH148" s="34" t="n">
        <f aca="false">IF(AH$8=1,N(Reales!AH20),IF(AH$134=1,INDEX(Vol_V,9,AH$133)/12*(1+V_dVol),0))</f>
        <v>0</v>
      </c>
      <c r="AI148" s="34" t="n">
        <f aca="false">IF(AI$8=1,N(Reales!AI20),IF(AI$134=1,INDEX(Vol_V,9,AI$133)/12*(1+V_dVol),0))</f>
        <v>0</v>
      </c>
      <c r="AJ148" s="34" t="n">
        <f aca="false">IF(AJ$8=1,N(Reales!AJ20),IF(AJ$134=1,INDEX(Vol_V,9,AJ$133)/12*(1+V_dVol),0))</f>
        <v>0</v>
      </c>
      <c r="AK148" s="34" t="n">
        <f aca="false">IF(AK$8=1,N(Reales!AK20),IF(AK$134=1,INDEX(Vol_V,9,AK$133)/12*(1+V_dVol),0))</f>
        <v>0</v>
      </c>
      <c r="AL148" s="34" t="n">
        <f aca="false">IF(AL$8=1,N(Reales!AL20),IF(AL$134=1,INDEX(Vol_V,9,AL$133)/12*(1+V_dVol),0))</f>
        <v>0</v>
      </c>
      <c r="AM148" s="34" t="n">
        <f aca="false">IF(AM$8=1,N(Reales!AM20),IF(AM$134=1,INDEX(Vol_V,9,AM$133)/12*(1+V_dVol),0))</f>
        <v>0</v>
      </c>
      <c r="AN148" s="34" t="n">
        <f aca="false">IF(AN$8=1,N(Reales!AN20),IF(AN$134=1,INDEX(Vol_V,9,AN$133)/12*(1+V_dVol),0))</f>
        <v>0</v>
      </c>
      <c r="AO148" s="34" t="n">
        <f aca="false">IF(AO$8=1,N(Reales!AO20),IF(AO$134=1,INDEX(Vol_V,9,AO$133)/12*(1+V_dVol),0))</f>
        <v>0</v>
      </c>
      <c r="AP148" s="34" t="n">
        <f aca="false">IF(AP$8=1,N(Reales!AP20),IF(AP$134=1,INDEX(Vol_V,9,AP$133)/12*(1+V_dVol),0))</f>
        <v>0</v>
      </c>
      <c r="AQ148" s="34" t="n">
        <f aca="false">IF(AQ$8=1,N(Reales!AQ20),IF(AQ$134=1,INDEX(Vol_V,9,AQ$133)/12*(1+V_dVol),0))</f>
        <v>0</v>
      </c>
      <c r="AR148" s="34" t="n">
        <f aca="false">IF(AR$8=1,N(Reales!AR20),IF(AR$134=1,INDEX(Vol_V,9,AR$133)/12*(1+V_dVol),0))</f>
        <v>0</v>
      </c>
      <c r="AS148" s="34" t="n">
        <f aca="false">IF(AS$8=1,N(Reales!AS20),IF(AS$134=1,INDEX(Vol_V,9,AS$133)/12*(1+V_dVol),0))</f>
        <v>0</v>
      </c>
      <c r="AT148" s="34" t="n">
        <f aca="false">IF(AT$8=1,N(Reales!AT20),IF(AT$134=1,INDEX(Vol_V,9,AT$133)/12*(1+V_dVol),0))</f>
        <v>0</v>
      </c>
      <c r="AU148" s="34" t="n">
        <f aca="false">IF(AU$8=1,N(Reales!AU20),IF(AU$134=1,INDEX(Vol_V,9,AU$133)/12*(1+V_dVol),0))</f>
        <v>0</v>
      </c>
      <c r="AV148" s="34" t="n">
        <f aca="false">IF(AV$8=1,N(Reales!AV20),IF(AV$134=1,INDEX(Vol_V,9,AV$133)/12*(1+V_dVol),0))</f>
        <v>0</v>
      </c>
      <c r="AW148" s="34" t="n">
        <f aca="false">IF(AW$8=1,N(Reales!AW20),IF(AW$134=1,INDEX(Vol_V,9,AW$133)/12*(1+V_dVol),0))</f>
        <v>0</v>
      </c>
      <c r="AX148" s="34" t="n">
        <f aca="false">IF(AX$8=1,N(Reales!AX20),IF(AX$134=1,INDEX(Vol_V,9,AX$133)/12*(1+V_dVol),0))</f>
        <v>0</v>
      </c>
      <c r="AY148" s="34" t="n">
        <f aca="false">IF(AY$8=1,N(Reales!AY20),IF(AY$134=1,INDEX(Vol_V,9,AY$133)/12*(1+V_dVol),0))</f>
        <v>0</v>
      </c>
      <c r="AZ148" s="34" t="n">
        <f aca="false">IF(AZ$8=1,N(Reales!AZ20),IF(AZ$134=1,INDEX(Vol_V,9,AZ$133)/12*(1+V_dVol),0))</f>
        <v>0</v>
      </c>
      <c r="BA148" s="34" t="n">
        <f aca="false">IF(BA$8=1,N(Reales!BA20),IF(BA$134=1,INDEX(Vol_V,9,BA$133)/12*(1+V_dVol),0))</f>
        <v>0</v>
      </c>
      <c r="BB148" s="34" t="n">
        <f aca="false">IF(BB$8=1,N(Reales!BB20),IF(BB$134=1,INDEX(Vol_V,9,BB$133)/12*(1+V_dVol),0))</f>
        <v>0</v>
      </c>
      <c r="BC148" s="34" t="n">
        <f aca="false">IF(BC$8=1,N(Reales!BC20),IF(BC$134=1,INDEX(Vol_V,9,BC$133)/12*(1+V_dVol),0))</f>
        <v>0</v>
      </c>
      <c r="BD148" s="34" t="n">
        <f aca="false">IF(BD$8=1,N(Reales!BD20),IF(BD$134=1,INDEX(Vol_V,9,BD$133)/12*(1+V_dVol),0))</f>
        <v>0</v>
      </c>
      <c r="BE148" s="34" t="n">
        <f aca="false">IF(BE$8=1,N(Reales!BE20),IF(BE$134=1,INDEX(Vol_V,9,BE$133)/12*(1+V_dVol),0))</f>
        <v>0</v>
      </c>
      <c r="BF148" s="34" t="n">
        <f aca="false">IF(BF$8=1,N(Reales!BF20),IF(BF$134=1,INDEX(Vol_V,9,BF$133)/12*(1+V_dVol),0))</f>
        <v>0</v>
      </c>
      <c r="BG148" s="34" t="n">
        <f aca="false">IF(BG$8=1,N(Reales!BG20),IF(BG$134=1,INDEX(Vol_V,9,BG$133)/12*(1+V_dVol),0))</f>
        <v>0</v>
      </c>
      <c r="BH148" s="34" t="n">
        <f aca="false">IF(BH$8=1,N(Reales!BH20),IF(BH$134=1,INDEX(Vol_V,9,BH$133)/12*(1+V_dVol),0))</f>
        <v>0</v>
      </c>
      <c r="BI148" s="34" t="n">
        <f aca="false">IF(BI$8=1,N(Reales!BI20),IF(BI$134=1,INDEX(Vol_V,9,BI$133)/12*(1+V_dVol),0))</f>
        <v>0</v>
      </c>
      <c r="BJ148" s="34" t="n">
        <f aca="false">IF(BJ$8=1,N(Reales!BJ20),IF(BJ$134=1,INDEX(Vol_V,9,BJ$133)/12*(1+V_dVol),0))</f>
        <v>0</v>
      </c>
      <c r="BK148" s="34" t="n">
        <f aca="false">IF(BK$8=1,N(Reales!BK20),IF(BK$134=1,INDEX(Vol_V,9,BK$133)/12*(1+V_dVol),0))</f>
        <v>0</v>
      </c>
      <c r="BL148" s="34" t="n">
        <f aca="false">IF(BL$8=1,N(Reales!BL20),IF(BL$134=1,INDEX(Vol_V,9,BL$133)/12*(1+V_dVol),0))</f>
        <v>0</v>
      </c>
      <c r="BM148" s="34" t="n">
        <f aca="false">IF(BM$8=1,N(Reales!BM20),IF(BM$134=1,INDEX(Vol_V,9,BM$133)/12*(1+V_dVol),0))</f>
        <v>0</v>
      </c>
      <c r="BN148" s="34" t="n">
        <f aca="false">IF(BN$8=1,N(Reales!BN20),IF(BN$134=1,INDEX(Vol_V,9,BN$133)/12*(1+V_dVol),0))</f>
        <v>0</v>
      </c>
      <c r="BO148" s="34" t="n">
        <f aca="false">IF(BO$8=1,N(Reales!BO20),IF(BO$134=1,INDEX(Vol_V,9,BO$133)/12*(1+V_dVol),0))</f>
        <v>0</v>
      </c>
      <c r="BP148" s="34" t="n">
        <f aca="false">IF(BP$8=1,N(Reales!BP20),IF(BP$134=1,INDEX(Vol_V,9,BP$133)/12*(1+V_dVol),0))</f>
        <v>0</v>
      </c>
      <c r="BQ148" s="34" t="n">
        <f aca="false">IF(BQ$8=1,N(Reales!BQ20),IF(BQ$134=1,INDEX(Vol_V,9,BQ$133)/12*(1+V_dVol),0))</f>
        <v>0</v>
      </c>
      <c r="BR148" s="34" t="n">
        <f aca="false">IF(BR$8=1,N(Reales!BR20),IF(BR$134=1,INDEX(Vol_V,9,BR$133)/12*(1+V_dVol),0))</f>
        <v>0</v>
      </c>
      <c r="BS148" s="34" t="n">
        <f aca="false">IF(BS$8=1,N(Reales!BS20),IF(BS$134=1,INDEX(Vol_V,9,BS$133)/12*(1+V_dVol),0))</f>
        <v>0</v>
      </c>
      <c r="BT148" s="34" t="n">
        <f aca="false">IF(BT$8=1,N(Reales!BT20),IF(BT$134=1,INDEX(Vol_V,9,BT$133)/12*(1+V_dVol),0))</f>
        <v>0</v>
      </c>
      <c r="BU148" s="34" t="n">
        <f aca="false">IF(BU$8=1,N(Reales!BU20),IF(BU$134=1,INDEX(Vol_V,9,BU$133)/12*(1+V_dVol),0))</f>
        <v>0</v>
      </c>
      <c r="BV148" s="34" t="n">
        <f aca="false">IF(BV$8=1,N(Reales!BV20),IF(BV$134=1,INDEX(Vol_V,9,BV$133)/12*(1+V_dVol),0))</f>
        <v>0</v>
      </c>
      <c r="BW148" s="34" t="n">
        <f aca="false">IF(BW$8=1,N(Reales!BW20),IF(BW$134=1,INDEX(Vol_V,9,BW$133)/12*(1+V_dVol),0))</f>
        <v>0</v>
      </c>
      <c r="BX148" s="34" t="n">
        <f aca="false">IF(BX$8=1,N(Reales!BX20),IF(BX$134=1,INDEX(Vol_V,9,BX$133)/12*(1+V_dVol),0))</f>
        <v>0</v>
      </c>
      <c r="BY148" s="34" t="n">
        <f aca="false">IF(BY$8=1,N(Reales!BY20),IF(BY$134=1,INDEX(Vol_V,9,BY$133)/12*(1+V_dVol),0))</f>
        <v>0</v>
      </c>
      <c r="BZ148" s="34" t="n">
        <f aca="false">IF(BZ$8=1,N(Reales!BZ20),IF(BZ$134=1,INDEX(Vol_V,9,BZ$133)/12*(1+V_dVol),0))</f>
        <v>0</v>
      </c>
      <c r="CA148" s="34" t="n">
        <f aca="false">IF(CA$8=1,N(Reales!CA20),IF(CA$134=1,INDEX(Vol_V,9,CA$133)/12*(1+V_dVol),0))</f>
        <v>0</v>
      </c>
      <c r="CB148" s="34" t="n">
        <f aca="false">IF(CB$8=1,N(Reales!CB20),IF(CB$134=1,INDEX(Vol_V,9,CB$133)/12*(1+V_dVol),0))</f>
        <v>0</v>
      </c>
      <c r="CC148" s="34" t="n">
        <f aca="false">IF(CC$8=1,N(Reales!CC20),IF(CC$134=1,INDEX(Vol_V,9,CC$133)/12*(1+V_dVol),0))</f>
        <v>0</v>
      </c>
      <c r="CD148" s="34" t="n">
        <f aca="false">IF(CD$8=1,N(Reales!CD20),IF(CD$134=1,INDEX(Vol_V,9,CD$133)/12*(1+V_dVol),0))</f>
        <v>0</v>
      </c>
      <c r="CE148" s="34" t="n">
        <f aca="false">IF(CE$8=1,N(Reales!CE20),IF(CE$134=1,INDEX(Vol_V,9,CE$133)/12*(1+V_dVol),0))</f>
        <v>0</v>
      </c>
      <c r="CF148" s="34" t="n">
        <f aca="false">IF(CF$8=1,N(Reales!CF20),IF(CF$134=1,INDEX(Vol_V,9,CF$133)/12*(1+V_dVol),0))</f>
        <v>0</v>
      </c>
      <c r="CG148" s="34" t="n">
        <f aca="false">IF(CG$8=1,N(Reales!CG20),IF(CG$134=1,INDEX(Vol_V,9,CG$133)/12*(1+V_dVol),0))</f>
        <v>0</v>
      </c>
      <c r="CH148" s="34" t="n">
        <f aca="false">IF(CH$8=1,N(Reales!CH20),IF(CH$134=1,INDEX(Vol_V,9,CH$133)/12*(1+V_dVol),0))</f>
        <v>0</v>
      </c>
      <c r="CI148" s="34" t="n">
        <f aca="false">IF(CI$8=1,N(Reales!CI20),IF(CI$134=1,INDEX(Vol_V,9,CI$133)/12*(1+V_dVol),0))</f>
        <v>0</v>
      </c>
      <c r="CJ148" s="34" t="n">
        <f aca="false">IF(CJ$8=1,N(Reales!CJ20),IF(CJ$134=1,INDEX(Vol_V,9,CJ$133)/12*(1+V_dVol),0))</f>
        <v>0</v>
      </c>
      <c r="CK148" s="34" t="n">
        <f aca="false">IF(CK$8=1,N(Reales!CK20),IF(CK$134=1,INDEX(Vol_V,9,CK$133)/12*(1+V_dVol),0))</f>
        <v>0</v>
      </c>
      <c r="CL148" s="34" t="n">
        <f aca="false">IF(CL$8=1,N(Reales!CL20),IF(CL$134=1,INDEX(Vol_V,9,CL$133)/12*(1+V_dVol),0))</f>
        <v>0</v>
      </c>
      <c r="CM148" s="34" t="n">
        <f aca="false">IF(CM$8=1,N(Reales!CM20),IF(CM$134=1,INDEX(Vol_V,9,CM$133)/12*(1+V_dVol),0))</f>
        <v>0</v>
      </c>
      <c r="CN148" s="34" t="n">
        <f aca="false">IF(CN$8=1,N(Reales!CN20),IF(CN$134=1,INDEX(Vol_V,9,CN$133)/12*(1+V_dVol),0))</f>
        <v>0</v>
      </c>
      <c r="CO148" s="34" t="n">
        <f aca="false">IF(CO$8=1,N(Reales!CO20),IF(CO$134=1,INDEX(Vol_V,9,CO$133)/12*(1+V_dVol),0))</f>
        <v>0</v>
      </c>
      <c r="CP148" s="34" t="n">
        <f aca="false">IF(CP$8=1,N(Reales!CP20),IF(CP$134=1,INDEX(Vol_V,9,CP$133)/12*(1+V_dVol),0))</f>
        <v>0</v>
      </c>
      <c r="CQ148" s="34" t="n">
        <f aca="false">IF(CQ$8=1,N(Reales!CQ20),IF(CQ$134=1,INDEX(Vol_V,9,CQ$133)/12*(1+V_dVol),0))</f>
        <v>0</v>
      </c>
      <c r="CR148" s="34" t="n">
        <f aca="false">IF(CR$8=1,N(Reales!CR20),IF(CR$134=1,INDEX(Vol_V,9,CR$133)/12*(1+V_dVol),0))</f>
        <v>0</v>
      </c>
      <c r="CS148" s="34" t="n">
        <f aca="false">IF(CS$8=1,N(Reales!CS20),IF(CS$134=1,INDEX(Vol_V,9,CS$133)/12*(1+V_dVol),0))</f>
        <v>0</v>
      </c>
      <c r="CT148" s="34" t="n">
        <f aca="false">IF(CT$8=1,N(Reales!CT20),IF(CT$134=1,INDEX(Vol_V,9,CT$133)/12*(1+V_dVol),0))</f>
        <v>0</v>
      </c>
      <c r="CU148" s="34" t="n">
        <f aca="false">IF(CU$8=1,N(Reales!CU20),IF(CU$134=1,INDEX(Vol_V,9,CU$133)/12*(1+V_dVol),0))</f>
        <v>0</v>
      </c>
      <c r="CV148" s="34" t="n">
        <f aca="false">IF(CV$8=1,N(Reales!CV20),IF(CV$134=1,INDEX(Vol_V,9,CV$133)/12*(1+V_dVol),0))</f>
        <v>0</v>
      </c>
      <c r="CW148" s="34" t="n">
        <f aca="false">IF(CW$8=1,N(Reales!CW20),IF(CW$134=1,INDEX(Vol_V,9,CW$133)/12*(1+V_dVol),0))</f>
        <v>0</v>
      </c>
      <c r="CX148" s="34" t="n">
        <f aca="false">IF(CX$8=1,N(Reales!CX20),IF(CX$134=1,INDEX(Vol_V,9,CX$133)/12*(1+V_dVol),0))</f>
        <v>0</v>
      </c>
      <c r="CY148" s="34" t="n">
        <f aca="false">IF(CY$8=1,N(Reales!CY20),IF(CY$134=1,INDEX(Vol_V,9,CY$133)/12*(1+V_dVol),0))</f>
        <v>0</v>
      </c>
      <c r="CZ148" s="34" t="n">
        <f aca="false">IF(CZ$8=1,N(Reales!CZ20),IF(CZ$134=1,INDEX(Vol_V,9,CZ$133)/12*(1+V_dVol),0))</f>
        <v>0</v>
      </c>
      <c r="DA148" s="34" t="n">
        <f aca="false">IF(DA$8=1,N(Reales!DA20),IF(DA$134=1,INDEX(Vol_V,9,DA$133)/12*(1+V_dVol),0))</f>
        <v>0</v>
      </c>
      <c r="DB148" s="34" t="n">
        <f aca="false">IF(DB$8=1,N(Reales!DB20),IF(DB$134=1,INDEX(Vol_V,9,DB$133)/12*(1+V_dVol),0))</f>
        <v>0</v>
      </c>
      <c r="DC148" s="34" t="n">
        <f aca="false">IF(DC$8=1,N(Reales!DC20),IF(DC$134=1,INDEX(Vol_V,9,DC$133)/12*(1+V_dVol),0))</f>
        <v>0</v>
      </c>
      <c r="DD148" s="34" t="n">
        <f aca="false">IF(DD$8=1,N(Reales!DD20),IF(DD$134=1,INDEX(Vol_V,9,DD$133)/12*(1+V_dVol),0))</f>
        <v>0</v>
      </c>
      <c r="DE148" s="34" t="n">
        <f aca="false">IF(DE$8=1,N(Reales!DE20),IF(DE$134=1,INDEX(Vol_V,9,DE$133)/12*(1+V_dVol),0))</f>
        <v>0</v>
      </c>
      <c r="DF148" s="34" t="n">
        <f aca="false">IF(DF$8=1,N(Reales!DF20),IF(DF$134=1,INDEX(Vol_V,9,DF$133)/12*(1+V_dVol),0))</f>
        <v>0</v>
      </c>
      <c r="DG148" s="34" t="n">
        <f aca="false">IF(DG$8=1,N(Reales!DG20),IF(DG$134=1,INDEX(Vol_V,9,DG$133)/12*(1+V_dVol),0))</f>
        <v>0</v>
      </c>
      <c r="DH148" s="34" t="n">
        <f aca="false">IF(DH$8=1,N(Reales!DH20),IF(DH$134=1,INDEX(Vol_V,9,DH$133)/12*(1+V_dVol),0))</f>
        <v>0</v>
      </c>
      <c r="DI148" s="34" t="n">
        <f aca="false">IF(DI$8=1,N(Reales!DI20),IF(DI$134=1,INDEX(Vol_V,9,DI$133)/12*(1+V_dVol),0))</f>
        <v>0</v>
      </c>
      <c r="DJ148" s="34" t="n">
        <f aca="false">IF(DJ$8=1,N(Reales!DJ20),IF(DJ$134=1,INDEX(Vol_V,9,DJ$133)/12*(1+V_dVol),0))</f>
        <v>0</v>
      </c>
      <c r="DK148" s="34" t="n">
        <f aca="false">IF(DK$8=1,N(Reales!DK20),IF(DK$134=1,INDEX(Vol_V,9,DK$133)/12*(1+V_dVol),0))</f>
        <v>0</v>
      </c>
      <c r="DL148" s="34" t="n">
        <f aca="false">IF(DL$8=1,N(Reales!DL20),IF(DL$134=1,INDEX(Vol_V,9,DL$133)/12*(1+V_dVol),0))</f>
        <v>0</v>
      </c>
      <c r="DM148" s="34" t="n">
        <f aca="false">IF(DM$8=1,N(Reales!DM20),IF(DM$134=1,INDEX(Vol_V,9,DM$133)/12*(1+V_dVol),0))</f>
        <v>0</v>
      </c>
      <c r="DN148" s="34" t="n">
        <f aca="false">IF(DN$8=1,N(Reales!DN20),IF(DN$134=1,INDEX(Vol_V,9,DN$133)/12*(1+V_dVol),0))</f>
        <v>0</v>
      </c>
      <c r="DO148" s="34" t="n">
        <f aca="false">IF(DO$8=1,N(Reales!DO20),IF(DO$134=1,INDEX(Vol_V,9,DO$133)/12*(1+V_dVol),0))</f>
        <v>0</v>
      </c>
      <c r="DP148" s="34" t="n">
        <f aca="false">IF(DP$8=1,N(Reales!DP20),IF(DP$134=1,INDEX(Vol_V,9,DP$133)/12*(1+V_dVol),0))</f>
        <v>0</v>
      </c>
      <c r="DQ148" s="34" t="n">
        <f aca="false">IF(DQ$8=1,N(Reales!DQ20),IF(DQ$134=1,INDEX(Vol_V,9,DQ$133)/12*(1+V_dVol),0))</f>
        <v>0</v>
      </c>
      <c r="DR148" s="34" t="n">
        <f aca="false">IF(DR$8=1,N(Reales!DR20),IF(DR$134=1,INDEX(Vol_V,9,DR$133)/12*(1+V_dVol),0))</f>
        <v>0</v>
      </c>
      <c r="DS148" s="34" t="n">
        <f aca="false">IF(DS$8=1,N(Reales!DS20),IF(DS$134=1,INDEX(Vol_V,9,DS$133)/12*(1+V_dVol),0))</f>
        <v>0</v>
      </c>
      <c r="DT148" s="34" t="n">
        <f aca="false">IF(DT$8=1,N(Reales!DT20),IF(DT$134=1,INDEX(Vol_V,9,DT$133)/12*(1+V_dVol),0))</f>
        <v>0</v>
      </c>
      <c r="DU148" s="34" t="n">
        <f aca="false">IF(DU$8=1,N(Reales!DU20),IF(DU$134=1,INDEX(Vol_V,9,DU$133)/12*(1+V_dVol),0))</f>
        <v>0</v>
      </c>
      <c r="DV148" s="34" t="n">
        <f aca="false">IF(DV$8=1,N(Reales!DV20),IF(DV$134=1,INDEX(Vol_V,9,DV$133)/12*(1+V_dVol),0))</f>
        <v>0</v>
      </c>
      <c r="DW148" s="34" t="n">
        <f aca="false">IF(DW$8=1,N(Reales!DW20),IF(DW$134=1,INDEX(Vol_V,9,DW$133)/12*(1+V_dVol),0))</f>
        <v>0</v>
      </c>
      <c r="DX148" s="34" t="n">
        <f aca="false">IF(DX$8=1,N(Reales!DX20),IF(DX$134=1,INDEX(Vol_V,9,DX$133)/12*(1+V_dVol),0))</f>
        <v>0</v>
      </c>
      <c r="DY148" s="34" t="n">
        <f aca="false">IF(DY$8=1,N(Reales!DY20),IF(DY$134=1,INDEX(Vol_V,9,DY$133)/12*(1+V_dVol),0))</f>
        <v>0</v>
      </c>
      <c r="DZ148" s="34" t="n">
        <f aca="false">IF(DZ$8=1,N(Reales!DZ20),IF(DZ$134=1,INDEX(Vol_V,9,DZ$133)/12*(1+V_dVol),0))</f>
        <v>0</v>
      </c>
      <c r="EA148" s="34" t="n">
        <f aca="false">IF(EA$8=1,N(Reales!EA20),IF(EA$134=1,INDEX(Vol_V,9,EA$133)/12*(1+V_dVol),0))</f>
        <v>0</v>
      </c>
      <c r="EB148" s="34" t="n">
        <f aca="false">IF(EB$8=1,N(Reales!EB20),IF(EB$134=1,INDEX(Vol_V,9,EB$133)/12*(1+V_dVol),0))</f>
        <v>0</v>
      </c>
      <c r="EC148" s="34" t="n">
        <f aca="false">IF(EC$8=1,N(Reales!EC20),IF(EC$134=1,INDEX(Vol_V,9,EC$133)/12*(1+V_dVol),0))</f>
        <v>0</v>
      </c>
      <c r="ED148" s="34" t="n">
        <f aca="false">IF(ED$8=1,N(Reales!ED20),IF(ED$134=1,INDEX(Vol_V,9,ED$133)/12*(1+V_dVol),0))</f>
        <v>0</v>
      </c>
      <c r="EE148" s="34" t="n">
        <f aca="false">IF(EE$8=1,N(Reales!EE20),IF(EE$134=1,INDEX(Vol_V,9,EE$133)/12*(1+V_dVol),0))</f>
        <v>0</v>
      </c>
      <c r="EF148" s="34" t="n">
        <f aca="false">IF(EF$8=1,N(Reales!EF20),IF(EF$134=1,INDEX(Vol_V,9,EF$133)/12*(1+V_dVol),0))</f>
        <v>0</v>
      </c>
      <c r="EG148" s="34" t="n">
        <f aca="false">IF(EG$8=1,N(Reales!EG20),IF(EG$134=1,INDEX(Vol_V,9,EG$133)/12*(1+V_dVol),0))</f>
        <v>0</v>
      </c>
      <c r="EH148" s="34" t="n">
        <f aca="false">IF(EH$8=1,N(Reales!EH20),IF(EH$134=1,INDEX(Vol_V,9,EH$133)/12*(1+V_dVol),0))</f>
        <v>0</v>
      </c>
      <c r="EI148" s="34" t="n">
        <f aca="false">IF(EI$8=1,N(Reales!EI20),IF(EI$134=1,INDEX(Vol_V,9,EI$133)/12*(1+V_dVol),0))</f>
        <v>0</v>
      </c>
      <c r="EJ148" s="34" t="n">
        <f aca="false">IF(EJ$8=1,N(Reales!EJ20),IF(EJ$134=1,INDEX(Vol_V,9,EJ$133)/12*(1+V_dVol),0))</f>
        <v>0</v>
      </c>
      <c r="EK148" s="34" t="n">
        <f aca="false">IF(EK$8=1,N(Reales!EK20),IF(EK$134=1,INDEX(Vol_V,9,EK$133)/12*(1+V_dVol),0))</f>
        <v>0</v>
      </c>
      <c r="EL148" s="34" t="n">
        <f aca="false">IF(EL$8=1,N(Reales!EL20),IF(EL$134=1,INDEX(Vol_V,9,EL$133)/12*(1+V_dVol),0))</f>
        <v>0</v>
      </c>
      <c r="EM148" s="34" t="n">
        <f aca="false">IF(EM$8=1,N(Reales!EM20),IF(EM$134=1,INDEX(Vol_V,9,EM$133)/12*(1+V_dVol),0))</f>
        <v>0</v>
      </c>
      <c r="EN148" s="34" t="n">
        <f aca="false">IF(EN$8=1,N(Reales!EN20),IF(EN$134=1,INDEX(Vol_V,9,EN$133)/12*(1+V_dVol),0))</f>
        <v>0</v>
      </c>
      <c r="EO148" s="34" t="n">
        <f aca="false">IF(EO$8=1,N(Reales!EO20),IF(EO$134=1,INDEX(Vol_V,9,EO$133)/12*(1+V_dVol),0))</f>
        <v>0</v>
      </c>
      <c r="EP148" s="34" t="n">
        <f aca="false">IF(EP$8=1,N(Reales!EP20),IF(EP$134=1,INDEX(Vol_V,9,EP$133)/12*(1+V_dVol),0))</f>
        <v>0</v>
      </c>
      <c r="EQ148" s="34" t="n">
        <f aca="false">IF(EQ$8=1,N(Reales!EQ20),IF(EQ$134=1,INDEX(Vol_V,9,EQ$133)/12*(1+V_dVol),0))</f>
        <v>0</v>
      </c>
      <c r="ER148" s="34" t="n">
        <f aca="false">IF(ER$8=1,N(Reales!ER20),IF(ER$134=1,INDEX(Vol_V,9,ER$133)/12*(1+V_dVol),0))</f>
        <v>0</v>
      </c>
      <c r="ES148" s="34" t="n">
        <f aca="false">IF(ES$8=1,N(Reales!ES20),IF(ES$134=1,INDEX(Vol_V,9,ES$133)/12*(1+V_dVol),0))</f>
        <v>0</v>
      </c>
    </row>
    <row r="149" customFormat="false" ht="15" hidden="false" customHeight="false" outlineLevel="0" collapsed="false">
      <c r="A149" s="2" t="s">
        <v>628</v>
      </c>
      <c r="B149" s="39" t="str">
        <f aca="false">IF(INDEX(Prod_Nombre,10)="","Producto 10",INDEX(Prod_Nombre,10))&amp;" — unidades"</f>
        <v>Producto 10 — unidades</v>
      </c>
      <c r="C149" s="6" t="s">
        <v>337</v>
      </c>
      <c r="E149" s="40" t="n">
        <f aca="false">SUM(F149:ES149)</f>
        <v>0</v>
      </c>
      <c r="F149" s="34" t="n">
        <f aca="false">IF(F$8=1,N(Reales!F21),IF(F$134=1,INDEX(Vol_V,10,F$133)/12*(1+V_dVol),0))</f>
        <v>0</v>
      </c>
      <c r="G149" s="34" t="n">
        <f aca="false">IF(G$8=1,N(Reales!G21),IF(G$134=1,INDEX(Vol_V,10,G$133)/12*(1+V_dVol),0))</f>
        <v>0</v>
      </c>
      <c r="H149" s="34" t="n">
        <f aca="false">IF(H$8=1,N(Reales!H21),IF(H$134=1,INDEX(Vol_V,10,H$133)/12*(1+V_dVol),0))</f>
        <v>0</v>
      </c>
      <c r="I149" s="34" t="n">
        <f aca="false">IF(I$8=1,N(Reales!I21),IF(I$134=1,INDEX(Vol_V,10,I$133)/12*(1+V_dVol),0))</f>
        <v>0</v>
      </c>
      <c r="J149" s="34" t="n">
        <f aca="false">IF(J$8=1,N(Reales!J21),IF(J$134=1,INDEX(Vol_V,10,J$133)/12*(1+V_dVol),0))</f>
        <v>0</v>
      </c>
      <c r="K149" s="34" t="n">
        <f aca="false">IF(K$8=1,N(Reales!K21),IF(K$134=1,INDEX(Vol_V,10,K$133)/12*(1+V_dVol),0))</f>
        <v>0</v>
      </c>
      <c r="L149" s="34" t="n">
        <f aca="false">IF(L$8=1,N(Reales!L21),IF(L$134=1,INDEX(Vol_V,10,L$133)/12*(1+V_dVol),0))</f>
        <v>0</v>
      </c>
      <c r="M149" s="34" t="n">
        <f aca="false">IF(M$8=1,N(Reales!M21),IF(M$134=1,INDEX(Vol_V,10,M$133)/12*(1+V_dVol),0))</f>
        <v>0</v>
      </c>
      <c r="N149" s="34" t="n">
        <f aca="false">IF(N$8=1,N(Reales!N21),IF(N$134=1,INDEX(Vol_V,10,N$133)/12*(1+V_dVol),0))</f>
        <v>0</v>
      </c>
      <c r="O149" s="34" t="n">
        <f aca="false">IF(O$8=1,N(Reales!O21),IF(O$134=1,INDEX(Vol_V,10,O$133)/12*(1+V_dVol),0))</f>
        <v>0</v>
      </c>
      <c r="P149" s="34" t="n">
        <f aca="false">IF(P$8=1,N(Reales!P21),IF(P$134=1,INDEX(Vol_V,10,P$133)/12*(1+V_dVol),0))</f>
        <v>0</v>
      </c>
      <c r="Q149" s="34" t="n">
        <f aca="false">IF(Q$8=1,N(Reales!Q21),IF(Q$134=1,INDEX(Vol_V,10,Q$133)/12*(1+V_dVol),0))</f>
        <v>0</v>
      </c>
      <c r="R149" s="34" t="n">
        <f aca="false">IF(R$8=1,N(Reales!R21),IF(R$134=1,INDEX(Vol_V,10,R$133)/12*(1+V_dVol),0))</f>
        <v>0</v>
      </c>
      <c r="S149" s="34" t="n">
        <f aca="false">IF(S$8=1,N(Reales!S21),IF(S$134=1,INDEX(Vol_V,10,S$133)/12*(1+V_dVol),0))</f>
        <v>0</v>
      </c>
      <c r="T149" s="34" t="n">
        <f aca="false">IF(T$8=1,N(Reales!T21),IF(T$134=1,INDEX(Vol_V,10,T$133)/12*(1+V_dVol),0))</f>
        <v>0</v>
      </c>
      <c r="U149" s="34" t="n">
        <f aca="false">IF(U$8=1,N(Reales!U21),IF(U$134=1,INDEX(Vol_V,10,U$133)/12*(1+V_dVol),0))</f>
        <v>0</v>
      </c>
      <c r="V149" s="34" t="n">
        <f aca="false">IF(V$8=1,N(Reales!V21),IF(V$134=1,INDEX(Vol_V,10,V$133)/12*(1+V_dVol),0))</f>
        <v>0</v>
      </c>
      <c r="W149" s="34" t="n">
        <f aca="false">IF(W$8=1,N(Reales!W21),IF(W$134=1,INDEX(Vol_V,10,W$133)/12*(1+V_dVol),0))</f>
        <v>0</v>
      </c>
      <c r="X149" s="34" t="n">
        <f aca="false">IF(X$8=1,N(Reales!X21),IF(X$134=1,INDEX(Vol_V,10,X$133)/12*(1+V_dVol),0))</f>
        <v>0</v>
      </c>
      <c r="Y149" s="34" t="n">
        <f aca="false">IF(Y$8=1,N(Reales!Y21),IF(Y$134=1,INDEX(Vol_V,10,Y$133)/12*(1+V_dVol),0))</f>
        <v>0</v>
      </c>
      <c r="Z149" s="34" t="n">
        <f aca="false">IF(Z$8=1,N(Reales!Z21),IF(Z$134=1,INDEX(Vol_V,10,Z$133)/12*(1+V_dVol),0))</f>
        <v>0</v>
      </c>
      <c r="AA149" s="34" t="n">
        <f aca="false">IF(AA$8=1,N(Reales!AA21),IF(AA$134=1,INDEX(Vol_V,10,AA$133)/12*(1+V_dVol),0))</f>
        <v>0</v>
      </c>
      <c r="AB149" s="34" t="n">
        <f aca="false">IF(AB$8=1,N(Reales!AB21),IF(AB$134=1,INDEX(Vol_V,10,AB$133)/12*(1+V_dVol),0))</f>
        <v>0</v>
      </c>
      <c r="AC149" s="34" t="n">
        <f aca="false">IF(AC$8=1,N(Reales!AC21),IF(AC$134=1,INDEX(Vol_V,10,AC$133)/12*(1+V_dVol),0))</f>
        <v>0</v>
      </c>
      <c r="AD149" s="34" t="n">
        <f aca="false">IF(AD$8=1,N(Reales!AD21),IF(AD$134=1,INDEX(Vol_V,10,AD$133)/12*(1+V_dVol),0))</f>
        <v>0</v>
      </c>
      <c r="AE149" s="34" t="n">
        <f aca="false">IF(AE$8=1,N(Reales!AE21),IF(AE$134=1,INDEX(Vol_V,10,AE$133)/12*(1+V_dVol),0))</f>
        <v>0</v>
      </c>
      <c r="AF149" s="34" t="n">
        <f aca="false">IF(AF$8=1,N(Reales!AF21),IF(AF$134=1,INDEX(Vol_V,10,AF$133)/12*(1+V_dVol),0))</f>
        <v>0</v>
      </c>
      <c r="AG149" s="34" t="n">
        <f aca="false">IF(AG$8=1,N(Reales!AG21),IF(AG$134=1,INDEX(Vol_V,10,AG$133)/12*(1+V_dVol),0))</f>
        <v>0</v>
      </c>
      <c r="AH149" s="34" t="n">
        <f aca="false">IF(AH$8=1,N(Reales!AH21),IF(AH$134=1,INDEX(Vol_V,10,AH$133)/12*(1+V_dVol),0))</f>
        <v>0</v>
      </c>
      <c r="AI149" s="34" t="n">
        <f aca="false">IF(AI$8=1,N(Reales!AI21),IF(AI$134=1,INDEX(Vol_V,10,AI$133)/12*(1+V_dVol),0))</f>
        <v>0</v>
      </c>
      <c r="AJ149" s="34" t="n">
        <f aca="false">IF(AJ$8=1,N(Reales!AJ21),IF(AJ$134=1,INDEX(Vol_V,10,AJ$133)/12*(1+V_dVol),0))</f>
        <v>0</v>
      </c>
      <c r="AK149" s="34" t="n">
        <f aca="false">IF(AK$8=1,N(Reales!AK21),IF(AK$134=1,INDEX(Vol_V,10,AK$133)/12*(1+V_dVol),0))</f>
        <v>0</v>
      </c>
      <c r="AL149" s="34" t="n">
        <f aca="false">IF(AL$8=1,N(Reales!AL21),IF(AL$134=1,INDEX(Vol_V,10,AL$133)/12*(1+V_dVol),0))</f>
        <v>0</v>
      </c>
      <c r="AM149" s="34" t="n">
        <f aca="false">IF(AM$8=1,N(Reales!AM21),IF(AM$134=1,INDEX(Vol_V,10,AM$133)/12*(1+V_dVol),0))</f>
        <v>0</v>
      </c>
      <c r="AN149" s="34" t="n">
        <f aca="false">IF(AN$8=1,N(Reales!AN21),IF(AN$134=1,INDEX(Vol_V,10,AN$133)/12*(1+V_dVol),0))</f>
        <v>0</v>
      </c>
      <c r="AO149" s="34" t="n">
        <f aca="false">IF(AO$8=1,N(Reales!AO21),IF(AO$134=1,INDEX(Vol_V,10,AO$133)/12*(1+V_dVol),0))</f>
        <v>0</v>
      </c>
      <c r="AP149" s="34" t="n">
        <f aca="false">IF(AP$8=1,N(Reales!AP21),IF(AP$134=1,INDEX(Vol_V,10,AP$133)/12*(1+V_dVol),0))</f>
        <v>0</v>
      </c>
      <c r="AQ149" s="34" t="n">
        <f aca="false">IF(AQ$8=1,N(Reales!AQ21),IF(AQ$134=1,INDEX(Vol_V,10,AQ$133)/12*(1+V_dVol),0))</f>
        <v>0</v>
      </c>
      <c r="AR149" s="34" t="n">
        <f aca="false">IF(AR$8=1,N(Reales!AR21),IF(AR$134=1,INDEX(Vol_V,10,AR$133)/12*(1+V_dVol),0))</f>
        <v>0</v>
      </c>
      <c r="AS149" s="34" t="n">
        <f aca="false">IF(AS$8=1,N(Reales!AS21),IF(AS$134=1,INDEX(Vol_V,10,AS$133)/12*(1+V_dVol),0))</f>
        <v>0</v>
      </c>
      <c r="AT149" s="34" t="n">
        <f aca="false">IF(AT$8=1,N(Reales!AT21),IF(AT$134=1,INDEX(Vol_V,10,AT$133)/12*(1+V_dVol),0))</f>
        <v>0</v>
      </c>
      <c r="AU149" s="34" t="n">
        <f aca="false">IF(AU$8=1,N(Reales!AU21),IF(AU$134=1,INDEX(Vol_V,10,AU$133)/12*(1+V_dVol),0))</f>
        <v>0</v>
      </c>
      <c r="AV149" s="34" t="n">
        <f aca="false">IF(AV$8=1,N(Reales!AV21),IF(AV$134=1,INDEX(Vol_V,10,AV$133)/12*(1+V_dVol),0))</f>
        <v>0</v>
      </c>
      <c r="AW149" s="34" t="n">
        <f aca="false">IF(AW$8=1,N(Reales!AW21),IF(AW$134=1,INDEX(Vol_V,10,AW$133)/12*(1+V_dVol),0))</f>
        <v>0</v>
      </c>
      <c r="AX149" s="34" t="n">
        <f aca="false">IF(AX$8=1,N(Reales!AX21),IF(AX$134=1,INDEX(Vol_V,10,AX$133)/12*(1+V_dVol),0))</f>
        <v>0</v>
      </c>
      <c r="AY149" s="34" t="n">
        <f aca="false">IF(AY$8=1,N(Reales!AY21),IF(AY$134=1,INDEX(Vol_V,10,AY$133)/12*(1+V_dVol),0))</f>
        <v>0</v>
      </c>
      <c r="AZ149" s="34" t="n">
        <f aca="false">IF(AZ$8=1,N(Reales!AZ21),IF(AZ$134=1,INDEX(Vol_V,10,AZ$133)/12*(1+V_dVol),0))</f>
        <v>0</v>
      </c>
      <c r="BA149" s="34" t="n">
        <f aca="false">IF(BA$8=1,N(Reales!BA21),IF(BA$134=1,INDEX(Vol_V,10,BA$133)/12*(1+V_dVol),0))</f>
        <v>0</v>
      </c>
      <c r="BB149" s="34" t="n">
        <f aca="false">IF(BB$8=1,N(Reales!BB21),IF(BB$134=1,INDEX(Vol_V,10,BB$133)/12*(1+V_dVol),0))</f>
        <v>0</v>
      </c>
      <c r="BC149" s="34" t="n">
        <f aca="false">IF(BC$8=1,N(Reales!BC21),IF(BC$134=1,INDEX(Vol_V,10,BC$133)/12*(1+V_dVol),0))</f>
        <v>0</v>
      </c>
      <c r="BD149" s="34" t="n">
        <f aca="false">IF(BD$8=1,N(Reales!BD21),IF(BD$134=1,INDEX(Vol_V,10,BD$133)/12*(1+V_dVol),0))</f>
        <v>0</v>
      </c>
      <c r="BE149" s="34" t="n">
        <f aca="false">IF(BE$8=1,N(Reales!BE21),IF(BE$134=1,INDEX(Vol_V,10,BE$133)/12*(1+V_dVol),0))</f>
        <v>0</v>
      </c>
      <c r="BF149" s="34" t="n">
        <f aca="false">IF(BF$8=1,N(Reales!BF21),IF(BF$134=1,INDEX(Vol_V,10,BF$133)/12*(1+V_dVol),0))</f>
        <v>0</v>
      </c>
      <c r="BG149" s="34" t="n">
        <f aca="false">IF(BG$8=1,N(Reales!BG21),IF(BG$134=1,INDEX(Vol_V,10,BG$133)/12*(1+V_dVol),0))</f>
        <v>0</v>
      </c>
      <c r="BH149" s="34" t="n">
        <f aca="false">IF(BH$8=1,N(Reales!BH21),IF(BH$134=1,INDEX(Vol_V,10,BH$133)/12*(1+V_dVol),0))</f>
        <v>0</v>
      </c>
      <c r="BI149" s="34" t="n">
        <f aca="false">IF(BI$8=1,N(Reales!BI21),IF(BI$134=1,INDEX(Vol_V,10,BI$133)/12*(1+V_dVol),0))</f>
        <v>0</v>
      </c>
      <c r="BJ149" s="34" t="n">
        <f aca="false">IF(BJ$8=1,N(Reales!BJ21),IF(BJ$134=1,INDEX(Vol_V,10,BJ$133)/12*(1+V_dVol),0))</f>
        <v>0</v>
      </c>
      <c r="BK149" s="34" t="n">
        <f aca="false">IF(BK$8=1,N(Reales!BK21),IF(BK$134=1,INDEX(Vol_V,10,BK$133)/12*(1+V_dVol),0))</f>
        <v>0</v>
      </c>
      <c r="BL149" s="34" t="n">
        <f aca="false">IF(BL$8=1,N(Reales!BL21),IF(BL$134=1,INDEX(Vol_V,10,BL$133)/12*(1+V_dVol),0))</f>
        <v>0</v>
      </c>
      <c r="BM149" s="34" t="n">
        <f aca="false">IF(BM$8=1,N(Reales!BM21),IF(BM$134=1,INDEX(Vol_V,10,BM$133)/12*(1+V_dVol),0))</f>
        <v>0</v>
      </c>
      <c r="BN149" s="34" t="n">
        <f aca="false">IF(BN$8=1,N(Reales!BN21),IF(BN$134=1,INDEX(Vol_V,10,BN$133)/12*(1+V_dVol),0))</f>
        <v>0</v>
      </c>
      <c r="BO149" s="34" t="n">
        <f aca="false">IF(BO$8=1,N(Reales!BO21),IF(BO$134=1,INDEX(Vol_V,10,BO$133)/12*(1+V_dVol),0))</f>
        <v>0</v>
      </c>
      <c r="BP149" s="34" t="n">
        <f aca="false">IF(BP$8=1,N(Reales!BP21),IF(BP$134=1,INDEX(Vol_V,10,BP$133)/12*(1+V_dVol),0))</f>
        <v>0</v>
      </c>
      <c r="BQ149" s="34" t="n">
        <f aca="false">IF(BQ$8=1,N(Reales!BQ21),IF(BQ$134=1,INDEX(Vol_V,10,BQ$133)/12*(1+V_dVol),0))</f>
        <v>0</v>
      </c>
      <c r="BR149" s="34" t="n">
        <f aca="false">IF(BR$8=1,N(Reales!BR21),IF(BR$134=1,INDEX(Vol_V,10,BR$133)/12*(1+V_dVol),0))</f>
        <v>0</v>
      </c>
      <c r="BS149" s="34" t="n">
        <f aca="false">IF(BS$8=1,N(Reales!BS21),IF(BS$134=1,INDEX(Vol_V,10,BS$133)/12*(1+V_dVol),0))</f>
        <v>0</v>
      </c>
      <c r="BT149" s="34" t="n">
        <f aca="false">IF(BT$8=1,N(Reales!BT21),IF(BT$134=1,INDEX(Vol_V,10,BT$133)/12*(1+V_dVol),0))</f>
        <v>0</v>
      </c>
      <c r="BU149" s="34" t="n">
        <f aca="false">IF(BU$8=1,N(Reales!BU21),IF(BU$134=1,INDEX(Vol_V,10,BU$133)/12*(1+V_dVol),0))</f>
        <v>0</v>
      </c>
      <c r="BV149" s="34" t="n">
        <f aca="false">IF(BV$8=1,N(Reales!BV21),IF(BV$134=1,INDEX(Vol_V,10,BV$133)/12*(1+V_dVol),0))</f>
        <v>0</v>
      </c>
      <c r="BW149" s="34" t="n">
        <f aca="false">IF(BW$8=1,N(Reales!BW21),IF(BW$134=1,INDEX(Vol_V,10,BW$133)/12*(1+V_dVol),0))</f>
        <v>0</v>
      </c>
      <c r="BX149" s="34" t="n">
        <f aca="false">IF(BX$8=1,N(Reales!BX21),IF(BX$134=1,INDEX(Vol_V,10,BX$133)/12*(1+V_dVol),0))</f>
        <v>0</v>
      </c>
      <c r="BY149" s="34" t="n">
        <f aca="false">IF(BY$8=1,N(Reales!BY21),IF(BY$134=1,INDEX(Vol_V,10,BY$133)/12*(1+V_dVol),0))</f>
        <v>0</v>
      </c>
      <c r="BZ149" s="34" t="n">
        <f aca="false">IF(BZ$8=1,N(Reales!BZ21),IF(BZ$134=1,INDEX(Vol_V,10,BZ$133)/12*(1+V_dVol),0))</f>
        <v>0</v>
      </c>
      <c r="CA149" s="34" t="n">
        <f aca="false">IF(CA$8=1,N(Reales!CA21),IF(CA$134=1,INDEX(Vol_V,10,CA$133)/12*(1+V_dVol),0))</f>
        <v>0</v>
      </c>
      <c r="CB149" s="34" t="n">
        <f aca="false">IF(CB$8=1,N(Reales!CB21),IF(CB$134=1,INDEX(Vol_V,10,CB$133)/12*(1+V_dVol),0))</f>
        <v>0</v>
      </c>
      <c r="CC149" s="34" t="n">
        <f aca="false">IF(CC$8=1,N(Reales!CC21),IF(CC$134=1,INDEX(Vol_V,10,CC$133)/12*(1+V_dVol),0))</f>
        <v>0</v>
      </c>
      <c r="CD149" s="34" t="n">
        <f aca="false">IF(CD$8=1,N(Reales!CD21),IF(CD$134=1,INDEX(Vol_V,10,CD$133)/12*(1+V_dVol),0))</f>
        <v>0</v>
      </c>
      <c r="CE149" s="34" t="n">
        <f aca="false">IF(CE$8=1,N(Reales!CE21),IF(CE$134=1,INDEX(Vol_V,10,CE$133)/12*(1+V_dVol),0))</f>
        <v>0</v>
      </c>
      <c r="CF149" s="34" t="n">
        <f aca="false">IF(CF$8=1,N(Reales!CF21),IF(CF$134=1,INDEX(Vol_V,10,CF$133)/12*(1+V_dVol),0))</f>
        <v>0</v>
      </c>
      <c r="CG149" s="34" t="n">
        <f aca="false">IF(CG$8=1,N(Reales!CG21),IF(CG$134=1,INDEX(Vol_V,10,CG$133)/12*(1+V_dVol),0))</f>
        <v>0</v>
      </c>
      <c r="CH149" s="34" t="n">
        <f aca="false">IF(CH$8=1,N(Reales!CH21),IF(CH$134=1,INDEX(Vol_V,10,CH$133)/12*(1+V_dVol),0))</f>
        <v>0</v>
      </c>
      <c r="CI149" s="34" t="n">
        <f aca="false">IF(CI$8=1,N(Reales!CI21),IF(CI$134=1,INDEX(Vol_V,10,CI$133)/12*(1+V_dVol),0))</f>
        <v>0</v>
      </c>
      <c r="CJ149" s="34" t="n">
        <f aca="false">IF(CJ$8=1,N(Reales!CJ21),IF(CJ$134=1,INDEX(Vol_V,10,CJ$133)/12*(1+V_dVol),0))</f>
        <v>0</v>
      </c>
      <c r="CK149" s="34" t="n">
        <f aca="false">IF(CK$8=1,N(Reales!CK21),IF(CK$134=1,INDEX(Vol_V,10,CK$133)/12*(1+V_dVol),0))</f>
        <v>0</v>
      </c>
      <c r="CL149" s="34" t="n">
        <f aca="false">IF(CL$8=1,N(Reales!CL21),IF(CL$134=1,INDEX(Vol_V,10,CL$133)/12*(1+V_dVol),0))</f>
        <v>0</v>
      </c>
      <c r="CM149" s="34" t="n">
        <f aca="false">IF(CM$8=1,N(Reales!CM21),IF(CM$134=1,INDEX(Vol_V,10,CM$133)/12*(1+V_dVol),0))</f>
        <v>0</v>
      </c>
      <c r="CN149" s="34" t="n">
        <f aca="false">IF(CN$8=1,N(Reales!CN21),IF(CN$134=1,INDEX(Vol_V,10,CN$133)/12*(1+V_dVol),0))</f>
        <v>0</v>
      </c>
      <c r="CO149" s="34" t="n">
        <f aca="false">IF(CO$8=1,N(Reales!CO21),IF(CO$134=1,INDEX(Vol_V,10,CO$133)/12*(1+V_dVol),0))</f>
        <v>0</v>
      </c>
      <c r="CP149" s="34" t="n">
        <f aca="false">IF(CP$8=1,N(Reales!CP21),IF(CP$134=1,INDEX(Vol_V,10,CP$133)/12*(1+V_dVol),0))</f>
        <v>0</v>
      </c>
      <c r="CQ149" s="34" t="n">
        <f aca="false">IF(CQ$8=1,N(Reales!CQ21),IF(CQ$134=1,INDEX(Vol_V,10,CQ$133)/12*(1+V_dVol),0))</f>
        <v>0</v>
      </c>
      <c r="CR149" s="34" t="n">
        <f aca="false">IF(CR$8=1,N(Reales!CR21),IF(CR$134=1,INDEX(Vol_V,10,CR$133)/12*(1+V_dVol),0))</f>
        <v>0</v>
      </c>
      <c r="CS149" s="34" t="n">
        <f aca="false">IF(CS$8=1,N(Reales!CS21),IF(CS$134=1,INDEX(Vol_V,10,CS$133)/12*(1+V_dVol),0))</f>
        <v>0</v>
      </c>
      <c r="CT149" s="34" t="n">
        <f aca="false">IF(CT$8=1,N(Reales!CT21),IF(CT$134=1,INDEX(Vol_V,10,CT$133)/12*(1+V_dVol),0))</f>
        <v>0</v>
      </c>
      <c r="CU149" s="34" t="n">
        <f aca="false">IF(CU$8=1,N(Reales!CU21),IF(CU$134=1,INDEX(Vol_V,10,CU$133)/12*(1+V_dVol),0))</f>
        <v>0</v>
      </c>
      <c r="CV149" s="34" t="n">
        <f aca="false">IF(CV$8=1,N(Reales!CV21),IF(CV$134=1,INDEX(Vol_V,10,CV$133)/12*(1+V_dVol),0))</f>
        <v>0</v>
      </c>
      <c r="CW149" s="34" t="n">
        <f aca="false">IF(CW$8=1,N(Reales!CW21),IF(CW$134=1,INDEX(Vol_V,10,CW$133)/12*(1+V_dVol),0))</f>
        <v>0</v>
      </c>
      <c r="CX149" s="34" t="n">
        <f aca="false">IF(CX$8=1,N(Reales!CX21),IF(CX$134=1,INDEX(Vol_V,10,CX$133)/12*(1+V_dVol),0))</f>
        <v>0</v>
      </c>
      <c r="CY149" s="34" t="n">
        <f aca="false">IF(CY$8=1,N(Reales!CY21),IF(CY$134=1,INDEX(Vol_V,10,CY$133)/12*(1+V_dVol),0))</f>
        <v>0</v>
      </c>
      <c r="CZ149" s="34" t="n">
        <f aca="false">IF(CZ$8=1,N(Reales!CZ21),IF(CZ$134=1,INDEX(Vol_V,10,CZ$133)/12*(1+V_dVol),0))</f>
        <v>0</v>
      </c>
      <c r="DA149" s="34" t="n">
        <f aca="false">IF(DA$8=1,N(Reales!DA21),IF(DA$134=1,INDEX(Vol_V,10,DA$133)/12*(1+V_dVol),0))</f>
        <v>0</v>
      </c>
      <c r="DB149" s="34" t="n">
        <f aca="false">IF(DB$8=1,N(Reales!DB21),IF(DB$134=1,INDEX(Vol_V,10,DB$133)/12*(1+V_dVol),0))</f>
        <v>0</v>
      </c>
      <c r="DC149" s="34" t="n">
        <f aca="false">IF(DC$8=1,N(Reales!DC21),IF(DC$134=1,INDEX(Vol_V,10,DC$133)/12*(1+V_dVol),0))</f>
        <v>0</v>
      </c>
      <c r="DD149" s="34" t="n">
        <f aca="false">IF(DD$8=1,N(Reales!DD21),IF(DD$134=1,INDEX(Vol_V,10,DD$133)/12*(1+V_dVol),0))</f>
        <v>0</v>
      </c>
      <c r="DE149" s="34" t="n">
        <f aca="false">IF(DE$8=1,N(Reales!DE21),IF(DE$134=1,INDEX(Vol_V,10,DE$133)/12*(1+V_dVol),0))</f>
        <v>0</v>
      </c>
      <c r="DF149" s="34" t="n">
        <f aca="false">IF(DF$8=1,N(Reales!DF21),IF(DF$134=1,INDEX(Vol_V,10,DF$133)/12*(1+V_dVol),0))</f>
        <v>0</v>
      </c>
      <c r="DG149" s="34" t="n">
        <f aca="false">IF(DG$8=1,N(Reales!DG21),IF(DG$134=1,INDEX(Vol_V,10,DG$133)/12*(1+V_dVol),0))</f>
        <v>0</v>
      </c>
      <c r="DH149" s="34" t="n">
        <f aca="false">IF(DH$8=1,N(Reales!DH21),IF(DH$134=1,INDEX(Vol_V,10,DH$133)/12*(1+V_dVol),0))</f>
        <v>0</v>
      </c>
      <c r="DI149" s="34" t="n">
        <f aca="false">IF(DI$8=1,N(Reales!DI21),IF(DI$134=1,INDEX(Vol_V,10,DI$133)/12*(1+V_dVol),0))</f>
        <v>0</v>
      </c>
      <c r="DJ149" s="34" t="n">
        <f aca="false">IF(DJ$8=1,N(Reales!DJ21),IF(DJ$134=1,INDEX(Vol_V,10,DJ$133)/12*(1+V_dVol),0))</f>
        <v>0</v>
      </c>
      <c r="DK149" s="34" t="n">
        <f aca="false">IF(DK$8=1,N(Reales!DK21),IF(DK$134=1,INDEX(Vol_V,10,DK$133)/12*(1+V_dVol),0))</f>
        <v>0</v>
      </c>
      <c r="DL149" s="34" t="n">
        <f aca="false">IF(DL$8=1,N(Reales!DL21),IF(DL$134=1,INDEX(Vol_V,10,DL$133)/12*(1+V_dVol),0))</f>
        <v>0</v>
      </c>
      <c r="DM149" s="34" t="n">
        <f aca="false">IF(DM$8=1,N(Reales!DM21),IF(DM$134=1,INDEX(Vol_V,10,DM$133)/12*(1+V_dVol),0))</f>
        <v>0</v>
      </c>
      <c r="DN149" s="34" t="n">
        <f aca="false">IF(DN$8=1,N(Reales!DN21),IF(DN$134=1,INDEX(Vol_V,10,DN$133)/12*(1+V_dVol),0))</f>
        <v>0</v>
      </c>
      <c r="DO149" s="34" t="n">
        <f aca="false">IF(DO$8=1,N(Reales!DO21),IF(DO$134=1,INDEX(Vol_V,10,DO$133)/12*(1+V_dVol),0))</f>
        <v>0</v>
      </c>
      <c r="DP149" s="34" t="n">
        <f aca="false">IF(DP$8=1,N(Reales!DP21),IF(DP$134=1,INDEX(Vol_V,10,DP$133)/12*(1+V_dVol),0))</f>
        <v>0</v>
      </c>
      <c r="DQ149" s="34" t="n">
        <f aca="false">IF(DQ$8=1,N(Reales!DQ21),IF(DQ$134=1,INDEX(Vol_V,10,DQ$133)/12*(1+V_dVol),0))</f>
        <v>0</v>
      </c>
      <c r="DR149" s="34" t="n">
        <f aca="false">IF(DR$8=1,N(Reales!DR21),IF(DR$134=1,INDEX(Vol_V,10,DR$133)/12*(1+V_dVol),0))</f>
        <v>0</v>
      </c>
      <c r="DS149" s="34" t="n">
        <f aca="false">IF(DS$8=1,N(Reales!DS21),IF(DS$134=1,INDEX(Vol_V,10,DS$133)/12*(1+V_dVol),0))</f>
        <v>0</v>
      </c>
      <c r="DT149" s="34" t="n">
        <f aca="false">IF(DT$8=1,N(Reales!DT21),IF(DT$134=1,INDEX(Vol_V,10,DT$133)/12*(1+V_dVol),0))</f>
        <v>0</v>
      </c>
      <c r="DU149" s="34" t="n">
        <f aca="false">IF(DU$8=1,N(Reales!DU21),IF(DU$134=1,INDEX(Vol_V,10,DU$133)/12*(1+V_dVol),0))</f>
        <v>0</v>
      </c>
      <c r="DV149" s="34" t="n">
        <f aca="false">IF(DV$8=1,N(Reales!DV21),IF(DV$134=1,INDEX(Vol_V,10,DV$133)/12*(1+V_dVol),0))</f>
        <v>0</v>
      </c>
      <c r="DW149" s="34" t="n">
        <f aca="false">IF(DW$8=1,N(Reales!DW21),IF(DW$134=1,INDEX(Vol_V,10,DW$133)/12*(1+V_dVol),0))</f>
        <v>0</v>
      </c>
      <c r="DX149" s="34" t="n">
        <f aca="false">IF(DX$8=1,N(Reales!DX21),IF(DX$134=1,INDEX(Vol_V,10,DX$133)/12*(1+V_dVol),0))</f>
        <v>0</v>
      </c>
      <c r="DY149" s="34" t="n">
        <f aca="false">IF(DY$8=1,N(Reales!DY21),IF(DY$134=1,INDEX(Vol_V,10,DY$133)/12*(1+V_dVol),0))</f>
        <v>0</v>
      </c>
      <c r="DZ149" s="34" t="n">
        <f aca="false">IF(DZ$8=1,N(Reales!DZ21),IF(DZ$134=1,INDEX(Vol_V,10,DZ$133)/12*(1+V_dVol),0))</f>
        <v>0</v>
      </c>
      <c r="EA149" s="34" t="n">
        <f aca="false">IF(EA$8=1,N(Reales!EA21),IF(EA$134=1,INDEX(Vol_V,10,EA$133)/12*(1+V_dVol),0))</f>
        <v>0</v>
      </c>
      <c r="EB149" s="34" t="n">
        <f aca="false">IF(EB$8=1,N(Reales!EB21),IF(EB$134=1,INDEX(Vol_V,10,EB$133)/12*(1+V_dVol),0))</f>
        <v>0</v>
      </c>
      <c r="EC149" s="34" t="n">
        <f aca="false">IF(EC$8=1,N(Reales!EC21),IF(EC$134=1,INDEX(Vol_V,10,EC$133)/12*(1+V_dVol),0))</f>
        <v>0</v>
      </c>
      <c r="ED149" s="34" t="n">
        <f aca="false">IF(ED$8=1,N(Reales!ED21),IF(ED$134=1,INDEX(Vol_V,10,ED$133)/12*(1+V_dVol),0))</f>
        <v>0</v>
      </c>
      <c r="EE149" s="34" t="n">
        <f aca="false">IF(EE$8=1,N(Reales!EE21),IF(EE$134=1,INDEX(Vol_V,10,EE$133)/12*(1+V_dVol),0))</f>
        <v>0</v>
      </c>
      <c r="EF149" s="34" t="n">
        <f aca="false">IF(EF$8=1,N(Reales!EF21),IF(EF$134=1,INDEX(Vol_V,10,EF$133)/12*(1+V_dVol),0))</f>
        <v>0</v>
      </c>
      <c r="EG149" s="34" t="n">
        <f aca="false">IF(EG$8=1,N(Reales!EG21),IF(EG$134=1,INDEX(Vol_V,10,EG$133)/12*(1+V_dVol),0))</f>
        <v>0</v>
      </c>
      <c r="EH149" s="34" t="n">
        <f aca="false">IF(EH$8=1,N(Reales!EH21),IF(EH$134=1,INDEX(Vol_V,10,EH$133)/12*(1+V_dVol),0))</f>
        <v>0</v>
      </c>
      <c r="EI149" s="34" t="n">
        <f aca="false">IF(EI$8=1,N(Reales!EI21),IF(EI$134=1,INDEX(Vol_V,10,EI$133)/12*(1+V_dVol),0))</f>
        <v>0</v>
      </c>
      <c r="EJ149" s="34" t="n">
        <f aca="false">IF(EJ$8=1,N(Reales!EJ21),IF(EJ$134=1,INDEX(Vol_V,10,EJ$133)/12*(1+V_dVol),0))</f>
        <v>0</v>
      </c>
      <c r="EK149" s="34" t="n">
        <f aca="false">IF(EK$8=1,N(Reales!EK21),IF(EK$134=1,INDEX(Vol_V,10,EK$133)/12*(1+V_dVol),0))</f>
        <v>0</v>
      </c>
      <c r="EL149" s="34" t="n">
        <f aca="false">IF(EL$8=1,N(Reales!EL21),IF(EL$134=1,INDEX(Vol_V,10,EL$133)/12*(1+V_dVol),0))</f>
        <v>0</v>
      </c>
      <c r="EM149" s="34" t="n">
        <f aca="false">IF(EM$8=1,N(Reales!EM21),IF(EM$134=1,INDEX(Vol_V,10,EM$133)/12*(1+V_dVol),0))</f>
        <v>0</v>
      </c>
      <c r="EN149" s="34" t="n">
        <f aca="false">IF(EN$8=1,N(Reales!EN21),IF(EN$134=1,INDEX(Vol_V,10,EN$133)/12*(1+V_dVol),0))</f>
        <v>0</v>
      </c>
      <c r="EO149" s="34" t="n">
        <f aca="false">IF(EO$8=1,N(Reales!EO21),IF(EO$134=1,INDEX(Vol_V,10,EO$133)/12*(1+V_dVol),0))</f>
        <v>0</v>
      </c>
      <c r="EP149" s="34" t="n">
        <f aca="false">IF(EP$8=1,N(Reales!EP21),IF(EP$134=1,INDEX(Vol_V,10,EP$133)/12*(1+V_dVol),0))</f>
        <v>0</v>
      </c>
      <c r="EQ149" s="34" t="n">
        <f aca="false">IF(EQ$8=1,N(Reales!EQ21),IF(EQ$134=1,INDEX(Vol_V,10,EQ$133)/12*(1+V_dVol),0))</f>
        <v>0</v>
      </c>
      <c r="ER149" s="34" t="n">
        <f aca="false">IF(ER$8=1,N(Reales!ER21),IF(ER$134=1,INDEX(Vol_V,10,ER$133)/12*(1+V_dVol),0))</f>
        <v>0</v>
      </c>
      <c r="ES149" s="34" t="n">
        <f aca="false">IF(ES$8=1,N(Reales!ES21),IF(ES$134=1,INDEX(Vol_V,10,ES$133)/12*(1+V_dVol),0))</f>
        <v>0</v>
      </c>
    </row>
    <row r="150" customFormat="false" ht="15" hidden="false" customHeight="false" outlineLevel="0" collapsed="false">
      <c r="A150" s="2" t="s">
        <v>629</v>
      </c>
      <c r="B150" s="39" t="str">
        <f aca="false">IF(INDEX(Prod_Nombre,11)="","Producto 11",INDEX(Prod_Nombre,11))&amp;" — unidades"</f>
        <v>Producto 11 — unidades</v>
      </c>
      <c r="C150" s="6" t="s">
        <v>337</v>
      </c>
      <c r="E150" s="40" t="n">
        <f aca="false">SUM(F150:ES150)</f>
        <v>0</v>
      </c>
      <c r="F150" s="34" t="n">
        <f aca="false">IF(F$8=1,N(Reales!F22),IF(F$134=1,INDEX(Vol_V,11,F$133)/12*(1+V_dVol),0))</f>
        <v>0</v>
      </c>
      <c r="G150" s="34" t="n">
        <f aca="false">IF(G$8=1,N(Reales!G22),IF(G$134=1,INDEX(Vol_V,11,G$133)/12*(1+V_dVol),0))</f>
        <v>0</v>
      </c>
      <c r="H150" s="34" t="n">
        <f aca="false">IF(H$8=1,N(Reales!H22),IF(H$134=1,INDEX(Vol_V,11,H$133)/12*(1+V_dVol),0))</f>
        <v>0</v>
      </c>
      <c r="I150" s="34" t="n">
        <f aca="false">IF(I$8=1,N(Reales!I22),IF(I$134=1,INDEX(Vol_V,11,I$133)/12*(1+V_dVol),0))</f>
        <v>0</v>
      </c>
      <c r="J150" s="34" t="n">
        <f aca="false">IF(J$8=1,N(Reales!J22),IF(J$134=1,INDEX(Vol_V,11,J$133)/12*(1+V_dVol),0))</f>
        <v>0</v>
      </c>
      <c r="K150" s="34" t="n">
        <f aca="false">IF(K$8=1,N(Reales!K22),IF(K$134=1,INDEX(Vol_V,11,K$133)/12*(1+V_dVol),0))</f>
        <v>0</v>
      </c>
      <c r="L150" s="34" t="n">
        <f aca="false">IF(L$8=1,N(Reales!L22),IF(L$134=1,INDEX(Vol_V,11,L$133)/12*(1+V_dVol),0))</f>
        <v>0</v>
      </c>
      <c r="M150" s="34" t="n">
        <f aca="false">IF(M$8=1,N(Reales!M22),IF(M$134=1,INDEX(Vol_V,11,M$133)/12*(1+V_dVol),0))</f>
        <v>0</v>
      </c>
      <c r="N150" s="34" t="n">
        <f aca="false">IF(N$8=1,N(Reales!N22),IF(N$134=1,INDEX(Vol_V,11,N$133)/12*(1+V_dVol),0))</f>
        <v>0</v>
      </c>
      <c r="O150" s="34" t="n">
        <f aca="false">IF(O$8=1,N(Reales!O22),IF(O$134=1,INDEX(Vol_V,11,O$133)/12*(1+V_dVol),0))</f>
        <v>0</v>
      </c>
      <c r="P150" s="34" t="n">
        <f aca="false">IF(P$8=1,N(Reales!P22),IF(P$134=1,INDEX(Vol_V,11,P$133)/12*(1+V_dVol),0))</f>
        <v>0</v>
      </c>
      <c r="Q150" s="34" t="n">
        <f aca="false">IF(Q$8=1,N(Reales!Q22),IF(Q$134=1,INDEX(Vol_V,11,Q$133)/12*(1+V_dVol),0))</f>
        <v>0</v>
      </c>
      <c r="R150" s="34" t="n">
        <f aca="false">IF(R$8=1,N(Reales!R22),IF(R$134=1,INDEX(Vol_V,11,R$133)/12*(1+V_dVol),0))</f>
        <v>0</v>
      </c>
      <c r="S150" s="34" t="n">
        <f aca="false">IF(S$8=1,N(Reales!S22),IF(S$134=1,INDEX(Vol_V,11,S$133)/12*(1+V_dVol),0))</f>
        <v>0</v>
      </c>
      <c r="T150" s="34" t="n">
        <f aca="false">IF(T$8=1,N(Reales!T22),IF(T$134=1,INDEX(Vol_V,11,T$133)/12*(1+V_dVol),0))</f>
        <v>0</v>
      </c>
      <c r="U150" s="34" t="n">
        <f aca="false">IF(U$8=1,N(Reales!U22),IF(U$134=1,INDEX(Vol_V,11,U$133)/12*(1+V_dVol),0))</f>
        <v>0</v>
      </c>
      <c r="V150" s="34" t="n">
        <f aca="false">IF(V$8=1,N(Reales!V22),IF(V$134=1,INDEX(Vol_V,11,V$133)/12*(1+V_dVol),0))</f>
        <v>0</v>
      </c>
      <c r="W150" s="34" t="n">
        <f aca="false">IF(W$8=1,N(Reales!W22),IF(W$134=1,INDEX(Vol_V,11,W$133)/12*(1+V_dVol),0))</f>
        <v>0</v>
      </c>
      <c r="X150" s="34" t="n">
        <f aca="false">IF(X$8=1,N(Reales!X22),IF(X$134=1,INDEX(Vol_V,11,X$133)/12*(1+V_dVol),0))</f>
        <v>0</v>
      </c>
      <c r="Y150" s="34" t="n">
        <f aca="false">IF(Y$8=1,N(Reales!Y22),IF(Y$134=1,INDEX(Vol_V,11,Y$133)/12*(1+V_dVol),0))</f>
        <v>0</v>
      </c>
      <c r="Z150" s="34" t="n">
        <f aca="false">IF(Z$8=1,N(Reales!Z22),IF(Z$134=1,INDEX(Vol_V,11,Z$133)/12*(1+V_dVol),0))</f>
        <v>0</v>
      </c>
      <c r="AA150" s="34" t="n">
        <f aca="false">IF(AA$8=1,N(Reales!AA22),IF(AA$134=1,INDEX(Vol_V,11,AA$133)/12*(1+V_dVol),0))</f>
        <v>0</v>
      </c>
      <c r="AB150" s="34" t="n">
        <f aca="false">IF(AB$8=1,N(Reales!AB22),IF(AB$134=1,INDEX(Vol_V,11,AB$133)/12*(1+V_dVol),0))</f>
        <v>0</v>
      </c>
      <c r="AC150" s="34" t="n">
        <f aca="false">IF(AC$8=1,N(Reales!AC22),IF(AC$134=1,INDEX(Vol_V,11,AC$133)/12*(1+V_dVol),0))</f>
        <v>0</v>
      </c>
      <c r="AD150" s="34" t="n">
        <f aca="false">IF(AD$8=1,N(Reales!AD22),IF(AD$134=1,INDEX(Vol_V,11,AD$133)/12*(1+V_dVol),0))</f>
        <v>0</v>
      </c>
      <c r="AE150" s="34" t="n">
        <f aca="false">IF(AE$8=1,N(Reales!AE22),IF(AE$134=1,INDEX(Vol_V,11,AE$133)/12*(1+V_dVol),0))</f>
        <v>0</v>
      </c>
      <c r="AF150" s="34" t="n">
        <f aca="false">IF(AF$8=1,N(Reales!AF22),IF(AF$134=1,INDEX(Vol_V,11,AF$133)/12*(1+V_dVol),0))</f>
        <v>0</v>
      </c>
      <c r="AG150" s="34" t="n">
        <f aca="false">IF(AG$8=1,N(Reales!AG22),IF(AG$134=1,INDEX(Vol_V,11,AG$133)/12*(1+V_dVol),0))</f>
        <v>0</v>
      </c>
      <c r="AH150" s="34" t="n">
        <f aca="false">IF(AH$8=1,N(Reales!AH22),IF(AH$134=1,INDEX(Vol_V,11,AH$133)/12*(1+V_dVol),0))</f>
        <v>0</v>
      </c>
      <c r="AI150" s="34" t="n">
        <f aca="false">IF(AI$8=1,N(Reales!AI22),IF(AI$134=1,INDEX(Vol_V,11,AI$133)/12*(1+V_dVol),0))</f>
        <v>0</v>
      </c>
      <c r="AJ150" s="34" t="n">
        <f aca="false">IF(AJ$8=1,N(Reales!AJ22),IF(AJ$134=1,INDEX(Vol_V,11,AJ$133)/12*(1+V_dVol),0))</f>
        <v>0</v>
      </c>
      <c r="AK150" s="34" t="n">
        <f aca="false">IF(AK$8=1,N(Reales!AK22),IF(AK$134=1,INDEX(Vol_V,11,AK$133)/12*(1+V_dVol),0))</f>
        <v>0</v>
      </c>
      <c r="AL150" s="34" t="n">
        <f aca="false">IF(AL$8=1,N(Reales!AL22),IF(AL$134=1,INDEX(Vol_V,11,AL$133)/12*(1+V_dVol),0))</f>
        <v>0</v>
      </c>
      <c r="AM150" s="34" t="n">
        <f aca="false">IF(AM$8=1,N(Reales!AM22),IF(AM$134=1,INDEX(Vol_V,11,AM$133)/12*(1+V_dVol),0))</f>
        <v>0</v>
      </c>
      <c r="AN150" s="34" t="n">
        <f aca="false">IF(AN$8=1,N(Reales!AN22),IF(AN$134=1,INDEX(Vol_V,11,AN$133)/12*(1+V_dVol),0))</f>
        <v>0</v>
      </c>
      <c r="AO150" s="34" t="n">
        <f aca="false">IF(AO$8=1,N(Reales!AO22),IF(AO$134=1,INDEX(Vol_V,11,AO$133)/12*(1+V_dVol),0))</f>
        <v>0</v>
      </c>
      <c r="AP150" s="34" t="n">
        <f aca="false">IF(AP$8=1,N(Reales!AP22),IF(AP$134=1,INDEX(Vol_V,11,AP$133)/12*(1+V_dVol),0))</f>
        <v>0</v>
      </c>
      <c r="AQ150" s="34" t="n">
        <f aca="false">IF(AQ$8=1,N(Reales!AQ22),IF(AQ$134=1,INDEX(Vol_V,11,AQ$133)/12*(1+V_dVol),0))</f>
        <v>0</v>
      </c>
      <c r="AR150" s="34" t="n">
        <f aca="false">IF(AR$8=1,N(Reales!AR22),IF(AR$134=1,INDEX(Vol_V,11,AR$133)/12*(1+V_dVol),0))</f>
        <v>0</v>
      </c>
      <c r="AS150" s="34" t="n">
        <f aca="false">IF(AS$8=1,N(Reales!AS22),IF(AS$134=1,INDEX(Vol_V,11,AS$133)/12*(1+V_dVol),0))</f>
        <v>0</v>
      </c>
      <c r="AT150" s="34" t="n">
        <f aca="false">IF(AT$8=1,N(Reales!AT22),IF(AT$134=1,INDEX(Vol_V,11,AT$133)/12*(1+V_dVol),0))</f>
        <v>0</v>
      </c>
      <c r="AU150" s="34" t="n">
        <f aca="false">IF(AU$8=1,N(Reales!AU22),IF(AU$134=1,INDEX(Vol_V,11,AU$133)/12*(1+V_dVol),0))</f>
        <v>0</v>
      </c>
      <c r="AV150" s="34" t="n">
        <f aca="false">IF(AV$8=1,N(Reales!AV22),IF(AV$134=1,INDEX(Vol_V,11,AV$133)/12*(1+V_dVol),0))</f>
        <v>0</v>
      </c>
      <c r="AW150" s="34" t="n">
        <f aca="false">IF(AW$8=1,N(Reales!AW22),IF(AW$134=1,INDEX(Vol_V,11,AW$133)/12*(1+V_dVol),0))</f>
        <v>0</v>
      </c>
      <c r="AX150" s="34" t="n">
        <f aca="false">IF(AX$8=1,N(Reales!AX22),IF(AX$134=1,INDEX(Vol_V,11,AX$133)/12*(1+V_dVol),0))</f>
        <v>0</v>
      </c>
      <c r="AY150" s="34" t="n">
        <f aca="false">IF(AY$8=1,N(Reales!AY22),IF(AY$134=1,INDEX(Vol_V,11,AY$133)/12*(1+V_dVol),0))</f>
        <v>0</v>
      </c>
      <c r="AZ150" s="34" t="n">
        <f aca="false">IF(AZ$8=1,N(Reales!AZ22),IF(AZ$134=1,INDEX(Vol_V,11,AZ$133)/12*(1+V_dVol),0))</f>
        <v>0</v>
      </c>
      <c r="BA150" s="34" t="n">
        <f aca="false">IF(BA$8=1,N(Reales!BA22),IF(BA$134=1,INDEX(Vol_V,11,BA$133)/12*(1+V_dVol),0))</f>
        <v>0</v>
      </c>
      <c r="BB150" s="34" t="n">
        <f aca="false">IF(BB$8=1,N(Reales!BB22),IF(BB$134=1,INDEX(Vol_V,11,BB$133)/12*(1+V_dVol),0))</f>
        <v>0</v>
      </c>
      <c r="BC150" s="34" t="n">
        <f aca="false">IF(BC$8=1,N(Reales!BC22),IF(BC$134=1,INDEX(Vol_V,11,BC$133)/12*(1+V_dVol),0))</f>
        <v>0</v>
      </c>
      <c r="BD150" s="34" t="n">
        <f aca="false">IF(BD$8=1,N(Reales!BD22),IF(BD$134=1,INDEX(Vol_V,11,BD$133)/12*(1+V_dVol),0))</f>
        <v>0</v>
      </c>
      <c r="BE150" s="34" t="n">
        <f aca="false">IF(BE$8=1,N(Reales!BE22),IF(BE$134=1,INDEX(Vol_V,11,BE$133)/12*(1+V_dVol),0))</f>
        <v>0</v>
      </c>
      <c r="BF150" s="34" t="n">
        <f aca="false">IF(BF$8=1,N(Reales!BF22),IF(BF$134=1,INDEX(Vol_V,11,BF$133)/12*(1+V_dVol),0))</f>
        <v>0</v>
      </c>
      <c r="BG150" s="34" t="n">
        <f aca="false">IF(BG$8=1,N(Reales!BG22),IF(BG$134=1,INDEX(Vol_V,11,BG$133)/12*(1+V_dVol),0))</f>
        <v>0</v>
      </c>
      <c r="BH150" s="34" t="n">
        <f aca="false">IF(BH$8=1,N(Reales!BH22),IF(BH$134=1,INDEX(Vol_V,11,BH$133)/12*(1+V_dVol),0))</f>
        <v>0</v>
      </c>
      <c r="BI150" s="34" t="n">
        <f aca="false">IF(BI$8=1,N(Reales!BI22),IF(BI$134=1,INDEX(Vol_V,11,BI$133)/12*(1+V_dVol),0))</f>
        <v>0</v>
      </c>
      <c r="BJ150" s="34" t="n">
        <f aca="false">IF(BJ$8=1,N(Reales!BJ22),IF(BJ$134=1,INDEX(Vol_V,11,BJ$133)/12*(1+V_dVol),0))</f>
        <v>0</v>
      </c>
      <c r="BK150" s="34" t="n">
        <f aca="false">IF(BK$8=1,N(Reales!BK22),IF(BK$134=1,INDEX(Vol_V,11,BK$133)/12*(1+V_dVol),0))</f>
        <v>0</v>
      </c>
      <c r="BL150" s="34" t="n">
        <f aca="false">IF(BL$8=1,N(Reales!BL22),IF(BL$134=1,INDEX(Vol_V,11,BL$133)/12*(1+V_dVol),0))</f>
        <v>0</v>
      </c>
      <c r="BM150" s="34" t="n">
        <f aca="false">IF(BM$8=1,N(Reales!BM22),IF(BM$134=1,INDEX(Vol_V,11,BM$133)/12*(1+V_dVol),0))</f>
        <v>0</v>
      </c>
      <c r="BN150" s="34" t="n">
        <f aca="false">IF(BN$8=1,N(Reales!BN22),IF(BN$134=1,INDEX(Vol_V,11,BN$133)/12*(1+V_dVol),0))</f>
        <v>0</v>
      </c>
      <c r="BO150" s="34" t="n">
        <f aca="false">IF(BO$8=1,N(Reales!BO22),IF(BO$134=1,INDEX(Vol_V,11,BO$133)/12*(1+V_dVol),0))</f>
        <v>0</v>
      </c>
      <c r="BP150" s="34" t="n">
        <f aca="false">IF(BP$8=1,N(Reales!BP22),IF(BP$134=1,INDEX(Vol_V,11,BP$133)/12*(1+V_dVol),0))</f>
        <v>0</v>
      </c>
      <c r="BQ150" s="34" t="n">
        <f aca="false">IF(BQ$8=1,N(Reales!BQ22),IF(BQ$134=1,INDEX(Vol_V,11,BQ$133)/12*(1+V_dVol),0))</f>
        <v>0</v>
      </c>
      <c r="BR150" s="34" t="n">
        <f aca="false">IF(BR$8=1,N(Reales!BR22),IF(BR$134=1,INDEX(Vol_V,11,BR$133)/12*(1+V_dVol),0))</f>
        <v>0</v>
      </c>
      <c r="BS150" s="34" t="n">
        <f aca="false">IF(BS$8=1,N(Reales!BS22),IF(BS$134=1,INDEX(Vol_V,11,BS$133)/12*(1+V_dVol),0))</f>
        <v>0</v>
      </c>
      <c r="BT150" s="34" t="n">
        <f aca="false">IF(BT$8=1,N(Reales!BT22),IF(BT$134=1,INDEX(Vol_V,11,BT$133)/12*(1+V_dVol),0))</f>
        <v>0</v>
      </c>
      <c r="BU150" s="34" t="n">
        <f aca="false">IF(BU$8=1,N(Reales!BU22),IF(BU$134=1,INDEX(Vol_V,11,BU$133)/12*(1+V_dVol),0))</f>
        <v>0</v>
      </c>
      <c r="BV150" s="34" t="n">
        <f aca="false">IF(BV$8=1,N(Reales!BV22),IF(BV$134=1,INDEX(Vol_V,11,BV$133)/12*(1+V_dVol),0))</f>
        <v>0</v>
      </c>
      <c r="BW150" s="34" t="n">
        <f aca="false">IF(BW$8=1,N(Reales!BW22),IF(BW$134=1,INDEX(Vol_V,11,BW$133)/12*(1+V_dVol),0))</f>
        <v>0</v>
      </c>
      <c r="BX150" s="34" t="n">
        <f aca="false">IF(BX$8=1,N(Reales!BX22),IF(BX$134=1,INDEX(Vol_V,11,BX$133)/12*(1+V_dVol),0))</f>
        <v>0</v>
      </c>
      <c r="BY150" s="34" t="n">
        <f aca="false">IF(BY$8=1,N(Reales!BY22),IF(BY$134=1,INDEX(Vol_V,11,BY$133)/12*(1+V_dVol),0))</f>
        <v>0</v>
      </c>
      <c r="BZ150" s="34" t="n">
        <f aca="false">IF(BZ$8=1,N(Reales!BZ22),IF(BZ$134=1,INDEX(Vol_V,11,BZ$133)/12*(1+V_dVol),0))</f>
        <v>0</v>
      </c>
      <c r="CA150" s="34" t="n">
        <f aca="false">IF(CA$8=1,N(Reales!CA22),IF(CA$134=1,INDEX(Vol_V,11,CA$133)/12*(1+V_dVol),0))</f>
        <v>0</v>
      </c>
      <c r="CB150" s="34" t="n">
        <f aca="false">IF(CB$8=1,N(Reales!CB22),IF(CB$134=1,INDEX(Vol_V,11,CB$133)/12*(1+V_dVol),0))</f>
        <v>0</v>
      </c>
      <c r="CC150" s="34" t="n">
        <f aca="false">IF(CC$8=1,N(Reales!CC22),IF(CC$134=1,INDEX(Vol_V,11,CC$133)/12*(1+V_dVol),0))</f>
        <v>0</v>
      </c>
      <c r="CD150" s="34" t="n">
        <f aca="false">IF(CD$8=1,N(Reales!CD22),IF(CD$134=1,INDEX(Vol_V,11,CD$133)/12*(1+V_dVol),0))</f>
        <v>0</v>
      </c>
      <c r="CE150" s="34" t="n">
        <f aca="false">IF(CE$8=1,N(Reales!CE22),IF(CE$134=1,INDEX(Vol_V,11,CE$133)/12*(1+V_dVol),0))</f>
        <v>0</v>
      </c>
      <c r="CF150" s="34" t="n">
        <f aca="false">IF(CF$8=1,N(Reales!CF22),IF(CF$134=1,INDEX(Vol_V,11,CF$133)/12*(1+V_dVol),0))</f>
        <v>0</v>
      </c>
      <c r="CG150" s="34" t="n">
        <f aca="false">IF(CG$8=1,N(Reales!CG22),IF(CG$134=1,INDEX(Vol_V,11,CG$133)/12*(1+V_dVol),0))</f>
        <v>0</v>
      </c>
      <c r="CH150" s="34" t="n">
        <f aca="false">IF(CH$8=1,N(Reales!CH22),IF(CH$134=1,INDEX(Vol_V,11,CH$133)/12*(1+V_dVol),0))</f>
        <v>0</v>
      </c>
      <c r="CI150" s="34" t="n">
        <f aca="false">IF(CI$8=1,N(Reales!CI22),IF(CI$134=1,INDEX(Vol_V,11,CI$133)/12*(1+V_dVol),0))</f>
        <v>0</v>
      </c>
      <c r="CJ150" s="34" t="n">
        <f aca="false">IF(CJ$8=1,N(Reales!CJ22),IF(CJ$134=1,INDEX(Vol_V,11,CJ$133)/12*(1+V_dVol),0))</f>
        <v>0</v>
      </c>
      <c r="CK150" s="34" t="n">
        <f aca="false">IF(CK$8=1,N(Reales!CK22),IF(CK$134=1,INDEX(Vol_V,11,CK$133)/12*(1+V_dVol),0))</f>
        <v>0</v>
      </c>
      <c r="CL150" s="34" t="n">
        <f aca="false">IF(CL$8=1,N(Reales!CL22),IF(CL$134=1,INDEX(Vol_V,11,CL$133)/12*(1+V_dVol),0))</f>
        <v>0</v>
      </c>
      <c r="CM150" s="34" t="n">
        <f aca="false">IF(CM$8=1,N(Reales!CM22),IF(CM$134=1,INDEX(Vol_V,11,CM$133)/12*(1+V_dVol),0))</f>
        <v>0</v>
      </c>
      <c r="CN150" s="34" t="n">
        <f aca="false">IF(CN$8=1,N(Reales!CN22),IF(CN$134=1,INDEX(Vol_V,11,CN$133)/12*(1+V_dVol),0))</f>
        <v>0</v>
      </c>
      <c r="CO150" s="34" t="n">
        <f aca="false">IF(CO$8=1,N(Reales!CO22),IF(CO$134=1,INDEX(Vol_V,11,CO$133)/12*(1+V_dVol),0))</f>
        <v>0</v>
      </c>
      <c r="CP150" s="34" t="n">
        <f aca="false">IF(CP$8=1,N(Reales!CP22),IF(CP$134=1,INDEX(Vol_V,11,CP$133)/12*(1+V_dVol),0))</f>
        <v>0</v>
      </c>
      <c r="CQ150" s="34" t="n">
        <f aca="false">IF(CQ$8=1,N(Reales!CQ22),IF(CQ$134=1,INDEX(Vol_V,11,CQ$133)/12*(1+V_dVol),0))</f>
        <v>0</v>
      </c>
      <c r="CR150" s="34" t="n">
        <f aca="false">IF(CR$8=1,N(Reales!CR22),IF(CR$134=1,INDEX(Vol_V,11,CR$133)/12*(1+V_dVol),0))</f>
        <v>0</v>
      </c>
      <c r="CS150" s="34" t="n">
        <f aca="false">IF(CS$8=1,N(Reales!CS22),IF(CS$134=1,INDEX(Vol_V,11,CS$133)/12*(1+V_dVol),0))</f>
        <v>0</v>
      </c>
      <c r="CT150" s="34" t="n">
        <f aca="false">IF(CT$8=1,N(Reales!CT22),IF(CT$134=1,INDEX(Vol_V,11,CT$133)/12*(1+V_dVol),0))</f>
        <v>0</v>
      </c>
      <c r="CU150" s="34" t="n">
        <f aca="false">IF(CU$8=1,N(Reales!CU22),IF(CU$134=1,INDEX(Vol_V,11,CU$133)/12*(1+V_dVol),0))</f>
        <v>0</v>
      </c>
      <c r="CV150" s="34" t="n">
        <f aca="false">IF(CV$8=1,N(Reales!CV22),IF(CV$134=1,INDEX(Vol_V,11,CV$133)/12*(1+V_dVol),0))</f>
        <v>0</v>
      </c>
      <c r="CW150" s="34" t="n">
        <f aca="false">IF(CW$8=1,N(Reales!CW22),IF(CW$134=1,INDEX(Vol_V,11,CW$133)/12*(1+V_dVol),0))</f>
        <v>0</v>
      </c>
      <c r="CX150" s="34" t="n">
        <f aca="false">IF(CX$8=1,N(Reales!CX22),IF(CX$134=1,INDEX(Vol_V,11,CX$133)/12*(1+V_dVol),0))</f>
        <v>0</v>
      </c>
      <c r="CY150" s="34" t="n">
        <f aca="false">IF(CY$8=1,N(Reales!CY22),IF(CY$134=1,INDEX(Vol_V,11,CY$133)/12*(1+V_dVol),0))</f>
        <v>0</v>
      </c>
      <c r="CZ150" s="34" t="n">
        <f aca="false">IF(CZ$8=1,N(Reales!CZ22),IF(CZ$134=1,INDEX(Vol_V,11,CZ$133)/12*(1+V_dVol),0))</f>
        <v>0</v>
      </c>
      <c r="DA150" s="34" t="n">
        <f aca="false">IF(DA$8=1,N(Reales!DA22),IF(DA$134=1,INDEX(Vol_V,11,DA$133)/12*(1+V_dVol),0))</f>
        <v>0</v>
      </c>
      <c r="DB150" s="34" t="n">
        <f aca="false">IF(DB$8=1,N(Reales!DB22),IF(DB$134=1,INDEX(Vol_V,11,DB$133)/12*(1+V_dVol),0))</f>
        <v>0</v>
      </c>
      <c r="DC150" s="34" t="n">
        <f aca="false">IF(DC$8=1,N(Reales!DC22),IF(DC$134=1,INDEX(Vol_V,11,DC$133)/12*(1+V_dVol),0))</f>
        <v>0</v>
      </c>
      <c r="DD150" s="34" t="n">
        <f aca="false">IF(DD$8=1,N(Reales!DD22),IF(DD$134=1,INDEX(Vol_V,11,DD$133)/12*(1+V_dVol),0))</f>
        <v>0</v>
      </c>
      <c r="DE150" s="34" t="n">
        <f aca="false">IF(DE$8=1,N(Reales!DE22),IF(DE$134=1,INDEX(Vol_V,11,DE$133)/12*(1+V_dVol),0))</f>
        <v>0</v>
      </c>
      <c r="DF150" s="34" t="n">
        <f aca="false">IF(DF$8=1,N(Reales!DF22),IF(DF$134=1,INDEX(Vol_V,11,DF$133)/12*(1+V_dVol),0))</f>
        <v>0</v>
      </c>
      <c r="DG150" s="34" t="n">
        <f aca="false">IF(DG$8=1,N(Reales!DG22),IF(DG$134=1,INDEX(Vol_V,11,DG$133)/12*(1+V_dVol),0))</f>
        <v>0</v>
      </c>
      <c r="DH150" s="34" t="n">
        <f aca="false">IF(DH$8=1,N(Reales!DH22),IF(DH$134=1,INDEX(Vol_V,11,DH$133)/12*(1+V_dVol),0))</f>
        <v>0</v>
      </c>
      <c r="DI150" s="34" t="n">
        <f aca="false">IF(DI$8=1,N(Reales!DI22),IF(DI$134=1,INDEX(Vol_V,11,DI$133)/12*(1+V_dVol),0))</f>
        <v>0</v>
      </c>
      <c r="DJ150" s="34" t="n">
        <f aca="false">IF(DJ$8=1,N(Reales!DJ22),IF(DJ$134=1,INDEX(Vol_V,11,DJ$133)/12*(1+V_dVol),0))</f>
        <v>0</v>
      </c>
      <c r="DK150" s="34" t="n">
        <f aca="false">IF(DK$8=1,N(Reales!DK22),IF(DK$134=1,INDEX(Vol_V,11,DK$133)/12*(1+V_dVol),0))</f>
        <v>0</v>
      </c>
      <c r="DL150" s="34" t="n">
        <f aca="false">IF(DL$8=1,N(Reales!DL22),IF(DL$134=1,INDEX(Vol_V,11,DL$133)/12*(1+V_dVol),0))</f>
        <v>0</v>
      </c>
      <c r="DM150" s="34" t="n">
        <f aca="false">IF(DM$8=1,N(Reales!DM22),IF(DM$134=1,INDEX(Vol_V,11,DM$133)/12*(1+V_dVol),0))</f>
        <v>0</v>
      </c>
      <c r="DN150" s="34" t="n">
        <f aca="false">IF(DN$8=1,N(Reales!DN22),IF(DN$134=1,INDEX(Vol_V,11,DN$133)/12*(1+V_dVol),0))</f>
        <v>0</v>
      </c>
      <c r="DO150" s="34" t="n">
        <f aca="false">IF(DO$8=1,N(Reales!DO22),IF(DO$134=1,INDEX(Vol_V,11,DO$133)/12*(1+V_dVol),0))</f>
        <v>0</v>
      </c>
      <c r="DP150" s="34" t="n">
        <f aca="false">IF(DP$8=1,N(Reales!DP22),IF(DP$134=1,INDEX(Vol_V,11,DP$133)/12*(1+V_dVol),0))</f>
        <v>0</v>
      </c>
      <c r="DQ150" s="34" t="n">
        <f aca="false">IF(DQ$8=1,N(Reales!DQ22),IF(DQ$134=1,INDEX(Vol_V,11,DQ$133)/12*(1+V_dVol),0))</f>
        <v>0</v>
      </c>
      <c r="DR150" s="34" t="n">
        <f aca="false">IF(DR$8=1,N(Reales!DR22),IF(DR$134=1,INDEX(Vol_V,11,DR$133)/12*(1+V_dVol),0))</f>
        <v>0</v>
      </c>
      <c r="DS150" s="34" t="n">
        <f aca="false">IF(DS$8=1,N(Reales!DS22),IF(DS$134=1,INDEX(Vol_V,11,DS$133)/12*(1+V_dVol),0))</f>
        <v>0</v>
      </c>
      <c r="DT150" s="34" t="n">
        <f aca="false">IF(DT$8=1,N(Reales!DT22),IF(DT$134=1,INDEX(Vol_V,11,DT$133)/12*(1+V_dVol),0))</f>
        <v>0</v>
      </c>
      <c r="DU150" s="34" t="n">
        <f aca="false">IF(DU$8=1,N(Reales!DU22),IF(DU$134=1,INDEX(Vol_V,11,DU$133)/12*(1+V_dVol),0))</f>
        <v>0</v>
      </c>
      <c r="DV150" s="34" t="n">
        <f aca="false">IF(DV$8=1,N(Reales!DV22),IF(DV$134=1,INDEX(Vol_V,11,DV$133)/12*(1+V_dVol),0))</f>
        <v>0</v>
      </c>
      <c r="DW150" s="34" t="n">
        <f aca="false">IF(DW$8=1,N(Reales!DW22),IF(DW$134=1,INDEX(Vol_V,11,DW$133)/12*(1+V_dVol),0))</f>
        <v>0</v>
      </c>
      <c r="DX150" s="34" t="n">
        <f aca="false">IF(DX$8=1,N(Reales!DX22),IF(DX$134=1,INDEX(Vol_V,11,DX$133)/12*(1+V_dVol),0))</f>
        <v>0</v>
      </c>
      <c r="DY150" s="34" t="n">
        <f aca="false">IF(DY$8=1,N(Reales!DY22),IF(DY$134=1,INDEX(Vol_V,11,DY$133)/12*(1+V_dVol),0))</f>
        <v>0</v>
      </c>
      <c r="DZ150" s="34" t="n">
        <f aca="false">IF(DZ$8=1,N(Reales!DZ22),IF(DZ$134=1,INDEX(Vol_V,11,DZ$133)/12*(1+V_dVol),0))</f>
        <v>0</v>
      </c>
      <c r="EA150" s="34" t="n">
        <f aca="false">IF(EA$8=1,N(Reales!EA22),IF(EA$134=1,INDEX(Vol_V,11,EA$133)/12*(1+V_dVol),0))</f>
        <v>0</v>
      </c>
      <c r="EB150" s="34" t="n">
        <f aca="false">IF(EB$8=1,N(Reales!EB22),IF(EB$134=1,INDEX(Vol_V,11,EB$133)/12*(1+V_dVol),0))</f>
        <v>0</v>
      </c>
      <c r="EC150" s="34" t="n">
        <f aca="false">IF(EC$8=1,N(Reales!EC22),IF(EC$134=1,INDEX(Vol_V,11,EC$133)/12*(1+V_dVol),0))</f>
        <v>0</v>
      </c>
      <c r="ED150" s="34" t="n">
        <f aca="false">IF(ED$8=1,N(Reales!ED22),IF(ED$134=1,INDEX(Vol_V,11,ED$133)/12*(1+V_dVol),0))</f>
        <v>0</v>
      </c>
      <c r="EE150" s="34" t="n">
        <f aca="false">IF(EE$8=1,N(Reales!EE22),IF(EE$134=1,INDEX(Vol_V,11,EE$133)/12*(1+V_dVol),0))</f>
        <v>0</v>
      </c>
      <c r="EF150" s="34" t="n">
        <f aca="false">IF(EF$8=1,N(Reales!EF22),IF(EF$134=1,INDEX(Vol_V,11,EF$133)/12*(1+V_dVol),0))</f>
        <v>0</v>
      </c>
      <c r="EG150" s="34" t="n">
        <f aca="false">IF(EG$8=1,N(Reales!EG22),IF(EG$134=1,INDEX(Vol_V,11,EG$133)/12*(1+V_dVol),0))</f>
        <v>0</v>
      </c>
      <c r="EH150" s="34" t="n">
        <f aca="false">IF(EH$8=1,N(Reales!EH22),IF(EH$134=1,INDEX(Vol_V,11,EH$133)/12*(1+V_dVol),0))</f>
        <v>0</v>
      </c>
      <c r="EI150" s="34" t="n">
        <f aca="false">IF(EI$8=1,N(Reales!EI22),IF(EI$134=1,INDEX(Vol_V,11,EI$133)/12*(1+V_dVol),0))</f>
        <v>0</v>
      </c>
      <c r="EJ150" s="34" t="n">
        <f aca="false">IF(EJ$8=1,N(Reales!EJ22),IF(EJ$134=1,INDEX(Vol_V,11,EJ$133)/12*(1+V_dVol),0))</f>
        <v>0</v>
      </c>
      <c r="EK150" s="34" t="n">
        <f aca="false">IF(EK$8=1,N(Reales!EK22),IF(EK$134=1,INDEX(Vol_V,11,EK$133)/12*(1+V_dVol),0))</f>
        <v>0</v>
      </c>
      <c r="EL150" s="34" t="n">
        <f aca="false">IF(EL$8=1,N(Reales!EL22),IF(EL$134=1,INDEX(Vol_V,11,EL$133)/12*(1+V_dVol),0))</f>
        <v>0</v>
      </c>
      <c r="EM150" s="34" t="n">
        <f aca="false">IF(EM$8=1,N(Reales!EM22),IF(EM$134=1,INDEX(Vol_V,11,EM$133)/12*(1+V_dVol),0))</f>
        <v>0</v>
      </c>
      <c r="EN150" s="34" t="n">
        <f aca="false">IF(EN$8=1,N(Reales!EN22),IF(EN$134=1,INDEX(Vol_V,11,EN$133)/12*(1+V_dVol),0))</f>
        <v>0</v>
      </c>
      <c r="EO150" s="34" t="n">
        <f aca="false">IF(EO$8=1,N(Reales!EO22),IF(EO$134=1,INDEX(Vol_V,11,EO$133)/12*(1+V_dVol),0))</f>
        <v>0</v>
      </c>
      <c r="EP150" s="34" t="n">
        <f aca="false">IF(EP$8=1,N(Reales!EP22),IF(EP$134=1,INDEX(Vol_V,11,EP$133)/12*(1+V_dVol),0))</f>
        <v>0</v>
      </c>
      <c r="EQ150" s="34" t="n">
        <f aca="false">IF(EQ$8=1,N(Reales!EQ22),IF(EQ$134=1,INDEX(Vol_V,11,EQ$133)/12*(1+V_dVol),0))</f>
        <v>0</v>
      </c>
      <c r="ER150" s="34" t="n">
        <f aca="false">IF(ER$8=1,N(Reales!ER22),IF(ER$134=1,INDEX(Vol_V,11,ER$133)/12*(1+V_dVol),0))</f>
        <v>0</v>
      </c>
      <c r="ES150" s="34" t="n">
        <f aca="false">IF(ES$8=1,N(Reales!ES22),IF(ES$134=1,INDEX(Vol_V,11,ES$133)/12*(1+V_dVol),0))</f>
        <v>0</v>
      </c>
    </row>
    <row r="151" customFormat="false" ht="15" hidden="false" customHeight="false" outlineLevel="0" collapsed="false">
      <c r="A151" s="2" t="s">
        <v>630</v>
      </c>
      <c r="B151" s="39" t="str">
        <f aca="false">IF(INDEX(Prod_Nombre,12)="","Producto 12",INDEX(Prod_Nombre,12))&amp;" — unidades"</f>
        <v>Producto 12 — unidades</v>
      </c>
      <c r="C151" s="6" t="s">
        <v>337</v>
      </c>
      <c r="E151" s="40" t="n">
        <f aca="false">SUM(F151:ES151)</f>
        <v>0</v>
      </c>
      <c r="F151" s="34" t="n">
        <f aca="false">IF(F$8=1,N(Reales!F23),IF(F$134=1,INDEX(Vol_V,12,F$133)/12*(1+V_dVol),0))</f>
        <v>0</v>
      </c>
      <c r="G151" s="34" t="n">
        <f aca="false">IF(G$8=1,N(Reales!G23),IF(G$134=1,INDEX(Vol_V,12,G$133)/12*(1+V_dVol),0))</f>
        <v>0</v>
      </c>
      <c r="H151" s="34" t="n">
        <f aca="false">IF(H$8=1,N(Reales!H23),IF(H$134=1,INDEX(Vol_V,12,H$133)/12*(1+V_dVol),0))</f>
        <v>0</v>
      </c>
      <c r="I151" s="34" t="n">
        <f aca="false">IF(I$8=1,N(Reales!I23),IF(I$134=1,INDEX(Vol_V,12,I$133)/12*(1+V_dVol),0))</f>
        <v>0</v>
      </c>
      <c r="J151" s="34" t="n">
        <f aca="false">IF(J$8=1,N(Reales!J23),IF(J$134=1,INDEX(Vol_V,12,J$133)/12*(1+V_dVol),0))</f>
        <v>0</v>
      </c>
      <c r="K151" s="34" t="n">
        <f aca="false">IF(K$8=1,N(Reales!K23),IF(K$134=1,INDEX(Vol_V,12,K$133)/12*(1+V_dVol),0))</f>
        <v>0</v>
      </c>
      <c r="L151" s="34" t="n">
        <f aca="false">IF(L$8=1,N(Reales!L23),IF(L$134=1,INDEX(Vol_V,12,L$133)/12*(1+V_dVol),0))</f>
        <v>0</v>
      </c>
      <c r="M151" s="34" t="n">
        <f aca="false">IF(M$8=1,N(Reales!M23),IF(M$134=1,INDEX(Vol_V,12,M$133)/12*(1+V_dVol),0))</f>
        <v>0</v>
      </c>
      <c r="N151" s="34" t="n">
        <f aca="false">IF(N$8=1,N(Reales!N23),IF(N$134=1,INDEX(Vol_V,12,N$133)/12*(1+V_dVol),0))</f>
        <v>0</v>
      </c>
      <c r="O151" s="34" t="n">
        <f aca="false">IF(O$8=1,N(Reales!O23),IF(O$134=1,INDEX(Vol_V,12,O$133)/12*(1+V_dVol),0))</f>
        <v>0</v>
      </c>
      <c r="P151" s="34" t="n">
        <f aca="false">IF(P$8=1,N(Reales!P23),IF(P$134=1,INDEX(Vol_V,12,P$133)/12*(1+V_dVol),0))</f>
        <v>0</v>
      </c>
      <c r="Q151" s="34" t="n">
        <f aca="false">IF(Q$8=1,N(Reales!Q23),IF(Q$134=1,INDEX(Vol_V,12,Q$133)/12*(1+V_dVol),0))</f>
        <v>0</v>
      </c>
      <c r="R151" s="34" t="n">
        <f aca="false">IF(R$8=1,N(Reales!R23),IF(R$134=1,INDEX(Vol_V,12,R$133)/12*(1+V_dVol),0))</f>
        <v>0</v>
      </c>
      <c r="S151" s="34" t="n">
        <f aca="false">IF(S$8=1,N(Reales!S23),IF(S$134=1,INDEX(Vol_V,12,S$133)/12*(1+V_dVol),0))</f>
        <v>0</v>
      </c>
      <c r="T151" s="34" t="n">
        <f aca="false">IF(T$8=1,N(Reales!T23),IF(T$134=1,INDEX(Vol_V,12,T$133)/12*(1+V_dVol),0))</f>
        <v>0</v>
      </c>
      <c r="U151" s="34" t="n">
        <f aca="false">IF(U$8=1,N(Reales!U23),IF(U$134=1,INDEX(Vol_V,12,U$133)/12*(1+V_dVol),0))</f>
        <v>0</v>
      </c>
      <c r="V151" s="34" t="n">
        <f aca="false">IF(V$8=1,N(Reales!V23),IF(V$134=1,INDEX(Vol_V,12,V$133)/12*(1+V_dVol),0))</f>
        <v>0</v>
      </c>
      <c r="W151" s="34" t="n">
        <f aca="false">IF(W$8=1,N(Reales!W23),IF(W$134=1,INDEX(Vol_V,12,W$133)/12*(1+V_dVol),0))</f>
        <v>0</v>
      </c>
      <c r="X151" s="34" t="n">
        <f aca="false">IF(X$8=1,N(Reales!X23),IF(X$134=1,INDEX(Vol_V,12,X$133)/12*(1+V_dVol),0))</f>
        <v>0</v>
      </c>
      <c r="Y151" s="34" t="n">
        <f aca="false">IF(Y$8=1,N(Reales!Y23),IF(Y$134=1,INDEX(Vol_V,12,Y$133)/12*(1+V_dVol),0))</f>
        <v>0</v>
      </c>
      <c r="Z151" s="34" t="n">
        <f aca="false">IF(Z$8=1,N(Reales!Z23),IF(Z$134=1,INDEX(Vol_V,12,Z$133)/12*(1+V_dVol),0))</f>
        <v>0</v>
      </c>
      <c r="AA151" s="34" t="n">
        <f aca="false">IF(AA$8=1,N(Reales!AA23),IF(AA$134=1,INDEX(Vol_V,12,AA$133)/12*(1+V_dVol),0))</f>
        <v>0</v>
      </c>
      <c r="AB151" s="34" t="n">
        <f aca="false">IF(AB$8=1,N(Reales!AB23),IF(AB$134=1,INDEX(Vol_V,12,AB$133)/12*(1+V_dVol),0))</f>
        <v>0</v>
      </c>
      <c r="AC151" s="34" t="n">
        <f aca="false">IF(AC$8=1,N(Reales!AC23),IF(AC$134=1,INDEX(Vol_V,12,AC$133)/12*(1+V_dVol),0))</f>
        <v>0</v>
      </c>
      <c r="AD151" s="34" t="n">
        <f aca="false">IF(AD$8=1,N(Reales!AD23),IF(AD$134=1,INDEX(Vol_V,12,AD$133)/12*(1+V_dVol),0))</f>
        <v>0</v>
      </c>
      <c r="AE151" s="34" t="n">
        <f aca="false">IF(AE$8=1,N(Reales!AE23),IF(AE$134=1,INDEX(Vol_V,12,AE$133)/12*(1+V_dVol),0))</f>
        <v>0</v>
      </c>
      <c r="AF151" s="34" t="n">
        <f aca="false">IF(AF$8=1,N(Reales!AF23),IF(AF$134=1,INDEX(Vol_V,12,AF$133)/12*(1+V_dVol),0))</f>
        <v>0</v>
      </c>
      <c r="AG151" s="34" t="n">
        <f aca="false">IF(AG$8=1,N(Reales!AG23),IF(AG$134=1,INDEX(Vol_V,12,AG$133)/12*(1+V_dVol),0))</f>
        <v>0</v>
      </c>
      <c r="AH151" s="34" t="n">
        <f aca="false">IF(AH$8=1,N(Reales!AH23),IF(AH$134=1,INDEX(Vol_V,12,AH$133)/12*(1+V_dVol),0))</f>
        <v>0</v>
      </c>
      <c r="AI151" s="34" t="n">
        <f aca="false">IF(AI$8=1,N(Reales!AI23),IF(AI$134=1,INDEX(Vol_V,12,AI$133)/12*(1+V_dVol),0))</f>
        <v>0</v>
      </c>
      <c r="AJ151" s="34" t="n">
        <f aca="false">IF(AJ$8=1,N(Reales!AJ23),IF(AJ$134=1,INDEX(Vol_V,12,AJ$133)/12*(1+V_dVol),0))</f>
        <v>0</v>
      </c>
      <c r="AK151" s="34" t="n">
        <f aca="false">IF(AK$8=1,N(Reales!AK23),IF(AK$134=1,INDEX(Vol_V,12,AK$133)/12*(1+V_dVol),0))</f>
        <v>0</v>
      </c>
      <c r="AL151" s="34" t="n">
        <f aca="false">IF(AL$8=1,N(Reales!AL23),IF(AL$134=1,INDEX(Vol_V,12,AL$133)/12*(1+V_dVol),0))</f>
        <v>0</v>
      </c>
      <c r="AM151" s="34" t="n">
        <f aca="false">IF(AM$8=1,N(Reales!AM23),IF(AM$134=1,INDEX(Vol_V,12,AM$133)/12*(1+V_dVol),0))</f>
        <v>0</v>
      </c>
      <c r="AN151" s="34" t="n">
        <f aca="false">IF(AN$8=1,N(Reales!AN23),IF(AN$134=1,INDEX(Vol_V,12,AN$133)/12*(1+V_dVol),0))</f>
        <v>0</v>
      </c>
      <c r="AO151" s="34" t="n">
        <f aca="false">IF(AO$8=1,N(Reales!AO23),IF(AO$134=1,INDEX(Vol_V,12,AO$133)/12*(1+V_dVol),0))</f>
        <v>0</v>
      </c>
      <c r="AP151" s="34" t="n">
        <f aca="false">IF(AP$8=1,N(Reales!AP23),IF(AP$134=1,INDEX(Vol_V,12,AP$133)/12*(1+V_dVol),0))</f>
        <v>0</v>
      </c>
      <c r="AQ151" s="34" t="n">
        <f aca="false">IF(AQ$8=1,N(Reales!AQ23),IF(AQ$134=1,INDEX(Vol_V,12,AQ$133)/12*(1+V_dVol),0))</f>
        <v>0</v>
      </c>
      <c r="AR151" s="34" t="n">
        <f aca="false">IF(AR$8=1,N(Reales!AR23),IF(AR$134=1,INDEX(Vol_V,12,AR$133)/12*(1+V_dVol),0))</f>
        <v>0</v>
      </c>
      <c r="AS151" s="34" t="n">
        <f aca="false">IF(AS$8=1,N(Reales!AS23),IF(AS$134=1,INDEX(Vol_V,12,AS$133)/12*(1+V_dVol),0))</f>
        <v>0</v>
      </c>
      <c r="AT151" s="34" t="n">
        <f aca="false">IF(AT$8=1,N(Reales!AT23),IF(AT$134=1,INDEX(Vol_V,12,AT$133)/12*(1+V_dVol),0))</f>
        <v>0</v>
      </c>
      <c r="AU151" s="34" t="n">
        <f aca="false">IF(AU$8=1,N(Reales!AU23),IF(AU$134=1,INDEX(Vol_V,12,AU$133)/12*(1+V_dVol),0))</f>
        <v>0</v>
      </c>
      <c r="AV151" s="34" t="n">
        <f aca="false">IF(AV$8=1,N(Reales!AV23),IF(AV$134=1,INDEX(Vol_V,12,AV$133)/12*(1+V_dVol),0))</f>
        <v>0</v>
      </c>
      <c r="AW151" s="34" t="n">
        <f aca="false">IF(AW$8=1,N(Reales!AW23),IF(AW$134=1,INDEX(Vol_V,12,AW$133)/12*(1+V_dVol),0))</f>
        <v>0</v>
      </c>
      <c r="AX151" s="34" t="n">
        <f aca="false">IF(AX$8=1,N(Reales!AX23),IF(AX$134=1,INDEX(Vol_V,12,AX$133)/12*(1+V_dVol),0))</f>
        <v>0</v>
      </c>
      <c r="AY151" s="34" t="n">
        <f aca="false">IF(AY$8=1,N(Reales!AY23),IF(AY$134=1,INDEX(Vol_V,12,AY$133)/12*(1+V_dVol),0))</f>
        <v>0</v>
      </c>
      <c r="AZ151" s="34" t="n">
        <f aca="false">IF(AZ$8=1,N(Reales!AZ23),IF(AZ$134=1,INDEX(Vol_V,12,AZ$133)/12*(1+V_dVol),0))</f>
        <v>0</v>
      </c>
      <c r="BA151" s="34" t="n">
        <f aca="false">IF(BA$8=1,N(Reales!BA23),IF(BA$134=1,INDEX(Vol_V,12,BA$133)/12*(1+V_dVol),0))</f>
        <v>0</v>
      </c>
      <c r="BB151" s="34" t="n">
        <f aca="false">IF(BB$8=1,N(Reales!BB23),IF(BB$134=1,INDEX(Vol_V,12,BB$133)/12*(1+V_dVol),0))</f>
        <v>0</v>
      </c>
      <c r="BC151" s="34" t="n">
        <f aca="false">IF(BC$8=1,N(Reales!BC23),IF(BC$134=1,INDEX(Vol_V,12,BC$133)/12*(1+V_dVol),0))</f>
        <v>0</v>
      </c>
      <c r="BD151" s="34" t="n">
        <f aca="false">IF(BD$8=1,N(Reales!BD23),IF(BD$134=1,INDEX(Vol_V,12,BD$133)/12*(1+V_dVol),0))</f>
        <v>0</v>
      </c>
      <c r="BE151" s="34" t="n">
        <f aca="false">IF(BE$8=1,N(Reales!BE23),IF(BE$134=1,INDEX(Vol_V,12,BE$133)/12*(1+V_dVol),0))</f>
        <v>0</v>
      </c>
      <c r="BF151" s="34" t="n">
        <f aca="false">IF(BF$8=1,N(Reales!BF23),IF(BF$134=1,INDEX(Vol_V,12,BF$133)/12*(1+V_dVol),0))</f>
        <v>0</v>
      </c>
      <c r="BG151" s="34" t="n">
        <f aca="false">IF(BG$8=1,N(Reales!BG23),IF(BG$134=1,INDEX(Vol_V,12,BG$133)/12*(1+V_dVol),0))</f>
        <v>0</v>
      </c>
      <c r="BH151" s="34" t="n">
        <f aca="false">IF(BH$8=1,N(Reales!BH23),IF(BH$134=1,INDEX(Vol_V,12,BH$133)/12*(1+V_dVol),0))</f>
        <v>0</v>
      </c>
      <c r="BI151" s="34" t="n">
        <f aca="false">IF(BI$8=1,N(Reales!BI23),IF(BI$134=1,INDEX(Vol_V,12,BI$133)/12*(1+V_dVol),0))</f>
        <v>0</v>
      </c>
      <c r="BJ151" s="34" t="n">
        <f aca="false">IF(BJ$8=1,N(Reales!BJ23),IF(BJ$134=1,INDEX(Vol_V,12,BJ$133)/12*(1+V_dVol),0))</f>
        <v>0</v>
      </c>
      <c r="BK151" s="34" t="n">
        <f aca="false">IF(BK$8=1,N(Reales!BK23),IF(BK$134=1,INDEX(Vol_V,12,BK$133)/12*(1+V_dVol),0))</f>
        <v>0</v>
      </c>
      <c r="BL151" s="34" t="n">
        <f aca="false">IF(BL$8=1,N(Reales!BL23),IF(BL$134=1,INDEX(Vol_V,12,BL$133)/12*(1+V_dVol),0))</f>
        <v>0</v>
      </c>
      <c r="BM151" s="34" t="n">
        <f aca="false">IF(BM$8=1,N(Reales!BM23),IF(BM$134=1,INDEX(Vol_V,12,BM$133)/12*(1+V_dVol),0))</f>
        <v>0</v>
      </c>
      <c r="BN151" s="34" t="n">
        <f aca="false">IF(BN$8=1,N(Reales!BN23),IF(BN$134=1,INDEX(Vol_V,12,BN$133)/12*(1+V_dVol),0))</f>
        <v>0</v>
      </c>
      <c r="BO151" s="34" t="n">
        <f aca="false">IF(BO$8=1,N(Reales!BO23),IF(BO$134=1,INDEX(Vol_V,12,BO$133)/12*(1+V_dVol),0))</f>
        <v>0</v>
      </c>
      <c r="BP151" s="34" t="n">
        <f aca="false">IF(BP$8=1,N(Reales!BP23),IF(BP$134=1,INDEX(Vol_V,12,BP$133)/12*(1+V_dVol),0))</f>
        <v>0</v>
      </c>
      <c r="BQ151" s="34" t="n">
        <f aca="false">IF(BQ$8=1,N(Reales!BQ23),IF(BQ$134=1,INDEX(Vol_V,12,BQ$133)/12*(1+V_dVol),0))</f>
        <v>0</v>
      </c>
      <c r="BR151" s="34" t="n">
        <f aca="false">IF(BR$8=1,N(Reales!BR23),IF(BR$134=1,INDEX(Vol_V,12,BR$133)/12*(1+V_dVol),0))</f>
        <v>0</v>
      </c>
      <c r="BS151" s="34" t="n">
        <f aca="false">IF(BS$8=1,N(Reales!BS23),IF(BS$134=1,INDEX(Vol_V,12,BS$133)/12*(1+V_dVol),0))</f>
        <v>0</v>
      </c>
      <c r="BT151" s="34" t="n">
        <f aca="false">IF(BT$8=1,N(Reales!BT23),IF(BT$134=1,INDEX(Vol_V,12,BT$133)/12*(1+V_dVol),0))</f>
        <v>0</v>
      </c>
      <c r="BU151" s="34" t="n">
        <f aca="false">IF(BU$8=1,N(Reales!BU23),IF(BU$134=1,INDEX(Vol_V,12,BU$133)/12*(1+V_dVol),0))</f>
        <v>0</v>
      </c>
      <c r="BV151" s="34" t="n">
        <f aca="false">IF(BV$8=1,N(Reales!BV23),IF(BV$134=1,INDEX(Vol_V,12,BV$133)/12*(1+V_dVol),0))</f>
        <v>0</v>
      </c>
      <c r="BW151" s="34" t="n">
        <f aca="false">IF(BW$8=1,N(Reales!BW23),IF(BW$134=1,INDEX(Vol_V,12,BW$133)/12*(1+V_dVol),0))</f>
        <v>0</v>
      </c>
      <c r="BX151" s="34" t="n">
        <f aca="false">IF(BX$8=1,N(Reales!BX23),IF(BX$134=1,INDEX(Vol_V,12,BX$133)/12*(1+V_dVol),0))</f>
        <v>0</v>
      </c>
      <c r="BY151" s="34" t="n">
        <f aca="false">IF(BY$8=1,N(Reales!BY23),IF(BY$134=1,INDEX(Vol_V,12,BY$133)/12*(1+V_dVol),0))</f>
        <v>0</v>
      </c>
      <c r="BZ151" s="34" t="n">
        <f aca="false">IF(BZ$8=1,N(Reales!BZ23),IF(BZ$134=1,INDEX(Vol_V,12,BZ$133)/12*(1+V_dVol),0))</f>
        <v>0</v>
      </c>
      <c r="CA151" s="34" t="n">
        <f aca="false">IF(CA$8=1,N(Reales!CA23),IF(CA$134=1,INDEX(Vol_V,12,CA$133)/12*(1+V_dVol),0))</f>
        <v>0</v>
      </c>
      <c r="CB151" s="34" t="n">
        <f aca="false">IF(CB$8=1,N(Reales!CB23),IF(CB$134=1,INDEX(Vol_V,12,CB$133)/12*(1+V_dVol),0))</f>
        <v>0</v>
      </c>
      <c r="CC151" s="34" t="n">
        <f aca="false">IF(CC$8=1,N(Reales!CC23),IF(CC$134=1,INDEX(Vol_V,12,CC$133)/12*(1+V_dVol),0))</f>
        <v>0</v>
      </c>
      <c r="CD151" s="34" t="n">
        <f aca="false">IF(CD$8=1,N(Reales!CD23),IF(CD$134=1,INDEX(Vol_V,12,CD$133)/12*(1+V_dVol),0))</f>
        <v>0</v>
      </c>
      <c r="CE151" s="34" t="n">
        <f aca="false">IF(CE$8=1,N(Reales!CE23),IF(CE$134=1,INDEX(Vol_V,12,CE$133)/12*(1+V_dVol),0))</f>
        <v>0</v>
      </c>
      <c r="CF151" s="34" t="n">
        <f aca="false">IF(CF$8=1,N(Reales!CF23),IF(CF$134=1,INDEX(Vol_V,12,CF$133)/12*(1+V_dVol),0))</f>
        <v>0</v>
      </c>
      <c r="CG151" s="34" t="n">
        <f aca="false">IF(CG$8=1,N(Reales!CG23),IF(CG$134=1,INDEX(Vol_V,12,CG$133)/12*(1+V_dVol),0))</f>
        <v>0</v>
      </c>
      <c r="CH151" s="34" t="n">
        <f aca="false">IF(CH$8=1,N(Reales!CH23),IF(CH$134=1,INDEX(Vol_V,12,CH$133)/12*(1+V_dVol),0))</f>
        <v>0</v>
      </c>
      <c r="CI151" s="34" t="n">
        <f aca="false">IF(CI$8=1,N(Reales!CI23),IF(CI$134=1,INDEX(Vol_V,12,CI$133)/12*(1+V_dVol),0))</f>
        <v>0</v>
      </c>
      <c r="CJ151" s="34" t="n">
        <f aca="false">IF(CJ$8=1,N(Reales!CJ23),IF(CJ$134=1,INDEX(Vol_V,12,CJ$133)/12*(1+V_dVol),0))</f>
        <v>0</v>
      </c>
      <c r="CK151" s="34" t="n">
        <f aca="false">IF(CK$8=1,N(Reales!CK23),IF(CK$134=1,INDEX(Vol_V,12,CK$133)/12*(1+V_dVol),0))</f>
        <v>0</v>
      </c>
      <c r="CL151" s="34" t="n">
        <f aca="false">IF(CL$8=1,N(Reales!CL23),IF(CL$134=1,INDEX(Vol_V,12,CL$133)/12*(1+V_dVol),0))</f>
        <v>0</v>
      </c>
      <c r="CM151" s="34" t="n">
        <f aca="false">IF(CM$8=1,N(Reales!CM23),IF(CM$134=1,INDEX(Vol_V,12,CM$133)/12*(1+V_dVol),0))</f>
        <v>0</v>
      </c>
      <c r="CN151" s="34" t="n">
        <f aca="false">IF(CN$8=1,N(Reales!CN23),IF(CN$134=1,INDEX(Vol_V,12,CN$133)/12*(1+V_dVol),0))</f>
        <v>0</v>
      </c>
      <c r="CO151" s="34" t="n">
        <f aca="false">IF(CO$8=1,N(Reales!CO23),IF(CO$134=1,INDEX(Vol_V,12,CO$133)/12*(1+V_dVol),0))</f>
        <v>0</v>
      </c>
      <c r="CP151" s="34" t="n">
        <f aca="false">IF(CP$8=1,N(Reales!CP23),IF(CP$134=1,INDEX(Vol_V,12,CP$133)/12*(1+V_dVol),0))</f>
        <v>0</v>
      </c>
      <c r="CQ151" s="34" t="n">
        <f aca="false">IF(CQ$8=1,N(Reales!CQ23),IF(CQ$134=1,INDEX(Vol_V,12,CQ$133)/12*(1+V_dVol),0))</f>
        <v>0</v>
      </c>
      <c r="CR151" s="34" t="n">
        <f aca="false">IF(CR$8=1,N(Reales!CR23),IF(CR$134=1,INDEX(Vol_V,12,CR$133)/12*(1+V_dVol),0))</f>
        <v>0</v>
      </c>
      <c r="CS151" s="34" t="n">
        <f aca="false">IF(CS$8=1,N(Reales!CS23),IF(CS$134=1,INDEX(Vol_V,12,CS$133)/12*(1+V_dVol),0))</f>
        <v>0</v>
      </c>
      <c r="CT151" s="34" t="n">
        <f aca="false">IF(CT$8=1,N(Reales!CT23),IF(CT$134=1,INDEX(Vol_V,12,CT$133)/12*(1+V_dVol),0))</f>
        <v>0</v>
      </c>
      <c r="CU151" s="34" t="n">
        <f aca="false">IF(CU$8=1,N(Reales!CU23),IF(CU$134=1,INDEX(Vol_V,12,CU$133)/12*(1+V_dVol),0))</f>
        <v>0</v>
      </c>
      <c r="CV151" s="34" t="n">
        <f aca="false">IF(CV$8=1,N(Reales!CV23),IF(CV$134=1,INDEX(Vol_V,12,CV$133)/12*(1+V_dVol),0))</f>
        <v>0</v>
      </c>
      <c r="CW151" s="34" t="n">
        <f aca="false">IF(CW$8=1,N(Reales!CW23),IF(CW$134=1,INDEX(Vol_V,12,CW$133)/12*(1+V_dVol),0))</f>
        <v>0</v>
      </c>
      <c r="CX151" s="34" t="n">
        <f aca="false">IF(CX$8=1,N(Reales!CX23),IF(CX$134=1,INDEX(Vol_V,12,CX$133)/12*(1+V_dVol),0))</f>
        <v>0</v>
      </c>
      <c r="CY151" s="34" t="n">
        <f aca="false">IF(CY$8=1,N(Reales!CY23),IF(CY$134=1,INDEX(Vol_V,12,CY$133)/12*(1+V_dVol),0))</f>
        <v>0</v>
      </c>
      <c r="CZ151" s="34" t="n">
        <f aca="false">IF(CZ$8=1,N(Reales!CZ23),IF(CZ$134=1,INDEX(Vol_V,12,CZ$133)/12*(1+V_dVol),0))</f>
        <v>0</v>
      </c>
      <c r="DA151" s="34" t="n">
        <f aca="false">IF(DA$8=1,N(Reales!DA23),IF(DA$134=1,INDEX(Vol_V,12,DA$133)/12*(1+V_dVol),0))</f>
        <v>0</v>
      </c>
      <c r="DB151" s="34" t="n">
        <f aca="false">IF(DB$8=1,N(Reales!DB23),IF(DB$134=1,INDEX(Vol_V,12,DB$133)/12*(1+V_dVol),0))</f>
        <v>0</v>
      </c>
      <c r="DC151" s="34" t="n">
        <f aca="false">IF(DC$8=1,N(Reales!DC23),IF(DC$134=1,INDEX(Vol_V,12,DC$133)/12*(1+V_dVol),0))</f>
        <v>0</v>
      </c>
      <c r="DD151" s="34" t="n">
        <f aca="false">IF(DD$8=1,N(Reales!DD23),IF(DD$134=1,INDEX(Vol_V,12,DD$133)/12*(1+V_dVol),0))</f>
        <v>0</v>
      </c>
      <c r="DE151" s="34" t="n">
        <f aca="false">IF(DE$8=1,N(Reales!DE23),IF(DE$134=1,INDEX(Vol_V,12,DE$133)/12*(1+V_dVol),0))</f>
        <v>0</v>
      </c>
      <c r="DF151" s="34" t="n">
        <f aca="false">IF(DF$8=1,N(Reales!DF23),IF(DF$134=1,INDEX(Vol_V,12,DF$133)/12*(1+V_dVol),0))</f>
        <v>0</v>
      </c>
      <c r="DG151" s="34" t="n">
        <f aca="false">IF(DG$8=1,N(Reales!DG23),IF(DG$134=1,INDEX(Vol_V,12,DG$133)/12*(1+V_dVol),0))</f>
        <v>0</v>
      </c>
      <c r="DH151" s="34" t="n">
        <f aca="false">IF(DH$8=1,N(Reales!DH23),IF(DH$134=1,INDEX(Vol_V,12,DH$133)/12*(1+V_dVol),0))</f>
        <v>0</v>
      </c>
      <c r="DI151" s="34" t="n">
        <f aca="false">IF(DI$8=1,N(Reales!DI23),IF(DI$134=1,INDEX(Vol_V,12,DI$133)/12*(1+V_dVol),0))</f>
        <v>0</v>
      </c>
      <c r="DJ151" s="34" t="n">
        <f aca="false">IF(DJ$8=1,N(Reales!DJ23),IF(DJ$134=1,INDEX(Vol_V,12,DJ$133)/12*(1+V_dVol),0))</f>
        <v>0</v>
      </c>
      <c r="DK151" s="34" t="n">
        <f aca="false">IF(DK$8=1,N(Reales!DK23),IF(DK$134=1,INDEX(Vol_V,12,DK$133)/12*(1+V_dVol),0))</f>
        <v>0</v>
      </c>
      <c r="DL151" s="34" t="n">
        <f aca="false">IF(DL$8=1,N(Reales!DL23),IF(DL$134=1,INDEX(Vol_V,12,DL$133)/12*(1+V_dVol),0))</f>
        <v>0</v>
      </c>
      <c r="DM151" s="34" t="n">
        <f aca="false">IF(DM$8=1,N(Reales!DM23),IF(DM$134=1,INDEX(Vol_V,12,DM$133)/12*(1+V_dVol),0))</f>
        <v>0</v>
      </c>
      <c r="DN151" s="34" t="n">
        <f aca="false">IF(DN$8=1,N(Reales!DN23),IF(DN$134=1,INDEX(Vol_V,12,DN$133)/12*(1+V_dVol),0))</f>
        <v>0</v>
      </c>
      <c r="DO151" s="34" t="n">
        <f aca="false">IF(DO$8=1,N(Reales!DO23),IF(DO$134=1,INDEX(Vol_V,12,DO$133)/12*(1+V_dVol),0))</f>
        <v>0</v>
      </c>
      <c r="DP151" s="34" t="n">
        <f aca="false">IF(DP$8=1,N(Reales!DP23),IF(DP$134=1,INDEX(Vol_V,12,DP$133)/12*(1+V_dVol),0))</f>
        <v>0</v>
      </c>
      <c r="DQ151" s="34" t="n">
        <f aca="false">IF(DQ$8=1,N(Reales!DQ23),IF(DQ$134=1,INDEX(Vol_V,12,DQ$133)/12*(1+V_dVol),0))</f>
        <v>0</v>
      </c>
      <c r="DR151" s="34" t="n">
        <f aca="false">IF(DR$8=1,N(Reales!DR23),IF(DR$134=1,INDEX(Vol_V,12,DR$133)/12*(1+V_dVol),0))</f>
        <v>0</v>
      </c>
      <c r="DS151" s="34" t="n">
        <f aca="false">IF(DS$8=1,N(Reales!DS23),IF(DS$134=1,INDEX(Vol_V,12,DS$133)/12*(1+V_dVol),0))</f>
        <v>0</v>
      </c>
      <c r="DT151" s="34" t="n">
        <f aca="false">IF(DT$8=1,N(Reales!DT23),IF(DT$134=1,INDEX(Vol_V,12,DT$133)/12*(1+V_dVol),0))</f>
        <v>0</v>
      </c>
      <c r="DU151" s="34" t="n">
        <f aca="false">IF(DU$8=1,N(Reales!DU23),IF(DU$134=1,INDEX(Vol_V,12,DU$133)/12*(1+V_dVol),0))</f>
        <v>0</v>
      </c>
      <c r="DV151" s="34" t="n">
        <f aca="false">IF(DV$8=1,N(Reales!DV23),IF(DV$134=1,INDEX(Vol_V,12,DV$133)/12*(1+V_dVol),0))</f>
        <v>0</v>
      </c>
      <c r="DW151" s="34" t="n">
        <f aca="false">IF(DW$8=1,N(Reales!DW23),IF(DW$134=1,INDEX(Vol_V,12,DW$133)/12*(1+V_dVol),0))</f>
        <v>0</v>
      </c>
      <c r="DX151" s="34" t="n">
        <f aca="false">IF(DX$8=1,N(Reales!DX23),IF(DX$134=1,INDEX(Vol_V,12,DX$133)/12*(1+V_dVol),0))</f>
        <v>0</v>
      </c>
      <c r="DY151" s="34" t="n">
        <f aca="false">IF(DY$8=1,N(Reales!DY23),IF(DY$134=1,INDEX(Vol_V,12,DY$133)/12*(1+V_dVol),0))</f>
        <v>0</v>
      </c>
      <c r="DZ151" s="34" t="n">
        <f aca="false">IF(DZ$8=1,N(Reales!DZ23),IF(DZ$134=1,INDEX(Vol_V,12,DZ$133)/12*(1+V_dVol),0))</f>
        <v>0</v>
      </c>
      <c r="EA151" s="34" t="n">
        <f aca="false">IF(EA$8=1,N(Reales!EA23),IF(EA$134=1,INDEX(Vol_V,12,EA$133)/12*(1+V_dVol),0))</f>
        <v>0</v>
      </c>
      <c r="EB151" s="34" t="n">
        <f aca="false">IF(EB$8=1,N(Reales!EB23),IF(EB$134=1,INDEX(Vol_V,12,EB$133)/12*(1+V_dVol),0))</f>
        <v>0</v>
      </c>
      <c r="EC151" s="34" t="n">
        <f aca="false">IF(EC$8=1,N(Reales!EC23),IF(EC$134=1,INDEX(Vol_V,12,EC$133)/12*(1+V_dVol),0))</f>
        <v>0</v>
      </c>
      <c r="ED151" s="34" t="n">
        <f aca="false">IF(ED$8=1,N(Reales!ED23),IF(ED$134=1,INDEX(Vol_V,12,ED$133)/12*(1+V_dVol),0))</f>
        <v>0</v>
      </c>
      <c r="EE151" s="34" t="n">
        <f aca="false">IF(EE$8=1,N(Reales!EE23),IF(EE$134=1,INDEX(Vol_V,12,EE$133)/12*(1+V_dVol),0))</f>
        <v>0</v>
      </c>
      <c r="EF151" s="34" t="n">
        <f aca="false">IF(EF$8=1,N(Reales!EF23),IF(EF$134=1,INDEX(Vol_V,12,EF$133)/12*(1+V_dVol),0))</f>
        <v>0</v>
      </c>
      <c r="EG151" s="34" t="n">
        <f aca="false">IF(EG$8=1,N(Reales!EG23),IF(EG$134=1,INDEX(Vol_V,12,EG$133)/12*(1+V_dVol),0))</f>
        <v>0</v>
      </c>
      <c r="EH151" s="34" t="n">
        <f aca="false">IF(EH$8=1,N(Reales!EH23),IF(EH$134=1,INDEX(Vol_V,12,EH$133)/12*(1+V_dVol),0))</f>
        <v>0</v>
      </c>
      <c r="EI151" s="34" t="n">
        <f aca="false">IF(EI$8=1,N(Reales!EI23),IF(EI$134=1,INDEX(Vol_V,12,EI$133)/12*(1+V_dVol),0))</f>
        <v>0</v>
      </c>
      <c r="EJ151" s="34" t="n">
        <f aca="false">IF(EJ$8=1,N(Reales!EJ23),IF(EJ$134=1,INDEX(Vol_V,12,EJ$133)/12*(1+V_dVol),0))</f>
        <v>0</v>
      </c>
      <c r="EK151" s="34" t="n">
        <f aca="false">IF(EK$8=1,N(Reales!EK23),IF(EK$134=1,INDEX(Vol_V,12,EK$133)/12*(1+V_dVol),0))</f>
        <v>0</v>
      </c>
      <c r="EL151" s="34" t="n">
        <f aca="false">IF(EL$8=1,N(Reales!EL23),IF(EL$134=1,INDEX(Vol_V,12,EL$133)/12*(1+V_dVol),0))</f>
        <v>0</v>
      </c>
      <c r="EM151" s="34" t="n">
        <f aca="false">IF(EM$8=1,N(Reales!EM23),IF(EM$134=1,INDEX(Vol_V,12,EM$133)/12*(1+V_dVol),0))</f>
        <v>0</v>
      </c>
      <c r="EN151" s="34" t="n">
        <f aca="false">IF(EN$8=1,N(Reales!EN23),IF(EN$134=1,INDEX(Vol_V,12,EN$133)/12*(1+V_dVol),0))</f>
        <v>0</v>
      </c>
      <c r="EO151" s="34" t="n">
        <f aca="false">IF(EO$8=1,N(Reales!EO23),IF(EO$134=1,INDEX(Vol_V,12,EO$133)/12*(1+V_dVol),0))</f>
        <v>0</v>
      </c>
      <c r="EP151" s="34" t="n">
        <f aca="false">IF(EP$8=1,N(Reales!EP23),IF(EP$134=1,INDEX(Vol_V,12,EP$133)/12*(1+V_dVol),0))</f>
        <v>0</v>
      </c>
      <c r="EQ151" s="34" t="n">
        <f aca="false">IF(EQ$8=1,N(Reales!EQ23),IF(EQ$134=1,INDEX(Vol_V,12,EQ$133)/12*(1+V_dVol),0))</f>
        <v>0</v>
      </c>
      <c r="ER151" s="34" t="n">
        <f aca="false">IF(ER$8=1,N(Reales!ER23),IF(ER$134=1,INDEX(Vol_V,12,ER$133)/12*(1+V_dVol),0))</f>
        <v>0</v>
      </c>
      <c r="ES151" s="34" t="n">
        <f aca="false">IF(ES$8=1,N(Reales!ES23),IF(ES$134=1,INDEX(Vol_V,12,ES$133)/12*(1+V_dVol),0))</f>
        <v>0</v>
      </c>
    </row>
    <row r="152" customFormat="false" ht="15" hidden="false" customHeight="false" outlineLevel="0" collapsed="false">
      <c r="A152" s="2" t="s">
        <v>631</v>
      </c>
      <c r="B152" s="39" t="str">
        <f aca="false">IF(INDEX(Prod_Nombre,1)="","Producto 1",INDEX(Prod_Nombre,1))&amp;" — ventas USD"</f>
        <v>Producto 1 — ventas USD</v>
      </c>
      <c r="C152" s="6" t="s">
        <v>212</v>
      </c>
      <c r="E152" s="40" t="n">
        <f aca="false">SUM(F152:ES152)</f>
        <v>0</v>
      </c>
      <c r="F152" s="34" t="n">
        <f aca="false">IF(F$8=1,IF(Reales!$C$25="PYG",IF(F$10&gt;0,N(Reales!F25)/F$10,0),N(Reales!F25)),F$140*INDEX(Precio_V,1)*INDEX(IdxPrecio_V,1,MIN(10,F$136))*(1+V_dPrecio))</f>
        <v>0</v>
      </c>
      <c r="G152" s="34" t="n">
        <f aca="false">IF(G$8=1,IF(Reales!$C$25="PYG",IF(G$10&gt;0,N(Reales!G25)/G$10,0),N(Reales!G25)),G$140*INDEX(Precio_V,1)*INDEX(IdxPrecio_V,1,MIN(10,G$136))*(1+V_dPrecio))</f>
        <v>0</v>
      </c>
      <c r="H152" s="34" t="n">
        <f aca="false">IF(H$8=1,IF(Reales!$C$25="PYG",IF(H$10&gt;0,N(Reales!H25)/H$10,0),N(Reales!H25)),H$140*INDEX(Precio_V,1)*INDEX(IdxPrecio_V,1,MIN(10,H$136))*(1+V_dPrecio))</f>
        <v>0</v>
      </c>
      <c r="I152" s="34" t="n">
        <f aca="false">IF(I$8=1,IF(Reales!$C$25="PYG",IF(I$10&gt;0,N(Reales!I25)/I$10,0),N(Reales!I25)),I$140*INDEX(Precio_V,1)*INDEX(IdxPrecio_V,1,MIN(10,I$136))*(1+V_dPrecio))</f>
        <v>0</v>
      </c>
      <c r="J152" s="34" t="n">
        <f aca="false">IF(J$8=1,IF(Reales!$C$25="PYG",IF(J$10&gt;0,N(Reales!J25)/J$10,0),N(Reales!J25)),J$140*INDEX(Precio_V,1)*INDEX(IdxPrecio_V,1,MIN(10,J$136))*(1+V_dPrecio))</f>
        <v>0</v>
      </c>
      <c r="K152" s="34" t="n">
        <f aca="false">IF(K$8=1,IF(Reales!$C$25="PYG",IF(K$10&gt;0,N(Reales!K25)/K$10,0),N(Reales!K25)),K$140*INDEX(Precio_V,1)*INDEX(IdxPrecio_V,1,MIN(10,K$136))*(1+V_dPrecio))</f>
        <v>0</v>
      </c>
      <c r="L152" s="34" t="n">
        <f aca="false">IF(L$8=1,IF(Reales!$C$25="PYG",IF(L$10&gt;0,N(Reales!L25)/L$10,0),N(Reales!L25)),L$140*INDEX(Precio_V,1)*INDEX(IdxPrecio_V,1,MIN(10,L$136))*(1+V_dPrecio))</f>
        <v>0</v>
      </c>
      <c r="M152" s="34" t="n">
        <f aca="false">IF(M$8=1,IF(Reales!$C$25="PYG",IF(M$10&gt;0,N(Reales!M25)/M$10,0),N(Reales!M25)),M$140*INDEX(Precio_V,1)*INDEX(IdxPrecio_V,1,MIN(10,M$136))*(1+V_dPrecio))</f>
        <v>0</v>
      </c>
      <c r="N152" s="34" t="n">
        <f aca="false">IF(N$8=1,IF(Reales!$C$25="PYG",IF(N$10&gt;0,N(Reales!N25)/N$10,0),N(Reales!N25)),N$140*INDEX(Precio_V,1)*INDEX(IdxPrecio_V,1,MIN(10,N$136))*(1+V_dPrecio))</f>
        <v>0</v>
      </c>
      <c r="O152" s="34" t="n">
        <f aca="false">IF(O$8=1,IF(Reales!$C$25="PYG",IF(O$10&gt;0,N(Reales!O25)/O$10,0),N(Reales!O25)),O$140*INDEX(Precio_V,1)*INDEX(IdxPrecio_V,1,MIN(10,O$136))*(1+V_dPrecio))</f>
        <v>0</v>
      </c>
      <c r="P152" s="34" t="n">
        <f aca="false">IF(P$8=1,IF(Reales!$C$25="PYG",IF(P$10&gt;0,N(Reales!P25)/P$10,0),N(Reales!P25)),P$140*INDEX(Precio_V,1)*INDEX(IdxPrecio_V,1,MIN(10,P$136))*(1+V_dPrecio))</f>
        <v>0</v>
      </c>
      <c r="Q152" s="34" t="n">
        <f aca="false">IF(Q$8=1,IF(Reales!$C$25="PYG",IF(Q$10&gt;0,N(Reales!Q25)/Q$10,0),N(Reales!Q25)),Q$140*INDEX(Precio_V,1)*INDEX(IdxPrecio_V,1,MIN(10,Q$136))*(1+V_dPrecio))</f>
        <v>0</v>
      </c>
      <c r="R152" s="34" t="n">
        <f aca="false">IF(R$8=1,IF(Reales!$C$25="PYG",IF(R$10&gt;0,N(Reales!R25)/R$10,0),N(Reales!R25)),R$140*INDEX(Precio_V,1)*INDEX(IdxPrecio_V,1,MIN(10,R$136))*(1+V_dPrecio))</f>
        <v>0</v>
      </c>
      <c r="S152" s="34" t="n">
        <f aca="false">IF(S$8=1,IF(Reales!$C$25="PYG",IF(S$10&gt;0,N(Reales!S25)/S$10,0),N(Reales!S25)),S$140*INDEX(Precio_V,1)*INDEX(IdxPrecio_V,1,MIN(10,S$136))*(1+V_dPrecio))</f>
        <v>0</v>
      </c>
      <c r="T152" s="34" t="n">
        <f aca="false">IF(T$8=1,IF(Reales!$C$25="PYG",IF(T$10&gt;0,N(Reales!T25)/T$10,0),N(Reales!T25)),T$140*INDEX(Precio_V,1)*INDEX(IdxPrecio_V,1,MIN(10,T$136))*(1+V_dPrecio))</f>
        <v>0</v>
      </c>
      <c r="U152" s="34" t="n">
        <f aca="false">IF(U$8=1,IF(Reales!$C$25="PYG",IF(U$10&gt;0,N(Reales!U25)/U$10,0),N(Reales!U25)),U$140*INDEX(Precio_V,1)*INDEX(IdxPrecio_V,1,MIN(10,U$136))*(1+V_dPrecio))</f>
        <v>0</v>
      </c>
      <c r="V152" s="34" t="n">
        <f aca="false">IF(V$8=1,IF(Reales!$C$25="PYG",IF(V$10&gt;0,N(Reales!V25)/V$10,0),N(Reales!V25)),V$140*INDEX(Precio_V,1)*INDEX(IdxPrecio_V,1,MIN(10,V$136))*(1+V_dPrecio))</f>
        <v>0</v>
      </c>
      <c r="W152" s="34" t="n">
        <f aca="false">IF(W$8=1,IF(Reales!$C$25="PYG",IF(W$10&gt;0,N(Reales!W25)/W$10,0),N(Reales!W25)),W$140*INDEX(Precio_V,1)*INDEX(IdxPrecio_V,1,MIN(10,W$136))*(1+V_dPrecio))</f>
        <v>0</v>
      </c>
      <c r="X152" s="34" t="n">
        <f aca="false">IF(X$8=1,IF(Reales!$C$25="PYG",IF(X$10&gt;0,N(Reales!X25)/X$10,0),N(Reales!X25)),X$140*INDEX(Precio_V,1)*INDEX(IdxPrecio_V,1,MIN(10,X$136))*(1+V_dPrecio))</f>
        <v>0</v>
      </c>
      <c r="Y152" s="34" t="n">
        <f aca="false">IF(Y$8=1,IF(Reales!$C$25="PYG",IF(Y$10&gt;0,N(Reales!Y25)/Y$10,0),N(Reales!Y25)),Y$140*INDEX(Precio_V,1)*INDEX(IdxPrecio_V,1,MIN(10,Y$136))*(1+V_dPrecio))</f>
        <v>0</v>
      </c>
      <c r="Z152" s="34" t="n">
        <f aca="false">IF(Z$8=1,IF(Reales!$C$25="PYG",IF(Z$10&gt;0,N(Reales!Z25)/Z$10,0),N(Reales!Z25)),Z$140*INDEX(Precio_V,1)*INDEX(IdxPrecio_V,1,MIN(10,Z$136))*(1+V_dPrecio))</f>
        <v>0</v>
      </c>
      <c r="AA152" s="34" t="n">
        <f aca="false">IF(AA$8=1,IF(Reales!$C$25="PYG",IF(AA$10&gt;0,N(Reales!AA25)/AA$10,0),N(Reales!AA25)),AA$140*INDEX(Precio_V,1)*INDEX(IdxPrecio_V,1,MIN(10,AA$136))*(1+V_dPrecio))</f>
        <v>0</v>
      </c>
      <c r="AB152" s="34" t="n">
        <f aca="false">IF(AB$8=1,IF(Reales!$C$25="PYG",IF(AB$10&gt;0,N(Reales!AB25)/AB$10,0),N(Reales!AB25)),AB$140*INDEX(Precio_V,1)*INDEX(IdxPrecio_V,1,MIN(10,AB$136))*(1+V_dPrecio))</f>
        <v>0</v>
      </c>
      <c r="AC152" s="34" t="n">
        <f aca="false">IF(AC$8=1,IF(Reales!$C$25="PYG",IF(AC$10&gt;0,N(Reales!AC25)/AC$10,0),N(Reales!AC25)),AC$140*INDEX(Precio_V,1)*INDEX(IdxPrecio_V,1,MIN(10,AC$136))*(1+V_dPrecio))</f>
        <v>0</v>
      </c>
      <c r="AD152" s="34" t="n">
        <f aca="false">IF(AD$8=1,IF(Reales!$C$25="PYG",IF(AD$10&gt;0,N(Reales!AD25)/AD$10,0),N(Reales!AD25)),AD$140*INDEX(Precio_V,1)*INDEX(IdxPrecio_V,1,MIN(10,AD$136))*(1+V_dPrecio))</f>
        <v>0</v>
      </c>
      <c r="AE152" s="34" t="n">
        <f aca="false">IF(AE$8=1,IF(Reales!$C$25="PYG",IF(AE$10&gt;0,N(Reales!AE25)/AE$10,0),N(Reales!AE25)),AE$140*INDEX(Precio_V,1)*INDEX(IdxPrecio_V,1,MIN(10,AE$136))*(1+V_dPrecio))</f>
        <v>0</v>
      </c>
      <c r="AF152" s="34" t="n">
        <f aca="false">IF(AF$8=1,IF(Reales!$C$25="PYG",IF(AF$10&gt;0,N(Reales!AF25)/AF$10,0),N(Reales!AF25)),AF$140*INDEX(Precio_V,1)*INDEX(IdxPrecio_V,1,MIN(10,AF$136))*(1+V_dPrecio))</f>
        <v>0</v>
      </c>
      <c r="AG152" s="34" t="n">
        <f aca="false">IF(AG$8=1,IF(Reales!$C$25="PYG",IF(AG$10&gt;0,N(Reales!AG25)/AG$10,0),N(Reales!AG25)),AG$140*INDEX(Precio_V,1)*INDEX(IdxPrecio_V,1,MIN(10,AG$136))*(1+V_dPrecio))</f>
        <v>0</v>
      </c>
      <c r="AH152" s="34" t="n">
        <f aca="false">IF(AH$8=1,IF(Reales!$C$25="PYG",IF(AH$10&gt;0,N(Reales!AH25)/AH$10,0),N(Reales!AH25)),AH$140*INDEX(Precio_V,1)*INDEX(IdxPrecio_V,1,MIN(10,AH$136))*(1+V_dPrecio))</f>
        <v>0</v>
      </c>
      <c r="AI152" s="34" t="n">
        <f aca="false">IF(AI$8=1,IF(Reales!$C$25="PYG",IF(AI$10&gt;0,N(Reales!AI25)/AI$10,0),N(Reales!AI25)),AI$140*INDEX(Precio_V,1)*INDEX(IdxPrecio_V,1,MIN(10,AI$136))*(1+V_dPrecio))</f>
        <v>0</v>
      </c>
      <c r="AJ152" s="34" t="n">
        <f aca="false">IF(AJ$8=1,IF(Reales!$C$25="PYG",IF(AJ$10&gt;0,N(Reales!AJ25)/AJ$10,0),N(Reales!AJ25)),AJ$140*INDEX(Precio_V,1)*INDEX(IdxPrecio_V,1,MIN(10,AJ$136))*(1+V_dPrecio))</f>
        <v>0</v>
      </c>
      <c r="AK152" s="34" t="n">
        <f aca="false">IF(AK$8=1,IF(Reales!$C$25="PYG",IF(AK$10&gt;0,N(Reales!AK25)/AK$10,0),N(Reales!AK25)),AK$140*INDEX(Precio_V,1)*INDEX(IdxPrecio_V,1,MIN(10,AK$136))*(1+V_dPrecio))</f>
        <v>0</v>
      </c>
      <c r="AL152" s="34" t="n">
        <f aca="false">IF(AL$8=1,IF(Reales!$C$25="PYG",IF(AL$10&gt;0,N(Reales!AL25)/AL$10,0),N(Reales!AL25)),AL$140*INDEX(Precio_V,1)*INDEX(IdxPrecio_V,1,MIN(10,AL$136))*(1+V_dPrecio))</f>
        <v>0</v>
      </c>
      <c r="AM152" s="34" t="n">
        <f aca="false">IF(AM$8=1,IF(Reales!$C$25="PYG",IF(AM$10&gt;0,N(Reales!AM25)/AM$10,0),N(Reales!AM25)),AM$140*INDEX(Precio_V,1)*INDEX(IdxPrecio_V,1,MIN(10,AM$136))*(1+V_dPrecio))</f>
        <v>0</v>
      </c>
      <c r="AN152" s="34" t="n">
        <f aca="false">IF(AN$8=1,IF(Reales!$C$25="PYG",IF(AN$10&gt;0,N(Reales!AN25)/AN$10,0),N(Reales!AN25)),AN$140*INDEX(Precio_V,1)*INDEX(IdxPrecio_V,1,MIN(10,AN$136))*(1+V_dPrecio))</f>
        <v>0</v>
      </c>
      <c r="AO152" s="34" t="n">
        <f aca="false">IF(AO$8=1,IF(Reales!$C$25="PYG",IF(AO$10&gt;0,N(Reales!AO25)/AO$10,0),N(Reales!AO25)),AO$140*INDEX(Precio_V,1)*INDEX(IdxPrecio_V,1,MIN(10,AO$136))*(1+V_dPrecio))</f>
        <v>0</v>
      </c>
      <c r="AP152" s="34" t="n">
        <f aca="false">IF(AP$8=1,IF(Reales!$C$25="PYG",IF(AP$10&gt;0,N(Reales!AP25)/AP$10,0),N(Reales!AP25)),AP$140*INDEX(Precio_V,1)*INDEX(IdxPrecio_V,1,MIN(10,AP$136))*(1+V_dPrecio))</f>
        <v>0</v>
      </c>
      <c r="AQ152" s="34" t="n">
        <f aca="false">IF(AQ$8=1,IF(Reales!$C$25="PYG",IF(AQ$10&gt;0,N(Reales!AQ25)/AQ$10,0),N(Reales!AQ25)),AQ$140*INDEX(Precio_V,1)*INDEX(IdxPrecio_V,1,MIN(10,AQ$136))*(1+V_dPrecio))</f>
        <v>0</v>
      </c>
      <c r="AR152" s="34" t="n">
        <f aca="false">IF(AR$8=1,IF(Reales!$C$25="PYG",IF(AR$10&gt;0,N(Reales!AR25)/AR$10,0),N(Reales!AR25)),AR$140*INDEX(Precio_V,1)*INDEX(IdxPrecio_V,1,MIN(10,AR$136))*(1+V_dPrecio))</f>
        <v>0</v>
      </c>
      <c r="AS152" s="34" t="n">
        <f aca="false">IF(AS$8=1,IF(Reales!$C$25="PYG",IF(AS$10&gt;0,N(Reales!AS25)/AS$10,0),N(Reales!AS25)),AS$140*INDEX(Precio_V,1)*INDEX(IdxPrecio_V,1,MIN(10,AS$136))*(1+V_dPrecio))</f>
        <v>0</v>
      </c>
      <c r="AT152" s="34" t="n">
        <f aca="false">IF(AT$8=1,IF(Reales!$C$25="PYG",IF(AT$10&gt;0,N(Reales!AT25)/AT$10,0),N(Reales!AT25)),AT$140*INDEX(Precio_V,1)*INDEX(IdxPrecio_V,1,MIN(10,AT$136))*(1+V_dPrecio))</f>
        <v>0</v>
      </c>
      <c r="AU152" s="34" t="n">
        <f aca="false">IF(AU$8=1,IF(Reales!$C$25="PYG",IF(AU$10&gt;0,N(Reales!AU25)/AU$10,0),N(Reales!AU25)),AU$140*INDEX(Precio_V,1)*INDEX(IdxPrecio_V,1,MIN(10,AU$136))*(1+V_dPrecio))</f>
        <v>0</v>
      </c>
      <c r="AV152" s="34" t="n">
        <f aca="false">IF(AV$8=1,IF(Reales!$C$25="PYG",IF(AV$10&gt;0,N(Reales!AV25)/AV$10,0),N(Reales!AV25)),AV$140*INDEX(Precio_V,1)*INDEX(IdxPrecio_V,1,MIN(10,AV$136))*(1+V_dPrecio))</f>
        <v>0</v>
      </c>
      <c r="AW152" s="34" t="n">
        <f aca="false">IF(AW$8=1,IF(Reales!$C$25="PYG",IF(AW$10&gt;0,N(Reales!AW25)/AW$10,0),N(Reales!AW25)),AW$140*INDEX(Precio_V,1)*INDEX(IdxPrecio_V,1,MIN(10,AW$136))*(1+V_dPrecio))</f>
        <v>0</v>
      </c>
      <c r="AX152" s="34" t="n">
        <f aca="false">IF(AX$8=1,IF(Reales!$C$25="PYG",IF(AX$10&gt;0,N(Reales!AX25)/AX$10,0),N(Reales!AX25)),AX$140*INDEX(Precio_V,1)*INDEX(IdxPrecio_V,1,MIN(10,AX$136))*(1+V_dPrecio))</f>
        <v>0</v>
      </c>
      <c r="AY152" s="34" t="n">
        <f aca="false">IF(AY$8=1,IF(Reales!$C$25="PYG",IF(AY$10&gt;0,N(Reales!AY25)/AY$10,0),N(Reales!AY25)),AY$140*INDEX(Precio_V,1)*INDEX(IdxPrecio_V,1,MIN(10,AY$136))*(1+V_dPrecio))</f>
        <v>0</v>
      </c>
      <c r="AZ152" s="34" t="n">
        <f aca="false">IF(AZ$8=1,IF(Reales!$C$25="PYG",IF(AZ$10&gt;0,N(Reales!AZ25)/AZ$10,0),N(Reales!AZ25)),AZ$140*INDEX(Precio_V,1)*INDEX(IdxPrecio_V,1,MIN(10,AZ$136))*(1+V_dPrecio))</f>
        <v>0</v>
      </c>
      <c r="BA152" s="34" t="n">
        <f aca="false">IF(BA$8=1,IF(Reales!$C$25="PYG",IF(BA$10&gt;0,N(Reales!BA25)/BA$10,0),N(Reales!BA25)),BA$140*INDEX(Precio_V,1)*INDEX(IdxPrecio_V,1,MIN(10,BA$136))*(1+V_dPrecio))</f>
        <v>0</v>
      </c>
      <c r="BB152" s="34" t="n">
        <f aca="false">IF(BB$8=1,IF(Reales!$C$25="PYG",IF(BB$10&gt;0,N(Reales!BB25)/BB$10,0),N(Reales!BB25)),BB$140*INDEX(Precio_V,1)*INDEX(IdxPrecio_V,1,MIN(10,BB$136))*(1+V_dPrecio))</f>
        <v>0</v>
      </c>
      <c r="BC152" s="34" t="n">
        <f aca="false">IF(BC$8=1,IF(Reales!$C$25="PYG",IF(BC$10&gt;0,N(Reales!BC25)/BC$10,0),N(Reales!BC25)),BC$140*INDEX(Precio_V,1)*INDEX(IdxPrecio_V,1,MIN(10,BC$136))*(1+V_dPrecio))</f>
        <v>0</v>
      </c>
      <c r="BD152" s="34" t="n">
        <f aca="false">IF(BD$8=1,IF(Reales!$C$25="PYG",IF(BD$10&gt;0,N(Reales!BD25)/BD$10,0),N(Reales!BD25)),BD$140*INDEX(Precio_V,1)*INDEX(IdxPrecio_V,1,MIN(10,BD$136))*(1+V_dPrecio))</f>
        <v>0</v>
      </c>
      <c r="BE152" s="34" t="n">
        <f aca="false">IF(BE$8=1,IF(Reales!$C$25="PYG",IF(BE$10&gt;0,N(Reales!BE25)/BE$10,0),N(Reales!BE25)),BE$140*INDEX(Precio_V,1)*INDEX(IdxPrecio_V,1,MIN(10,BE$136))*(1+V_dPrecio))</f>
        <v>0</v>
      </c>
      <c r="BF152" s="34" t="n">
        <f aca="false">IF(BF$8=1,IF(Reales!$C$25="PYG",IF(BF$10&gt;0,N(Reales!BF25)/BF$10,0),N(Reales!BF25)),BF$140*INDEX(Precio_V,1)*INDEX(IdxPrecio_V,1,MIN(10,BF$136))*(1+V_dPrecio))</f>
        <v>0</v>
      </c>
      <c r="BG152" s="34" t="n">
        <f aca="false">IF(BG$8=1,IF(Reales!$C$25="PYG",IF(BG$10&gt;0,N(Reales!BG25)/BG$10,0),N(Reales!BG25)),BG$140*INDEX(Precio_V,1)*INDEX(IdxPrecio_V,1,MIN(10,BG$136))*(1+V_dPrecio))</f>
        <v>0</v>
      </c>
      <c r="BH152" s="34" t="n">
        <f aca="false">IF(BH$8=1,IF(Reales!$C$25="PYG",IF(BH$10&gt;0,N(Reales!BH25)/BH$10,0),N(Reales!BH25)),BH$140*INDEX(Precio_V,1)*INDEX(IdxPrecio_V,1,MIN(10,BH$136))*(1+V_dPrecio))</f>
        <v>0</v>
      </c>
      <c r="BI152" s="34" t="n">
        <f aca="false">IF(BI$8=1,IF(Reales!$C$25="PYG",IF(BI$10&gt;0,N(Reales!BI25)/BI$10,0),N(Reales!BI25)),BI$140*INDEX(Precio_V,1)*INDEX(IdxPrecio_V,1,MIN(10,BI$136))*(1+V_dPrecio))</f>
        <v>0</v>
      </c>
      <c r="BJ152" s="34" t="n">
        <f aca="false">IF(BJ$8=1,IF(Reales!$C$25="PYG",IF(BJ$10&gt;0,N(Reales!BJ25)/BJ$10,0),N(Reales!BJ25)),BJ$140*INDEX(Precio_V,1)*INDEX(IdxPrecio_V,1,MIN(10,BJ$136))*(1+V_dPrecio))</f>
        <v>0</v>
      </c>
      <c r="BK152" s="34" t="n">
        <f aca="false">IF(BK$8=1,IF(Reales!$C$25="PYG",IF(BK$10&gt;0,N(Reales!BK25)/BK$10,0),N(Reales!BK25)),BK$140*INDEX(Precio_V,1)*INDEX(IdxPrecio_V,1,MIN(10,BK$136))*(1+V_dPrecio))</f>
        <v>0</v>
      </c>
      <c r="BL152" s="34" t="n">
        <f aca="false">IF(BL$8=1,IF(Reales!$C$25="PYG",IF(BL$10&gt;0,N(Reales!BL25)/BL$10,0),N(Reales!BL25)),BL$140*INDEX(Precio_V,1)*INDEX(IdxPrecio_V,1,MIN(10,BL$136))*(1+V_dPrecio))</f>
        <v>0</v>
      </c>
      <c r="BM152" s="34" t="n">
        <f aca="false">IF(BM$8=1,IF(Reales!$C$25="PYG",IF(BM$10&gt;0,N(Reales!BM25)/BM$10,0),N(Reales!BM25)),BM$140*INDEX(Precio_V,1)*INDEX(IdxPrecio_V,1,MIN(10,BM$136))*(1+V_dPrecio))</f>
        <v>0</v>
      </c>
      <c r="BN152" s="34" t="n">
        <f aca="false">IF(BN$8=1,IF(Reales!$C$25="PYG",IF(BN$10&gt;0,N(Reales!BN25)/BN$10,0),N(Reales!BN25)),BN$140*INDEX(Precio_V,1)*INDEX(IdxPrecio_V,1,MIN(10,BN$136))*(1+V_dPrecio))</f>
        <v>0</v>
      </c>
      <c r="BO152" s="34" t="n">
        <f aca="false">IF(BO$8=1,IF(Reales!$C$25="PYG",IF(BO$10&gt;0,N(Reales!BO25)/BO$10,0),N(Reales!BO25)),BO$140*INDEX(Precio_V,1)*INDEX(IdxPrecio_V,1,MIN(10,BO$136))*(1+V_dPrecio))</f>
        <v>0</v>
      </c>
      <c r="BP152" s="34" t="n">
        <f aca="false">IF(BP$8=1,IF(Reales!$C$25="PYG",IF(BP$10&gt;0,N(Reales!BP25)/BP$10,0),N(Reales!BP25)),BP$140*INDEX(Precio_V,1)*INDEX(IdxPrecio_V,1,MIN(10,BP$136))*(1+V_dPrecio))</f>
        <v>0</v>
      </c>
      <c r="BQ152" s="34" t="n">
        <f aca="false">IF(BQ$8=1,IF(Reales!$C$25="PYG",IF(BQ$10&gt;0,N(Reales!BQ25)/BQ$10,0),N(Reales!BQ25)),BQ$140*INDEX(Precio_V,1)*INDEX(IdxPrecio_V,1,MIN(10,BQ$136))*(1+V_dPrecio))</f>
        <v>0</v>
      </c>
      <c r="BR152" s="34" t="n">
        <f aca="false">IF(BR$8=1,IF(Reales!$C$25="PYG",IF(BR$10&gt;0,N(Reales!BR25)/BR$10,0),N(Reales!BR25)),BR$140*INDEX(Precio_V,1)*INDEX(IdxPrecio_V,1,MIN(10,BR$136))*(1+V_dPrecio))</f>
        <v>0</v>
      </c>
      <c r="BS152" s="34" t="n">
        <f aca="false">IF(BS$8=1,IF(Reales!$C$25="PYG",IF(BS$10&gt;0,N(Reales!BS25)/BS$10,0),N(Reales!BS25)),BS$140*INDEX(Precio_V,1)*INDEX(IdxPrecio_V,1,MIN(10,BS$136))*(1+V_dPrecio))</f>
        <v>0</v>
      </c>
      <c r="BT152" s="34" t="n">
        <f aca="false">IF(BT$8=1,IF(Reales!$C$25="PYG",IF(BT$10&gt;0,N(Reales!BT25)/BT$10,0),N(Reales!BT25)),BT$140*INDEX(Precio_V,1)*INDEX(IdxPrecio_V,1,MIN(10,BT$136))*(1+V_dPrecio))</f>
        <v>0</v>
      </c>
      <c r="BU152" s="34" t="n">
        <f aca="false">IF(BU$8=1,IF(Reales!$C$25="PYG",IF(BU$10&gt;0,N(Reales!BU25)/BU$10,0),N(Reales!BU25)),BU$140*INDEX(Precio_V,1)*INDEX(IdxPrecio_V,1,MIN(10,BU$136))*(1+V_dPrecio))</f>
        <v>0</v>
      </c>
      <c r="BV152" s="34" t="n">
        <f aca="false">IF(BV$8=1,IF(Reales!$C$25="PYG",IF(BV$10&gt;0,N(Reales!BV25)/BV$10,0),N(Reales!BV25)),BV$140*INDEX(Precio_V,1)*INDEX(IdxPrecio_V,1,MIN(10,BV$136))*(1+V_dPrecio))</f>
        <v>0</v>
      </c>
      <c r="BW152" s="34" t="n">
        <f aca="false">IF(BW$8=1,IF(Reales!$C$25="PYG",IF(BW$10&gt;0,N(Reales!BW25)/BW$10,0),N(Reales!BW25)),BW$140*INDEX(Precio_V,1)*INDEX(IdxPrecio_V,1,MIN(10,BW$136))*(1+V_dPrecio))</f>
        <v>0</v>
      </c>
      <c r="BX152" s="34" t="n">
        <f aca="false">IF(BX$8=1,IF(Reales!$C$25="PYG",IF(BX$10&gt;0,N(Reales!BX25)/BX$10,0),N(Reales!BX25)),BX$140*INDEX(Precio_V,1)*INDEX(IdxPrecio_V,1,MIN(10,BX$136))*(1+V_dPrecio))</f>
        <v>0</v>
      </c>
      <c r="BY152" s="34" t="n">
        <f aca="false">IF(BY$8=1,IF(Reales!$C$25="PYG",IF(BY$10&gt;0,N(Reales!BY25)/BY$10,0),N(Reales!BY25)),BY$140*INDEX(Precio_V,1)*INDEX(IdxPrecio_V,1,MIN(10,BY$136))*(1+V_dPrecio))</f>
        <v>0</v>
      </c>
      <c r="BZ152" s="34" t="n">
        <f aca="false">IF(BZ$8=1,IF(Reales!$C$25="PYG",IF(BZ$10&gt;0,N(Reales!BZ25)/BZ$10,0),N(Reales!BZ25)),BZ$140*INDEX(Precio_V,1)*INDEX(IdxPrecio_V,1,MIN(10,BZ$136))*(1+V_dPrecio))</f>
        <v>0</v>
      </c>
      <c r="CA152" s="34" t="n">
        <f aca="false">IF(CA$8=1,IF(Reales!$C$25="PYG",IF(CA$10&gt;0,N(Reales!CA25)/CA$10,0),N(Reales!CA25)),CA$140*INDEX(Precio_V,1)*INDEX(IdxPrecio_V,1,MIN(10,CA$136))*(1+V_dPrecio))</f>
        <v>0</v>
      </c>
      <c r="CB152" s="34" t="n">
        <f aca="false">IF(CB$8=1,IF(Reales!$C$25="PYG",IF(CB$10&gt;0,N(Reales!CB25)/CB$10,0),N(Reales!CB25)),CB$140*INDEX(Precio_V,1)*INDEX(IdxPrecio_V,1,MIN(10,CB$136))*(1+V_dPrecio))</f>
        <v>0</v>
      </c>
      <c r="CC152" s="34" t="n">
        <f aca="false">IF(CC$8=1,IF(Reales!$C$25="PYG",IF(CC$10&gt;0,N(Reales!CC25)/CC$10,0),N(Reales!CC25)),CC$140*INDEX(Precio_V,1)*INDEX(IdxPrecio_V,1,MIN(10,CC$136))*(1+V_dPrecio))</f>
        <v>0</v>
      </c>
      <c r="CD152" s="34" t="n">
        <f aca="false">IF(CD$8=1,IF(Reales!$C$25="PYG",IF(CD$10&gt;0,N(Reales!CD25)/CD$10,0),N(Reales!CD25)),CD$140*INDEX(Precio_V,1)*INDEX(IdxPrecio_V,1,MIN(10,CD$136))*(1+V_dPrecio))</f>
        <v>0</v>
      </c>
      <c r="CE152" s="34" t="n">
        <f aca="false">IF(CE$8=1,IF(Reales!$C$25="PYG",IF(CE$10&gt;0,N(Reales!CE25)/CE$10,0),N(Reales!CE25)),CE$140*INDEX(Precio_V,1)*INDEX(IdxPrecio_V,1,MIN(10,CE$136))*(1+V_dPrecio))</f>
        <v>0</v>
      </c>
      <c r="CF152" s="34" t="n">
        <f aca="false">IF(CF$8=1,IF(Reales!$C$25="PYG",IF(CF$10&gt;0,N(Reales!CF25)/CF$10,0),N(Reales!CF25)),CF$140*INDEX(Precio_V,1)*INDEX(IdxPrecio_V,1,MIN(10,CF$136))*(1+V_dPrecio))</f>
        <v>0</v>
      </c>
      <c r="CG152" s="34" t="n">
        <f aca="false">IF(CG$8=1,IF(Reales!$C$25="PYG",IF(CG$10&gt;0,N(Reales!CG25)/CG$10,0),N(Reales!CG25)),CG$140*INDEX(Precio_V,1)*INDEX(IdxPrecio_V,1,MIN(10,CG$136))*(1+V_dPrecio))</f>
        <v>0</v>
      </c>
      <c r="CH152" s="34" t="n">
        <f aca="false">IF(CH$8=1,IF(Reales!$C$25="PYG",IF(CH$10&gt;0,N(Reales!CH25)/CH$10,0),N(Reales!CH25)),CH$140*INDEX(Precio_V,1)*INDEX(IdxPrecio_V,1,MIN(10,CH$136))*(1+V_dPrecio))</f>
        <v>0</v>
      </c>
      <c r="CI152" s="34" t="n">
        <f aca="false">IF(CI$8=1,IF(Reales!$C$25="PYG",IF(CI$10&gt;0,N(Reales!CI25)/CI$10,0),N(Reales!CI25)),CI$140*INDEX(Precio_V,1)*INDEX(IdxPrecio_V,1,MIN(10,CI$136))*(1+V_dPrecio))</f>
        <v>0</v>
      </c>
      <c r="CJ152" s="34" t="n">
        <f aca="false">IF(CJ$8=1,IF(Reales!$C$25="PYG",IF(CJ$10&gt;0,N(Reales!CJ25)/CJ$10,0),N(Reales!CJ25)),CJ$140*INDEX(Precio_V,1)*INDEX(IdxPrecio_V,1,MIN(10,CJ$136))*(1+V_dPrecio))</f>
        <v>0</v>
      </c>
      <c r="CK152" s="34" t="n">
        <f aca="false">IF(CK$8=1,IF(Reales!$C$25="PYG",IF(CK$10&gt;0,N(Reales!CK25)/CK$10,0),N(Reales!CK25)),CK$140*INDEX(Precio_V,1)*INDEX(IdxPrecio_V,1,MIN(10,CK$136))*(1+V_dPrecio))</f>
        <v>0</v>
      </c>
      <c r="CL152" s="34" t="n">
        <f aca="false">IF(CL$8=1,IF(Reales!$C$25="PYG",IF(CL$10&gt;0,N(Reales!CL25)/CL$10,0),N(Reales!CL25)),CL$140*INDEX(Precio_V,1)*INDEX(IdxPrecio_V,1,MIN(10,CL$136))*(1+V_dPrecio))</f>
        <v>0</v>
      </c>
      <c r="CM152" s="34" t="n">
        <f aca="false">IF(CM$8=1,IF(Reales!$C$25="PYG",IF(CM$10&gt;0,N(Reales!CM25)/CM$10,0),N(Reales!CM25)),CM$140*INDEX(Precio_V,1)*INDEX(IdxPrecio_V,1,MIN(10,CM$136))*(1+V_dPrecio))</f>
        <v>0</v>
      </c>
      <c r="CN152" s="34" t="n">
        <f aca="false">IF(CN$8=1,IF(Reales!$C$25="PYG",IF(CN$10&gt;0,N(Reales!CN25)/CN$10,0),N(Reales!CN25)),CN$140*INDEX(Precio_V,1)*INDEX(IdxPrecio_V,1,MIN(10,CN$136))*(1+V_dPrecio))</f>
        <v>0</v>
      </c>
      <c r="CO152" s="34" t="n">
        <f aca="false">IF(CO$8=1,IF(Reales!$C$25="PYG",IF(CO$10&gt;0,N(Reales!CO25)/CO$10,0),N(Reales!CO25)),CO$140*INDEX(Precio_V,1)*INDEX(IdxPrecio_V,1,MIN(10,CO$136))*(1+V_dPrecio))</f>
        <v>0</v>
      </c>
      <c r="CP152" s="34" t="n">
        <f aca="false">IF(CP$8=1,IF(Reales!$C$25="PYG",IF(CP$10&gt;0,N(Reales!CP25)/CP$10,0),N(Reales!CP25)),CP$140*INDEX(Precio_V,1)*INDEX(IdxPrecio_V,1,MIN(10,CP$136))*(1+V_dPrecio))</f>
        <v>0</v>
      </c>
      <c r="CQ152" s="34" t="n">
        <f aca="false">IF(CQ$8=1,IF(Reales!$C$25="PYG",IF(CQ$10&gt;0,N(Reales!CQ25)/CQ$10,0),N(Reales!CQ25)),CQ$140*INDEX(Precio_V,1)*INDEX(IdxPrecio_V,1,MIN(10,CQ$136))*(1+V_dPrecio))</f>
        <v>0</v>
      </c>
      <c r="CR152" s="34" t="n">
        <f aca="false">IF(CR$8=1,IF(Reales!$C$25="PYG",IF(CR$10&gt;0,N(Reales!CR25)/CR$10,0),N(Reales!CR25)),CR$140*INDEX(Precio_V,1)*INDEX(IdxPrecio_V,1,MIN(10,CR$136))*(1+V_dPrecio))</f>
        <v>0</v>
      </c>
      <c r="CS152" s="34" t="n">
        <f aca="false">IF(CS$8=1,IF(Reales!$C$25="PYG",IF(CS$10&gt;0,N(Reales!CS25)/CS$10,0),N(Reales!CS25)),CS$140*INDEX(Precio_V,1)*INDEX(IdxPrecio_V,1,MIN(10,CS$136))*(1+V_dPrecio))</f>
        <v>0</v>
      </c>
      <c r="CT152" s="34" t="n">
        <f aca="false">IF(CT$8=1,IF(Reales!$C$25="PYG",IF(CT$10&gt;0,N(Reales!CT25)/CT$10,0),N(Reales!CT25)),CT$140*INDEX(Precio_V,1)*INDEX(IdxPrecio_V,1,MIN(10,CT$136))*(1+V_dPrecio))</f>
        <v>0</v>
      </c>
      <c r="CU152" s="34" t="n">
        <f aca="false">IF(CU$8=1,IF(Reales!$C$25="PYG",IF(CU$10&gt;0,N(Reales!CU25)/CU$10,0),N(Reales!CU25)),CU$140*INDEX(Precio_V,1)*INDEX(IdxPrecio_V,1,MIN(10,CU$136))*(1+V_dPrecio))</f>
        <v>0</v>
      </c>
      <c r="CV152" s="34" t="n">
        <f aca="false">IF(CV$8=1,IF(Reales!$C$25="PYG",IF(CV$10&gt;0,N(Reales!CV25)/CV$10,0),N(Reales!CV25)),CV$140*INDEX(Precio_V,1)*INDEX(IdxPrecio_V,1,MIN(10,CV$136))*(1+V_dPrecio))</f>
        <v>0</v>
      </c>
      <c r="CW152" s="34" t="n">
        <f aca="false">IF(CW$8=1,IF(Reales!$C$25="PYG",IF(CW$10&gt;0,N(Reales!CW25)/CW$10,0),N(Reales!CW25)),CW$140*INDEX(Precio_V,1)*INDEX(IdxPrecio_V,1,MIN(10,CW$136))*(1+V_dPrecio))</f>
        <v>0</v>
      </c>
      <c r="CX152" s="34" t="n">
        <f aca="false">IF(CX$8=1,IF(Reales!$C$25="PYG",IF(CX$10&gt;0,N(Reales!CX25)/CX$10,0),N(Reales!CX25)),CX$140*INDEX(Precio_V,1)*INDEX(IdxPrecio_V,1,MIN(10,CX$136))*(1+V_dPrecio))</f>
        <v>0</v>
      </c>
      <c r="CY152" s="34" t="n">
        <f aca="false">IF(CY$8=1,IF(Reales!$C$25="PYG",IF(CY$10&gt;0,N(Reales!CY25)/CY$10,0),N(Reales!CY25)),CY$140*INDEX(Precio_V,1)*INDEX(IdxPrecio_V,1,MIN(10,CY$136))*(1+V_dPrecio))</f>
        <v>0</v>
      </c>
      <c r="CZ152" s="34" t="n">
        <f aca="false">IF(CZ$8=1,IF(Reales!$C$25="PYG",IF(CZ$10&gt;0,N(Reales!CZ25)/CZ$10,0),N(Reales!CZ25)),CZ$140*INDEX(Precio_V,1)*INDEX(IdxPrecio_V,1,MIN(10,CZ$136))*(1+V_dPrecio))</f>
        <v>0</v>
      </c>
      <c r="DA152" s="34" t="n">
        <f aca="false">IF(DA$8=1,IF(Reales!$C$25="PYG",IF(DA$10&gt;0,N(Reales!DA25)/DA$10,0),N(Reales!DA25)),DA$140*INDEX(Precio_V,1)*INDEX(IdxPrecio_V,1,MIN(10,DA$136))*(1+V_dPrecio))</f>
        <v>0</v>
      </c>
      <c r="DB152" s="34" t="n">
        <f aca="false">IF(DB$8=1,IF(Reales!$C$25="PYG",IF(DB$10&gt;0,N(Reales!DB25)/DB$10,0),N(Reales!DB25)),DB$140*INDEX(Precio_V,1)*INDEX(IdxPrecio_V,1,MIN(10,DB$136))*(1+V_dPrecio))</f>
        <v>0</v>
      </c>
      <c r="DC152" s="34" t="n">
        <f aca="false">IF(DC$8=1,IF(Reales!$C$25="PYG",IF(DC$10&gt;0,N(Reales!DC25)/DC$10,0),N(Reales!DC25)),DC$140*INDEX(Precio_V,1)*INDEX(IdxPrecio_V,1,MIN(10,DC$136))*(1+V_dPrecio))</f>
        <v>0</v>
      </c>
      <c r="DD152" s="34" t="n">
        <f aca="false">IF(DD$8=1,IF(Reales!$C$25="PYG",IF(DD$10&gt;0,N(Reales!DD25)/DD$10,0),N(Reales!DD25)),DD$140*INDEX(Precio_V,1)*INDEX(IdxPrecio_V,1,MIN(10,DD$136))*(1+V_dPrecio))</f>
        <v>0</v>
      </c>
      <c r="DE152" s="34" t="n">
        <f aca="false">IF(DE$8=1,IF(Reales!$C$25="PYG",IF(DE$10&gt;0,N(Reales!DE25)/DE$10,0),N(Reales!DE25)),DE$140*INDEX(Precio_V,1)*INDEX(IdxPrecio_V,1,MIN(10,DE$136))*(1+V_dPrecio))</f>
        <v>0</v>
      </c>
      <c r="DF152" s="34" t="n">
        <f aca="false">IF(DF$8=1,IF(Reales!$C$25="PYG",IF(DF$10&gt;0,N(Reales!DF25)/DF$10,0),N(Reales!DF25)),DF$140*INDEX(Precio_V,1)*INDEX(IdxPrecio_V,1,MIN(10,DF$136))*(1+V_dPrecio))</f>
        <v>0</v>
      </c>
      <c r="DG152" s="34" t="n">
        <f aca="false">IF(DG$8=1,IF(Reales!$C$25="PYG",IF(DG$10&gt;0,N(Reales!DG25)/DG$10,0),N(Reales!DG25)),DG$140*INDEX(Precio_V,1)*INDEX(IdxPrecio_V,1,MIN(10,DG$136))*(1+V_dPrecio))</f>
        <v>0</v>
      </c>
      <c r="DH152" s="34" t="n">
        <f aca="false">IF(DH$8=1,IF(Reales!$C$25="PYG",IF(DH$10&gt;0,N(Reales!DH25)/DH$10,0),N(Reales!DH25)),DH$140*INDEX(Precio_V,1)*INDEX(IdxPrecio_V,1,MIN(10,DH$136))*(1+V_dPrecio))</f>
        <v>0</v>
      </c>
      <c r="DI152" s="34" t="n">
        <f aca="false">IF(DI$8=1,IF(Reales!$C$25="PYG",IF(DI$10&gt;0,N(Reales!DI25)/DI$10,0),N(Reales!DI25)),DI$140*INDEX(Precio_V,1)*INDEX(IdxPrecio_V,1,MIN(10,DI$136))*(1+V_dPrecio))</f>
        <v>0</v>
      </c>
      <c r="DJ152" s="34" t="n">
        <f aca="false">IF(DJ$8=1,IF(Reales!$C$25="PYG",IF(DJ$10&gt;0,N(Reales!DJ25)/DJ$10,0),N(Reales!DJ25)),DJ$140*INDEX(Precio_V,1)*INDEX(IdxPrecio_V,1,MIN(10,DJ$136))*(1+V_dPrecio))</f>
        <v>0</v>
      </c>
      <c r="DK152" s="34" t="n">
        <f aca="false">IF(DK$8=1,IF(Reales!$C$25="PYG",IF(DK$10&gt;0,N(Reales!DK25)/DK$10,0),N(Reales!DK25)),DK$140*INDEX(Precio_V,1)*INDEX(IdxPrecio_V,1,MIN(10,DK$136))*(1+V_dPrecio))</f>
        <v>0</v>
      </c>
      <c r="DL152" s="34" t="n">
        <f aca="false">IF(DL$8=1,IF(Reales!$C$25="PYG",IF(DL$10&gt;0,N(Reales!DL25)/DL$10,0),N(Reales!DL25)),DL$140*INDEX(Precio_V,1)*INDEX(IdxPrecio_V,1,MIN(10,DL$136))*(1+V_dPrecio))</f>
        <v>0</v>
      </c>
      <c r="DM152" s="34" t="n">
        <f aca="false">IF(DM$8=1,IF(Reales!$C$25="PYG",IF(DM$10&gt;0,N(Reales!DM25)/DM$10,0),N(Reales!DM25)),DM$140*INDEX(Precio_V,1)*INDEX(IdxPrecio_V,1,MIN(10,DM$136))*(1+V_dPrecio))</f>
        <v>0</v>
      </c>
      <c r="DN152" s="34" t="n">
        <f aca="false">IF(DN$8=1,IF(Reales!$C$25="PYG",IF(DN$10&gt;0,N(Reales!DN25)/DN$10,0),N(Reales!DN25)),DN$140*INDEX(Precio_V,1)*INDEX(IdxPrecio_V,1,MIN(10,DN$136))*(1+V_dPrecio))</f>
        <v>0</v>
      </c>
      <c r="DO152" s="34" t="n">
        <f aca="false">IF(DO$8=1,IF(Reales!$C$25="PYG",IF(DO$10&gt;0,N(Reales!DO25)/DO$10,0),N(Reales!DO25)),DO$140*INDEX(Precio_V,1)*INDEX(IdxPrecio_V,1,MIN(10,DO$136))*(1+V_dPrecio))</f>
        <v>0</v>
      </c>
      <c r="DP152" s="34" t="n">
        <f aca="false">IF(DP$8=1,IF(Reales!$C$25="PYG",IF(DP$10&gt;0,N(Reales!DP25)/DP$10,0),N(Reales!DP25)),DP$140*INDEX(Precio_V,1)*INDEX(IdxPrecio_V,1,MIN(10,DP$136))*(1+V_dPrecio))</f>
        <v>0</v>
      </c>
      <c r="DQ152" s="34" t="n">
        <f aca="false">IF(DQ$8=1,IF(Reales!$C$25="PYG",IF(DQ$10&gt;0,N(Reales!DQ25)/DQ$10,0),N(Reales!DQ25)),DQ$140*INDEX(Precio_V,1)*INDEX(IdxPrecio_V,1,MIN(10,DQ$136))*(1+V_dPrecio))</f>
        <v>0</v>
      </c>
      <c r="DR152" s="34" t="n">
        <f aca="false">IF(DR$8=1,IF(Reales!$C$25="PYG",IF(DR$10&gt;0,N(Reales!DR25)/DR$10,0),N(Reales!DR25)),DR$140*INDEX(Precio_V,1)*INDEX(IdxPrecio_V,1,MIN(10,DR$136))*(1+V_dPrecio))</f>
        <v>0</v>
      </c>
      <c r="DS152" s="34" t="n">
        <f aca="false">IF(DS$8=1,IF(Reales!$C$25="PYG",IF(DS$10&gt;0,N(Reales!DS25)/DS$10,0),N(Reales!DS25)),DS$140*INDEX(Precio_V,1)*INDEX(IdxPrecio_V,1,MIN(10,DS$136))*(1+V_dPrecio))</f>
        <v>0</v>
      </c>
      <c r="DT152" s="34" t="n">
        <f aca="false">IF(DT$8=1,IF(Reales!$C$25="PYG",IF(DT$10&gt;0,N(Reales!DT25)/DT$10,0),N(Reales!DT25)),DT$140*INDEX(Precio_V,1)*INDEX(IdxPrecio_V,1,MIN(10,DT$136))*(1+V_dPrecio))</f>
        <v>0</v>
      </c>
      <c r="DU152" s="34" t="n">
        <f aca="false">IF(DU$8=1,IF(Reales!$C$25="PYG",IF(DU$10&gt;0,N(Reales!DU25)/DU$10,0),N(Reales!DU25)),DU$140*INDEX(Precio_V,1)*INDEX(IdxPrecio_V,1,MIN(10,DU$136))*(1+V_dPrecio))</f>
        <v>0</v>
      </c>
      <c r="DV152" s="34" t="n">
        <f aca="false">IF(DV$8=1,IF(Reales!$C$25="PYG",IF(DV$10&gt;0,N(Reales!DV25)/DV$10,0),N(Reales!DV25)),DV$140*INDEX(Precio_V,1)*INDEX(IdxPrecio_V,1,MIN(10,DV$136))*(1+V_dPrecio))</f>
        <v>0</v>
      </c>
      <c r="DW152" s="34" t="n">
        <f aca="false">IF(DW$8=1,IF(Reales!$C$25="PYG",IF(DW$10&gt;0,N(Reales!DW25)/DW$10,0),N(Reales!DW25)),DW$140*INDEX(Precio_V,1)*INDEX(IdxPrecio_V,1,MIN(10,DW$136))*(1+V_dPrecio))</f>
        <v>0</v>
      </c>
      <c r="DX152" s="34" t="n">
        <f aca="false">IF(DX$8=1,IF(Reales!$C$25="PYG",IF(DX$10&gt;0,N(Reales!DX25)/DX$10,0),N(Reales!DX25)),DX$140*INDEX(Precio_V,1)*INDEX(IdxPrecio_V,1,MIN(10,DX$136))*(1+V_dPrecio))</f>
        <v>0</v>
      </c>
      <c r="DY152" s="34" t="n">
        <f aca="false">IF(DY$8=1,IF(Reales!$C$25="PYG",IF(DY$10&gt;0,N(Reales!DY25)/DY$10,0),N(Reales!DY25)),DY$140*INDEX(Precio_V,1)*INDEX(IdxPrecio_V,1,MIN(10,DY$136))*(1+V_dPrecio))</f>
        <v>0</v>
      </c>
      <c r="DZ152" s="34" t="n">
        <f aca="false">IF(DZ$8=1,IF(Reales!$C$25="PYG",IF(DZ$10&gt;0,N(Reales!DZ25)/DZ$10,0),N(Reales!DZ25)),DZ$140*INDEX(Precio_V,1)*INDEX(IdxPrecio_V,1,MIN(10,DZ$136))*(1+V_dPrecio))</f>
        <v>0</v>
      </c>
      <c r="EA152" s="34" t="n">
        <f aca="false">IF(EA$8=1,IF(Reales!$C$25="PYG",IF(EA$10&gt;0,N(Reales!EA25)/EA$10,0),N(Reales!EA25)),EA$140*INDEX(Precio_V,1)*INDEX(IdxPrecio_V,1,MIN(10,EA$136))*(1+V_dPrecio))</f>
        <v>0</v>
      </c>
      <c r="EB152" s="34" t="n">
        <f aca="false">IF(EB$8=1,IF(Reales!$C$25="PYG",IF(EB$10&gt;0,N(Reales!EB25)/EB$10,0),N(Reales!EB25)),EB$140*INDEX(Precio_V,1)*INDEX(IdxPrecio_V,1,MIN(10,EB$136))*(1+V_dPrecio))</f>
        <v>0</v>
      </c>
      <c r="EC152" s="34" t="n">
        <f aca="false">IF(EC$8=1,IF(Reales!$C$25="PYG",IF(EC$10&gt;0,N(Reales!EC25)/EC$10,0),N(Reales!EC25)),EC$140*INDEX(Precio_V,1)*INDEX(IdxPrecio_V,1,MIN(10,EC$136))*(1+V_dPrecio))</f>
        <v>0</v>
      </c>
      <c r="ED152" s="34" t="n">
        <f aca="false">IF(ED$8=1,IF(Reales!$C$25="PYG",IF(ED$10&gt;0,N(Reales!ED25)/ED$10,0),N(Reales!ED25)),ED$140*INDEX(Precio_V,1)*INDEX(IdxPrecio_V,1,MIN(10,ED$136))*(1+V_dPrecio))</f>
        <v>0</v>
      </c>
      <c r="EE152" s="34" t="n">
        <f aca="false">IF(EE$8=1,IF(Reales!$C$25="PYG",IF(EE$10&gt;0,N(Reales!EE25)/EE$10,0),N(Reales!EE25)),EE$140*INDEX(Precio_V,1)*INDEX(IdxPrecio_V,1,MIN(10,EE$136))*(1+V_dPrecio))</f>
        <v>0</v>
      </c>
      <c r="EF152" s="34" t="n">
        <f aca="false">IF(EF$8=1,IF(Reales!$C$25="PYG",IF(EF$10&gt;0,N(Reales!EF25)/EF$10,0),N(Reales!EF25)),EF$140*INDEX(Precio_V,1)*INDEX(IdxPrecio_V,1,MIN(10,EF$136))*(1+V_dPrecio))</f>
        <v>0</v>
      </c>
      <c r="EG152" s="34" t="n">
        <f aca="false">IF(EG$8=1,IF(Reales!$C$25="PYG",IF(EG$10&gt;0,N(Reales!EG25)/EG$10,0),N(Reales!EG25)),EG$140*INDEX(Precio_V,1)*INDEX(IdxPrecio_V,1,MIN(10,EG$136))*(1+V_dPrecio))</f>
        <v>0</v>
      </c>
      <c r="EH152" s="34" t="n">
        <f aca="false">IF(EH$8=1,IF(Reales!$C$25="PYG",IF(EH$10&gt;0,N(Reales!EH25)/EH$10,0),N(Reales!EH25)),EH$140*INDEX(Precio_V,1)*INDEX(IdxPrecio_V,1,MIN(10,EH$136))*(1+V_dPrecio))</f>
        <v>0</v>
      </c>
      <c r="EI152" s="34" t="n">
        <f aca="false">IF(EI$8=1,IF(Reales!$C$25="PYG",IF(EI$10&gt;0,N(Reales!EI25)/EI$10,0),N(Reales!EI25)),EI$140*INDEX(Precio_V,1)*INDEX(IdxPrecio_V,1,MIN(10,EI$136))*(1+V_dPrecio))</f>
        <v>0</v>
      </c>
      <c r="EJ152" s="34" t="n">
        <f aca="false">IF(EJ$8=1,IF(Reales!$C$25="PYG",IF(EJ$10&gt;0,N(Reales!EJ25)/EJ$10,0),N(Reales!EJ25)),EJ$140*INDEX(Precio_V,1)*INDEX(IdxPrecio_V,1,MIN(10,EJ$136))*(1+V_dPrecio))</f>
        <v>0</v>
      </c>
      <c r="EK152" s="34" t="n">
        <f aca="false">IF(EK$8=1,IF(Reales!$C$25="PYG",IF(EK$10&gt;0,N(Reales!EK25)/EK$10,0),N(Reales!EK25)),EK$140*INDEX(Precio_V,1)*INDEX(IdxPrecio_V,1,MIN(10,EK$136))*(1+V_dPrecio))</f>
        <v>0</v>
      </c>
      <c r="EL152" s="34" t="n">
        <f aca="false">IF(EL$8=1,IF(Reales!$C$25="PYG",IF(EL$10&gt;0,N(Reales!EL25)/EL$10,0),N(Reales!EL25)),EL$140*INDEX(Precio_V,1)*INDEX(IdxPrecio_V,1,MIN(10,EL$136))*(1+V_dPrecio))</f>
        <v>0</v>
      </c>
      <c r="EM152" s="34" t="n">
        <f aca="false">IF(EM$8=1,IF(Reales!$C$25="PYG",IF(EM$10&gt;0,N(Reales!EM25)/EM$10,0),N(Reales!EM25)),EM$140*INDEX(Precio_V,1)*INDEX(IdxPrecio_V,1,MIN(10,EM$136))*(1+V_dPrecio))</f>
        <v>0</v>
      </c>
      <c r="EN152" s="34" t="n">
        <f aca="false">IF(EN$8=1,IF(Reales!$C$25="PYG",IF(EN$10&gt;0,N(Reales!EN25)/EN$10,0),N(Reales!EN25)),EN$140*INDEX(Precio_V,1)*INDEX(IdxPrecio_V,1,MIN(10,EN$136))*(1+V_dPrecio))</f>
        <v>0</v>
      </c>
      <c r="EO152" s="34" t="n">
        <f aca="false">IF(EO$8=1,IF(Reales!$C$25="PYG",IF(EO$10&gt;0,N(Reales!EO25)/EO$10,0),N(Reales!EO25)),EO$140*INDEX(Precio_V,1)*INDEX(IdxPrecio_V,1,MIN(10,EO$136))*(1+V_dPrecio))</f>
        <v>0</v>
      </c>
      <c r="EP152" s="34" t="n">
        <f aca="false">IF(EP$8=1,IF(Reales!$C$25="PYG",IF(EP$10&gt;0,N(Reales!EP25)/EP$10,0),N(Reales!EP25)),EP$140*INDEX(Precio_V,1)*INDEX(IdxPrecio_V,1,MIN(10,EP$136))*(1+V_dPrecio))</f>
        <v>0</v>
      </c>
      <c r="EQ152" s="34" t="n">
        <f aca="false">IF(EQ$8=1,IF(Reales!$C$25="PYG",IF(EQ$10&gt;0,N(Reales!EQ25)/EQ$10,0),N(Reales!EQ25)),EQ$140*INDEX(Precio_V,1)*INDEX(IdxPrecio_V,1,MIN(10,EQ$136))*(1+V_dPrecio))</f>
        <v>0</v>
      </c>
      <c r="ER152" s="34" t="n">
        <f aca="false">IF(ER$8=1,IF(Reales!$C$25="PYG",IF(ER$10&gt;0,N(Reales!ER25)/ER$10,0),N(Reales!ER25)),ER$140*INDEX(Precio_V,1)*INDEX(IdxPrecio_V,1,MIN(10,ER$136))*(1+V_dPrecio))</f>
        <v>0</v>
      </c>
      <c r="ES152" s="34" t="n">
        <f aca="false">IF(ES$8=1,IF(Reales!$C$25="PYG",IF(ES$10&gt;0,N(Reales!ES25)/ES$10,0),N(Reales!ES25)),ES$140*INDEX(Precio_V,1)*INDEX(IdxPrecio_V,1,MIN(10,ES$136))*(1+V_dPrecio))</f>
        <v>0</v>
      </c>
    </row>
    <row r="153" customFormat="false" ht="15" hidden="false" customHeight="false" outlineLevel="0" collapsed="false">
      <c r="A153" s="2" t="s">
        <v>632</v>
      </c>
      <c r="B153" s="39" t="str">
        <f aca="false">IF(INDEX(Prod_Nombre,2)="","Producto 2",INDEX(Prod_Nombre,2))&amp;" — ventas USD"</f>
        <v>Producto 2 — ventas USD</v>
      </c>
      <c r="C153" s="6" t="s">
        <v>212</v>
      </c>
      <c r="E153" s="40" t="n">
        <f aca="false">SUM(F153:ES153)</f>
        <v>0</v>
      </c>
      <c r="F153" s="34" t="n">
        <f aca="false">IF(F$8=1,IF(Reales!$C$26="PYG",IF(F$10&gt;0,N(Reales!F26)/F$10,0),N(Reales!F26)),F$141*INDEX(Precio_V,2)*INDEX(IdxPrecio_V,1,MIN(10,F$136))*(1+V_dPrecio))</f>
        <v>0</v>
      </c>
      <c r="G153" s="34" t="n">
        <f aca="false">IF(G$8=1,IF(Reales!$C$26="PYG",IF(G$10&gt;0,N(Reales!G26)/G$10,0),N(Reales!G26)),G$141*INDEX(Precio_V,2)*INDEX(IdxPrecio_V,1,MIN(10,G$136))*(1+V_dPrecio))</f>
        <v>0</v>
      </c>
      <c r="H153" s="34" t="n">
        <f aca="false">IF(H$8=1,IF(Reales!$C$26="PYG",IF(H$10&gt;0,N(Reales!H26)/H$10,0),N(Reales!H26)),H$141*INDEX(Precio_V,2)*INDEX(IdxPrecio_V,1,MIN(10,H$136))*(1+V_dPrecio))</f>
        <v>0</v>
      </c>
      <c r="I153" s="34" t="n">
        <f aca="false">IF(I$8=1,IF(Reales!$C$26="PYG",IF(I$10&gt;0,N(Reales!I26)/I$10,0),N(Reales!I26)),I$141*INDEX(Precio_V,2)*INDEX(IdxPrecio_V,1,MIN(10,I$136))*(1+V_dPrecio))</f>
        <v>0</v>
      </c>
      <c r="J153" s="34" t="n">
        <f aca="false">IF(J$8=1,IF(Reales!$C$26="PYG",IF(J$10&gt;0,N(Reales!J26)/J$10,0),N(Reales!J26)),J$141*INDEX(Precio_V,2)*INDEX(IdxPrecio_V,1,MIN(10,J$136))*(1+V_dPrecio))</f>
        <v>0</v>
      </c>
      <c r="K153" s="34" t="n">
        <f aca="false">IF(K$8=1,IF(Reales!$C$26="PYG",IF(K$10&gt;0,N(Reales!K26)/K$10,0),N(Reales!K26)),K$141*INDEX(Precio_V,2)*INDEX(IdxPrecio_V,1,MIN(10,K$136))*(1+V_dPrecio))</f>
        <v>0</v>
      </c>
      <c r="L153" s="34" t="n">
        <f aca="false">IF(L$8=1,IF(Reales!$C$26="PYG",IF(L$10&gt;0,N(Reales!L26)/L$10,0),N(Reales!L26)),L$141*INDEX(Precio_V,2)*INDEX(IdxPrecio_V,1,MIN(10,L$136))*(1+V_dPrecio))</f>
        <v>0</v>
      </c>
      <c r="M153" s="34" t="n">
        <f aca="false">IF(M$8=1,IF(Reales!$C$26="PYG",IF(M$10&gt;0,N(Reales!M26)/M$10,0),N(Reales!M26)),M$141*INDEX(Precio_V,2)*INDEX(IdxPrecio_V,1,MIN(10,M$136))*(1+V_dPrecio))</f>
        <v>0</v>
      </c>
      <c r="N153" s="34" t="n">
        <f aca="false">IF(N$8=1,IF(Reales!$C$26="PYG",IF(N$10&gt;0,N(Reales!N26)/N$10,0),N(Reales!N26)),N$141*INDEX(Precio_V,2)*INDEX(IdxPrecio_V,1,MIN(10,N$136))*(1+V_dPrecio))</f>
        <v>0</v>
      </c>
      <c r="O153" s="34" t="n">
        <f aca="false">IF(O$8=1,IF(Reales!$C$26="PYG",IF(O$10&gt;0,N(Reales!O26)/O$10,0),N(Reales!O26)),O$141*INDEX(Precio_V,2)*INDEX(IdxPrecio_V,1,MIN(10,O$136))*(1+V_dPrecio))</f>
        <v>0</v>
      </c>
      <c r="P153" s="34" t="n">
        <f aca="false">IF(P$8=1,IF(Reales!$C$26="PYG",IF(P$10&gt;0,N(Reales!P26)/P$10,0),N(Reales!P26)),P$141*INDEX(Precio_V,2)*INDEX(IdxPrecio_V,1,MIN(10,P$136))*(1+V_dPrecio))</f>
        <v>0</v>
      </c>
      <c r="Q153" s="34" t="n">
        <f aca="false">IF(Q$8=1,IF(Reales!$C$26="PYG",IF(Q$10&gt;0,N(Reales!Q26)/Q$10,0),N(Reales!Q26)),Q$141*INDEX(Precio_V,2)*INDEX(IdxPrecio_V,1,MIN(10,Q$136))*(1+V_dPrecio))</f>
        <v>0</v>
      </c>
      <c r="R153" s="34" t="n">
        <f aca="false">IF(R$8=1,IF(Reales!$C$26="PYG",IF(R$10&gt;0,N(Reales!R26)/R$10,0),N(Reales!R26)),R$141*INDEX(Precio_V,2)*INDEX(IdxPrecio_V,1,MIN(10,R$136))*(1+V_dPrecio))</f>
        <v>0</v>
      </c>
      <c r="S153" s="34" t="n">
        <f aca="false">IF(S$8=1,IF(Reales!$C$26="PYG",IF(S$10&gt;0,N(Reales!S26)/S$10,0),N(Reales!S26)),S$141*INDEX(Precio_V,2)*INDEX(IdxPrecio_V,1,MIN(10,S$136))*(1+V_dPrecio))</f>
        <v>0</v>
      </c>
      <c r="T153" s="34" t="n">
        <f aca="false">IF(T$8=1,IF(Reales!$C$26="PYG",IF(T$10&gt;0,N(Reales!T26)/T$10,0),N(Reales!T26)),T$141*INDEX(Precio_V,2)*INDEX(IdxPrecio_V,1,MIN(10,T$136))*(1+V_dPrecio))</f>
        <v>0</v>
      </c>
      <c r="U153" s="34" t="n">
        <f aca="false">IF(U$8=1,IF(Reales!$C$26="PYG",IF(U$10&gt;0,N(Reales!U26)/U$10,0),N(Reales!U26)),U$141*INDEX(Precio_V,2)*INDEX(IdxPrecio_V,1,MIN(10,U$136))*(1+V_dPrecio))</f>
        <v>0</v>
      </c>
      <c r="V153" s="34" t="n">
        <f aca="false">IF(V$8=1,IF(Reales!$C$26="PYG",IF(V$10&gt;0,N(Reales!V26)/V$10,0),N(Reales!V26)),V$141*INDEX(Precio_V,2)*INDEX(IdxPrecio_V,1,MIN(10,V$136))*(1+V_dPrecio))</f>
        <v>0</v>
      </c>
      <c r="W153" s="34" t="n">
        <f aca="false">IF(W$8=1,IF(Reales!$C$26="PYG",IF(W$10&gt;0,N(Reales!W26)/W$10,0),N(Reales!W26)),W$141*INDEX(Precio_V,2)*INDEX(IdxPrecio_V,1,MIN(10,W$136))*(1+V_dPrecio))</f>
        <v>0</v>
      </c>
      <c r="X153" s="34" t="n">
        <f aca="false">IF(X$8=1,IF(Reales!$C$26="PYG",IF(X$10&gt;0,N(Reales!X26)/X$10,0),N(Reales!X26)),X$141*INDEX(Precio_V,2)*INDEX(IdxPrecio_V,1,MIN(10,X$136))*(1+V_dPrecio))</f>
        <v>0</v>
      </c>
      <c r="Y153" s="34" t="n">
        <f aca="false">IF(Y$8=1,IF(Reales!$C$26="PYG",IF(Y$10&gt;0,N(Reales!Y26)/Y$10,0),N(Reales!Y26)),Y$141*INDEX(Precio_V,2)*INDEX(IdxPrecio_V,1,MIN(10,Y$136))*(1+V_dPrecio))</f>
        <v>0</v>
      </c>
      <c r="Z153" s="34" t="n">
        <f aca="false">IF(Z$8=1,IF(Reales!$C$26="PYG",IF(Z$10&gt;0,N(Reales!Z26)/Z$10,0),N(Reales!Z26)),Z$141*INDEX(Precio_V,2)*INDEX(IdxPrecio_V,1,MIN(10,Z$136))*(1+V_dPrecio))</f>
        <v>0</v>
      </c>
      <c r="AA153" s="34" t="n">
        <f aca="false">IF(AA$8=1,IF(Reales!$C$26="PYG",IF(AA$10&gt;0,N(Reales!AA26)/AA$10,0),N(Reales!AA26)),AA$141*INDEX(Precio_V,2)*INDEX(IdxPrecio_V,1,MIN(10,AA$136))*(1+V_dPrecio))</f>
        <v>0</v>
      </c>
      <c r="AB153" s="34" t="n">
        <f aca="false">IF(AB$8=1,IF(Reales!$C$26="PYG",IF(AB$10&gt;0,N(Reales!AB26)/AB$10,0),N(Reales!AB26)),AB$141*INDEX(Precio_V,2)*INDEX(IdxPrecio_V,1,MIN(10,AB$136))*(1+V_dPrecio))</f>
        <v>0</v>
      </c>
      <c r="AC153" s="34" t="n">
        <f aca="false">IF(AC$8=1,IF(Reales!$C$26="PYG",IF(AC$10&gt;0,N(Reales!AC26)/AC$10,0),N(Reales!AC26)),AC$141*INDEX(Precio_V,2)*INDEX(IdxPrecio_V,1,MIN(10,AC$136))*(1+V_dPrecio))</f>
        <v>0</v>
      </c>
      <c r="AD153" s="34" t="n">
        <f aca="false">IF(AD$8=1,IF(Reales!$C$26="PYG",IF(AD$10&gt;0,N(Reales!AD26)/AD$10,0),N(Reales!AD26)),AD$141*INDEX(Precio_V,2)*INDEX(IdxPrecio_V,1,MIN(10,AD$136))*(1+V_dPrecio))</f>
        <v>0</v>
      </c>
      <c r="AE153" s="34" t="n">
        <f aca="false">IF(AE$8=1,IF(Reales!$C$26="PYG",IF(AE$10&gt;0,N(Reales!AE26)/AE$10,0),N(Reales!AE26)),AE$141*INDEX(Precio_V,2)*INDEX(IdxPrecio_V,1,MIN(10,AE$136))*(1+V_dPrecio))</f>
        <v>0</v>
      </c>
      <c r="AF153" s="34" t="n">
        <f aca="false">IF(AF$8=1,IF(Reales!$C$26="PYG",IF(AF$10&gt;0,N(Reales!AF26)/AF$10,0),N(Reales!AF26)),AF$141*INDEX(Precio_V,2)*INDEX(IdxPrecio_V,1,MIN(10,AF$136))*(1+V_dPrecio))</f>
        <v>0</v>
      </c>
      <c r="AG153" s="34" t="n">
        <f aca="false">IF(AG$8=1,IF(Reales!$C$26="PYG",IF(AG$10&gt;0,N(Reales!AG26)/AG$10,0),N(Reales!AG26)),AG$141*INDEX(Precio_V,2)*INDEX(IdxPrecio_V,1,MIN(10,AG$136))*(1+V_dPrecio))</f>
        <v>0</v>
      </c>
      <c r="AH153" s="34" t="n">
        <f aca="false">IF(AH$8=1,IF(Reales!$C$26="PYG",IF(AH$10&gt;0,N(Reales!AH26)/AH$10,0),N(Reales!AH26)),AH$141*INDEX(Precio_V,2)*INDEX(IdxPrecio_V,1,MIN(10,AH$136))*(1+V_dPrecio))</f>
        <v>0</v>
      </c>
      <c r="AI153" s="34" t="n">
        <f aca="false">IF(AI$8=1,IF(Reales!$C$26="PYG",IF(AI$10&gt;0,N(Reales!AI26)/AI$10,0),N(Reales!AI26)),AI$141*INDEX(Precio_V,2)*INDEX(IdxPrecio_V,1,MIN(10,AI$136))*(1+V_dPrecio))</f>
        <v>0</v>
      </c>
      <c r="AJ153" s="34" t="n">
        <f aca="false">IF(AJ$8=1,IF(Reales!$C$26="PYG",IF(AJ$10&gt;0,N(Reales!AJ26)/AJ$10,0),N(Reales!AJ26)),AJ$141*INDEX(Precio_V,2)*INDEX(IdxPrecio_V,1,MIN(10,AJ$136))*(1+V_dPrecio))</f>
        <v>0</v>
      </c>
      <c r="AK153" s="34" t="n">
        <f aca="false">IF(AK$8=1,IF(Reales!$C$26="PYG",IF(AK$10&gt;0,N(Reales!AK26)/AK$10,0),N(Reales!AK26)),AK$141*INDEX(Precio_V,2)*INDEX(IdxPrecio_V,1,MIN(10,AK$136))*(1+V_dPrecio))</f>
        <v>0</v>
      </c>
      <c r="AL153" s="34" t="n">
        <f aca="false">IF(AL$8=1,IF(Reales!$C$26="PYG",IF(AL$10&gt;0,N(Reales!AL26)/AL$10,0),N(Reales!AL26)),AL$141*INDEX(Precio_V,2)*INDEX(IdxPrecio_V,1,MIN(10,AL$136))*(1+V_dPrecio))</f>
        <v>0</v>
      </c>
      <c r="AM153" s="34" t="n">
        <f aca="false">IF(AM$8=1,IF(Reales!$C$26="PYG",IF(AM$10&gt;0,N(Reales!AM26)/AM$10,0),N(Reales!AM26)),AM$141*INDEX(Precio_V,2)*INDEX(IdxPrecio_V,1,MIN(10,AM$136))*(1+V_dPrecio))</f>
        <v>0</v>
      </c>
      <c r="AN153" s="34" t="n">
        <f aca="false">IF(AN$8=1,IF(Reales!$C$26="PYG",IF(AN$10&gt;0,N(Reales!AN26)/AN$10,0),N(Reales!AN26)),AN$141*INDEX(Precio_V,2)*INDEX(IdxPrecio_V,1,MIN(10,AN$136))*(1+V_dPrecio))</f>
        <v>0</v>
      </c>
      <c r="AO153" s="34" t="n">
        <f aca="false">IF(AO$8=1,IF(Reales!$C$26="PYG",IF(AO$10&gt;0,N(Reales!AO26)/AO$10,0),N(Reales!AO26)),AO$141*INDEX(Precio_V,2)*INDEX(IdxPrecio_V,1,MIN(10,AO$136))*(1+V_dPrecio))</f>
        <v>0</v>
      </c>
      <c r="AP153" s="34" t="n">
        <f aca="false">IF(AP$8=1,IF(Reales!$C$26="PYG",IF(AP$10&gt;0,N(Reales!AP26)/AP$10,0),N(Reales!AP26)),AP$141*INDEX(Precio_V,2)*INDEX(IdxPrecio_V,1,MIN(10,AP$136))*(1+V_dPrecio))</f>
        <v>0</v>
      </c>
      <c r="AQ153" s="34" t="n">
        <f aca="false">IF(AQ$8=1,IF(Reales!$C$26="PYG",IF(AQ$10&gt;0,N(Reales!AQ26)/AQ$10,0),N(Reales!AQ26)),AQ$141*INDEX(Precio_V,2)*INDEX(IdxPrecio_V,1,MIN(10,AQ$136))*(1+V_dPrecio))</f>
        <v>0</v>
      </c>
      <c r="AR153" s="34" t="n">
        <f aca="false">IF(AR$8=1,IF(Reales!$C$26="PYG",IF(AR$10&gt;0,N(Reales!AR26)/AR$10,0),N(Reales!AR26)),AR$141*INDEX(Precio_V,2)*INDEX(IdxPrecio_V,1,MIN(10,AR$136))*(1+V_dPrecio))</f>
        <v>0</v>
      </c>
      <c r="AS153" s="34" t="n">
        <f aca="false">IF(AS$8=1,IF(Reales!$C$26="PYG",IF(AS$10&gt;0,N(Reales!AS26)/AS$10,0),N(Reales!AS26)),AS$141*INDEX(Precio_V,2)*INDEX(IdxPrecio_V,1,MIN(10,AS$136))*(1+V_dPrecio))</f>
        <v>0</v>
      </c>
      <c r="AT153" s="34" t="n">
        <f aca="false">IF(AT$8=1,IF(Reales!$C$26="PYG",IF(AT$10&gt;0,N(Reales!AT26)/AT$10,0),N(Reales!AT26)),AT$141*INDEX(Precio_V,2)*INDEX(IdxPrecio_V,1,MIN(10,AT$136))*(1+V_dPrecio))</f>
        <v>0</v>
      </c>
      <c r="AU153" s="34" t="n">
        <f aca="false">IF(AU$8=1,IF(Reales!$C$26="PYG",IF(AU$10&gt;0,N(Reales!AU26)/AU$10,0),N(Reales!AU26)),AU$141*INDEX(Precio_V,2)*INDEX(IdxPrecio_V,1,MIN(10,AU$136))*(1+V_dPrecio))</f>
        <v>0</v>
      </c>
      <c r="AV153" s="34" t="n">
        <f aca="false">IF(AV$8=1,IF(Reales!$C$26="PYG",IF(AV$10&gt;0,N(Reales!AV26)/AV$10,0),N(Reales!AV26)),AV$141*INDEX(Precio_V,2)*INDEX(IdxPrecio_V,1,MIN(10,AV$136))*(1+V_dPrecio))</f>
        <v>0</v>
      </c>
      <c r="AW153" s="34" t="n">
        <f aca="false">IF(AW$8=1,IF(Reales!$C$26="PYG",IF(AW$10&gt;0,N(Reales!AW26)/AW$10,0),N(Reales!AW26)),AW$141*INDEX(Precio_V,2)*INDEX(IdxPrecio_V,1,MIN(10,AW$136))*(1+V_dPrecio))</f>
        <v>0</v>
      </c>
      <c r="AX153" s="34" t="n">
        <f aca="false">IF(AX$8=1,IF(Reales!$C$26="PYG",IF(AX$10&gt;0,N(Reales!AX26)/AX$10,0),N(Reales!AX26)),AX$141*INDEX(Precio_V,2)*INDEX(IdxPrecio_V,1,MIN(10,AX$136))*(1+V_dPrecio))</f>
        <v>0</v>
      </c>
      <c r="AY153" s="34" t="n">
        <f aca="false">IF(AY$8=1,IF(Reales!$C$26="PYG",IF(AY$10&gt;0,N(Reales!AY26)/AY$10,0),N(Reales!AY26)),AY$141*INDEX(Precio_V,2)*INDEX(IdxPrecio_V,1,MIN(10,AY$136))*(1+V_dPrecio))</f>
        <v>0</v>
      </c>
      <c r="AZ153" s="34" t="n">
        <f aca="false">IF(AZ$8=1,IF(Reales!$C$26="PYG",IF(AZ$10&gt;0,N(Reales!AZ26)/AZ$10,0),N(Reales!AZ26)),AZ$141*INDEX(Precio_V,2)*INDEX(IdxPrecio_V,1,MIN(10,AZ$136))*(1+V_dPrecio))</f>
        <v>0</v>
      </c>
      <c r="BA153" s="34" t="n">
        <f aca="false">IF(BA$8=1,IF(Reales!$C$26="PYG",IF(BA$10&gt;0,N(Reales!BA26)/BA$10,0),N(Reales!BA26)),BA$141*INDEX(Precio_V,2)*INDEX(IdxPrecio_V,1,MIN(10,BA$136))*(1+V_dPrecio))</f>
        <v>0</v>
      </c>
      <c r="BB153" s="34" t="n">
        <f aca="false">IF(BB$8=1,IF(Reales!$C$26="PYG",IF(BB$10&gt;0,N(Reales!BB26)/BB$10,0),N(Reales!BB26)),BB$141*INDEX(Precio_V,2)*INDEX(IdxPrecio_V,1,MIN(10,BB$136))*(1+V_dPrecio))</f>
        <v>0</v>
      </c>
      <c r="BC153" s="34" t="n">
        <f aca="false">IF(BC$8=1,IF(Reales!$C$26="PYG",IF(BC$10&gt;0,N(Reales!BC26)/BC$10,0),N(Reales!BC26)),BC$141*INDEX(Precio_V,2)*INDEX(IdxPrecio_V,1,MIN(10,BC$136))*(1+V_dPrecio))</f>
        <v>0</v>
      </c>
      <c r="BD153" s="34" t="n">
        <f aca="false">IF(BD$8=1,IF(Reales!$C$26="PYG",IF(BD$10&gt;0,N(Reales!BD26)/BD$10,0),N(Reales!BD26)),BD$141*INDEX(Precio_V,2)*INDEX(IdxPrecio_V,1,MIN(10,BD$136))*(1+V_dPrecio))</f>
        <v>0</v>
      </c>
      <c r="BE153" s="34" t="n">
        <f aca="false">IF(BE$8=1,IF(Reales!$C$26="PYG",IF(BE$10&gt;0,N(Reales!BE26)/BE$10,0),N(Reales!BE26)),BE$141*INDEX(Precio_V,2)*INDEX(IdxPrecio_V,1,MIN(10,BE$136))*(1+V_dPrecio))</f>
        <v>0</v>
      </c>
      <c r="BF153" s="34" t="n">
        <f aca="false">IF(BF$8=1,IF(Reales!$C$26="PYG",IF(BF$10&gt;0,N(Reales!BF26)/BF$10,0),N(Reales!BF26)),BF$141*INDEX(Precio_V,2)*INDEX(IdxPrecio_V,1,MIN(10,BF$136))*(1+V_dPrecio))</f>
        <v>0</v>
      </c>
      <c r="BG153" s="34" t="n">
        <f aca="false">IF(BG$8=1,IF(Reales!$C$26="PYG",IF(BG$10&gt;0,N(Reales!BG26)/BG$10,0),N(Reales!BG26)),BG$141*INDEX(Precio_V,2)*INDEX(IdxPrecio_V,1,MIN(10,BG$136))*(1+V_dPrecio))</f>
        <v>0</v>
      </c>
      <c r="BH153" s="34" t="n">
        <f aca="false">IF(BH$8=1,IF(Reales!$C$26="PYG",IF(BH$10&gt;0,N(Reales!BH26)/BH$10,0),N(Reales!BH26)),BH$141*INDEX(Precio_V,2)*INDEX(IdxPrecio_V,1,MIN(10,BH$136))*(1+V_dPrecio))</f>
        <v>0</v>
      </c>
      <c r="BI153" s="34" t="n">
        <f aca="false">IF(BI$8=1,IF(Reales!$C$26="PYG",IF(BI$10&gt;0,N(Reales!BI26)/BI$10,0),N(Reales!BI26)),BI$141*INDEX(Precio_V,2)*INDEX(IdxPrecio_V,1,MIN(10,BI$136))*(1+V_dPrecio))</f>
        <v>0</v>
      </c>
      <c r="BJ153" s="34" t="n">
        <f aca="false">IF(BJ$8=1,IF(Reales!$C$26="PYG",IF(BJ$10&gt;0,N(Reales!BJ26)/BJ$10,0),N(Reales!BJ26)),BJ$141*INDEX(Precio_V,2)*INDEX(IdxPrecio_V,1,MIN(10,BJ$136))*(1+V_dPrecio))</f>
        <v>0</v>
      </c>
      <c r="BK153" s="34" t="n">
        <f aca="false">IF(BK$8=1,IF(Reales!$C$26="PYG",IF(BK$10&gt;0,N(Reales!BK26)/BK$10,0),N(Reales!BK26)),BK$141*INDEX(Precio_V,2)*INDEX(IdxPrecio_V,1,MIN(10,BK$136))*(1+V_dPrecio))</f>
        <v>0</v>
      </c>
      <c r="BL153" s="34" t="n">
        <f aca="false">IF(BL$8=1,IF(Reales!$C$26="PYG",IF(BL$10&gt;0,N(Reales!BL26)/BL$10,0),N(Reales!BL26)),BL$141*INDEX(Precio_V,2)*INDEX(IdxPrecio_V,1,MIN(10,BL$136))*(1+V_dPrecio))</f>
        <v>0</v>
      </c>
      <c r="BM153" s="34" t="n">
        <f aca="false">IF(BM$8=1,IF(Reales!$C$26="PYG",IF(BM$10&gt;0,N(Reales!BM26)/BM$10,0),N(Reales!BM26)),BM$141*INDEX(Precio_V,2)*INDEX(IdxPrecio_V,1,MIN(10,BM$136))*(1+V_dPrecio))</f>
        <v>0</v>
      </c>
      <c r="BN153" s="34" t="n">
        <f aca="false">IF(BN$8=1,IF(Reales!$C$26="PYG",IF(BN$10&gt;0,N(Reales!BN26)/BN$10,0),N(Reales!BN26)),BN$141*INDEX(Precio_V,2)*INDEX(IdxPrecio_V,1,MIN(10,BN$136))*(1+V_dPrecio))</f>
        <v>0</v>
      </c>
      <c r="BO153" s="34" t="n">
        <f aca="false">IF(BO$8=1,IF(Reales!$C$26="PYG",IF(BO$10&gt;0,N(Reales!BO26)/BO$10,0),N(Reales!BO26)),BO$141*INDEX(Precio_V,2)*INDEX(IdxPrecio_V,1,MIN(10,BO$136))*(1+V_dPrecio))</f>
        <v>0</v>
      </c>
      <c r="BP153" s="34" t="n">
        <f aca="false">IF(BP$8=1,IF(Reales!$C$26="PYG",IF(BP$10&gt;0,N(Reales!BP26)/BP$10,0),N(Reales!BP26)),BP$141*INDEX(Precio_V,2)*INDEX(IdxPrecio_V,1,MIN(10,BP$136))*(1+V_dPrecio))</f>
        <v>0</v>
      </c>
      <c r="BQ153" s="34" t="n">
        <f aca="false">IF(BQ$8=1,IF(Reales!$C$26="PYG",IF(BQ$10&gt;0,N(Reales!BQ26)/BQ$10,0),N(Reales!BQ26)),BQ$141*INDEX(Precio_V,2)*INDEX(IdxPrecio_V,1,MIN(10,BQ$136))*(1+V_dPrecio))</f>
        <v>0</v>
      </c>
      <c r="BR153" s="34" t="n">
        <f aca="false">IF(BR$8=1,IF(Reales!$C$26="PYG",IF(BR$10&gt;0,N(Reales!BR26)/BR$10,0),N(Reales!BR26)),BR$141*INDEX(Precio_V,2)*INDEX(IdxPrecio_V,1,MIN(10,BR$136))*(1+V_dPrecio))</f>
        <v>0</v>
      </c>
      <c r="BS153" s="34" t="n">
        <f aca="false">IF(BS$8=1,IF(Reales!$C$26="PYG",IF(BS$10&gt;0,N(Reales!BS26)/BS$10,0),N(Reales!BS26)),BS$141*INDEX(Precio_V,2)*INDEX(IdxPrecio_V,1,MIN(10,BS$136))*(1+V_dPrecio))</f>
        <v>0</v>
      </c>
      <c r="BT153" s="34" t="n">
        <f aca="false">IF(BT$8=1,IF(Reales!$C$26="PYG",IF(BT$10&gt;0,N(Reales!BT26)/BT$10,0),N(Reales!BT26)),BT$141*INDEX(Precio_V,2)*INDEX(IdxPrecio_V,1,MIN(10,BT$136))*(1+V_dPrecio))</f>
        <v>0</v>
      </c>
      <c r="BU153" s="34" t="n">
        <f aca="false">IF(BU$8=1,IF(Reales!$C$26="PYG",IF(BU$10&gt;0,N(Reales!BU26)/BU$10,0),N(Reales!BU26)),BU$141*INDEX(Precio_V,2)*INDEX(IdxPrecio_V,1,MIN(10,BU$136))*(1+V_dPrecio))</f>
        <v>0</v>
      </c>
      <c r="BV153" s="34" t="n">
        <f aca="false">IF(BV$8=1,IF(Reales!$C$26="PYG",IF(BV$10&gt;0,N(Reales!BV26)/BV$10,0),N(Reales!BV26)),BV$141*INDEX(Precio_V,2)*INDEX(IdxPrecio_V,1,MIN(10,BV$136))*(1+V_dPrecio))</f>
        <v>0</v>
      </c>
      <c r="BW153" s="34" t="n">
        <f aca="false">IF(BW$8=1,IF(Reales!$C$26="PYG",IF(BW$10&gt;0,N(Reales!BW26)/BW$10,0),N(Reales!BW26)),BW$141*INDEX(Precio_V,2)*INDEX(IdxPrecio_V,1,MIN(10,BW$136))*(1+V_dPrecio))</f>
        <v>0</v>
      </c>
      <c r="BX153" s="34" t="n">
        <f aca="false">IF(BX$8=1,IF(Reales!$C$26="PYG",IF(BX$10&gt;0,N(Reales!BX26)/BX$10,0),N(Reales!BX26)),BX$141*INDEX(Precio_V,2)*INDEX(IdxPrecio_V,1,MIN(10,BX$136))*(1+V_dPrecio))</f>
        <v>0</v>
      </c>
      <c r="BY153" s="34" t="n">
        <f aca="false">IF(BY$8=1,IF(Reales!$C$26="PYG",IF(BY$10&gt;0,N(Reales!BY26)/BY$10,0),N(Reales!BY26)),BY$141*INDEX(Precio_V,2)*INDEX(IdxPrecio_V,1,MIN(10,BY$136))*(1+V_dPrecio))</f>
        <v>0</v>
      </c>
      <c r="BZ153" s="34" t="n">
        <f aca="false">IF(BZ$8=1,IF(Reales!$C$26="PYG",IF(BZ$10&gt;0,N(Reales!BZ26)/BZ$10,0),N(Reales!BZ26)),BZ$141*INDEX(Precio_V,2)*INDEX(IdxPrecio_V,1,MIN(10,BZ$136))*(1+V_dPrecio))</f>
        <v>0</v>
      </c>
      <c r="CA153" s="34" t="n">
        <f aca="false">IF(CA$8=1,IF(Reales!$C$26="PYG",IF(CA$10&gt;0,N(Reales!CA26)/CA$10,0),N(Reales!CA26)),CA$141*INDEX(Precio_V,2)*INDEX(IdxPrecio_V,1,MIN(10,CA$136))*(1+V_dPrecio))</f>
        <v>0</v>
      </c>
      <c r="CB153" s="34" t="n">
        <f aca="false">IF(CB$8=1,IF(Reales!$C$26="PYG",IF(CB$10&gt;0,N(Reales!CB26)/CB$10,0),N(Reales!CB26)),CB$141*INDEX(Precio_V,2)*INDEX(IdxPrecio_V,1,MIN(10,CB$136))*(1+V_dPrecio))</f>
        <v>0</v>
      </c>
      <c r="CC153" s="34" t="n">
        <f aca="false">IF(CC$8=1,IF(Reales!$C$26="PYG",IF(CC$10&gt;0,N(Reales!CC26)/CC$10,0),N(Reales!CC26)),CC$141*INDEX(Precio_V,2)*INDEX(IdxPrecio_V,1,MIN(10,CC$136))*(1+V_dPrecio))</f>
        <v>0</v>
      </c>
      <c r="CD153" s="34" t="n">
        <f aca="false">IF(CD$8=1,IF(Reales!$C$26="PYG",IF(CD$10&gt;0,N(Reales!CD26)/CD$10,0),N(Reales!CD26)),CD$141*INDEX(Precio_V,2)*INDEX(IdxPrecio_V,1,MIN(10,CD$136))*(1+V_dPrecio))</f>
        <v>0</v>
      </c>
      <c r="CE153" s="34" t="n">
        <f aca="false">IF(CE$8=1,IF(Reales!$C$26="PYG",IF(CE$10&gt;0,N(Reales!CE26)/CE$10,0),N(Reales!CE26)),CE$141*INDEX(Precio_V,2)*INDEX(IdxPrecio_V,1,MIN(10,CE$136))*(1+V_dPrecio))</f>
        <v>0</v>
      </c>
      <c r="CF153" s="34" t="n">
        <f aca="false">IF(CF$8=1,IF(Reales!$C$26="PYG",IF(CF$10&gt;0,N(Reales!CF26)/CF$10,0),N(Reales!CF26)),CF$141*INDEX(Precio_V,2)*INDEX(IdxPrecio_V,1,MIN(10,CF$136))*(1+V_dPrecio))</f>
        <v>0</v>
      </c>
      <c r="CG153" s="34" t="n">
        <f aca="false">IF(CG$8=1,IF(Reales!$C$26="PYG",IF(CG$10&gt;0,N(Reales!CG26)/CG$10,0),N(Reales!CG26)),CG$141*INDEX(Precio_V,2)*INDEX(IdxPrecio_V,1,MIN(10,CG$136))*(1+V_dPrecio))</f>
        <v>0</v>
      </c>
      <c r="CH153" s="34" t="n">
        <f aca="false">IF(CH$8=1,IF(Reales!$C$26="PYG",IF(CH$10&gt;0,N(Reales!CH26)/CH$10,0),N(Reales!CH26)),CH$141*INDEX(Precio_V,2)*INDEX(IdxPrecio_V,1,MIN(10,CH$136))*(1+V_dPrecio))</f>
        <v>0</v>
      </c>
      <c r="CI153" s="34" t="n">
        <f aca="false">IF(CI$8=1,IF(Reales!$C$26="PYG",IF(CI$10&gt;0,N(Reales!CI26)/CI$10,0),N(Reales!CI26)),CI$141*INDEX(Precio_V,2)*INDEX(IdxPrecio_V,1,MIN(10,CI$136))*(1+V_dPrecio))</f>
        <v>0</v>
      </c>
      <c r="CJ153" s="34" t="n">
        <f aca="false">IF(CJ$8=1,IF(Reales!$C$26="PYG",IF(CJ$10&gt;0,N(Reales!CJ26)/CJ$10,0),N(Reales!CJ26)),CJ$141*INDEX(Precio_V,2)*INDEX(IdxPrecio_V,1,MIN(10,CJ$136))*(1+V_dPrecio))</f>
        <v>0</v>
      </c>
      <c r="CK153" s="34" t="n">
        <f aca="false">IF(CK$8=1,IF(Reales!$C$26="PYG",IF(CK$10&gt;0,N(Reales!CK26)/CK$10,0),N(Reales!CK26)),CK$141*INDEX(Precio_V,2)*INDEX(IdxPrecio_V,1,MIN(10,CK$136))*(1+V_dPrecio))</f>
        <v>0</v>
      </c>
      <c r="CL153" s="34" t="n">
        <f aca="false">IF(CL$8=1,IF(Reales!$C$26="PYG",IF(CL$10&gt;0,N(Reales!CL26)/CL$10,0),N(Reales!CL26)),CL$141*INDEX(Precio_V,2)*INDEX(IdxPrecio_V,1,MIN(10,CL$136))*(1+V_dPrecio))</f>
        <v>0</v>
      </c>
      <c r="CM153" s="34" t="n">
        <f aca="false">IF(CM$8=1,IF(Reales!$C$26="PYG",IF(CM$10&gt;0,N(Reales!CM26)/CM$10,0),N(Reales!CM26)),CM$141*INDEX(Precio_V,2)*INDEX(IdxPrecio_V,1,MIN(10,CM$136))*(1+V_dPrecio))</f>
        <v>0</v>
      </c>
      <c r="CN153" s="34" t="n">
        <f aca="false">IF(CN$8=1,IF(Reales!$C$26="PYG",IF(CN$10&gt;0,N(Reales!CN26)/CN$10,0),N(Reales!CN26)),CN$141*INDEX(Precio_V,2)*INDEX(IdxPrecio_V,1,MIN(10,CN$136))*(1+V_dPrecio))</f>
        <v>0</v>
      </c>
      <c r="CO153" s="34" t="n">
        <f aca="false">IF(CO$8=1,IF(Reales!$C$26="PYG",IF(CO$10&gt;0,N(Reales!CO26)/CO$10,0),N(Reales!CO26)),CO$141*INDEX(Precio_V,2)*INDEX(IdxPrecio_V,1,MIN(10,CO$136))*(1+V_dPrecio))</f>
        <v>0</v>
      </c>
      <c r="CP153" s="34" t="n">
        <f aca="false">IF(CP$8=1,IF(Reales!$C$26="PYG",IF(CP$10&gt;0,N(Reales!CP26)/CP$10,0),N(Reales!CP26)),CP$141*INDEX(Precio_V,2)*INDEX(IdxPrecio_V,1,MIN(10,CP$136))*(1+V_dPrecio))</f>
        <v>0</v>
      </c>
      <c r="CQ153" s="34" t="n">
        <f aca="false">IF(CQ$8=1,IF(Reales!$C$26="PYG",IF(CQ$10&gt;0,N(Reales!CQ26)/CQ$10,0),N(Reales!CQ26)),CQ$141*INDEX(Precio_V,2)*INDEX(IdxPrecio_V,1,MIN(10,CQ$136))*(1+V_dPrecio))</f>
        <v>0</v>
      </c>
      <c r="CR153" s="34" t="n">
        <f aca="false">IF(CR$8=1,IF(Reales!$C$26="PYG",IF(CR$10&gt;0,N(Reales!CR26)/CR$10,0),N(Reales!CR26)),CR$141*INDEX(Precio_V,2)*INDEX(IdxPrecio_V,1,MIN(10,CR$136))*(1+V_dPrecio))</f>
        <v>0</v>
      </c>
      <c r="CS153" s="34" t="n">
        <f aca="false">IF(CS$8=1,IF(Reales!$C$26="PYG",IF(CS$10&gt;0,N(Reales!CS26)/CS$10,0),N(Reales!CS26)),CS$141*INDEX(Precio_V,2)*INDEX(IdxPrecio_V,1,MIN(10,CS$136))*(1+V_dPrecio))</f>
        <v>0</v>
      </c>
      <c r="CT153" s="34" t="n">
        <f aca="false">IF(CT$8=1,IF(Reales!$C$26="PYG",IF(CT$10&gt;0,N(Reales!CT26)/CT$10,0),N(Reales!CT26)),CT$141*INDEX(Precio_V,2)*INDEX(IdxPrecio_V,1,MIN(10,CT$136))*(1+V_dPrecio))</f>
        <v>0</v>
      </c>
      <c r="CU153" s="34" t="n">
        <f aca="false">IF(CU$8=1,IF(Reales!$C$26="PYG",IF(CU$10&gt;0,N(Reales!CU26)/CU$10,0),N(Reales!CU26)),CU$141*INDEX(Precio_V,2)*INDEX(IdxPrecio_V,1,MIN(10,CU$136))*(1+V_dPrecio))</f>
        <v>0</v>
      </c>
      <c r="CV153" s="34" t="n">
        <f aca="false">IF(CV$8=1,IF(Reales!$C$26="PYG",IF(CV$10&gt;0,N(Reales!CV26)/CV$10,0),N(Reales!CV26)),CV$141*INDEX(Precio_V,2)*INDEX(IdxPrecio_V,1,MIN(10,CV$136))*(1+V_dPrecio))</f>
        <v>0</v>
      </c>
      <c r="CW153" s="34" t="n">
        <f aca="false">IF(CW$8=1,IF(Reales!$C$26="PYG",IF(CW$10&gt;0,N(Reales!CW26)/CW$10,0),N(Reales!CW26)),CW$141*INDEX(Precio_V,2)*INDEX(IdxPrecio_V,1,MIN(10,CW$136))*(1+V_dPrecio))</f>
        <v>0</v>
      </c>
      <c r="CX153" s="34" t="n">
        <f aca="false">IF(CX$8=1,IF(Reales!$C$26="PYG",IF(CX$10&gt;0,N(Reales!CX26)/CX$10,0),N(Reales!CX26)),CX$141*INDEX(Precio_V,2)*INDEX(IdxPrecio_V,1,MIN(10,CX$136))*(1+V_dPrecio))</f>
        <v>0</v>
      </c>
      <c r="CY153" s="34" t="n">
        <f aca="false">IF(CY$8=1,IF(Reales!$C$26="PYG",IF(CY$10&gt;0,N(Reales!CY26)/CY$10,0),N(Reales!CY26)),CY$141*INDEX(Precio_V,2)*INDEX(IdxPrecio_V,1,MIN(10,CY$136))*(1+V_dPrecio))</f>
        <v>0</v>
      </c>
      <c r="CZ153" s="34" t="n">
        <f aca="false">IF(CZ$8=1,IF(Reales!$C$26="PYG",IF(CZ$10&gt;0,N(Reales!CZ26)/CZ$10,0),N(Reales!CZ26)),CZ$141*INDEX(Precio_V,2)*INDEX(IdxPrecio_V,1,MIN(10,CZ$136))*(1+V_dPrecio))</f>
        <v>0</v>
      </c>
      <c r="DA153" s="34" t="n">
        <f aca="false">IF(DA$8=1,IF(Reales!$C$26="PYG",IF(DA$10&gt;0,N(Reales!DA26)/DA$10,0),N(Reales!DA26)),DA$141*INDEX(Precio_V,2)*INDEX(IdxPrecio_V,1,MIN(10,DA$136))*(1+V_dPrecio))</f>
        <v>0</v>
      </c>
      <c r="DB153" s="34" t="n">
        <f aca="false">IF(DB$8=1,IF(Reales!$C$26="PYG",IF(DB$10&gt;0,N(Reales!DB26)/DB$10,0),N(Reales!DB26)),DB$141*INDEX(Precio_V,2)*INDEX(IdxPrecio_V,1,MIN(10,DB$136))*(1+V_dPrecio))</f>
        <v>0</v>
      </c>
      <c r="DC153" s="34" t="n">
        <f aca="false">IF(DC$8=1,IF(Reales!$C$26="PYG",IF(DC$10&gt;0,N(Reales!DC26)/DC$10,0),N(Reales!DC26)),DC$141*INDEX(Precio_V,2)*INDEX(IdxPrecio_V,1,MIN(10,DC$136))*(1+V_dPrecio))</f>
        <v>0</v>
      </c>
      <c r="DD153" s="34" t="n">
        <f aca="false">IF(DD$8=1,IF(Reales!$C$26="PYG",IF(DD$10&gt;0,N(Reales!DD26)/DD$10,0),N(Reales!DD26)),DD$141*INDEX(Precio_V,2)*INDEX(IdxPrecio_V,1,MIN(10,DD$136))*(1+V_dPrecio))</f>
        <v>0</v>
      </c>
      <c r="DE153" s="34" t="n">
        <f aca="false">IF(DE$8=1,IF(Reales!$C$26="PYG",IF(DE$10&gt;0,N(Reales!DE26)/DE$10,0),N(Reales!DE26)),DE$141*INDEX(Precio_V,2)*INDEX(IdxPrecio_V,1,MIN(10,DE$136))*(1+V_dPrecio))</f>
        <v>0</v>
      </c>
      <c r="DF153" s="34" t="n">
        <f aca="false">IF(DF$8=1,IF(Reales!$C$26="PYG",IF(DF$10&gt;0,N(Reales!DF26)/DF$10,0),N(Reales!DF26)),DF$141*INDEX(Precio_V,2)*INDEX(IdxPrecio_V,1,MIN(10,DF$136))*(1+V_dPrecio))</f>
        <v>0</v>
      </c>
      <c r="DG153" s="34" t="n">
        <f aca="false">IF(DG$8=1,IF(Reales!$C$26="PYG",IF(DG$10&gt;0,N(Reales!DG26)/DG$10,0),N(Reales!DG26)),DG$141*INDEX(Precio_V,2)*INDEX(IdxPrecio_V,1,MIN(10,DG$136))*(1+V_dPrecio))</f>
        <v>0</v>
      </c>
      <c r="DH153" s="34" t="n">
        <f aca="false">IF(DH$8=1,IF(Reales!$C$26="PYG",IF(DH$10&gt;0,N(Reales!DH26)/DH$10,0),N(Reales!DH26)),DH$141*INDEX(Precio_V,2)*INDEX(IdxPrecio_V,1,MIN(10,DH$136))*(1+V_dPrecio))</f>
        <v>0</v>
      </c>
      <c r="DI153" s="34" t="n">
        <f aca="false">IF(DI$8=1,IF(Reales!$C$26="PYG",IF(DI$10&gt;0,N(Reales!DI26)/DI$10,0),N(Reales!DI26)),DI$141*INDEX(Precio_V,2)*INDEX(IdxPrecio_V,1,MIN(10,DI$136))*(1+V_dPrecio))</f>
        <v>0</v>
      </c>
      <c r="DJ153" s="34" t="n">
        <f aca="false">IF(DJ$8=1,IF(Reales!$C$26="PYG",IF(DJ$10&gt;0,N(Reales!DJ26)/DJ$10,0),N(Reales!DJ26)),DJ$141*INDEX(Precio_V,2)*INDEX(IdxPrecio_V,1,MIN(10,DJ$136))*(1+V_dPrecio))</f>
        <v>0</v>
      </c>
      <c r="DK153" s="34" t="n">
        <f aca="false">IF(DK$8=1,IF(Reales!$C$26="PYG",IF(DK$10&gt;0,N(Reales!DK26)/DK$10,0),N(Reales!DK26)),DK$141*INDEX(Precio_V,2)*INDEX(IdxPrecio_V,1,MIN(10,DK$136))*(1+V_dPrecio))</f>
        <v>0</v>
      </c>
      <c r="DL153" s="34" t="n">
        <f aca="false">IF(DL$8=1,IF(Reales!$C$26="PYG",IF(DL$10&gt;0,N(Reales!DL26)/DL$10,0),N(Reales!DL26)),DL$141*INDEX(Precio_V,2)*INDEX(IdxPrecio_V,1,MIN(10,DL$136))*(1+V_dPrecio))</f>
        <v>0</v>
      </c>
      <c r="DM153" s="34" t="n">
        <f aca="false">IF(DM$8=1,IF(Reales!$C$26="PYG",IF(DM$10&gt;0,N(Reales!DM26)/DM$10,0),N(Reales!DM26)),DM$141*INDEX(Precio_V,2)*INDEX(IdxPrecio_V,1,MIN(10,DM$136))*(1+V_dPrecio))</f>
        <v>0</v>
      </c>
      <c r="DN153" s="34" t="n">
        <f aca="false">IF(DN$8=1,IF(Reales!$C$26="PYG",IF(DN$10&gt;0,N(Reales!DN26)/DN$10,0),N(Reales!DN26)),DN$141*INDEX(Precio_V,2)*INDEX(IdxPrecio_V,1,MIN(10,DN$136))*(1+V_dPrecio))</f>
        <v>0</v>
      </c>
      <c r="DO153" s="34" t="n">
        <f aca="false">IF(DO$8=1,IF(Reales!$C$26="PYG",IF(DO$10&gt;0,N(Reales!DO26)/DO$10,0),N(Reales!DO26)),DO$141*INDEX(Precio_V,2)*INDEX(IdxPrecio_V,1,MIN(10,DO$136))*(1+V_dPrecio))</f>
        <v>0</v>
      </c>
      <c r="DP153" s="34" t="n">
        <f aca="false">IF(DP$8=1,IF(Reales!$C$26="PYG",IF(DP$10&gt;0,N(Reales!DP26)/DP$10,0),N(Reales!DP26)),DP$141*INDEX(Precio_V,2)*INDEX(IdxPrecio_V,1,MIN(10,DP$136))*(1+V_dPrecio))</f>
        <v>0</v>
      </c>
      <c r="DQ153" s="34" t="n">
        <f aca="false">IF(DQ$8=1,IF(Reales!$C$26="PYG",IF(DQ$10&gt;0,N(Reales!DQ26)/DQ$10,0),N(Reales!DQ26)),DQ$141*INDEX(Precio_V,2)*INDEX(IdxPrecio_V,1,MIN(10,DQ$136))*(1+V_dPrecio))</f>
        <v>0</v>
      </c>
      <c r="DR153" s="34" t="n">
        <f aca="false">IF(DR$8=1,IF(Reales!$C$26="PYG",IF(DR$10&gt;0,N(Reales!DR26)/DR$10,0),N(Reales!DR26)),DR$141*INDEX(Precio_V,2)*INDEX(IdxPrecio_V,1,MIN(10,DR$136))*(1+V_dPrecio))</f>
        <v>0</v>
      </c>
      <c r="DS153" s="34" t="n">
        <f aca="false">IF(DS$8=1,IF(Reales!$C$26="PYG",IF(DS$10&gt;0,N(Reales!DS26)/DS$10,0),N(Reales!DS26)),DS$141*INDEX(Precio_V,2)*INDEX(IdxPrecio_V,1,MIN(10,DS$136))*(1+V_dPrecio))</f>
        <v>0</v>
      </c>
      <c r="DT153" s="34" t="n">
        <f aca="false">IF(DT$8=1,IF(Reales!$C$26="PYG",IF(DT$10&gt;0,N(Reales!DT26)/DT$10,0),N(Reales!DT26)),DT$141*INDEX(Precio_V,2)*INDEX(IdxPrecio_V,1,MIN(10,DT$136))*(1+V_dPrecio))</f>
        <v>0</v>
      </c>
      <c r="DU153" s="34" t="n">
        <f aca="false">IF(DU$8=1,IF(Reales!$C$26="PYG",IF(DU$10&gt;0,N(Reales!DU26)/DU$10,0),N(Reales!DU26)),DU$141*INDEX(Precio_V,2)*INDEX(IdxPrecio_V,1,MIN(10,DU$136))*(1+V_dPrecio))</f>
        <v>0</v>
      </c>
      <c r="DV153" s="34" t="n">
        <f aca="false">IF(DV$8=1,IF(Reales!$C$26="PYG",IF(DV$10&gt;0,N(Reales!DV26)/DV$10,0),N(Reales!DV26)),DV$141*INDEX(Precio_V,2)*INDEX(IdxPrecio_V,1,MIN(10,DV$136))*(1+V_dPrecio))</f>
        <v>0</v>
      </c>
      <c r="DW153" s="34" t="n">
        <f aca="false">IF(DW$8=1,IF(Reales!$C$26="PYG",IF(DW$10&gt;0,N(Reales!DW26)/DW$10,0),N(Reales!DW26)),DW$141*INDEX(Precio_V,2)*INDEX(IdxPrecio_V,1,MIN(10,DW$136))*(1+V_dPrecio))</f>
        <v>0</v>
      </c>
      <c r="DX153" s="34" t="n">
        <f aca="false">IF(DX$8=1,IF(Reales!$C$26="PYG",IF(DX$10&gt;0,N(Reales!DX26)/DX$10,0),N(Reales!DX26)),DX$141*INDEX(Precio_V,2)*INDEX(IdxPrecio_V,1,MIN(10,DX$136))*(1+V_dPrecio))</f>
        <v>0</v>
      </c>
      <c r="DY153" s="34" t="n">
        <f aca="false">IF(DY$8=1,IF(Reales!$C$26="PYG",IF(DY$10&gt;0,N(Reales!DY26)/DY$10,0),N(Reales!DY26)),DY$141*INDEX(Precio_V,2)*INDEX(IdxPrecio_V,1,MIN(10,DY$136))*(1+V_dPrecio))</f>
        <v>0</v>
      </c>
      <c r="DZ153" s="34" t="n">
        <f aca="false">IF(DZ$8=1,IF(Reales!$C$26="PYG",IF(DZ$10&gt;0,N(Reales!DZ26)/DZ$10,0),N(Reales!DZ26)),DZ$141*INDEX(Precio_V,2)*INDEX(IdxPrecio_V,1,MIN(10,DZ$136))*(1+V_dPrecio))</f>
        <v>0</v>
      </c>
      <c r="EA153" s="34" t="n">
        <f aca="false">IF(EA$8=1,IF(Reales!$C$26="PYG",IF(EA$10&gt;0,N(Reales!EA26)/EA$10,0),N(Reales!EA26)),EA$141*INDEX(Precio_V,2)*INDEX(IdxPrecio_V,1,MIN(10,EA$136))*(1+V_dPrecio))</f>
        <v>0</v>
      </c>
      <c r="EB153" s="34" t="n">
        <f aca="false">IF(EB$8=1,IF(Reales!$C$26="PYG",IF(EB$10&gt;0,N(Reales!EB26)/EB$10,0),N(Reales!EB26)),EB$141*INDEX(Precio_V,2)*INDEX(IdxPrecio_V,1,MIN(10,EB$136))*(1+V_dPrecio))</f>
        <v>0</v>
      </c>
      <c r="EC153" s="34" t="n">
        <f aca="false">IF(EC$8=1,IF(Reales!$C$26="PYG",IF(EC$10&gt;0,N(Reales!EC26)/EC$10,0),N(Reales!EC26)),EC$141*INDEX(Precio_V,2)*INDEX(IdxPrecio_V,1,MIN(10,EC$136))*(1+V_dPrecio))</f>
        <v>0</v>
      </c>
      <c r="ED153" s="34" t="n">
        <f aca="false">IF(ED$8=1,IF(Reales!$C$26="PYG",IF(ED$10&gt;0,N(Reales!ED26)/ED$10,0),N(Reales!ED26)),ED$141*INDEX(Precio_V,2)*INDEX(IdxPrecio_V,1,MIN(10,ED$136))*(1+V_dPrecio))</f>
        <v>0</v>
      </c>
      <c r="EE153" s="34" t="n">
        <f aca="false">IF(EE$8=1,IF(Reales!$C$26="PYG",IF(EE$10&gt;0,N(Reales!EE26)/EE$10,0),N(Reales!EE26)),EE$141*INDEX(Precio_V,2)*INDEX(IdxPrecio_V,1,MIN(10,EE$136))*(1+V_dPrecio))</f>
        <v>0</v>
      </c>
      <c r="EF153" s="34" t="n">
        <f aca="false">IF(EF$8=1,IF(Reales!$C$26="PYG",IF(EF$10&gt;0,N(Reales!EF26)/EF$10,0),N(Reales!EF26)),EF$141*INDEX(Precio_V,2)*INDEX(IdxPrecio_V,1,MIN(10,EF$136))*(1+V_dPrecio))</f>
        <v>0</v>
      </c>
      <c r="EG153" s="34" t="n">
        <f aca="false">IF(EG$8=1,IF(Reales!$C$26="PYG",IF(EG$10&gt;0,N(Reales!EG26)/EG$10,0),N(Reales!EG26)),EG$141*INDEX(Precio_V,2)*INDEX(IdxPrecio_V,1,MIN(10,EG$136))*(1+V_dPrecio))</f>
        <v>0</v>
      </c>
      <c r="EH153" s="34" t="n">
        <f aca="false">IF(EH$8=1,IF(Reales!$C$26="PYG",IF(EH$10&gt;0,N(Reales!EH26)/EH$10,0),N(Reales!EH26)),EH$141*INDEX(Precio_V,2)*INDEX(IdxPrecio_V,1,MIN(10,EH$136))*(1+V_dPrecio))</f>
        <v>0</v>
      </c>
      <c r="EI153" s="34" t="n">
        <f aca="false">IF(EI$8=1,IF(Reales!$C$26="PYG",IF(EI$10&gt;0,N(Reales!EI26)/EI$10,0),N(Reales!EI26)),EI$141*INDEX(Precio_V,2)*INDEX(IdxPrecio_V,1,MIN(10,EI$136))*(1+V_dPrecio))</f>
        <v>0</v>
      </c>
      <c r="EJ153" s="34" t="n">
        <f aca="false">IF(EJ$8=1,IF(Reales!$C$26="PYG",IF(EJ$10&gt;0,N(Reales!EJ26)/EJ$10,0),N(Reales!EJ26)),EJ$141*INDEX(Precio_V,2)*INDEX(IdxPrecio_V,1,MIN(10,EJ$136))*(1+V_dPrecio))</f>
        <v>0</v>
      </c>
      <c r="EK153" s="34" t="n">
        <f aca="false">IF(EK$8=1,IF(Reales!$C$26="PYG",IF(EK$10&gt;0,N(Reales!EK26)/EK$10,0),N(Reales!EK26)),EK$141*INDEX(Precio_V,2)*INDEX(IdxPrecio_V,1,MIN(10,EK$136))*(1+V_dPrecio))</f>
        <v>0</v>
      </c>
      <c r="EL153" s="34" t="n">
        <f aca="false">IF(EL$8=1,IF(Reales!$C$26="PYG",IF(EL$10&gt;0,N(Reales!EL26)/EL$10,0),N(Reales!EL26)),EL$141*INDEX(Precio_V,2)*INDEX(IdxPrecio_V,1,MIN(10,EL$136))*(1+V_dPrecio))</f>
        <v>0</v>
      </c>
      <c r="EM153" s="34" t="n">
        <f aca="false">IF(EM$8=1,IF(Reales!$C$26="PYG",IF(EM$10&gt;0,N(Reales!EM26)/EM$10,0),N(Reales!EM26)),EM$141*INDEX(Precio_V,2)*INDEX(IdxPrecio_V,1,MIN(10,EM$136))*(1+V_dPrecio))</f>
        <v>0</v>
      </c>
      <c r="EN153" s="34" t="n">
        <f aca="false">IF(EN$8=1,IF(Reales!$C$26="PYG",IF(EN$10&gt;0,N(Reales!EN26)/EN$10,0),N(Reales!EN26)),EN$141*INDEX(Precio_V,2)*INDEX(IdxPrecio_V,1,MIN(10,EN$136))*(1+V_dPrecio))</f>
        <v>0</v>
      </c>
      <c r="EO153" s="34" t="n">
        <f aca="false">IF(EO$8=1,IF(Reales!$C$26="PYG",IF(EO$10&gt;0,N(Reales!EO26)/EO$10,0),N(Reales!EO26)),EO$141*INDEX(Precio_V,2)*INDEX(IdxPrecio_V,1,MIN(10,EO$136))*(1+V_dPrecio))</f>
        <v>0</v>
      </c>
      <c r="EP153" s="34" t="n">
        <f aca="false">IF(EP$8=1,IF(Reales!$C$26="PYG",IF(EP$10&gt;0,N(Reales!EP26)/EP$10,0),N(Reales!EP26)),EP$141*INDEX(Precio_V,2)*INDEX(IdxPrecio_V,1,MIN(10,EP$136))*(1+V_dPrecio))</f>
        <v>0</v>
      </c>
      <c r="EQ153" s="34" t="n">
        <f aca="false">IF(EQ$8=1,IF(Reales!$C$26="PYG",IF(EQ$10&gt;0,N(Reales!EQ26)/EQ$10,0),N(Reales!EQ26)),EQ$141*INDEX(Precio_V,2)*INDEX(IdxPrecio_V,1,MIN(10,EQ$136))*(1+V_dPrecio))</f>
        <v>0</v>
      </c>
      <c r="ER153" s="34" t="n">
        <f aca="false">IF(ER$8=1,IF(Reales!$C$26="PYG",IF(ER$10&gt;0,N(Reales!ER26)/ER$10,0),N(Reales!ER26)),ER$141*INDEX(Precio_V,2)*INDEX(IdxPrecio_V,1,MIN(10,ER$136))*(1+V_dPrecio))</f>
        <v>0</v>
      </c>
      <c r="ES153" s="34" t="n">
        <f aca="false">IF(ES$8=1,IF(Reales!$C$26="PYG",IF(ES$10&gt;0,N(Reales!ES26)/ES$10,0),N(Reales!ES26)),ES$141*INDEX(Precio_V,2)*INDEX(IdxPrecio_V,1,MIN(10,ES$136))*(1+V_dPrecio))</f>
        <v>0</v>
      </c>
    </row>
    <row r="154" customFormat="false" ht="15" hidden="false" customHeight="false" outlineLevel="0" collapsed="false">
      <c r="A154" s="2" t="s">
        <v>633</v>
      </c>
      <c r="B154" s="39" t="str">
        <f aca="false">IF(INDEX(Prod_Nombre,3)="","Producto 3",INDEX(Prod_Nombre,3))&amp;" — ventas USD"</f>
        <v>Producto 3 — ventas USD</v>
      </c>
      <c r="C154" s="6" t="s">
        <v>212</v>
      </c>
      <c r="E154" s="40" t="n">
        <f aca="false">SUM(F154:ES154)</f>
        <v>0</v>
      </c>
      <c r="F154" s="34" t="n">
        <f aca="false">IF(F$8=1,IF(Reales!$C$27="PYG",IF(F$10&gt;0,N(Reales!F27)/F$10,0),N(Reales!F27)),F$142*INDEX(Precio_V,3)*INDEX(IdxPrecio_V,1,MIN(10,F$136))*(1+V_dPrecio))</f>
        <v>0</v>
      </c>
      <c r="G154" s="34" t="n">
        <f aca="false">IF(G$8=1,IF(Reales!$C$27="PYG",IF(G$10&gt;0,N(Reales!G27)/G$10,0),N(Reales!G27)),G$142*INDEX(Precio_V,3)*INDEX(IdxPrecio_V,1,MIN(10,G$136))*(1+V_dPrecio))</f>
        <v>0</v>
      </c>
      <c r="H154" s="34" t="n">
        <f aca="false">IF(H$8=1,IF(Reales!$C$27="PYG",IF(H$10&gt;0,N(Reales!H27)/H$10,0),N(Reales!H27)),H$142*INDEX(Precio_V,3)*INDEX(IdxPrecio_V,1,MIN(10,H$136))*(1+V_dPrecio))</f>
        <v>0</v>
      </c>
      <c r="I154" s="34" t="n">
        <f aca="false">IF(I$8=1,IF(Reales!$C$27="PYG",IF(I$10&gt;0,N(Reales!I27)/I$10,0),N(Reales!I27)),I$142*INDEX(Precio_V,3)*INDEX(IdxPrecio_V,1,MIN(10,I$136))*(1+V_dPrecio))</f>
        <v>0</v>
      </c>
      <c r="J154" s="34" t="n">
        <f aca="false">IF(J$8=1,IF(Reales!$C$27="PYG",IF(J$10&gt;0,N(Reales!J27)/J$10,0),N(Reales!J27)),J$142*INDEX(Precio_V,3)*INDEX(IdxPrecio_V,1,MIN(10,J$136))*(1+V_dPrecio))</f>
        <v>0</v>
      </c>
      <c r="K154" s="34" t="n">
        <f aca="false">IF(K$8=1,IF(Reales!$C$27="PYG",IF(K$10&gt;0,N(Reales!K27)/K$10,0),N(Reales!K27)),K$142*INDEX(Precio_V,3)*INDEX(IdxPrecio_V,1,MIN(10,K$136))*(1+V_dPrecio))</f>
        <v>0</v>
      </c>
      <c r="L154" s="34" t="n">
        <f aca="false">IF(L$8=1,IF(Reales!$C$27="PYG",IF(L$10&gt;0,N(Reales!L27)/L$10,0),N(Reales!L27)),L$142*INDEX(Precio_V,3)*INDEX(IdxPrecio_V,1,MIN(10,L$136))*(1+V_dPrecio))</f>
        <v>0</v>
      </c>
      <c r="M154" s="34" t="n">
        <f aca="false">IF(M$8=1,IF(Reales!$C$27="PYG",IF(M$10&gt;0,N(Reales!M27)/M$10,0),N(Reales!M27)),M$142*INDEX(Precio_V,3)*INDEX(IdxPrecio_V,1,MIN(10,M$136))*(1+V_dPrecio))</f>
        <v>0</v>
      </c>
      <c r="N154" s="34" t="n">
        <f aca="false">IF(N$8=1,IF(Reales!$C$27="PYG",IF(N$10&gt;0,N(Reales!N27)/N$10,0),N(Reales!N27)),N$142*INDEX(Precio_V,3)*INDEX(IdxPrecio_V,1,MIN(10,N$136))*(1+V_dPrecio))</f>
        <v>0</v>
      </c>
      <c r="O154" s="34" t="n">
        <f aca="false">IF(O$8=1,IF(Reales!$C$27="PYG",IF(O$10&gt;0,N(Reales!O27)/O$10,0),N(Reales!O27)),O$142*INDEX(Precio_V,3)*INDEX(IdxPrecio_V,1,MIN(10,O$136))*(1+V_dPrecio))</f>
        <v>0</v>
      </c>
      <c r="P154" s="34" t="n">
        <f aca="false">IF(P$8=1,IF(Reales!$C$27="PYG",IF(P$10&gt;0,N(Reales!P27)/P$10,0),N(Reales!P27)),P$142*INDEX(Precio_V,3)*INDEX(IdxPrecio_V,1,MIN(10,P$136))*(1+V_dPrecio))</f>
        <v>0</v>
      </c>
      <c r="Q154" s="34" t="n">
        <f aca="false">IF(Q$8=1,IF(Reales!$C$27="PYG",IF(Q$10&gt;0,N(Reales!Q27)/Q$10,0),N(Reales!Q27)),Q$142*INDEX(Precio_V,3)*INDEX(IdxPrecio_V,1,MIN(10,Q$136))*(1+V_dPrecio))</f>
        <v>0</v>
      </c>
      <c r="R154" s="34" t="n">
        <f aca="false">IF(R$8=1,IF(Reales!$C$27="PYG",IF(R$10&gt;0,N(Reales!R27)/R$10,0),N(Reales!R27)),R$142*INDEX(Precio_V,3)*INDEX(IdxPrecio_V,1,MIN(10,R$136))*(1+V_dPrecio))</f>
        <v>0</v>
      </c>
      <c r="S154" s="34" t="n">
        <f aca="false">IF(S$8=1,IF(Reales!$C$27="PYG",IF(S$10&gt;0,N(Reales!S27)/S$10,0),N(Reales!S27)),S$142*INDEX(Precio_V,3)*INDEX(IdxPrecio_V,1,MIN(10,S$136))*(1+V_dPrecio))</f>
        <v>0</v>
      </c>
      <c r="T154" s="34" t="n">
        <f aca="false">IF(T$8=1,IF(Reales!$C$27="PYG",IF(T$10&gt;0,N(Reales!T27)/T$10,0),N(Reales!T27)),T$142*INDEX(Precio_V,3)*INDEX(IdxPrecio_V,1,MIN(10,T$136))*(1+V_dPrecio))</f>
        <v>0</v>
      </c>
      <c r="U154" s="34" t="n">
        <f aca="false">IF(U$8=1,IF(Reales!$C$27="PYG",IF(U$10&gt;0,N(Reales!U27)/U$10,0),N(Reales!U27)),U$142*INDEX(Precio_V,3)*INDEX(IdxPrecio_V,1,MIN(10,U$136))*(1+V_dPrecio))</f>
        <v>0</v>
      </c>
      <c r="V154" s="34" t="n">
        <f aca="false">IF(V$8=1,IF(Reales!$C$27="PYG",IF(V$10&gt;0,N(Reales!V27)/V$10,0),N(Reales!V27)),V$142*INDEX(Precio_V,3)*INDEX(IdxPrecio_V,1,MIN(10,V$136))*(1+V_dPrecio))</f>
        <v>0</v>
      </c>
      <c r="W154" s="34" t="n">
        <f aca="false">IF(W$8=1,IF(Reales!$C$27="PYG",IF(W$10&gt;0,N(Reales!W27)/W$10,0),N(Reales!W27)),W$142*INDEX(Precio_V,3)*INDEX(IdxPrecio_V,1,MIN(10,W$136))*(1+V_dPrecio))</f>
        <v>0</v>
      </c>
      <c r="X154" s="34" t="n">
        <f aca="false">IF(X$8=1,IF(Reales!$C$27="PYG",IF(X$10&gt;0,N(Reales!X27)/X$10,0),N(Reales!X27)),X$142*INDEX(Precio_V,3)*INDEX(IdxPrecio_V,1,MIN(10,X$136))*(1+V_dPrecio))</f>
        <v>0</v>
      </c>
      <c r="Y154" s="34" t="n">
        <f aca="false">IF(Y$8=1,IF(Reales!$C$27="PYG",IF(Y$10&gt;0,N(Reales!Y27)/Y$10,0),N(Reales!Y27)),Y$142*INDEX(Precio_V,3)*INDEX(IdxPrecio_V,1,MIN(10,Y$136))*(1+V_dPrecio))</f>
        <v>0</v>
      </c>
      <c r="Z154" s="34" t="n">
        <f aca="false">IF(Z$8=1,IF(Reales!$C$27="PYG",IF(Z$10&gt;0,N(Reales!Z27)/Z$10,0),N(Reales!Z27)),Z$142*INDEX(Precio_V,3)*INDEX(IdxPrecio_V,1,MIN(10,Z$136))*(1+V_dPrecio))</f>
        <v>0</v>
      </c>
      <c r="AA154" s="34" t="n">
        <f aca="false">IF(AA$8=1,IF(Reales!$C$27="PYG",IF(AA$10&gt;0,N(Reales!AA27)/AA$10,0),N(Reales!AA27)),AA$142*INDEX(Precio_V,3)*INDEX(IdxPrecio_V,1,MIN(10,AA$136))*(1+V_dPrecio))</f>
        <v>0</v>
      </c>
      <c r="AB154" s="34" t="n">
        <f aca="false">IF(AB$8=1,IF(Reales!$C$27="PYG",IF(AB$10&gt;0,N(Reales!AB27)/AB$10,0),N(Reales!AB27)),AB$142*INDEX(Precio_V,3)*INDEX(IdxPrecio_V,1,MIN(10,AB$136))*(1+V_dPrecio))</f>
        <v>0</v>
      </c>
      <c r="AC154" s="34" t="n">
        <f aca="false">IF(AC$8=1,IF(Reales!$C$27="PYG",IF(AC$10&gt;0,N(Reales!AC27)/AC$10,0),N(Reales!AC27)),AC$142*INDEX(Precio_V,3)*INDEX(IdxPrecio_V,1,MIN(10,AC$136))*(1+V_dPrecio))</f>
        <v>0</v>
      </c>
      <c r="AD154" s="34" t="n">
        <f aca="false">IF(AD$8=1,IF(Reales!$C$27="PYG",IF(AD$10&gt;0,N(Reales!AD27)/AD$10,0),N(Reales!AD27)),AD$142*INDEX(Precio_V,3)*INDEX(IdxPrecio_V,1,MIN(10,AD$136))*(1+V_dPrecio))</f>
        <v>0</v>
      </c>
      <c r="AE154" s="34" t="n">
        <f aca="false">IF(AE$8=1,IF(Reales!$C$27="PYG",IF(AE$10&gt;0,N(Reales!AE27)/AE$10,0),N(Reales!AE27)),AE$142*INDEX(Precio_V,3)*INDEX(IdxPrecio_V,1,MIN(10,AE$136))*(1+V_dPrecio))</f>
        <v>0</v>
      </c>
      <c r="AF154" s="34" t="n">
        <f aca="false">IF(AF$8=1,IF(Reales!$C$27="PYG",IF(AF$10&gt;0,N(Reales!AF27)/AF$10,0),N(Reales!AF27)),AF$142*INDEX(Precio_V,3)*INDEX(IdxPrecio_V,1,MIN(10,AF$136))*(1+V_dPrecio))</f>
        <v>0</v>
      </c>
      <c r="AG154" s="34" t="n">
        <f aca="false">IF(AG$8=1,IF(Reales!$C$27="PYG",IF(AG$10&gt;0,N(Reales!AG27)/AG$10,0),N(Reales!AG27)),AG$142*INDEX(Precio_V,3)*INDEX(IdxPrecio_V,1,MIN(10,AG$136))*(1+V_dPrecio))</f>
        <v>0</v>
      </c>
      <c r="AH154" s="34" t="n">
        <f aca="false">IF(AH$8=1,IF(Reales!$C$27="PYG",IF(AH$10&gt;0,N(Reales!AH27)/AH$10,0),N(Reales!AH27)),AH$142*INDEX(Precio_V,3)*INDEX(IdxPrecio_V,1,MIN(10,AH$136))*(1+V_dPrecio))</f>
        <v>0</v>
      </c>
      <c r="AI154" s="34" t="n">
        <f aca="false">IF(AI$8=1,IF(Reales!$C$27="PYG",IF(AI$10&gt;0,N(Reales!AI27)/AI$10,0),N(Reales!AI27)),AI$142*INDEX(Precio_V,3)*INDEX(IdxPrecio_V,1,MIN(10,AI$136))*(1+V_dPrecio))</f>
        <v>0</v>
      </c>
      <c r="AJ154" s="34" t="n">
        <f aca="false">IF(AJ$8=1,IF(Reales!$C$27="PYG",IF(AJ$10&gt;0,N(Reales!AJ27)/AJ$10,0),N(Reales!AJ27)),AJ$142*INDEX(Precio_V,3)*INDEX(IdxPrecio_V,1,MIN(10,AJ$136))*(1+V_dPrecio))</f>
        <v>0</v>
      </c>
      <c r="AK154" s="34" t="n">
        <f aca="false">IF(AK$8=1,IF(Reales!$C$27="PYG",IF(AK$10&gt;0,N(Reales!AK27)/AK$10,0),N(Reales!AK27)),AK$142*INDEX(Precio_V,3)*INDEX(IdxPrecio_V,1,MIN(10,AK$136))*(1+V_dPrecio))</f>
        <v>0</v>
      </c>
      <c r="AL154" s="34" t="n">
        <f aca="false">IF(AL$8=1,IF(Reales!$C$27="PYG",IF(AL$10&gt;0,N(Reales!AL27)/AL$10,0),N(Reales!AL27)),AL$142*INDEX(Precio_V,3)*INDEX(IdxPrecio_V,1,MIN(10,AL$136))*(1+V_dPrecio))</f>
        <v>0</v>
      </c>
      <c r="AM154" s="34" t="n">
        <f aca="false">IF(AM$8=1,IF(Reales!$C$27="PYG",IF(AM$10&gt;0,N(Reales!AM27)/AM$10,0),N(Reales!AM27)),AM$142*INDEX(Precio_V,3)*INDEX(IdxPrecio_V,1,MIN(10,AM$136))*(1+V_dPrecio))</f>
        <v>0</v>
      </c>
      <c r="AN154" s="34" t="n">
        <f aca="false">IF(AN$8=1,IF(Reales!$C$27="PYG",IF(AN$10&gt;0,N(Reales!AN27)/AN$10,0),N(Reales!AN27)),AN$142*INDEX(Precio_V,3)*INDEX(IdxPrecio_V,1,MIN(10,AN$136))*(1+V_dPrecio))</f>
        <v>0</v>
      </c>
      <c r="AO154" s="34" t="n">
        <f aca="false">IF(AO$8=1,IF(Reales!$C$27="PYG",IF(AO$10&gt;0,N(Reales!AO27)/AO$10,0),N(Reales!AO27)),AO$142*INDEX(Precio_V,3)*INDEX(IdxPrecio_V,1,MIN(10,AO$136))*(1+V_dPrecio))</f>
        <v>0</v>
      </c>
      <c r="AP154" s="34" t="n">
        <f aca="false">IF(AP$8=1,IF(Reales!$C$27="PYG",IF(AP$10&gt;0,N(Reales!AP27)/AP$10,0),N(Reales!AP27)),AP$142*INDEX(Precio_V,3)*INDEX(IdxPrecio_V,1,MIN(10,AP$136))*(1+V_dPrecio))</f>
        <v>0</v>
      </c>
      <c r="AQ154" s="34" t="n">
        <f aca="false">IF(AQ$8=1,IF(Reales!$C$27="PYG",IF(AQ$10&gt;0,N(Reales!AQ27)/AQ$10,0),N(Reales!AQ27)),AQ$142*INDEX(Precio_V,3)*INDEX(IdxPrecio_V,1,MIN(10,AQ$136))*(1+V_dPrecio))</f>
        <v>0</v>
      </c>
      <c r="AR154" s="34" t="n">
        <f aca="false">IF(AR$8=1,IF(Reales!$C$27="PYG",IF(AR$10&gt;0,N(Reales!AR27)/AR$10,0),N(Reales!AR27)),AR$142*INDEX(Precio_V,3)*INDEX(IdxPrecio_V,1,MIN(10,AR$136))*(1+V_dPrecio))</f>
        <v>0</v>
      </c>
      <c r="AS154" s="34" t="n">
        <f aca="false">IF(AS$8=1,IF(Reales!$C$27="PYG",IF(AS$10&gt;0,N(Reales!AS27)/AS$10,0),N(Reales!AS27)),AS$142*INDEX(Precio_V,3)*INDEX(IdxPrecio_V,1,MIN(10,AS$136))*(1+V_dPrecio))</f>
        <v>0</v>
      </c>
      <c r="AT154" s="34" t="n">
        <f aca="false">IF(AT$8=1,IF(Reales!$C$27="PYG",IF(AT$10&gt;0,N(Reales!AT27)/AT$10,0),N(Reales!AT27)),AT$142*INDEX(Precio_V,3)*INDEX(IdxPrecio_V,1,MIN(10,AT$136))*(1+V_dPrecio))</f>
        <v>0</v>
      </c>
      <c r="AU154" s="34" t="n">
        <f aca="false">IF(AU$8=1,IF(Reales!$C$27="PYG",IF(AU$10&gt;0,N(Reales!AU27)/AU$10,0),N(Reales!AU27)),AU$142*INDEX(Precio_V,3)*INDEX(IdxPrecio_V,1,MIN(10,AU$136))*(1+V_dPrecio))</f>
        <v>0</v>
      </c>
      <c r="AV154" s="34" t="n">
        <f aca="false">IF(AV$8=1,IF(Reales!$C$27="PYG",IF(AV$10&gt;0,N(Reales!AV27)/AV$10,0),N(Reales!AV27)),AV$142*INDEX(Precio_V,3)*INDEX(IdxPrecio_V,1,MIN(10,AV$136))*(1+V_dPrecio))</f>
        <v>0</v>
      </c>
      <c r="AW154" s="34" t="n">
        <f aca="false">IF(AW$8=1,IF(Reales!$C$27="PYG",IF(AW$10&gt;0,N(Reales!AW27)/AW$10,0),N(Reales!AW27)),AW$142*INDEX(Precio_V,3)*INDEX(IdxPrecio_V,1,MIN(10,AW$136))*(1+V_dPrecio))</f>
        <v>0</v>
      </c>
      <c r="AX154" s="34" t="n">
        <f aca="false">IF(AX$8=1,IF(Reales!$C$27="PYG",IF(AX$10&gt;0,N(Reales!AX27)/AX$10,0),N(Reales!AX27)),AX$142*INDEX(Precio_V,3)*INDEX(IdxPrecio_V,1,MIN(10,AX$136))*(1+V_dPrecio))</f>
        <v>0</v>
      </c>
      <c r="AY154" s="34" t="n">
        <f aca="false">IF(AY$8=1,IF(Reales!$C$27="PYG",IF(AY$10&gt;0,N(Reales!AY27)/AY$10,0),N(Reales!AY27)),AY$142*INDEX(Precio_V,3)*INDEX(IdxPrecio_V,1,MIN(10,AY$136))*(1+V_dPrecio))</f>
        <v>0</v>
      </c>
      <c r="AZ154" s="34" t="n">
        <f aca="false">IF(AZ$8=1,IF(Reales!$C$27="PYG",IF(AZ$10&gt;0,N(Reales!AZ27)/AZ$10,0),N(Reales!AZ27)),AZ$142*INDEX(Precio_V,3)*INDEX(IdxPrecio_V,1,MIN(10,AZ$136))*(1+V_dPrecio))</f>
        <v>0</v>
      </c>
      <c r="BA154" s="34" t="n">
        <f aca="false">IF(BA$8=1,IF(Reales!$C$27="PYG",IF(BA$10&gt;0,N(Reales!BA27)/BA$10,0),N(Reales!BA27)),BA$142*INDEX(Precio_V,3)*INDEX(IdxPrecio_V,1,MIN(10,BA$136))*(1+V_dPrecio))</f>
        <v>0</v>
      </c>
      <c r="BB154" s="34" t="n">
        <f aca="false">IF(BB$8=1,IF(Reales!$C$27="PYG",IF(BB$10&gt;0,N(Reales!BB27)/BB$10,0),N(Reales!BB27)),BB$142*INDEX(Precio_V,3)*INDEX(IdxPrecio_V,1,MIN(10,BB$136))*(1+V_dPrecio))</f>
        <v>0</v>
      </c>
      <c r="BC154" s="34" t="n">
        <f aca="false">IF(BC$8=1,IF(Reales!$C$27="PYG",IF(BC$10&gt;0,N(Reales!BC27)/BC$10,0),N(Reales!BC27)),BC$142*INDEX(Precio_V,3)*INDEX(IdxPrecio_V,1,MIN(10,BC$136))*(1+V_dPrecio))</f>
        <v>0</v>
      </c>
      <c r="BD154" s="34" t="n">
        <f aca="false">IF(BD$8=1,IF(Reales!$C$27="PYG",IF(BD$10&gt;0,N(Reales!BD27)/BD$10,0),N(Reales!BD27)),BD$142*INDEX(Precio_V,3)*INDEX(IdxPrecio_V,1,MIN(10,BD$136))*(1+V_dPrecio))</f>
        <v>0</v>
      </c>
      <c r="BE154" s="34" t="n">
        <f aca="false">IF(BE$8=1,IF(Reales!$C$27="PYG",IF(BE$10&gt;0,N(Reales!BE27)/BE$10,0),N(Reales!BE27)),BE$142*INDEX(Precio_V,3)*INDEX(IdxPrecio_V,1,MIN(10,BE$136))*(1+V_dPrecio))</f>
        <v>0</v>
      </c>
      <c r="BF154" s="34" t="n">
        <f aca="false">IF(BF$8=1,IF(Reales!$C$27="PYG",IF(BF$10&gt;0,N(Reales!BF27)/BF$10,0),N(Reales!BF27)),BF$142*INDEX(Precio_V,3)*INDEX(IdxPrecio_V,1,MIN(10,BF$136))*(1+V_dPrecio))</f>
        <v>0</v>
      </c>
      <c r="BG154" s="34" t="n">
        <f aca="false">IF(BG$8=1,IF(Reales!$C$27="PYG",IF(BG$10&gt;0,N(Reales!BG27)/BG$10,0),N(Reales!BG27)),BG$142*INDEX(Precio_V,3)*INDEX(IdxPrecio_V,1,MIN(10,BG$136))*(1+V_dPrecio))</f>
        <v>0</v>
      </c>
      <c r="BH154" s="34" t="n">
        <f aca="false">IF(BH$8=1,IF(Reales!$C$27="PYG",IF(BH$10&gt;0,N(Reales!BH27)/BH$10,0),N(Reales!BH27)),BH$142*INDEX(Precio_V,3)*INDEX(IdxPrecio_V,1,MIN(10,BH$136))*(1+V_dPrecio))</f>
        <v>0</v>
      </c>
      <c r="BI154" s="34" t="n">
        <f aca="false">IF(BI$8=1,IF(Reales!$C$27="PYG",IF(BI$10&gt;0,N(Reales!BI27)/BI$10,0),N(Reales!BI27)),BI$142*INDEX(Precio_V,3)*INDEX(IdxPrecio_V,1,MIN(10,BI$136))*(1+V_dPrecio))</f>
        <v>0</v>
      </c>
      <c r="BJ154" s="34" t="n">
        <f aca="false">IF(BJ$8=1,IF(Reales!$C$27="PYG",IF(BJ$10&gt;0,N(Reales!BJ27)/BJ$10,0),N(Reales!BJ27)),BJ$142*INDEX(Precio_V,3)*INDEX(IdxPrecio_V,1,MIN(10,BJ$136))*(1+V_dPrecio))</f>
        <v>0</v>
      </c>
      <c r="BK154" s="34" t="n">
        <f aca="false">IF(BK$8=1,IF(Reales!$C$27="PYG",IF(BK$10&gt;0,N(Reales!BK27)/BK$10,0),N(Reales!BK27)),BK$142*INDEX(Precio_V,3)*INDEX(IdxPrecio_V,1,MIN(10,BK$136))*(1+V_dPrecio))</f>
        <v>0</v>
      </c>
      <c r="BL154" s="34" t="n">
        <f aca="false">IF(BL$8=1,IF(Reales!$C$27="PYG",IF(BL$10&gt;0,N(Reales!BL27)/BL$10,0),N(Reales!BL27)),BL$142*INDEX(Precio_V,3)*INDEX(IdxPrecio_V,1,MIN(10,BL$136))*(1+V_dPrecio))</f>
        <v>0</v>
      </c>
      <c r="BM154" s="34" t="n">
        <f aca="false">IF(BM$8=1,IF(Reales!$C$27="PYG",IF(BM$10&gt;0,N(Reales!BM27)/BM$10,0),N(Reales!BM27)),BM$142*INDEX(Precio_V,3)*INDEX(IdxPrecio_V,1,MIN(10,BM$136))*(1+V_dPrecio))</f>
        <v>0</v>
      </c>
      <c r="BN154" s="34" t="n">
        <f aca="false">IF(BN$8=1,IF(Reales!$C$27="PYG",IF(BN$10&gt;0,N(Reales!BN27)/BN$10,0),N(Reales!BN27)),BN$142*INDEX(Precio_V,3)*INDEX(IdxPrecio_V,1,MIN(10,BN$136))*(1+V_dPrecio))</f>
        <v>0</v>
      </c>
      <c r="BO154" s="34" t="n">
        <f aca="false">IF(BO$8=1,IF(Reales!$C$27="PYG",IF(BO$10&gt;0,N(Reales!BO27)/BO$10,0),N(Reales!BO27)),BO$142*INDEX(Precio_V,3)*INDEX(IdxPrecio_V,1,MIN(10,BO$136))*(1+V_dPrecio))</f>
        <v>0</v>
      </c>
      <c r="BP154" s="34" t="n">
        <f aca="false">IF(BP$8=1,IF(Reales!$C$27="PYG",IF(BP$10&gt;0,N(Reales!BP27)/BP$10,0),N(Reales!BP27)),BP$142*INDEX(Precio_V,3)*INDEX(IdxPrecio_V,1,MIN(10,BP$136))*(1+V_dPrecio))</f>
        <v>0</v>
      </c>
      <c r="BQ154" s="34" t="n">
        <f aca="false">IF(BQ$8=1,IF(Reales!$C$27="PYG",IF(BQ$10&gt;0,N(Reales!BQ27)/BQ$10,0),N(Reales!BQ27)),BQ$142*INDEX(Precio_V,3)*INDEX(IdxPrecio_V,1,MIN(10,BQ$136))*(1+V_dPrecio))</f>
        <v>0</v>
      </c>
      <c r="BR154" s="34" t="n">
        <f aca="false">IF(BR$8=1,IF(Reales!$C$27="PYG",IF(BR$10&gt;0,N(Reales!BR27)/BR$10,0),N(Reales!BR27)),BR$142*INDEX(Precio_V,3)*INDEX(IdxPrecio_V,1,MIN(10,BR$136))*(1+V_dPrecio))</f>
        <v>0</v>
      </c>
      <c r="BS154" s="34" t="n">
        <f aca="false">IF(BS$8=1,IF(Reales!$C$27="PYG",IF(BS$10&gt;0,N(Reales!BS27)/BS$10,0),N(Reales!BS27)),BS$142*INDEX(Precio_V,3)*INDEX(IdxPrecio_V,1,MIN(10,BS$136))*(1+V_dPrecio))</f>
        <v>0</v>
      </c>
      <c r="BT154" s="34" t="n">
        <f aca="false">IF(BT$8=1,IF(Reales!$C$27="PYG",IF(BT$10&gt;0,N(Reales!BT27)/BT$10,0),N(Reales!BT27)),BT$142*INDEX(Precio_V,3)*INDEX(IdxPrecio_V,1,MIN(10,BT$136))*(1+V_dPrecio))</f>
        <v>0</v>
      </c>
      <c r="BU154" s="34" t="n">
        <f aca="false">IF(BU$8=1,IF(Reales!$C$27="PYG",IF(BU$10&gt;0,N(Reales!BU27)/BU$10,0),N(Reales!BU27)),BU$142*INDEX(Precio_V,3)*INDEX(IdxPrecio_V,1,MIN(10,BU$136))*(1+V_dPrecio))</f>
        <v>0</v>
      </c>
      <c r="BV154" s="34" t="n">
        <f aca="false">IF(BV$8=1,IF(Reales!$C$27="PYG",IF(BV$10&gt;0,N(Reales!BV27)/BV$10,0),N(Reales!BV27)),BV$142*INDEX(Precio_V,3)*INDEX(IdxPrecio_V,1,MIN(10,BV$136))*(1+V_dPrecio))</f>
        <v>0</v>
      </c>
      <c r="BW154" s="34" t="n">
        <f aca="false">IF(BW$8=1,IF(Reales!$C$27="PYG",IF(BW$10&gt;0,N(Reales!BW27)/BW$10,0),N(Reales!BW27)),BW$142*INDEX(Precio_V,3)*INDEX(IdxPrecio_V,1,MIN(10,BW$136))*(1+V_dPrecio))</f>
        <v>0</v>
      </c>
      <c r="BX154" s="34" t="n">
        <f aca="false">IF(BX$8=1,IF(Reales!$C$27="PYG",IF(BX$10&gt;0,N(Reales!BX27)/BX$10,0),N(Reales!BX27)),BX$142*INDEX(Precio_V,3)*INDEX(IdxPrecio_V,1,MIN(10,BX$136))*(1+V_dPrecio))</f>
        <v>0</v>
      </c>
      <c r="BY154" s="34" t="n">
        <f aca="false">IF(BY$8=1,IF(Reales!$C$27="PYG",IF(BY$10&gt;0,N(Reales!BY27)/BY$10,0),N(Reales!BY27)),BY$142*INDEX(Precio_V,3)*INDEX(IdxPrecio_V,1,MIN(10,BY$136))*(1+V_dPrecio))</f>
        <v>0</v>
      </c>
      <c r="BZ154" s="34" t="n">
        <f aca="false">IF(BZ$8=1,IF(Reales!$C$27="PYG",IF(BZ$10&gt;0,N(Reales!BZ27)/BZ$10,0),N(Reales!BZ27)),BZ$142*INDEX(Precio_V,3)*INDEX(IdxPrecio_V,1,MIN(10,BZ$136))*(1+V_dPrecio))</f>
        <v>0</v>
      </c>
      <c r="CA154" s="34" t="n">
        <f aca="false">IF(CA$8=1,IF(Reales!$C$27="PYG",IF(CA$10&gt;0,N(Reales!CA27)/CA$10,0),N(Reales!CA27)),CA$142*INDEX(Precio_V,3)*INDEX(IdxPrecio_V,1,MIN(10,CA$136))*(1+V_dPrecio))</f>
        <v>0</v>
      </c>
      <c r="CB154" s="34" t="n">
        <f aca="false">IF(CB$8=1,IF(Reales!$C$27="PYG",IF(CB$10&gt;0,N(Reales!CB27)/CB$10,0),N(Reales!CB27)),CB$142*INDEX(Precio_V,3)*INDEX(IdxPrecio_V,1,MIN(10,CB$136))*(1+V_dPrecio))</f>
        <v>0</v>
      </c>
      <c r="CC154" s="34" t="n">
        <f aca="false">IF(CC$8=1,IF(Reales!$C$27="PYG",IF(CC$10&gt;0,N(Reales!CC27)/CC$10,0),N(Reales!CC27)),CC$142*INDEX(Precio_V,3)*INDEX(IdxPrecio_V,1,MIN(10,CC$136))*(1+V_dPrecio))</f>
        <v>0</v>
      </c>
      <c r="CD154" s="34" t="n">
        <f aca="false">IF(CD$8=1,IF(Reales!$C$27="PYG",IF(CD$10&gt;0,N(Reales!CD27)/CD$10,0),N(Reales!CD27)),CD$142*INDEX(Precio_V,3)*INDEX(IdxPrecio_V,1,MIN(10,CD$136))*(1+V_dPrecio))</f>
        <v>0</v>
      </c>
      <c r="CE154" s="34" t="n">
        <f aca="false">IF(CE$8=1,IF(Reales!$C$27="PYG",IF(CE$10&gt;0,N(Reales!CE27)/CE$10,0),N(Reales!CE27)),CE$142*INDEX(Precio_V,3)*INDEX(IdxPrecio_V,1,MIN(10,CE$136))*(1+V_dPrecio))</f>
        <v>0</v>
      </c>
      <c r="CF154" s="34" t="n">
        <f aca="false">IF(CF$8=1,IF(Reales!$C$27="PYG",IF(CF$10&gt;0,N(Reales!CF27)/CF$10,0),N(Reales!CF27)),CF$142*INDEX(Precio_V,3)*INDEX(IdxPrecio_V,1,MIN(10,CF$136))*(1+V_dPrecio))</f>
        <v>0</v>
      </c>
      <c r="CG154" s="34" t="n">
        <f aca="false">IF(CG$8=1,IF(Reales!$C$27="PYG",IF(CG$10&gt;0,N(Reales!CG27)/CG$10,0),N(Reales!CG27)),CG$142*INDEX(Precio_V,3)*INDEX(IdxPrecio_V,1,MIN(10,CG$136))*(1+V_dPrecio))</f>
        <v>0</v>
      </c>
      <c r="CH154" s="34" t="n">
        <f aca="false">IF(CH$8=1,IF(Reales!$C$27="PYG",IF(CH$10&gt;0,N(Reales!CH27)/CH$10,0),N(Reales!CH27)),CH$142*INDEX(Precio_V,3)*INDEX(IdxPrecio_V,1,MIN(10,CH$136))*(1+V_dPrecio))</f>
        <v>0</v>
      </c>
      <c r="CI154" s="34" t="n">
        <f aca="false">IF(CI$8=1,IF(Reales!$C$27="PYG",IF(CI$10&gt;0,N(Reales!CI27)/CI$10,0),N(Reales!CI27)),CI$142*INDEX(Precio_V,3)*INDEX(IdxPrecio_V,1,MIN(10,CI$136))*(1+V_dPrecio))</f>
        <v>0</v>
      </c>
      <c r="CJ154" s="34" t="n">
        <f aca="false">IF(CJ$8=1,IF(Reales!$C$27="PYG",IF(CJ$10&gt;0,N(Reales!CJ27)/CJ$10,0),N(Reales!CJ27)),CJ$142*INDEX(Precio_V,3)*INDEX(IdxPrecio_V,1,MIN(10,CJ$136))*(1+V_dPrecio))</f>
        <v>0</v>
      </c>
      <c r="CK154" s="34" t="n">
        <f aca="false">IF(CK$8=1,IF(Reales!$C$27="PYG",IF(CK$10&gt;0,N(Reales!CK27)/CK$10,0),N(Reales!CK27)),CK$142*INDEX(Precio_V,3)*INDEX(IdxPrecio_V,1,MIN(10,CK$136))*(1+V_dPrecio))</f>
        <v>0</v>
      </c>
      <c r="CL154" s="34" t="n">
        <f aca="false">IF(CL$8=1,IF(Reales!$C$27="PYG",IF(CL$10&gt;0,N(Reales!CL27)/CL$10,0),N(Reales!CL27)),CL$142*INDEX(Precio_V,3)*INDEX(IdxPrecio_V,1,MIN(10,CL$136))*(1+V_dPrecio))</f>
        <v>0</v>
      </c>
      <c r="CM154" s="34" t="n">
        <f aca="false">IF(CM$8=1,IF(Reales!$C$27="PYG",IF(CM$10&gt;0,N(Reales!CM27)/CM$10,0),N(Reales!CM27)),CM$142*INDEX(Precio_V,3)*INDEX(IdxPrecio_V,1,MIN(10,CM$136))*(1+V_dPrecio))</f>
        <v>0</v>
      </c>
      <c r="CN154" s="34" t="n">
        <f aca="false">IF(CN$8=1,IF(Reales!$C$27="PYG",IF(CN$10&gt;0,N(Reales!CN27)/CN$10,0),N(Reales!CN27)),CN$142*INDEX(Precio_V,3)*INDEX(IdxPrecio_V,1,MIN(10,CN$136))*(1+V_dPrecio))</f>
        <v>0</v>
      </c>
      <c r="CO154" s="34" t="n">
        <f aca="false">IF(CO$8=1,IF(Reales!$C$27="PYG",IF(CO$10&gt;0,N(Reales!CO27)/CO$10,0),N(Reales!CO27)),CO$142*INDEX(Precio_V,3)*INDEX(IdxPrecio_V,1,MIN(10,CO$136))*(1+V_dPrecio))</f>
        <v>0</v>
      </c>
      <c r="CP154" s="34" t="n">
        <f aca="false">IF(CP$8=1,IF(Reales!$C$27="PYG",IF(CP$10&gt;0,N(Reales!CP27)/CP$10,0),N(Reales!CP27)),CP$142*INDEX(Precio_V,3)*INDEX(IdxPrecio_V,1,MIN(10,CP$136))*(1+V_dPrecio))</f>
        <v>0</v>
      </c>
      <c r="CQ154" s="34" t="n">
        <f aca="false">IF(CQ$8=1,IF(Reales!$C$27="PYG",IF(CQ$10&gt;0,N(Reales!CQ27)/CQ$10,0),N(Reales!CQ27)),CQ$142*INDEX(Precio_V,3)*INDEX(IdxPrecio_V,1,MIN(10,CQ$136))*(1+V_dPrecio))</f>
        <v>0</v>
      </c>
      <c r="CR154" s="34" t="n">
        <f aca="false">IF(CR$8=1,IF(Reales!$C$27="PYG",IF(CR$10&gt;0,N(Reales!CR27)/CR$10,0),N(Reales!CR27)),CR$142*INDEX(Precio_V,3)*INDEX(IdxPrecio_V,1,MIN(10,CR$136))*(1+V_dPrecio))</f>
        <v>0</v>
      </c>
      <c r="CS154" s="34" t="n">
        <f aca="false">IF(CS$8=1,IF(Reales!$C$27="PYG",IF(CS$10&gt;0,N(Reales!CS27)/CS$10,0),N(Reales!CS27)),CS$142*INDEX(Precio_V,3)*INDEX(IdxPrecio_V,1,MIN(10,CS$136))*(1+V_dPrecio))</f>
        <v>0</v>
      </c>
      <c r="CT154" s="34" t="n">
        <f aca="false">IF(CT$8=1,IF(Reales!$C$27="PYG",IF(CT$10&gt;0,N(Reales!CT27)/CT$10,0),N(Reales!CT27)),CT$142*INDEX(Precio_V,3)*INDEX(IdxPrecio_V,1,MIN(10,CT$136))*(1+V_dPrecio))</f>
        <v>0</v>
      </c>
      <c r="CU154" s="34" t="n">
        <f aca="false">IF(CU$8=1,IF(Reales!$C$27="PYG",IF(CU$10&gt;0,N(Reales!CU27)/CU$10,0),N(Reales!CU27)),CU$142*INDEX(Precio_V,3)*INDEX(IdxPrecio_V,1,MIN(10,CU$136))*(1+V_dPrecio))</f>
        <v>0</v>
      </c>
      <c r="CV154" s="34" t="n">
        <f aca="false">IF(CV$8=1,IF(Reales!$C$27="PYG",IF(CV$10&gt;0,N(Reales!CV27)/CV$10,0),N(Reales!CV27)),CV$142*INDEX(Precio_V,3)*INDEX(IdxPrecio_V,1,MIN(10,CV$136))*(1+V_dPrecio))</f>
        <v>0</v>
      </c>
      <c r="CW154" s="34" t="n">
        <f aca="false">IF(CW$8=1,IF(Reales!$C$27="PYG",IF(CW$10&gt;0,N(Reales!CW27)/CW$10,0),N(Reales!CW27)),CW$142*INDEX(Precio_V,3)*INDEX(IdxPrecio_V,1,MIN(10,CW$136))*(1+V_dPrecio))</f>
        <v>0</v>
      </c>
      <c r="CX154" s="34" t="n">
        <f aca="false">IF(CX$8=1,IF(Reales!$C$27="PYG",IF(CX$10&gt;0,N(Reales!CX27)/CX$10,0),N(Reales!CX27)),CX$142*INDEX(Precio_V,3)*INDEX(IdxPrecio_V,1,MIN(10,CX$136))*(1+V_dPrecio))</f>
        <v>0</v>
      </c>
      <c r="CY154" s="34" t="n">
        <f aca="false">IF(CY$8=1,IF(Reales!$C$27="PYG",IF(CY$10&gt;0,N(Reales!CY27)/CY$10,0),N(Reales!CY27)),CY$142*INDEX(Precio_V,3)*INDEX(IdxPrecio_V,1,MIN(10,CY$136))*(1+V_dPrecio))</f>
        <v>0</v>
      </c>
      <c r="CZ154" s="34" t="n">
        <f aca="false">IF(CZ$8=1,IF(Reales!$C$27="PYG",IF(CZ$10&gt;0,N(Reales!CZ27)/CZ$10,0),N(Reales!CZ27)),CZ$142*INDEX(Precio_V,3)*INDEX(IdxPrecio_V,1,MIN(10,CZ$136))*(1+V_dPrecio))</f>
        <v>0</v>
      </c>
      <c r="DA154" s="34" t="n">
        <f aca="false">IF(DA$8=1,IF(Reales!$C$27="PYG",IF(DA$10&gt;0,N(Reales!DA27)/DA$10,0),N(Reales!DA27)),DA$142*INDEX(Precio_V,3)*INDEX(IdxPrecio_V,1,MIN(10,DA$136))*(1+V_dPrecio))</f>
        <v>0</v>
      </c>
      <c r="DB154" s="34" t="n">
        <f aca="false">IF(DB$8=1,IF(Reales!$C$27="PYG",IF(DB$10&gt;0,N(Reales!DB27)/DB$10,0),N(Reales!DB27)),DB$142*INDEX(Precio_V,3)*INDEX(IdxPrecio_V,1,MIN(10,DB$136))*(1+V_dPrecio))</f>
        <v>0</v>
      </c>
      <c r="DC154" s="34" t="n">
        <f aca="false">IF(DC$8=1,IF(Reales!$C$27="PYG",IF(DC$10&gt;0,N(Reales!DC27)/DC$10,0),N(Reales!DC27)),DC$142*INDEX(Precio_V,3)*INDEX(IdxPrecio_V,1,MIN(10,DC$136))*(1+V_dPrecio))</f>
        <v>0</v>
      </c>
      <c r="DD154" s="34" t="n">
        <f aca="false">IF(DD$8=1,IF(Reales!$C$27="PYG",IF(DD$10&gt;0,N(Reales!DD27)/DD$10,0),N(Reales!DD27)),DD$142*INDEX(Precio_V,3)*INDEX(IdxPrecio_V,1,MIN(10,DD$136))*(1+V_dPrecio))</f>
        <v>0</v>
      </c>
      <c r="DE154" s="34" t="n">
        <f aca="false">IF(DE$8=1,IF(Reales!$C$27="PYG",IF(DE$10&gt;0,N(Reales!DE27)/DE$10,0),N(Reales!DE27)),DE$142*INDEX(Precio_V,3)*INDEX(IdxPrecio_V,1,MIN(10,DE$136))*(1+V_dPrecio))</f>
        <v>0</v>
      </c>
      <c r="DF154" s="34" t="n">
        <f aca="false">IF(DF$8=1,IF(Reales!$C$27="PYG",IF(DF$10&gt;0,N(Reales!DF27)/DF$10,0),N(Reales!DF27)),DF$142*INDEX(Precio_V,3)*INDEX(IdxPrecio_V,1,MIN(10,DF$136))*(1+V_dPrecio))</f>
        <v>0</v>
      </c>
      <c r="DG154" s="34" t="n">
        <f aca="false">IF(DG$8=1,IF(Reales!$C$27="PYG",IF(DG$10&gt;0,N(Reales!DG27)/DG$10,0),N(Reales!DG27)),DG$142*INDEX(Precio_V,3)*INDEX(IdxPrecio_V,1,MIN(10,DG$136))*(1+V_dPrecio))</f>
        <v>0</v>
      </c>
      <c r="DH154" s="34" t="n">
        <f aca="false">IF(DH$8=1,IF(Reales!$C$27="PYG",IF(DH$10&gt;0,N(Reales!DH27)/DH$10,0),N(Reales!DH27)),DH$142*INDEX(Precio_V,3)*INDEX(IdxPrecio_V,1,MIN(10,DH$136))*(1+V_dPrecio))</f>
        <v>0</v>
      </c>
      <c r="DI154" s="34" t="n">
        <f aca="false">IF(DI$8=1,IF(Reales!$C$27="PYG",IF(DI$10&gt;0,N(Reales!DI27)/DI$10,0),N(Reales!DI27)),DI$142*INDEX(Precio_V,3)*INDEX(IdxPrecio_V,1,MIN(10,DI$136))*(1+V_dPrecio))</f>
        <v>0</v>
      </c>
      <c r="DJ154" s="34" t="n">
        <f aca="false">IF(DJ$8=1,IF(Reales!$C$27="PYG",IF(DJ$10&gt;0,N(Reales!DJ27)/DJ$10,0),N(Reales!DJ27)),DJ$142*INDEX(Precio_V,3)*INDEX(IdxPrecio_V,1,MIN(10,DJ$136))*(1+V_dPrecio))</f>
        <v>0</v>
      </c>
      <c r="DK154" s="34" t="n">
        <f aca="false">IF(DK$8=1,IF(Reales!$C$27="PYG",IF(DK$10&gt;0,N(Reales!DK27)/DK$10,0),N(Reales!DK27)),DK$142*INDEX(Precio_V,3)*INDEX(IdxPrecio_V,1,MIN(10,DK$136))*(1+V_dPrecio))</f>
        <v>0</v>
      </c>
      <c r="DL154" s="34" t="n">
        <f aca="false">IF(DL$8=1,IF(Reales!$C$27="PYG",IF(DL$10&gt;0,N(Reales!DL27)/DL$10,0),N(Reales!DL27)),DL$142*INDEX(Precio_V,3)*INDEX(IdxPrecio_V,1,MIN(10,DL$136))*(1+V_dPrecio))</f>
        <v>0</v>
      </c>
      <c r="DM154" s="34" t="n">
        <f aca="false">IF(DM$8=1,IF(Reales!$C$27="PYG",IF(DM$10&gt;0,N(Reales!DM27)/DM$10,0),N(Reales!DM27)),DM$142*INDEX(Precio_V,3)*INDEX(IdxPrecio_V,1,MIN(10,DM$136))*(1+V_dPrecio))</f>
        <v>0</v>
      </c>
      <c r="DN154" s="34" t="n">
        <f aca="false">IF(DN$8=1,IF(Reales!$C$27="PYG",IF(DN$10&gt;0,N(Reales!DN27)/DN$10,0),N(Reales!DN27)),DN$142*INDEX(Precio_V,3)*INDEX(IdxPrecio_V,1,MIN(10,DN$136))*(1+V_dPrecio))</f>
        <v>0</v>
      </c>
      <c r="DO154" s="34" t="n">
        <f aca="false">IF(DO$8=1,IF(Reales!$C$27="PYG",IF(DO$10&gt;0,N(Reales!DO27)/DO$10,0),N(Reales!DO27)),DO$142*INDEX(Precio_V,3)*INDEX(IdxPrecio_V,1,MIN(10,DO$136))*(1+V_dPrecio))</f>
        <v>0</v>
      </c>
      <c r="DP154" s="34" t="n">
        <f aca="false">IF(DP$8=1,IF(Reales!$C$27="PYG",IF(DP$10&gt;0,N(Reales!DP27)/DP$10,0),N(Reales!DP27)),DP$142*INDEX(Precio_V,3)*INDEX(IdxPrecio_V,1,MIN(10,DP$136))*(1+V_dPrecio))</f>
        <v>0</v>
      </c>
      <c r="DQ154" s="34" t="n">
        <f aca="false">IF(DQ$8=1,IF(Reales!$C$27="PYG",IF(DQ$10&gt;0,N(Reales!DQ27)/DQ$10,0),N(Reales!DQ27)),DQ$142*INDEX(Precio_V,3)*INDEX(IdxPrecio_V,1,MIN(10,DQ$136))*(1+V_dPrecio))</f>
        <v>0</v>
      </c>
      <c r="DR154" s="34" t="n">
        <f aca="false">IF(DR$8=1,IF(Reales!$C$27="PYG",IF(DR$10&gt;0,N(Reales!DR27)/DR$10,0),N(Reales!DR27)),DR$142*INDEX(Precio_V,3)*INDEX(IdxPrecio_V,1,MIN(10,DR$136))*(1+V_dPrecio))</f>
        <v>0</v>
      </c>
      <c r="DS154" s="34" t="n">
        <f aca="false">IF(DS$8=1,IF(Reales!$C$27="PYG",IF(DS$10&gt;0,N(Reales!DS27)/DS$10,0),N(Reales!DS27)),DS$142*INDEX(Precio_V,3)*INDEX(IdxPrecio_V,1,MIN(10,DS$136))*(1+V_dPrecio))</f>
        <v>0</v>
      </c>
      <c r="DT154" s="34" t="n">
        <f aca="false">IF(DT$8=1,IF(Reales!$C$27="PYG",IF(DT$10&gt;0,N(Reales!DT27)/DT$10,0),N(Reales!DT27)),DT$142*INDEX(Precio_V,3)*INDEX(IdxPrecio_V,1,MIN(10,DT$136))*(1+V_dPrecio))</f>
        <v>0</v>
      </c>
      <c r="DU154" s="34" t="n">
        <f aca="false">IF(DU$8=1,IF(Reales!$C$27="PYG",IF(DU$10&gt;0,N(Reales!DU27)/DU$10,0),N(Reales!DU27)),DU$142*INDEX(Precio_V,3)*INDEX(IdxPrecio_V,1,MIN(10,DU$136))*(1+V_dPrecio))</f>
        <v>0</v>
      </c>
      <c r="DV154" s="34" t="n">
        <f aca="false">IF(DV$8=1,IF(Reales!$C$27="PYG",IF(DV$10&gt;0,N(Reales!DV27)/DV$10,0),N(Reales!DV27)),DV$142*INDEX(Precio_V,3)*INDEX(IdxPrecio_V,1,MIN(10,DV$136))*(1+V_dPrecio))</f>
        <v>0</v>
      </c>
      <c r="DW154" s="34" t="n">
        <f aca="false">IF(DW$8=1,IF(Reales!$C$27="PYG",IF(DW$10&gt;0,N(Reales!DW27)/DW$10,0),N(Reales!DW27)),DW$142*INDEX(Precio_V,3)*INDEX(IdxPrecio_V,1,MIN(10,DW$136))*(1+V_dPrecio))</f>
        <v>0</v>
      </c>
      <c r="DX154" s="34" t="n">
        <f aca="false">IF(DX$8=1,IF(Reales!$C$27="PYG",IF(DX$10&gt;0,N(Reales!DX27)/DX$10,0),N(Reales!DX27)),DX$142*INDEX(Precio_V,3)*INDEX(IdxPrecio_V,1,MIN(10,DX$136))*(1+V_dPrecio))</f>
        <v>0</v>
      </c>
      <c r="DY154" s="34" t="n">
        <f aca="false">IF(DY$8=1,IF(Reales!$C$27="PYG",IF(DY$10&gt;0,N(Reales!DY27)/DY$10,0),N(Reales!DY27)),DY$142*INDEX(Precio_V,3)*INDEX(IdxPrecio_V,1,MIN(10,DY$136))*(1+V_dPrecio))</f>
        <v>0</v>
      </c>
      <c r="DZ154" s="34" t="n">
        <f aca="false">IF(DZ$8=1,IF(Reales!$C$27="PYG",IF(DZ$10&gt;0,N(Reales!DZ27)/DZ$10,0),N(Reales!DZ27)),DZ$142*INDEX(Precio_V,3)*INDEX(IdxPrecio_V,1,MIN(10,DZ$136))*(1+V_dPrecio))</f>
        <v>0</v>
      </c>
      <c r="EA154" s="34" t="n">
        <f aca="false">IF(EA$8=1,IF(Reales!$C$27="PYG",IF(EA$10&gt;0,N(Reales!EA27)/EA$10,0),N(Reales!EA27)),EA$142*INDEX(Precio_V,3)*INDEX(IdxPrecio_V,1,MIN(10,EA$136))*(1+V_dPrecio))</f>
        <v>0</v>
      </c>
      <c r="EB154" s="34" t="n">
        <f aca="false">IF(EB$8=1,IF(Reales!$C$27="PYG",IF(EB$10&gt;0,N(Reales!EB27)/EB$10,0),N(Reales!EB27)),EB$142*INDEX(Precio_V,3)*INDEX(IdxPrecio_V,1,MIN(10,EB$136))*(1+V_dPrecio))</f>
        <v>0</v>
      </c>
      <c r="EC154" s="34" t="n">
        <f aca="false">IF(EC$8=1,IF(Reales!$C$27="PYG",IF(EC$10&gt;0,N(Reales!EC27)/EC$10,0),N(Reales!EC27)),EC$142*INDEX(Precio_V,3)*INDEX(IdxPrecio_V,1,MIN(10,EC$136))*(1+V_dPrecio))</f>
        <v>0</v>
      </c>
      <c r="ED154" s="34" t="n">
        <f aca="false">IF(ED$8=1,IF(Reales!$C$27="PYG",IF(ED$10&gt;0,N(Reales!ED27)/ED$10,0),N(Reales!ED27)),ED$142*INDEX(Precio_V,3)*INDEX(IdxPrecio_V,1,MIN(10,ED$136))*(1+V_dPrecio))</f>
        <v>0</v>
      </c>
      <c r="EE154" s="34" t="n">
        <f aca="false">IF(EE$8=1,IF(Reales!$C$27="PYG",IF(EE$10&gt;0,N(Reales!EE27)/EE$10,0),N(Reales!EE27)),EE$142*INDEX(Precio_V,3)*INDEX(IdxPrecio_V,1,MIN(10,EE$136))*(1+V_dPrecio))</f>
        <v>0</v>
      </c>
      <c r="EF154" s="34" t="n">
        <f aca="false">IF(EF$8=1,IF(Reales!$C$27="PYG",IF(EF$10&gt;0,N(Reales!EF27)/EF$10,0),N(Reales!EF27)),EF$142*INDEX(Precio_V,3)*INDEX(IdxPrecio_V,1,MIN(10,EF$136))*(1+V_dPrecio))</f>
        <v>0</v>
      </c>
      <c r="EG154" s="34" t="n">
        <f aca="false">IF(EG$8=1,IF(Reales!$C$27="PYG",IF(EG$10&gt;0,N(Reales!EG27)/EG$10,0),N(Reales!EG27)),EG$142*INDEX(Precio_V,3)*INDEX(IdxPrecio_V,1,MIN(10,EG$136))*(1+V_dPrecio))</f>
        <v>0</v>
      </c>
      <c r="EH154" s="34" t="n">
        <f aca="false">IF(EH$8=1,IF(Reales!$C$27="PYG",IF(EH$10&gt;0,N(Reales!EH27)/EH$10,0),N(Reales!EH27)),EH$142*INDEX(Precio_V,3)*INDEX(IdxPrecio_V,1,MIN(10,EH$136))*(1+V_dPrecio))</f>
        <v>0</v>
      </c>
      <c r="EI154" s="34" t="n">
        <f aca="false">IF(EI$8=1,IF(Reales!$C$27="PYG",IF(EI$10&gt;0,N(Reales!EI27)/EI$10,0),N(Reales!EI27)),EI$142*INDEX(Precio_V,3)*INDEX(IdxPrecio_V,1,MIN(10,EI$136))*(1+V_dPrecio))</f>
        <v>0</v>
      </c>
      <c r="EJ154" s="34" t="n">
        <f aca="false">IF(EJ$8=1,IF(Reales!$C$27="PYG",IF(EJ$10&gt;0,N(Reales!EJ27)/EJ$10,0),N(Reales!EJ27)),EJ$142*INDEX(Precio_V,3)*INDEX(IdxPrecio_V,1,MIN(10,EJ$136))*(1+V_dPrecio))</f>
        <v>0</v>
      </c>
      <c r="EK154" s="34" t="n">
        <f aca="false">IF(EK$8=1,IF(Reales!$C$27="PYG",IF(EK$10&gt;0,N(Reales!EK27)/EK$10,0),N(Reales!EK27)),EK$142*INDEX(Precio_V,3)*INDEX(IdxPrecio_V,1,MIN(10,EK$136))*(1+V_dPrecio))</f>
        <v>0</v>
      </c>
      <c r="EL154" s="34" t="n">
        <f aca="false">IF(EL$8=1,IF(Reales!$C$27="PYG",IF(EL$10&gt;0,N(Reales!EL27)/EL$10,0),N(Reales!EL27)),EL$142*INDEX(Precio_V,3)*INDEX(IdxPrecio_V,1,MIN(10,EL$136))*(1+V_dPrecio))</f>
        <v>0</v>
      </c>
      <c r="EM154" s="34" t="n">
        <f aca="false">IF(EM$8=1,IF(Reales!$C$27="PYG",IF(EM$10&gt;0,N(Reales!EM27)/EM$10,0),N(Reales!EM27)),EM$142*INDEX(Precio_V,3)*INDEX(IdxPrecio_V,1,MIN(10,EM$136))*(1+V_dPrecio))</f>
        <v>0</v>
      </c>
      <c r="EN154" s="34" t="n">
        <f aca="false">IF(EN$8=1,IF(Reales!$C$27="PYG",IF(EN$10&gt;0,N(Reales!EN27)/EN$10,0),N(Reales!EN27)),EN$142*INDEX(Precio_V,3)*INDEX(IdxPrecio_V,1,MIN(10,EN$136))*(1+V_dPrecio))</f>
        <v>0</v>
      </c>
      <c r="EO154" s="34" t="n">
        <f aca="false">IF(EO$8=1,IF(Reales!$C$27="PYG",IF(EO$10&gt;0,N(Reales!EO27)/EO$10,0),N(Reales!EO27)),EO$142*INDEX(Precio_V,3)*INDEX(IdxPrecio_V,1,MIN(10,EO$136))*(1+V_dPrecio))</f>
        <v>0</v>
      </c>
      <c r="EP154" s="34" t="n">
        <f aca="false">IF(EP$8=1,IF(Reales!$C$27="PYG",IF(EP$10&gt;0,N(Reales!EP27)/EP$10,0),N(Reales!EP27)),EP$142*INDEX(Precio_V,3)*INDEX(IdxPrecio_V,1,MIN(10,EP$136))*(1+V_dPrecio))</f>
        <v>0</v>
      </c>
      <c r="EQ154" s="34" t="n">
        <f aca="false">IF(EQ$8=1,IF(Reales!$C$27="PYG",IF(EQ$10&gt;0,N(Reales!EQ27)/EQ$10,0),N(Reales!EQ27)),EQ$142*INDEX(Precio_V,3)*INDEX(IdxPrecio_V,1,MIN(10,EQ$136))*(1+V_dPrecio))</f>
        <v>0</v>
      </c>
      <c r="ER154" s="34" t="n">
        <f aca="false">IF(ER$8=1,IF(Reales!$C$27="PYG",IF(ER$10&gt;0,N(Reales!ER27)/ER$10,0),N(Reales!ER27)),ER$142*INDEX(Precio_V,3)*INDEX(IdxPrecio_V,1,MIN(10,ER$136))*(1+V_dPrecio))</f>
        <v>0</v>
      </c>
      <c r="ES154" s="34" t="n">
        <f aca="false">IF(ES$8=1,IF(Reales!$C$27="PYG",IF(ES$10&gt;0,N(Reales!ES27)/ES$10,0),N(Reales!ES27)),ES$142*INDEX(Precio_V,3)*INDEX(IdxPrecio_V,1,MIN(10,ES$136))*(1+V_dPrecio))</f>
        <v>0</v>
      </c>
    </row>
    <row r="155" customFormat="false" ht="15" hidden="false" customHeight="false" outlineLevel="0" collapsed="false">
      <c r="A155" s="2" t="s">
        <v>634</v>
      </c>
      <c r="B155" s="39" t="str">
        <f aca="false">IF(INDEX(Prod_Nombre,4)="","Producto 4",INDEX(Prod_Nombre,4))&amp;" — ventas USD"</f>
        <v>Producto 4 — ventas USD</v>
      </c>
      <c r="C155" s="6" t="s">
        <v>212</v>
      </c>
      <c r="E155" s="40" t="n">
        <f aca="false">SUM(F155:ES155)</f>
        <v>0</v>
      </c>
      <c r="F155" s="34" t="n">
        <f aca="false">IF(F$8=1,IF(Reales!$C$28="PYG",IF(F$10&gt;0,N(Reales!F28)/F$10,0),N(Reales!F28)),F$143*INDEX(Precio_V,4)*INDEX(IdxPrecio_V,1,MIN(10,F$136))*(1+V_dPrecio))</f>
        <v>0</v>
      </c>
      <c r="G155" s="34" t="n">
        <f aca="false">IF(G$8=1,IF(Reales!$C$28="PYG",IF(G$10&gt;0,N(Reales!G28)/G$10,0),N(Reales!G28)),G$143*INDEX(Precio_V,4)*INDEX(IdxPrecio_V,1,MIN(10,G$136))*(1+V_dPrecio))</f>
        <v>0</v>
      </c>
      <c r="H155" s="34" t="n">
        <f aca="false">IF(H$8=1,IF(Reales!$C$28="PYG",IF(H$10&gt;0,N(Reales!H28)/H$10,0),N(Reales!H28)),H$143*INDEX(Precio_V,4)*INDEX(IdxPrecio_V,1,MIN(10,H$136))*(1+V_dPrecio))</f>
        <v>0</v>
      </c>
      <c r="I155" s="34" t="n">
        <f aca="false">IF(I$8=1,IF(Reales!$C$28="PYG",IF(I$10&gt;0,N(Reales!I28)/I$10,0),N(Reales!I28)),I$143*INDEX(Precio_V,4)*INDEX(IdxPrecio_V,1,MIN(10,I$136))*(1+V_dPrecio))</f>
        <v>0</v>
      </c>
      <c r="J155" s="34" t="n">
        <f aca="false">IF(J$8=1,IF(Reales!$C$28="PYG",IF(J$10&gt;0,N(Reales!J28)/J$10,0),N(Reales!J28)),J$143*INDEX(Precio_V,4)*INDEX(IdxPrecio_V,1,MIN(10,J$136))*(1+V_dPrecio))</f>
        <v>0</v>
      </c>
      <c r="K155" s="34" t="n">
        <f aca="false">IF(K$8=1,IF(Reales!$C$28="PYG",IF(K$10&gt;0,N(Reales!K28)/K$10,0),N(Reales!K28)),K$143*INDEX(Precio_V,4)*INDEX(IdxPrecio_V,1,MIN(10,K$136))*(1+V_dPrecio))</f>
        <v>0</v>
      </c>
      <c r="L155" s="34" t="n">
        <f aca="false">IF(L$8=1,IF(Reales!$C$28="PYG",IF(L$10&gt;0,N(Reales!L28)/L$10,0),N(Reales!L28)),L$143*INDEX(Precio_V,4)*INDEX(IdxPrecio_V,1,MIN(10,L$136))*(1+V_dPrecio))</f>
        <v>0</v>
      </c>
      <c r="M155" s="34" t="n">
        <f aca="false">IF(M$8=1,IF(Reales!$C$28="PYG",IF(M$10&gt;0,N(Reales!M28)/M$10,0),N(Reales!M28)),M$143*INDEX(Precio_V,4)*INDEX(IdxPrecio_V,1,MIN(10,M$136))*(1+V_dPrecio))</f>
        <v>0</v>
      </c>
      <c r="N155" s="34" t="n">
        <f aca="false">IF(N$8=1,IF(Reales!$C$28="PYG",IF(N$10&gt;0,N(Reales!N28)/N$10,0),N(Reales!N28)),N$143*INDEX(Precio_V,4)*INDEX(IdxPrecio_V,1,MIN(10,N$136))*(1+V_dPrecio))</f>
        <v>0</v>
      </c>
      <c r="O155" s="34" t="n">
        <f aca="false">IF(O$8=1,IF(Reales!$C$28="PYG",IF(O$10&gt;0,N(Reales!O28)/O$10,0),N(Reales!O28)),O$143*INDEX(Precio_V,4)*INDEX(IdxPrecio_V,1,MIN(10,O$136))*(1+V_dPrecio))</f>
        <v>0</v>
      </c>
      <c r="P155" s="34" t="n">
        <f aca="false">IF(P$8=1,IF(Reales!$C$28="PYG",IF(P$10&gt;0,N(Reales!P28)/P$10,0),N(Reales!P28)),P$143*INDEX(Precio_V,4)*INDEX(IdxPrecio_V,1,MIN(10,P$136))*(1+V_dPrecio))</f>
        <v>0</v>
      </c>
      <c r="Q155" s="34" t="n">
        <f aca="false">IF(Q$8=1,IF(Reales!$C$28="PYG",IF(Q$10&gt;0,N(Reales!Q28)/Q$10,0),N(Reales!Q28)),Q$143*INDEX(Precio_V,4)*INDEX(IdxPrecio_V,1,MIN(10,Q$136))*(1+V_dPrecio))</f>
        <v>0</v>
      </c>
      <c r="R155" s="34" t="n">
        <f aca="false">IF(R$8=1,IF(Reales!$C$28="PYG",IF(R$10&gt;0,N(Reales!R28)/R$10,0),N(Reales!R28)),R$143*INDEX(Precio_V,4)*INDEX(IdxPrecio_V,1,MIN(10,R$136))*(1+V_dPrecio))</f>
        <v>0</v>
      </c>
      <c r="S155" s="34" t="n">
        <f aca="false">IF(S$8=1,IF(Reales!$C$28="PYG",IF(S$10&gt;0,N(Reales!S28)/S$10,0),N(Reales!S28)),S$143*INDEX(Precio_V,4)*INDEX(IdxPrecio_V,1,MIN(10,S$136))*(1+V_dPrecio))</f>
        <v>0</v>
      </c>
      <c r="T155" s="34" t="n">
        <f aca="false">IF(T$8=1,IF(Reales!$C$28="PYG",IF(T$10&gt;0,N(Reales!T28)/T$10,0),N(Reales!T28)),T$143*INDEX(Precio_V,4)*INDEX(IdxPrecio_V,1,MIN(10,T$136))*(1+V_dPrecio))</f>
        <v>0</v>
      </c>
      <c r="U155" s="34" t="n">
        <f aca="false">IF(U$8=1,IF(Reales!$C$28="PYG",IF(U$10&gt;0,N(Reales!U28)/U$10,0),N(Reales!U28)),U$143*INDEX(Precio_V,4)*INDEX(IdxPrecio_V,1,MIN(10,U$136))*(1+V_dPrecio))</f>
        <v>0</v>
      </c>
      <c r="V155" s="34" t="n">
        <f aca="false">IF(V$8=1,IF(Reales!$C$28="PYG",IF(V$10&gt;0,N(Reales!V28)/V$10,0),N(Reales!V28)),V$143*INDEX(Precio_V,4)*INDEX(IdxPrecio_V,1,MIN(10,V$136))*(1+V_dPrecio))</f>
        <v>0</v>
      </c>
      <c r="W155" s="34" t="n">
        <f aca="false">IF(W$8=1,IF(Reales!$C$28="PYG",IF(W$10&gt;0,N(Reales!W28)/W$10,0),N(Reales!W28)),W$143*INDEX(Precio_V,4)*INDEX(IdxPrecio_V,1,MIN(10,W$136))*(1+V_dPrecio))</f>
        <v>0</v>
      </c>
      <c r="X155" s="34" t="n">
        <f aca="false">IF(X$8=1,IF(Reales!$C$28="PYG",IF(X$10&gt;0,N(Reales!X28)/X$10,0),N(Reales!X28)),X$143*INDEX(Precio_V,4)*INDEX(IdxPrecio_V,1,MIN(10,X$136))*(1+V_dPrecio))</f>
        <v>0</v>
      </c>
      <c r="Y155" s="34" t="n">
        <f aca="false">IF(Y$8=1,IF(Reales!$C$28="PYG",IF(Y$10&gt;0,N(Reales!Y28)/Y$10,0),N(Reales!Y28)),Y$143*INDEX(Precio_V,4)*INDEX(IdxPrecio_V,1,MIN(10,Y$136))*(1+V_dPrecio))</f>
        <v>0</v>
      </c>
      <c r="Z155" s="34" t="n">
        <f aca="false">IF(Z$8=1,IF(Reales!$C$28="PYG",IF(Z$10&gt;0,N(Reales!Z28)/Z$10,0),N(Reales!Z28)),Z$143*INDEX(Precio_V,4)*INDEX(IdxPrecio_V,1,MIN(10,Z$136))*(1+V_dPrecio))</f>
        <v>0</v>
      </c>
      <c r="AA155" s="34" t="n">
        <f aca="false">IF(AA$8=1,IF(Reales!$C$28="PYG",IF(AA$10&gt;0,N(Reales!AA28)/AA$10,0),N(Reales!AA28)),AA$143*INDEX(Precio_V,4)*INDEX(IdxPrecio_V,1,MIN(10,AA$136))*(1+V_dPrecio))</f>
        <v>0</v>
      </c>
      <c r="AB155" s="34" t="n">
        <f aca="false">IF(AB$8=1,IF(Reales!$C$28="PYG",IF(AB$10&gt;0,N(Reales!AB28)/AB$10,0),N(Reales!AB28)),AB$143*INDEX(Precio_V,4)*INDEX(IdxPrecio_V,1,MIN(10,AB$136))*(1+V_dPrecio))</f>
        <v>0</v>
      </c>
      <c r="AC155" s="34" t="n">
        <f aca="false">IF(AC$8=1,IF(Reales!$C$28="PYG",IF(AC$10&gt;0,N(Reales!AC28)/AC$10,0),N(Reales!AC28)),AC$143*INDEX(Precio_V,4)*INDEX(IdxPrecio_V,1,MIN(10,AC$136))*(1+V_dPrecio))</f>
        <v>0</v>
      </c>
      <c r="AD155" s="34" t="n">
        <f aca="false">IF(AD$8=1,IF(Reales!$C$28="PYG",IF(AD$10&gt;0,N(Reales!AD28)/AD$10,0),N(Reales!AD28)),AD$143*INDEX(Precio_V,4)*INDEX(IdxPrecio_V,1,MIN(10,AD$136))*(1+V_dPrecio))</f>
        <v>0</v>
      </c>
      <c r="AE155" s="34" t="n">
        <f aca="false">IF(AE$8=1,IF(Reales!$C$28="PYG",IF(AE$10&gt;0,N(Reales!AE28)/AE$10,0),N(Reales!AE28)),AE$143*INDEX(Precio_V,4)*INDEX(IdxPrecio_V,1,MIN(10,AE$136))*(1+V_dPrecio))</f>
        <v>0</v>
      </c>
      <c r="AF155" s="34" t="n">
        <f aca="false">IF(AF$8=1,IF(Reales!$C$28="PYG",IF(AF$10&gt;0,N(Reales!AF28)/AF$10,0),N(Reales!AF28)),AF$143*INDEX(Precio_V,4)*INDEX(IdxPrecio_V,1,MIN(10,AF$136))*(1+V_dPrecio))</f>
        <v>0</v>
      </c>
      <c r="AG155" s="34" t="n">
        <f aca="false">IF(AG$8=1,IF(Reales!$C$28="PYG",IF(AG$10&gt;0,N(Reales!AG28)/AG$10,0),N(Reales!AG28)),AG$143*INDEX(Precio_V,4)*INDEX(IdxPrecio_V,1,MIN(10,AG$136))*(1+V_dPrecio))</f>
        <v>0</v>
      </c>
      <c r="AH155" s="34" t="n">
        <f aca="false">IF(AH$8=1,IF(Reales!$C$28="PYG",IF(AH$10&gt;0,N(Reales!AH28)/AH$10,0),N(Reales!AH28)),AH$143*INDEX(Precio_V,4)*INDEX(IdxPrecio_V,1,MIN(10,AH$136))*(1+V_dPrecio))</f>
        <v>0</v>
      </c>
      <c r="AI155" s="34" t="n">
        <f aca="false">IF(AI$8=1,IF(Reales!$C$28="PYG",IF(AI$10&gt;0,N(Reales!AI28)/AI$10,0),N(Reales!AI28)),AI$143*INDEX(Precio_V,4)*INDEX(IdxPrecio_V,1,MIN(10,AI$136))*(1+V_dPrecio))</f>
        <v>0</v>
      </c>
      <c r="AJ155" s="34" t="n">
        <f aca="false">IF(AJ$8=1,IF(Reales!$C$28="PYG",IF(AJ$10&gt;0,N(Reales!AJ28)/AJ$10,0),N(Reales!AJ28)),AJ$143*INDEX(Precio_V,4)*INDEX(IdxPrecio_V,1,MIN(10,AJ$136))*(1+V_dPrecio))</f>
        <v>0</v>
      </c>
      <c r="AK155" s="34" t="n">
        <f aca="false">IF(AK$8=1,IF(Reales!$C$28="PYG",IF(AK$10&gt;0,N(Reales!AK28)/AK$10,0),N(Reales!AK28)),AK$143*INDEX(Precio_V,4)*INDEX(IdxPrecio_V,1,MIN(10,AK$136))*(1+V_dPrecio))</f>
        <v>0</v>
      </c>
      <c r="AL155" s="34" t="n">
        <f aca="false">IF(AL$8=1,IF(Reales!$C$28="PYG",IF(AL$10&gt;0,N(Reales!AL28)/AL$10,0),N(Reales!AL28)),AL$143*INDEX(Precio_V,4)*INDEX(IdxPrecio_V,1,MIN(10,AL$136))*(1+V_dPrecio))</f>
        <v>0</v>
      </c>
      <c r="AM155" s="34" t="n">
        <f aca="false">IF(AM$8=1,IF(Reales!$C$28="PYG",IF(AM$10&gt;0,N(Reales!AM28)/AM$10,0),N(Reales!AM28)),AM$143*INDEX(Precio_V,4)*INDEX(IdxPrecio_V,1,MIN(10,AM$136))*(1+V_dPrecio))</f>
        <v>0</v>
      </c>
      <c r="AN155" s="34" t="n">
        <f aca="false">IF(AN$8=1,IF(Reales!$C$28="PYG",IF(AN$10&gt;0,N(Reales!AN28)/AN$10,0),N(Reales!AN28)),AN$143*INDEX(Precio_V,4)*INDEX(IdxPrecio_V,1,MIN(10,AN$136))*(1+V_dPrecio))</f>
        <v>0</v>
      </c>
      <c r="AO155" s="34" t="n">
        <f aca="false">IF(AO$8=1,IF(Reales!$C$28="PYG",IF(AO$10&gt;0,N(Reales!AO28)/AO$10,0),N(Reales!AO28)),AO$143*INDEX(Precio_V,4)*INDEX(IdxPrecio_V,1,MIN(10,AO$136))*(1+V_dPrecio))</f>
        <v>0</v>
      </c>
      <c r="AP155" s="34" t="n">
        <f aca="false">IF(AP$8=1,IF(Reales!$C$28="PYG",IF(AP$10&gt;0,N(Reales!AP28)/AP$10,0),N(Reales!AP28)),AP$143*INDEX(Precio_V,4)*INDEX(IdxPrecio_V,1,MIN(10,AP$136))*(1+V_dPrecio))</f>
        <v>0</v>
      </c>
      <c r="AQ155" s="34" t="n">
        <f aca="false">IF(AQ$8=1,IF(Reales!$C$28="PYG",IF(AQ$10&gt;0,N(Reales!AQ28)/AQ$10,0),N(Reales!AQ28)),AQ$143*INDEX(Precio_V,4)*INDEX(IdxPrecio_V,1,MIN(10,AQ$136))*(1+V_dPrecio))</f>
        <v>0</v>
      </c>
      <c r="AR155" s="34" t="n">
        <f aca="false">IF(AR$8=1,IF(Reales!$C$28="PYG",IF(AR$10&gt;0,N(Reales!AR28)/AR$10,0),N(Reales!AR28)),AR$143*INDEX(Precio_V,4)*INDEX(IdxPrecio_V,1,MIN(10,AR$136))*(1+V_dPrecio))</f>
        <v>0</v>
      </c>
      <c r="AS155" s="34" t="n">
        <f aca="false">IF(AS$8=1,IF(Reales!$C$28="PYG",IF(AS$10&gt;0,N(Reales!AS28)/AS$10,0),N(Reales!AS28)),AS$143*INDEX(Precio_V,4)*INDEX(IdxPrecio_V,1,MIN(10,AS$136))*(1+V_dPrecio))</f>
        <v>0</v>
      </c>
      <c r="AT155" s="34" t="n">
        <f aca="false">IF(AT$8=1,IF(Reales!$C$28="PYG",IF(AT$10&gt;0,N(Reales!AT28)/AT$10,0),N(Reales!AT28)),AT$143*INDEX(Precio_V,4)*INDEX(IdxPrecio_V,1,MIN(10,AT$136))*(1+V_dPrecio))</f>
        <v>0</v>
      </c>
      <c r="AU155" s="34" t="n">
        <f aca="false">IF(AU$8=1,IF(Reales!$C$28="PYG",IF(AU$10&gt;0,N(Reales!AU28)/AU$10,0),N(Reales!AU28)),AU$143*INDEX(Precio_V,4)*INDEX(IdxPrecio_V,1,MIN(10,AU$136))*(1+V_dPrecio))</f>
        <v>0</v>
      </c>
      <c r="AV155" s="34" t="n">
        <f aca="false">IF(AV$8=1,IF(Reales!$C$28="PYG",IF(AV$10&gt;0,N(Reales!AV28)/AV$10,0),N(Reales!AV28)),AV$143*INDEX(Precio_V,4)*INDEX(IdxPrecio_V,1,MIN(10,AV$136))*(1+V_dPrecio))</f>
        <v>0</v>
      </c>
      <c r="AW155" s="34" t="n">
        <f aca="false">IF(AW$8=1,IF(Reales!$C$28="PYG",IF(AW$10&gt;0,N(Reales!AW28)/AW$10,0),N(Reales!AW28)),AW$143*INDEX(Precio_V,4)*INDEX(IdxPrecio_V,1,MIN(10,AW$136))*(1+V_dPrecio))</f>
        <v>0</v>
      </c>
      <c r="AX155" s="34" t="n">
        <f aca="false">IF(AX$8=1,IF(Reales!$C$28="PYG",IF(AX$10&gt;0,N(Reales!AX28)/AX$10,0),N(Reales!AX28)),AX$143*INDEX(Precio_V,4)*INDEX(IdxPrecio_V,1,MIN(10,AX$136))*(1+V_dPrecio))</f>
        <v>0</v>
      </c>
      <c r="AY155" s="34" t="n">
        <f aca="false">IF(AY$8=1,IF(Reales!$C$28="PYG",IF(AY$10&gt;0,N(Reales!AY28)/AY$10,0),N(Reales!AY28)),AY$143*INDEX(Precio_V,4)*INDEX(IdxPrecio_V,1,MIN(10,AY$136))*(1+V_dPrecio))</f>
        <v>0</v>
      </c>
      <c r="AZ155" s="34" t="n">
        <f aca="false">IF(AZ$8=1,IF(Reales!$C$28="PYG",IF(AZ$10&gt;0,N(Reales!AZ28)/AZ$10,0),N(Reales!AZ28)),AZ$143*INDEX(Precio_V,4)*INDEX(IdxPrecio_V,1,MIN(10,AZ$136))*(1+V_dPrecio))</f>
        <v>0</v>
      </c>
      <c r="BA155" s="34" t="n">
        <f aca="false">IF(BA$8=1,IF(Reales!$C$28="PYG",IF(BA$10&gt;0,N(Reales!BA28)/BA$10,0),N(Reales!BA28)),BA$143*INDEX(Precio_V,4)*INDEX(IdxPrecio_V,1,MIN(10,BA$136))*(1+V_dPrecio))</f>
        <v>0</v>
      </c>
      <c r="BB155" s="34" t="n">
        <f aca="false">IF(BB$8=1,IF(Reales!$C$28="PYG",IF(BB$10&gt;0,N(Reales!BB28)/BB$10,0),N(Reales!BB28)),BB$143*INDEX(Precio_V,4)*INDEX(IdxPrecio_V,1,MIN(10,BB$136))*(1+V_dPrecio))</f>
        <v>0</v>
      </c>
      <c r="BC155" s="34" t="n">
        <f aca="false">IF(BC$8=1,IF(Reales!$C$28="PYG",IF(BC$10&gt;0,N(Reales!BC28)/BC$10,0),N(Reales!BC28)),BC$143*INDEX(Precio_V,4)*INDEX(IdxPrecio_V,1,MIN(10,BC$136))*(1+V_dPrecio))</f>
        <v>0</v>
      </c>
      <c r="BD155" s="34" t="n">
        <f aca="false">IF(BD$8=1,IF(Reales!$C$28="PYG",IF(BD$10&gt;0,N(Reales!BD28)/BD$10,0),N(Reales!BD28)),BD$143*INDEX(Precio_V,4)*INDEX(IdxPrecio_V,1,MIN(10,BD$136))*(1+V_dPrecio))</f>
        <v>0</v>
      </c>
      <c r="BE155" s="34" t="n">
        <f aca="false">IF(BE$8=1,IF(Reales!$C$28="PYG",IF(BE$10&gt;0,N(Reales!BE28)/BE$10,0),N(Reales!BE28)),BE$143*INDEX(Precio_V,4)*INDEX(IdxPrecio_V,1,MIN(10,BE$136))*(1+V_dPrecio))</f>
        <v>0</v>
      </c>
      <c r="BF155" s="34" t="n">
        <f aca="false">IF(BF$8=1,IF(Reales!$C$28="PYG",IF(BF$10&gt;0,N(Reales!BF28)/BF$10,0),N(Reales!BF28)),BF$143*INDEX(Precio_V,4)*INDEX(IdxPrecio_V,1,MIN(10,BF$136))*(1+V_dPrecio))</f>
        <v>0</v>
      </c>
      <c r="BG155" s="34" t="n">
        <f aca="false">IF(BG$8=1,IF(Reales!$C$28="PYG",IF(BG$10&gt;0,N(Reales!BG28)/BG$10,0),N(Reales!BG28)),BG$143*INDEX(Precio_V,4)*INDEX(IdxPrecio_V,1,MIN(10,BG$136))*(1+V_dPrecio))</f>
        <v>0</v>
      </c>
      <c r="BH155" s="34" t="n">
        <f aca="false">IF(BH$8=1,IF(Reales!$C$28="PYG",IF(BH$10&gt;0,N(Reales!BH28)/BH$10,0),N(Reales!BH28)),BH$143*INDEX(Precio_V,4)*INDEX(IdxPrecio_V,1,MIN(10,BH$136))*(1+V_dPrecio))</f>
        <v>0</v>
      </c>
      <c r="BI155" s="34" t="n">
        <f aca="false">IF(BI$8=1,IF(Reales!$C$28="PYG",IF(BI$10&gt;0,N(Reales!BI28)/BI$10,0),N(Reales!BI28)),BI$143*INDEX(Precio_V,4)*INDEX(IdxPrecio_V,1,MIN(10,BI$136))*(1+V_dPrecio))</f>
        <v>0</v>
      </c>
      <c r="BJ155" s="34" t="n">
        <f aca="false">IF(BJ$8=1,IF(Reales!$C$28="PYG",IF(BJ$10&gt;0,N(Reales!BJ28)/BJ$10,0),N(Reales!BJ28)),BJ$143*INDEX(Precio_V,4)*INDEX(IdxPrecio_V,1,MIN(10,BJ$136))*(1+V_dPrecio))</f>
        <v>0</v>
      </c>
      <c r="BK155" s="34" t="n">
        <f aca="false">IF(BK$8=1,IF(Reales!$C$28="PYG",IF(BK$10&gt;0,N(Reales!BK28)/BK$10,0),N(Reales!BK28)),BK$143*INDEX(Precio_V,4)*INDEX(IdxPrecio_V,1,MIN(10,BK$136))*(1+V_dPrecio))</f>
        <v>0</v>
      </c>
      <c r="BL155" s="34" t="n">
        <f aca="false">IF(BL$8=1,IF(Reales!$C$28="PYG",IF(BL$10&gt;0,N(Reales!BL28)/BL$10,0),N(Reales!BL28)),BL$143*INDEX(Precio_V,4)*INDEX(IdxPrecio_V,1,MIN(10,BL$136))*(1+V_dPrecio))</f>
        <v>0</v>
      </c>
      <c r="BM155" s="34" t="n">
        <f aca="false">IF(BM$8=1,IF(Reales!$C$28="PYG",IF(BM$10&gt;0,N(Reales!BM28)/BM$10,0),N(Reales!BM28)),BM$143*INDEX(Precio_V,4)*INDEX(IdxPrecio_V,1,MIN(10,BM$136))*(1+V_dPrecio))</f>
        <v>0</v>
      </c>
      <c r="BN155" s="34" t="n">
        <f aca="false">IF(BN$8=1,IF(Reales!$C$28="PYG",IF(BN$10&gt;0,N(Reales!BN28)/BN$10,0),N(Reales!BN28)),BN$143*INDEX(Precio_V,4)*INDEX(IdxPrecio_V,1,MIN(10,BN$136))*(1+V_dPrecio))</f>
        <v>0</v>
      </c>
      <c r="BO155" s="34" t="n">
        <f aca="false">IF(BO$8=1,IF(Reales!$C$28="PYG",IF(BO$10&gt;0,N(Reales!BO28)/BO$10,0),N(Reales!BO28)),BO$143*INDEX(Precio_V,4)*INDEX(IdxPrecio_V,1,MIN(10,BO$136))*(1+V_dPrecio))</f>
        <v>0</v>
      </c>
      <c r="BP155" s="34" t="n">
        <f aca="false">IF(BP$8=1,IF(Reales!$C$28="PYG",IF(BP$10&gt;0,N(Reales!BP28)/BP$10,0),N(Reales!BP28)),BP$143*INDEX(Precio_V,4)*INDEX(IdxPrecio_V,1,MIN(10,BP$136))*(1+V_dPrecio))</f>
        <v>0</v>
      </c>
      <c r="BQ155" s="34" t="n">
        <f aca="false">IF(BQ$8=1,IF(Reales!$C$28="PYG",IF(BQ$10&gt;0,N(Reales!BQ28)/BQ$10,0),N(Reales!BQ28)),BQ$143*INDEX(Precio_V,4)*INDEX(IdxPrecio_V,1,MIN(10,BQ$136))*(1+V_dPrecio))</f>
        <v>0</v>
      </c>
      <c r="BR155" s="34" t="n">
        <f aca="false">IF(BR$8=1,IF(Reales!$C$28="PYG",IF(BR$10&gt;0,N(Reales!BR28)/BR$10,0),N(Reales!BR28)),BR$143*INDEX(Precio_V,4)*INDEX(IdxPrecio_V,1,MIN(10,BR$136))*(1+V_dPrecio))</f>
        <v>0</v>
      </c>
      <c r="BS155" s="34" t="n">
        <f aca="false">IF(BS$8=1,IF(Reales!$C$28="PYG",IF(BS$10&gt;0,N(Reales!BS28)/BS$10,0),N(Reales!BS28)),BS$143*INDEX(Precio_V,4)*INDEX(IdxPrecio_V,1,MIN(10,BS$136))*(1+V_dPrecio))</f>
        <v>0</v>
      </c>
      <c r="BT155" s="34" t="n">
        <f aca="false">IF(BT$8=1,IF(Reales!$C$28="PYG",IF(BT$10&gt;0,N(Reales!BT28)/BT$10,0),N(Reales!BT28)),BT$143*INDEX(Precio_V,4)*INDEX(IdxPrecio_V,1,MIN(10,BT$136))*(1+V_dPrecio))</f>
        <v>0</v>
      </c>
      <c r="BU155" s="34" t="n">
        <f aca="false">IF(BU$8=1,IF(Reales!$C$28="PYG",IF(BU$10&gt;0,N(Reales!BU28)/BU$10,0),N(Reales!BU28)),BU$143*INDEX(Precio_V,4)*INDEX(IdxPrecio_V,1,MIN(10,BU$136))*(1+V_dPrecio))</f>
        <v>0</v>
      </c>
      <c r="BV155" s="34" t="n">
        <f aca="false">IF(BV$8=1,IF(Reales!$C$28="PYG",IF(BV$10&gt;0,N(Reales!BV28)/BV$10,0),N(Reales!BV28)),BV$143*INDEX(Precio_V,4)*INDEX(IdxPrecio_V,1,MIN(10,BV$136))*(1+V_dPrecio))</f>
        <v>0</v>
      </c>
      <c r="BW155" s="34" t="n">
        <f aca="false">IF(BW$8=1,IF(Reales!$C$28="PYG",IF(BW$10&gt;0,N(Reales!BW28)/BW$10,0),N(Reales!BW28)),BW$143*INDEX(Precio_V,4)*INDEX(IdxPrecio_V,1,MIN(10,BW$136))*(1+V_dPrecio))</f>
        <v>0</v>
      </c>
      <c r="BX155" s="34" t="n">
        <f aca="false">IF(BX$8=1,IF(Reales!$C$28="PYG",IF(BX$10&gt;0,N(Reales!BX28)/BX$10,0),N(Reales!BX28)),BX$143*INDEX(Precio_V,4)*INDEX(IdxPrecio_V,1,MIN(10,BX$136))*(1+V_dPrecio))</f>
        <v>0</v>
      </c>
      <c r="BY155" s="34" t="n">
        <f aca="false">IF(BY$8=1,IF(Reales!$C$28="PYG",IF(BY$10&gt;0,N(Reales!BY28)/BY$10,0),N(Reales!BY28)),BY$143*INDEX(Precio_V,4)*INDEX(IdxPrecio_V,1,MIN(10,BY$136))*(1+V_dPrecio))</f>
        <v>0</v>
      </c>
      <c r="BZ155" s="34" t="n">
        <f aca="false">IF(BZ$8=1,IF(Reales!$C$28="PYG",IF(BZ$10&gt;0,N(Reales!BZ28)/BZ$10,0),N(Reales!BZ28)),BZ$143*INDEX(Precio_V,4)*INDEX(IdxPrecio_V,1,MIN(10,BZ$136))*(1+V_dPrecio))</f>
        <v>0</v>
      </c>
      <c r="CA155" s="34" t="n">
        <f aca="false">IF(CA$8=1,IF(Reales!$C$28="PYG",IF(CA$10&gt;0,N(Reales!CA28)/CA$10,0),N(Reales!CA28)),CA$143*INDEX(Precio_V,4)*INDEX(IdxPrecio_V,1,MIN(10,CA$136))*(1+V_dPrecio))</f>
        <v>0</v>
      </c>
      <c r="CB155" s="34" t="n">
        <f aca="false">IF(CB$8=1,IF(Reales!$C$28="PYG",IF(CB$10&gt;0,N(Reales!CB28)/CB$10,0),N(Reales!CB28)),CB$143*INDEX(Precio_V,4)*INDEX(IdxPrecio_V,1,MIN(10,CB$136))*(1+V_dPrecio))</f>
        <v>0</v>
      </c>
      <c r="CC155" s="34" t="n">
        <f aca="false">IF(CC$8=1,IF(Reales!$C$28="PYG",IF(CC$10&gt;0,N(Reales!CC28)/CC$10,0),N(Reales!CC28)),CC$143*INDEX(Precio_V,4)*INDEX(IdxPrecio_V,1,MIN(10,CC$136))*(1+V_dPrecio))</f>
        <v>0</v>
      </c>
      <c r="CD155" s="34" t="n">
        <f aca="false">IF(CD$8=1,IF(Reales!$C$28="PYG",IF(CD$10&gt;0,N(Reales!CD28)/CD$10,0),N(Reales!CD28)),CD$143*INDEX(Precio_V,4)*INDEX(IdxPrecio_V,1,MIN(10,CD$136))*(1+V_dPrecio))</f>
        <v>0</v>
      </c>
      <c r="CE155" s="34" t="n">
        <f aca="false">IF(CE$8=1,IF(Reales!$C$28="PYG",IF(CE$10&gt;0,N(Reales!CE28)/CE$10,0),N(Reales!CE28)),CE$143*INDEX(Precio_V,4)*INDEX(IdxPrecio_V,1,MIN(10,CE$136))*(1+V_dPrecio))</f>
        <v>0</v>
      </c>
      <c r="CF155" s="34" t="n">
        <f aca="false">IF(CF$8=1,IF(Reales!$C$28="PYG",IF(CF$10&gt;0,N(Reales!CF28)/CF$10,0),N(Reales!CF28)),CF$143*INDEX(Precio_V,4)*INDEX(IdxPrecio_V,1,MIN(10,CF$136))*(1+V_dPrecio))</f>
        <v>0</v>
      </c>
      <c r="CG155" s="34" t="n">
        <f aca="false">IF(CG$8=1,IF(Reales!$C$28="PYG",IF(CG$10&gt;0,N(Reales!CG28)/CG$10,0),N(Reales!CG28)),CG$143*INDEX(Precio_V,4)*INDEX(IdxPrecio_V,1,MIN(10,CG$136))*(1+V_dPrecio))</f>
        <v>0</v>
      </c>
      <c r="CH155" s="34" t="n">
        <f aca="false">IF(CH$8=1,IF(Reales!$C$28="PYG",IF(CH$10&gt;0,N(Reales!CH28)/CH$10,0),N(Reales!CH28)),CH$143*INDEX(Precio_V,4)*INDEX(IdxPrecio_V,1,MIN(10,CH$136))*(1+V_dPrecio))</f>
        <v>0</v>
      </c>
      <c r="CI155" s="34" t="n">
        <f aca="false">IF(CI$8=1,IF(Reales!$C$28="PYG",IF(CI$10&gt;0,N(Reales!CI28)/CI$10,0),N(Reales!CI28)),CI$143*INDEX(Precio_V,4)*INDEX(IdxPrecio_V,1,MIN(10,CI$136))*(1+V_dPrecio))</f>
        <v>0</v>
      </c>
      <c r="CJ155" s="34" t="n">
        <f aca="false">IF(CJ$8=1,IF(Reales!$C$28="PYG",IF(CJ$10&gt;0,N(Reales!CJ28)/CJ$10,0),N(Reales!CJ28)),CJ$143*INDEX(Precio_V,4)*INDEX(IdxPrecio_V,1,MIN(10,CJ$136))*(1+V_dPrecio))</f>
        <v>0</v>
      </c>
      <c r="CK155" s="34" t="n">
        <f aca="false">IF(CK$8=1,IF(Reales!$C$28="PYG",IF(CK$10&gt;0,N(Reales!CK28)/CK$10,0),N(Reales!CK28)),CK$143*INDEX(Precio_V,4)*INDEX(IdxPrecio_V,1,MIN(10,CK$136))*(1+V_dPrecio))</f>
        <v>0</v>
      </c>
      <c r="CL155" s="34" t="n">
        <f aca="false">IF(CL$8=1,IF(Reales!$C$28="PYG",IF(CL$10&gt;0,N(Reales!CL28)/CL$10,0),N(Reales!CL28)),CL$143*INDEX(Precio_V,4)*INDEX(IdxPrecio_V,1,MIN(10,CL$136))*(1+V_dPrecio))</f>
        <v>0</v>
      </c>
      <c r="CM155" s="34" t="n">
        <f aca="false">IF(CM$8=1,IF(Reales!$C$28="PYG",IF(CM$10&gt;0,N(Reales!CM28)/CM$10,0),N(Reales!CM28)),CM$143*INDEX(Precio_V,4)*INDEX(IdxPrecio_V,1,MIN(10,CM$136))*(1+V_dPrecio))</f>
        <v>0</v>
      </c>
      <c r="CN155" s="34" t="n">
        <f aca="false">IF(CN$8=1,IF(Reales!$C$28="PYG",IF(CN$10&gt;0,N(Reales!CN28)/CN$10,0),N(Reales!CN28)),CN$143*INDEX(Precio_V,4)*INDEX(IdxPrecio_V,1,MIN(10,CN$136))*(1+V_dPrecio))</f>
        <v>0</v>
      </c>
      <c r="CO155" s="34" t="n">
        <f aca="false">IF(CO$8=1,IF(Reales!$C$28="PYG",IF(CO$10&gt;0,N(Reales!CO28)/CO$10,0),N(Reales!CO28)),CO$143*INDEX(Precio_V,4)*INDEX(IdxPrecio_V,1,MIN(10,CO$136))*(1+V_dPrecio))</f>
        <v>0</v>
      </c>
      <c r="CP155" s="34" t="n">
        <f aca="false">IF(CP$8=1,IF(Reales!$C$28="PYG",IF(CP$10&gt;0,N(Reales!CP28)/CP$10,0),N(Reales!CP28)),CP$143*INDEX(Precio_V,4)*INDEX(IdxPrecio_V,1,MIN(10,CP$136))*(1+V_dPrecio))</f>
        <v>0</v>
      </c>
      <c r="CQ155" s="34" t="n">
        <f aca="false">IF(CQ$8=1,IF(Reales!$C$28="PYG",IF(CQ$10&gt;0,N(Reales!CQ28)/CQ$10,0),N(Reales!CQ28)),CQ$143*INDEX(Precio_V,4)*INDEX(IdxPrecio_V,1,MIN(10,CQ$136))*(1+V_dPrecio))</f>
        <v>0</v>
      </c>
      <c r="CR155" s="34" t="n">
        <f aca="false">IF(CR$8=1,IF(Reales!$C$28="PYG",IF(CR$10&gt;0,N(Reales!CR28)/CR$10,0),N(Reales!CR28)),CR$143*INDEX(Precio_V,4)*INDEX(IdxPrecio_V,1,MIN(10,CR$136))*(1+V_dPrecio))</f>
        <v>0</v>
      </c>
      <c r="CS155" s="34" t="n">
        <f aca="false">IF(CS$8=1,IF(Reales!$C$28="PYG",IF(CS$10&gt;0,N(Reales!CS28)/CS$10,0),N(Reales!CS28)),CS$143*INDEX(Precio_V,4)*INDEX(IdxPrecio_V,1,MIN(10,CS$136))*(1+V_dPrecio))</f>
        <v>0</v>
      </c>
      <c r="CT155" s="34" t="n">
        <f aca="false">IF(CT$8=1,IF(Reales!$C$28="PYG",IF(CT$10&gt;0,N(Reales!CT28)/CT$10,0),N(Reales!CT28)),CT$143*INDEX(Precio_V,4)*INDEX(IdxPrecio_V,1,MIN(10,CT$136))*(1+V_dPrecio))</f>
        <v>0</v>
      </c>
      <c r="CU155" s="34" t="n">
        <f aca="false">IF(CU$8=1,IF(Reales!$C$28="PYG",IF(CU$10&gt;0,N(Reales!CU28)/CU$10,0),N(Reales!CU28)),CU$143*INDEX(Precio_V,4)*INDEX(IdxPrecio_V,1,MIN(10,CU$136))*(1+V_dPrecio))</f>
        <v>0</v>
      </c>
      <c r="CV155" s="34" t="n">
        <f aca="false">IF(CV$8=1,IF(Reales!$C$28="PYG",IF(CV$10&gt;0,N(Reales!CV28)/CV$10,0),N(Reales!CV28)),CV$143*INDEX(Precio_V,4)*INDEX(IdxPrecio_V,1,MIN(10,CV$136))*(1+V_dPrecio))</f>
        <v>0</v>
      </c>
      <c r="CW155" s="34" t="n">
        <f aca="false">IF(CW$8=1,IF(Reales!$C$28="PYG",IF(CW$10&gt;0,N(Reales!CW28)/CW$10,0),N(Reales!CW28)),CW$143*INDEX(Precio_V,4)*INDEX(IdxPrecio_V,1,MIN(10,CW$136))*(1+V_dPrecio))</f>
        <v>0</v>
      </c>
      <c r="CX155" s="34" t="n">
        <f aca="false">IF(CX$8=1,IF(Reales!$C$28="PYG",IF(CX$10&gt;0,N(Reales!CX28)/CX$10,0),N(Reales!CX28)),CX$143*INDEX(Precio_V,4)*INDEX(IdxPrecio_V,1,MIN(10,CX$136))*(1+V_dPrecio))</f>
        <v>0</v>
      </c>
      <c r="CY155" s="34" t="n">
        <f aca="false">IF(CY$8=1,IF(Reales!$C$28="PYG",IF(CY$10&gt;0,N(Reales!CY28)/CY$10,0),N(Reales!CY28)),CY$143*INDEX(Precio_V,4)*INDEX(IdxPrecio_V,1,MIN(10,CY$136))*(1+V_dPrecio))</f>
        <v>0</v>
      </c>
      <c r="CZ155" s="34" t="n">
        <f aca="false">IF(CZ$8=1,IF(Reales!$C$28="PYG",IF(CZ$10&gt;0,N(Reales!CZ28)/CZ$10,0),N(Reales!CZ28)),CZ$143*INDEX(Precio_V,4)*INDEX(IdxPrecio_V,1,MIN(10,CZ$136))*(1+V_dPrecio))</f>
        <v>0</v>
      </c>
      <c r="DA155" s="34" t="n">
        <f aca="false">IF(DA$8=1,IF(Reales!$C$28="PYG",IF(DA$10&gt;0,N(Reales!DA28)/DA$10,0),N(Reales!DA28)),DA$143*INDEX(Precio_V,4)*INDEX(IdxPrecio_V,1,MIN(10,DA$136))*(1+V_dPrecio))</f>
        <v>0</v>
      </c>
      <c r="DB155" s="34" t="n">
        <f aca="false">IF(DB$8=1,IF(Reales!$C$28="PYG",IF(DB$10&gt;0,N(Reales!DB28)/DB$10,0),N(Reales!DB28)),DB$143*INDEX(Precio_V,4)*INDEX(IdxPrecio_V,1,MIN(10,DB$136))*(1+V_dPrecio))</f>
        <v>0</v>
      </c>
      <c r="DC155" s="34" t="n">
        <f aca="false">IF(DC$8=1,IF(Reales!$C$28="PYG",IF(DC$10&gt;0,N(Reales!DC28)/DC$10,0),N(Reales!DC28)),DC$143*INDEX(Precio_V,4)*INDEX(IdxPrecio_V,1,MIN(10,DC$136))*(1+V_dPrecio))</f>
        <v>0</v>
      </c>
      <c r="DD155" s="34" t="n">
        <f aca="false">IF(DD$8=1,IF(Reales!$C$28="PYG",IF(DD$10&gt;0,N(Reales!DD28)/DD$10,0),N(Reales!DD28)),DD$143*INDEX(Precio_V,4)*INDEX(IdxPrecio_V,1,MIN(10,DD$136))*(1+V_dPrecio))</f>
        <v>0</v>
      </c>
      <c r="DE155" s="34" t="n">
        <f aca="false">IF(DE$8=1,IF(Reales!$C$28="PYG",IF(DE$10&gt;0,N(Reales!DE28)/DE$10,0),N(Reales!DE28)),DE$143*INDEX(Precio_V,4)*INDEX(IdxPrecio_V,1,MIN(10,DE$136))*(1+V_dPrecio))</f>
        <v>0</v>
      </c>
      <c r="DF155" s="34" t="n">
        <f aca="false">IF(DF$8=1,IF(Reales!$C$28="PYG",IF(DF$10&gt;0,N(Reales!DF28)/DF$10,0),N(Reales!DF28)),DF$143*INDEX(Precio_V,4)*INDEX(IdxPrecio_V,1,MIN(10,DF$136))*(1+V_dPrecio))</f>
        <v>0</v>
      </c>
      <c r="DG155" s="34" t="n">
        <f aca="false">IF(DG$8=1,IF(Reales!$C$28="PYG",IF(DG$10&gt;0,N(Reales!DG28)/DG$10,0),N(Reales!DG28)),DG$143*INDEX(Precio_V,4)*INDEX(IdxPrecio_V,1,MIN(10,DG$136))*(1+V_dPrecio))</f>
        <v>0</v>
      </c>
      <c r="DH155" s="34" t="n">
        <f aca="false">IF(DH$8=1,IF(Reales!$C$28="PYG",IF(DH$10&gt;0,N(Reales!DH28)/DH$10,0),N(Reales!DH28)),DH$143*INDEX(Precio_V,4)*INDEX(IdxPrecio_V,1,MIN(10,DH$136))*(1+V_dPrecio))</f>
        <v>0</v>
      </c>
      <c r="DI155" s="34" t="n">
        <f aca="false">IF(DI$8=1,IF(Reales!$C$28="PYG",IF(DI$10&gt;0,N(Reales!DI28)/DI$10,0),N(Reales!DI28)),DI$143*INDEX(Precio_V,4)*INDEX(IdxPrecio_V,1,MIN(10,DI$136))*(1+V_dPrecio))</f>
        <v>0</v>
      </c>
      <c r="DJ155" s="34" t="n">
        <f aca="false">IF(DJ$8=1,IF(Reales!$C$28="PYG",IF(DJ$10&gt;0,N(Reales!DJ28)/DJ$10,0),N(Reales!DJ28)),DJ$143*INDEX(Precio_V,4)*INDEX(IdxPrecio_V,1,MIN(10,DJ$136))*(1+V_dPrecio))</f>
        <v>0</v>
      </c>
      <c r="DK155" s="34" t="n">
        <f aca="false">IF(DK$8=1,IF(Reales!$C$28="PYG",IF(DK$10&gt;0,N(Reales!DK28)/DK$10,0),N(Reales!DK28)),DK$143*INDEX(Precio_V,4)*INDEX(IdxPrecio_V,1,MIN(10,DK$136))*(1+V_dPrecio))</f>
        <v>0</v>
      </c>
      <c r="DL155" s="34" t="n">
        <f aca="false">IF(DL$8=1,IF(Reales!$C$28="PYG",IF(DL$10&gt;0,N(Reales!DL28)/DL$10,0),N(Reales!DL28)),DL$143*INDEX(Precio_V,4)*INDEX(IdxPrecio_V,1,MIN(10,DL$136))*(1+V_dPrecio))</f>
        <v>0</v>
      </c>
      <c r="DM155" s="34" t="n">
        <f aca="false">IF(DM$8=1,IF(Reales!$C$28="PYG",IF(DM$10&gt;0,N(Reales!DM28)/DM$10,0),N(Reales!DM28)),DM$143*INDEX(Precio_V,4)*INDEX(IdxPrecio_V,1,MIN(10,DM$136))*(1+V_dPrecio))</f>
        <v>0</v>
      </c>
      <c r="DN155" s="34" t="n">
        <f aca="false">IF(DN$8=1,IF(Reales!$C$28="PYG",IF(DN$10&gt;0,N(Reales!DN28)/DN$10,0),N(Reales!DN28)),DN$143*INDEX(Precio_V,4)*INDEX(IdxPrecio_V,1,MIN(10,DN$136))*(1+V_dPrecio))</f>
        <v>0</v>
      </c>
      <c r="DO155" s="34" t="n">
        <f aca="false">IF(DO$8=1,IF(Reales!$C$28="PYG",IF(DO$10&gt;0,N(Reales!DO28)/DO$10,0),N(Reales!DO28)),DO$143*INDEX(Precio_V,4)*INDEX(IdxPrecio_V,1,MIN(10,DO$136))*(1+V_dPrecio))</f>
        <v>0</v>
      </c>
      <c r="DP155" s="34" t="n">
        <f aca="false">IF(DP$8=1,IF(Reales!$C$28="PYG",IF(DP$10&gt;0,N(Reales!DP28)/DP$10,0),N(Reales!DP28)),DP$143*INDEX(Precio_V,4)*INDEX(IdxPrecio_V,1,MIN(10,DP$136))*(1+V_dPrecio))</f>
        <v>0</v>
      </c>
      <c r="DQ155" s="34" t="n">
        <f aca="false">IF(DQ$8=1,IF(Reales!$C$28="PYG",IF(DQ$10&gt;0,N(Reales!DQ28)/DQ$10,0),N(Reales!DQ28)),DQ$143*INDEX(Precio_V,4)*INDEX(IdxPrecio_V,1,MIN(10,DQ$136))*(1+V_dPrecio))</f>
        <v>0</v>
      </c>
      <c r="DR155" s="34" t="n">
        <f aca="false">IF(DR$8=1,IF(Reales!$C$28="PYG",IF(DR$10&gt;0,N(Reales!DR28)/DR$10,0),N(Reales!DR28)),DR$143*INDEX(Precio_V,4)*INDEX(IdxPrecio_V,1,MIN(10,DR$136))*(1+V_dPrecio))</f>
        <v>0</v>
      </c>
      <c r="DS155" s="34" t="n">
        <f aca="false">IF(DS$8=1,IF(Reales!$C$28="PYG",IF(DS$10&gt;0,N(Reales!DS28)/DS$10,0),N(Reales!DS28)),DS$143*INDEX(Precio_V,4)*INDEX(IdxPrecio_V,1,MIN(10,DS$136))*(1+V_dPrecio))</f>
        <v>0</v>
      </c>
      <c r="DT155" s="34" t="n">
        <f aca="false">IF(DT$8=1,IF(Reales!$C$28="PYG",IF(DT$10&gt;0,N(Reales!DT28)/DT$10,0),N(Reales!DT28)),DT$143*INDEX(Precio_V,4)*INDEX(IdxPrecio_V,1,MIN(10,DT$136))*(1+V_dPrecio))</f>
        <v>0</v>
      </c>
      <c r="DU155" s="34" t="n">
        <f aca="false">IF(DU$8=1,IF(Reales!$C$28="PYG",IF(DU$10&gt;0,N(Reales!DU28)/DU$10,0),N(Reales!DU28)),DU$143*INDEX(Precio_V,4)*INDEX(IdxPrecio_V,1,MIN(10,DU$136))*(1+V_dPrecio))</f>
        <v>0</v>
      </c>
      <c r="DV155" s="34" t="n">
        <f aca="false">IF(DV$8=1,IF(Reales!$C$28="PYG",IF(DV$10&gt;0,N(Reales!DV28)/DV$10,0),N(Reales!DV28)),DV$143*INDEX(Precio_V,4)*INDEX(IdxPrecio_V,1,MIN(10,DV$136))*(1+V_dPrecio))</f>
        <v>0</v>
      </c>
      <c r="DW155" s="34" t="n">
        <f aca="false">IF(DW$8=1,IF(Reales!$C$28="PYG",IF(DW$10&gt;0,N(Reales!DW28)/DW$10,0),N(Reales!DW28)),DW$143*INDEX(Precio_V,4)*INDEX(IdxPrecio_V,1,MIN(10,DW$136))*(1+V_dPrecio))</f>
        <v>0</v>
      </c>
      <c r="DX155" s="34" t="n">
        <f aca="false">IF(DX$8=1,IF(Reales!$C$28="PYG",IF(DX$10&gt;0,N(Reales!DX28)/DX$10,0),N(Reales!DX28)),DX$143*INDEX(Precio_V,4)*INDEX(IdxPrecio_V,1,MIN(10,DX$136))*(1+V_dPrecio))</f>
        <v>0</v>
      </c>
      <c r="DY155" s="34" t="n">
        <f aca="false">IF(DY$8=1,IF(Reales!$C$28="PYG",IF(DY$10&gt;0,N(Reales!DY28)/DY$10,0),N(Reales!DY28)),DY$143*INDEX(Precio_V,4)*INDEX(IdxPrecio_V,1,MIN(10,DY$136))*(1+V_dPrecio))</f>
        <v>0</v>
      </c>
      <c r="DZ155" s="34" t="n">
        <f aca="false">IF(DZ$8=1,IF(Reales!$C$28="PYG",IF(DZ$10&gt;0,N(Reales!DZ28)/DZ$10,0),N(Reales!DZ28)),DZ$143*INDEX(Precio_V,4)*INDEX(IdxPrecio_V,1,MIN(10,DZ$136))*(1+V_dPrecio))</f>
        <v>0</v>
      </c>
      <c r="EA155" s="34" t="n">
        <f aca="false">IF(EA$8=1,IF(Reales!$C$28="PYG",IF(EA$10&gt;0,N(Reales!EA28)/EA$10,0),N(Reales!EA28)),EA$143*INDEX(Precio_V,4)*INDEX(IdxPrecio_V,1,MIN(10,EA$136))*(1+V_dPrecio))</f>
        <v>0</v>
      </c>
      <c r="EB155" s="34" t="n">
        <f aca="false">IF(EB$8=1,IF(Reales!$C$28="PYG",IF(EB$10&gt;0,N(Reales!EB28)/EB$10,0),N(Reales!EB28)),EB$143*INDEX(Precio_V,4)*INDEX(IdxPrecio_V,1,MIN(10,EB$136))*(1+V_dPrecio))</f>
        <v>0</v>
      </c>
      <c r="EC155" s="34" t="n">
        <f aca="false">IF(EC$8=1,IF(Reales!$C$28="PYG",IF(EC$10&gt;0,N(Reales!EC28)/EC$10,0),N(Reales!EC28)),EC$143*INDEX(Precio_V,4)*INDEX(IdxPrecio_V,1,MIN(10,EC$136))*(1+V_dPrecio))</f>
        <v>0</v>
      </c>
      <c r="ED155" s="34" t="n">
        <f aca="false">IF(ED$8=1,IF(Reales!$C$28="PYG",IF(ED$10&gt;0,N(Reales!ED28)/ED$10,0),N(Reales!ED28)),ED$143*INDEX(Precio_V,4)*INDEX(IdxPrecio_V,1,MIN(10,ED$136))*(1+V_dPrecio))</f>
        <v>0</v>
      </c>
      <c r="EE155" s="34" t="n">
        <f aca="false">IF(EE$8=1,IF(Reales!$C$28="PYG",IF(EE$10&gt;0,N(Reales!EE28)/EE$10,0),N(Reales!EE28)),EE$143*INDEX(Precio_V,4)*INDEX(IdxPrecio_V,1,MIN(10,EE$136))*(1+V_dPrecio))</f>
        <v>0</v>
      </c>
      <c r="EF155" s="34" t="n">
        <f aca="false">IF(EF$8=1,IF(Reales!$C$28="PYG",IF(EF$10&gt;0,N(Reales!EF28)/EF$10,0),N(Reales!EF28)),EF$143*INDEX(Precio_V,4)*INDEX(IdxPrecio_V,1,MIN(10,EF$136))*(1+V_dPrecio))</f>
        <v>0</v>
      </c>
      <c r="EG155" s="34" t="n">
        <f aca="false">IF(EG$8=1,IF(Reales!$C$28="PYG",IF(EG$10&gt;0,N(Reales!EG28)/EG$10,0),N(Reales!EG28)),EG$143*INDEX(Precio_V,4)*INDEX(IdxPrecio_V,1,MIN(10,EG$136))*(1+V_dPrecio))</f>
        <v>0</v>
      </c>
      <c r="EH155" s="34" t="n">
        <f aca="false">IF(EH$8=1,IF(Reales!$C$28="PYG",IF(EH$10&gt;0,N(Reales!EH28)/EH$10,0),N(Reales!EH28)),EH$143*INDEX(Precio_V,4)*INDEX(IdxPrecio_V,1,MIN(10,EH$136))*(1+V_dPrecio))</f>
        <v>0</v>
      </c>
      <c r="EI155" s="34" t="n">
        <f aca="false">IF(EI$8=1,IF(Reales!$C$28="PYG",IF(EI$10&gt;0,N(Reales!EI28)/EI$10,0),N(Reales!EI28)),EI$143*INDEX(Precio_V,4)*INDEX(IdxPrecio_V,1,MIN(10,EI$136))*(1+V_dPrecio))</f>
        <v>0</v>
      </c>
      <c r="EJ155" s="34" t="n">
        <f aca="false">IF(EJ$8=1,IF(Reales!$C$28="PYG",IF(EJ$10&gt;0,N(Reales!EJ28)/EJ$10,0),N(Reales!EJ28)),EJ$143*INDEX(Precio_V,4)*INDEX(IdxPrecio_V,1,MIN(10,EJ$136))*(1+V_dPrecio))</f>
        <v>0</v>
      </c>
      <c r="EK155" s="34" t="n">
        <f aca="false">IF(EK$8=1,IF(Reales!$C$28="PYG",IF(EK$10&gt;0,N(Reales!EK28)/EK$10,0),N(Reales!EK28)),EK$143*INDEX(Precio_V,4)*INDEX(IdxPrecio_V,1,MIN(10,EK$136))*(1+V_dPrecio))</f>
        <v>0</v>
      </c>
      <c r="EL155" s="34" t="n">
        <f aca="false">IF(EL$8=1,IF(Reales!$C$28="PYG",IF(EL$10&gt;0,N(Reales!EL28)/EL$10,0),N(Reales!EL28)),EL$143*INDEX(Precio_V,4)*INDEX(IdxPrecio_V,1,MIN(10,EL$136))*(1+V_dPrecio))</f>
        <v>0</v>
      </c>
      <c r="EM155" s="34" t="n">
        <f aca="false">IF(EM$8=1,IF(Reales!$C$28="PYG",IF(EM$10&gt;0,N(Reales!EM28)/EM$10,0),N(Reales!EM28)),EM$143*INDEX(Precio_V,4)*INDEX(IdxPrecio_V,1,MIN(10,EM$136))*(1+V_dPrecio))</f>
        <v>0</v>
      </c>
      <c r="EN155" s="34" t="n">
        <f aca="false">IF(EN$8=1,IF(Reales!$C$28="PYG",IF(EN$10&gt;0,N(Reales!EN28)/EN$10,0),N(Reales!EN28)),EN$143*INDEX(Precio_V,4)*INDEX(IdxPrecio_V,1,MIN(10,EN$136))*(1+V_dPrecio))</f>
        <v>0</v>
      </c>
      <c r="EO155" s="34" t="n">
        <f aca="false">IF(EO$8=1,IF(Reales!$C$28="PYG",IF(EO$10&gt;0,N(Reales!EO28)/EO$10,0),N(Reales!EO28)),EO$143*INDEX(Precio_V,4)*INDEX(IdxPrecio_V,1,MIN(10,EO$136))*(1+V_dPrecio))</f>
        <v>0</v>
      </c>
      <c r="EP155" s="34" t="n">
        <f aca="false">IF(EP$8=1,IF(Reales!$C$28="PYG",IF(EP$10&gt;0,N(Reales!EP28)/EP$10,0),N(Reales!EP28)),EP$143*INDEX(Precio_V,4)*INDEX(IdxPrecio_V,1,MIN(10,EP$136))*(1+V_dPrecio))</f>
        <v>0</v>
      </c>
      <c r="EQ155" s="34" t="n">
        <f aca="false">IF(EQ$8=1,IF(Reales!$C$28="PYG",IF(EQ$10&gt;0,N(Reales!EQ28)/EQ$10,0),N(Reales!EQ28)),EQ$143*INDEX(Precio_V,4)*INDEX(IdxPrecio_V,1,MIN(10,EQ$136))*(1+V_dPrecio))</f>
        <v>0</v>
      </c>
      <c r="ER155" s="34" t="n">
        <f aca="false">IF(ER$8=1,IF(Reales!$C$28="PYG",IF(ER$10&gt;0,N(Reales!ER28)/ER$10,0),N(Reales!ER28)),ER$143*INDEX(Precio_V,4)*INDEX(IdxPrecio_V,1,MIN(10,ER$136))*(1+V_dPrecio))</f>
        <v>0</v>
      </c>
      <c r="ES155" s="34" t="n">
        <f aca="false">IF(ES$8=1,IF(Reales!$C$28="PYG",IF(ES$10&gt;0,N(Reales!ES28)/ES$10,0),N(Reales!ES28)),ES$143*INDEX(Precio_V,4)*INDEX(IdxPrecio_V,1,MIN(10,ES$136))*(1+V_dPrecio))</f>
        <v>0</v>
      </c>
    </row>
    <row r="156" customFormat="false" ht="15" hidden="false" customHeight="false" outlineLevel="0" collapsed="false">
      <c r="A156" s="2" t="s">
        <v>635</v>
      </c>
      <c r="B156" s="39" t="str">
        <f aca="false">IF(INDEX(Prod_Nombre,5)="","Producto 5",INDEX(Prod_Nombre,5))&amp;" — ventas USD"</f>
        <v>Producto 5 — ventas USD</v>
      </c>
      <c r="C156" s="6" t="s">
        <v>212</v>
      </c>
      <c r="E156" s="40" t="n">
        <f aca="false">SUM(F156:ES156)</f>
        <v>0</v>
      </c>
      <c r="F156" s="34" t="n">
        <f aca="false">IF(F$8=1,IF(Reales!$C$29="PYG",IF(F$10&gt;0,N(Reales!F29)/F$10,0),N(Reales!F29)),F$144*INDEX(Precio_V,5)*INDEX(IdxPrecio_V,1,MIN(10,F$136))*(1+V_dPrecio))</f>
        <v>0</v>
      </c>
      <c r="G156" s="34" t="n">
        <f aca="false">IF(G$8=1,IF(Reales!$C$29="PYG",IF(G$10&gt;0,N(Reales!G29)/G$10,0),N(Reales!G29)),G$144*INDEX(Precio_V,5)*INDEX(IdxPrecio_V,1,MIN(10,G$136))*(1+V_dPrecio))</f>
        <v>0</v>
      </c>
      <c r="H156" s="34" t="n">
        <f aca="false">IF(H$8=1,IF(Reales!$C$29="PYG",IF(H$10&gt;0,N(Reales!H29)/H$10,0),N(Reales!H29)),H$144*INDEX(Precio_V,5)*INDEX(IdxPrecio_V,1,MIN(10,H$136))*(1+V_dPrecio))</f>
        <v>0</v>
      </c>
      <c r="I156" s="34" t="n">
        <f aca="false">IF(I$8=1,IF(Reales!$C$29="PYG",IF(I$10&gt;0,N(Reales!I29)/I$10,0),N(Reales!I29)),I$144*INDEX(Precio_V,5)*INDEX(IdxPrecio_V,1,MIN(10,I$136))*(1+V_dPrecio))</f>
        <v>0</v>
      </c>
      <c r="J156" s="34" t="n">
        <f aca="false">IF(J$8=1,IF(Reales!$C$29="PYG",IF(J$10&gt;0,N(Reales!J29)/J$10,0),N(Reales!J29)),J$144*INDEX(Precio_V,5)*INDEX(IdxPrecio_V,1,MIN(10,J$136))*(1+V_dPrecio))</f>
        <v>0</v>
      </c>
      <c r="K156" s="34" t="n">
        <f aca="false">IF(K$8=1,IF(Reales!$C$29="PYG",IF(K$10&gt;0,N(Reales!K29)/K$10,0),N(Reales!K29)),K$144*INDEX(Precio_V,5)*INDEX(IdxPrecio_V,1,MIN(10,K$136))*(1+V_dPrecio))</f>
        <v>0</v>
      </c>
      <c r="L156" s="34" t="n">
        <f aca="false">IF(L$8=1,IF(Reales!$C$29="PYG",IF(L$10&gt;0,N(Reales!L29)/L$10,0),N(Reales!L29)),L$144*INDEX(Precio_V,5)*INDEX(IdxPrecio_V,1,MIN(10,L$136))*(1+V_dPrecio))</f>
        <v>0</v>
      </c>
      <c r="M156" s="34" t="n">
        <f aca="false">IF(M$8=1,IF(Reales!$C$29="PYG",IF(M$10&gt;0,N(Reales!M29)/M$10,0),N(Reales!M29)),M$144*INDEX(Precio_V,5)*INDEX(IdxPrecio_V,1,MIN(10,M$136))*(1+V_dPrecio))</f>
        <v>0</v>
      </c>
      <c r="N156" s="34" t="n">
        <f aca="false">IF(N$8=1,IF(Reales!$C$29="PYG",IF(N$10&gt;0,N(Reales!N29)/N$10,0),N(Reales!N29)),N$144*INDEX(Precio_V,5)*INDEX(IdxPrecio_V,1,MIN(10,N$136))*(1+V_dPrecio))</f>
        <v>0</v>
      </c>
      <c r="O156" s="34" t="n">
        <f aca="false">IF(O$8=1,IF(Reales!$C$29="PYG",IF(O$10&gt;0,N(Reales!O29)/O$10,0),N(Reales!O29)),O$144*INDEX(Precio_V,5)*INDEX(IdxPrecio_V,1,MIN(10,O$136))*(1+V_dPrecio))</f>
        <v>0</v>
      </c>
      <c r="P156" s="34" t="n">
        <f aca="false">IF(P$8=1,IF(Reales!$C$29="PYG",IF(P$10&gt;0,N(Reales!P29)/P$10,0),N(Reales!P29)),P$144*INDEX(Precio_V,5)*INDEX(IdxPrecio_V,1,MIN(10,P$136))*(1+V_dPrecio))</f>
        <v>0</v>
      </c>
      <c r="Q156" s="34" t="n">
        <f aca="false">IF(Q$8=1,IF(Reales!$C$29="PYG",IF(Q$10&gt;0,N(Reales!Q29)/Q$10,0),N(Reales!Q29)),Q$144*INDEX(Precio_V,5)*INDEX(IdxPrecio_V,1,MIN(10,Q$136))*(1+V_dPrecio))</f>
        <v>0</v>
      </c>
      <c r="R156" s="34" t="n">
        <f aca="false">IF(R$8=1,IF(Reales!$C$29="PYG",IF(R$10&gt;0,N(Reales!R29)/R$10,0),N(Reales!R29)),R$144*INDEX(Precio_V,5)*INDEX(IdxPrecio_V,1,MIN(10,R$136))*(1+V_dPrecio))</f>
        <v>0</v>
      </c>
      <c r="S156" s="34" t="n">
        <f aca="false">IF(S$8=1,IF(Reales!$C$29="PYG",IF(S$10&gt;0,N(Reales!S29)/S$10,0),N(Reales!S29)),S$144*INDEX(Precio_V,5)*INDEX(IdxPrecio_V,1,MIN(10,S$136))*(1+V_dPrecio))</f>
        <v>0</v>
      </c>
      <c r="T156" s="34" t="n">
        <f aca="false">IF(T$8=1,IF(Reales!$C$29="PYG",IF(T$10&gt;0,N(Reales!T29)/T$10,0),N(Reales!T29)),T$144*INDEX(Precio_V,5)*INDEX(IdxPrecio_V,1,MIN(10,T$136))*(1+V_dPrecio))</f>
        <v>0</v>
      </c>
      <c r="U156" s="34" t="n">
        <f aca="false">IF(U$8=1,IF(Reales!$C$29="PYG",IF(U$10&gt;0,N(Reales!U29)/U$10,0),N(Reales!U29)),U$144*INDEX(Precio_V,5)*INDEX(IdxPrecio_V,1,MIN(10,U$136))*(1+V_dPrecio))</f>
        <v>0</v>
      </c>
      <c r="V156" s="34" t="n">
        <f aca="false">IF(V$8=1,IF(Reales!$C$29="PYG",IF(V$10&gt;0,N(Reales!V29)/V$10,0),N(Reales!V29)),V$144*INDEX(Precio_V,5)*INDEX(IdxPrecio_V,1,MIN(10,V$136))*(1+V_dPrecio))</f>
        <v>0</v>
      </c>
      <c r="W156" s="34" t="n">
        <f aca="false">IF(W$8=1,IF(Reales!$C$29="PYG",IF(W$10&gt;0,N(Reales!W29)/W$10,0),N(Reales!W29)),W$144*INDEX(Precio_V,5)*INDEX(IdxPrecio_V,1,MIN(10,W$136))*(1+V_dPrecio))</f>
        <v>0</v>
      </c>
      <c r="X156" s="34" t="n">
        <f aca="false">IF(X$8=1,IF(Reales!$C$29="PYG",IF(X$10&gt;0,N(Reales!X29)/X$10,0),N(Reales!X29)),X$144*INDEX(Precio_V,5)*INDEX(IdxPrecio_V,1,MIN(10,X$136))*(1+V_dPrecio))</f>
        <v>0</v>
      </c>
      <c r="Y156" s="34" t="n">
        <f aca="false">IF(Y$8=1,IF(Reales!$C$29="PYG",IF(Y$10&gt;0,N(Reales!Y29)/Y$10,0),N(Reales!Y29)),Y$144*INDEX(Precio_V,5)*INDEX(IdxPrecio_V,1,MIN(10,Y$136))*(1+V_dPrecio))</f>
        <v>0</v>
      </c>
      <c r="Z156" s="34" t="n">
        <f aca="false">IF(Z$8=1,IF(Reales!$C$29="PYG",IF(Z$10&gt;0,N(Reales!Z29)/Z$10,0),N(Reales!Z29)),Z$144*INDEX(Precio_V,5)*INDEX(IdxPrecio_V,1,MIN(10,Z$136))*(1+V_dPrecio))</f>
        <v>0</v>
      </c>
      <c r="AA156" s="34" t="n">
        <f aca="false">IF(AA$8=1,IF(Reales!$C$29="PYG",IF(AA$10&gt;0,N(Reales!AA29)/AA$10,0),N(Reales!AA29)),AA$144*INDEX(Precio_V,5)*INDEX(IdxPrecio_V,1,MIN(10,AA$136))*(1+V_dPrecio))</f>
        <v>0</v>
      </c>
      <c r="AB156" s="34" t="n">
        <f aca="false">IF(AB$8=1,IF(Reales!$C$29="PYG",IF(AB$10&gt;0,N(Reales!AB29)/AB$10,0),N(Reales!AB29)),AB$144*INDEX(Precio_V,5)*INDEX(IdxPrecio_V,1,MIN(10,AB$136))*(1+V_dPrecio))</f>
        <v>0</v>
      </c>
      <c r="AC156" s="34" t="n">
        <f aca="false">IF(AC$8=1,IF(Reales!$C$29="PYG",IF(AC$10&gt;0,N(Reales!AC29)/AC$10,0),N(Reales!AC29)),AC$144*INDEX(Precio_V,5)*INDEX(IdxPrecio_V,1,MIN(10,AC$136))*(1+V_dPrecio))</f>
        <v>0</v>
      </c>
      <c r="AD156" s="34" t="n">
        <f aca="false">IF(AD$8=1,IF(Reales!$C$29="PYG",IF(AD$10&gt;0,N(Reales!AD29)/AD$10,0),N(Reales!AD29)),AD$144*INDEX(Precio_V,5)*INDEX(IdxPrecio_V,1,MIN(10,AD$136))*(1+V_dPrecio))</f>
        <v>0</v>
      </c>
      <c r="AE156" s="34" t="n">
        <f aca="false">IF(AE$8=1,IF(Reales!$C$29="PYG",IF(AE$10&gt;0,N(Reales!AE29)/AE$10,0),N(Reales!AE29)),AE$144*INDEX(Precio_V,5)*INDEX(IdxPrecio_V,1,MIN(10,AE$136))*(1+V_dPrecio))</f>
        <v>0</v>
      </c>
      <c r="AF156" s="34" t="n">
        <f aca="false">IF(AF$8=1,IF(Reales!$C$29="PYG",IF(AF$10&gt;0,N(Reales!AF29)/AF$10,0),N(Reales!AF29)),AF$144*INDEX(Precio_V,5)*INDEX(IdxPrecio_V,1,MIN(10,AF$136))*(1+V_dPrecio))</f>
        <v>0</v>
      </c>
      <c r="AG156" s="34" t="n">
        <f aca="false">IF(AG$8=1,IF(Reales!$C$29="PYG",IF(AG$10&gt;0,N(Reales!AG29)/AG$10,0),N(Reales!AG29)),AG$144*INDEX(Precio_V,5)*INDEX(IdxPrecio_V,1,MIN(10,AG$136))*(1+V_dPrecio))</f>
        <v>0</v>
      </c>
      <c r="AH156" s="34" t="n">
        <f aca="false">IF(AH$8=1,IF(Reales!$C$29="PYG",IF(AH$10&gt;0,N(Reales!AH29)/AH$10,0),N(Reales!AH29)),AH$144*INDEX(Precio_V,5)*INDEX(IdxPrecio_V,1,MIN(10,AH$136))*(1+V_dPrecio))</f>
        <v>0</v>
      </c>
      <c r="AI156" s="34" t="n">
        <f aca="false">IF(AI$8=1,IF(Reales!$C$29="PYG",IF(AI$10&gt;0,N(Reales!AI29)/AI$10,0),N(Reales!AI29)),AI$144*INDEX(Precio_V,5)*INDEX(IdxPrecio_V,1,MIN(10,AI$136))*(1+V_dPrecio))</f>
        <v>0</v>
      </c>
      <c r="AJ156" s="34" t="n">
        <f aca="false">IF(AJ$8=1,IF(Reales!$C$29="PYG",IF(AJ$10&gt;0,N(Reales!AJ29)/AJ$10,0),N(Reales!AJ29)),AJ$144*INDEX(Precio_V,5)*INDEX(IdxPrecio_V,1,MIN(10,AJ$136))*(1+V_dPrecio))</f>
        <v>0</v>
      </c>
      <c r="AK156" s="34" t="n">
        <f aca="false">IF(AK$8=1,IF(Reales!$C$29="PYG",IF(AK$10&gt;0,N(Reales!AK29)/AK$10,0),N(Reales!AK29)),AK$144*INDEX(Precio_V,5)*INDEX(IdxPrecio_V,1,MIN(10,AK$136))*(1+V_dPrecio))</f>
        <v>0</v>
      </c>
      <c r="AL156" s="34" t="n">
        <f aca="false">IF(AL$8=1,IF(Reales!$C$29="PYG",IF(AL$10&gt;0,N(Reales!AL29)/AL$10,0),N(Reales!AL29)),AL$144*INDEX(Precio_V,5)*INDEX(IdxPrecio_V,1,MIN(10,AL$136))*(1+V_dPrecio))</f>
        <v>0</v>
      </c>
      <c r="AM156" s="34" t="n">
        <f aca="false">IF(AM$8=1,IF(Reales!$C$29="PYG",IF(AM$10&gt;0,N(Reales!AM29)/AM$10,0),N(Reales!AM29)),AM$144*INDEX(Precio_V,5)*INDEX(IdxPrecio_V,1,MIN(10,AM$136))*(1+V_dPrecio))</f>
        <v>0</v>
      </c>
      <c r="AN156" s="34" t="n">
        <f aca="false">IF(AN$8=1,IF(Reales!$C$29="PYG",IF(AN$10&gt;0,N(Reales!AN29)/AN$10,0),N(Reales!AN29)),AN$144*INDEX(Precio_V,5)*INDEX(IdxPrecio_V,1,MIN(10,AN$136))*(1+V_dPrecio))</f>
        <v>0</v>
      </c>
      <c r="AO156" s="34" t="n">
        <f aca="false">IF(AO$8=1,IF(Reales!$C$29="PYG",IF(AO$10&gt;0,N(Reales!AO29)/AO$10,0),N(Reales!AO29)),AO$144*INDEX(Precio_V,5)*INDEX(IdxPrecio_V,1,MIN(10,AO$136))*(1+V_dPrecio))</f>
        <v>0</v>
      </c>
      <c r="AP156" s="34" t="n">
        <f aca="false">IF(AP$8=1,IF(Reales!$C$29="PYG",IF(AP$10&gt;0,N(Reales!AP29)/AP$10,0),N(Reales!AP29)),AP$144*INDEX(Precio_V,5)*INDEX(IdxPrecio_V,1,MIN(10,AP$136))*(1+V_dPrecio))</f>
        <v>0</v>
      </c>
      <c r="AQ156" s="34" t="n">
        <f aca="false">IF(AQ$8=1,IF(Reales!$C$29="PYG",IF(AQ$10&gt;0,N(Reales!AQ29)/AQ$10,0),N(Reales!AQ29)),AQ$144*INDEX(Precio_V,5)*INDEX(IdxPrecio_V,1,MIN(10,AQ$136))*(1+V_dPrecio))</f>
        <v>0</v>
      </c>
      <c r="AR156" s="34" t="n">
        <f aca="false">IF(AR$8=1,IF(Reales!$C$29="PYG",IF(AR$10&gt;0,N(Reales!AR29)/AR$10,0),N(Reales!AR29)),AR$144*INDEX(Precio_V,5)*INDEX(IdxPrecio_V,1,MIN(10,AR$136))*(1+V_dPrecio))</f>
        <v>0</v>
      </c>
      <c r="AS156" s="34" t="n">
        <f aca="false">IF(AS$8=1,IF(Reales!$C$29="PYG",IF(AS$10&gt;0,N(Reales!AS29)/AS$10,0),N(Reales!AS29)),AS$144*INDEX(Precio_V,5)*INDEX(IdxPrecio_V,1,MIN(10,AS$136))*(1+V_dPrecio))</f>
        <v>0</v>
      </c>
      <c r="AT156" s="34" t="n">
        <f aca="false">IF(AT$8=1,IF(Reales!$C$29="PYG",IF(AT$10&gt;0,N(Reales!AT29)/AT$10,0),N(Reales!AT29)),AT$144*INDEX(Precio_V,5)*INDEX(IdxPrecio_V,1,MIN(10,AT$136))*(1+V_dPrecio))</f>
        <v>0</v>
      </c>
      <c r="AU156" s="34" t="n">
        <f aca="false">IF(AU$8=1,IF(Reales!$C$29="PYG",IF(AU$10&gt;0,N(Reales!AU29)/AU$10,0),N(Reales!AU29)),AU$144*INDEX(Precio_V,5)*INDEX(IdxPrecio_V,1,MIN(10,AU$136))*(1+V_dPrecio))</f>
        <v>0</v>
      </c>
      <c r="AV156" s="34" t="n">
        <f aca="false">IF(AV$8=1,IF(Reales!$C$29="PYG",IF(AV$10&gt;0,N(Reales!AV29)/AV$10,0),N(Reales!AV29)),AV$144*INDEX(Precio_V,5)*INDEX(IdxPrecio_V,1,MIN(10,AV$136))*(1+V_dPrecio))</f>
        <v>0</v>
      </c>
      <c r="AW156" s="34" t="n">
        <f aca="false">IF(AW$8=1,IF(Reales!$C$29="PYG",IF(AW$10&gt;0,N(Reales!AW29)/AW$10,0),N(Reales!AW29)),AW$144*INDEX(Precio_V,5)*INDEX(IdxPrecio_V,1,MIN(10,AW$136))*(1+V_dPrecio))</f>
        <v>0</v>
      </c>
      <c r="AX156" s="34" t="n">
        <f aca="false">IF(AX$8=1,IF(Reales!$C$29="PYG",IF(AX$10&gt;0,N(Reales!AX29)/AX$10,0),N(Reales!AX29)),AX$144*INDEX(Precio_V,5)*INDEX(IdxPrecio_V,1,MIN(10,AX$136))*(1+V_dPrecio))</f>
        <v>0</v>
      </c>
      <c r="AY156" s="34" t="n">
        <f aca="false">IF(AY$8=1,IF(Reales!$C$29="PYG",IF(AY$10&gt;0,N(Reales!AY29)/AY$10,0),N(Reales!AY29)),AY$144*INDEX(Precio_V,5)*INDEX(IdxPrecio_V,1,MIN(10,AY$136))*(1+V_dPrecio))</f>
        <v>0</v>
      </c>
      <c r="AZ156" s="34" t="n">
        <f aca="false">IF(AZ$8=1,IF(Reales!$C$29="PYG",IF(AZ$10&gt;0,N(Reales!AZ29)/AZ$10,0),N(Reales!AZ29)),AZ$144*INDEX(Precio_V,5)*INDEX(IdxPrecio_V,1,MIN(10,AZ$136))*(1+V_dPrecio))</f>
        <v>0</v>
      </c>
      <c r="BA156" s="34" t="n">
        <f aca="false">IF(BA$8=1,IF(Reales!$C$29="PYG",IF(BA$10&gt;0,N(Reales!BA29)/BA$10,0),N(Reales!BA29)),BA$144*INDEX(Precio_V,5)*INDEX(IdxPrecio_V,1,MIN(10,BA$136))*(1+V_dPrecio))</f>
        <v>0</v>
      </c>
      <c r="BB156" s="34" t="n">
        <f aca="false">IF(BB$8=1,IF(Reales!$C$29="PYG",IF(BB$10&gt;0,N(Reales!BB29)/BB$10,0),N(Reales!BB29)),BB$144*INDEX(Precio_V,5)*INDEX(IdxPrecio_V,1,MIN(10,BB$136))*(1+V_dPrecio))</f>
        <v>0</v>
      </c>
      <c r="BC156" s="34" t="n">
        <f aca="false">IF(BC$8=1,IF(Reales!$C$29="PYG",IF(BC$10&gt;0,N(Reales!BC29)/BC$10,0),N(Reales!BC29)),BC$144*INDEX(Precio_V,5)*INDEX(IdxPrecio_V,1,MIN(10,BC$136))*(1+V_dPrecio))</f>
        <v>0</v>
      </c>
      <c r="BD156" s="34" t="n">
        <f aca="false">IF(BD$8=1,IF(Reales!$C$29="PYG",IF(BD$10&gt;0,N(Reales!BD29)/BD$10,0),N(Reales!BD29)),BD$144*INDEX(Precio_V,5)*INDEX(IdxPrecio_V,1,MIN(10,BD$136))*(1+V_dPrecio))</f>
        <v>0</v>
      </c>
      <c r="BE156" s="34" t="n">
        <f aca="false">IF(BE$8=1,IF(Reales!$C$29="PYG",IF(BE$10&gt;0,N(Reales!BE29)/BE$10,0),N(Reales!BE29)),BE$144*INDEX(Precio_V,5)*INDEX(IdxPrecio_V,1,MIN(10,BE$136))*(1+V_dPrecio))</f>
        <v>0</v>
      </c>
      <c r="BF156" s="34" t="n">
        <f aca="false">IF(BF$8=1,IF(Reales!$C$29="PYG",IF(BF$10&gt;0,N(Reales!BF29)/BF$10,0),N(Reales!BF29)),BF$144*INDEX(Precio_V,5)*INDEX(IdxPrecio_V,1,MIN(10,BF$136))*(1+V_dPrecio))</f>
        <v>0</v>
      </c>
      <c r="BG156" s="34" t="n">
        <f aca="false">IF(BG$8=1,IF(Reales!$C$29="PYG",IF(BG$10&gt;0,N(Reales!BG29)/BG$10,0),N(Reales!BG29)),BG$144*INDEX(Precio_V,5)*INDEX(IdxPrecio_V,1,MIN(10,BG$136))*(1+V_dPrecio))</f>
        <v>0</v>
      </c>
      <c r="BH156" s="34" t="n">
        <f aca="false">IF(BH$8=1,IF(Reales!$C$29="PYG",IF(BH$10&gt;0,N(Reales!BH29)/BH$10,0),N(Reales!BH29)),BH$144*INDEX(Precio_V,5)*INDEX(IdxPrecio_V,1,MIN(10,BH$136))*(1+V_dPrecio))</f>
        <v>0</v>
      </c>
      <c r="BI156" s="34" t="n">
        <f aca="false">IF(BI$8=1,IF(Reales!$C$29="PYG",IF(BI$10&gt;0,N(Reales!BI29)/BI$10,0),N(Reales!BI29)),BI$144*INDEX(Precio_V,5)*INDEX(IdxPrecio_V,1,MIN(10,BI$136))*(1+V_dPrecio))</f>
        <v>0</v>
      </c>
      <c r="BJ156" s="34" t="n">
        <f aca="false">IF(BJ$8=1,IF(Reales!$C$29="PYG",IF(BJ$10&gt;0,N(Reales!BJ29)/BJ$10,0),N(Reales!BJ29)),BJ$144*INDEX(Precio_V,5)*INDEX(IdxPrecio_V,1,MIN(10,BJ$136))*(1+V_dPrecio))</f>
        <v>0</v>
      </c>
      <c r="BK156" s="34" t="n">
        <f aca="false">IF(BK$8=1,IF(Reales!$C$29="PYG",IF(BK$10&gt;0,N(Reales!BK29)/BK$10,0),N(Reales!BK29)),BK$144*INDEX(Precio_V,5)*INDEX(IdxPrecio_V,1,MIN(10,BK$136))*(1+V_dPrecio))</f>
        <v>0</v>
      </c>
      <c r="BL156" s="34" t="n">
        <f aca="false">IF(BL$8=1,IF(Reales!$C$29="PYG",IF(BL$10&gt;0,N(Reales!BL29)/BL$10,0),N(Reales!BL29)),BL$144*INDEX(Precio_V,5)*INDEX(IdxPrecio_V,1,MIN(10,BL$136))*(1+V_dPrecio))</f>
        <v>0</v>
      </c>
      <c r="BM156" s="34" t="n">
        <f aca="false">IF(BM$8=1,IF(Reales!$C$29="PYG",IF(BM$10&gt;0,N(Reales!BM29)/BM$10,0),N(Reales!BM29)),BM$144*INDEX(Precio_V,5)*INDEX(IdxPrecio_V,1,MIN(10,BM$136))*(1+V_dPrecio))</f>
        <v>0</v>
      </c>
      <c r="BN156" s="34" t="n">
        <f aca="false">IF(BN$8=1,IF(Reales!$C$29="PYG",IF(BN$10&gt;0,N(Reales!BN29)/BN$10,0),N(Reales!BN29)),BN$144*INDEX(Precio_V,5)*INDEX(IdxPrecio_V,1,MIN(10,BN$136))*(1+V_dPrecio))</f>
        <v>0</v>
      </c>
      <c r="BO156" s="34" t="n">
        <f aca="false">IF(BO$8=1,IF(Reales!$C$29="PYG",IF(BO$10&gt;0,N(Reales!BO29)/BO$10,0),N(Reales!BO29)),BO$144*INDEX(Precio_V,5)*INDEX(IdxPrecio_V,1,MIN(10,BO$136))*(1+V_dPrecio))</f>
        <v>0</v>
      </c>
      <c r="BP156" s="34" t="n">
        <f aca="false">IF(BP$8=1,IF(Reales!$C$29="PYG",IF(BP$10&gt;0,N(Reales!BP29)/BP$10,0),N(Reales!BP29)),BP$144*INDEX(Precio_V,5)*INDEX(IdxPrecio_V,1,MIN(10,BP$136))*(1+V_dPrecio))</f>
        <v>0</v>
      </c>
      <c r="BQ156" s="34" t="n">
        <f aca="false">IF(BQ$8=1,IF(Reales!$C$29="PYG",IF(BQ$10&gt;0,N(Reales!BQ29)/BQ$10,0),N(Reales!BQ29)),BQ$144*INDEX(Precio_V,5)*INDEX(IdxPrecio_V,1,MIN(10,BQ$136))*(1+V_dPrecio))</f>
        <v>0</v>
      </c>
      <c r="BR156" s="34" t="n">
        <f aca="false">IF(BR$8=1,IF(Reales!$C$29="PYG",IF(BR$10&gt;0,N(Reales!BR29)/BR$10,0),N(Reales!BR29)),BR$144*INDEX(Precio_V,5)*INDEX(IdxPrecio_V,1,MIN(10,BR$136))*(1+V_dPrecio))</f>
        <v>0</v>
      </c>
      <c r="BS156" s="34" t="n">
        <f aca="false">IF(BS$8=1,IF(Reales!$C$29="PYG",IF(BS$10&gt;0,N(Reales!BS29)/BS$10,0),N(Reales!BS29)),BS$144*INDEX(Precio_V,5)*INDEX(IdxPrecio_V,1,MIN(10,BS$136))*(1+V_dPrecio))</f>
        <v>0</v>
      </c>
      <c r="BT156" s="34" t="n">
        <f aca="false">IF(BT$8=1,IF(Reales!$C$29="PYG",IF(BT$10&gt;0,N(Reales!BT29)/BT$10,0),N(Reales!BT29)),BT$144*INDEX(Precio_V,5)*INDEX(IdxPrecio_V,1,MIN(10,BT$136))*(1+V_dPrecio))</f>
        <v>0</v>
      </c>
      <c r="BU156" s="34" t="n">
        <f aca="false">IF(BU$8=1,IF(Reales!$C$29="PYG",IF(BU$10&gt;0,N(Reales!BU29)/BU$10,0),N(Reales!BU29)),BU$144*INDEX(Precio_V,5)*INDEX(IdxPrecio_V,1,MIN(10,BU$136))*(1+V_dPrecio))</f>
        <v>0</v>
      </c>
      <c r="BV156" s="34" t="n">
        <f aca="false">IF(BV$8=1,IF(Reales!$C$29="PYG",IF(BV$10&gt;0,N(Reales!BV29)/BV$10,0),N(Reales!BV29)),BV$144*INDEX(Precio_V,5)*INDEX(IdxPrecio_V,1,MIN(10,BV$136))*(1+V_dPrecio))</f>
        <v>0</v>
      </c>
      <c r="BW156" s="34" t="n">
        <f aca="false">IF(BW$8=1,IF(Reales!$C$29="PYG",IF(BW$10&gt;0,N(Reales!BW29)/BW$10,0),N(Reales!BW29)),BW$144*INDEX(Precio_V,5)*INDEX(IdxPrecio_V,1,MIN(10,BW$136))*(1+V_dPrecio))</f>
        <v>0</v>
      </c>
      <c r="BX156" s="34" t="n">
        <f aca="false">IF(BX$8=1,IF(Reales!$C$29="PYG",IF(BX$10&gt;0,N(Reales!BX29)/BX$10,0),N(Reales!BX29)),BX$144*INDEX(Precio_V,5)*INDEX(IdxPrecio_V,1,MIN(10,BX$136))*(1+V_dPrecio))</f>
        <v>0</v>
      </c>
      <c r="BY156" s="34" t="n">
        <f aca="false">IF(BY$8=1,IF(Reales!$C$29="PYG",IF(BY$10&gt;0,N(Reales!BY29)/BY$10,0),N(Reales!BY29)),BY$144*INDEX(Precio_V,5)*INDEX(IdxPrecio_V,1,MIN(10,BY$136))*(1+V_dPrecio))</f>
        <v>0</v>
      </c>
      <c r="BZ156" s="34" t="n">
        <f aca="false">IF(BZ$8=1,IF(Reales!$C$29="PYG",IF(BZ$10&gt;0,N(Reales!BZ29)/BZ$10,0),N(Reales!BZ29)),BZ$144*INDEX(Precio_V,5)*INDEX(IdxPrecio_V,1,MIN(10,BZ$136))*(1+V_dPrecio))</f>
        <v>0</v>
      </c>
      <c r="CA156" s="34" t="n">
        <f aca="false">IF(CA$8=1,IF(Reales!$C$29="PYG",IF(CA$10&gt;0,N(Reales!CA29)/CA$10,0),N(Reales!CA29)),CA$144*INDEX(Precio_V,5)*INDEX(IdxPrecio_V,1,MIN(10,CA$136))*(1+V_dPrecio))</f>
        <v>0</v>
      </c>
      <c r="CB156" s="34" t="n">
        <f aca="false">IF(CB$8=1,IF(Reales!$C$29="PYG",IF(CB$10&gt;0,N(Reales!CB29)/CB$10,0),N(Reales!CB29)),CB$144*INDEX(Precio_V,5)*INDEX(IdxPrecio_V,1,MIN(10,CB$136))*(1+V_dPrecio))</f>
        <v>0</v>
      </c>
      <c r="CC156" s="34" t="n">
        <f aca="false">IF(CC$8=1,IF(Reales!$C$29="PYG",IF(CC$10&gt;0,N(Reales!CC29)/CC$10,0),N(Reales!CC29)),CC$144*INDEX(Precio_V,5)*INDEX(IdxPrecio_V,1,MIN(10,CC$136))*(1+V_dPrecio))</f>
        <v>0</v>
      </c>
      <c r="CD156" s="34" t="n">
        <f aca="false">IF(CD$8=1,IF(Reales!$C$29="PYG",IF(CD$10&gt;0,N(Reales!CD29)/CD$10,0),N(Reales!CD29)),CD$144*INDEX(Precio_V,5)*INDEX(IdxPrecio_V,1,MIN(10,CD$136))*(1+V_dPrecio))</f>
        <v>0</v>
      </c>
      <c r="CE156" s="34" t="n">
        <f aca="false">IF(CE$8=1,IF(Reales!$C$29="PYG",IF(CE$10&gt;0,N(Reales!CE29)/CE$10,0),N(Reales!CE29)),CE$144*INDEX(Precio_V,5)*INDEX(IdxPrecio_V,1,MIN(10,CE$136))*(1+V_dPrecio))</f>
        <v>0</v>
      </c>
      <c r="CF156" s="34" t="n">
        <f aca="false">IF(CF$8=1,IF(Reales!$C$29="PYG",IF(CF$10&gt;0,N(Reales!CF29)/CF$10,0),N(Reales!CF29)),CF$144*INDEX(Precio_V,5)*INDEX(IdxPrecio_V,1,MIN(10,CF$136))*(1+V_dPrecio))</f>
        <v>0</v>
      </c>
      <c r="CG156" s="34" t="n">
        <f aca="false">IF(CG$8=1,IF(Reales!$C$29="PYG",IF(CG$10&gt;0,N(Reales!CG29)/CG$10,0),N(Reales!CG29)),CG$144*INDEX(Precio_V,5)*INDEX(IdxPrecio_V,1,MIN(10,CG$136))*(1+V_dPrecio))</f>
        <v>0</v>
      </c>
      <c r="CH156" s="34" t="n">
        <f aca="false">IF(CH$8=1,IF(Reales!$C$29="PYG",IF(CH$10&gt;0,N(Reales!CH29)/CH$10,0),N(Reales!CH29)),CH$144*INDEX(Precio_V,5)*INDEX(IdxPrecio_V,1,MIN(10,CH$136))*(1+V_dPrecio))</f>
        <v>0</v>
      </c>
      <c r="CI156" s="34" t="n">
        <f aca="false">IF(CI$8=1,IF(Reales!$C$29="PYG",IF(CI$10&gt;0,N(Reales!CI29)/CI$10,0),N(Reales!CI29)),CI$144*INDEX(Precio_V,5)*INDEX(IdxPrecio_V,1,MIN(10,CI$136))*(1+V_dPrecio))</f>
        <v>0</v>
      </c>
      <c r="CJ156" s="34" t="n">
        <f aca="false">IF(CJ$8=1,IF(Reales!$C$29="PYG",IF(CJ$10&gt;0,N(Reales!CJ29)/CJ$10,0),N(Reales!CJ29)),CJ$144*INDEX(Precio_V,5)*INDEX(IdxPrecio_V,1,MIN(10,CJ$136))*(1+V_dPrecio))</f>
        <v>0</v>
      </c>
      <c r="CK156" s="34" t="n">
        <f aca="false">IF(CK$8=1,IF(Reales!$C$29="PYG",IF(CK$10&gt;0,N(Reales!CK29)/CK$10,0),N(Reales!CK29)),CK$144*INDEX(Precio_V,5)*INDEX(IdxPrecio_V,1,MIN(10,CK$136))*(1+V_dPrecio))</f>
        <v>0</v>
      </c>
      <c r="CL156" s="34" t="n">
        <f aca="false">IF(CL$8=1,IF(Reales!$C$29="PYG",IF(CL$10&gt;0,N(Reales!CL29)/CL$10,0),N(Reales!CL29)),CL$144*INDEX(Precio_V,5)*INDEX(IdxPrecio_V,1,MIN(10,CL$136))*(1+V_dPrecio))</f>
        <v>0</v>
      </c>
      <c r="CM156" s="34" t="n">
        <f aca="false">IF(CM$8=1,IF(Reales!$C$29="PYG",IF(CM$10&gt;0,N(Reales!CM29)/CM$10,0),N(Reales!CM29)),CM$144*INDEX(Precio_V,5)*INDEX(IdxPrecio_V,1,MIN(10,CM$136))*(1+V_dPrecio))</f>
        <v>0</v>
      </c>
      <c r="CN156" s="34" t="n">
        <f aca="false">IF(CN$8=1,IF(Reales!$C$29="PYG",IF(CN$10&gt;0,N(Reales!CN29)/CN$10,0),N(Reales!CN29)),CN$144*INDEX(Precio_V,5)*INDEX(IdxPrecio_V,1,MIN(10,CN$136))*(1+V_dPrecio))</f>
        <v>0</v>
      </c>
      <c r="CO156" s="34" t="n">
        <f aca="false">IF(CO$8=1,IF(Reales!$C$29="PYG",IF(CO$10&gt;0,N(Reales!CO29)/CO$10,0),N(Reales!CO29)),CO$144*INDEX(Precio_V,5)*INDEX(IdxPrecio_V,1,MIN(10,CO$136))*(1+V_dPrecio))</f>
        <v>0</v>
      </c>
      <c r="CP156" s="34" t="n">
        <f aca="false">IF(CP$8=1,IF(Reales!$C$29="PYG",IF(CP$10&gt;0,N(Reales!CP29)/CP$10,0),N(Reales!CP29)),CP$144*INDEX(Precio_V,5)*INDEX(IdxPrecio_V,1,MIN(10,CP$136))*(1+V_dPrecio))</f>
        <v>0</v>
      </c>
      <c r="CQ156" s="34" t="n">
        <f aca="false">IF(CQ$8=1,IF(Reales!$C$29="PYG",IF(CQ$10&gt;0,N(Reales!CQ29)/CQ$10,0),N(Reales!CQ29)),CQ$144*INDEX(Precio_V,5)*INDEX(IdxPrecio_V,1,MIN(10,CQ$136))*(1+V_dPrecio))</f>
        <v>0</v>
      </c>
      <c r="CR156" s="34" t="n">
        <f aca="false">IF(CR$8=1,IF(Reales!$C$29="PYG",IF(CR$10&gt;0,N(Reales!CR29)/CR$10,0),N(Reales!CR29)),CR$144*INDEX(Precio_V,5)*INDEX(IdxPrecio_V,1,MIN(10,CR$136))*(1+V_dPrecio))</f>
        <v>0</v>
      </c>
      <c r="CS156" s="34" t="n">
        <f aca="false">IF(CS$8=1,IF(Reales!$C$29="PYG",IF(CS$10&gt;0,N(Reales!CS29)/CS$10,0),N(Reales!CS29)),CS$144*INDEX(Precio_V,5)*INDEX(IdxPrecio_V,1,MIN(10,CS$136))*(1+V_dPrecio))</f>
        <v>0</v>
      </c>
      <c r="CT156" s="34" t="n">
        <f aca="false">IF(CT$8=1,IF(Reales!$C$29="PYG",IF(CT$10&gt;0,N(Reales!CT29)/CT$10,0),N(Reales!CT29)),CT$144*INDEX(Precio_V,5)*INDEX(IdxPrecio_V,1,MIN(10,CT$136))*(1+V_dPrecio))</f>
        <v>0</v>
      </c>
      <c r="CU156" s="34" t="n">
        <f aca="false">IF(CU$8=1,IF(Reales!$C$29="PYG",IF(CU$10&gt;0,N(Reales!CU29)/CU$10,0),N(Reales!CU29)),CU$144*INDEX(Precio_V,5)*INDEX(IdxPrecio_V,1,MIN(10,CU$136))*(1+V_dPrecio))</f>
        <v>0</v>
      </c>
      <c r="CV156" s="34" t="n">
        <f aca="false">IF(CV$8=1,IF(Reales!$C$29="PYG",IF(CV$10&gt;0,N(Reales!CV29)/CV$10,0),N(Reales!CV29)),CV$144*INDEX(Precio_V,5)*INDEX(IdxPrecio_V,1,MIN(10,CV$136))*(1+V_dPrecio))</f>
        <v>0</v>
      </c>
      <c r="CW156" s="34" t="n">
        <f aca="false">IF(CW$8=1,IF(Reales!$C$29="PYG",IF(CW$10&gt;0,N(Reales!CW29)/CW$10,0),N(Reales!CW29)),CW$144*INDEX(Precio_V,5)*INDEX(IdxPrecio_V,1,MIN(10,CW$136))*(1+V_dPrecio))</f>
        <v>0</v>
      </c>
      <c r="CX156" s="34" t="n">
        <f aca="false">IF(CX$8=1,IF(Reales!$C$29="PYG",IF(CX$10&gt;0,N(Reales!CX29)/CX$10,0),N(Reales!CX29)),CX$144*INDEX(Precio_V,5)*INDEX(IdxPrecio_V,1,MIN(10,CX$136))*(1+V_dPrecio))</f>
        <v>0</v>
      </c>
      <c r="CY156" s="34" t="n">
        <f aca="false">IF(CY$8=1,IF(Reales!$C$29="PYG",IF(CY$10&gt;0,N(Reales!CY29)/CY$10,0),N(Reales!CY29)),CY$144*INDEX(Precio_V,5)*INDEX(IdxPrecio_V,1,MIN(10,CY$136))*(1+V_dPrecio))</f>
        <v>0</v>
      </c>
      <c r="CZ156" s="34" t="n">
        <f aca="false">IF(CZ$8=1,IF(Reales!$C$29="PYG",IF(CZ$10&gt;0,N(Reales!CZ29)/CZ$10,0),N(Reales!CZ29)),CZ$144*INDEX(Precio_V,5)*INDEX(IdxPrecio_V,1,MIN(10,CZ$136))*(1+V_dPrecio))</f>
        <v>0</v>
      </c>
      <c r="DA156" s="34" t="n">
        <f aca="false">IF(DA$8=1,IF(Reales!$C$29="PYG",IF(DA$10&gt;0,N(Reales!DA29)/DA$10,0),N(Reales!DA29)),DA$144*INDEX(Precio_V,5)*INDEX(IdxPrecio_V,1,MIN(10,DA$136))*(1+V_dPrecio))</f>
        <v>0</v>
      </c>
      <c r="DB156" s="34" t="n">
        <f aca="false">IF(DB$8=1,IF(Reales!$C$29="PYG",IF(DB$10&gt;0,N(Reales!DB29)/DB$10,0),N(Reales!DB29)),DB$144*INDEX(Precio_V,5)*INDEX(IdxPrecio_V,1,MIN(10,DB$136))*(1+V_dPrecio))</f>
        <v>0</v>
      </c>
      <c r="DC156" s="34" t="n">
        <f aca="false">IF(DC$8=1,IF(Reales!$C$29="PYG",IF(DC$10&gt;0,N(Reales!DC29)/DC$10,0),N(Reales!DC29)),DC$144*INDEX(Precio_V,5)*INDEX(IdxPrecio_V,1,MIN(10,DC$136))*(1+V_dPrecio))</f>
        <v>0</v>
      </c>
      <c r="DD156" s="34" t="n">
        <f aca="false">IF(DD$8=1,IF(Reales!$C$29="PYG",IF(DD$10&gt;0,N(Reales!DD29)/DD$10,0),N(Reales!DD29)),DD$144*INDEX(Precio_V,5)*INDEX(IdxPrecio_V,1,MIN(10,DD$136))*(1+V_dPrecio))</f>
        <v>0</v>
      </c>
      <c r="DE156" s="34" t="n">
        <f aca="false">IF(DE$8=1,IF(Reales!$C$29="PYG",IF(DE$10&gt;0,N(Reales!DE29)/DE$10,0),N(Reales!DE29)),DE$144*INDEX(Precio_V,5)*INDEX(IdxPrecio_V,1,MIN(10,DE$136))*(1+V_dPrecio))</f>
        <v>0</v>
      </c>
      <c r="DF156" s="34" t="n">
        <f aca="false">IF(DF$8=1,IF(Reales!$C$29="PYG",IF(DF$10&gt;0,N(Reales!DF29)/DF$10,0),N(Reales!DF29)),DF$144*INDEX(Precio_V,5)*INDEX(IdxPrecio_V,1,MIN(10,DF$136))*(1+V_dPrecio))</f>
        <v>0</v>
      </c>
      <c r="DG156" s="34" t="n">
        <f aca="false">IF(DG$8=1,IF(Reales!$C$29="PYG",IF(DG$10&gt;0,N(Reales!DG29)/DG$10,0),N(Reales!DG29)),DG$144*INDEX(Precio_V,5)*INDEX(IdxPrecio_V,1,MIN(10,DG$136))*(1+V_dPrecio))</f>
        <v>0</v>
      </c>
      <c r="DH156" s="34" t="n">
        <f aca="false">IF(DH$8=1,IF(Reales!$C$29="PYG",IF(DH$10&gt;0,N(Reales!DH29)/DH$10,0),N(Reales!DH29)),DH$144*INDEX(Precio_V,5)*INDEX(IdxPrecio_V,1,MIN(10,DH$136))*(1+V_dPrecio))</f>
        <v>0</v>
      </c>
      <c r="DI156" s="34" t="n">
        <f aca="false">IF(DI$8=1,IF(Reales!$C$29="PYG",IF(DI$10&gt;0,N(Reales!DI29)/DI$10,0),N(Reales!DI29)),DI$144*INDEX(Precio_V,5)*INDEX(IdxPrecio_V,1,MIN(10,DI$136))*(1+V_dPrecio))</f>
        <v>0</v>
      </c>
      <c r="DJ156" s="34" t="n">
        <f aca="false">IF(DJ$8=1,IF(Reales!$C$29="PYG",IF(DJ$10&gt;0,N(Reales!DJ29)/DJ$10,0),N(Reales!DJ29)),DJ$144*INDEX(Precio_V,5)*INDEX(IdxPrecio_V,1,MIN(10,DJ$136))*(1+V_dPrecio))</f>
        <v>0</v>
      </c>
      <c r="DK156" s="34" t="n">
        <f aca="false">IF(DK$8=1,IF(Reales!$C$29="PYG",IF(DK$10&gt;0,N(Reales!DK29)/DK$10,0),N(Reales!DK29)),DK$144*INDEX(Precio_V,5)*INDEX(IdxPrecio_V,1,MIN(10,DK$136))*(1+V_dPrecio))</f>
        <v>0</v>
      </c>
      <c r="DL156" s="34" t="n">
        <f aca="false">IF(DL$8=1,IF(Reales!$C$29="PYG",IF(DL$10&gt;0,N(Reales!DL29)/DL$10,0),N(Reales!DL29)),DL$144*INDEX(Precio_V,5)*INDEX(IdxPrecio_V,1,MIN(10,DL$136))*(1+V_dPrecio))</f>
        <v>0</v>
      </c>
      <c r="DM156" s="34" t="n">
        <f aca="false">IF(DM$8=1,IF(Reales!$C$29="PYG",IF(DM$10&gt;0,N(Reales!DM29)/DM$10,0),N(Reales!DM29)),DM$144*INDEX(Precio_V,5)*INDEX(IdxPrecio_V,1,MIN(10,DM$136))*(1+V_dPrecio))</f>
        <v>0</v>
      </c>
      <c r="DN156" s="34" t="n">
        <f aca="false">IF(DN$8=1,IF(Reales!$C$29="PYG",IF(DN$10&gt;0,N(Reales!DN29)/DN$10,0),N(Reales!DN29)),DN$144*INDEX(Precio_V,5)*INDEX(IdxPrecio_V,1,MIN(10,DN$136))*(1+V_dPrecio))</f>
        <v>0</v>
      </c>
      <c r="DO156" s="34" t="n">
        <f aca="false">IF(DO$8=1,IF(Reales!$C$29="PYG",IF(DO$10&gt;0,N(Reales!DO29)/DO$10,0),N(Reales!DO29)),DO$144*INDEX(Precio_V,5)*INDEX(IdxPrecio_V,1,MIN(10,DO$136))*(1+V_dPrecio))</f>
        <v>0</v>
      </c>
      <c r="DP156" s="34" t="n">
        <f aca="false">IF(DP$8=1,IF(Reales!$C$29="PYG",IF(DP$10&gt;0,N(Reales!DP29)/DP$10,0),N(Reales!DP29)),DP$144*INDEX(Precio_V,5)*INDEX(IdxPrecio_V,1,MIN(10,DP$136))*(1+V_dPrecio))</f>
        <v>0</v>
      </c>
      <c r="DQ156" s="34" t="n">
        <f aca="false">IF(DQ$8=1,IF(Reales!$C$29="PYG",IF(DQ$10&gt;0,N(Reales!DQ29)/DQ$10,0),N(Reales!DQ29)),DQ$144*INDEX(Precio_V,5)*INDEX(IdxPrecio_V,1,MIN(10,DQ$136))*(1+V_dPrecio))</f>
        <v>0</v>
      </c>
      <c r="DR156" s="34" t="n">
        <f aca="false">IF(DR$8=1,IF(Reales!$C$29="PYG",IF(DR$10&gt;0,N(Reales!DR29)/DR$10,0),N(Reales!DR29)),DR$144*INDEX(Precio_V,5)*INDEX(IdxPrecio_V,1,MIN(10,DR$136))*(1+V_dPrecio))</f>
        <v>0</v>
      </c>
      <c r="DS156" s="34" t="n">
        <f aca="false">IF(DS$8=1,IF(Reales!$C$29="PYG",IF(DS$10&gt;0,N(Reales!DS29)/DS$10,0),N(Reales!DS29)),DS$144*INDEX(Precio_V,5)*INDEX(IdxPrecio_V,1,MIN(10,DS$136))*(1+V_dPrecio))</f>
        <v>0</v>
      </c>
      <c r="DT156" s="34" t="n">
        <f aca="false">IF(DT$8=1,IF(Reales!$C$29="PYG",IF(DT$10&gt;0,N(Reales!DT29)/DT$10,0),N(Reales!DT29)),DT$144*INDEX(Precio_V,5)*INDEX(IdxPrecio_V,1,MIN(10,DT$136))*(1+V_dPrecio))</f>
        <v>0</v>
      </c>
      <c r="DU156" s="34" t="n">
        <f aca="false">IF(DU$8=1,IF(Reales!$C$29="PYG",IF(DU$10&gt;0,N(Reales!DU29)/DU$10,0),N(Reales!DU29)),DU$144*INDEX(Precio_V,5)*INDEX(IdxPrecio_V,1,MIN(10,DU$136))*(1+V_dPrecio))</f>
        <v>0</v>
      </c>
      <c r="DV156" s="34" t="n">
        <f aca="false">IF(DV$8=1,IF(Reales!$C$29="PYG",IF(DV$10&gt;0,N(Reales!DV29)/DV$10,0),N(Reales!DV29)),DV$144*INDEX(Precio_V,5)*INDEX(IdxPrecio_V,1,MIN(10,DV$136))*(1+V_dPrecio))</f>
        <v>0</v>
      </c>
      <c r="DW156" s="34" t="n">
        <f aca="false">IF(DW$8=1,IF(Reales!$C$29="PYG",IF(DW$10&gt;0,N(Reales!DW29)/DW$10,0),N(Reales!DW29)),DW$144*INDEX(Precio_V,5)*INDEX(IdxPrecio_V,1,MIN(10,DW$136))*(1+V_dPrecio))</f>
        <v>0</v>
      </c>
      <c r="DX156" s="34" t="n">
        <f aca="false">IF(DX$8=1,IF(Reales!$C$29="PYG",IF(DX$10&gt;0,N(Reales!DX29)/DX$10,0),N(Reales!DX29)),DX$144*INDEX(Precio_V,5)*INDEX(IdxPrecio_V,1,MIN(10,DX$136))*(1+V_dPrecio))</f>
        <v>0</v>
      </c>
      <c r="DY156" s="34" t="n">
        <f aca="false">IF(DY$8=1,IF(Reales!$C$29="PYG",IF(DY$10&gt;0,N(Reales!DY29)/DY$10,0),N(Reales!DY29)),DY$144*INDEX(Precio_V,5)*INDEX(IdxPrecio_V,1,MIN(10,DY$136))*(1+V_dPrecio))</f>
        <v>0</v>
      </c>
      <c r="DZ156" s="34" t="n">
        <f aca="false">IF(DZ$8=1,IF(Reales!$C$29="PYG",IF(DZ$10&gt;0,N(Reales!DZ29)/DZ$10,0),N(Reales!DZ29)),DZ$144*INDEX(Precio_V,5)*INDEX(IdxPrecio_V,1,MIN(10,DZ$136))*(1+V_dPrecio))</f>
        <v>0</v>
      </c>
      <c r="EA156" s="34" t="n">
        <f aca="false">IF(EA$8=1,IF(Reales!$C$29="PYG",IF(EA$10&gt;0,N(Reales!EA29)/EA$10,0),N(Reales!EA29)),EA$144*INDEX(Precio_V,5)*INDEX(IdxPrecio_V,1,MIN(10,EA$136))*(1+V_dPrecio))</f>
        <v>0</v>
      </c>
      <c r="EB156" s="34" t="n">
        <f aca="false">IF(EB$8=1,IF(Reales!$C$29="PYG",IF(EB$10&gt;0,N(Reales!EB29)/EB$10,0),N(Reales!EB29)),EB$144*INDEX(Precio_V,5)*INDEX(IdxPrecio_V,1,MIN(10,EB$136))*(1+V_dPrecio))</f>
        <v>0</v>
      </c>
      <c r="EC156" s="34" t="n">
        <f aca="false">IF(EC$8=1,IF(Reales!$C$29="PYG",IF(EC$10&gt;0,N(Reales!EC29)/EC$10,0),N(Reales!EC29)),EC$144*INDEX(Precio_V,5)*INDEX(IdxPrecio_V,1,MIN(10,EC$136))*(1+V_dPrecio))</f>
        <v>0</v>
      </c>
      <c r="ED156" s="34" t="n">
        <f aca="false">IF(ED$8=1,IF(Reales!$C$29="PYG",IF(ED$10&gt;0,N(Reales!ED29)/ED$10,0),N(Reales!ED29)),ED$144*INDEX(Precio_V,5)*INDEX(IdxPrecio_V,1,MIN(10,ED$136))*(1+V_dPrecio))</f>
        <v>0</v>
      </c>
      <c r="EE156" s="34" t="n">
        <f aca="false">IF(EE$8=1,IF(Reales!$C$29="PYG",IF(EE$10&gt;0,N(Reales!EE29)/EE$10,0),N(Reales!EE29)),EE$144*INDEX(Precio_V,5)*INDEX(IdxPrecio_V,1,MIN(10,EE$136))*(1+V_dPrecio))</f>
        <v>0</v>
      </c>
      <c r="EF156" s="34" t="n">
        <f aca="false">IF(EF$8=1,IF(Reales!$C$29="PYG",IF(EF$10&gt;0,N(Reales!EF29)/EF$10,0),N(Reales!EF29)),EF$144*INDEX(Precio_V,5)*INDEX(IdxPrecio_V,1,MIN(10,EF$136))*(1+V_dPrecio))</f>
        <v>0</v>
      </c>
      <c r="EG156" s="34" t="n">
        <f aca="false">IF(EG$8=1,IF(Reales!$C$29="PYG",IF(EG$10&gt;0,N(Reales!EG29)/EG$10,0),N(Reales!EG29)),EG$144*INDEX(Precio_V,5)*INDEX(IdxPrecio_V,1,MIN(10,EG$136))*(1+V_dPrecio))</f>
        <v>0</v>
      </c>
      <c r="EH156" s="34" t="n">
        <f aca="false">IF(EH$8=1,IF(Reales!$C$29="PYG",IF(EH$10&gt;0,N(Reales!EH29)/EH$10,0),N(Reales!EH29)),EH$144*INDEX(Precio_V,5)*INDEX(IdxPrecio_V,1,MIN(10,EH$136))*(1+V_dPrecio))</f>
        <v>0</v>
      </c>
      <c r="EI156" s="34" t="n">
        <f aca="false">IF(EI$8=1,IF(Reales!$C$29="PYG",IF(EI$10&gt;0,N(Reales!EI29)/EI$10,0),N(Reales!EI29)),EI$144*INDEX(Precio_V,5)*INDEX(IdxPrecio_V,1,MIN(10,EI$136))*(1+V_dPrecio))</f>
        <v>0</v>
      </c>
      <c r="EJ156" s="34" t="n">
        <f aca="false">IF(EJ$8=1,IF(Reales!$C$29="PYG",IF(EJ$10&gt;0,N(Reales!EJ29)/EJ$10,0),N(Reales!EJ29)),EJ$144*INDEX(Precio_V,5)*INDEX(IdxPrecio_V,1,MIN(10,EJ$136))*(1+V_dPrecio))</f>
        <v>0</v>
      </c>
      <c r="EK156" s="34" t="n">
        <f aca="false">IF(EK$8=1,IF(Reales!$C$29="PYG",IF(EK$10&gt;0,N(Reales!EK29)/EK$10,0),N(Reales!EK29)),EK$144*INDEX(Precio_V,5)*INDEX(IdxPrecio_V,1,MIN(10,EK$136))*(1+V_dPrecio))</f>
        <v>0</v>
      </c>
      <c r="EL156" s="34" t="n">
        <f aca="false">IF(EL$8=1,IF(Reales!$C$29="PYG",IF(EL$10&gt;0,N(Reales!EL29)/EL$10,0),N(Reales!EL29)),EL$144*INDEX(Precio_V,5)*INDEX(IdxPrecio_V,1,MIN(10,EL$136))*(1+V_dPrecio))</f>
        <v>0</v>
      </c>
      <c r="EM156" s="34" t="n">
        <f aca="false">IF(EM$8=1,IF(Reales!$C$29="PYG",IF(EM$10&gt;0,N(Reales!EM29)/EM$10,0),N(Reales!EM29)),EM$144*INDEX(Precio_V,5)*INDEX(IdxPrecio_V,1,MIN(10,EM$136))*(1+V_dPrecio))</f>
        <v>0</v>
      </c>
      <c r="EN156" s="34" t="n">
        <f aca="false">IF(EN$8=1,IF(Reales!$C$29="PYG",IF(EN$10&gt;0,N(Reales!EN29)/EN$10,0),N(Reales!EN29)),EN$144*INDEX(Precio_V,5)*INDEX(IdxPrecio_V,1,MIN(10,EN$136))*(1+V_dPrecio))</f>
        <v>0</v>
      </c>
      <c r="EO156" s="34" t="n">
        <f aca="false">IF(EO$8=1,IF(Reales!$C$29="PYG",IF(EO$10&gt;0,N(Reales!EO29)/EO$10,0),N(Reales!EO29)),EO$144*INDEX(Precio_V,5)*INDEX(IdxPrecio_V,1,MIN(10,EO$136))*(1+V_dPrecio))</f>
        <v>0</v>
      </c>
      <c r="EP156" s="34" t="n">
        <f aca="false">IF(EP$8=1,IF(Reales!$C$29="PYG",IF(EP$10&gt;0,N(Reales!EP29)/EP$10,0),N(Reales!EP29)),EP$144*INDEX(Precio_V,5)*INDEX(IdxPrecio_V,1,MIN(10,EP$136))*(1+V_dPrecio))</f>
        <v>0</v>
      </c>
      <c r="EQ156" s="34" t="n">
        <f aca="false">IF(EQ$8=1,IF(Reales!$C$29="PYG",IF(EQ$10&gt;0,N(Reales!EQ29)/EQ$10,0),N(Reales!EQ29)),EQ$144*INDEX(Precio_V,5)*INDEX(IdxPrecio_V,1,MIN(10,EQ$136))*(1+V_dPrecio))</f>
        <v>0</v>
      </c>
      <c r="ER156" s="34" t="n">
        <f aca="false">IF(ER$8=1,IF(Reales!$C$29="PYG",IF(ER$10&gt;0,N(Reales!ER29)/ER$10,0),N(Reales!ER29)),ER$144*INDEX(Precio_V,5)*INDEX(IdxPrecio_V,1,MIN(10,ER$136))*(1+V_dPrecio))</f>
        <v>0</v>
      </c>
      <c r="ES156" s="34" t="n">
        <f aca="false">IF(ES$8=1,IF(Reales!$C$29="PYG",IF(ES$10&gt;0,N(Reales!ES29)/ES$10,0),N(Reales!ES29)),ES$144*INDEX(Precio_V,5)*INDEX(IdxPrecio_V,1,MIN(10,ES$136))*(1+V_dPrecio))</f>
        <v>0</v>
      </c>
    </row>
    <row r="157" customFormat="false" ht="15" hidden="false" customHeight="false" outlineLevel="0" collapsed="false">
      <c r="A157" s="2" t="s">
        <v>636</v>
      </c>
      <c r="B157" s="39" t="str">
        <f aca="false">IF(INDEX(Prod_Nombre,6)="","Producto 6",INDEX(Prod_Nombre,6))&amp;" — ventas USD"</f>
        <v>Producto 6 — ventas USD</v>
      </c>
      <c r="C157" s="6" t="s">
        <v>212</v>
      </c>
      <c r="E157" s="40" t="n">
        <f aca="false">SUM(F157:ES157)</f>
        <v>0</v>
      </c>
      <c r="F157" s="34" t="n">
        <f aca="false">IF(F$8=1,IF(Reales!$C$30="PYG",IF(F$10&gt;0,N(Reales!F30)/F$10,0),N(Reales!F30)),F$145*INDEX(Precio_V,6)*INDEX(IdxPrecio_V,1,MIN(10,F$136))*(1+V_dPrecio))</f>
        <v>0</v>
      </c>
      <c r="G157" s="34" t="n">
        <f aca="false">IF(G$8=1,IF(Reales!$C$30="PYG",IF(G$10&gt;0,N(Reales!G30)/G$10,0),N(Reales!G30)),G$145*INDEX(Precio_V,6)*INDEX(IdxPrecio_V,1,MIN(10,G$136))*(1+V_dPrecio))</f>
        <v>0</v>
      </c>
      <c r="H157" s="34" t="n">
        <f aca="false">IF(H$8=1,IF(Reales!$C$30="PYG",IF(H$10&gt;0,N(Reales!H30)/H$10,0),N(Reales!H30)),H$145*INDEX(Precio_V,6)*INDEX(IdxPrecio_V,1,MIN(10,H$136))*(1+V_dPrecio))</f>
        <v>0</v>
      </c>
      <c r="I157" s="34" t="n">
        <f aca="false">IF(I$8=1,IF(Reales!$C$30="PYG",IF(I$10&gt;0,N(Reales!I30)/I$10,0),N(Reales!I30)),I$145*INDEX(Precio_V,6)*INDEX(IdxPrecio_V,1,MIN(10,I$136))*(1+V_dPrecio))</f>
        <v>0</v>
      </c>
      <c r="J157" s="34" t="n">
        <f aca="false">IF(J$8=1,IF(Reales!$C$30="PYG",IF(J$10&gt;0,N(Reales!J30)/J$10,0),N(Reales!J30)),J$145*INDEX(Precio_V,6)*INDEX(IdxPrecio_V,1,MIN(10,J$136))*(1+V_dPrecio))</f>
        <v>0</v>
      </c>
      <c r="K157" s="34" t="n">
        <f aca="false">IF(K$8=1,IF(Reales!$C$30="PYG",IF(K$10&gt;0,N(Reales!K30)/K$10,0),N(Reales!K30)),K$145*INDEX(Precio_V,6)*INDEX(IdxPrecio_V,1,MIN(10,K$136))*(1+V_dPrecio))</f>
        <v>0</v>
      </c>
      <c r="L157" s="34" t="n">
        <f aca="false">IF(L$8=1,IF(Reales!$C$30="PYG",IF(L$10&gt;0,N(Reales!L30)/L$10,0),N(Reales!L30)),L$145*INDEX(Precio_V,6)*INDEX(IdxPrecio_V,1,MIN(10,L$136))*(1+V_dPrecio))</f>
        <v>0</v>
      </c>
      <c r="M157" s="34" t="n">
        <f aca="false">IF(M$8=1,IF(Reales!$C$30="PYG",IF(M$10&gt;0,N(Reales!M30)/M$10,0),N(Reales!M30)),M$145*INDEX(Precio_V,6)*INDEX(IdxPrecio_V,1,MIN(10,M$136))*(1+V_dPrecio))</f>
        <v>0</v>
      </c>
      <c r="N157" s="34" t="n">
        <f aca="false">IF(N$8=1,IF(Reales!$C$30="PYG",IF(N$10&gt;0,N(Reales!N30)/N$10,0),N(Reales!N30)),N$145*INDEX(Precio_V,6)*INDEX(IdxPrecio_V,1,MIN(10,N$136))*(1+V_dPrecio))</f>
        <v>0</v>
      </c>
      <c r="O157" s="34" t="n">
        <f aca="false">IF(O$8=1,IF(Reales!$C$30="PYG",IF(O$10&gt;0,N(Reales!O30)/O$10,0),N(Reales!O30)),O$145*INDEX(Precio_V,6)*INDEX(IdxPrecio_V,1,MIN(10,O$136))*(1+V_dPrecio))</f>
        <v>0</v>
      </c>
      <c r="P157" s="34" t="n">
        <f aca="false">IF(P$8=1,IF(Reales!$C$30="PYG",IF(P$10&gt;0,N(Reales!P30)/P$10,0),N(Reales!P30)),P$145*INDEX(Precio_V,6)*INDEX(IdxPrecio_V,1,MIN(10,P$136))*(1+V_dPrecio))</f>
        <v>0</v>
      </c>
      <c r="Q157" s="34" t="n">
        <f aca="false">IF(Q$8=1,IF(Reales!$C$30="PYG",IF(Q$10&gt;0,N(Reales!Q30)/Q$10,0),N(Reales!Q30)),Q$145*INDEX(Precio_V,6)*INDEX(IdxPrecio_V,1,MIN(10,Q$136))*(1+V_dPrecio))</f>
        <v>0</v>
      </c>
      <c r="R157" s="34" t="n">
        <f aca="false">IF(R$8=1,IF(Reales!$C$30="PYG",IF(R$10&gt;0,N(Reales!R30)/R$10,0),N(Reales!R30)),R$145*INDEX(Precio_V,6)*INDEX(IdxPrecio_V,1,MIN(10,R$136))*(1+V_dPrecio))</f>
        <v>0</v>
      </c>
      <c r="S157" s="34" t="n">
        <f aca="false">IF(S$8=1,IF(Reales!$C$30="PYG",IF(S$10&gt;0,N(Reales!S30)/S$10,0),N(Reales!S30)),S$145*INDEX(Precio_V,6)*INDEX(IdxPrecio_V,1,MIN(10,S$136))*(1+V_dPrecio))</f>
        <v>0</v>
      </c>
      <c r="T157" s="34" t="n">
        <f aca="false">IF(T$8=1,IF(Reales!$C$30="PYG",IF(T$10&gt;0,N(Reales!T30)/T$10,0),N(Reales!T30)),T$145*INDEX(Precio_V,6)*INDEX(IdxPrecio_V,1,MIN(10,T$136))*(1+V_dPrecio))</f>
        <v>0</v>
      </c>
      <c r="U157" s="34" t="n">
        <f aca="false">IF(U$8=1,IF(Reales!$C$30="PYG",IF(U$10&gt;0,N(Reales!U30)/U$10,0),N(Reales!U30)),U$145*INDEX(Precio_V,6)*INDEX(IdxPrecio_V,1,MIN(10,U$136))*(1+V_dPrecio))</f>
        <v>0</v>
      </c>
      <c r="V157" s="34" t="n">
        <f aca="false">IF(V$8=1,IF(Reales!$C$30="PYG",IF(V$10&gt;0,N(Reales!V30)/V$10,0),N(Reales!V30)),V$145*INDEX(Precio_V,6)*INDEX(IdxPrecio_V,1,MIN(10,V$136))*(1+V_dPrecio))</f>
        <v>0</v>
      </c>
      <c r="W157" s="34" t="n">
        <f aca="false">IF(W$8=1,IF(Reales!$C$30="PYG",IF(W$10&gt;0,N(Reales!W30)/W$10,0),N(Reales!W30)),W$145*INDEX(Precio_V,6)*INDEX(IdxPrecio_V,1,MIN(10,W$136))*(1+V_dPrecio))</f>
        <v>0</v>
      </c>
      <c r="X157" s="34" t="n">
        <f aca="false">IF(X$8=1,IF(Reales!$C$30="PYG",IF(X$10&gt;0,N(Reales!X30)/X$10,0),N(Reales!X30)),X$145*INDEX(Precio_V,6)*INDEX(IdxPrecio_V,1,MIN(10,X$136))*(1+V_dPrecio))</f>
        <v>0</v>
      </c>
      <c r="Y157" s="34" t="n">
        <f aca="false">IF(Y$8=1,IF(Reales!$C$30="PYG",IF(Y$10&gt;0,N(Reales!Y30)/Y$10,0),N(Reales!Y30)),Y$145*INDEX(Precio_V,6)*INDEX(IdxPrecio_V,1,MIN(10,Y$136))*(1+V_dPrecio))</f>
        <v>0</v>
      </c>
      <c r="Z157" s="34" t="n">
        <f aca="false">IF(Z$8=1,IF(Reales!$C$30="PYG",IF(Z$10&gt;0,N(Reales!Z30)/Z$10,0),N(Reales!Z30)),Z$145*INDEX(Precio_V,6)*INDEX(IdxPrecio_V,1,MIN(10,Z$136))*(1+V_dPrecio))</f>
        <v>0</v>
      </c>
      <c r="AA157" s="34" t="n">
        <f aca="false">IF(AA$8=1,IF(Reales!$C$30="PYG",IF(AA$10&gt;0,N(Reales!AA30)/AA$10,0),N(Reales!AA30)),AA$145*INDEX(Precio_V,6)*INDEX(IdxPrecio_V,1,MIN(10,AA$136))*(1+V_dPrecio))</f>
        <v>0</v>
      </c>
      <c r="AB157" s="34" t="n">
        <f aca="false">IF(AB$8=1,IF(Reales!$C$30="PYG",IF(AB$10&gt;0,N(Reales!AB30)/AB$10,0),N(Reales!AB30)),AB$145*INDEX(Precio_V,6)*INDEX(IdxPrecio_V,1,MIN(10,AB$136))*(1+V_dPrecio))</f>
        <v>0</v>
      </c>
      <c r="AC157" s="34" t="n">
        <f aca="false">IF(AC$8=1,IF(Reales!$C$30="PYG",IF(AC$10&gt;0,N(Reales!AC30)/AC$10,0),N(Reales!AC30)),AC$145*INDEX(Precio_V,6)*INDEX(IdxPrecio_V,1,MIN(10,AC$136))*(1+V_dPrecio))</f>
        <v>0</v>
      </c>
      <c r="AD157" s="34" t="n">
        <f aca="false">IF(AD$8=1,IF(Reales!$C$30="PYG",IF(AD$10&gt;0,N(Reales!AD30)/AD$10,0),N(Reales!AD30)),AD$145*INDEX(Precio_V,6)*INDEX(IdxPrecio_V,1,MIN(10,AD$136))*(1+V_dPrecio))</f>
        <v>0</v>
      </c>
      <c r="AE157" s="34" t="n">
        <f aca="false">IF(AE$8=1,IF(Reales!$C$30="PYG",IF(AE$10&gt;0,N(Reales!AE30)/AE$10,0),N(Reales!AE30)),AE$145*INDEX(Precio_V,6)*INDEX(IdxPrecio_V,1,MIN(10,AE$136))*(1+V_dPrecio))</f>
        <v>0</v>
      </c>
      <c r="AF157" s="34" t="n">
        <f aca="false">IF(AF$8=1,IF(Reales!$C$30="PYG",IF(AF$10&gt;0,N(Reales!AF30)/AF$10,0),N(Reales!AF30)),AF$145*INDEX(Precio_V,6)*INDEX(IdxPrecio_V,1,MIN(10,AF$136))*(1+V_dPrecio))</f>
        <v>0</v>
      </c>
      <c r="AG157" s="34" t="n">
        <f aca="false">IF(AG$8=1,IF(Reales!$C$30="PYG",IF(AG$10&gt;0,N(Reales!AG30)/AG$10,0),N(Reales!AG30)),AG$145*INDEX(Precio_V,6)*INDEX(IdxPrecio_V,1,MIN(10,AG$136))*(1+V_dPrecio))</f>
        <v>0</v>
      </c>
      <c r="AH157" s="34" t="n">
        <f aca="false">IF(AH$8=1,IF(Reales!$C$30="PYG",IF(AH$10&gt;0,N(Reales!AH30)/AH$10,0),N(Reales!AH30)),AH$145*INDEX(Precio_V,6)*INDEX(IdxPrecio_V,1,MIN(10,AH$136))*(1+V_dPrecio))</f>
        <v>0</v>
      </c>
      <c r="AI157" s="34" t="n">
        <f aca="false">IF(AI$8=1,IF(Reales!$C$30="PYG",IF(AI$10&gt;0,N(Reales!AI30)/AI$10,0),N(Reales!AI30)),AI$145*INDEX(Precio_V,6)*INDEX(IdxPrecio_V,1,MIN(10,AI$136))*(1+V_dPrecio))</f>
        <v>0</v>
      </c>
      <c r="AJ157" s="34" t="n">
        <f aca="false">IF(AJ$8=1,IF(Reales!$C$30="PYG",IF(AJ$10&gt;0,N(Reales!AJ30)/AJ$10,0),N(Reales!AJ30)),AJ$145*INDEX(Precio_V,6)*INDEX(IdxPrecio_V,1,MIN(10,AJ$136))*(1+V_dPrecio))</f>
        <v>0</v>
      </c>
      <c r="AK157" s="34" t="n">
        <f aca="false">IF(AK$8=1,IF(Reales!$C$30="PYG",IF(AK$10&gt;0,N(Reales!AK30)/AK$10,0),N(Reales!AK30)),AK$145*INDEX(Precio_V,6)*INDEX(IdxPrecio_V,1,MIN(10,AK$136))*(1+V_dPrecio))</f>
        <v>0</v>
      </c>
      <c r="AL157" s="34" t="n">
        <f aca="false">IF(AL$8=1,IF(Reales!$C$30="PYG",IF(AL$10&gt;0,N(Reales!AL30)/AL$10,0),N(Reales!AL30)),AL$145*INDEX(Precio_V,6)*INDEX(IdxPrecio_V,1,MIN(10,AL$136))*(1+V_dPrecio))</f>
        <v>0</v>
      </c>
      <c r="AM157" s="34" t="n">
        <f aca="false">IF(AM$8=1,IF(Reales!$C$30="PYG",IF(AM$10&gt;0,N(Reales!AM30)/AM$10,0),N(Reales!AM30)),AM$145*INDEX(Precio_V,6)*INDEX(IdxPrecio_V,1,MIN(10,AM$136))*(1+V_dPrecio))</f>
        <v>0</v>
      </c>
      <c r="AN157" s="34" t="n">
        <f aca="false">IF(AN$8=1,IF(Reales!$C$30="PYG",IF(AN$10&gt;0,N(Reales!AN30)/AN$10,0),N(Reales!AN30)),AN$145*INDEX(Precio_V,6)*INDEX(IdxPrecio_V,1,MIN(10,AN$136))*(1+V_dPrecio))</f>
        <v>0</v>
      </c>
      <c r="AO157" s="34" t="n">
        <f aca="false">IF(AO$8=1,IF(Reales!$C$30="PYG",IF(AO$10&gt;0,N(Reales!AO30)/AO$10,0),N(Reales!AO30)),AO$145*INDEX(Precio_V,6)*INDEX(IdxPrecio_V,1,MIN(10,AO$136))*(1+V_dPrecio))</f>
        <v>0</v>
      </c>
      <c r="AP157" s="34" t="n">
        <f aca="false">IF(AP$8=1,IF(Reales!$C$30="PYG",IF(AP$10&gt;0,N(Reales!AP30)/AP$10,0),N(Reales!AP30)),AP$145*INDEX(Precio_V,6)*INDEX(IdxPrecio_V,1,MIN(10,AP$136))*(1+V_dPrecio))</f>
        <v>0</v>
      </c>
      <c r="AQ157" s="34" t="n">
        <f aca="false">IF(AQ$8=1,IF(Reales!$C$30="PYG",IF(AQ$10&gt;0,N(Reales!AQ30)/AQ$10,0),N(Reales!AQ30)),AQ$145*INDEX(Precio_V,6)*INDEX(IdxPrecio_V,1,MIN(10,AQ$136))*(1+V_dPrecio))</f>
        <v>0</v>
      </c>
      <c r="AR157" s="34" t="n">
        <f aca="false">IF(AR$8=1,IF(Reales!$C$30="PYG",IF(AR$10&gt;0,N(Reales!AR30)/AR$10,0),N(Reales!AR30)),AR$145*INDEX(Precio_V,6)*INDEX(IdxPrecio_V,1,MIN(10,AR$136))*(1+V_dPrecio))</f>
        <v>0</v>
      </c>
      <c r="AS157" s="34" t="n">
        <f aca="false">IF(AS$8=1,IF(Reales!$C$30="PYG",IF(AS$10&gt;0,N(Reales!AS30)/AS$10,0),N(Reales!AS30)),AS$145*INDEX(Precio_V,6)*INDEX(IdxPrecio_V,1,MIN(10,AS$136))*(1+V_dPrecio))</f>
        <v>0</v>
      </c>
      <c r="AT157" s="34" t="n">
        <f aca="false">IF(AT$8=1,IF(Reales!$C$30="PYG",IF(AT$10&gt;0,N(Reales!AT30)/AT$10,0),N(Reales!AT30)),AT$145*INDEX(Precio_V,6)*INDEX(IdxPrecio_V,1,MIN(10,AT$136))*(1+V_dPrecio))</f>
        <v>0</v>
      </c>
      <c r="AU157" s="34" t="n">
        <f aca="false">IF(AU$8=1,IF(Reales!$C$30="PYG",IF(AU$10&gt;0,N(Reales!AU30)/AU$10,0),N(Reales!AU30)),AU$145*INDEX(Precio_V,6)*INDEX(IdxPrecio_V,1,MIN(10,AU$136))*(1+V_dPrecio))</f>
        <v>0</v>
      </c>
      <c r="AV157" s="34" t="n">
        <f aca="false">IF(AV$8=1,IF(Reales!$C$30="PYG",IF(AV$10&gt;0,N(Reales!AV30)/AV$10,0),N(Reales!AV30)),AV$145*INDEX(Precio_V,6)*INDEX(IdxPrecio_V,1,MIN(10,AV$136))*(1+V_dPrecio))</f>
        <v>0</v>
      </c>
      <c r="AW157" s="34" t="n">
        <f aca="false">IF(AW$8=1,IF(Reales!$C$30="PYG",IF(AW$10&gt;0,N(Reales!AW30)/AW$10,0),N(Reales!AW30)),AW$145*INDEX(Precio_V,6)*INDEX(IdxPrecio_V,1,MIN(10,AW$136))*(1+V_dPrecio))</f>
        <v>0</v>
      </c>
      <c r="AX157" s="34" t="n">
        <f aca="false">IF(AX$8=1,IF(Reales!$C$30="PYG",IF(AX$10&gt;0,N(Reales!AX30)/AX$10,0),N(Reales!AX30)),AX$145*INDEX(Precio_V,6)*INDEX(IdxPrecio_V,1,MIN(10,AX$136))*(1+V_dPrecio))</f>
        <v>0</v>
      </c>
      <c r="AY157" s="34" t="n">
        <f aca="false">IF(AY$8=1,IF(Reales!$C$30="PYG",IF(AY$10&gt;0,N(Reales!AY30)/AY$10,0),N(Reales!AY30)),AY$145*INDEX(Precio_V,6)*INDEX(IdxPrecio_V,1,MIN(10,AY$136))*(1+V_dPrecio))</f>
        <v>0</v>
      </c>
      <c r="AZ157" s="34" t="n">
        <f aca="false">IF(AZ$8=1,IF(Reales!$C$30="PYG",IF(AZ$10&gt;0,N(Reales!AZ30)/AZ$10,0),N(Reales!AZ30)),AZ$145*INDEX(Precio_V,6)*INDEX(IdxPrecio_V,1,MIN(10,AZ$136))*(1+V_dPrecio))</f>
        <v>0</v>
      </c>
      <c r="BA157" s="34" t="n">
        <f aca="false">IF(BA$8=1,IF(Reales!$C$30="PYG",IF(BA$10&gt;0,N(Reales!BA30)/BA$10,0),N(Reales!BA30)),BA$145*INDEX(Precio_V,6)*INDEX(IdxPrecio_V,1,MIN(10,BA$136))*(1+V_dPrecio))</f>
        <v>0</v>
      </c>
      <c r="BB157" s="34" t="n">
        <f aca="false">IF(BB$8=1,IF(Reales!$C$30="PYG",IF(BB$10&gt;0,N(Reales!BB30)/BB$10,0),N(Reales!BB30)),BB$145*INDEX(Precio_V,6)*INDEX(IdxPrecio_V,1,MIN(10,BB$136))*(1+V_dPrecio))</f>
        <v>0</v>
      </c>
      <c r="BC157" s="34" t="n">
        <f aca="false">IF(BC$8=1,IF(Reales!$C$30="PYG",IF(BC$10&gt;0,N(Reales!BC30)/BC$10,0),N(Reales!BC30)),BC$145*INDEX(Precio_V,6)*INDEX(IdxPrecio_V,1,MIN(10,BC$136))*(1+V_dPrecio))</f>
        <v>0</v>
      </c>
      <c r="BD157" s="34" t="n">
        <f aca="false">IF(BD$8=1,IF(Reales!$C$30="PYG",IF(BD$10&gt;0,N(Reales!BD30)/BD$10,0),N(Reales!BD30)),BD$145*INDEX(Precio_V,6)*INDEX(IdxPrecio_V,1,MIN(10,BD$136))*(1+V_dPrecio))</f>
        <v>0</v>
      </c>
      <c r="BE157" s="34" t="n">
        <f aca="false">IF(BE$8=1,IF(Reales!$C$30="PYG",IF(BE$10&gt;0,N(Reales!BE30)/BE$10,0),N(Reales!BE30)),BE$145*INDEX(Precio_V,6)*INDEX(IdxPrecio_V,1,MIN(10,BE$136))*(1+V_dPrecio))</f>
        <v>0</v>
      </c>
      <c r="BF157" s="34" t="n">
        <f aca="false">IF(BF$8=1,IF(Reales!$C$30="PYG",IF(BF$10&gt;0,N(Reales!BF30)/BF$10,0),N(Reales!BF30)),BF$145*INDEX(Precio_V,6)*INDEX(IdxPrecio_V,1,MIN(10,BF$136))*(1+V_dPrecio))</f>
        <v>0</v>
      </c>
      <c r="BG157" s="34" t="n">
        <f aca="false">IF(BG$8=1,IF(Reales!$C$30="PYG",IF(BG$10&gt;0,N(Reales!BG30)/BG$10,0),N(Reales!BG30)),BG$145*INDEX(Precio_V,6)*INDEX(IdxPrecio_V,1,MIN(10,BG$136))*(1+V_dPrecio))</f>
        <v>0</v>
      </c>
      <c r="BH157" s="34" t="n">
        <f aca="false">IF(BH$8=1,IF(Reales!$C$30="PYG",IF(BH$10&gt;0,N(Reales!BH30)/BH$10,0),N(Reales!BH30)),BH$145*INDEX(Precio_V,6)*INDEX(IdxPrecio_V,1,MIN(10,BH$136))*(1+V_dPrecio))</f>
        <v>0</v>
      </c>
      <c r="BI157" s="34" t="n">
        <f aca="false">IF(BI$8=1,IF(Reales!$C$30="PYG",IF(BI$10&gt;0,N(Reales!BI30)/BI$10,0),N(Reales!BI30)),BI$145*INDEX(Precio_V,6)*INDEX(IdxPrecio_V,1,MIN(10,BI$136))*(1+V_dPrecio))</f>
        <v>0</v>
      </c>
      <c r="BJ157" s="34" t="n">
        <f aca="false">IF(BJ$8=1,IF(Reales!$C$30="PYG",IF(BJ$10&gt;0,N(Reales!BJ30)/BJ$10,0),N(Reales!BJ30)),BJ$145*INDEX(Precio_V,6)*INDEX(IdxPrecio_V,1,MIN(10,BJ$136))*(1+V_dPrecio))</f>
        <v>0</v>
      </c>
      <c r="BK157" s="34" t="n">
        <f aca="false">IF(BK$8=1,IF(Reales!$C$30="PYG",IF(BK$10&gt;0,N(Reales!BK30)/BK$10,0),N(Reales!BK30)),BK$145*INDEX(Precio_V,6)*INDEX(IdxPrecio_V,1,MIN(10,BK$136))*(1+V_dPrecio))</f>
        <v>0</v>
      </c>
      <c r="BL157" s="34" t="n">
        <f aca="false">IF(BL$8=1,IF(Reales!$C$30="PYG",IF(BL$10&gt;0,N(Reales!BL30)/BL$10,0),N(Reales!BL30)),BL$145*INDEX(Precio_V,6)*INDEX(IdxPrecio_V,1,MIN(10,BL$136))*(1+V_dPrecio))</f>
        <v>0</v>
      </c>
      <c r="BM157" s="34" t="n">
        <f aca="false">IF(BM$8=1,IF(Reales!$C$30="PYG",IF(BM$10&gt;0,N(Reales!BM30)/BM$10,0),N(Reales!BM30)),BM$145*INDEX(Precio_V,6)*INDEX(IdxPrecio_V,1,MIN(10,BM$136))*(1+V_dPrecio))</f>
        <v>0</v>
      </c>
      <c r="BN157" s="34" t="n">
        <f aca="false">IF(BN$8=1,IF(Reales!$C$30="PYG",IF(BN$10&gt;0,N(Reales!BN30)/BN$10,0),N(Reales!BN30)),BN$145*INDEX(Precio_V,6)*INDEX(IdxPrecio_V,1,MIN(10,BN$136))*(1+V_dPrecio))</f>
        <v>0</v>
      </c>
      <c r="BO157" s="34" t="n">
        <f aca="false">IF(BO$8=1,IF(Reales!$C$30="PYG",IF(BO$10&gt;0,N(Reales!BO30)/BO$10,0),N(Reales!BO30)),BO$145*INDEX(Precio_V,6)*INDEX(IdxPrecio_V,1,MIN(10,BO$136))*(1+V_dPrecio))</f>
        <v>0</v>
      </c>
      <c r="BP157" s="34" t="n">
        <f aca="false">IF(BP$8=1,IF(Reales!$C$30="PYG",IF(BP$10&gt;0,N(Reales!BP30)/BP$10,0),N(Reales!BP30)),BP$145*INDEX(Precio_V,6)*INDEX(IdxPrecio_V,1,MIN(10,BP$136))*(1+V_dPrecio))</f>
        <v>0</v>
      </c>
      <c r="BQ157" s="34" t="n">
        <f aca="false">IF(BQ$8=1,IF(Reales!$C$30="PYG",IF(BQ$10&gt;0,N(Reales!BQ30)/BQ$10,0),N(Reales!BQ30)),BQ$145*INDEX(Precio_V,6)*INDEX(IdxPrecio_V,1,MIN(10,BQ$136))*(1+V_dPrecio))</f>
        <v>0</v>
      </c>
      <c r="BR157" s="34" t="n">
        <f aca="false">IF(BR$8=1,IF(Reales!$C$30="PYG",IF(BR$10&gt;0,N(Reales!BR30)/BR$10,0),N(Reales!BR30)),BR$145*INDEX(Precio_V,6)*INDEX(IdxPrecio_V,1,MIN(10,BR$136))*(1+V_dPrecio))</f>
        <v>0</v>
      </c>
      <c r="BS157" s="34" t="n">
        <f aca="false">IF(BS$8=1,IF(Reales!$C$30="PYG",IF(BS$10&gt;0,N(Reales!BS30)/BS$10,0),N(Reales!BS30)),BS$145*INDEX(Precio_V,6)*INDEX(IdxPrecio_V,1,MIN(10,BS$136))*(1+V_dPrecio))</f>
        <v>0</v>
      </c>
      <c r="BT157" s="34" t="n">
        <f aca="false">IF(BT$8=1,IF(Reales!$C$30="PYG",IF(BT$10&gt;0,N(Reales!BT30)/BT$10,0),N(Reales!BT30)),BT$145*INDEX(Precio_V,6)*INDEX(IdxPrecio_V,1,MIN(10,BT$136))*(1+V_dPrecio))</f>
        <v>0</v>
      </c>
      <c r="BU157" s="34" t="n">
        <f aca="false">IF(BU$8=1,IF(Reales!$C$30="PYG",IF(BU$10&gt;0,N(Reales!BU30)/BU$10,0),N(Reales!BU30)),BU$145*INDEX(Precio_V,6)*INDEX(IdxPrecio_V,1,MIN(10,BU$136))*(1+V_dPrecio))</f>
        <v>0</v>
      </c>
      <c r="BV157" s="34" t="n">
        <f aca="false">IF(BV$8=1,IF(Reales!$C$30="PYG",IF(BV$10&gt;0,N(Reales!BV30)/BV$10,0),N(Reales!BV30)),BV$145*INDEX(Precio_V,6)*INDEX(IdxPrecio_V,1,MIN(10,BV$136))*(1+V_dPrecio))</f>
        <v>0</v>
      </c>
      <c r="BW157" s="34" t="n">
        <f aca="false">IF(BW$8=1,IF(Reales!$C$30="PYG",IF(BW$10&gt;0,N(Reales!BW30)/BW$10,0),N(Reales!BW30)),BW$145*INDEX(Precio_V,6)*INDEX(IdxPrecio_V,1,MIN(10,BW$136))*(1+V_dPrecio))</f>
        <v>0</v>
      </c>
      <c r="BX157" s="34" t="n">
        <f aca="false">IF(BX$8=1,IF(Reales!$C$30="PYG",IF(BX$10&gt;0,N(Reales!BX30)/BX$10,0),N(Reales!BX30)),BX$145*INDEX(Precio_V,6)*INDEX(IdxPrecio_V,1,MIN(10,BX$136))*(1+V_dPrecio))</f>
        <v>0</v>
      </c>
      <c r="BY157" s="34" t="n">
        <f aca="false">IF(BY$8=1,IF(Reales!$C$30="PYG",IF(BY$10&gt;0,N(Reales!BY30)/BY$10,0),N(Reales!BY30)),BY$145*INDEX(Precio_V,6)*INDEX(IdxPrecio_V,1,MIN(10,BY$136))*(1+V_dPrecio))</f>
        <v>0</v>
      </c>
      <c r="BZ157" s="34" t="n">
        <f aca="false">IF(BZ$8=1,IF(Reales!$C$30="PYG",IF(BZ$10&gt;0,N(Reales!BZ30)/BZ$10,0),N(Reales!BZ30)),BZ$145*INDEX(Precio_V,6)*INDEX(IdxPrecio_V,1,MIN(10,BZ$136))*(1+V_dPrecio))</f>
        <v>0</v>
      </c>
      <c r="CA157" s="34" t="n">
        <f aca="false">IF(CA$8=1,IF(Reales!$C$30="PYG",IF(CA$10&gt;0,N(Reales!CA30)/CA$10,0),N(Reales!CA30)),CA$145*INDEX(Precio_V,6)*INDEX(IdxPrecio_V,1,MIN(10,CA$136))*(1+V_dPrecio))</f>
        <v>0</v>
      </c>
      <c r="CB157" s="34" t="n">
        <f aca="false">IF(CB$8=1,IF(Reales!$C$30="PYG",IF(CB$10&gt;0,N(Reales!CB30)/CB$10,0),N(Reales!CB30)),CB$145*INDEX(Precio_V,6)*INDEX(IdxPrecio_V,1,MIN(10,CB$136))*(1+V_dPrecio))</f>
        <v>0</v>
      </c>
      <c r="CC157" s="34" t="n">
        <f aca="false">IF(CC$8=1,IF(Reales!$C$30="PYG",IF(CC$10&gt;0,N(Reales!CC30)/CC$10,0),N(Reales!CC30)),CC$145*INDEX(Precio_V,6)*INDEX(IdxPrecio_V,1,MIN(10,CC$136))*(1+V_dPrecio))</f>
        <v>0</v>
      </c>
      <c r="CD157" s="34" t="n">
        <f aca="false">IF(CD$8=1,IF(Reales!$C$30="PYG",IF(CD$10&gt;0,N(Reales!CD30)/CD$10,0),N(Reales!CD30)),CD$145*INDEX(Precio_V,6)*INDEX(IdxPrecio_V,1,MIN(10,CD$136))*(1+V_dPrecio))</f>
        <v>0</v>
      </c>
      <c r="CE157" s="34" t="n">
        <f aca="false">IF(CE$8=1,IF(Reales!$C$30="PYG",IF(CE$10&gt;0,N(Reales!CE30)/CE$10,0),N(Reales!CE30)),CE$145*INDEX(Precio_V,6)*INDEX(IdxPrecio_V,1,MIN(10,CE$136))*(1+V_dPrecio))</f>
        <v>0</v>
      </c>
      <c r="CF157" s="34" t="n">
        <f aca="false">IF(CF$8=1,IF(Reales!$C$30="PYG",IF(CF$10&gt;0,N(Reales!CF30)/CF$10,0),N(Reales!CF30)),CF$145*INDEX(Precio_V,6)*INDEX(IdxPrecio_V,1,MIN(10,CF$136))*(1+V_dPrecio))</f>
        <v>0</v>
      </c>
      <c r="CG157" s="34" t="n">
        <f aca="false">IF(CG$8=1,IF(Reales!$C$30="PYG",IF(CG$10&gt;0,N(Reales!CG30)/CG$10,0),N(Reales!CG30)),CG$145*INDEX(Precio_V,6)*INDEX(IdxPrecio_V,1,MIN(10,CG$136))*(1+V_dPrecio))</f>
        <v>0</v>
      </c>
      <c r="CH157" s="34" t="n">
        <f aca="false">IF(CH$8=1,IF(Reales!$C$30="PYG",IF(CH$10&gt;0,N(Reales!CH30)/CH$10,0),N(Reales!CH30)),CH$145*INDEX(Precio_V,6)*INDEX(IdxPrecio_V,1,MIN(10,CH$136))*(1+V_dPrecio))</f>
        <v>0</v>
      </c>
      <c r="CI157" s="34" t="n">
        <f aca="false">IF(CI$8=1,IF(Reales!$C$30="PYG",IF(CI$10&gt;0,N(Reales!CI30)/CI$10,0),N(Reales!CI30)),CI$145*INDEX(Precio_V,6)*INDEX(IdxPrecio_V,1,MIN(10,CI$136))*(1+V_dPrecio))</f>
        <v>0</v>
      </c>
      <c r="CJ157" s="34" t="n">
        <f aca="false">IF(CJ$8=1,IF(Reales!$C$30="PYG",IF(CJ$10&gt;0,N(Reales!CJ30)/CJ$10,0),N(Reales!CJ30)),CJ$145*INDEX(Precio_V,6)*INDEX(IdxPrecio_V,1,MIN(10,CJ$136))*(1+V_dPrecio))</f>
        <v>0</v>
      </c>
      <c r="CK157" s="34" t="n">
        <f aca="false">IF(CK$8=1,IF(Reales!$C$30="PYG",IF(CK$10&gt;0,N(Reales!CK30)/CK$10,0),N(Reales!CK30)),CK$145*INDEX(Precio_V,6)*INDEX(IdxPrecio_V,1,MIN(10,CK$136))*(1+V_dPrecio))</f>
        <v>0</v>
      </c>
      <c r="CL157" s="34" t="n">
        <f aca="false">IF(CL$8=1,IF(Reales!$C$30="PYG",IF(CL$10&gt;0,N(Reales!CL30)/CL$10,0),N(Reales!CL30)),CL$145*INDEX(Precio_V,6)*INDEX(IdxPrecio_V,1,MIN(10,CL$136))*(1+V_dPrecio))</f>
        <v>0</v>
      </c>
      <c r="CM157" s="34" t="n">
        <f aca="false">IF(CM$8=1,IF(Reales!$C$30="PYG",IF(CM$10&gt;0,N(Reales!CM30)/CM$10,0),N(Reales!CM30)),CM$145*INDEX(Precio_V,6)*INDEX(IdxPrecio_V,1,MIN(10,CM$136))*(1+V_dPrecio))</f>
        <v>0</v>
      </c>
      <c r="CN157" s="34" t="n">
        <f aca="false">IF(CN$8=1,IF(Reales!$C$30="PYG",IF(CN$10&gt;0,N(Reales!CN30)/CN$10,0),N(Reales!CN30)),CN$145*INDEX(Precio_V,6)*INDEX(IdxPrecio_V,1,MIN(10,CN$136))*(1+V_dPrecio))</f>
        <v>0</v>
      </c>
      <c r="CO157" s="34" t="n">
        <f aca="false">IF(CO$8=1,IF(Reales!$C$30="PYG",IF(CO$10&gt;0,N(Reales!CO30)/CO$10,0),N(Reales!CO30)),CO$145*INDEX(Precio_V,6)*INDEX(IdxPrecio_V,1,MIN(10,CO$136))*(1+V_dPrecio))</f>
        <v>0</v>
      </c>
      <c r="CP157" s="34" t="n">
        <f aca="false">IF(CP$8=1,IF(Reales!$C$30="PYG",IF(CP$10&gt;0,N(Reales!CP30)/CP$10,0),N(Reales!CP30)),CP$145*INDEX(Precio_V,6)*INDEX(IdxPrecio_V,1,MIN(10,CP$136))*(1+V_dPrecio))</f>
        <v>0</v>
      </c>
      <c r="CQ157" s="34" t="n">
        <f aca="false">IF(CQ$8=1,IF(Reales!$C$30="PYG",IF(CQ$10&gt;0,N(Reales!CQ30)/CQ$10,0),N(Reales!CQ30)),CQ$145*INDEX(Precio_V,6)*INDEX(IdxPrecio_V,1,MIN(10,CQ$136))*(1+V_dPrecio))</f>
        <v>0</v>
      </c>
      <c r="CR157" s="34" t="n">
        <f aca="false">IF(CR$8=1,IF(Reales!$C$30="PYG",IF(CR$10&gt;0,N(Reales!CR30)/CR$10,0),N(Reales!CR30)),CR$145*INDEX(Precio_V,6)*INDEX(IdxPrecio_V,1,MIN(10,CR$136))*(1+V_dPrecio))</f>
        <v>0</v>
      </c>
      <c r="CS157" s="34" t="n">
        <f aca="false">IF(CS$8=1,IF(Reales!$C$30="PYG",IF(CS$10&gt;0,N(Reales!CS30)/CS$10,0),N(Reales!CS30)),CS$145*INDEX(Precio_V,6)*INDEX(IdxPrecio_V,1,MIN(10,CS$136))*(1+V_dPrecio))</f>
        <v>0</v>
      </c>
      <c r="CT157" s="34" t="n">
        <f aca="false">IF(CT$8=1,IF(Reales!$C$30="PYG",IF(CT$10&gt;0,N(Reales!CT30)/CT$10,0),N(Reales!CT30)),CT$145*INDEX(Precio_V,6)*INDEX(IdxPrecio_V,1,MIN(10,CT$136))*(1+V_dPrecio))</f>
        <v>0</v>
      </c>
      <c r="CU157" s="34" t="n">
        <f aca="false">IF(CU$8=1,IF(Reales!$C$30="PYG",IF(CU$10&gt;0,N(Reales!CU30)/CU$10,0),N(Reales!CU30)),CU$145*INDEX(Precio_V,6)*INDEX(IdxPrecio_V,1,MIN(10,CU$136))*(1+V_dPrecio))</f>
        <v>0</v>
      </c>
      <c r="CV157" s="34" t="n">
        <f aca="false">IF(CV$8=1,IF(Reales!$C$30="PYG",IF(CV$10&gt;0,N(Reales!CV30)/CV$10,0),N(Reales!CV30)),CV$145*INDEX(Precio_V,6)*INDEX(IdxPrecio_V,1,MIN(10,CV$136))*(1+V_dPrecio))</f>
        <v>0</v>
      </c>
      <c r="CW157" s="34" t="n">
        <f aca="false">IF(CW$8=1,IF(Reales!$C$30="PYG",IF(CW$10&gt;0,N(Reales!CW30)/CW$10,0),N(Reales!CW30)),CW$145*INDEX(Precio_V,6)*INDEX(IdxPrecio_V,1,MIN(10,CW$136))*(1+V_dPrecio))</f>
        <v>0</v>
      </c>
      <c r="CX157" s="34" t="n">
        <f aca="false">IF(CX$8=1,IF(Reales!$C$30="PYG",IF(CX$10&gt;0,N(Reales!CX30)/CX$10,0),N(Reales!CX30)),CX$145*INDEX(Precio_V,6)*INDEX(IdxPrecio_V,1,MIN(10,CX$136))*(1+V_dPrecio))</f>
        <v>0</v>
      </c>
      <c r="CY157" s="34" t="n">
        <f aca="false">IF(CY$8=1,IF(Reales!$C$30="PYG",IF(CY$10&gt;0,N(Reales!CY30)/CY$10,0),N(Reales!CY30)),CY$145*INDEX(Precio_V,6)*INDEX(IdxPrecio_V,1,MIN(10,CY$136))*(1+V_dPrecio))</f>
        <v>0</v>
      </c>
      <c r="CZ157" s="34" t="n">
        <f aca="false">IF(CZ$8=1,IF(Reales!$C$30="PYG",IF(CZ$10&gt;0,N(Reales!CZ30)/CZ$10,0),N(Reales!CZ30)),CZ$145*INDEX(Precio_V,6)*INDEX(IdxPrecio_V,1,MIN(10,CZ$136))*(1+V_dPrecio))</f>
        <v>0</v>
      </c>
      <c r="DA157" s="34" t="n">
        <f aca="false">IF(DA$8=1,IF(Reales!$C$30="PYG",IF(DA$10&gt;0,N(Reales!DA30)/DA$10,0),N(Reales!DA30)),DA$145*INDEX(Precio_V,6)*INDEX(IdxPrecio_V,1,MIN(10,DA$136))*(1+V_dPrecio))</f>
        <v>0</v>
      </c>
      <c r="DB157" s="34" t="n">
        <f aca="false">IF(DB$8=1,IF(Reales!$C$30="PYG",IF(DB$10&gt;0,N(Reales!DB30)/DB$10,0),N(Reales!DB30)),DB$145*INDEX(Precio_V,6)*INDEX(IdxPrecio_V,1,MIN(10,DB$136))*(1+V_dPrecio))</f>
        <v>0</v>
      </c>
      <c r="DC157" s="34" t="n">
        <f aca="false">IF(DC$8=1,IF(Reales!$C$30="PYG",IF(DC$10&gt;0,N(Reales!DC30)/DC$10,0),N(Reales!DC30)),DC$145*INDEX(Precio_V,6)*INDEX(IdxPrecio_V,1,MIN(10,DC$136))*(1+V_dPrecio))</f>
        <v>0</v>
      </c>
      <c r="DD157" s="34" t="n">
        <f aca="false">IF(DD$8=1,IF(Reales!$C$30="PYG",IF(DD$10&gt;0,N(Reales!DD30)/DD$10,0),N(Reales!DD30)),DD$145*INDEX(Precio_V,6)*INDEX(IdxPrecio_V,1,MIN(10,DD$136))*(1+V_dPrecio))</f>
        <v>0</v>
      </c>
      <c r="DE157" s="34" t="n">
        <f aca="false">IF(DE$8=1,IF(Reales!$C$30="PYG",IF(DE$10&gt;0,N(Reales!DE30)/DE$10,0),N(Reales!DE30)),DE$145*INDEX(Precio_V,6)*INDEX(IdxPrecio_V,1,MIN(10,DE$136))*(1+V_dPrecio))</f>
        <v>0</v>
      </c>
      <c r="DF157" s="34" t="n">
        <f aca="false">IF(DF$8=1,IF(Reales!$C$30="PYG",IF(DF$10&gt;0,N(Reales!DF30)/DF$10,0),N(Reales!DF30)),DF$145*INDEX(Precio_V,6)*INDEX(IdxPrecio_V,1,MIN(10,DF$136))*(1+V_dPrecio))</f>
        <v>0</v>
      </c>
      <c r="DG157" s="34" t="n">
        <f aca="false">IF(DG$8=1,IF(Reales!$C$30="PYG",IF(DG$10&gt;0,N(Reales!DG30)/DG$10,0),N(Reales!DG30)),DG$145*INDEX(Precio_V,6)*INDEX(IdxPrecio_V,1,MIN(10,DG$136))*(1+V_dPrecio))</f>
        <v>0</v>
      </c>
      <c r="DH157" s="34" t="n">
        <f aca="false">IF(DH$8=1,IF(Reales!$C$30="PYG",IF(DH$10&gt;0,N(Reales!DH30)/DH$10,0),N(Reales!DH30)),DH$145*INDEX(Precio_V,6)*INDEX(IdxPrecio_V,1,MIN(10,DH$136))*(1+V_dPrecio))</f>
        <v>0</v>
      </c>
      <c r="DI157" s="34" t="n">
        <f aca="false">IF(DI$8=1,IF(Reales!$C$30="PYG",IF(DI$10&gt;0,N(Reales!DI30)/DI$10,0),N(Reales!DI30)),DI$145*INDEX(Precio_V,6)*INDEX(IdxPrecio_V,1,MIN(10,DI$136))*(1+V_dPrecio))</f>
        <v>0</v>
      </c>
      <c r="DJ157" s="34" t="n">
        <f aca="false">IF(DJ$8=1,IF(Reales!$C$30="PYG",IF(DJ$10&gt;0,N(Reales!DJ30)/DJ$10,0),N(Reales!DJ30)),DJ$145*INDEX(Precio_V,6)*INDEX(IdxPrecio_V,1,MIN(10,DJ$136))*(1+V_dPrecio))</f>
        <v>0</v>
      </c>
      <c r="DK157" s="34" t="n">
        <f aca="false">IF(DK$8=1,IF(Reales!$C$30="PYG",IF(DK$10&gt;0,N(Reales!DK30)/DK$10,0),N(Reales!DK30)),DK$145*INDEX(Precio_V,6)*INDEX(IdxPrecio_V,1,MIN(10,DK$136))*(1+V_dPrecio))</f>
        <v>0</v>
      </c>
      <c r="DL157" s="34" t="n">
        <f aca="false">IF(DL$8=1,IF(Reales!$C$30="PYG",IF(DL$10&gt;0,N(Reales!DL30)/DL$10,0),N(Reales!DL30)),DL$145*INDEX(Precio_V,6)*INDEX(IdxPrecio_V,1,MIN(10,DL$136))*(1+V_dPrecio))</f>
        <v>0</v>
      </c>
      <c r="DM157" s="34" t="n">
        <f aca="false">IF(DM$8=1,IF(Reales!$C$30="PYG",IF(DM$10&gt;0,N(Reales!DM30)/DM$10,0),N(Reales!DM30)),DM$145*INDEX(Precio_V,6)*INDEX(IdxPrecio_V,1,MIN(10,DM$136))*(1+V_dPrecio))</f>
        <v>0</v>
      </c>
      <c r="DN157" s="34" t="n">
        <f aca="false">IF(DN$8=1,IF(Reales!$C$30="PYG",IF(DN$10&gt;0,N(Reales!DN30)/DN$10,0),N(Reales!DN30)),DN$145*INDEX(Precio_V,6)*INDEX(IdxPrecio_V,1,MIN(10,DN$136))*(1+V_dPrecio))</f>
        <v>0</v>
      </c>
      <c r="DO157" s="34" t="n">
        <f aca="false">IF(DO$8=1,IF(Reales!$C$30="PYG",IF(DO$10&gt;0,N(Reales!DO30)/DO$10,0),N(Reales!DO30)),DO$145*INDEX(Precio_V,6)*INDEX(IdxPrecio_V,1,MIN(10,DO$136))*(1+V_dPrecio))</f>
        <v>0</v>
      </c>
      <c r="DP157" s="34" t="n">
        <f aca="false">IF(DP$8=1,IF(Reales!$C$30="PYG",IF(DP$10&gt;0,N(Reales!DP30)/DP$10,0),N(Reales!DP30)),DP$145*INDEX(Precio_V,6)*INDEX(IdxPrecio_V,1,MIN(10,DP$136))*(1+V_dPrecio))</f>
        <v>0</v>
      </c>
      <c r="DQ157" s="34" t="n">
        <f aca="false">IF(DQ$8=1,IF(Reales!$C$30="PYG",IF(DQ$10&gt;0,N(Reales!DQ30)/DQ$10,0),N(Reales!DQ30)),DQ$145*INDEX(Precio_V,6)*INDEX(IdxPrecio_V,1,MIN(10,DQ$136))*(1+V_dPrecio))</f>
        <v>0</v>
      </c>
      <c r="DR157" s="34" t="n">
        <f aca="false">IF(DR$8=1,IF(Reales!$C$30="PYG",IF(DR$10&gt;0,N(Reales!DR30)/DR$10,0),N(Reales!DR30)),DR$145*INDEX(Precio_V,6)*INDEX(IdxPrecio_V,1,MIN(10,DR$136))*(1+V_dPrecio))</f>
        <v>0</v>
      </c>
      <c r="DS157" s="34" t="n">
        <f aca="false">IF(DS$8=1,IF(Reales!$C$30="PYG",IF(DS$10&gt;0,N(Reales!DS30)/DS$10,0),N(Reales!DS30)),DS$145*INDEX(Precio_V,6)*INDEX(IdxPrecio_V,1,MIN(10,DS$136))*(1+V_dPrecio))</f>
        <v>0</v>
      </c>
      <c r="DT157" s="34" t="n">
        <f aca="false">IF(DT$8=1,IF(Reales!$C$30="PYG",IF(DT$10&gt;0,N(Reales!DT30)/DT$10,0),N(Reales!DT30)),DT$145*INDEX(Precio_V,6)*INDEX(IdxPrecio_V,1,MIN(10,DT$136))*(1+V_dPrecio))</f>
        <v>0</v>
      </c>
      <c r="DU157" s="34" t="n">
        <f aca="false">IF(DU$8=1,IF(Reales!$C$30="PYG",IF(DU$10&gt;0,N(Reales!DU30)/DU$10,0),N(Reales!DU30)),DU$145*INDEX(Precio_V,6)*INDEX(IdxPrecio_V,1,MIN(10,DU$136))*(1+V_dPrecio))</f>
        <v>0</v>
      </c>
      <c r="DV157" s="34" t="n">
        <f aca="false">IF(DV$8=1,IF(Reales!$C$30="PYG",IF(DV$10&gt;0,N(Reales!DV30)/DV$10,0),N(Reales!DV30)),DV$145*INDEX(Precio_V,6)*INDEX(IdxPrecio_V,1,MIN(10,DV$136))*(1+V_dPrecio))</f>
        <v>0</v>
      </c>
      <c r="DW157" s="34" t="n">
        <f aca="false">IF(DW$8=1,IF(Reales!$C$30="PYG",IF(DW$10&gt;0,N(Reales!DW30)/DW$10,0),N(Reales!DW30)),DW$145*INDEX(Precio_V,6)*INDEX(IdxPrecio_V,1,MIN(10,DW$136))*(1+V_dPrecio))</f>
        <v>0</v>
      </c>
      <c r="DX157" s="34" t="n">
        <f aca="false">IF(DX$8=1,IF(Reales!$C$30="PYG",IF(DX$10&gt;0,N(Reales!DX30)/DX$10,0),N(Reales!DX30)),DX$145*INDEX(Precio_V,6)*INDEX(IdxPrecio_V,1,MIN(10,DX$136))*(1+V_dPrecio))</f>
        <v>0</v>
      </c>
      <c r="DY157" s="34" t="n">
        <f aca="false">IF(DY$8=1,IF(Reales!$C$30="PYG",IF(DY$10&gt;0,N(Reales!DY30)/DY$10,0),N(Reales!DY30)),DY$145*INDEX(Precio_V,6)*INDEX(IdxPrecio_V,1,MIN(10,DY$136))*(1+V_dPrecio))</f>
        <v>0</v>
      </c>
      <c r="DZ157" s="34" t="n">
        <f aca="false">IF(DZ$8=1,IF(Reales!$C$30="PYG",IF(DZ$10&gt;0,N(Reales!DZ30)/DZ$10,0),N(Reales!DZ30)),DZ$145*INDEX(Precio_V,6)*INDEX(IdxPrecio_V,1,MIN(10,DZ$136))*(1+V_dPrecio))</f>
        <v>0</v>
      </c>
      <c r="EA157" s="34" t="n">
        <f aca="false">IF(EA$8=1,IF(Reales!$C$30="PYG",IF(EA$10&gt;0,N(Reales!EA30)/EA$10,0),N(Reales!EA30)),EA$145*INDEX(Precio_V,6)*INDEX(IdxPrecio_V,1,MIN(10,EA$136))*(1+V_dPrecio))</f>
        <v>0</v>
      </c>
      <c r="EB157" s="34" t="n">
        <f aca="false">IF(EB$8=1,IF(Reales!$C$30="PYG",IF(EB$10&gt;0,N(Reales!EB30)/EB$10,0),N(Reales!EB30)),EB$145*INDEX(Precio_V,6)*INDEX(IdxPrecio_V,1,MIN(10,EB$136))*(1+V_dPrecio))</f>
        <v>0</v>
      </c>
      <c r="EC157" s="34" t="n">
        <f aca="false">IF(EC$8=1,IF(Reales!$C$30="PYG",IF(EC$10&gt;0,N(Reales!EC30)/EC$10,0),N(Reales!EC30)),EC$145*INDEX(Precio_V,6)*INDEX(IdxPrecio_V,1,MIN(10,EC$136))*(1+V_dPrecio))</f>
        <v>0</v>
      </c>
      <c r="ED157" s="34" t="n">
        <f aca="false">IF(ED$8=1,IF(Reales!$C$30="PYG",IF(ED$10&gt;0,N(Reales!ED30)/ED$10,0),N(Reales!ED30)),ED$145*INDEX(Precio_V,6)*INDEX(IdxPrecio_V,1,MIN(10,ED$136))*(1+V_dPrecio))</f>
        <v>0</v>
      </c>
      <c r="EE157" s="34" t="n">
        <f aca="false">IF(EE$8=1,IF(Reales!$C$30="PYG",IF(EE$10&gt;0,N(Reales!EE30)/EE$10,0),N(Reales!EE30)),EE$145*INDEX(Precio_V,6)*INDEX(IdxPrecio_V,1,MIN(10,EE$136))*(1+V_dPrecio))</f>
        <v>0</v>
      </c>
      <c r="EF157" s="34" t="n">
        <f aca="false">IF(EF$8=1,IF(Reales!$C$30="PYG",IF(EF$10&gt;0,N(Reales!EF30)/EF$10,0),N(Reales!EF30)),EF$145*INDEX(Precio_V,6)*INDEX(IdxPrecio_V,1,MIN(10,EF$136))*(1+V_dPrecio))</f>
        <v>0</v>
      </c>
      <c r="EG157" s="34" t="n">
        <f aca="false">IF(EG$8=1,IF(Reales!$C$30="PYG",IF(EG$10&gt;0,N(Reales!EG30)/EG$10,0),N(Reales!EG30)),EG$145*INDEX(Precio_V,6)*INDEX(IdxPrecio_V,1,MIN(10,EG$136))*(1+V_dPrecio))</f>
        <v>0</v>
      </c>
      <c r="EH157" s="34" t="n">
        <f aca="false">IF(EH$8=1,IF(Reales!$C$30="PYG",IF(EH$10&gt;0,N(Reales!EH30)/EH$10,0),N(Reales!EH30)),EH$145*INDEX(Precio_V,6)*INDEX(IdxPrecio_V,1,MIN(10,EH$136))*(1+V_dPrecio))</f>
        <v>0</v>
      </c>
      <c r="EI157" s="34" t="n">
        <f aca="false">IF(EI$8=1,IF(Reales!$C$30="PYG",IF(EI$10&gt;0,N(Reales!EI30)/EI$10,0),N(Reales!EI30)),EI$145*INDEX(Precio_V,6)*INDEX(IdxPrecio_V,1,MIN(10,EI$136))*(1+V_dPrecio))</f>
        <v>0</v>
      </c>
      <c r="EJ157" s="34" t="n">
        <f aca="false">IF(EJ$8=1,IF(Reales!$C$30="PYG",IF(EJ$10&gt;0,N(Reales!EJ30)/EJ$10,0),N(Reales!EJ30)),EJ$145*INDEX(Precio_V,6)*INDEX(IdxPrecio_V,1,MIN(10,EJ$136))*(1+V_dPrecio))</f>
        <v>0</v>
      </c>
      <c r="EK157" s="34" t="n">
        <f aca="false">IF(EK$8=1,IF(Reales!$C$30="PYG",IF(EK$10&gt;0,N(Reales!EK30)/EK$10,0),N(Reales!EK30)),EK$145*INDEX(Precio_V,6)*INDEX(IdxPrecio_V,1,MIN(10,EK$136))*(1+V_dPrecio))</f>
        <v>0</v>
      </c>
      <c r="EL157" s="34" t="n">
        <f aca="false">IF(EL$8=1,IF(Reales!$C$30="PYG",IF(EL$10&gt;0,N(Reales!EL30)/EL$10,0),N(Reales!EL30)),EL$145*INDEX(Precio_V,6)*INDEX(IdxPrecio_V,1,MIN(10,EL$136))*(1+V_dPrecio))</f>
        <v>0</v>
      </c>
      <c r="EM157" s="34" t="n">
        <f aca="false">IF(EM$8=1,IF(Reales!$C$30="PYG",IF(EM$10&gt;0,N(Reales!EM30)/EM$10,0),N(Reales!EM30)),EM$145*INDEX(Precio_V,6)*INDEX(IdxPrecio_V,1,MIN(10,EM$136))*(1+V_dPrecio))</f>
        <v>0</v>
      </c>
      <c r="EN157" s="34" t="n">
        <f aca="false">IF(EN$8=1,IF(Reales!$C$30="PYG",IF(EN$10&gt;0,N(Reales!EN30)/EN$10,0),N(Reales!EN30)),EN$145*INDEX(Precio_V,6)*INDEX(IdxPrecio_V,1,MIN(10,EN$136))*(1+V_dPrecio))</f>
        <v>0</v>
      </c>
      <c r="EO157" s="34" t="n">
        <f aca="false">IF(EO$8=1,IF(Reales!$C$30="PYG",IF(EO$10&gt;0,N(Reales!EO30)/EO$10,0),N(Reales!EO30)),EO$145*INDEX(Precio_V,6)*INDEX(IdxPrecio_V,1,MIN(10,EO$136))*(1+V_dPrecio))</f>
        <v>0</v>
      </c>
      <c r="EP157" s="34" t="n">
        <f aca="false">IF(EP$8=1,IF(Reales!$C$30="PYG",IF(EP$10&gt;0,N(Reales!EP30)/EP$10,0),N(Reales!EP30)),EP$145*INDEX(Precio_V,6)*INDEX(IdxPrecio_V,1,MIN(10,EP$136))*(1+V_dPrecio))</f>
        <v>0</v>
      </c>
      <c r="EQ157" s="34" t="n">
        <f aca="false">IF(EQ$8=1,IF(Reales!$C$30="PYG",IF(EQ$10&gt;0,N(Reales!EQ30)/EQ$10,0),N(Reales!EQ30)),EQ$145*INDEX(Precio_V,6)*INDEX(IdxPrecio_V,1,MIN(10,EQ$136))*(1+V_dPrecio))</f>
        <v>0</v>
      </c>
      <c r="ER157" s="34" t="n">
        <f aca="false">IF(ER$8=1,IF(Reales!$C$30="PYG",IF(ER$10&gt;0,N(Reales!ER30)/ER$10,0),N(Reales!ER30)),ER$145*INDEX(Precio_V,6)*INDEX(IdxPrecio_V,1,MIN(10,ER$136))*(1+V_dPrecio))</f>
        <v>0</v>
      </c>
      <c r="ES157" s="34" t="n">
        <f aca="false">IF(ES$8=1,IF(Reales!$C$30="PYG",IF(ES$10&gt;0,N(Reales!ES30)/ES$10,0),N(Reales!ES30)),ES$145*INDEX(Precio_V,6)*INDEX(IdxPrecio_V,1,MIN(10,ES$136))*(1+V_dPrecio))</f>
        <v>0</v>
      </c>
    </row>
    <row r="158" customFormat="false" ht="15" hidden="false" customHeight="false" outlineLevel="0" collapsed="false">
      <c r="A158" s="2" t="s">
        <v>637</v>
      </c>
      <c r="B158" s="39" t="str">
        <f aca="false">IF(INDEX(Prod_Nombre,7)="","Producto 7",INDEX(Prod_Nombre,7))&amp;" — ventas USD"</f>
        <v>Producto 7 — ventas USD</v>
      </c>
      <c r="C158" s="6" t="s">
        <v>212</v>
      </c>
      <c r="E158" s="40" t="n">
        <f aca="false">SUM(F158:ES158)</f>
        <v>0</v>
      </c>
      <c r="F158" s="34" t="n">
        <f aca="false">IF(F$8=1,IF(Reales!$C$31="PYG",IF(F$10&gt;0,N(Reales!F31)/F$10,0),N(Reales!F31)),F$146*INDEX(Precio_V,7)*INDEX(IdxPrecio_V,1,MIN(10,F$136))*(1+V_dPrecio))</f>
        <v>0</v>
      </c>
      <c r="G158" s="34" t="n">
        <f aca="false">IF(G$8=1,IF(Reales!$C$31="PYG",IF(G$10&gt;0,N(Reales!G31)/G$10,0),N(Reales!G31)),G$146*INDEX(Precio_V,7)*INDEX(IdxPrecio_V,1,MIN(10,G$136))*(1+V_dPrecio))</f>
        <v>0</v>
      </c>
      <c r="H158" s="34" t="n">
        <f aca="false">IF(H$8=1,IF(Reales!$C$31="PYG",IF(H$10&gt;0,N(Reales!H31)/H$10,0),N(Reales!H31)),H$146*INDEX(Precio_V,7)*INDEX(IdxPrecio_V,1,MIN(10,H$136))*(1+V_dPrecio))</f>
        <v>0</v>
      </c>
      <c r="I158" s="34" t="n">
        <f aca="false">IF(I$8=1,IF(Reales!$C$31="PYG",IF(I$10&gt;0,N(Reales!I31)/I$10,0),N(Reales!I31)),I$146*INDEX(Precio_V,7)*INDEX(IdxPrecio_V,1,MIN(10,I$136))*(1+V_dPrecio))</f>
        <v>0</v>
      </c>
      <c r="J158" s="34" t="n">
        <f aca="false">IF(J$8=1,IF(Reales!$C$31="PYG",IF(J$10&gt;0,N(Reales!J31)/J$10,0),N(Reales!J31)),J$146*INDEX(Precio_V,7)*INDEX(IdxPrecio_V,1,MIN(10,J$136))*(1+V_dPrecio))</f>
        <v>0</v>
      </c>
      <c r="K158" s="34" t="n">
        <f aca="false">IF(K$8=1,IF(Reales!$C$31="PYG",IF(K$10&gt;0,N(Reales!K31)/K$10,0),N(Reales!K31)),K$146*INDEX(Precio_V,7)*INDEX(IdxPrecio_V,1,MIN(10,K$136))*(1+V_dPrecio))</f>
        <v>0</v>
      </c>
      <c r="L158" s="34" t="n">
        <f aca="false">IF(L$8=1,IF(Reales!$C$31="PYG",IF(L$10&gt;0,N(Reales!L31)/L$10,0),N(Reales!L31)),L$146*INDEX(Precio_V,7)*INDEX(IdxPrecio_V,1,MIN(10,L$136))*(1+V_dPrecio))</f>
        <v>0</v>
      </c>
      <c r="M158" s="34" t="n">
        <f aca="false">IF(M$8=1,IF(Reales!$C$31="PYG",IF(M$10&gt;0,N(Reales!M31)/M$10,0),N(Reales!M31)),M$146*INDEX(Precio_V,7)*INDEX(IdxPrecio_V,1,MIN(10,M$136))*(1+V_dPrecio))</f>
        <v>0</v>
      </c>
      <c r="N158" s="34" t="n">
        <f aca="false">IF(N$8=1,IF(Reales!$C$31="PYG",IF(N$10&gt;0,N(Reales!N31)/N$10,0),N(Reales!N31)),N$146*INDEX(Precio_V,7)*INDEX(IdxPrecio_V,1,MIN(10,N$136))*(1+V_dPrecio))</f>
        <v>0</v>
      </c>
      <c r="O158" s="34" t="n">
        <f aca="false">IF(O$8=1,IF(Reales!$C$31="PYG",IF(O$10&gt;0,N(Reales!O31)/O$10,0),N(Reales!O31)),O$146*INDEX(Precio_V,7)*INDEX(IdxPrecio_V,1,MIN(10,O$136))*(1+V_dPrecio))</f>
        <v>0</v>
      </c>
      <c r="P158" s="34" t="n">
        <f aca="false">IF(P$8=1,IF(Reales!$C$31="PYG",IF(P$10&gt;0,N(Reales!P31)/P$10,0),N(Reales!P31)),P$146*INDEX(Precio_V,7)*INDEX(IdxPrecio_V,1,MIN(10,P$136))*(1+V_dPrecio))</f>
        <v>0</v>
      </c>
      <c r="Q158" s="34" t="n">
        <f aca="false">IF(Q$8=1,IF(Reales!$C$31="PYG",IF(Q$10&gt;0,N(Reales!Q31)/Q$10,0),N(Reales!Q31)),Q$146*INDEX(Precio_V,7)*INDEX(IdxPrecio_V,1,MIN(10,Q$136))*(1+V_dPrecio))</f>
        <v>0</v>
      </c>
      <c r="R158" s="34" t="n">
        <f aca="false">IF(R$8=1,IF(Reales!$C$31="PYG",IF(R$10&gt;0,N(Reales!R31)/R$10,0),N(Reales!R31)),R$146*INDEX(Precio_V,7)*INDEX(IdxPrecio_V,1,MIN(10,R$136))*(1+V_dPrecio))</f>
        <v>0</v>
      </c>
      <c r="S158" s="34" t="n">
        <f aca="false">IF(S$8=1,IF(Reales!$C$31="PYG",IF(S$10&gt;0,N(Reales!S31)/S$10,0),N(Reales!S31)),S$146*INDEX(Precio_V,7)*INDEX(IdxPrecio_V,1,MIN(10,S$136))*(1+V_dPrecio))</f>
        <v>0</v>
      </c>
      <c r="T158" s="34" t="n">
        <f aca="false">IF(T$8=1,IF(Reales!$C$31="PYG",IF(T$10&gt;0,N(Reales!T31)/T$10,0),N(Reales!T31)),T$146*INDEX(Precio_V,7)*INDEX(IdxPrecio_V,1,MIN(10,T$136))*(1+V_dPrecio))</f>
        <v>0</v>
      </c>
      <c r="U158" s="34" t="n">
        <f aca="false">IF(U$8=1,IF(Reales!$C$31="PYG",IF(U$10&gt;0,N(Reales!U31)/U$10,0),N(Reales!U31)),U$146*INDEX(Precio_V,7)*INDEX(IdxPrecio_V,1,MIN(10,U$136))*(1+V_dPrecio))</f>
        <v>0</v>
      </c>
      <c r="V158" s="34" t="n">
        <f aca="false">IF(V$8=1,IF(Reales!$C$31="PYG",IF(V$10&gt;0,N(Reales!V31)/V$10,0),N(Reales!V31)),V$146*INDEX(Precio_V,7)*INDEX(IdxPrecio_V,1,MIN(10,V$136))*(1+V_dPrecio))</f>
        <v>0</v>
      </c>
      <c r="W158" s="34" t="n">
        <f aca="false">IF(W$8=1,IF(Reales!$C$31="PYG",IF(W$10&gt;0,N(Reales!W31)/W$10,0),N(Reales!W31)),W$146*INDEX(Precio_V,7)*INDEX(IdxPrecio_V,1,MIN(10,W$136))*(1+V_dPrecio))</f>
        <v>0</v>
      </c>
      <c r="X158" s="34" t="n">
        <f aca="false">IF(X$8=1,IF(Reales!$C$31="PYG",IF(X$10&gt;0,N(Reales!X31)/X$10,0),N(Reales!X31)),X$146*INDEX(Precio_V,7)*INDEX(IdxPrecio_V,1,MIN(10,X$136))*(1+V_dPrecio))</f>
        <v>0</v>
      </c>
      <c r="Y158" s="34" t="n">
        <f aca="false">IF(Y$8=1,IF(Reales!$C$31="PYG",IF(Y$10&gt;0,N(Reales!Y31)/Y$10,0),N(Reales!Y31)),Y$146*INDEX(Precio_V,7)*INDEX(IdxPrecio_V,1,MIN(10,Y$136))*(1+V_dPrecio))</f>
        <v>0</v>
      </c>
      <c r="Z158" s="34" t="n">
        <f aca="false">IF(Z$8=1,IF(Reales!$C$31="PYG",IF(Z$10&gt;0,N(Reales!Z31)/Z$10,0),N(Reales!Z31)),Z$146*INDEX(Precio_V,7)*INDEX(IdxPrecio_V,1,MIN(10,Z$136))*(1+V_dPrecio))</f>
        <v>0</v>
      </c>
      <c r="AA158" s="34" t="n">
        <f aca="false">IF(AA$8=1,IF(Reales!$C$31="PYG",IF(AA$10&gt;0,N(Reales!AA31)/AA$10,0),N(Reales!AA31)),AA$146*INDEX(Precio_V,7)*INDEX(IdxPrecio_V,1,MIN(10,AA$136))*(1+V_dPrecio))</f>
        <v>0</v>
      </c>
      <c r="AB158" s="34" t="n">
        <f aca="false">IF(AB$8=1,IF(Reales!$C$31="PYG",IF(AB$10&gt;0,N(Reales!AB31)/AB$10,0),N(Reales!AB31)),AB$146*INDEX(Precio_V,7)*INDEX(IdxPrecio_V,1,MIN(10,AB$136))*(1+V_dPrecio))</f>
        <v>0</v>
      </c>
      <c r="AC158" s="34" t="n">
        <f aca="false">IF(AC$8=1,IF(Reales!$C$31="PYG",IF(AC$10&gt;0,N(Reales!AC31)/AC$10,0),N(Reales!AC31)),AC$146*INDEX(Precio_V,7)*INDEX(IdxPrecio_V,1,MIN(10,AC$136))*(1+V_dPrecio))</f>
        <v>0</v>
      </c>
      <c r="AD158" s="34" t="n">
        <f aca="false">IF(AD$8=1,IF(Reales!$C$31="PYG",IF(AD$10&gt;0,N(Reales!AD31)/AD$10,0),N(Reales!AD31)),AD$146*INDEX(Precio_V,7)*INDEX(IdxPrecio_V,1,MIN(10,AD$136))*(1+V_dPrecio))</f>
        <v>0</v>
      </c>
      <c r="AE158" s="34" t="n">
        <f aca="false">IF(AE$8=1,IF(Reales!$C$31="PYG",IF(AE$10&gt;0,N(Reales!AE31)/AE$10,0),N(Reales!AE31)),AE$146*INDEX(Precio_V,7)*INDEX(IdxPrecio_V,1,MIN(10,AE$136))*(1+V_dPrecio))</f>
        <v>0</v>
      </c>
      <c r="AF158" s="34" t="n">
        <f aca="false">IF(AF$8=1,IF(Reales!$C$31="PYG",IF(AF$10&gt;0,N(Reales!AF31)/AF$10,0),N(Reales!AF31)),AF$146*INDEX(Precio_V,7)*INDEX(IdxPrecio_V,1,MIN(10,AF$136))*(1+V_dPrecio))</f>
        <v>0</v>
      </c>
      <c r="AG158" s="34" t="n">
        <f aca="false">IF(AG$8=1,IF(Reales!$C$31="PYG",IF(AG$10&gt;0,N(Reales!AG31)/AG$10,0),N(Reales!AG31)),AG$146*INDEX(Precio_V,7)*INDEX(IdxPrecio_V,1,MIN(10,AG$136))*(1+V_dPrecio))</f>
        <v>0</v>
      </c>
      <c r="AH158" s="34" t="n">
        <f aca="false">IF(AH$8=1,IF(Reales!$C$31="PYG",IF(AH$10&gt;0,N(Reales!AH31)/AH$10,0),N(Reales!AH31)),AH$146*INDEX(Precio_V,7)*INDEX(IdxPrecio_V,1,MIN(10,AH$136))*(1+V_dPrecio))</f>
        <v>0</v>
      </c>
      <c r="AI158" s="34" t="n">
        <f aca="false">IF(AI$8=1,IF(Reales!$C$31="PYG",IF(AI$10&gt;0,N(Reales!AI31)/AI$10,0),N(Reales!AI31)),AI$146*INDEX(Precio_V,7)*INDEX(IdxPrecio_V,1,MIN(10,AI$136))*(1+V_dPrecio))</f>
        <v>0</v>
      </c>
      <c r="AJ158" s="34" t="n">
        <f aca="false">IF(AJ$8=1,IF(Reales!$C$31="PYG",IF(AJ$10&gt;0,N(Reales!AJ31)/AJ$10,0),N(Reales!AJ31)),AJ$146*INDEX(Precio_V,7)*INDEX(IdxPrecio_V,1,MIN(10,AJ$136))*(1+V_dPrecio))</f>
        <v>0</v>
      </c>
      <c r="AK158" s="34" t="n">
        <f aca="false">IF(AK$8=1,IF(Reales!$C$31="PYG",IF(AK$10&gt;0,N(Reales!AK31)/AK$10,0),N(Reales!AK31)),AK$146*INDEX(Precio_V,7)*INDEX(IdxPrecio_V,1,MIN(10,AK$136))*(1+V_dPrecio))</f>
        <v>0</v>
      </c>
      <c r="AL158" s="34" t="n">
        <f aca="false">IF(AL$8=1,IF(Reales!$C$31="PYG",IF(AL$10&gt;0,N(Reales!AL31)/AL$10,0),N(Reales!AL31)),AL$146*INDEX(Precio_V,7)*INDEX(IdxPrecio_V,1,MIN(10,AL$136))*(1+V_dPrecio))</f>
        <v>0</v>
      </c>
      <c r="AM158" s="34" t="n">
        <f aca="false">IF(AM$8=1,IF(Reales!$C$31="PYG",IF(AM$10&gt;0,N(Reales!AM31)/AM$10,0),N(Reales!AM31)),AM$146*INDEX(Precio_V,7)*INDEX(IdxPrecio_V,1,MIN(10,AM$136))*(1+V_dPrecio))</f>
        <v>0</v>
      </c>
      <c r="AN158" s="34" t="n">
        <f aca="false">IF(AN$8=1,IF(Reales!$C$31="PYG",IF(AN$10&gt;0,N(Reales!AN31)/AN$10,0),N(Reales!AN31)),AN$146*INDEX(Precio_V,7)*INDEX(IdxPrecio_V,1,MIN(10,AN$136))*(1+V_dPrecio))</f>
        <v>0</v>
      </c>
      <c r="AO158" s="34" t="n">
        <f aca="false">IF(AO$8=1,IF(Reales!$C$31="PYG",IF(AO$10&gt;0,N(Reales!AO31)/AO$10,0),N(Reales!AO31)),AO$146*INDEX(Precio_V,7)*INDEX(IdxPrecio_V,1,MIN(10,AO$136))*(1+V_dPrecio))</f>
        <v>0</v>
      </c>
      <c r="AP158" s="34" t="n">
        <f aca="false">IF(AP$8=1,IF(Reales!$C$31="PYG",IF(AP$10&gt;0,N(Reales!AP31)/AP$10,0),N(Reales!AP31)),AP$146*INDEX(Precio_V,7)*INDEX(IdxPrecio_V,1,MIN(10,AP$136))*(1+V_dPrecio))</f>
        <v>0</v>
      </c>
      <c r="AQ158" s="34" t="n">
        <f aca="false">IF(AQ$8=1,IF(Reales!$C$31="PYG",IF(AQ$10&gt;0,N(Reales!AQ31)/AQ$10,0),N(Reales!AQ31)),AQ$146*INDEX(Precio_V,7)*INDEX(IdxPrecio_V,1,MIN(10,AQ$136))*(1+V_dPrecio))</f>
        <v>0</v>
      </c>
      <c r="AR158" s="34" t="n">
        <f aca="false">IF(AR$8=1,IF(Reales!$C$31="PYG",IF(AR$10&gt;0,N(Reales!AR31)/AR$10,0),N(Reales!AR31)),AR$146*INDEX(Precio_V,7)*INDEX(IdxPrecio_V,1,MIN(10,AR$136))*(1+V_dPrecio))</f>
        <v>0</v>
      </c>
      <c r="AS158" s="34" t="n">
        <f aca="false">IF(AS$8=1,IF(Reales!$C$31="PYG",IF(AS$10&gt;0,N(Reales!AS31)/AS$10,0),N(Reales!AS31)),AS$146*INDEX(Precio_V,7)*INDEX(IdxPrecio_V,1,MIN(10,AS$136))*(1+V_dPrecio))</f>
        <v>0</v>
      </c>
      <c r="AT158" s="34" t="n">
        <f aca="false">IF(AT$8=1,IF(Reales!$C$31="PYG",IF(AT$10&gt;0,N(Reales!AT31)/AT$10,0),N(Reales!AT31)),AT$146*INDEX(Precio_V,7)*INDEX(IdxPrecio_V,1,MIN(10,AT$136))*(1+V_dPrecio))</f>
        <v>0</v>
      </c>
      <c r="AU158" s="34" t="n">
        <f aca="false">IF(AU$8=1,IF(Reales!$C$31="PYG",IF(AU$10&gt;0,N(Reales!AU31)/AU$10,0),N(Reales!AU31)),AU$146*INDEX(Precio_V,7)*INDEX(IdxPrecio_V,1,MIN(10,AU$136))*(1+V_dPrecio))</f>
        <v>0</v>
      </c>
      <c r="AV158" s="34" t="n">
        <f aca="false">IF(AV$8=1,IF(Reales!$C$31="PYG",IF(AV$10&gt;0,N(Reales!AV31)/AV$10,0),N(Reales!AV31)),AV$146*INDEX(Precio_V,7)*INDEX(IdxPrecio_V,1,MIN(10,AV$136))*(1+V_dPrecio))</f>
        <v>0</v>
      </c>
      <c r="AW158" s="34" t="n">
        <f aca="false">IF(AW$8=1,IF(Reales!$C$31="PYG",IF(AW$10&gt;0,N(Reales!AW31)/AW$10,0),N(Reales!AW31)),AW$146*INDEX(Precio_V,7)*INDEX(IdxPrecio_V,1,MIN(10,AW$136))*(1+V_dPrecio))</f>
        <v>0</v>
      </c>
      <c r="AX158" s="34" t="n">
        <f aca="false">IF(AX$8=1,IF(Reales!$C$31="PYG",IF(AX$10&gt;0,N(Reales!AX31)/AX$10,0),N(Reales!AX31)),AX$146*INDEX(Precio_V,7)*INDEX(IdxPrecio_V,1,MIN(10,AX$136))*(1+V_dPrecio))</f>
        <v>0</v>
      </c>
      <c r="AY158" s="34" t="n">
        <f aca="false">IF(AY$8=1,IF(Reales!$C$31="PYG",IF(AY$10&gt;0,N(Reales!AY31)/AY$10,0),N(Reales!AY31)),AY$146*INDEX(Precio_V,7)*INDEX(IdxPrecio_V,1,MIN(10,AY$136))*(1+V_dPrecio))</f>
        <v>0</v>
      </c>
      <c r="AZ158" s="34" t="n">
        <f aca="false">IF(AZ$8=1,IF(Reales!$C$31="PYG",IF(AZ$10&gt;0,N(Reales!AZ31)/AZ$10,0),N(Reales!AZ31)),AZ$146*INDEX(Precio_V,7)*INDEX(IdxPrecio_V,1,MIN(10,AZ$136))*(1+V_dPrecio))</f>
        <v>0</v>
      </c>
      <c r="BA158" s="34" t="n">
        <f aca="false">IF(BA$8=1,IF(Reales!$C$31="PYG",IF(BA$10&gt;0,N(Reales!BA31)/BA$10,0),N(Reales!BA31)),BA$146*INDEX(Precio_V,7)*INDEX(IdxPrecio_V,1,MIN(10,BA$136))*(1+V_dPrecio))</f>
        <v>0</v>
      </c>
      <c r="BB158" s="34" t="n">
        <f aca="false">IF(BB$8=1,IF(Reales!$C$31="PYG",IF(BB$10&gt;0,N(Reales!BB31)/BB$10,0),N(Reales!BB31)),BB$146*INDEX(Precio_V,7)*INDEX(IdxPrecio_V,1,MIN(10,BB$136))*(1+V_dPrecio))</f>
        <v>0</v>
      </c>
      <c r="BC158" s="34" t="n">
        <f aca="false">IF(BC$8=1,IF(Reales!$C$31="PYG",IF(BC$10&gt;0,N(Reales!BC31)/BC$10,0),N(Reales!BC31)),BC$146*INDEX(Precio_V,7)*INDEX(IdxPrecio_V,1,MIN(10,BC$136))*(1+V_dPrecio))</f>
        <v>0</v>
      </c>
      <c r="BD158" s="34" t="n">
        <f aca="false">IF(BD$8=1,IF(Reales!$C$31="PYG",IF(BD$10&gt;0,N(Reales!BD31)/BD$10,0),N(Reales!BD31)),BD$146*INDEX(Precio_V,7)*INDEX(IdxPrecio_V,1,MIN(10,BD$136))*(1+V_dPrecio))</f>
        <v>0</v>
      </c>
      <c r="BE158" s="34" t="n">
        <f aca="false">IF(BE$8=1,IF(Reales!$C$31="PYG",IF(BE$10&gt;0,N(Reales!BE31)/BE$10,0),N(Reales!BE31)),BE$146*INDEX(Precio_V,7)*INDEX(IdxPrecio_V,1,MIN(10,BE$136))*(1+V_dPrecio))</f>
        <v>0</v>
      </c>
      <c r="BF158" s="34" t="n">
        <f aca="false">IF(BF$8=1,IF(Reales!$C$31="PYG",IF(BF$10&gt;0,N(Reales!BF31)/BF$10,0),N(Reales!BF31)),BF$146*INDEX(Precio_V,7)*INDEX(IdxPrecio_V,1,MIN(10,BF$136))*(1+V_dPrecio))</f>
        <v>0</v>
      </c>
      <c r="BG158" s="34" t="n">
        <f aca="false">IF(BG$8=1,IF(Reales!$C$31="PYG",IF(BG$10&gt;0,N(Reales!BG31)/BG$10,0),N(Reales!BG31)),BG$146*INDEX(Precio_V,7)*INDEX(IdxPrecio_V,1,MIN(10,BG$136))*(1+V_dPrecio))</f>
        <v>0</v>
      </c>
      <c r="BH158" s="34" t="n">
        <f aca="false">IF(BH$8=1,IF(Reales!$C$31="PYG",IF(BH$10&gt;0,N(Reales!BH31)/BH$10,0),N(Reales!BH31)),BH$146*INDEX(Precio_V,7)*INDEX(IdxPrecio_V,1,MIN(10,BH$136))*(1+V_dPrecio))</f>
        <v>0</v>
      </c>
      <c r="BI158" s="34" t="n">
        <f aca="false">IF(BI$8=1,IF(Reales!$C$31="PYG",IF(BI$10&gt;0,N(Reales!BI31)/BI$10,0),N(Reales!BI31)),BI$146*INDEX(Precio_V,7)*INDEX(IdxPrecio_V,1,MIN(10,BI$136))*(1+V_dPrecio))</f>
        <v>0</v>
      </c>
      <c r="BJ158" s="34" t="n">
        <f aca="false">IF(BJ$8=1,IF(Reales!$C$31="PYG",IF(BJ$10&gt;0,N(Reales!BJ31)/BJ$10,0),N(Reales!BJ31)),BJ$146*INDEX(Precio_V,7)*INDEX(IdxPrecio_V,1,MIN(10,BJ$136))*(1+V_dPrecio))</f>
        <v>0</v>
      </c>
      <c r="BK158" s="34" t="n">
        <f aca="false">IF(BK$8=1,IF(Reales!$C$31="PYG",IF(BK$10&gt;0,N(Reales!BK31)/BK$10,0),N(Reales!BK31)),BK$146*INDEX(Precio_V,7)*INDEX(IdxPrecio_V,1,MIN(10,BK$136))*(1+V_dPrecio))</f>
        <v>0</v>
      </c>
      <c r="BL158" s="34" t="n">
        <f aca="false">IF(BL$8=1,IF(Reales!$C$31="PYG",IF(BL$10&gt;0,N(Reales!BL31)/BL$10,0),N(Reales!BL31)),BL$146*INDEX(Precio_V,7)*INDEX(IdxPrecio_V,1,MIN(10,BL$136))*(1+V_dPrecio))</f>
        <v>0</v>
      </c>
      <c r="BM158" s="34" t="n">
        <f aca="false">IF(BM$8=1,IF(Reales!$C$31="PYG",IF(BM$10&gt;0,N(Reales!BM31)/BM$10,0),N(Reales!BM31)),BM$146*INDEX(Precio_V,7)*INDEX(IdxPrecio_V,1,MIN(10,BM$136))*(1+V_dPrecio))</f>
        <v>0</v>
      </c>
      <c r="BN158" s="34" t="n">
        <f aca="false">IF(BN$8=1,IF(Reales!$C$31="PYG",IF(BN$10&gt;0,N(Reales!BN31)/BN$10,0),N(Reales!BN31)),BN$146*INDEX(Precio_V,7)*INDEX(IdxPrecio_V,1,MIN(10,BN$136))*(1+V_dPrecio))</f>
        <v>0</v>
      </c>
      <c r="BO158" s="34" t="n">
        <f aca="false">IF(BO$8=1,IF(Reales!$C$31="PYG",IF(BO$10&gt;0,N(Reales!BO31)/BO$10,0),N(Reales!BO31)),BO$146*INDEX(Precio_V,7)*INDEX(IdxPrecio_V,1,MIN(10,BO$136))*(1+V_dPrecio))</f>
        <v>0</v>
      </c>
      <c r="BP158" s="34" t="n">
        <f aca="false">IF(BP$8=1,IF(Reales!$C$31="PYG",IF(BP$10&gt;0,N(Reales!BP31)/BP$10,0),N(Reales!BP31)),BP$146*INDEX(Precio_V,7)*INDEX(IdxPrecio_V,1,MIN(10,BP$136))*(1+V_dPrecio))</f>
        <v>0</v>
      </c>
      <c r="BQ158" s="34" t="n">
        <f aca="false">IF(BQ$8=1,IF(Reales!$C$31="PYG",IF(BQ$10&gt;0,N(Reales!BQ31)/BQ$10,0),N(Reales!BQ31)),BQ$146*INDEX(Precio_V,7)*INDEX(IdxPrecio_V,1,MIN(10,BQ$136))*(1+V_dPrecio))</f>
        <v>0</v>
      </c>
      <c r="BR158" s="34" t="n">
        <f aca="false">IF(BR$8=1,IF(Reales!$C$31="PYG",IF(BR$10&gt;0,N(Reales!BR31)/BR$10,0),N(Reales!BR31)),BR$146*INDEX(Precio_V,7)*INDEX(IdxPrecio_V,1,MIN(10,BR$136))*(1+V_dPrecio))</f>
        <v>0</v>
      </c>
      <c r="BS158" s="34" t="n">
        <f aca="false">IF(BS$8=1,IF(Reales!$C$31="PYG",IF(BS$10&gt;0,N(Reales!BS31)/BS$10,0),N(Reales!BS31)),BS$146*INDEX(Precio_V,7)*INDEX(IdxPrecio_V,1,MIN(10,BS$136))*(1+V_dPrecio))</f>
        <v>0</v>
      </c>
      <c r="BT158" s="34" t="n">
        <f aca="false">IF(BT$8=1,IF(Reales!$C$31="PYG",IF(BT$10&gt;0,N(Reales!BT31)/BT$10,0),N(Reales!BT31)),BT$146*INDEX(Precio_V,7)*INDEX(IdxPrecio_V,1,MIN(10,BT$136))*(1+V_dPrecio))</f>
        <v>0</v>
      </c>
      <c r="BU158" s="34" t="n">
        <f aca="false">IF(BU$8=1,IF(Reales!$C$31="PYG",IF(BU$10&gt;0,N(Reales!BU31)/BU$10,0),N(Reales!BU31)),BU$146*INDEX(Precio_V,7)*INDEX(IdxPrecio_V,1,MIN(10,BU$136))*(1+V_dPrecio))</f>
        <v>0</v>
      </c>
      <c r="BV158" s="34" t="n">
        <f aca="false">IF(BV$8=1,IF(Reales!$C$31="PYG",IF(BV$10&gt;0,N(Reales!BV31)/BV$10,0),N(Reales!BV31)),BV$146*INDEX(Precio_V,7)*INDEX(IdxPrecio_V,1,MIN(10,BV$136))*(1+V_dPrecio))</f>
        <v>0</v>
      </c>
      <c r="BW158" s="34" t="n">
        <f aca="false">IF(BW$8=1,IF(Reales!$C$31="PYG",IF(BW$10&gt;0,N(Reales!BW31)/BW$10,0),N(Reales!BW31)),BW$146*INDEX(Precio_V,7)*INDEX(IdxPrecio_V,1,MIN(10,BW$136))*(1+V_dPrecio))</f>
        <v>0</v>
      </c>
      <c r="BX158" s="34" t="n">
        <f aca="false">IF(BX$8=1,IF(Reales!$C$31="PYG",IF(BX$10&gt;0,N(Reales!BX31)/BX$10,0),N(Reales!BX31)),BX$146*INDEX(Precio_V,7)*INDEX(IdxPrecio_V,1,MIN(10,BX$136))*(1+V_dPrecio))</f>
        <v>0</v>
      </c>
      <c r="BY158" s="34" t="n">
        <f aca="false">IF(BY$8=1,IF(Reales!$C$31="PYG",IF(BY$10&gt;0,N(Reales!BY31)/BY$10,0),N(Reales!BY31)),BY$146*INDEX(Precio_V,7)*INDEX(IdxPrecio_V,1,MIN(10,BY$136))*(1+V_dPrecio))</f>
        <v>0</v>
      </c>
      <c r="BZ158" s="34" t="n">
        <f aca="false">IF(BZ$8=1,IF(Reales!$C$31="PYG",IF(BZ$10&gt;0,N(Reales!BZ31)/BZ$10,0),N(Reales!BZ31)),BZ$146*INDEX(Precio_V,7)*INDEX(IdxPrecio_V,1,MIN(10,BZ$136))*(1+V_dPrecio))</f>
        <v>0</v>
      </c>
      <c r="CA158" s="34" t="n">
        <f aca="false">IF(CA$8=1,IF(Reales!$C$31="PYG",IF(CA$10&gt;0,N(Reales!CA31)/CA$10,0),N(Reales!CA31)),CA$146*INDEX(Precio_V,7)*INDEX(IdxPrecio_V,1,MIN(10,CA$136))*(1+V_dPrecio))</f>
        <v>0</v>
      </c>
      <c r="CB158" s="34" t="n">
        <f aca="false">IF(CB$8=1,IF(Reales!$C$31="PYG",IF(CB$10&gt;0,N(Reales!CB31)/CB$10,0),N(Reales!CB31)),CB$146*INDEX(Precio_V,7)*INDEX(IdxPrecio_V,1,MIN(10,CB$136))*(1+V_dPrecio))</f>
        <v>0</v>
      </c>
      <c r="CC158" s="34" t="n">
        <f aca="false">IF(CC$8=1,IF(Reales!$C$31="PYG",IF(CC$10&gt;0,N(Reales!CC31)/CC$10,0),N(Reales!CC31)),CC$146*INDEX(Precio_V,7)*INDEX(IdxPrecio_V,1,MIN(10,CC$136))*(1+V_dPrecio))</f>
        <v>0</v>
      </c>
      <c r="CD158" s="34" t="n">
        <f aca="false">IF(CD$8=1,IF(Reales!$C$31="PYG",IF(CD$10&gt;0,N(Reales!CD31)/CD$10,0),N(Reales!CD31)),CD$146*INDEX(Precio_V,7)*INDEX(IdxPrecio_V,1,MIN(10,CD$136))*(1+V_dPrecio))</f>
        <v>0</v>
      </c>
      <c r="CE158" s="34" t="n">
        <f aca="false">IF(CE$8=1,IF(Reales!$C$31="PYG",IF(CE$10&gt;0,N(Reales!CE31)/CE$10,0),N(Reales!CE31)),CE$146*INDEX(Precio_V,7)*INDEX(IdxPrecio_V,1,MIN(10,CE$136))*(1+V_dPrecio))</f>
        <v>0</v>
      </c>
      <c r="CF158" s="34" t="n">
        <f aca="false">IF(CF$8=1,IF(Reales!$C$31="PYG",IF(CF$10&gt;0,N(Reales!CF31)/CF$10,0),N(Reales!CF31)),CF$146*INDEX(Precio_V,7)*INDEX(IdxPrecio_V,1,MIN(10,CF$136))*(1+V_dPrecio))</f>
        <v>0</v>
      </c>
      <c r="CG158" s="34" t="n">
        <f aca="false">IF(CG$8=1,IF(Reales!$C$31="PYG",IF(CG$10&gt;0,N(Reales!CG31)/CG$10,0),N(Reales!CG31)),CG$146*INDEX(Precio_V,7)*INDEX(IdxPrecio_V,1,MIN(10,CG$136))*(1+V_dPrecio))</f>
        <v>0</v>
      </c>
      <c r="CH158" s="34" t="n">
        <f aca="false">IF(CH$8=1,IF(Reales!$C$31="PYG",IF(CH$10&gt;0,N(Reales!CH31)/CH$10,0),N(Reales!CH31)),CH$146*INDEX(Precio_V,7)*INDEX(IdxPrecio_V,1,MIN(10,CH$136))*(1+V_dPrecio))</f>
        <v>0</v>
      </c>
      <c r="CI158" s="34" t="n">
        <f aca="false">IF(CI$8=1,IF(Reales!$C$31="PYG",IF(CI$10&gt;0,N(Reales!CI31)/CI$10,0),N(Reales!CI31)),CI$146*INDEX(Precio_V,7)*INDEX(IdxPrecio_V,1,MIN(10,CI$136))*(1+V_dPrecio))</f>
        <v>0</v>
      </c>
      <c r="CJ158" s="34" t="n">
        <f aca="false">IF(CJ$8=1,IF(Reales!$C$31="PYG",IF(CJ$10&gt;0,N(Reales!CJ31)/CJ$10,0),N(Reales!CJ31)),CJ$146*INDEX(Precio_V,7)*INDEX(IdxPrecio_V,1,MIN(10,CJ$136))*(1+V_dPrecio))</f>
        <v>0</v>
      </c>
      <c r="CK158" s="34" t="n">
        <f aca="false">IF(CK$8=1,IF(Reales!$C$31="PYG",IF(CK$10&gt;0,N(Reales!CK31)/CK$10,0),N(Reales!CK31)),CK$146*INDEX(Precio_V,7)*INDEX(IdxPrecio_V,1,MIN(10,CK$136))*(1+V_dPrecio))</f>
        <v>0</v>
      </c>
      <c r="CL158" s="34" t="n">
        <f aca="false">IF(CL$8=1,IF(Reales!$C$31="PYG",IF(CL$10&gt;0,N(Reales!CL31)/CL$10,0),N(Reales!CL31)),CL$146*INDEX(Precio_V,7)*INDEX(IdxPrecio_V,1,MIN(10,CL$136))*(1+V_dPrecio))</f>
        <v>0</v>
      </c>
      <c r="CM158" s="34" t="n">
        <f aca="false">IF(CM$8=1,IF(Reales!$C$31="PYG",IF(CM$10&gt;0,N(Reales!CM31)/CM$10,0),N(Reales!CM31)),CM$146*INDEX(Precio_V,7)*INDEX(IdxPrecio_V,1,MIN(10,CM$136))*(1+V_dPrecio))</f>
        <v>0</v>
      </c>
      <c r="CN158" s="34" t="n">
        <f aca="false">IF(CN$8=1,IF(Reales!$C$31="PYG",IF(CN$10&gt;0,N(Reales!CN31)/CN$10,0),N(Reales!CN31)),CN$146*INDEX(Precio_V,7)*INDEX(IdxPrecio_V,1,MIN(10,CN$136))*(1+V_dPrecio))</f>
        <v>0</v>
      </c>
      <c r="CO158" s="34" t="n">
        <f aca="false">IF(CO$8=1,IF(Reales!$C$31="PYG",IF(CO$10&gt;0,N(Reales!CO31)/CO$10,0),N(Reales!CO31)),CO$146*INDEX(Precio_V,7)*INDEX(IdxPrecio_V,1,MIN(10,CO$136))*(1+V_dPrecio))</f>
        <v>0</v>
      </c>
      <c r="CP158" s="34" t="n">
        <f aca="false">IF(CP$8=1,IF(Reales!$C$31="PYG",IF(CP$10&gt;0,N(Reales!CP31)/CP$10,0),N(Reales!CP31)),CP$146*INDEX(Precio_V,7)*INDEX(IdxPrecio_V,1,MIN(10,CP$136))*(1+V_dPrecio))</f>
        <v>0</v>
      </c>
      <c r="CQ158" s="34" t="n">
        <f aca="false">IF(CQ$8=1,IF(Reales!$C$31="PYG",IF(CQ$10&gt;0,N(Reales!CQ31)/CQ$10,0),N(Reales!CQ31)),CQ$146*INDEX(Precio_V,7)*INDEX(IdxPrecio_V,1,MIN(10,CQ$136))*(1+V_dPrecio))</f>
        <v>0</v>
      </c>
      <c r="CR158" s="34" t="n">
        <f aca="false">IF(CR$8=1,IF(Reales!$C$31="PYG",IF(CR$10&gt;0,N(Reales!CR31)/CR$10,0),N(Reales!CR31)),CR$146*INDEX(Precio_V,7)*INDEX(IdxPrecio_V,1,MIN(10,CR$136))*(1+V_dPrecio))</f>
        <v>0</v>
      </c>
      <c r="CS158" s="34" t="n">
        <f aca="false">IF(CS$8=1,IF(Reales!$C$31="PYG",IF(CS$10&gt;0,N(Reales!CS31)/CS$10,0),N(Reales!CS31)),CS$146*INDEX(Precio_V,7)*INDEX(IdxPrecio_V,1,MIN(10,CS$136))*(1+V_dPrecio))</f>
        <v>0</v>
      </c>
      <c r="CT158" s="34" t="n">
        <f aca="false">IF(CT$8=1,IF(Reales!$C$31="PYG",IF(CT$10&gt;0,N(Reales!CT31)/CT$10,0),N(Reales!CT31)),CT$146*INDEX(Precio_V,7)*INDEX(IdxPrecio_V,1,MIN(10,CT$136))*(1+V_dPrecio))</f>
        <v>0</v>
      </c>
      <c r="CU158" s="34" t="n">
        <f aca="false">IF(CU$8=1,IF(Reales!$C$31="PYG",IF(CU$10&gt;0,N(Reales!CU31)/CU$10,0),N(Reales!CU31)),CU$146*INDEX(Precio_V,7)*INDEX(IdxPrecio_V,1,MIN(10,CU$136))*(1+V_dPrecio))</f>
        <v>0</v>
      </c>
      <c r="CV158" s="34" t="n">
        <f aca="false">IF(CV$8=1,IF(Reales!$C$31="PYG",IF(CV$10&gt;0,N(Reales!CV31)/CV$10,0),N(Reales!CV31)),CV$146*INDEX(Precio_V,7)*INDEX(IdxPrecio_V,1,MIN(10,CV$136))*(1+V_dPrecio))</f>
        <v>0</v>
      </c>
      <c r="CW158" s="34" t="n">
        <f aca="false">IF(CW$8=1,IF(Reales!$C$31="PYG",IF(CW$10&gt;0,N(Reales!CW31)/CW$10,0),N(Reales!CW31)),CW$146*INDEX(Precio_V,7)*INDEX(IdxPrecio_V,1,MIN(10,CW$136))*(1+V_dPrecio))</f>
        <v>0</v>
      </c>
      <c r="CX158" s="34" t="n">
        <f aca="false">IF(CX$8=1,IF(Reales!$C$31="PYG",IF(CX$10&gt;0,N(Reales!CX31)/CX$10,0),N(Reales!CX31)),CX$146*INDEX(Precio_V,7)*INDEX(IdxPrecio_V,1,MIN(10,CX$136))*(1+V_dPrecio))</f>
        <v>0</v>
      </c>
      <c r="CY158" s="34" t="n">
        <f aca="false">IF(CY$8=1,IF(Reales!$C$31="PYG",IF(CY$10&gt;0,N(Reales!CY31)/CY$10,0),N(Reales!CY31)),CY$146*INDEX(Precio_V,7)*INDEX(IdxPrecio_V,1,MIN(10,CY$136))*(1+V_dPrecio))</f>
        <v>0</v>
      </c>
      <c r="CZ158" s="34" t="n">
        <f aca="false">IF(CZ$8=1,IF(Reales!$C$31="PYG",IF(CZ$10&gt;0,N(Reales!CZ31)/CZ$10,0),N(Reales!CZ31)),CZ$146*INDEX(Precio_V,7)*INDEX(IdxPrecio_V,1,MIN(10,CZ$136))*(1+V_dPrecio))</f>
        <v>0</v>
      </c>
      <c r="DA158" s="34" t="n">
        <f aca="false">IF(DA$8=1,IF(Reales!$C$31="PYG",IF(DA$10&gt;0,N(Reales!DA31)/DA$10,0),N(Reales!DA31)),DA$146*INDEX(Precio_V,7)*INDEX(IdxPrecio_V,1,MIN(10,DA$136))*(1+V_dPrecio))</f>
        <v>0</v>
      </c>
      <c r="DB158" s="34" t="n">
        <f aca="false">IF(DB$8=1,IF(Reales!$C$31="PYG",IF(DB$10&gt;0,N(Reales!DB31)/DB$10,0),N(Reales!DB31)),DB$146*INDEX(Precio_V,7)*INDEX(IdxPrecio_V,1,MIN(10,DB$136))*(1+V_dPrecio))</f>
        <v>0</v>
      </c>
      <c r="DC158" s="34" t="n">
        <f aca="false">IF(DC$8=1,IF(Reales!$C$31="PYG",IF(DC$10&gt;0,N(Reales!DC31)/DC$10,0),N(Reales!DC31)),DC$146*INDEX(Precio_V,7)*INDEX(IdxPrecio_V,1,MIN(10,DC$136))*(1+V_dPrecio))</f>
        <v>0</v>
      </c>
      <c r="DD158" s="34" t="n">
        <f aca="false">IF(DD$8=1,IF(Reales!$C$31="PYG",IF(DD$10&gt;0,N(Reales!DD31)/DD$10,0),N(Reales!DD31)),DD$146*INDEX(Precio_V,7)*INDEX(IdxPrecio_V,1,MIN(10,DD$136))*(1+V_dPrecio))</f>
        <v>0</v>
      </c>
      <c r="DE158" s="34" t="n">
        <f aca="false">IF(DE$8=1,IF(Reales!$C$31="PYG",IF(DE$10&gt;0,N(Reales!DE31)/DE$10,0),N(Reales!DE31)),DE$146*INDEX(Precio_V,7)*INDEX(IdxPrecio_V,1,MIN(10,DE$136))*(1+V_dPrecio))</f>
        <v>0</v>
      </c>
      <c r="DF158" s="34" t="n">
        <f aca="false">IF(DF$8=1,IF(Reales!$C$31="PYG",IF(DF$10&gt;0,N(Reales!DF31)/DF$10,0),N(Reales!DF31)),DF$146*INDEX(Precio_V,7)*INDEX(IdxPrecio_V,1,MIN(10,DF$136))*(1+V_dPrecio))</f>
        <v>0</v>
      </c>
      <c r="DG158" s="34" t="n">
        <f aca="false">IF(DG$8=1,IF(Reales!$C$31="PYG",IF(DG$10&gt;0,N(Reales!DG31)/DG$10,0),N(Reales!DG31)),DG$146*INDEX(Precio_V,7)*INDEX(IdxPrecio_V,1,MIN(10,DG$136))*(1+V_dPrecio))</f>
        <v>0</v>
      </c>
      <c r="DH158" s="34" t="n">
        <f aca="false">IF(DH$8=1,IF(Reales!$C$31="PYG",IF(DH$10&gt;0,N(Reales!DH31)/DH$10,0),N(Reales!DH31)),DH$146*INDEX(Precio_V,7)*INDEX(IdxPrecio_V,1,MIN(10,DH$136))*(1+V_dPrecio))</f>
        <v>0</v>
      </c>
      <c r="DI158" s="34" t="n">
        <f aca="false">IF(DI$8=1,IF(Reales!$C$31="PYG",IF(DI$10&gt;0,N(Reales!DI31)/DI$10,0),N(Reales!DI31)),DI$146*INDEX(Precio_V,7)*INDEX(IdxPrecio_V,1,MIN(10,DI$136))*(1+V_dPrecio))</f>
        <v>0</v>
      </c>
      <c r="DJ158" s="34" t="n">
        <f aca="false">IF(DJ$8=1,IF(Reales!$C$31="PYG",IF(DJ$10&gt;0,N(Reales!DJ31)/DJ$10,0),N(Reales!DJ31)),DJ$146*INDEX(Precio_V,7)*INDEX(IdxPrecio_V,1,MIN(10,DJ$136))*(1+V_dPrecio))</f>
        <v>0</v>
      </c>
      <c r="DK158" s="34" t="n">
        <f aca="false">IF(DK$8=1,IF(Reales!$C$31="PYG",IF(DK$10&gt;0,N(Reales!DK31)/DK$10,0),N(Reales!DK31)),DK$146*INDEX(Precio_V,7)*INDEX(IdxPrecio_V,1,MIN(10,DK$136))*(1+V_dPrecio))</f>
        <v>0</v>
      </c>
      <c r="DL158" s="34" t="n">
        <f aca="false">IF(DL$8=1,IF(Reales!$C$31="PYG",IF(DL$10&gt;0,N(Reales!DL31)/DL$10,0),N(Reales!DL31)),DL$146*INDEX(Precio_V,7)*INDEX(IdxPrecio_V,1,MIN(10,DL$136))*(1+V_dPrecio))</f>
        <v>0</v>
      </c>
      <c r="DM158" s="34" t="n">
        <f aca="false">IF(DM$8=1,IF(Reales!$C$31="PYG",IF(DM$10&gt;0,N(Reales!DM31)/DM$10,0),N(Reales!DM31)),DM$146*INDEX(Precio_V,7)*INDEX(IdxPrecio_V,1,MIN(10,DM$136))*(1+V_dPrecio))</f>
        <v>0</v>
      </c>
      <c r="DN158" s="34" t="n">
        <f aca="false">IF(DN$8=1,IF(Reales!$C$31="PYG",IF(DN$10&gt;0,N(Reales!DN31)/DN$10,0),N(Reales!DN31)),DN$146*INDEX(Precio_V,7)*INDEX(IdxPrecio_V,1,MIN(10,DN$136))*(1+V_dPrecio))</f>
        <v>0</v>
      </c>
      <c r="DO158" s="34" t="n">
        <f aca="false">IF(DO$8=1,IF(Reales!$C$31="PYG",IF(DO$10&gt;0,N(Reales!DO31)/DO$10,0),N(Reales!DO31)),DO$146*INDEX(Precio_V,7)*INDEX(IdxPrecio_V,1,MIN(10,DO$136))*(1+V_dPrecio))</f>
        <v>0</v>
      </c>
      <c r="DP158" s="34" t="n">
        <f aca="false">IF(DP$8=1,IF(Reales!$C$31="PYG",IF(DP$10&gt;0,N(Reales!DP31)/DP$10,0),N(Reales!DP31)),DP$146*INDEX(Precio_V,7)*INDEX(IdxPrecio_V,1,MIN(10,DP$136))*(1+V_dPrecio))</f>
        <v>0</v>
      </c>
      <c r="DQ158" s="34" t="n">
        <f aca="false">IF(DQ$8=1,IF(Reales!$C$31="PYG",IF(DQ$10&gt;0,N(Reales!DQ31)/DQ$10,0),N(Reales!DQ31)),DQ$146*INDEX(Precio_V,7)*INDEX(IdxPrecio_V,1,MIN(10,DQ$136))*(1+V_dPrecio))</f>
        <v>0</v>
      </c>
      <c r="DR158" s="34" t="n">
        <f aca="false">IF(DR$8=1,IF(Reales!$C$31="PYG",IF(DR$10&gt;0,N(Reales!DR31)/DR$10,0),N(Reales!DR31)),DR$146*INDEX(Precio_V,7)*INDEX(IdxPrecio_V,1,MIN(10,DR$136))*(1+V_dPrecio))</f>
        <v>0</v>
      </c>
      <c r="DS158" s="34" t="n">
        <f aca="false">IF(DS$8=1,IF(Reales!$C$31="PYG",IF(DS$10&gt;0,N(Reales!DS31)/DS$10,0),N(Reales!DS31)),DS$146*INDEX(Precio_V,7)*INDEX(IdxPrecio_V,1,MIN(10,DS$136))*(1+V_dPrecio))</f>
        <v>0</v>
      </c>
      <c r="DT158" s="34" t="n">
        <f aca="false">IF(DT$8=1,IF(Reales!$C$31="PYG",IF(DT$10&gt;0,N(Reales!DT31)/DT$10,0),N(Reales!DT31)),DT$146*INDEX(Precio_V,7)*INDEX(IdxPrecio_V,1,MIN(10,DT$136))*(1+V_dPrecio))</f>
        <v>0</v>
      </c>
      <c r="DU158" s="34" t="n">
        <f aca="false">IF(DU$8=1,IF(Reales!$C$31="PYG",IF(DU$10&gt;0,N(Reales!DU31)/DU$10,0),N(Reales!DU31)),DU$146*INDEX(Precio_V,7)*INDEX(IdxPrecio_V,1,MIN(10,DU$136))*(1+V_dPrecio))</f>
        <v>0</v>
      </c>
      <c r="DV158" s="34" t="n">
        <f aca="false">IF(DV$8=1,IF(Reales!$C$31="PYG",IF(DV$10&gt;0,N(Reales!DV31)/DV$10,0),N(Reales!DV31)),DV$146*INDEX(Precio_V,7)*INDEX(IdxPrecio_V,1,MIN(10,DV$136))*(1+V_dPrecio))</f>
        <v>0</v>
      </c>
      <c r="DW158" s="34" t="n">
        <f aca="false">IF(DW$8=1,IF(Reales!$C$31="PYG",IF(DW$10&gt;0,N(Reales!DW31)/DW$10,0),N(Reales!DW31)),DW$146*INDEX(Precio_V,7)*INDEX(IdxPrecio_V,1,MIN(10,DW$136))*(1+V_dPrecio))</f>
        <v>0</v>
      </c>
      <c r="DX158" s="34" t="n">
        <f aca="false">IF(DX$8=1,IF(Reales!$C$31="PYG",IF(DX$10&gt;0,N(Reales!DX31)/DX$10,0),N(Reales!DX31)),DX$146*INDEX(Precio_V,7)*INDEX(IdxPrecio_V,1,MIN(10,DX$136))*(1+V_dPrecio))</f>
        <v>0</v>
      </c>
      <c r="DY158" s="34" t="n">
        <f aca="false">IF(DY$8=1,IF(Reales!$C$31="PYG",IF(DY$10&gt;0,N(Reales!DY31)/DY$10,0),N(Reales!DY31)),DY$146*INDEX(Precio_V,7)*INDEX(IdxPrecio_V,1,MIN(10,DY$136))*(1+V_dPrecio))</f>
        <v>0</v>
      </c>
      <c r="DZ158" s="34" t="n">
        <f aca="false">IF(DZ$8=1,IF(Reales!$C$31="PYG",IF(DZ$10&gt;0,N(Reales!DZ31)/DZ$10,0),N(Reales!DZ31)),DZ$146*INDEX(Precio_V,7)*INDEX(IdxPrecio_V,1,MIN(10,DZ$136))*(1+V_dPrecio))</f>
        <v>0</v>
      </c>
      <c r="EA158" s="34" t="n">
        <f aca="false">IF(EA$8=1,IF(Reales!$C$31="PYG",IF(EA$10&gt;0,N(Reales!EA31)/EA$10,0),N(Reales!EA31)),EA$146*INDEX(Precio_V,7)*INDEX(IdxPrecio_V,1,MIN(10,EA$136))*(1+V_dPrecio))</f>
        <v>0</v>
      </c>
      <c r="EB158" s="34" t="n">
        <f aca="false">IF(EB$8=1,IF(Reales!$C$31="PYG",IF(EB$10&gt;0,N(Reales!EB31)/EB$10,0),N(Reales!EB31)),EB$146*INDEX(Precio_V,7)*INDEX(IdxPrecio_V,1,MIN(10,EB$136))*(1+V_dPrecio))</f>
        <v>0</v>
      </c>
      <c r="EC158" s="34" t="n">
        <f aca="false">IF(EC$8=1,IF(Reales!$C$31="PYG",IF(EC$10&gt;0,N(Reales!EC31)/EC$10,0),N(Reales!EC31)),EC$146*INDEX(Precio_V,7)*INDEX(IdxPrecio_V,1,MIN(10,EC$136))*(1+V_dPrecio))</f>
        <v>0</v>
      </c>
      <c r="ED158" s="34" t="n">
        <f aca="false">IF(ED$8=1,IF(Reales!$C$31="PYG",IF(ED$10&gt;0,N(Reales!ED31)/ED$10,0),N(Reales!ED31)),ED$146*INDEX(Precio_V,7)*INDEX(IdxPrecio_V,1,MIN(10,ED$136))*(1+V_dPrecio))</f>
        <v>0</v>
      </c>
      <c r="EE158" s="34" t="n">
        <f aca="false">IF(EE$8=1,IF(Reales!$C$31="PYG",IF(EE$10&gt;0,N(Reales!EE31)/EE$10,0),N(Reales!EE31)),EE$146*INDEX(Precio_V,7)*INDEX(IdxPrecio_V,1,MIN(10,EE$136))*(1+V_dPrecio))</f>
        <v>0</v>
      </c>
      <c r="EF158" s="34" t="n">
        <f aca="false">IF(EF$8=1,IF(Reales!$C$31="PYG",IF(EF$10&gt;0,N(Reales!EF31)/EF$10,0),N(Reales!EF31)),EF$146*INDEX(Precio_V,7)*INDEX(IdxPrecio_V,1,MIN(10,EF$136))*(1+V_dPrecio))</f>
        <v>0</v>
      </c>
      <c r="EG158" s="34" t="n">
        <f aca="false">IF(EG$8=1,IF(Reales!$C$31="PYG",IF(EG$10&gt;0,N(Reales!EG31)/EG$10,0),N(Reales!EG31)),EG$146*INDEX(Precio_V,7)*INDEX(IdxPrecio_V,1,MIN(10,EG$136))*(1+V_dPrecio))</f>
        <v>0</v>
      </c>
      <c r="EH158" s="34" t="n">
        <f aca="false">IF(EH$8=1,IF(Reales!$C$31="PYG",IF(EH$10&gt;0,N(Reales!EH31)/EH$10,0),N(Reales!EH31)),EH$146*INDEX(Precio_V,7)*INDEX(IdxPrecio_V,1,MIN(10,EH$136))*(1+V_dPrecio))</f>
        <v>0</v>
      </c>
      <c r="EI158" s="34" t="n">
        <f aca="false">IF(EI$8=1,IF(Reales!$C$31="PYG",IF(EI$10&gt;0,N(Reales!EI31)/EI$10,0),N(Reales!EI31)),EI$146*INDEX(Precio_V,7)*INDEX(IdxPrecio_V,1,MIN(10,EI$136))*(1+V_dPrecio))</f>
        <v>0</v>
      </c>
      <c r="EJ158" s="34" t="n">
        <f aca="false">IF(EJ$8=1,IF(Reales!$C$31="PYG",IF(EJ$10&gt;0,N(Reales!EJ31)/EJ$10,0),N(Reales!EJ31)),EJ$146*INDEX(Precio_V,7)*INDEX(IdxPrecio_V,1,MIN(10,EJ$136))*(1+V_dPrecio))</f>
        <v>0</v>
      </c>
      <c r="EK158" s="34" t="n">
        <f aca="false">IF(EK$8=1,IF(Reales!$C$31="PYG",IF(EK$10&gt;0,N(Reales!EK31)/EK$10,0),N(Reales!EK31)),EK$146*INDEX(Precio_V,7)*INDEX(IdxPrecio_V,1,MIN(10,EK$136))*(1+V_dPrecio))</f>
        <v>0</v>
      </c>
      <c r="EL158" s="34" t="n">
        <f aca="false">IF(EL$8=1,IF(Reales!$C$31="PYG",IF(EL$10&gt;0,N(Reales!EL31)/EL$10,0),N(Reales!EL31)),EL$146*INDEX(Precio_V,7)*INDEX(IdxPrecio_V,1,MIN(10,EL$136))*(1+V_dPrecio))</f>
        <v>0</v>
      </c>
      <c r="EM158" s="34" t="n">
        <f aca="false">IF(EM$8=1,IF(Reales!$C$31="PYG",IF(EM$10&gt;0,N(Reales!EM31)/EM$10,0),N(Reales!EM31)),EM$146*INDEX(Precio_V,7)*INDEX(IdxPrecio_V,1,MIN(10,EM$136))*(1+V_dPrecio))</f>
        <v>0</v>
      </c>
      <c r="EN158" s="34" t="n">
        <f aca="false">IF(EN$8=1,IF(Reales!$C$31="PYG",IF(EN$10&gt;0,N(Reales!EN31)/EN$10,0),N(Reales!EN31)),EN$146*INDEX(Precio_V,7)*INDEX(IdxPrecio_V,1,MIN(10,EN$136))*(1+V_dPrecio))</f>
        <v>0</v>
      </c>
      <c r="EO158" s="34" t="n">
        <f aca="false">IF(EO$8=1,IF(Reales!$C$31="PYG",IF(EO$10&gt;0,N(Reales!EO31)/EO$10,0),N(Reales!EO31)),EO$146*INDEX(Precio_V,7)*INDEX(IdxPrecio_V,1,MIN(10,EO$136))*(1+V_dPrecio))</f>
        <v>0</v>
      </c>
      <c r="EP158" s="34" t="n">
        <f aca="false">IF(EP$8=1,IF(Reales!$C$31="PYG",IF(EP$10&gt;0,N(Reales!EP31)/EP$10,0),N(Reales!EP31)),EP$146*INDEX(Precio_V,7)*INDEX(IdxPrecio_V,1,MIN(10,EP$136))*(1+V_dPrecio))</f>
        <v>0</v>
      </c>
      <c r="EQ158" s="34" t="n">
        <f aca="false">IF(EQ$8=1,IF(Reales!$C$31="PYG",IF(EQ$10&gt;0,N(Reales!EQ31)/EQ$10,0),N(Reales!EQ31)),EQ$146*INDEX(Precio_V,7)*INDEX(IdxPrecio_V,1,MIN(10,EQ$136))*(1+V_dPrecio))</f>
        <v>0</v>
      </c>
      <c r="ER158" s="34" t="n">
        <f aca="false">IF(ER$8=1,IF(Reales!$C$31="PYG",IF(ER$10&gt;0,N(Reales!ER31)/ER$10,0),N(Reales!ER31)),ER$146*INDEX(Precio_V,7)*INDEX(IdxPrecio_V,1,MIN(10,ER$136))*(1+V_dPrecio))</f>
        <v>0</v>
      </c>
      <c r="ES158" s="34" t="n">
        <f aca="false">IF(ES$8=1,IF(Reales!$C$31="PYG",IF(ES$10&gt;0,N(Reales!ES31)/ES$10,0),N(Reales!ES31)),ES$146*INDEX(Precio_V,7)*INDEX(IdxPrecio_V,1,MIN(10,ES$136))*(1+V_dPrecio))</f>
        <v>0</v>
      </c>
    </row>
    <row r="159" customFormat="false" ht="15" hidden="false" customHeight="false" outlineLevel="0" collapsed="false">
      <c r="A159" s="2" t="s">
        <v>638</v>
      </c>
      <c r="B159" s="39" t="str">
        <f aca="false">IF(INDEX(Prod_Nombre,8)="","Producto 8",INDEX(Prod_Nombre,8))&amp;" — ventas USD"</f>
        <v>Producto 8 — ventas USD</v>
      </c>
      <c r="C159" s="6" t="s">
        <v>212</v>
      </c>
      <c r="E159" s="40" t="n">
        <f aca="false">SUM(F159:ES159)</f>
        <v>0</v>
      </c>
      <c r="F159" s="34" t="n">
        <f aca="false">IF(F$8=1,IF(Reales!$C$32="PYG",IF(F$10&gt;0,N(Reales!F32)/F$10,0),N(Reales!F32)),F$147*INDEX(Precio_V,8)*INDEX(IdxPrecio_V,1,MIN(10,F$136))*(1+V_dPrecio))</f>
        <v>0</v>
      </c>
      <c r="G159" s="34" t="n">
        <f aca="false">IF(G$8=1,IF(Reales!$C$32="PYG",IF(G$10&gt;0,N(Reales!G32)/G$10,0),N(Reales!G32)),G$147*INDEX(Precio_V,8)*INDEX(IdxPrecio_V,1,MIN(10,G$136))*(1+V_dPrecio))</f>
        <v>0</v>
      </c>
      <c r="H159" s="34" t="n">
        <f aca="false">IF(H$8=1,IF(Reales!$C$32="PYG",IF(H$10&gt;0,N(Reales!H32)/H$10,0),N(Reales!H32)),H$147*INDEX(Precio_V,8)*INDEX(IdxPrecio_V,1,MIN(10,H$136))*(1+V_dPrecio))</f>
        <v>0</v>
      </c>
      <c r="I159" s="34" t="n">
        <f aca="false">IF(I$8=1,IF(Reales!$C$32="PYG",IF(I$10&gt;0,N(Reales!I32)/I$10,0),N(Reales!I32)),I$147*INDEX(Precio_V,8)*INDEX(IdxPrecio_V,1,MIN(10,I$136))*(1+V_dPrecio))</f>
        <v>0</v>
      </c>
      <c r="J159" s="34" t="n">
        <f aca="false">IF(J$8=1,IF(Reales!$C$32="PYG",IF(J$10&gt;0,N(Reales!J32)/J$10,0),N(Reales!J32)),J$147*INDEX(Precio_V,8)*INDEX(IdxPrecio_V,1,MIN(10,J$136))*(1+V_dPrecio))</f>
        <v>0</v>
      </c>
      <c r="K159" s="34" t="n">
        <f aca="false">IF(K$8=1,IF(Reales!$C$32="PYG",IF(K$10&gt;0,N(Reales!K32)/K$10,0),N(Reales!K32)),K$147*INDEX(Precio_V,8)*INDEX(IdxPrecio_V,1,MIN(10,K$136))*(1+V_dPrecio))</f>
        <v>0</v>
      </c>
      <c r="L159" s="34" t="n">
        <f aca="false">IF(L$8=1,IF(Reales!$C$32="PYG",IF(L$10&gt;0,N(Reales!L32)/L$10,0),N(Reales!L32)),L$147*INDEX(Precio_V,8)*INDEX(IdxPrecio_V,1,MIN(10,L$136))*(1+V_dPrecio))</f>
        <v>0</v>
      </c>
      <c r="M159" s="34" t="n">
        <f aca="false">IF(M$8=1,IF(Reales!$C$32="PYG",IF(M$10&gt;0,N(Reales!M32)/M$10,0),N(Reales!M32)),M$147*INDEX(Precio_V,8)*INDEX(IdxPrecio_V,1,MIN(10,M$136))*(1+V_dPrecio))</f>
        <v>0</v>
      </c>
      <c r="N159" s="34" t="n">
        <f aca="false">IF(N$8=1,IF(Reales!$C$32="PYG",IF(N$10&gt;0,N(Reales!N32)/N$10,0),N(Reales!N32)),N$147*INDEX(Precio_V,8)*INDEX(IdxPrecio_V,1,MIN(10,N$136))*(1+V_dPrecio))</f>
        <v>0</v>
      </c>
      <c r="O159" s="34" t="n">
        <f aca="false">IF(O$8=1,IF(Reales!$C$32="PYG",IF(O$10&gt;0,N(Reales!O32)/O$10,0),N(Reales!O32)),O$147*INDEX(Precio_V,8)*INDEX(IdxPrecio_V,1,MIN(10,O$136))*(1+V_dPrecio))</f>
        <v>0</v>
      </c>
      <c r="P159" s="34" t="n">
        <f aca="false">IF(P$8=1,IF(Reales!$C$32="PYG",IF(P$10&gt;0,N(Reales!P32)/P$10,0),N(Reales!P32)),P$147*INDEX(Precio_V,8)*INDEX(IdxPrecio_V,1,MIN(10,P$136))*(1+V_dPrecio))</f>
        <v>0</v>
      </c>
      <c r="Q159" s="34" t="n">
        <f aca="false">IF(Q$8=1,IF(Reales!$C$32="PYG",IF(Q$10&gt;0,N(Reales!Q32)/Q$10,0),N(Reales!Q32)),Q$147*INDEX(Precio_V,8)*INDEX(IdxPrecio_V,1,MIN(10,Q$136))*(1+V_dPrecio))</f>
        <v>0</v>
      </c>
      <c r="R159" s="34" t="n">
        <f aca="false">IF(R$8=1,IF(Reales!$C$32="PYG",IF(R$10&gt;0,N(Reales!R32)/R$10,0),N(Reales!R32)),R$147*INDEX(Precio_V,8)*INDEX(IdxPrecio_V,1,MIN(10,R$136))*(1+V_dPrecio))</f>
        <v>0</v>
      </c>
      <c r="S159" s="34" t="n">
        <f aca="false">IF(S$8=1,IF(Reales!$C$32="PYG",IF(S$10&gt;0,N(Reales!S32)/S$10,0),N(Reales!S32)),S$147*INDEX(Precio_V,8)*INDEX(IdxPrecio_V,1,MIN(10,S$136))*(1+V_dPrecio))</f>
        <v>0</v>
      </c>
      <c r="T159" s="34" t="n">
        <f aca="false">IF(T$8=1,IF(Reales!$C$32="PYG",IF(T$10&gt;0,N(Reales!T32)/T$10,0),N(Reales!T32)),T$147*INDEX(Precio_V,8)*INDEX(IdxPrecio_V,1,MIN(10,T$136))*(1+V_dPrecio))</f>
        <v>0</v>
      </c>
      <c r="U159" s="34" t="n">
        <f aca="false">IF(U$8=1,IF(Reales!$C$32="PYG",IF(U$10&gt;0,N(Reales!U32)/U$10,0),N(Reales!U32)),U$147*INDEX(Precio_V,8)*INDEX(IdxPrecio_V,1,MIN(10,U$136))*(1+V_dPrecio))</f>
        <v>0</v>
      </c>
      <c r="V159" s="34" t="n">
        <f aca="false">IF(V$8=1,IF(Reales!$C$32="PYG",IF(V$10&gt;0,N(Reales!V32)/V$10,0),N(Reales!V32)),V$147*INDEX(Precio_V,8)*INDEX(IdxPrecio_V,1,MIN(10,V$136))*(1+V_dPrecio))</f>
        <v>0</v>
      </c>
      <c r="W159" s="34" t="n">
        <f aca="false">IF(W$8=1,IF(Reales!$C$32="PYG",IF(W$10&gt;0,N(Reales!W32)/W$10,0),N(Reales!W32)),W$147*INDEX(Precio_V,8)*INDEX(IdxPrecio_V,1,MIN(10,W$136))*(1+V_dPrecio))</f>
        <v>0</v>
      </c>
      <c r="X159" s="34" t="n">
        <f aca="false">IF(X$8=1,IF(Reales!$C$32="PYG",IF(X$10&gt;0,N(Reales!X32)/X$10,0),N(Reales!X32)),X$147*INDEX(Precio_V,8)*INDEX(IdxPrecio_V,1,MIN(10,X$136))*(1+V_dPrecio))</f>
        <v>0</v>
      </c>
      <c r="Y159" s="34" t="n">
        <f aca="false">IF(Y$8=1,IF(Reales!$C$32="PYG",IF(Y$10&gt;0,N(Reales!Y32)/Y$10,0),N(Reales!Y32)),Y$147*INDEX(Precio_V,8)*INDEX(IdxPrecio_V,1,MIN(10,Y$136))*(1+V_dPrecio))</f>
        <v>0</v>
      </c>
      <c r="Z159" s="34" t="n">
        <f aca="false">IF(Z$8=1,IF(Reales!$C$32="PYG",IF(Z$10&gt;0,N(Reales!Z32)/Z$10,0),N(Reales!Z32)),Z$147*INDEX(Precio_V,8)*INDEX(IdxPrecio_V,1,MIN(10,Z$136))*(1+V_dPrecio))</f>
        <v>0</v>
      </c>
      <c r="AA159" s="34" t="n">
        <f aca="false">IF(AA$8=1,IF(Reales!$C$32="PYG",IF(AA$10&gt;0,N(Reales!AA32)/AA$10,0),N(Reales!AA32)),AA$147*INDEX(Precio_V,8)*INDEX(IdxPrecio_V,1,MIN(10,AA$136))*(1+V_dPrecio))</f>
        <v>0</v>
      </c>
      <c r="AB159" s="34" t="n">
        <f aca="false">IF(AB$8=1,IF(Reales!$C$32="PYG",IF(AB$10&gt;0,N(Reales!AB32)/AB$10,0),N(Reales!AB32)),AB$147*INDEX(Precio_V,8)*INDEX(IdxPrecio_V,1,MIN(10,AB$136))*(1+V_dPrecio))</f>
        <v>0</v>
      </c>
      <c r="AC159" s="34" t="n">
        <f aca="false">IF(AC$8=1,IF(Reales!$C$32="PYG",IF(AC$10&gt;0,N(Reales!AC32)/AC$10,0),N(Reales!AC32)),AC$147*INDEX(Precio_V,8)*INDEX(IdxPrecio_V,1,MIN(10,AC$136))*(1+V_dPrecio))</f>
        <v>0</v>
      </c>
      <c r="AD159" s="34" t="n">
        <f aca="false">IF(AD$8=1,IF(Reales!$C$32="PYG",IF(AD$10&gt;0,N(Reales!AD32)/AD$10,0),N(Reales!AD32)),AD$147*INDEX(Precio_V,8)*INDEX(IdxPrecio_V,1,MIN(10,AD$136))*(1+V_dPrecio))</f>
        <v>0</v>
      </c>
      <c r="AE159" s="34" t="n">
        <f aca="false">IF(AE$8=1,IF(Reales!$C$32="PYG",IF(AE$10&gt;0,N(Reales!AE32)/AE$10,0),N(Reales!AE32)),AE$147*INDEX(Precio_V,8)*INDEX(IdxPrecio_V,1,MIN(10,AE$136))*(1+V_dPrecio))</f>
        <v>0</v>
      </c>
      <c r="AF159" s="34" t="n">
        <f aca="false">IF(AF$8=1,IF(Reales!$C$32="PYG",IF(AF$10&gt;0,N(Reales!AF32)/AF$10,0),N(Reales!AF32)),AF$147*INDEX(Precio_V,8)*INDEX(IdxPrecio_V,1,MIN(10,AF$136))*(1+V_dPrecio))</f>
        <v>0</v>
      </c>
      <c r="AG159" s="34" t="n">
        <f aca="false">IF(AG$8=1,IF(Reales!$C$32="PYG",IF(AG$10&gt;0,N(Reales!AG32)/AG$10,0),N(Reales!AG32)),AG$147*INDEX(Precio_V,8)*INDEX(IdxPrecio_V,1,MIN(10,AG$136))*(1+V_dPrecio))</f>
        <v>0</v>
      </c>
      <c r="AH159" s="34" t="n">
        <f aca="false">IF(AH$8=1,IF(Reales!$C$32="PYG",IF(AH$10&gt;0,N(Reales!AH32)/AH$10,0),N(Reales!AH32)),AH$147*INDEX(Precio_V,8)*INDEX(IdxPrecio_V,1,MIN(10,AH$136))*(1+V_dPrecio))</f>
        <v>0</v>
      </c>
      <c r="AI159" s="34" t="n">
        <f aca="false">IF(AI$8=1,IF(Reales!$C$32="PYG",IF(AI$10&gt;0,N(Reales!AI32)/AI$10,0),N(Reales!AI32)),AI$147*INDEX(Precio_V,8)*INDEX(IdxPrecio_V,1,MIN(10,AI$136))*(1+V_dPrecio))</f>
        <v>0</v>
      </c>
      <c r="AJ159" s="34" t="n">
        <f aca="false">IF(AJ$8=1,IF(Reales!$C$32="PYG",IF(AJ$10&gt;0,N(Reales!AJ32)/AJ$10,0),N(Reales!AJ32)),AJ$147*INDEX(Precio_V,8)*INDEX(IdxPrecio_V,1,MIN(10,AJ$136))*(1+V_dPrecio))</f>
        <v>0</v>
      </c>
      <c r="AK159" s="34" t="n">
        <f aca="false">IF(AK$8=1,IF(Reales!$C$32="PYG",IF(AK$10&gt;0,N(Reales!AK32)/AK$10,0),N(Reales!AK32)),AK$147*INDEX(Precio_V,8)*INDEX(IdxPrecio_V,1,MIN(10,AK$136))*(1+V_dPrecio))</f>
        <v>0</v>
      </c>
      <c r="AL159" s="34" t="n">
        <f aca="false">IF(AL$8=1,IF(Reales!$C$32="PYG",IF(AL$10&gt;0,N(Reales!AL32)/AL$10,0),N(Reales!AL32)),AL$147*INDEX(Precio_V,8)*INDEX(IdxPrecio_V,1,MIN(10,AL$136))*(1+V_dPrecio))</f>
        <v>0</v>
      </c>
      <c r="AM159" s="34" t="n">
        <f aca="false">IF(AM$8=1,IF(Reales!$C$32="PYG",IF(AM$10&gt;0,N(Reales!AM32)/AM$10,0),N(Reales!AM32)),AM$147*INDEX(Precio_V,8)*INDEX(IdxPrecio_V,1,MIN(10,AM$136))*(1+V_dPrecio))</f>
        <v>0</v>
      </c>
      <c r="AN159" s="34" t="n">
        <f aca="false">IF(AN$8=1,IF(Reales!$C$32="PYG",IF(AN$10&gt;0,N(Reales!AN32)/AN$10,0),N(Reales!AN32)),AN$147*INDEX(Precio_V,8)*INDEX(IdxPrecio_V,1,MIN(10,AN$136))*(1+V_dPrecio))</f>
        <v>0</v>
      </c>
      <c r="AO159" s="34" t="n">
        <f aca="false">IF(AO$8=1,IF(Reales!$C$32="PYG",IF(AO$10&gt;0,N(Reales!AO32)/AO$10,0),N(Reales!AO32)),AO$147*INDEX(Precio_V,8)*INDEX(IdxPrecio_V,1,MIN(10,AO$136))*(1+V_dPrecio))</f>
        <v>0</v>
      </c>
      <c r="AP159" s="34" t="n">
        <f aca="false">IF(AP$8=1,IF(Reales!$C$32="PYG",IF(AP$10&gt;0,N(Reales!AP32)/AP$10,0),N(Reales!AP32)),AP$147*INDEX(Precio_V,8)*INDEX(IdxPrecio_V,1,MIN(10,AP$136))*(1+V_dPrecio))</f>
        <v>0</v>
      </c>
      <c r="AQ159" s="34" t="n">
        <f aca="false">IF(AQ$8=1,IF(Reales!$C$32="PYG",IF(AQ$10&gt;0,N(Reales!AQ32)/AQ$10,0),N(Reales!AQ32)),AQ$147*INDEX(Precio_V,8)*INDEX(IdxPrecio_V,1,MIN(10,AQ$136))*(1+V_dPrecio))</f>
        <v>0</v>
      </c>
      <c r="AR159" s="34" t="n">
        <f aca="false">IF(AR$8=1,IF(Reales!$C$32="PYG",IF(AR$10&gt;0,N(Reales!AR32)/AR$10,0),N(Reales!AR32)),AR$147*INDEX(Precio_V,8)*INDEX(IdxPrecio_V,1,MIN(10,AR$136))*(1+V_dPrecio))</f>
        <v>0</v>
      </c>
      <c r="AS159" s="34" t="n">
        <f aca="false">IF(AS$8=1,IF(Reales!$C$32="PYG",IF(AS$10&gt;0,N(Reales!AS32)/AS$10,0),N(Reales!AS32)),AS$147*INDEX(Precio_V,8)*INDEX(IdxPrecio_V,1,MIN(10,AS$136))*(1+V_dPrecio))</f>
        <v>0</v>
      </c>
      <c r="AT159" s="34" t="n">
        <f aca="false">IF(AT$8=1,IF(Reales!$C$32="PYG",IF(AT$10&gt;0,N(Reales!AT32)/AT$10,0),N(Reales!AT32)),AT$147*INDEX(Precio_V,8)*INDEX(IdxPrecio_V,1,MIN(10,AT$136))*(1+V_dPrecio))</f>
        <v>0</v>
      </c>
      <c r="AU159" s="34" t="n">
        <f aca="false">IF(AU$8=1,IF(Reales!$C$32="PYG",IF(AU$10&gt;0,N(Reales!AU32)/AU$10,0),N(Reales!AU32)),AU$147*INDEX(Precio_V,8)*INDEX(IdxPrecio_V,1,MIN(10,AU$136))*(1+V_dPrecio))</f>
        <v>0</v>
      </c>
      <c r="AV159" s="34" t="n">
        <f aca="false">IF(AV$8=1,IF(Reales!$C$32="PYG",IF(AV$10&gt;0,N(Reales!AV32)/AV$10,0),N(Reales!AV32)),AV$147*INDEX(Precio_V,8)*INDEX(IdxPrecio_V,1,MIN(10,AV$136))*(1+V_dPrecio))</f>
        <v>0</v>
      </c>
      <c r="AW159" s="34" t="n">
        <f aca="false">IF(AW$8=1,IF(Reales!$C$32="PYG",IF(AW$10&gt;0,N(Reales!AW32)/AW$10,0),N(Reales!AW32)),AW$147*INDEX(Precio_V,8)*INDEX(IdxPrecio_V,1,MIN(10,AW$136))*(1+V_dPrecio))</f>
        <v>0</v>
      </c>
      <c r="AX159" s="34" t="n">
        <f aca="false">IF(AX$8=1,IF(Reales!$C$32="PYG",IF(AX$10&gt;0,N(Reales!AX32)/AX$10,0),N(Reales!AX32)),AX$147*INDEX(Precio_V,8)*INDEX(IdxPrecio_V,1,MIN(10,AX$136))*(1+V_dPrecio))</f>
        <v>0</v>
      </c>
      <c r="AY159" s="34" t="n">
        <f aca="false">IF(AY$8=1,IF(Reales!$C$32="PYG",IF(AY$10&gt;0,N(Reales!AY32)/AY$10,0),N(Reales!AY32)),AY$147*INDEX(Precio_V,8)*INDEX(IdxPrecio_V,1,MIN(10,AY$136))*(1+V_dPrecio))</f>
        <v>0</v>
      </c>
      <c r="AZ159" s="34" t="n">
        <f aca="false">IF(AZ$8=1,IF(Reales!$C$32="PYG",IF(AZ$10&gt;0,N(Reales!AZ32)/AZ$10,0),N(Reales!AZ32)),AZ$147*INDEX(Precio_V,8)*INDEX(IdxPrecio_V,1,MIN(10,AZ$136))*(1+V_dPrecio))</f>
        <v>0</v>
      </c>
      <c r="BA159" s="34" t="n">
        <f aca="false">IF(BA$8=1,IF(Reales!$C$32="PYG",IF(BA$10&gt;0,N(Reales!BA32)/BA$10,0),N(Reales!BA32)),BA$147*INDEX(Precio_V,8)*INDEX(IdxPrecio_V,1,MIN(10,BA$136))*(1+V_dPrecio))</f>
        <v>0</v>
      </c>
      <c r="BB159" s="34" t="n">
        <f aca="false">IF(BB$8=1,IF(Reales!$C$32="PYG",IF(BB$10&gt;0,N(Reales!BB32)/BB$10,0),N(Reales!BB32)),BB$147*INDEX(Precio_V,8)*INDEX(IdxPrecio_V,1,MIN(10,BB$136))*(1+V_dPrecio))</f>
        <v>0</v>
      </c>
      <c r="BC159" s="34" t="n">
        <f aca="false">IF(BC$8=1,IF(Reales!$C$32="PYG",IF(BC$10&gt;0,N(Reales!BC32)/BC$10,0),N(Reales!BC32)),BC$147*INDEX(Precio_V,8)*INDEX(IdxPrecio_V,1,MIN(10,BC$136))*(1+V_dPrecio))</f>
        <v>0</v>
      </c>
      <c r="BD159" s="34" t="n">
        <f aca="false">IF(BD$8=1,IF(Reales!$C$32="PYG",IF(BD$10&gt;0,N(Reales!BD32)/BD$10,0),N(Reales!BD32)),BD$147*INDEX(Precio_V,8)*INDEX(IdxPrecio_V,1,MIN(10,BD$136))*(1+V_dPrecio))</f>
        <v>0</v>
      </c>
      <c r="BE159" s="34" t="n">
        <f aca="false">IF(BE$8=1,IF(Reales!$C$32="PYG",IF(BE$10&gt;0,N(Reales!BE32)/BE$10,0),N(Reales!BE32)),BE$147*INDEX(Precio_V,8)*INDEX(IdxPrecio_V,1,MIN(10,BE$136))*(1+V_dPrecio))</f>
        <v>0</v>
      </c>
      <c r="BF159" s="34" t="n">
        <f aca="false">IF(BF$8=1,IF(Reales!$C$32="PYG",IF(BF$10&gt;0,N(Reales!BF32)/BF$10,0),N(Reales!BF32)),BF$147*INDEX(Precio_V,8)*INDEX(IdxPrecio_V,1,MIN(10,BF$136))*(1+V_dPrecio))</f>
        <v>0</v>
      </c>
      <c r="BG159" s="34" t="n">
        <f aca="false">IF(BG$8=1,IF(Reales!$C$32="PYG",IF(BG$10&gt;0,N(Reales!BG32)/BG$10,0),N(Reales!BG32)),BG$147*INDEX(Precio_V,8)*INDEX(IdxPrecio_V,1,MIN(10,BG$136))*(1+V_dPrecio))</f>
        <v>0</v>
      </c>
      <c r="BH159" s="34" t="n">
        <f aca="false">IF(BH$8=1,IF(Reales!$C$32="PYG",IF(BH$10&gt;0,N(Reales!BH32)/BH$10,0),N(Reales!BH32)),BH$147*INDEX(Precio_V,8)*INDEX(IdxPrecio_V,1,MIN(10,BH$136))*(1+V_dPrecio))</f>
        <v>0</v>
      </c>
      <c r="BI159" s="34" t="n">
        <f aca="false">IF(BI$8=1,IF(Reales!$C$32="PYG",IF(BI$10&gt;0,N(Reales!BI32)/BI$10,0),N(Reales!BI32)),BI$147*INDEX(Precio_V,8)*INDEX(IdxPrecio_V,1,MIN(10,BI$136))*(1+V_dPrecio))</f>
        <v>0</v>
      </c>
      <c r="BJ159" s="34" t="n">
        <f aca="false">IF(BJ$8=1,IF(Reales!$C$32="PYG",IF(BJ$10&gt;0,N(Reales!BJ32)/BJ$10,0),N(Reales!BJ32)),BJ$147*INDEX(Precio_V,8)*INDEX(IdxPrecio_V,1,MIN(10,BJ$136))*(1+V_dPrecio))</f>
        <v>0</v>
      </c>
      <c r="BK159" s="34" t="n">
        <f aca="false">IF(BK$8=1,IF(Reales!$C$32="PYG",IF(BK$10&gt;0,N(Reales!BK32)/BK$10,0),N(Reales!BK32)),BK$147*INDEX(Precio_V,8)*INDEX(IdxPrecio_V,1,MIN(10,BK$136))*(1+V_dPrecio))</f>
        <v>0</v>
      </c>
      <c r="BL159" s="34" t="n">
        <f aca="false">IF(BL$8=1,IF(Reales!$C$32="PYG",IF(BL$10&gt;0,N(Reales!BL32)/BL$10,0),N(Reales!BL32)),BL$147*INDEX(Precio_V,8)*INDEX(IdxPrecio_V,1,MIN(10,BL$136))*(1+V_dPrecio))</f>
        <v>0</v>
      </c>
      <c r="BM159" s="34" t="n">
        <f aca="false">IF(BM$8=1,IF(Reales!$C$32="PYG",IF(BM$10&gt;0,N(Reales!BM32)/BM$10,0),N(Reales!BM32)),BM$147*INDEX(Precio_V,8)*INDEX(IdxPrecio_V,1,MIN(10,BM$136))*(1+V_dPrecio))</f>
        <v>0</v>
      </c>
      <c r="BN159" s="34" t="n">
        <f aca="false">IF(BN$8=1,IF(Reales!$C$32="PYG",IF(BN$10&gt;0,N(Reales!BN32)/BN$10,0),N(Reales!BN32)),BN$147*INDEX(Precio_V,8)*INDEX(IdxPrecio_V,1,MIN(10,BN$136))*(1+V_dPrecio))</f>
        <v>0</v>
      </c>
      <c r="BO159" s="34" t="n">
        <f aca="false">IF(BO$8=1,IF(Reales!$C$32="PYG",IF(BO$10&gt;0,N(Reales!BO32)/BO$10,0),N(Reales!BO32)),BO$147*INDEX(Precio_V,8)*INDEX(IdxPrecio_V,1,MIN(10,BO$136))*(1+V_dPrecio))</f>
        <v>0</v>
      </c>
      <c r="BP159" s="34" t="n">
        <f aca="false">IF(BP$8=1,IF(Reales!$C$32="PYG",IF(BP$10&gt;0,N(Reales!BP32)/BP$10,0),N(Reales!BP32)),BP$147*INDEX(Precio_V,8)*INDEX(IdxPrecio_V,1,MIN(10,BP$136))*(1+V_dPrecio))</f>
        <v>0</v>
      </c>
      <c r="BQ159" s="34" t="n">
        <f aca="false">IF(BQ$8=1,IF(Reales!$C$32="PYG",IF(BQ$10&gt;0,N(Reales!BQ32)/BQ$10,0),N(Reales!BQ32)),BQ$147*INDEX(Precio_V,8)*INDEX(IdxPrecio_V,1,MIN(10,BQ$136))*(1+V_dPrecio))</f>
        <v>0</v>
      </c>
      <c r="BR159" s="34" t="n">
        <f aca="false">IF(BR$8=1,IF(Reales!$C$32="PYG",IF(BR$10&gt;0,N(Reales!BR32)/BR$10,0),N(Reales!BR32)),BR$147*INDEX(Precio_V,8)*INDEX(IdxPrecio_V,1,MIN(10,BR$136))*(1+V_dPrecio))</f>
        <v>0</v>
      </c>
      <c r="BS159" s="34" t="n">
        <f aca="false">IF(BS$8=1,IF(Reales!$C$32="PYG",IF(BS$10&gt;0,N(Reales!BS32)/BS$10,0),N(Reales!BS32)),BS$147*INDEX(Precio_V,8)*INDEX(IdxPrecio_V,1,MIN(10,BS$136))*(1+V_dPrecio))</f>
        <v>0</v>
      </c>
      <c r="BT159" s="34" t="n">
        <f aca="false">IF(BT$8=1,IF(Reales!$C$32="PYG",IF(BT$10&gt;0,N(Reales!BT32)/BT$10,0),N(Reales!BT32)),BT$147*INDEX(Precio_V,8)*INDEX(IdxPrecio_V,1,MIN(10,BT$136))*(1+V_dPrecio))</f>
        <v>0</v>
      </c>
      <c r="BU159" s="34" t="n">
        <f aca="false">IF(BU$8=1,IF(Reales!$C$32="PYG",IF(BU$10&gt;0,N(Reales!BU32)/BU$10,0),N(Reales!BU32)),BU$147*INDEX(Precio_V,8)*INDEX(IdxPrecio_V,1,MIN(10,BU$136))*(1+V_dPrecio))</f>
        <v>0</v>
      </c>
      <c r="BV159" s="34" t="n">
        <f aca="false">IF(BV$8=1,IF(Reales!$C$32="PYG",IF(BV$10&gt;0,N(Reales!BV32)/BV$10,0),N(Reales!BV32)),BV$147*INDEX(Precio_V,8)*INDEX(IdxPrecio_V,1,MIN(10,BV$136))*(1+V_dPrecio))</f>
        <v>0</v>
      </c>
      <c r="BW159" s="34" t="n">
        <f aca="false">IF(BW$8=1,IF(Reales!$C$32="PYG",IF(BW$10&gt;0,N(Reales!BW32)/BW$10,0),N(Reales!BW32)),BW$147*INDEX(Precio_V,8)*INDEX(IdxPrecio_V,1,MIN(10,BW$136))*(1+V_dPrecio))</f>
        <v>0</v>
      </c>
      <c r="BX159" s="34" t="n">
        <f aca="false">IF(BX$8=1,IF(Reales!$C$32="PYG",IF(BX$10&gt;0,N(Reales!BX32)/BX$10,0),N(Reales!BX32)),BX$147*INDEX(Precio_V,8)*INDEX(IdxPrecio_V,1,MIN(10,BX$136))*(1+V_dPrecio))</f>
        <v>0</v>
      </c>
      <c r="BY159" s="34" t="n">
        <f aca="false">IF(BY$8=1,IF(Reales!$C$32="PYG",IF(BY$10&gt;0,N(Reales!BY32)/BY$10,0),N(Reales!BY32)),BY$147*INDEX(Precio_V,8)*INDEX(IdxPrecio_V,1,MIN(10,BY$136))*(1+V_dPrecio))</f>
        <v>0</v>
      </c>
      <c r="BZ159" s="34" t="n">
        <f aca="false">IF(BZ$8=1,IF(Reales!$C$32="PYG",IF(BZ$10&gt;0,N(Reales!BZ32)/BZ$10,0),N(Reales!BZ32)),BZ$147*INDEX(Precio_V,8)*INDEX(IdxPrecio_V,1,MIN(10,BZ$136))*(1+V_dPrecio))</f>
        <v>0</v>
      </c>
      <c r="CA159" s="34" t="n">
        <f aca="false">IF(CA$8=1,IF(Reales!$C$32="PYG",IF(CA$10&gt;0,N(Reales!CA32)/CA$10,0),N(Reales!CA32)),CA$147*INDEX(Precio_V,8)*INDEX(IdxPrecio_V,1,MIN(10,CA$136))*(1+V_dPrecio))</f>
        <v>0</v>
      </c>
      <c r="CB159" s="34" t="n">
        <f aca="false">IF(CB$8=1,IF(Reales!$C$32="PYG",IF(CB$10&gt;0,N(Reales!CB32)/CB$10,0),N(Reales!CB32)),CB$147*INDEX(Precio_V,8)*INDEX(IdxPrecio_V,1,MIN(10,CB$136))*(1+V_dPrecio))</f>
        <v>0</v>
      </c>
      <c r="CC159" s="34" t="n">
        <f aca="false">IF(CC$8=1,IF(Reales!$C$32="PYG",IF(CC$10&gt;0,N(Reales!CC32)/CC$10,0),N(Reales!CC32)),CC$147*INDEX(Precio_V,8)*INDEX(IdxPrecio_V,1,MIN(10,CC$136))*(1+V_dPrecio))</f>
        <v>0</v>
      </c>
      <c r="CD159" s="34" t="n">
        <f aca="false">IF(CD$8=1,IF(Reales!$C$32="PYG",IF(CD$10&gt;0,N(Reales!CD32)/CD$10,0),N(Reales!CD32)),CD$147*INDEX(Precio_V,8)*INDEX(IdxPrecio_V,1,MIN(10,CD$136))*(1+V_dPrecio))</f>
        <v>0</v>
      </c>
      <c r="CE159" s="34" t="n">
        <f aca="false">IF(CE$8=1,IF(Reales!$C$32="PYG",IF(CE$10&gt;0,N(Reales!CE32)/CE$10,0),N(Reales!CE32)),CE$147*INDEX(Precio_V,8)*INDEX(IdxPrecio_V,1,MIN(10,CE$136))*(1+V_dPrecio))</f>
        <v>0</v>
      </c>
      <c r="CF159" s="34" t="n">
        <f aca="false">IF(CF$8=1,IF(Reales!$C$32="PYG",IF(CF$10&gt;0,N(Reales!CF32)/CF$10,0),N(Reales!CF32)),CF$147*INDEX(Precio_V,8)*INDEX(IdxPrecio_V,1,MIN(10,CF$136))*(1+V_dPrecio))</f>
        <v>0</v>
      </c>
      <c r="CG159" s="34" t="n">
        <f aca="false">IF(CG$8=1,IF(Reales!$C$32="PYG",IF(CG$10&gt;0,N(Reales!CG32)/CG$10,0),N(Reales!CG32)),CG$147*INDEX(Precio_V,8)*INDEX(IdxPrecio_V,1,MIN(10,CG$136))*(1+V_dPrecio))</f>
        <v>0</v>
      </c>
      <c r="CH159" s="34" t="n">
        <f aca="false">IF(CH$8=1,IF(Reales!$C$32="PYG",IF(CH$10&gt;0,N(Reales!CH32)/CH$10,0),N(Reales!CH32)),CH$147*INDEX(Precio_V,8)*INDEX(IdxPrecio_V,1,MIN(10,CH$136))*(1+V_dPrecio))</f>
        <v>0</v>
      </c>
      <c r="CI159" s="34" t="n">
        <f aca="false">IF(CI$8=1,IF(Reales!$C$32="PYG",IF(CI$10&gt;0,N(Reales!CI32)/CI$10,0),N(Reales!CI32)),CI$147*INDEX(Precio_V,8)*INDEX(IdxPrecio_V,1,MIN(10,CI$136))*(1+V_dPrecio))</f>
        <v>0</v>
      </c>
      <c r="CJ159" s="34" t="n">
        <f aca="false">IF(CJ$8=1,IF(Reales!$C$32="PYG",IF(CJ$10&gt;0,N(Reales!CJ32)/CJ$10,0),N(Reales!CJ32)),CJ$147*INDEX(Precio_V,8)*INDEX(IdxPrecio_V,1,MIN(10,CJ$136))*(1+V_dPrecio))</f>
        <v>0</v>
      </c>
      <c r="CK159" s="34" t="n">
        <f aca="false">IF(CK$8=1,IF(Reales!$C$32="PYG",IF(CK$10&gt;0,N(Reales!CK32)/CK$10,0),N(Reales!CK32)),CK$147*INDEX(Precio_V,8)*INDEX(IdxPrecio_V,1,MIN(10,CK$136))*(1+V_dPrecio))</f>
        <v>0</v>
      </c>
      <c r="CL159" s="34" t="n">
        <f aca="false">IF(CL$8=1,IF(Reales!$C$32="PYG",IF(CL$10&gt;0,N(Reales!CL32)/CL$10,0),N(Reales!CL32)),CL$147*INDEX(Precio_V,8)*INDEX(IdxPrecio_V,1,MIN(10,CL$136))*(1+V_dPrecio))</f>
        <v>0</v>
      </c>
      <c r="CM159" s="34" t="n">
        <f aca="false">IF(CM$8=1,IF(Reales!$C$32="PYG",IF(CM$10&gt;0,N(Reales!CM32)/CM$10,0),N(Reales!CM32)),CM$147*INDEX(Precio_V,8)*INDEX(IdxPrecio_V,1,MIN(10,CM$136))*(1+V_dPrecio))</f>
        <v>0</v>
      </c>
      <c r="CN159" s="34" t="n">
        <f aca="false">IF(CN$8=1,IF(Reales!$C$32="PYG",IF(CN$10&gt;0,N(Reales!CN32)/CN$10,0),N(Reales!CN32)),CN$147*INDEX(Precio_V,8)*INDEX(IdxPrecio_V,1,MIN(10,CN$136))*(1+V_dPrecio))</f>
        <v>0</v>
      </c>
      <c r="CO159" s="34" t="n">
        <f aca="false">IF(CO$8=1,IF(Reales!$C$32="PYG",IF(CO$10&gt;0,N(Reales!CO32)/CO$10,0),N(Reales!CO32)),CO$147*INDEX(Precio_V,8)*INDEX(IdxPrecio_V,1,MIN(10,CO$136))*(1+V_dPrecio))</f>
        <v>0</v>
      </c>
      <c r="CP159" s="34" t="n">
        <f aca="false">IF(CP$8=1,IF(Reales!$C$32="PYG",IF(CP$10&gt;0,N(Reales!CP32)/CP$10,0),N(Reales!CP32)),CP$147*INDEX(Precio_V,8)*INDEX(IdxPrecio_V,1,MIN(10,CP$136))*(1+V_dPrecio))</f>
        <v>0</v>
      </c>
      <c r="CQ159" s="34" t="n">
        <f aca="false">IF(CQ$8=1,IF(Reales!$C$32="PYG",IF(CQ$10&gt;0,N(Reales!CQ32)/CQ$10,0),N(Reales!CQ32)),CQ$147*INDEX(Precio_V,8)*INDEX(IdxPrecio_V,1,MIN(10,CQ$136))*(1+V_dPrecio))</f>
        <v>0</v>
      </c>
      <c r="CR159" s="34" t="n">
        <f aca="false">IF(CR$8=1,IF(Reales!$C$32="PYG",IF(CR$10&gt;0,N(Reales!CR32)/CR$10,0),N(Reales!CR32)),CR$147*INDEX(Precio_V,8)*INDEX(IdxPrecio_V,1,MIN(10,CR$136))*(1+V_dPrecio))</f>
        <v>0</v>
      </c>
      <c r="CS159" s="34" t="n">
        <f aca="false">IF(CS$8=1,IF(Reales!$C$32="PYG",IF(CS$10&gt;0,N(Reales!CS32)/CS$10,0),N(Reales!CS32)),CS$147*INDEX(Precio_V,8)*INDEX(IdxPrecio_V,1,MIN(10,CS$136))*(1+V_dPrecio))</f>
        <v>0</v>
      </c>
      <c r="CT159" s="34" t="n">
        <f aca="false">IF(CT$8=1,IF(Reales!$C$32="PYG",IF(CT$10&gt;0,N(Reales!CT32)/CT$10,0),N(Reales!CT32)),CT$147*INDEX(Precio_V,8)*INDEX(IdxPrecio_V,1,MIN(10,CT$136))*(1+V_dPrecio))</f>
        <v>0</v>
      </c>
      <c r="CU159" s="34" t="n">
        <f aca="false">IF(CU$8=1,IF(Reales!$C$32="PYG",IF(CU$10&gt;0,N(Reales!CU32)/CU$10,0),N(Reales!CU32)),CU$147*INDEX(Precio_V,8)*INDEX(IdxPrecio_V,1,MIN(10,CU$136))*(1+V_dPrecio))</f>
        <v>0</v>
      </c>
      <c r="CV159" s="34" t="n">
        <f aca="false">IF(CV$8=1,IF(Reales!$C$32="PYG",IF(CV$10&gt;0,N(Reales!CV32)/CV$10,0),N(Reales!CV32)),CV$147*INDEX(Precio_V,8)*INDEX(IdxPrecio_V,1,MIN(10,CV$136))*(1+V_dPrecio))</f>
        <v>0</v>
      </c>
      <c r="CW159" s="34" t="n">
        <f aca="false">IF(CW$8=1,IF(Reales!$C$32="PYG",IF(CW$10&gt;0,N(Reales!CW32)/CW$10,0),N(Reales!CW32)),CW$147*INDEX(Precio_V,8)*INDEX(IdxPrecio_V,1,MIN(10,CW$136))*(1+V_dPrecio))</f>
        <v>0</v>
      </c>
      <c r="CX159" s="34" t="n">
        <f aca="false">IF(CX$8=1,IF(Reales!$C$32="PYG",IF(CX$10&gt;0,N(Reales!CX32)/CX$10,0),N(Reales!CX32)),CX$147*INDEX(Precio_V,8)*INDEX(IdxPrecio_V,1,MIN(10,CX$136))*(1+V_dPrecio))</f>
        <v>0</v>
      </c>
      <c r="CY159" s="34" t="n">
        <f aca="false">IF(CY$8=1,IF(Reales!$C$32="PYG",IF(CY$10&gt;0,N(Reales!CY32)/CY$10,0),N(Reales!CY32)),CY$147*INDEX(Precio_V,8)*INDEX(IdxPrecio_V,1,MIN(10,CY$136))*(1+V_dPrecio))</f>
        <v>0</v>
      </c>
      <c r="CZ159" s="34" t="n">
        <f aca="false">IF(CZ$8=1,IF(Reales!$C$32="PYG",IF(CZ$10&gt;0,N(Reales!CZ32)/CZ$10,0),N(Reales!CZ32)),CZ$147*INDEX(Precio_V,8)*INDEX(IdxPrecio_V,1,MIN(10,CZ$136))*(1+V_dPrecio))</f>
        <v>0</v>
      </c>
      <c r="DA159" s="34" t="n">
        <f aca="false">IF(DA$8=1,IF(Reales!$C$32="PYG",IF(DA$10&gt;0,N(Reales!DA32)/DA$10,0),N(Reales!DA32)),DA$147*INDEX(Precio_V,8)*INDEX(IdxPrecio_V,1,MIN(10,DA$136))*(1+V_dPrecio))</f>
        <v>0</v>
      </c>
      <c r="DB159" s="34" t="n">
        <f aca="false">IF(DB$8=1,IF(Reales!$C$32="PYG",IF(DB$10&gt;0,N(Reales!DB32)/DB$10,0),N(Reales!DB32)),DB$147*INDEX(Precio_V,8)*INDEX(IdxPrecio_V,1,MIN(10,DB$136))*(1+V_dPrecio))</f>
        <v>0</v>
      </c>
      <c r="DC159" s="34" t="n">
        <f aca="false">IF(DC$8=1,IF(Reales!$C$32="PYG",IF(DC$10&gt;0,N(Reales!DC32)/DC$10,0),N(Reales!DC32)),DC$147*INDEX(Precio_V,8)*INDEX(IdxPrecio_V,1,MIN(10,DC$136))*(1+V_dPrecio))</f>
        <v>0</v>
      </c>
      <c r="DD159" s="34" t="n">
        <f aca="false">IF(DD$8=1,IF(Reales!$C$32="PYG",IF(DD$10&gt;0,N(Reales!DD32)/DD$10,0),N(Reales!DD32)),DD$147*INDEX(Precio_V,8)*INDEX(IdxPrecio_V,1,MIN(10,DD$136))*(1+V_dPrecio))</f>
        <v>0</v>
      </c>
      <c r="DE159" s="34" t="n">
        <f aca="false">IF(DE$8=1,IF(Reales!$C$32="PYG",IF(DE$10&gt;0,N(Reales!DE32)/DE$10,0),N(Reales!DE32)),DE$147*INDEX(Precio_V,8)*INDEX(IdxPrecio_V,1,MIN(10,DE$136))*(1+V_dPrecio))</f>
        <v>0</v>
      </c>
      <c r="DF159" s="34" t="n">
        <f aca="false">IF(DF$8=1,IF(Reales!$C$32="PYG",IF(DF$10&gt;0,N(Reales!DF32)/DF$10,0),N(Reales!DF32)),DF$147*INDEX(Precio_V,8)*INDEX(IdxPrecio_V,1,MIN(10,DF$136))*(1+V_dPrecio))</f>
        <v>0</v>
      </c>
      <c r="DG159" s="34" t="n">
        <f aca="false">IF(DG$8=1,IF(Reales!$C$32="PYG",IF(DG$10&gt;0,N(Reales!DG32)/DG$10,0),N(Reales!DG32)),DG$147*INDEX(Precio_V,8)*INDEX(IdxPrecio_V,1,MIN(10,DG$136))*(1+V_dPrecio))</f>
        <v>0</v>
      </c>
      <c r="DH159" s="34" t="n">
        <f aca="false">IF(DH$8=1,IF(Reales!$C$32="PYG",IF(DH$10&gt;0,N(Reales!DH32)/DH$10,0),N(Reales!DH32)),DH$147*INDEX(Precio_V,8)*INDEX(IdxPrecio_V,1,MIN(10,DH$136))*(1+V_dPrecio))</f>
        <v>0</v>
      </c>
      <c r="DI159" s="34" t="n">
        <f aca="false">IF(DI$8=1,IF(Reales!$C$32="PYG",IF(DI$10&gt;0,N(Reales!DI32)/DI$10,0),N(Reales!DI32)),DI$147*INDEX(Precio_V,8)*INDEX(IdxPrecio_V,1,MIN(10,DI$136))*(1+V_dPrecio))</f>
        <v>0</v>
      </c>
      <c r="DJ159" s="34" t="n">
        <f aca="false">IF(DJ$8=1,IF(Reales!$C$32="PYG",IF(DJ$10&gt;0,N(Reales!DJ32)/DJ$10,0),N(Reales!DJ32)),DJ$147*INDEX(Precio_V,8)*INDEX(IdxPrecio_V,1,MIN(10,DJ$136))*(1+V_dPrecio))</f>
        <v>0</v>
      </c>
      <c r="DK159" s="34" t="n">
        <f aca="false">IF(DK$8=1,IF(Reales!$C$32="PYG",IF(DK$10&gt;0,N(Reales!DK32)/DK$10,0),N(Reales!DK32)),DK$147*INDEX(Precio_V,8)*INDEX(IdxPrecio_V,1,MIN(10,DK$136))*(1+V_dPrecio))</f>
        <v>0</v>
      </c>
      <c r="DL159" s="34" t="n">
        <f aca="false">IF(DL$8=1,IF(Reales!$C$32="PYG",IF(DL$10&gt;0,N(Reales!DL32)/DL$10,0),N(Reales!DL32)),DL$147*INDEX(Precio_V,8)*INDEX(IdxPrecio_V,1,MIN(10,DL$136))*(1+V_dPrecio))</f>
        <v>0</v>
      </c>
      <c r="DM159" s="34" t="n">
        <f aca="false">IF(DM$8=1,IF(Reales!$C$32="PYG",IF(DM$10&gt;0,N(Reales!DM32)/DM$10,0),N(Reales!DM32)),DM$147*INDEX(Precio_V,8)*INDEX(IdxPrecio_V,1,MIN(10,DM$136))*(1+V_dPrecio))</f>
        <v>0</v>
      </c>
      <c r="DN159" s="34" t="n">
        <f aca="false">IF(DN$8=1,IF(Reales!$C$32="PYG",IF(DN$10&gt;0,N(Reales!DN32)/DN$10,0),N(Reales!DN32)),DN$147*INDEX(Precio_V,8)*INDEX(IdxPrecio_V,1,MIN(10,DN$136))*(1+V_dPrecio))</f>
        <v>0</v>
      </c>
      <c r="DO159" s="34" t="n">
        <f aca="false">IF(DO$8=1,IF(Reales!$C$32="PYG",IF(DO$10&gt;0,N(Reales!DO32)/DO$10,0),N(Reales!DO32)),DO$147*INDEX(Precio_V,8)*INDEX(IdxPrecio_V,1,MIN(10,DO$136))*(1+V_dPrecio))</f>
        <v>0</v>
      </c>
      <c r="DP159" s="34" t="n">
        <f aca="false">IF(DP$8=1,IF(Reales!$C$32="PYG",IF(DP$10&gt;0,N(Reales!DP32)/DP$10,0),N(Reales!DP32)),DP$147*INDEX(Precio_V,8)*INDEX(IdxPrecio_V,1,MIN(10,DP$136))*(1+V_dPrecio))</f>
        <v>0</v>
      </c>
      <c r="DQ159" s="34" t="n">
        <f aca="false">IF(DQ$8=1,IF(Reales!$C$32="PYG",IF(DQ$10&gt;0,N(Reales!DQ32)/DQ$10,0),N(Reales!DQ32)),DQ$147*INDEX(Precio_V,8)*INDEX(IdxPrecio_V,1,MIN(10,DQ$136))*(1+V_dPrecio))</f>
        <v>0</v>
      </c>
      <c r="DR159" s="34" t="n">
        <f aca="false">IF(DR$8=1,IF(Reales!$C$32="PYG",IF(DR$10&gt;0,N(Reales!DR32)/DR$10,0),N(Reales!DR32)),DR$147*INDEX(Precio_V,8)*INDEX(IdxPrecio_V,1,MIN(10,DR$136))*(1+V_dPrecio))</f>
        <v>0</v>
      </c>
      <c r="DS159" s="34" t="n">
        <f aca="false">IF(DS$8=1,IF(Reales!$C$32="PYG",IF(DS$10&gt;0,N(Reales!DS32)/DS$10,0),N(Reales!DS32)),DS$147*INDEX(Precio_V,8)*INDEX(IdxPrecio_V,1,MIN(10,DS$136))*(1+V_dPrecio))</f>
        <v>0</v>
      </c>
      <c r="DT159" s="34" t="n">
        <f aca="false">IF(DT$8=1,IF(Reales!$C$32="PYG",IF(DT$10&gt;0,N(Reales!DT32)/DT$10,0),N(Reales!DT32)),DT$147*INDEX(Precio_V,8)*INDEX(IdxPrecio_V,1,MIN(10,DT$136))*(1+V_dPrecio))</f>
        <v>0</v>
      </c>
      <c r="DU159" s="34" t="n">
        <f aca="false">IF(DU$8=1,IF(Reales!$C$32="PYG",IF(DU$10&gt;0,N(Reales!DU32)/DU$10,0),N(Reales!DU32)),DU$147*INDEX(Precio_V,8)*INDEX(IdxPrecio_V,1,MIN(10,DU$136))*(1+V_dPrecio))</f>
        <v>0</v>
      </c>
      <c r="DV159" s="34" t="n">
        <f aca="false">IF(DV$8=1,IF(Reales!$C$32="PYG",IF(DV$10&gt;0,N(Reales!DV32)/DV$10,0),N(Reales!DV32)),DV$147*INDEX(Precio_V,8)*INDEX(IdxPrecio_V,1,MIN(10,DV$136))*(1+V_dPrecio))</f>
        <v>0</v>
      </c>
      <c r="DW159" s="34" t="n">
        <f aca="false">IF(DW$8=1,IF(Reales!$C$32="PYG",IF(DW$10&gt;0,N(Reales!DW32)/DW$10,0),N(Reales!DW32)),DW$147*INDEX(Precio_V,8)*INDEX(IdxPrecio_V,1,MIN(10,DW$136))*(1+V_dPrecio))</f>
        <v>0</v>
      </c>
      <c r="DX159" s="34" t="n">
        <f aca="false">IF(DX$8=1,IF(Reales!$C$32="PYG",IF(DX$10&gt;0,N(Reales!DX32)/DX$10,0),N(Reales!DX32)),DX$147*INDEX(Precio_V,8)*INDEX(IdxPrecio_V,1,MIN(10,DX$136))*(1+V_dPrecio))</f>
        <v>0</v>
      </c>
      <c r="DY159" s="34" t="n">
        <f aca="false">IF(DY$8=1,IF(Reales!$C$32="PYG",IF(DY$10&gt;0,N(Reales!DY32)/DY$10,0),N(Reales!DY32)),DY$147*INDEX(Precio_V,8)*INDEX(IdxPrecio_V,1,MIN(10,DY$136))*(1+V_dPrecio))</f>
        <v>0</v>
      </c>
      <c r="DZ159" s="34" t="n">
        <f aca="false">IF(DZ$8=1,IF(Reales!$C$32="PYG",IF(DZ$10&gt;0,N(Reales!DZ32)/DZ$10,0),N(Reales!DZ32)),DZ$147*INDEX(Precio_V,8)*INDEX(IdxPrecio_V,1,MIN(10,DZ$136))*(1+V_dPrecio))</f>
        <v>0</v>
      </c>
      <c r="EA159" s="34" t="n">
        <f aca="false">IF(EA$8=1,IF(Reales!$C$32="PYG",IF(EA$10&gt;0,N(Reales!EA32)/EA$10,0),N(Reales!EA32)),EA$147*INDEX(Precio_V,8)*INDEX(IdxPrecio_V,1,MIN(10,EA$136))*(1+V_dPrecio))</f>
        <v>0</v>
      </c>
      <c r="EB159" s="34" t="n">
        <f aca="false">IF(EB$8=1,IF(Reales!$C$32="PYG",IF(EB$10&gt;0,N(Reales!EB32)/EB$10,0),N(Reales!EB32)),EB$147*INDEX(Precio_V,8)*INDEX(IdxPrecio_V,1,MIN(10,EB$136))*(1+V_dPrecio))</f>
        <v>0</v>
      </c>
      <c r="EC159" s="34" t="n">
        <f aca="false">IF(EC$8=1,IF(Reales!$C$32="PYG",IF(EC$10&gt;0,N(Reales!EC32)/EC$10,0),N(Reales!EC32)),EC$147*INDEX(Precio_V,8)*INDEX(IdxPrecio_V,1,MIN(10,EC$136))*(1+V_dPrecio))</f>
        <v>0</v>
      </c>
      <c r="ED159" s="34" t="n">
        <f aca="false">IF(ED$8=1,IF(Reales!$C$32="PYG",IF(ED$10&gt;0,N(Reales!ED32)/ED$10,0),N(Reales!ED32)),ED$147*INDEX(Precio_V,8)*INDEX(IdxPrecio_V,1,MIN(10,ED$136))*(1+V_dPrecio))</f>
        <v>0</v>
      </c>
      <c r="EE159" s="34" t="n">
        <f aca="false">IF(EE$8=1,IF(Reales!$C$32="PYG",IF(EE$10&gt;0,N(Reales!EE32)/EE$10,0),N(Reales!EE32)),EE$147*INDEX(Precio_V,8)*INDEX(IdxPrecio_V,1,MIN(10,EE$136))*(1+V_dPrecio))</f>
        <v>0</v>
      </c>
      <c r="EF159" s="34" t="n">
        <f aca="false">IF(EF$8=1,IF(Reales!$C$32="PYG",IF(EF$10&gt;0,N(Reales!EF32)/EF$10,0),N(Reales!EF32)),EF$147*INDEX(Precio_V,8)*INDEX(IdxPrecio_V,1,MIN(10,EF$136))*(1+V_dPrecio))</f>
        <v>0</v>
      </c>
      <c r="EG159" s="34" t="n">
        <f aca="false">IF(EG$8=1,IF(Reales!$C$32="PYG",IF(EG$10&gt;0,N(Reales!EG32)/EG$10,0),N(Reales!EG32)),EG$147*INDEX(Precio_V,8)*INDEX(IdxPrecio_V,1,MIN(10,EG$136))*(1+V_dPrecio))</f>
        <v>0</v>
      </c>
      <c r="EH159" s="34" t="n">
        <f aca="false">IF(EH$8=1,IF(Reales!$C$32="PYG",IF(EH$10&gt;0,N(Reales!EH32)/EH$10,0),N(Reales!EH32)),EH$147*INDEX(Precio_V,8)*INDEX(IdxPrecio_V,1,MIN(10,EH$136))*(1+V_dPrecio))</f>
        <v>0</v>
      </c>
      <c r="EI159" s="34" t="n">
        <f aca="false">IF(EI$8=1,IF(Reales!$C$32="PYG",IF(EI$10&gt;0,N(Reales!EI32)/EI$10,0),N(Reales!EI32)),EI$147*INDEX(Precio_V,8)*INDEX(IdxPrecio_V,1,MIN(10,EI$136))*(1+V_dPrecio))</f>
        <v>0</v>
      </c>
      <c r="EJ159" s="34" t="n">
        <f aca="false">IF(EJ$8=1,IF(Reales!$C$32="PYG",IF(EJ$10&gt;0,N(Reales!EJ32)/EJ$10,0),N(Reales!EJ32)),EJ$147*INDEX(Precio_V,8)*INDEX(IdxPrecio_V,1,MIN(10,EJ$136))*(1+V_dPrecio))</f>
        <v>0</v>
      </c>
      <c r="EK159" s="34" t="n">
        <f aca="false">IF(EK$8=1,IF(Reales!$C$32="PYG",IF(EK$10&gt;0,N(Reales!EK32)/EK$10,0),N(Reales!EK32)),EK$147*INDEX(Precio_V,8)*INDEX(IdxPrecio_V,1,MIN(10,EK$136))*(1+V_dPrecio))</f>
        <v>0</v>
      </c>
      <c r="EL159" s="34" t="n">
        <f aca="false">IF(EL$8=1,IF(Reales!$C$32="PYG",IF(EL$10&gt;0,N(Reales!EL32)/EL$10,0),N(Reales!EL32)),EL$147*INDEX(Precio_V,8)*INDEX(IdxPrecio_V,1,MIN(10,EL$136))*(1+V_dPrecio))</f>
        <v>0</v>
      </c>
      <c r="EM159" s="34" t="n">
        <f aca="false">IF(EM$8=1,IF(Reales!$C$32="PYG",IF(EM$10&gt;0,N(Reales!EM32)/EM$10,0),N(Reales!EM32)),EM$147*INDEX(Precio_V,8)*INDEX(IdxPrecio_V,1,MIN(10,EM$136))*(1+V_dPrecio))</f>
        <v>0</v>
      </c>
      <c r="EN159" s="34" t="n">
        <f aca="false">IF(EN$8=1,IF(Reales!$C$32="PYG",IF(EN$10&gt;0,N(Reales!EN32)/EN$10,0),N(Reales!EN32)),EN$147*INDEX(Precio_V,8)*INDEX(IdxPrecio_V,1,MIN(10,EN$136))*(1+V_dPrecio))</f>
        <v>0</v>
      </c>
      <c r="EO159" s="34" t="n">
        <f aca="false">IF(EO$8=1,IF(Reales!$C$32="PYG",IF(EO$10&gt;0,N(Reales!EO32)/EO$10,0),N(Reales!EO32)),EO$147*INDEX(Precio_V,8)*INDEX(IdxPrecio_V,1,MIN(10,EO$136))*(1+V_dPrecio))</f>
        <v>0</v>
      </c>
      <c r="EP159" s="34" t="n">
        <f aca="false">IF(EP$8=1,IF(Reales!$C$32="PYG",IF(EP$10&gt;0,N(Reales!EP32)/EP$10,0),N(Reales!EP32)),EP$147*INDEX(Precio_V,8)*INDEX(IdxPrecio_V,1,MIN(10,EP$136))*(1+V_dPrecio))</f>
        <v>0</v>
      </c>
      <c r="EQ159" s="34" t="n">
        <f aca="false">IF(EQ$8=1,IF(Reales!$C$32="PYG",IF(EQ$10&gt;0,N(Reales!EQ32)/EQ$10,0),N(Reales!EQ32)),EQ$147*INDEX(Precio_V,8)*INDEX(IdxPrecio_V,1,MIN(10,EQ$136))*(1+V_dPrecio))</f>
        <v>0</v>
      </c>
      <c r="ER159" s="34" t="n">
        <f aca="false">IF(ER$8=1,IF(Reales!$C$32="PYG",IF(ER$10&gt;0,N(Reales!ER32)/ER$10,0),N(Reales!ER32)),ER$147*INDEX(Precio_V,8)*INDEX(IdxPrecio_V,1,MIN(10,ER$136))*(1+V_dPrecio))</f>
        <v>0</v>
      </c>
      <c r="ES159" s="34" t="n">
        <f aca="false">IF(ES$8=1,IF(Reales!$C$32="PYG",IF(ES$10&gt;0,N(Reales!ES32)/ES$10,0),N(Reales!ES32)),ES$147*INDEX(Precio_V,8)*INDEX(IdxPrecio_V,1,MIN(10,ES$136))*(1+V_dPrecio))</f>
        <v>0</v>
      </c>
    </row>
    <row r="160" customFormat="false" ht="15" hidden="false" customHeight="false" outlineLevel="0" collapsed="false">
      <c r="A160" s="2" t="s">
        <v>639</v>
      </c>
      <c r="B160" s="39" t="str">
        <f aca="false">IF(INDEX(Prod_Nombre,9)="","Producto 9",INDEX(Prod_Nombre,9))&amp;" — ventas USD"</f>
        <v>Producto 9 — ventas USD</v>
      </c>
      <c r="C160" s="6" t="s">
        <v>212</v>
      </c>
      <c r="E160" s="40" t="n">
        <f aca="false">SUM(F160:ES160)</f>
        <v>0</v>
      </c>
      <c r="F160" s="34" t="n">
        <f aca="false">IF(F$8=1,IF(Reales!$C$33="PYG",IF(F$10&gt;0,N(Reales!F33)/F$10,0),N(Reales!F33)),F$148*INDEX(Precio_V,9)*INDEX(IdxPrecio_V,1,MIN(10,F$136))*(1+V_dPrecio))</f>
        <v>0</v>
      </c>
      <c r="G160" s="34" t="n">
        <f aca="false">IF(G$8=1,IF(Reales!$C$33="PYG",IF(G$10&gt;0,N(Reales!G33)/G$10,0),N(Reales!G33)),G$148*INDEX(Precio_V,9)*INDEX(IdxPrecio_V,1,MIN(10,G$136))*(1+V_dPrecio))</f>
        <v>0</v>
      </c>
      <c r="H160" s="34" t="n">
        <f aca="false">IF(H$8=1,IF(Reales!$C$33="PYG",IF(H$10&gt;0,N(Reales!H33)/H$10,0),N(Reales!H33)),H$148*INDEX(Precio_V,9)*INDEX(IdxPrecio_V,1,MIN(10,H$136))*(1+V_dPrecio))</f>
        <v>0</v>
      </c>
      <c r="I160" s="34" t="n">
        <f aca="false">IF(I$8=1,IF(Reales!$C$33="PYG",IF(I$10&gt;0,N(Reales!I33)/I$10,0),N(Reales!I33)),I$148*INDEX(Precio_V,9)*INDEX(IdxPrecio_V,1,MIN(10,I$136))*(1+V_dPrecio))</f>
        <v>0</v>
      </c>
      <c r="J160" s="34" t="n">
        <f aca="false">IF(J$8=1,IF(Reales!$C$33="PYG",IF(J$10&gt;0,N(Reales!J33)/J$10,0),N(Reales!J33)),J$148*INDEX(Precio_V,9)*INDEX(IdxPrecio_V,1,MIN(10,J$136))*(1+V_dPrecio))</f>
        <v>0</v>
      </c>
      <c r="K160" s="34" t="n">
        <f aca="false">IF(K$8=1,IF(Reales!$C$33="PYG",IF(K$10&gt;0,N(Reales!K33)/K$10,0),N(Reales!K33)),K$148*INDEX(Precio_V,9)*INDEX(IdxPrecio_V,1,MIN(10,K$136))*(1+V_dPrecio))</f>
        <v>0</v>
      </c>
      <c r="L160" s="34" t="n">
        <f aca="false">IF(L$8=1,IF(Reales!$C$33="PYG",IF(L$10&gt;0,N(Reales!L33)/L$10,0),N(Reales!L33)),L$148*INDEX(Precio_V,9)*INDEX(IdxPrecio_V,1,MIN(10,L$136))*(1+V_dPrecio))</f>
        <v>0</v>
      </c>
      <c r="M160" s="34" t="n">
        <f aca="false">IF(M$8=1,IF(Reales!$C$33="PYG",IF(M$10&gt;0,N(Reales!M33)/M$10,0),N(Reales!M33)),M$148*INDEX(Precio_V,9)*INDEX(IdxPrecio_V,1,MIN(10,M$136))*(1+V_dPrecio))</f>
        <v>0</v>
      </c>
      <c r="N160" s="34" t="n">
        <f aca="false">IF(N$8=1,IF(Reales!$C$33="PYG",IF(N$10&gt;0,N(Reales!N33)/N$10,0),N(Reales!N33)),N$148*INDEX(Precio_V,9)*INDEX(IdxPrecio_V,1,MIN(10,N$136))*(1+V_dPrecio))</f>
        <v>0</v>
      </c>
      <c r="O160" s="34" t="n">
        <f aca="false">IF(O$8=1,IF(Reales!$C$33="PYG",IF(O$10&gt;0,N(Reales!O33)/O$10,0),N(Reales!O33)),O$148*INDEX(Precio_V,9)*INDEX(IdxPrecio_V,1,MIN(10,O$136))*(1+V_dPrecio))</f>
        <v>0</v>
      </c>
      <c r="P160" s="34" t="n">
        <f aca="false">IF(P$8=1,IF(Reales!$C$33="PYG",IF(P$10&gt;0,N(Reales!P33)/P$10,0),N(Reales!P33)),P$148*INDEX(Precio_V,9)*INDEX(IdxPrecio_V,1,MIN(10,P$136))*(1+V_dPrecio))</f>
        <v>0</v>
      </c>
      <c r="Q160" s="34" t="n">
        <f aca="false">IF(Q$8=1,IF(Reales!$C$33="PYG",IF(Q$10&gt;0,N(Reales!Q33)/Q$10,0),N(Reales!Q33)),Q$148*INDEX(Precio_V,9)*INDEX(IdxPrecio_V,1,MIN(10,Q$136))*(1+V_dPrecio))</f>
        <v>0</v>
      </c>
      <c r="R160" s="34" t="n">
        <f aca="false">IF(R$8=1,IF(Reales!$C$33="PYG",IF(R$10&gt;0,N(Reales!R33)/R$10,0),N(Reales!R33)),R$148*INDEX(Precio_V,9)*INDEX(IdxPrecio_V,1,MIN(10,R$136))*(1+V_dPrecio))</f>
        <v>0</v>
      </c>
      <c r="S160" s="34" t="n">
        <f aca="false">IF(S$8=1,IF(Reales!$C$33="PYG",IF(S$10&gt;0,N(Reales!S33)/S$10,0),N(Reales!S33)),S$148*INDEX(Precio_V,9)*INDEX(IdxPrecio_V,1,MIN(10,S$136))*(1+V_dPrecio))</f>
        <v>0</v>
      </c>
      <c r="T160" s="34" t="n">
        <f aca="false">IF(T$8=1,IF(Reales!$C$33="PYG",IF(T$10&gt;0,N(Reales!T33)/T$10,0),N(Reales!T33)),T$148*INDEX(Precio_V,9)*INDEX(IdxPrecio_V,1,MIN(10,T$136))*(1+V_dPrecio))</f>
        <v>0</v>
      </c>
      <c r="U160" s="34" t="n">
        <f aca="false">IF(U$8=1,IF(Reales!$C$33="PYG",IF(U$10&gt;0,N(Reales!U33)/U$10,0),N(Reales!U33)),U$148*INDEX(Precio_V,9)*INDEX(IdxPrecio_V,1,MIN(10,U$136))*(1+V_dPrecio))</f>
        <v>0</v>
      </c>
      <c r="V160" s="34" t="n">
        <f aca="false">IF(V$8=1,IF(Reales!$C$33="PYG",IF(V$10&gt;0,N(Reales!V33)/V$10,0),N(Reales!V33)),V$148*INDEX(Precio_V,9)*INDEX(IdxPrecio_V,1,MIN(10,V$136))*(1+V_dPrecio))</f>
        <v>0</v>
      </c>
      <c r="W160" s="34" t="n">
        <f aca="false">IF(W$8=1,IF(Reales!$C$33="PYG",IF(W$10&gt;0,N(Reales!W33)/W$10,0),N(Reales!W33)),W$148*INDEX(Precio_V,9)*INDEX(IdxPrecio_V,1,MIN(10,W$136))*(1+V_dPrecio))</f>
        <v>0</v>
      </c>
      <c r="X160" s="34" t="n">
        <f aca="false">IF(X$8=1,IF(Reales!$C$33="PYG",IF(X$10&gt;0,N(Reales!X33)/X$10,0),N(Reales!X33)),X$148*INDEX(Precio_V,9)*INDEX(IdxPrecio_V,1,MIN(10,X$136))*(1+V_dPrecio))</f>
        <v>0</v>
      </c>
      <c r="Y160" s="34" t="n">
        <f aca="false">IF(Y$8=1,IF(Reales!$C$33="PYG",IF(Y$10&gt;0,N(Reales!Y33)/Y$10,0),N(Reales!Y33)),Y$148*INDEX(Precio_V,9)*INDEX(IdxPrecio_V,1,MIN(10,Y$136))*(1+V_dPrecio))</f>
        <v>0</v>
      </c>
      <c r="Z160" s="34" t="n">
        <f aca="false">IF(Z$8=1,IF(Reales!$C$33="PYG",IF(Z$10&gt;0,N(Reales!Z33)/Z$10,0),N(Reales!Z33)),Z$148*INDEX(Precio_V,9)*INDEX(IdxPrecio_V,1,MIN(10,Z$136))*(1+V_dPrecio))</f>
        <v>0</v>
      </c>
      <c r="AA160" s="34" t="n">
        <f aca="false">IF(AA$8=1,IF(Reales!$C$33="PYG",IF(AA$10&gt;0,N(Reales!AA33)/AA$10,0),N(Reales!AA33)),AA$148*INDEX(Precio_V,9)*INDEX(IdxPrecio_V,1,MIN(10,AA$136))*(1+V_dPrecio))</f>
        <v>0</v>
      </c>
      <c r="AB160" s="34" t="n">
        <f aca="false">IF(AB$8=1,IF(Reales!$C$33="PYG",IF(AB$10&gt;0,N(Reales!AB33)/AB$10,0),N(Reales!AB33)),AB$148*INDEX(Precio_V,9)*INDEX(IdxPrecio_V,1,MIN(10,AB$136))*(1+V_dPrecio))</f>
        <v>0</v>
      </c>
      <c r="AC160" s="34" t="n">
        <f aca="false">IF(AC$8=1,IF(Reales!$C$33="PYG",IF(AC$10&gt;0,N(Reales!AC33)/AC$10,0),N(Reales!AC33)),AC$148*INDEX(Precio_V,9)*INDEX(IdxPrecio_V,1,MIN(10,AC$136))*(1+V_dPrecio))</f>
        <v>0</v>
      </c>
      <c r="AD160" s="34" t="n">
        <f aca="false">IF(AD$8=1,IF(Reales!$C$33="PYG",IF(AD$10&gt;0,N(Reales!AD33)/AD$10,0),N(Reales!AD33)),AD$148*INDEX(Precio_V,9)*INDEX(IdxPrecio_V,1,MIN(10,AD$136))*(1+V_dPrecio))</f>
        <v>0</v>
      </c>
      <c r="AE160" s="34" t="n">
        <f aca="false">IF(AE$8=1,IF(Reales!$C$33="PYG",IF(AE$10&gt;0,N(Reales!AE33)/AE$10,0),N(Reales!AE33)),AE$148*INDEX(Precio_V,9)*INDEX(IdxPrecio_V,1,MIN(10,AE$136))*(1+V_dPrecio))</f>
        <v>0</v>
      </c>
      <c r="AF160" s="34" t="n">
        <f aca="false">IF(AF$8=1,IF(Reales!$C$33="PYG",IF(AF$10&gt;0,N(Reales!AF33)/AF$10,0),N(Reales!AF33)),AF$148*INDEX(Precio_V,9)*INDEX(IdxPrecio_V,1,MIN(10,AF$136))*(1+V_dPrecio))</f>
        <v>0</v>
      </c>
      <c r="AG160" s="34" t="n">
        <f aca="false">IF(AG$8=1,IF(Reales!$C$33="PYG",IF(AG$10&gt;0,N(Reales!AG33)/AG$10,0),N(Reales!AG33)),AG$148*INDEX(Precio_V,9)*INDEX(IdxPrecio_V,1,MIN(10,AG$136))*(1+V_dPrecio))</f>
        <v>0</v>
      </c>
      <c r="AH160" s="34" t="n">
        <f aca="false">IF(AH$8=1,IF(Reales!$C$33="PYG",IF(AH$10&gt;0,N(Reales!AH33)/AH$10,0),N(Reales!AH33)),AH$148*INDEX(Precio_V,9)*INDEX(IdxPrecio_V,1,MIN(10,AH$136))*(1+V_dPrecio))</f>
        <v>0</v>
      </c>
      <c r="AI160" s="34" t="n">
        <f aca="false">IF(AI$8=1,IF(Reales!$C$33="PYG",IF(AI$10&gt;0,N(Reales!AI33)/AI$10,0),N(Reales!AI33)),AI$148*INDEX(Precio_V,9)*INDEX(IdxPrecio_V,1,MIN(10,AI$136))*(1+V_dPrecio))</f>
        <v>0</v>
      </c>
      <c r="AJ160" s="34" t="n">
        <f aca="false">IF(AJ$8=1,IF(Reales!$C$33="PYG",IF(AJ$10&gt;0,N(Reales!AJ33)/AJ$10,0),N(Reales!AJ33)),AJ$148*INDEX(Precio_V,9)*INDEX(IdxPrecio_V,1,MIN(10,AJ$136))*(1+V_dPrecio))</f>
        <v>0</v>
      </c>
      <c r="AK160" s="34" t="n">
        <f aca="false">IF(AK$8=1,IF(Reales!$C$33="PYG",IF(AK$10&gt;0,N(Reales!AK33)/AK$10,0),N(Reales!AK33)),AK$148*INDEX(Precio_V,9)*INDEX(IdxPrecio_V,1,MIN(10,AK$136))*(1+V_dPrecio))</f>
        <v>0</v>
      </c>
      <c r="AL160" s="34" t="n">
        <f aca="false">IF(AL$8=1,IF(Reales!$C$33="PYG",IF(AL$10&gt;0,N(Reales!AL33)/AL$10,0),N(Reales!AL33)),AL$148*INDEX(Precio_V,9)*INDEX(IdxPrecio_V,1,MIN(10,AL$136))*(1+V_dPrecio))</f>
        <v>0</v>
      </c>
      <c r="AM160" s="34" t="n">
        <f aca="false">IF(AM$8=1,IF(Reales!$C$33="PYG",IF(AM$10&gt;0,N(Reales!AM33)/AM$10,0),N(Reales!AM33)),AM$148*INDEX(Precio_V,9)*INDEX(IdxPrecio_V,1,MIN(10,AM$136))*(1+V_dPrecio))</f>
        <v>0</v>
      </c>
      <c r="AN160" s="34" t="n">
        <f aca="false">IF(AN$8=1,IF(Reales!$C$33="PYG",IF(AN$10&gt;0,N(Reales!AN33)/AN$10,0),N(Reales!AN33)),AN$148*INDEX(Precio_V,9)*INDEX(IdxPrecio_V,1,MIN(10,AN$136))*(1+V_dPrecio))</f>
        <v>0</v>
      </c>
      <c r="AO160" s="34" t="n">
        <f aca="false">IF(AO$8=1,IF(Reales!$C$33="PYG",IF(AO$10&gt;0,N(Reales!AO33)/AO$10,0),N(Reales!AO33)),AO$148*INDEX(Precio_V,9)*INDEX(IdxPrecio_V,1,MIN(10,AO$136))*(1+V_dPrecio))</f>
        <v>0</v>
      </c>
      <c r="AP160" s="34" t="n">
        <f aca="false">IF(AP$8=1,IF(Reales!$C$33="PYG",IF(AP$10&gt;0,N(Reales!AP33)/AP$10,0),N(Reales!AP33)),AP$148*INDEX(Precio_V,9)*INDEX(IdxPrecio_V,1,MIN(10,AP$136))*(1+V_dPrecio))</f>
        <v>0</v>
      </c>
      <c r="AQ160" s="34" t="n">
        <f aca="false">IF(AQ$8=1,IF(Reales!$C$33="PYG",IF(AQ$10&gt;0,N(Reales!AQ33)/AQ$10,0),N(Reales!AQ33)),AQ$148*INDEX(Precio_V,9)*INDEX(IdxPrecio_V,1,MIN(10,AQ$136))*(1+V_dPrecio))</f>
        <v>0</v>
      </c>
      <c r="AR160" s="34" t="n">
        <f aca="false">IF(AR$8=1,IF(Reales!$C$33="PYG",IF(AR$10&gt;0,N(Reales!AR33)/AR$10,0),N(Reales!AR33)),AR$148*INDEX(Precio_V,9)*INDEX(IdxPrecio_V,1,MIN(10,AR$136))*(1+V_dPrecio))</f>
        <v>0</v>
      </c>
      <c r="AS160" s="34" t="n">
        <f aca="false">IF(AS$8=1,IF(Reales!$C$33="PYG",IF(AS$10&gt;0,N(Reales!AS33)/AS$10,0),N(Reales!AS33)),AS$148*INDEX(Precio_V,9)*INDEX(IdxPrecio_V,1,MIN(10,AS$136))*(1+V_dPrecio))</f>
        <v>0</v>
      </c>
      <c r="AT160" s="34" t="n">
        <f aca="false">IF(AT$8=1,IF(Reales!$C$33="PYG",IF(AT$10&gt;0,N(Reales!AT33)/AT$10,0),N(Reales!AT33)),AT$148*INDEX(Precio_V,9)*INDEX(IdxPrecio_V,1,MIN(10,AT$136))*(1+V_dPrecio))</f>
        <v>0</v>
      </c>
      <c r="AU160" s="34" t="n">
        <f aca="false">IF(AU$8=1,IF(Reales!$C$33="PYG",IF(AU$10&gt;0,N(Reales!AU33)/AU$10,0),N(Reales!AU33)),AU$148*INDEX(Precio_V,9)*INDEX(IdxPrecio_V,1,MIN(10,AU$136))*(1+V_dPrecio))</f>
        <v>0</v>
      </c>
      <c r="AV160" s="34" t="n">
        <f aca="false">IF(AV$8=1,IF(Reales!$C$33="PYG",IF(AV$10&gt;0,N(Reales!AV33)/AV$10,0),N(Reales!AV33)),AV$148*INDEX(Precio_V,9)*INDEX(IdxPrecio_V,1,MIN(10,AV$136))*(1+V_dPrecio))</f>
        <v>0</v>
      </c>
      <c r="AW160" s="34" t="n">
        <f aca="false">IF(AW$8=1,IF(Reales!$C$33="PYG",IF(AW$10&gt;0,N(Reales!AW33)/AW$10,0),N(Reales!AW33)),AW$148*INDEX(Precio_V,9)*INDEX(IdxPrecio_V,1,MIN(10,AW$136))*(1+V_dPrecio))</f>
        <v>0</v>
      </c>
      <c r="AX160" s="34" t="n">
        <f aca="false">IF(AX$8=1,IF(Reales!$C$33="PYG",IF(AX$10&gt;0,N(Reales!AX33)/AX$10,0),N(Reales!AX33)),AX$148*INDEX(Precio_V,9)*INDEX(IdxPrecio_V,1,MIN(10,AX$136))*(1+V_dPrecio))</f>
        <v>0</v>
      </c>
      <c r="AY160" s="34" t="n">
        <f aca="false">IF(AY$8=1,IF(Reales!$C$33="PYG",IF(AY$10&gt;0,N(Reales!AY33)/AY$10,0),N(Reales!AY33)),AY$148*INDEX(Precio_V,9)*INDEX(IdxPrecio_V,1,MIN(10,AY$136))*(1+V_dPrecio))</f>
        <v>0</v>
      </c>
      <c r="AZ160" s="34" t="n">
        <f aca="false">IF(AZ$8=1,IF(Reales!$C$33="PYG",IF(AZ$10&gt;0,N(Reales!AZ33)/AZ$10,0),N(Reales!AZ33)),AZ$148*INDEX(Precio_V,9)*INDEX(IdxPrecio_V,1,MIN(10,AZ$136))*(1+V_dPrecio))</f>
        <v>0</v>
      </c>
      <c r="BA160" s="34" t="n">
        <f aca="false">IF(BA$8=1,IF(Reales!$C$33="PYG",IF(BA$10&gt;0,N(Reales!BA33)/BA$10,0),N(Reales!BA33)),BA$148*INDEX(Precio_V,9)*INDEX(IdxPrecio_V,1,MIN(10,BA$136))*(1+V_dPrecio))</f>
        <v>0</v>
      </c>
      <c r="BB160" s="34" t="n">
        <f aca="false">IF(BB$8=1,IF(Reales!$C$33="PYG",IF(BB$10&gt;0,N(Reales!BB33)/BB$10,0),N(Reales!BB33)),BB$148*INDEX(Precio_V,9)*INDEX(IdxPrecio_V,1,MIN(10,BB$136))*(1+V_dPrecio))</f>
        <v>0</v>
      </c>
      <c r="BC160" s="34" t="n">
        <f aca="false">IF(BC$8=1,IF(Reales!$C$33="PYG",IF(BC$10&gt;0,N(Reales!BC33)/BC$10,0),N(Reales!BC33)),BC$148*INDEX(Precio_V,9)*INDEX(IdxPrecio_V,1,MIN(10,BC$136))*(1+V_dPrecio))</f>
        <v>0</v>
      </c>
      <c r="BD160" s="34" t="n">
        <f aca="false">IF(BD$8=1,IF(Reales!$C$33="PYG",IF(BD$10&gt;0,N(Reales!BD33)/BD$10,0),N(Reales!BD33)),BD$148*INDEX(Precio_V,9)*INDEX(IdxPrecio_V,1,MIN(10,BD$136))*(1+V_dPrecio))</f>
        <v>0</v>
      </c>
      <c r="BE160" s="34" t="n">
        <f aca="false">IF(BE$8=1,IF(Reales!$C$33="PYG",IF(BE$10&gt;0,N(Reales!BE33)/BE$10,0),N(Reales!BE33)),BE$148*INDEX(Precio_V,9)*INDEX(IdxPrecio_V,1,MIN(10,BE$136))*(1+V_dPrecio))</f>
        <v>0</v>
      </c>
      <c r="BF160" s="34" t="n">
        <f aca="false">IF(BF$8=1,IF(Reales!$C$33="PYG",IF(BF$10&gt;0,N(Reales!BF33)/BF$10,0),N(Reales!BF33)),BF$148*INDEX(Precio_V,9)*INDEX(IdxPrecio_V,1,MIN(10,BF$136))*(1+V_dPrecio))</f>
        <v>0</v>
      </c>
      <c r="BG160" s="34" t="n">
        <f aca="false">IF(BG$8=1,IF(Reales!$C$33="PYG",IF(BG$10&gt;0,N(Reales!BG33)/BG$10,0),N(Reales!BG33)),BG$148*INDEX(Precio_V,9)*INDEX(IdxPrecio_V,1,MIN(10,BG$136))*(1+V_dPrecio))</f>
        <v>0</v>
      </c>
      <c r="BH160" s="34" t="n">
        <f aca="false">IF(BH$8=1,IF(Reales!$C$33="PYG",IF(BH$10&gt;0,N(Reales!BH33)/BH$10,0),N(Reales!BH33)),BH$148*INDEX(Precio_V,9)*INDEX(IdxPrecio_V,1,MIN(10,BH$136))*(1+V_dPrecio))</f>
        <v>0</v>
      </c>
      <c r="BI160" s="34" t="n">
        <f aca="false">IF(BI$8=1,IF(Reales!$C$33="PYG",IF(BI$10&gt;0,N(Reales!BI33)/BI$10,0),N(Reales!BI33)),BI$148*INDEX(Precio_V,9)*INDEX(IdxPrecio_V,1,MIN(10,BI$136))*(1+V_dPrecio))</f>
        <v>0</v>
      </c>
      <c r="BJ160" s="34" t="n">
        <f aca="false">IF(BJ$8=1,IF(Reales!$C$33="PYG",IF(BJ$10&gt;0,N(Reales!BJ33)/BJ$10,0),N(Reales!BJ33)),BJ$148*INDEX(Precio_V,9)*INDEX(IdxPrecio_V,1,MIN(10,BJ$136))*(1+V_dPrecio))</f>
        <v>0</v>
      </c>
      <c r="BK160" s="34" t="n">
        <f aca="false">IF(BK$8=1,IF(Reales!$C$33="PYG",IF(BK$10&gt;0,N(Reales!BK33)/BK$10,0),N(Reales!BK33)),BK$148*INDEX(Precio_V,9)*INDEX(IdxPrecio_V,1,MIN(10,BK$136))*(1+V_dPrecio))</f>
        <v>0</v>
      </c>
      <c r="BL160" s="34" t="n">
        <f aca="false">IF(BL$8=1,IF(Reales!$C$33="PYG",IF(BL$10&gt;0,N(Reales!BL33)/BL$10,0),N(Reales!BL33)),BL$148*INDEX(Precio_V,9)*INDEX(IdxPrecio_V,1,MIN(10,BL$136))*(1+V_dPrecio))</f>
        <v>0</v>
      </c>
      <c r="BM160" s="34" t="n">
        <f aca="false">IF(BM$8=1,IF(Reales!$C$33="PYG",IF(BM$10&gt;0,N(Reales!BM33)/BM$10,0),N(Reales!BM33)),BM$148*INDEX(Precio_V,9)*INDEX(IdxPrecio_V,1,MIN(10,BM$136))*(1+V_dPrecio))</f>
        <v>0</v>
      </c>
      <c r="BN160" s="34" t="n">
        <f aca="false">IF(BN$8=1,IF(Reales!$C$33="PYG",IF(BN$10&gt;0,N(Reales!BN33)/BN$10,0),N(Reales!BN33)),BN$148*INDEX(Precio_V,9)*INDEX(IdxPrecio_V,1,MIN(10,BN$136))*(1+V_dPrecio))</f>
        <v>0</v>
      </c>
      <c r="BO160" s="34" t="n">
        <f aca="false">IF(BO$8=1,IF(Reales!$C$33="PYG",IF(BO$10&gt;0,N(Reales!BO33)/BO$10,0),N(Reales!BO33)),BO$148*INDEX(Precio_V,9)*INDEX(IdxPrecio_V,1,MIN(10,BO$136))*(1+V_dPrecio))</f>
        <v>0</v>
      </c>
      <c r="BP160" s="34" t="n">
        <f aca="false">IF(BP$8=1,IF(Reales!$C$33="PYG",IF(BP$10&gt;0,N(Reales!BP33)/BP$10,0),N(Reales!BP33)),BP$148*INDEX(Precio_V,9)*INDEX(IdxPrecio_V,1,MIN(10,BP$136))*(1+V_dPrecio))</f>
        <v>0</v>
      </c>
      <c r="BQ160" s="34" t="n">
        <f aca="false">IF(BQ$8=1,IF(Reales!$C$33="PYG",IF(BQ$10&gt;0,N(Reales!BQ33)/BQ$10,0),N(Reales!BQ33)),BQ$148*INDEX(Precio_V,9)*INDEX(IdxPrecio_V,1,MIN(10,BQ$136))*(1+V_dPrecio))</f>
        <v>0</v>
      </c>
      <c r="BR160" s="34" t="n">
        <f aca="false">IF(BR$8=1,IF(Reales!$C$33="PYG",IF(BR$10&gt;0,N(Reales!BR33)/BR$10,0),N(Reales!BR33)),BR$148*INDEX(Precio_V,9)*INDEX(IdxPrecio_V,1,MIN(10,BR$136))*(1+V_dPrecio))</f>
        <v>0</v>
      </c>
      <c r="BS160" s="34" t="n">
        <f aca="false">IF(BS$8=1,IF(Reales!$C$33="PYG",IF(BS$10&gt;0,N(Reales!BS33)/BS$10,0),N(Reales!BS33)),BS$148*INDEX(Precio_V,9)*INDEX(IdxPrecio_V,1,MIN(10,BS$136))*(1+V_dPrecio))</f>
        <v>0</v>
      </c>
      <c r="BT160" s="34" t="n">
        <f aca="false">IF(BT$8=1,IF(Reales!$C$33="PYG",IF(BT$10&gt;0,N(Reales!BT33)/BT$10,0),N(Reales!BT33)),BT$148*INDEX(Precio_V,9)*INDEX(IdxPrecio_V,1,MIN(10,BT$136))*(1+V_dPrecio))</f>
        <v>0</v>
      </c>
      <c r="BU160" s="34" t="n">
        <f aca="false">IF(BU$8=1,IF(Reales!$C$33="PYG",IF(BU$10&gt;0,N(Reales!BU33)/BU$10,0),N(Reales!BU33)),BU$148*INDEX(Precio_V,9)*INDEX(IdxPrecio_V,1,MIN(10,BU$136))*(1+V_dPrecio))</f>
        <v>0</v>
      </c>
      <c r="BV160" s="34" t="n">
        <f aca="false">IF(BV$8=1,IF(Reales!$C$33="PYG",IF(BV$10&gt;0,N(Reales!BV33)/BV$10,0),N(Reales!BV33)),BV$148*INDEX(Precio_V,9)*INDEX(IdxPrecio_V,1,MIN(10,BV$136))*(1+V_dPrecio))</f>
        <v>0</v>
      </c>
      <c r="BW160" s="34" t="n">
        <f aca="false">IF(BW$8=1,IF(Reales!$C$33="PYG",IF(BW$10&gt;0,N(Reales!BW33)/BW$10,0),N(Reales!BW33)),BW$148*INDEX(Precio_V,9)*INDEX(IdxPrecio_V,1,MIN(10,BW$136))*(1+V_dPrecio))</f>
        <v>0</v>
      </c>
      <c r="BX160" s="34" t="n">
        <f aca="false">IF(BX$8=1,IF(Reales!$C$33="PYG",IF(BX$10&gt;0,N(Reales!BX33)/BX$10,0),N(Reales!BX33)),BX$148*INDEX(Precio_V,9)*INDEX(IdxPrecio_V,1,MIN(10,BX$136))*(1+V_dPrecio))</f>
        <v>0</v>
      </c>
      <c r="BY160" s="34" t="n">
        <f aca="false">IF(BY$8=1,IF(Reales!$C$33="PYG",IF(BY$10&gt;0,N(Reales!BY33)/BY$10,0),N(Reales!BY33)),BY$148*INDEX(Precio_V,9)*INDEX(IdxPrecio_V,1,MIN(10,BY$136))*(1+V_dPrecio))</f>
        <v>0</v>
      </c>
      <c r="BZ160" s="34" t="n">
        <f aca="false">IF(BZ$8=1,IF(Reales!$C$33="PYG",IF(BZ$10&gt;0,N(Reales!BZ33)/BZ$10,0),N(Reales!BZ33)),BZ$148*INDEX(Precio_V,9)*INDEX(IdxPrecio_V,1,MIN(10,BZ$136))*(1+V_dPrecio))</f>
        <v>0</v>
      </c>
      <c r="CA160" s="34" t="n">
        <f aca="false">IF(CA$8=1,IF(Reales!$C$33="PYG",IF(CA$10&gt;0,N(Reales!CA33)/CA$10,0),N(Reales!CA33)),CA$148*INDEX(Precio_V,9)*INDEX(IdxPrecio_V,1,MIN(10,CA$136))*(1+V_dPrecio))</f>
        <v>0</v>
      </c>
      <c r="CB160" s="34" t="n">
        <f aca="false">IF(CB$8=1,IF(Reales!$C$33="PYG",IF(CB$10&gt;0,N(Reales!CB33)/CB$10,0),N(Reales!CB33)),CB$148*INDEX(Precio_V,9)*INDEX(IdxPrecio_V,1,MIN(10,CB$136))*(1+V_dPrecio))</f>
        <v>0</v>
      </c>
      <c r="CC160" s="34" t="n">
        <f aca="false">IF(CC$8=1,IF(Reales!$C$33="PYG",IF(CC$10&gt;0,N(Reales!CC33)/CC$10,0),N(Reales!CC33)),CC$148*INDEX(Precio_V,9)*INDEX(IdxPrecio_V,1,MIN(10,CC$136))*(1+V_dPrecio))</f>
        <v>0</v>
      </c>
      <c r="CD160" s="34" t="n">
        <f aca="false">IF(CD$8=1,IF(Reales!$C$33="PYG",IF(CD$10&gt;0,N(Reales!CD33)/CD$10,0),N(Reales!CD33)),CD$148*INDEX(Precio_V,9)*INDEX(IdxPrecio_V,1,MIN(10,CD$136))*(1+V_dPrecio))</f>
        <v>0</v>
      </c>
      <c r="CE160" s="34" t="n">
        <f aca="false">IF(CE$8=1,IF(Reales!$C$33="PYG",IF(CE$10&gt;0,N(Reales!CE33)/CE$10,0),N(Reales!CE33)),CE$148*INDEX(Precio_V,9)*INDEX(IdxPrecio_V,1,MIN(10,CE$136))*(1+V_dPrecio))</f>
        <v>0</v>
      </c>
      <c r="CF160" s="34" t="n">
        <f aca="false">IF(CF$8=1,IF(Reales!$C$33="PYG",IF(CF$10&gt;0,N(Reales!CF33)/CF$10,0),N(Reales!CF33)),CF$148*INDEX(Precio_V,9)*INDEX(IdxPrecio_V,1,MIN(10,CF$136))*(1+V_dPrecio))</f>
        <v>0</v>
      </c>
      <c r="CG160" s="34" t="n">
        <f aca="false">IF(CG$8=1,IF(Reales!$C$33="PYG",IF(CG$10&gt;0,N(Reales!CG33)/CG$10,0),N(Reales!CG33)),CG$148*INDEX(Precio_V,9)*INDEX(IdxPrecio_V,1,MIN(10,CG$136))*(1+V_dPrecio))</f>
        <v>0</v>
      </c>
      <c r="CH160" s="34" t="n">
        <f aca="false">IF(CH$8=1,IF(Reales!$C$33="PYG",IF(CH$10&gt;0,N(Reales!CH33)/CH$10,0),N(Reales!CH33)),CH$148*INDEX(Precio_V,9)*INDEX(IdxPrecio_V,1,MIN(10,CH$136))*(1+V_dPrecio))</f>
        <v>0</v>
      </c>
      <c r="CI160" s="34" t="n">
        <f aca="false">IF(CI$8=1,IF(Reales!$C$33="PYG",IF(CI$10&gt;0,N(Reales!CI33)/CI$10,0),N(Reales!CI33)),CI$148*INDEX(Precio_V,9)*INDEX(IdxPrecio_V,1,MIN(10,CI$136))*(1+V_dPrecio))</f>
        <v>0</v>
      </c>
      <c r="CJ160" s="34" t="n">
        <f aca="false">IF(CJ$8=1,IF(Reales!$C$33="PYG",IF(CJ$10&gt;0,N(Reales!CJ33)/CJ$10,0),N(Reales!CJ33)),CJ$148*INDEX(Precio_V,9)*INDEX(IdxPrecio_V,1,MIN(10,CJ$136))*(1+V_dPrecio))</f>
        <v>0</v>
      </c>
      <c r="CK160" s="34" t="n">
        <f aca="false">IF(CK$8=1,IF(Reales!$C$33="PYG",IF(CK$10&gt;0,N(Reales!CK33)/CK$10,0),N(Reales!CK33)),CK$148*INDEX(Precio_V,9)*INDEX(IdxPrecio_V,1,MIN(10,CK$136))*(1+V_dPrecio))</f>
        <v>0</v>
      </c>
      <c r="CL160" s="34" t="n">
        <f aca="false">IF(CL$8=1,IF(Reales!$C$33="PYG",IF(CL$10&gt;0,N(Reales!CL33)/CL$10,0),N(Reales!CL33)),CL$148*INDEX(Precio_V,9)*INDEX(IdxPrecio_V,1,MIN(10,CL$136))*(1+V_dPrecio))</f>
        <v>0</v>
      </c>
      <c r="CM160" s="34" t="n">
        <f aca="false">IF(CM$8=1,IF(Reales!$C$33="PYG",IF(CM$10&gt;0,N(Reales!CM33)/CM$10,0),N(Reales!CM33)),CM$148*INDEX(Precio_V,9)*INDEX(IdxPrecio_V,1,MIN(10,CM$136))*(1+V_dPrecio))</f>
        <v>0</v>
      </c>
      <c r="CN160" s="34" t="n">
        <f aca="false">IF(CN$8=1,IF(Reales!$C$33="PYG",IF(CN$10&gt;0,N(Reales!CN33)/CN$10,0),N(Reales!CN33)),CN$148*INDEX(Precio_V,9)*INDEX(IdxPrecio_V,1,MIN(10,CN$136))*(1+V_dPrecio))</f>
        <v>0</v>
      </c>
      <c r="CO160" s="34" t="n">
        <f aca="false">IF(CO$8=1,IF(Reales!$C$33="PYG",IF(CO$10&gt;0,N(Reales!CO33)/CO$10,0),N(Reales!CO33)),CO$148*INDEX(Precio_V,9)*INDEX(IdxPrecio_V,1,MIN(10,CO$136))*(1+V_dPrecio))</f>
        <v>0</v>
      </c>
      <c r="CP160" s="34" t="n">
        <f aca="false">IF(CP$8=1,IF(Reales!$C$33="PYG",IF(CP$10&gt;0,N(Reales!CP33)/CP$10,0),N(Reales!CP33)),CP$148*INDEX(Precio_V,9)*INDEX(IdxPrecio_V,1,MIN(10,CP$136))*(1+V_dPrecio))</f>
        <v>0</v>
      </c>
      <c r="CQ160" s="34" t="n">
        <f aca="false">IF(CQ$8=1,IF(Reales!$C$33="PYG",IF(CQ$10&gt;0,N(Reales!CQ33)/CQ$10,0),N(Reales!CQ33)),CQ$148*INDEX(Precio_V,9)*INDEX(IdxPrecio_V,1,MIN(10,CQ$136))*(1+V_dPrecio))</f>
        <v>0</v>
      </c>
      <c r="CR160" s="34" t="n">
        <f aca="false">IF(CR$8=1,IF(Reales!$C$33="PYG",IF(CR$10&gt;0,N(Reales!CR33)/CR$10,0),N(Reales!CR33)),CR$148*INDEX(Precio_V,9)*INDEX(IdxPrecio_V,1,MIN(10,CR$136))*(1+V_dPrecio))</f>
        <v>0</v>
      </c>
      <c r="CS160" s="34" t="n">
        <f aca="false">IF(CS$8=1,IF(Reales!$C$33="PYG",IF(CS$10&gt;0,N(Reales!CS33)/CS$10,0),N(Reales!CS33)),CS$148*INDEX(Precio_V,9)*INDEX(IdxPrecio_V,1,MIN(10,CS$136))*(1+V_dPrecio))</f>
        <v>0</v>
      </c>
      <c r="CT160" s="34" t="n">
        <f aca="false">IF(CT$8=1,IF(Reales!$C$33="PYG",IF(CT$10&gt;0,N(Reales!CT33)/CT$10,0),N(Reales!CT33)),CT$148*INDEX(Precio_V,9)*INDEX(IdxPrecio_V,1,MIN(10,CT$136))*(1+V_dPrecio))</f>
        <v>0</v>
      </c>
      <c r="CU160" s="34" t="n">
        <f aca="false">IF(CU$8=1,IF(Reales!$C$33="PYG",IF(CU$10&gt;0,N(Reales!CU33)/CU$10,0),N(Reales!CU33)),CU$148*INDEX(Precio_V,9)*INDEX(IdxPrecio_V,1,MIN(10,CU$136))*(1+V_dPrecio))</f>
        <v>0</v>
      </c>
      <c r="CV160" s="34" t="n">
        <f aca="false">IF(CV$8=1,IF(Reales!$C$33="PYG",IF(CV$10&gt;0,N(Reales!CV33)/CV$10,0),N(Reales!CV33)),CV$148*INDEX(Precio_V,9)*INDEX(IdxPrecio_V,1,MIN(10,CV$136))*(1+V_dPrecio))</f>
        <v>0</v>
      </c>
      <c r="CW160" s="34" t="n">
        <f aca="false">IF(CW$8=1,IF(Reales!$C$33="PYG",IF(CW$10&gt;0,N(Reales!CW33)/CW$10,0),N(Reales!CW33)),CW$148*INDEX(Precio_V,9)*INDEX(IdxPrecio_V,1,MIN(10,CW$136))*(1+V_dPrecio))</f>
        <v>0</v>
      </c>
      <c r="CX160" s="34" t="n">
        <f aca="false">IF(CX$8=1,IF(Reales!$C$33="PYG",IF(CX$10&gt;0,N(Reales!CX33)/CX$10,0),N(Reales!CX33)),CX$148*INDEX(Precio_V,9)*INDEX(IdxPrecio_V,1,MIN(10,CX$136))*(1+V_dPrecio))</f>
        <v>0</v>
      </c>
      <c r="CY160" s="34" t="n">
        <f aca="false">IF(CY$8=1,IF(Reales!$C$33="PYG",IF(CY$10&gt;0,N(Reales!CY33)/CY$10,0),N(Reales!CY33)),CY$148*INDEX(Precio_V,9)*INDEX(IdxPrecio_V,1,MIN(10,CY$136))*(1+V_dPrecio))</f>
        <v>0</v>
      </c>
      <c r="CZ160" s="34" t="n">
        <f aca="false">IF(CZ$8=1,IF(Reales!$C$33="PYG",IF(CZ$10&gt;0,N(Reales!CZ33)/CZ$10,0),N(Reales!CZ33)),CZ$148*INDEX(Precio_V,9)*INDEX(IdxPrecio_V,1,MIN(10,CZ$136))*(1+V_dPrecio))</f>
        <v>0</v>
      </c>
      <c r="DA160" s="34" t="n">
        <f aca="false">IF(DA$8=1,IF(Reales!$C$33="PYG",IF(DA$10&gt;0,N(Reales!DA33)/DA$10,0),N(Reales!DA33)),DA$148*INDEX(Precio_V,9)*INDEX(IdxPrecio_V,1,MIN(10,DA$136))*(1+V_dPrecio))</f>
        <v>0</v>
      </c>
      <c r="DB160" s="34" t="n">
        <f aca="false">IF(DB$8=1,IF(Reales!$C$33="PYG",IF(DB$10&gt;0,N(Reales!DB33)/DB$10,0),N(Reales!DB33)),DB$148*INDEX(Precio_V,9)*INDEX(IdxPrecio_V,1,MIN(10,DB$136))*(1+V_dPrecio))</f>
        <v>0</v>
      </c>
      <c r="DC160" s="34" t="n">
        <f aca="false">IF(DC$8=1,IF(Reales!$C$33="PYG",IF(DC$10&gt;0,N(Reales!DC33)/DC$10,0),N(Reales!DC33)),DC$148*INDEX(Precio_V,9)*INDEX(IdxPrecio_V,1,MIN(10,DC$136))*(1+V_dPrecio))</f>
        <v>0</v>
      </c>
      <c r="DD160" s="34" t="n">
        <f aca="false">IF(DD$8=1,IF(Reales!$C$33="PYG",IF(DD$10&gt;0,N(Reales!DD33)/DD$10,0),N(Reales!DD33)),DD$148*INDEX(Precio_V,9)*INDEX(IdxPrecio_V,1,MIN(10,DD$136))*(1+V_dPrecio))</f>
        <v>0</v>
      </c>
      <c r="DE160" s="34" t="n">
        <f aca="false">IF(DE$8=1,IF(Reales!$C$33="PYG",IF(DE$10&gt;0,N(Reales!DE33)/DE$10,0),N(Reales!DE33)),DE$148*INDEX(Precio_V,9)*INDEX(IdxPrecio_V,1,MIN(10,DE$136))*(1+V_dPrecio))</f>
        <v>0</v>
      </c>
      <c r="DF160" s="34" t="n">
        <f aca="false">IF(DF$8=1,IF(Reales!$C$33="PYG",IF(DF$10&gt;0,N(Reales!DF33)/DF$10,0),N(Reales!DF33)),DF$148*INDEX(Precio_V,9)*INDEX(IdxPrecio_V,1,MIN(10,DF$136))*(1+V_dPrecio))</f>
        <v>0</v>
      </c>
      <c r="DG160" s="34" t="n">
        <f aca="false">IF(DG$8=1,IF(Reales!$C$33="PYG",IF(DG$10&gt;0,N(Reales!DG33)/DG$10,0),N(Reales!DG33)),DG$148*INDEX(Precio_V,9)*INDEX(IdxPrecio_V,1,MIN(10,DG$136))*(1+V_dPrecio))</f>
        <v>0</v>
      </c>
      <c r="DH160" s="34" t="n">
        <f aca="false">IF(DH$8=1,IF(Reales!$C$33="PYG",IF(DH$10&gt;0,N(Reales!DH33)/DH$10,0),N(Reales!DH33)),DH$148*INDEX(Precio_V,9)*INDEX(IdxPrecio_V,1,MIN(10,DH$136))*(1+V_dPrecio))</f>
        <v>0</v>
      </c>
      <c r="DI160" s="34" t="n">
        <f aca="false">IF(DI$8=1,IF(Reales!$C$33="PYG",IF(DI$10&gt;0,N(Reales!DI33)/DI$10,0),N(Reales!DI33)),DI$148*INDEX(Precio_V,9)*INDEX(IdxPrecio_V,1,MIN(10,DI$136))*(1+V_dPrecio))</f>
        <v>0</v>
      </c>
      <c r="DJ160" s="34" t="n">
        <f aca="false">IF(DJ$8=1,IF(Reales!$C$33="PYG",IF(DJ$10&gt;0,N(Reales!DJ33)/DJ$10,0),N(Reales!DJ33)),DJ$148*INDEX(Precio_V,9)*INDEX(IdxPrecio_V,1,MIN(10,DJ$136))*(1+V_dPrecio))</f>
        <v>0</v>
      </c>
      <c r="DK160" s="34" t="n">
        <f aca="false">IF(DK$8=1,IF(Reales!$C$33="PYG",IF(DK$10&gt;0,N(Reales!DK33)/DK$10,0),N(Reales!DK33)),DK$148*INDEX(Precio_V,9)*INDEX(IdxPrecio_V,1,MIN(10,DK$136))*(1+V_dPrecio))</f>
        <v>0</v>
      </c>
      <c r="DL160" s="34" t="n">
        <f aca="false">IF(DL$8=1,IF(Reales!$C$33="PYG",IF(DL$10&gt;0,N(Reales!DL33)/DL$10,0),N(Reales!DL33)),DL$148*INDEX(Precio_V,9)*INDEX(IdxPrecio_V,1,MIN(10,DL$136))*(1+V_dPrecio))</f>
        <v>0</v>
      </c>
      <c r="DM160" s="34" t="n">
        <f aca="false">IF(DM$8=1,IF(Reales!$C$33="PYG",IF(DM$10&gt;0,N(Reales!DM33)/DM$10,0),N(Reales!DM33)),DM$148*INDEX(Precio_V,9)*INDEX(IdxPrecio_V,1,MIN(10,DM$136))*(1+V_dPrecio))</f>
        <v>0</v>
      </c>
      <c r="DN160" s="34" t="n">
        <f aca="false">IF(DN$8=1,IF(Reales!$C$33="PYG",IF(DN$10&gt;0,N(Reales!DN33)/DN$10,0),N(Reales!DN33)),DN$148*INDEX(Precio_V,9)*INDEX(IdxPrecio_V,1,MIN(10,DN$136))*(1+V_dPrecio))</f>
        <v>0</v>
      </c>
      <c r="DO160" s="34" t="n">
        <f aca="false">IF(DO$8=1,IF(Reales!$C$33="PYG",IF(DO$10&gt;0,N(Reales!DO33)/DO$10,0),N(Reales!DO33)),DO$148*INDEX(Precio_V,9)*INDEX(IdxPrecio_V,1,MIN(10,DO$136))*(1+V_dPrecio))</f>
        <v>0</v>
      </c>
      <c r="DP160" s="34" t="n">
        <f aca="false">IF(DP$8=1,IF(Reales!$C$33="PYG",IF(DP$10&gt;0,N(Reales!DP33)/DP$10,0),N(Reales!DP33)),DP$148*INDEX(Precio_V,9)*INDEX(IdxPrecio_V,1,MIN(10,DP$136))*(1+V_dPrecio))</f>
        <v>0</v>
      </c>
      <c r="DQ160" s="34" t="n">
        <f aca="false">IF(DQ$8=1,IF(Reales!$C$33="PYG",IF(DQ$10&gt;0,N(Reales!DQ33)/DQ$10,0),N(Reales!DQ33)),DQ$148*INDEX(Precio_V,9)*INDEX(IdxPrecio_V,1,MIN(10,DQ$136))*(1+V_dPrecio))</f>
        <v>0</v>
      </c>
      <c r="DR160" s="34" t="n">
        <f aca="false">IF(DR$8=1,IF(Reales!$C$33="PYG",IF(DR$10&gt;0,N(Reales!DR33)/DR$10,0),N(Reales!DR33)),DR$148*INDEX(Precio_V,9)*INDEX(IdxPrecio_V,1,MIN(10,DR$136))*(1+V_dPrecio))</f>
        <v>0</v>
      </c>
      <c r="DS160" s="34" t="n">
        <f aca="false">IF(DS$8=1,IF(Reales!$C$33="PYG",IF(DS$10&gt;0,N(Reales!DS33)/DS$10,0),N(Reales!DS33)),DS$148*INDEX(Precio_V,9)*INDEX(IdxPrecio_V,1,MIN(10,DS$136))*(1+V_dPrecio))</f>
        <v>0</v>
      </c>
      <c r="DT160" s="34" t="n">
        <f aca="false">IF(DT$8=1,IF(Reales!$C$33="PYG",IF(DT$10&gt;0,N(Reales!DT33)/DT$10,0),N(Reales!DT33)),DT$148*INDEX(Precio_V,9)*INDEX(IdxPrecio_V,1,MIN(10,DT$136))*(1+V_dPrecio))</f>
        <v>0</v>
      </c>
      <c r="DU160" s="34" t="n">
        <f aca="false">IF(DU$8=1,IF(Reales!$C$33="PYG",IF(DU$10&gt;0,N(Reales!DU33)/DU$10,0),N(Reales!DU33)),DU$148*INDEX(Precio_V,9)*INDEX(IdxPrecio_V,1,MIN(10,DU$136))*(1+V_dPrecio))</f>
        <v>0</v>
      </c>
      <c r="DV160" s="34" t="n">
        <f aca="false">IF(DV$8=1,IF(Reales!$C$33="PYG",IF(DV$10&gt;0,N(Reales!DV33)/DV$10,0),N(Reales!DV33)),DV$148*INDEX(Precio_V,9)*INDEX(IdxPrecio_V,1,MIN(10,DV$136))*(1+V_dPrecio))</f>
        <v>0</v>
      </c>
      <c r="DW160" s="34" t="n">
        <f aca="false">IF(DW$8=1,IF(Reales!$C$33="PYG",IF(DW$10&gt;0,N(Reales!DW33)/DW$10,0),N(Reales!DW33)),DW$148*INDEX(Precio_V,9)*INDEX(IdxPrecio_V,1,MIN(10,DW$136))*(1+V_dPrecio))</f>
        <v>0</v>
      </c>
      <c r="DX160" s="34" t="n">
        <f aca="false">IF(DX$8=1,IF(Reales!$C$33="PYG",IF(DX$10&gt;0,N(Reales!DX33)/DX$10,0),N(Reales!DX33)),DX$148*INDEX(Precio_V,9)*INDEX(IdxPrecio_V,1,MIN(10,DX$136))*(1+V_dPrecio))</f>
        <v>0</v>
      </c>
      <c r="DY160" s="34" t="n">
        <f aca="false">IF(DY$8=1,IF(Reales!$C$33="PYG",IF(DY$10&gt;0,N(Reales!DY33)/DY$10,0),N(Reales!DY33)),DY$148*INDEX(Precio_V,9)*INDEX(IdxPrecio_V,1,MIN(10,DY$136))*(1+V_dPrecio))</f>
        <v>0</v>
      </c>
      <c r="DZ160" s="34" t="n">
        <f aca="false">IF(DZ$8=1,IF(Reales!$C$33="PYG",IF(DZ$10&gt;0,N(Reales!DZ33)/DZ$10,0),N(Reales!DZ33)),DZ$148*INDEX(Precio_V,9)*INDEX(IdxPrecio_V,1,MIN(10,DZ$136))*(1+V_dPrecio))</f>
        <v>0</v>
      </c>
      <c r="EA160" s="34" t="n">
        <f aca="false">IF(EA$8=1,IF(Reales!$C$33="PYG",IF(EA$10&gt;0,N(Reales!EA33)/EA$10,0),N(Reales!EA33)),EA$148*INDEX(Precio_V,9)*INDEX(IdxPrecio_V,1,MIN(10,EA$136))*(1+V_dPrecio))</f>
        <v>0</v>
      </c>
      <c r="EB160" s="34" t="n">
        <f aca="false">IF(EB$8=1,IF(Reales!$C$33="PYG",IF(EB$10&gt;0,N(Reales!EB33)/EB$10,0),N(Reales!EB33)),EB$148*INDEX(Precio_V,9)*INDEX(IdxPrecio_V,1,MIN(10,EB$136))*(1+V_dPrecio))</f>
        <v>0</v>
      </c>
      <c r="EC160" s="34" t="n">
        <f aca="false">IF(EC$8=1,IF(Reales!$C$33="PYG",IF(EC$10&gt;0,N(Reales!EC33)/EC$10,0),N(Reales!EC33)),EC$148*INDEX(Precio_V,9)*INDEX(IdxPrecio_V,1,MIN(10,EC$136))*(1+V_dPrecio))</f>
        <v>0</v>
      </c>
      <c r="ED160" s="34" t="n">
        <f aca="false">IF(ED$8=1,IF(Reales!$C$33="PYG",IF(ED$10&gt;0,N(Reales!ED33)/ED$10,0),N(Reales!ED33)),ED$148*INDEX(Precio_V,9)*INDEX(IdxPrecio_V,1,MIN(10,ED$136))*(1+V_dPrecio))</f>
        <v>0</v>
      </c>
      <c r="EE160" s="34" t="n">
        <f aca="false">IF(EE$8=1,IF(Reales!$C$33="PYG",IF(EE$10&gt;0,N(Reales!EE33)/EE$10,0),N(Reales!EE33)),EE$148*INDEX(Precio_V,9)*INDEX(IdxPrecio_V,1,MIN(10,EE$136))*(1+V_dPrecio))</f>
        <v>0</v>
      </c>
      <c r="EF160" s="34" t="n">
        <f aca="false">IF(EF$8=1,IF(Reales!$C$33="PYG",IF(EF$10&gt;0,N(Reales!EF33)/EF$10,0),N(Reales!EF33)),EF$148*INDEX(Precio_V,9)*INDEX(IdxPrecio_V,1,MIN(10,EF$136))*(1+V_dPrecio))</f>
        <v>0</v>
      </c>
      <c r="EG160" s="34" t="n">
        <f aca="false">IF(EG$8=1,IF(Reales!$C$33="PYG",IF(EG$10&gt;0,N(Reales!EG33)/EG$10,0),N(Reales!EG33)),EG$148*INDEX(Precio_V,9)*INDEX(IdxPrecio_V,1,MIN(10,EG$136))*(1+V_dPrecio))</f>
        <v>0</v>
      </c>
      <c r="EH160" s="34" t="n">
        <f aca="false">IF(EH$8=1,IF(Reales!$C$33="PYG",IF(EH$10&gt;0,N(Reales!EH33)/EH$10,0),N(Reales!EH33)),EH$148*INDEX(Precio_V,9)*INDEX(IdxPrecio_V,1,MIN(10,EH$136))*(1+V_dPrecio))</f>
        <v>0</v>
      </c>
      <c r="EI160" s="34" t="n">
        <f aca="false">IF(EI$8=1,IF(Reales!$C$33="PYG",IF(EI$10&gt;0,N(Reales!EI33)/EI$10,0),N(Reales!EI33)),EI$148*INDEX(Precio_V,9)*INDEX(IdxPrecio_V,1,MIN(10,EI$136))*(1+V_dPrecio))</f>
        <v>0</v>
      </c>
      <c r="EJ160" s="34" t="n">
        <f aca="false">IF(EJ$8=1,IF(Reales!$C$33="PYG",IF(EJ$10&gt;0,N(Reales!EJ33)/EJ$10,0),N(Reales!EJ33)),EJ$148*INDEX(Precio_V,9)*INDEX(IdxPrecio_V,1,MIN(10,EJ$136))*(1+V_dPrecio))</f>
        <v>0</v>
      </c>
      <c r="EK160" s="34" t="n">
        <f aca="false">IF(EK$8=1,IF(Reales!$C$33="PYG",IF(EK$10&gt;0,N(Reales!EK33)/EK$10,0),N(Reales!EK33)),EK$148*INDEX(Precio_V,9)*INDEX(IdxPrecio_V,1,MIN(10,EK$136))*(1+V_dPrecio))</f>
        <v>0</v>
      </c>
      <c r="EL160" s="34" t="n">
        <f aca="false">IF(EL$8=1,IF(Reales!$C$33="PYG",IF(EL$10&gt;0,N(Reales!EL33)/EL$10,0),N(Reales!EL33)),EL$148*INDEX(Precio_V,9)*INDEX(IdxPrecio_V,1,MIN(10,EL$136))*(1+V_dPrecio))</f>
        <v>0</v>
      </c>
      <c r="EM160" s="34" t="n">
        <f aca="false">IF(EM$8=1,IF(Reales!$C$33="PYG",IF(EM$10&gt;0,N(Reales!EM33)/EM$10,0),N(Reales!EM33)),EM$148*INDEX(Precio_V,9)*INDEX(IdxPrecio_V,1,MIN(10,EM$136))*(1+V_dPrecio))</f>
        <v>0</v>
      </c>
      <c r="EN160" s="34" t="n">
        <f aca="false">IF(EN$8=1,IF(Reales!$C$33="PYG",IF(EN$10&gt;0,N(Reales!EN33)/EN$10,0),N(Reales!EN33)),EN$148*INDEX(Precio_V,9)*INDEX(IdxPrecio_V,1,MIN(10,EN$136))*(1+V_dPrecio))</f>
        <v>0</v>
      </c>
      <c r="EO160" s="34" t="n">
        <f aca="false">IF(EO$8=1,IF(Reales!$C$33="PYG",IF(EO$10&gt;0,N(Reales!EO33)/EO$10,0),N(Reales!EO33)),EO$148*INDEX(Precio_V,9)*INDEX(IdxPrecio_V,1,MIN(10,EO$136))*(1+V_dPrecio))</f>
        <v>0</v>
      </c>
      <c r="EP160" s="34" t="n">
        <f aca="false">IF(EP$8=1,IF(Reales!$C$33="PYG",IF(EP$10&gt;0,N(Reales!EP33)/EP$10,0),N(Reales!EP33)),EP$148*INDEX(Precio_V,9)*INDEX(IdxPrecio_V,1,MIN(10,EP$136))*(1+V_dPrecio))</f>
        <v>0</v>
      </c>
      <c r="EQ160" s="34" t="n">
        <f aca="false">IF(EQ$8=1,IF(Reales!$C$33="PYG",IF(EQ$10&gt;0,N(Reales!EQ33)/EQ$10,0),N(Reales!EQ33)),EQ$148*INDEX(Precio_V,9)*INDEX(IdxPrecio_V,1,MIN(10,EQ$136))*(1+V_dPrecio))</f>
        <v>0</v>
      </c>
      <c r="ER160" s="34" t="n">
        <f aca="false">IF(ER$8=1,IF(Reales!$C$33="PYG",IF(ER$10&gt;0,N(Reales!ER33)/ER$10,0),N(Reales!ER33)),ER$148*INDEX(Precio_V,9)*INDEX(IdxPrecio_V,1,MIN(10,ER$136))*(1+V_dPrecio))</f>
        <v>0</v>
      </c>
      <c r="ES160" s="34" t="n">
        <f aca="false">IF(ES$8=1,IF(Reales!$C$33="PYG",IF(ES$10&gt;0,N(Reales!ES33)/ES$10,0),N(Reales!ES33)),ES$148*INDEX(Precio_V,9)*INDEX(IdxPrecio_V,1,MIN(10,ES$136))*(1+V_dPrecio))</f>
        <v>0</v>
      </c>
    </row>
    <row r="161" customFormat="false" ht="15" hidden="false" customHeight="false" outlineLevel="0" collapsed="false">
      <c r="A161" s="2" t="s">
        <v>640</v>
      </c>
      <c r="B161" s="39" t="str">
        <f aca="false">IF(INDEX(Prod_Nombre,10)="","Producto 10",INDEX(Prod_Nombre,10))&amp;" — ventas USD"</f>
        <v>Producto 10 — ventas USD</v>
      </c>
      <c r="C161" s="6" t="s">
        <v>212</v>
      </c>
      <c r="E161" s="40" t="n">
        <f aca="false">SUM(F161:ES161)</f>
        <v>0</v>
      </c>
      <c r="F161" s="34" t="n">
        <f aca="false">IF(F$8=1,IF(Reales!$C$34="PYG",IF(F$10&gt;0,N(Reales!F34)/F$10,0),N(Reales!F34)),F$149*INDEX(Precio_V,10)*INDEX(IdxPrecio_V,1,MIN(10,F$136))*(1+V_dPrecio))</f>
        <v>0</v>
      </c>
      <c r="G161" s="34" t="n">
        <f aca="false">IF(G$8=1,IF(Reales!$C$34="PYG",IF(G$10&gt;0,N(Reales!G34)/G$10,0),N(Reales!G34)),G$149*INDEX(Precio_V,10)*INDEX(IdxPrecio_V,1,MIN(10,G$136))*(1+V_dPrecio))</f>
        <v>0</v>
      </c>
      <c r="H161" s="34" t="n">
        <f aca="false">IF(H$8=1,IF(Reales!$C$34="PYG",IF(H$10&gt;0,N(Reales!H34)/H$10,0),N(Reales!H34)),H$149*INDEX(Precio_V,10)*INDEX(IdxPrecio_V,1,MIN(10,H$136))*(1+V_dPrecio))</f>
        <v>0</v>
      </c>
      <c r="I161" s="34" t="n">
        <f aca="false">IF(I$8=1,IF(Reales!$C$34="PYG",IF(I$10&gt;0,N(Reales!I34)/I$10,0),N(Reales!I34)),I$149*INDEX(Precio_V,10)*INDEX(IdxPrecio_V,1,MIN(10,I$136))*(1+V_dPrecio))</f>
        <v>0</v>
      </c>
      <c r="J161" s="34" t="n">
        <f aca="false">IF(J$8=1,IF(Reales!$C$34="PYG",IF(J$10&gt;0,N(Reales!J34)/J$10,0),N(Reales!J34)),J$149*INDEX(Precio_V,10)*INDEX(IdxPrecio_V,1,MIN(10,J$136))*(1+V_dPrecio))</f>
        <v>0</v>
      </c>
      <c r="K161" s="34" t="n">
        <f aca="false">IF(K$8=1,IF(Reales!$C$34="PYG",IF(K$10&gt;0,N(Reales!K34)/K$10,0),N(Reales!K34)),K$149*INDEX(Precio_V,10)*INDEX(IdxPrecio_V,1,MIN(10,K$136))*(1+V_dPrecio))</f>
        <v>0</v>
      </c>
      <c r="L161" s="34" t="n">
        <f aca="false">IF(L$8=1,IF(Reales!$C$34="PYG",IF(L$10&gt;0,N(Reales!L34)/L$10,0),N(Reales!L34)),L$149*INDEX(Precio_V,10)*INDEX(IdxPrecio_V,1,MIN(10,L$136))*(1+V_dPrecio))</f>
        <v>0</v>
      </c>
      <c r="M161" s="34" t="n">
        <f aca="false">IF(M$8=1,IF(Reales!$C$34="PYG",IF(M$10&gt;0,N(Reales!M34)/M$10,0),N(Reales!M34)),M$149*INDEX(Precio_V,10)*INDEX(IdxPrecio_V,1,MIN(10,M$136))*(1+V_dPrecio))</f>
        <v>0</v>
      </c>
      <c r="N161" s="34" t="n">
        <f aca="false">IF(N$8=1,IF(Reales!$C$34="PYG",IF(N$10&gt;0,N(Reales!N34)/N$10,0),N(Reales!N34)),N$149*INDEX(Precio_V,10)*INDEX(IdxPrecio_V,1,MIN(10,N$136))*(1+V_dPrecio))</f>
        <v>0</v>
      </c>
      <c r="O161" s="34" t="n">
        <f aca="false">IF(O$8=1,IF(Reales!$C$34="PYG",IF(O$10&gt;0,N(Reales!O34)/O$10,0),N(Reales!O34)),O$149*INDEX(Precio_V,10)*INDEX(IdxPrecio_V,1,MIN(10,O$136))*(1+V_dPrecio))</f>
        <v>0</v>
      </c>
      <c r="P161" s="34" t="n">
        <f aca="false">IF(P$8=1,IF(Reales!$C$34="PYG",IF(P$10&gt;0,N(Reales!P34)/P$10,0),N(Reales!P34)),P$149*INDEX(Precio_V,10)*INDEX(IdxPrecio_V,1,MIN(10,P$136))*(1+V_dPrecio))</f>
        <v>0</v>
      </c>
      <c r="Q161" s="34" t="n">
        <f aca="false">IF(Q$8=1,IF(Reales!$C$34="PYG",IF(Q$10&gt;0,N(Reales!Q34)/Q$10,0),N(Reales!Q34)),Q$149*INDEX(Precio_V,10)*INDEX(IdxPrecio_V,1,MIN(10,Q$136))*(1+V_dPrecio))</f>
        <v>0</v>
      </c>
      <c r="R161" s="34" t="n">
        <f aca="false">IF(R$8=1,IF(Reales!$C$34="PYG",IF(R$10&gt;0,N(Reales!R34)/R$10,0),N(Reales!R34)),R$149*INDEX(Precio_V,10)*INDEX(IdxPrecio_V,1,MIN(10,R$136))*(1+V_dPrecio))</f>
        <v>0</v>
      </c>
      <c r="S161" s="34" t="n">
        <f aca="false">IF(S$8=1,IF(Reales!$C$34="PYG",IF(S$10&gt;0,N(Reales!S34)/S$10,0),N(Reales!S34)),S$149*INDEX(Precio_V,10)*INDEX(IdxPrecio_V,1,MIN(10,S$136))*(1+V_dPrecio))</f>
        <v>0</v>
      </c>
      <c r="T161" s="34" t="n">
        <f aca="false">IF(T$8=1,IF(Reales!$C$34="PYG",IF(T$10&gt;0,N(Reales!T34)/T$10,0),N(Reales!T34)),T$149*INDEX(Precio_V,10)*INDEX(IdxPrecio_V,1,MIN(10,T$136))*(1+V_dPrecio))</f>
        <v>0</v>
      </c>
      <c r="U161" s="34" t="n">
        <f aca="false">IF(U$8=1,IF(Reales!$C$34="PYG",IF(U$10&gt;0,N(Reales!U34)/U$10,0),N(Reales!U34)),U$149*INDEX(Precio_V,10)*INDEX(IdxPrecio_V,1,MIN(10,U$136))*(1+V_dPrecio))</f>
        <v>0</v>
      </c>
      <c r="V161" s="34" t="n">
        <f aca="false">IF(V$8=1,IF(Reales!$C$34="PYG",IF(V$10&gt;0,N(Reales!V34)/V$10,0),N(Reales!V34)),V$149*INDEX(Precio_V,10)*INDEX(IdxPrecio_V,1,MIN(10,V$136))*(1+V_dPrecio))</f>
        <v>0</v>
      </c>
      <c r="W161" s="34" t="n">
        <f aca="false">IF(W$8=1,IF(Reales!$C$34="PYG",IF(W$10&gt;0,N(Reales!W34)/W$10,0),N(Reales!W34)),W$149*INDEX(Precio_V,10)*INDEX(IdxPrecio_V,1,MIN(10,W$136))*(1+V_dPrecio))</f>
        <v>0</v>
      </c>
      <c r="X161" s="34" t="n">
        <f aca="false">IF(X$8=1,IF(Reales!$C$34="PYG",IF(X$10&gt;0,N(Reales!X34)/X$10,0),N(Reales!X34)),X$149*INDEX(Precio_V,10)*INDEX(IdxPrecio_V,1,MIN(10,X$136))*(1+V_dPrecio))</f>
        <v>0</v>
      </c>
      <c r="Y161" s="34" t="n">
        <f aca="false">IF(Y$8=1,IF(Reales!$C$34="PYG",IF(Y$10&gt;0,N(Reales!Y34)/Y$10,0),N(Reales!Y34)),Y$149*INDEX(Precio_V,10)*INDEX(IdxPrecio_V,1,MIN(10,Y$136))*(1+V_dPrecio))</f>
        <v>0</v>
      </c>
      <c r="Z161" s="34" t="n">
        <f aca="false">IF(Z$8=1,IF(Reales!$C$34="PYG",IF(Z$10&gt;0,N(Reales!Z34)/Z$10,0),N(Reales!Z34)),Z$149*INDEX(Precio_V,10)*INDEX(IdxPrecio_V,1,MIN(10,Z$136))*(1+V_dPrecio))</f>
        <v>0</v>
      </c>
      <c r="AA161" s="34" t="n">
        <f aca="false">IF(AA$8=1,IF(Reales!$C$34="PYG",IF(AA$10&gt;0,N(Reales!AA34)/AA$10,0),N(Reales!AA34)),AA$149*INDEX(Precio_V,10)*INDEX(IdxPrecio_V,1,MIN(10,AA$136))*(1+V_dPrecio))</f>
        <v>0</v>
      </c>
      <c r="AB161" s="34" t="n">
        <f aca="false">IF(AB$8=1,IF(Reales!$C$34="PYG",IF(AB$10&gt;0,N(Reales!AB34)/AB$10,0),N(Reales!AB34)),AB$149*INDEX(Precio_V,10)*INDEX(IdxPrecio_V,1,MIN(10,AB$136))*(1+V_dPrecio))</f>
        <v>0</v>
      </c>
      <c r="AC161" s="34" t="n">
        <f aca="false">IF(AC$8=1,IF(Reales!$C$34="PYG",IF(AC$10&gt;0,N(Reales!AC34)/AC$10,0),N(Reales!AC34)),AC$149*INDEX(Precio_V,10)*INDEX(IdxPrecio_V,1,MIN(10,AC$136))*(1+V_dPrecio))</f>
        <v>0</v>
      </c>
      <c r="AD161" s="34" t="n">
        <f aca="false">IF(AD$8=1,IF(Reales!$C$34="PYG",IF(AD$10&gt;0,N(Reales!AD34)/AD$10,0),N(Reales!AD34)),AD$149*INDEX(Precio_V,10)*INDEX(IdxPrecio_V,1,MIN(10,AD$136))*(1+V_dPrecio))</f>
        <v>0</v>
      </c>
      <c r="AE161" s="34" t="n">
        <f aca="false">IF(AE$8=1,IF(Reales!$C$34="PYG",IF(AE$10&gt;0,N(Reales!AE34)/AE$10,0),N(Reales!AE34)),AE$149*INDEX(Precio_V,10)*INDEX(IdxPrecio_V,1,MIN(10,AE$136))*(1+V_dPrecio))</f>
        <v>0</v>
      </c>
      <c r="AF161" s="34" t="n">
        <f aca="false">IF(AF$8=1,IF(Reales!$C$34="PYG",IF(AF$10&gt;0,N(Reales!AF34)/AF$10,0),N(Reales!AF34)),AF$149*INDEX(Precio_V,10)*INDEX(IdxPrecio_V,1,MIN(10,AF$136))*(1+V_dPrecio))</f>
        <v>0</v>
      </c>
      <c r="AG161" s="34" t="n">
        <f aca="false">IF(AG$8=1,IF(Reales!$C$34="PYG",IF(AG$10&gt;0,N(Reales!AG34)/AG$10,0),N(Reales!AG34)),AG$149*INDEX(Precio_V,10)*INDEX(IdxPrecio_V,1,MIN(10,AG$136))*(1+V_dPrecio))</f>
        <v>0</v>
      </c>
      <c r="AH161" s="34" t="n">
        <f aca="false">IF(AH$8=1,IF(Reales!$C$34="PYG",IF(AH$10&gt;0,N(Reales!AH34)/AH$10,0),N(Reales!AH34)),AH$149*INDEX(Precio_V,10)*INDEX(IdxPrecio_V,1,MIN(10,AH$136))*(1+V_dPrecio))</f>
        <v>0</v>
      </c>
      <c r="AI161" s="34" t="n">
        <f aca="false">IF(AI$8=1,IF(Reales!$C$34="PYG",IF(AI$10&gt;0,N(Reales!AI34)/AI$10,0),N(Reales!AI34)),AI$149*INDEX(Precio_V,10)*INDEX(IdxPrecio_V,1,MIN(10,AI$136))*(1+V_dPrecio))</f>
        <v>0</v>
      </c>
      <c r="AJ161" s="34" t="n">
        <f aca="false">IF(AJ$8=1,IF(Reales!$C$34="PYG",IF(AJ$10&gt;0,N(Reales!AJ34)/AJ$10,0),N(Reales!AJ34)),AJ$149*INDEX(Precio_V,10)*INDEX(IdxPrecio_V,1,MIN(10,AJ$136))*(1+V_dPrecio))</f>
        <v>0</v>
      </c>
      <c r="AK161" s="34" t="n">
        <f aca="false">IF(AK$8=1,IF(Reales!$C$34="PYG",IF(AK$10&gt;0,N(Reales!AK34)/AK$10,0),N(Reales!AK34)),AK$149*INDEX(Precio_V,10)*INDEX(IdxPrecio_V,1,MIN(10,AK$136))*(1+V_dPrecio))</f>
        <v>0</v>
      </c>
      <c r="AL161" s="34" t="n">
        <f aca="false">IF(AL$8=1,IF(Reales!$C$34="PYG",IF(AL$10&gt;0,N(Reales!AL34)/AL$10,0),N(Reales!AL34)),AL$149*INDEX(Precio_V,10)*INDEX(IdxPrecio_V,1,MIN(10,AL$136))*(1+V_dPrecio))</f>
        <v>0</v>
      </c>
      <c r="AM161" s="34" t="n">
        <f aca="false">IF(AM$8=1,IF(Reales!$C$34="PYG",IF(AM$10&gt;0,N(Reales!AM34)/AM$10,0),N(Reales!AM34)),AM$149*INDEX(Precio_V,10)*INDEX(IdxPrecio_V,1,MIN(10,AM$136))*(1+V_dPrecio))</f>
        <v>0</v>
      </c>
      <c r="AN161" s="34" t="n">
        <f aca="false">IF(AN$8=1,IF(Reales!$C$34="PYG",IF(AN$10&gt;0,N(Reales!AN34)/AN$10,0),N(Reales!AN34)),AN$149*INDEX(Precio_V,10)*INDEX(IdxPrecio_V,1,MIN(10,AN$136))*(1+V_dPrecio))</f>
        <v>0</v>
      </c>
      <c r="AO161" s="34" t="n">
        <f aca="false">IF(AO$8=1,IF(Reales!$C$34="PYG",IF(AO$10&gt;0,N(Reales!AO34)/AO$10,0),N(Reales!AO34)),AO$149*INDEX(Precio_V,10)*INDEX(IdxPrecio_V,1,MIN(10,AO$136))*(1+V_dPrecio))</f>
        <v>0</v>
      </c>
      <c r="AP161" s="34" t="n">
        <f aca="false">IF(AP$8=1,IF(Reales!$C$34="PYG",IF(AP$10&gt;0,N(Reales!AP34)/AP$10,0),N(Reales!AP34)),AP$149*INDEX(Precio_V,10)*INDEX(IdxPrecio_V,1,MIN(10,AP$136))*(1+V_dPrecio))</f>
        <v>0</v>
      </c>
      <c r="AQ161" s="34" t="n">
        <f aca="false">IF(AQ$8=1,IF(Reales!$C$34="PYG",IF(AQ$10&gt;0,N(Reales!AQ34)/AQ$10,0),N(Reales!AQ34)),AQ$149*INDEX(Precio_V,10)*INDEX(IdxPrecio_V,1,MIN(10,AQ$136))*(1+V_dPrecio))</f>
        <v>0</v>
      </c>
      <c r="AR161" s="34" t="n">
        <f aca="false">IF(AR$8=1,IF(Reales!$C$34="PYG",IF(AR$10&gt;0,N(Reales!AR34)/AR$10,0),N(Reales!AR34)),AR$149*INDEX(Precio_V,10)*INDEX(IdxPrecio_V,1,MIN(10,AR$136))*(1+V_dPrecio))</f>
        <v>0</v>
      </c>
      <c r="AS161" s="34" t="n">
        <f aca="false">IF(AS$8=1,IF(Reales!$C$34="PYG",IF(AS$10&gt;0,N(Reales!AS34)/AS$10,0),N(Reales!AS34)),AS$149*INDEX(Precio_V,10)*INDEX(IdxPrecio_V,1,MIN(10,AS$136))*(1+V_dPrecio))</f>
        <v>0</v>
      </c>
      <c r="AT161" s="34" t="n">
        <f aca="false">IF(AT$8=1,IF(Reales!$C$34="PYG",IF(AT$10&gt;0,N(Reales!AT34)/AT$10,0),N(Reales!AT34)),AT$149*INDEX(Precio_V,10)*INDEX(IdxPrecio_V,1,MIN(10,AT$136))*(1+V_dPrecio))</f>
        <v>0</v>
      </c>
      <c r="AU161" s="34" t="n">
        <f aca="false">IF(AU$8=1,IF(Reales!$C$34="PYG",IF(AU$10&gt;0,N(Reales!AU34)/AU$10,0),N(Reales!AU34)),AU$149*INDEX(Precio_V,10)*INDEX(IdxPrecio_V,1,MIN(10,AU$136))*(1+V_dPrecio))</f>
        <v>0</v>
      </c>
      <c r="AV161" s="34" t="n">
        <f aca="false">IF(AV$8=1,IF(Reales!$C$34="PYG",IF(AV$10&gt;0,N(Reales!AV34)/AV$10,0),N(Reales!AV34)),AV$149*INDEX(Precio_V,10)*INDEX(IdxPrecio_V,1,MIN(10,AV$136))*(1+V_dPrecio))</f>
        <v>0</v>
      </c>
      <c r="AW161" s="34" t="n">
        <f aca="false">IF(AW$8=1,IF(Reales!$C$34="PYG",IF(AW$10&gt;0,N(Reales!AW34)/AW$10,0),N(Reales!AW34)),AW$149*INDEX(Precio_V,10)*INDEX(IdxPrecio_V,1,MIN(10,AW$136))*(1+V_dPrecio))</f>
        <v>0</v>
      </c>
      <c r="AX161" s="34" t="n">
        <f aca="false">IF(AX$8=1,IF(Reales!$C$34="PYG",IF(AX$10&gt;0,N(Reales!AX34)/AX$10,0),N(Reales!AX34)),AX$149*INDEX(Precio_V,10)*INDEX(IdxPrecio_V,1,MIN(10,AX$136))*(1+V_dPrecio))</f>
        <v>0</v>
      </c>
      <c r="AY161" s="34" t="n">
        <f aca="false">IF(AY$8=1,IF(Reales!$C$34="PYG",IF(AY$10&gt;0,N(Reales!AY34)/AY$10,0),N(Reales!AY34)),AY$149*INDEX(Precio_V,10)*INDEX(IdxPrecio_V,1,MIN(10,AY$136))*(1+V_dPrecio))</f>
        <v>0</v>
      </c>
      <c r="AZ161" s="34" t="n">
        <f aca="false">IF(AZ$8=1,IF(Reales!$C$34="PYG",IF(AZ$10&gt;0,N(Reales!AZ34)/AZ$10,0),N(Reales!AZ34)),AZ$149*INDEX(Precio_V,10)*INDEX(IdxPrecio_V,1,MIN(10,AZ$136))*(1+V_dPrecio))</f>
        <v>0</v>
      </c>
      <c r="BA161" s="34" t="n">
        <f aca="false">IF(BA$8=1,IF(Reales!$C$34="PYG",IF(BA$10&gt;0,N(Reales!BA34)/BA$10,0),N(Reales!BA34)),BA$149*INDEX(Precio_V,10)*INDEX(IdxPrecio_V,1,MIN(10,BA$136))*(1+V_dPrecio))</f>
        <v>0</v>
      </c>
      <c r="BB161" s="34" t="n">
        <f aca="false">IF(BB$8=1,IF(Reales!$C$34="PYG",IF(BB$10&gt;0,N(Reales!BB34)/BB$10,0),N(Reales!BB34)),BB$149*INDEX(Precio_V,10)*INDEX(IdxPrecio_V,1,MIN(10,BB$136))*(1+V_dPrecio))</f>
        <v>0</v>
      </c>
      <c r="BC161" s="34" t="n">
        <f aca="false">IF(BC$8=1,IF(Reales!$C$34="PYG",IF(BC$10&gt;0,N(Reales!BC34)/BC$10,0),N(Reales!BC34)),BC$149*INDEX(Precio_V,10)*INDEX(IdxPrecio_V,1,MIN(10,BC$136))*(1+V_dPrecio))</f>
        <v>0</v>
      </c>
      <c r="BD161" s="34" t="n">
        <f aca="false">IF(BD$8=1,IF(Reales!$C$34="PYG",IF(BD$10&gt;0,N(Reales!BD34)/BD$10,0),N(Reales!BD34)),BD$149*INDEX(Precio_V,10)*INDEX(IdxPrecio_V,1,MIN(10,BD$136))*(1+V_dPrecio))</f>
        <v>0</v>
      </c>
      <c r="BE161" s="34" t="n">
        <f aca="false">IF(BE$8=1,IF(Reales!$C$34="PYG",IF(BE$10&gt;0,N(Reales!BE34)/BE$10,0),N(Reales!BE34)),BE$149*INDEX(Precio_V,10)*INDEX(IdxPrecio_V,1,MIN(10,BE$136))*(1+V_dPrecio))</f>
        <v>0</v>
      </c>
      <c r="BF161" s="34" t="n">
        <f aca="false">IF(BF$8=1,IF(Reales!$C$34="PYG",IF(BF$10&gt;0,N(Reales!BF34)/BF$10,0),N(Reales!BF34)),BF$149*INDEX(Precio_V,10)*INDEX(IdxPrecio_V,1,MIN(10,BF$136))*(1+V_dPrecio))</f>
        <v>0</v>
      </c>
      <c r="BG161" s="34" t="n">
        <f aca="false">IF(BG$8=1,IF(Reales!$C$34="PYG",IF(BG$10&gt;0,N(Reales!BG34)/BG$10,0),N(Reales!BG34)),BG$149*INDEX(Precio_V,10)*INDEX(IdxPrecio_V,1,MIN(10,BG$136))*(1+V_dPrecio))</f>
        <v>0</v>
      </c>
      <c r="BH161" s="34" t="n">
        <f aca="false">IF(BH$8=1,IF(Reales!$C$34="PYG",IF(BH$10&gt;0,N(Reales!BH34)/BH$10,0),N(Reales!BH34)),BH$149*INDEX(Precio_V,10)*INDEX(IdxPrecio_V,1,MIN(10,BH$136))*(1+V_dPrecio))</f>
        <v>0</v>
      </c>
      <c r="BI161" s="34" t="n">
        <f aca="false">IF(BI$8=1,IF(Reales!$C$34="PYG",IF(BI$10&gt;0,N(Reales!BI34)/BI$10,0),N(Reales!BI34)),BI$149*INDEX(Precio_V,10)*INDEX(IdxPrecio_V,1,MIN(10,BI$136))*(1+V_dPrecio))</f>
        <v>0</v>
      </c>
      <c r="BJ161" s="34" t="n">
        <f aca="false">IF(BJ$8=1,IF(Reales!$C$34="PYG",IF(BJ$10&gt;0,N(Reales!BJ34)/BJ$10,0),N(Reales!BJ34)),BJ$149*INDEX(Precio_V,10)*INDEX(IdxPrecio_V,1,MIN(10,BJ$136))*(1+V_dPrecio))</f>
        <v>0</v>
      </c>
      <c r="BK161" s="34" t="n">
        <f aca="false">IF(BK$8=1,IF(Reales!$C$34="PYG",IF(BK$10&gt;0,N(Reales!BK34)/BK$10,0),N(Reales!BK34)),BK$149*INDEX(Precio_V,10)*INDEX(IdxPrecio_V,1,MIN(10,BK$136))*(1+V_dPrecio))</f>
        <v>0</v>
      </c>
      <c r="BL161" s="34" t="n">
        <f aca="false">IF(BL$8=1,IF(Reales!$C$34="PYG",IF(BL$10&gt;0,N(Reales!BL34)/BL$10,0),N(Reales!BL34)),BL$149*INDEX(Precio_V,10)*INDEX(IdxPrecio_V,1,MIN(10,BL$136))*(1+V_dPrecio))</f>
        <v>0</v>
      </c>
      <c r="BM161" s="34" t="n">
        <f aca="false">IF(BM$8=1,IF(Reales!$C$34="PYG",IF(BM$10&gt;0,N(Reales!BM34)/BM$10,0),N(Reales!BM34)),BM$149*INDEX(Precio_V,10)*INDEX(IdxPrecio_V,1,MIN(10,BM$136))*(1+V_dPrecio))</f>
        <v>0</v>
      </c>
      <c r="BN161" s="34" t="n">
        <f aca="false">IF(BN$8=1,IF(Reales!$C$34="PYG",IF(BN$10&gt;0,N(Reales!BN34)/BN$10,0),N(Reales!BN34)),BN$149*INDEX(Precio_V,10)*INDEX(IdxPrecio_V,1,MIN(10,BN$136))*(1+V_dPrecio))</f>
        <v>0</v>
      </c>
      <c r="BO161" s="34" t="n">
        <f aca="false">IF(BO$8=1,IF(Reales!$C$34="PYG",IF(BO$10&gt;0,N(Reales!BO34)/BO$10,0),N(Reales!BO34)),BO$149*INDEX(Precio_V,10)*INDEX(IdxPrecio_V,1,MIN(10,BO$136))*(1+V_dPrecio))</f>
        <v>0</v>
      </c>
      <c r="BP161" s="34" t="n">
        <f aca="false">IF(BP$8=1,IF(Reales!$C$34="PYG",IF(BP$10&gt;0,N(Reales!BP34)/BP$10,0),N(Reales!BP34)),BP$149*INDEX(Precio_V,10)*INDEX(IdxPrecio_V,1,MIN(10,BP$136))*(1+V_dPrecio))</f>
        <v>0</v>
      </c>
      <c r="BQ161" s="34" t="n">
        <f aca="false">IF(BQ$8=1,IF(Reales!$C$34="PYG",IF(BQ$10&gt;0,N(Reales!BQ34)/BQ$10,0),N(Reales!BQ34)),BQ$149*INDEX(Precio_V,10)*INDEX(IdxPrecio_V,1,MIN(10,BQ$136))*(1+V_dPrecio))</f>
        <v>0</v>
      </c>
      <c r="BR161" s="34" t="n">
        <f aca="false">IF(BR$8=1,IF(Reales!$C$34="PYG",IF(BR$10&gt;0,N(Reales!BR34)/BR$10,0),N(Reales!BR34)),BR$149*INDEX(Precio_V,10)*INDEX(IdxPrecio_V,1,MIN(10,BR$136))*(1+V_dPrecio))</f>
        <v>0</v>
      </c>
      <c r="BS161" s="34" t="n">
        <f aca="false">IF(BS$8=1,IF(Reales!$C$34="PYG",IF(BS$10&gt;0,N(Reales!BS34)/BS$10,0),N(Reales!BS34)),BS$149*INDEX(Precio_V,10)*INDEX(IdxPrecio_V,1,MIN(10,BS$136))*(1+V_dPrecio))</f>
        <v>0</v>
      </c>
      <c r="BT161" s="34" t="n">
        <f aca="false">IF(BT$8=1,IF(Reales!$C$34="PYG",IF(BT$10&gt;0,N(Reales!BT34)/BT$10,0),N(Reales!BT34)),BT$149*INDEX(Precio_V,10)*INDEX(IdxPrecio_V,1,MIN(10,BT$136))*(1+V_dPrecio))</f>
        <v>0</v>
      </c>
      <c r="BU161" s="34" t="n">
        <f aca="false">IF(BU$8=1,IF(Reales!$C$34="PYG",IF(BU$10&gt;0,N(Reales!BU34)/BU$10,0),N(Reales!BU34)),BU$149*INDEX(Precio_V,10)*INDEX(IdxPrecio_V,1,MIN(10,BU$136))*(1+V_dPrecio))</f>
        <v>0</v>
      </c>
      <c r="BV161" s="34" t="n">
        <f aca="false">IF(BV$8=1,IF(Reales!$C$34="PYG",IF(BV$10&gt;0,N(Reales!BV34)/BV$10,0),N(Reales!BV34)),BV$149*INDEX(Precio_V,10)*INDEX(IdxPrecio_V,1,MIN(10,BV$136))*(1+V_dPrecio))</f>
        <v>0</v>
      </c>
      <c r="BW161" s="34" t="n">
        <f aca="false">IF(BW$8=1,IF(Reales!$C$34="PYG",IF(BW$10&gt;0,N(Reales!BW34)/BW$10,0),N(Reales!BW34)),BW$149*INDEX(Precio_V,10)*INDEX(IdxPrecio_V,1,MIN(10,BW$136))*(1+V_dPrecio))</f>
        <v>0</v>
      </c>
      <c r="BX161" s="34" t="n">
        <f aca="false">IF(BX$8=1,IF(Reales!$C$34="PYG",IF(BX$10&gt;0,N(Reales!BX34)/BX$10,0),N(Reales!BX34)),BX$149*INDEX(Precio_V,10)*INDEX(IdxPrecio_V,1,MIN(10,BX$136))*(1+V_dPrecio))</f>
        <v>0</v>
      </c>
      <c r="BY161" s="34" t="n">
        <f aca="false">IF(BY$8=1,IF(Reales!$C$34="PYG",IF(BY$10&gt;0,N(Reales!BY34)/BY$10,0),N(Reales!BY34)),BY$149*INDEX(Precio_V,10)*INDEX(IdxPrecio_V,1,MIN(10,BY$136))*(1+V_dPrecio))</f>
        <v>0</v>
      </c>
      <c r="BZ161" s="34" t="n">
        <f aca="false">IF(BZ$8=1,IF(Reales!$C$34="PYG",IF(BZ$10&gt;0,N(Reales!BZ34)/BZ$10,0),N(Reales!BZ34)),BZ$149*INDEX(Precio_V,10)*INDEX(IdxPrecio_V,1,MIN(10,BZ$136))*(1+V_dPrecio))</f>
        <v>0</v>
      </c>
      <c r="CA161" s="34" t="n">
        <f aca="false">IF(CA$8=1,IF(Reales!$C$34="PYG",IF(CA$10&gt;0,N(Reales!CA34)/CA$10,0),N(Reales!CA34)),CA$149*INDEX(Precio_V,10)*INDEX(IdxPrecio_V,1,MIN(10,CA$136))*(1+V_dPrecio))</f>
        <v>0</v>
      </c>
      <c r="CB161" s="34" t="n">
        <f aca="false">IF(CB$8=1,IF(Reales!$C$34="PYG",IF(CB$10&gt;0,N(Reales!CB34)/CB$10,0),N(Reales!CB34)),CB$149*INDEX(Precio_V,10)*INDEX(IdxPrecio_V,1,MIN(10,CB$136))*(1+V_dPrecio))</f>
        <v>0</v>
      </c>
      <c r="CC161" s="34" t="n">
        <f aca="false">IF(CC$8=1,IF(Reales!$C$34="PYG",IF(CC$10&gt;0,N(Reales!CC34)/CC$10,0),N(Reales!CC34)),CC$149*INDEX(Precio_V,10)*INDEX(IdxPrecio_V,1,MIN(10,CC$136))*(1+V_dPrecio))</f>
        <v>0</v>
      </c>
      <c r="CD161" s="34" t="n">
        <f aca="false">IF(CD$8=1,IF(Reales!$C$34="PYG",IF(CD$10&gt;0,N(Reales!CD34)/CD$10,0),N(Reales!CD34)),CD$149*INDEX(Precio_V,10)*INDEX(IdxPrecio_V,1,MIN(10,CD$136))*(1+V_dPrecio))</f>
        <v>0</v>
      </c>
      <c r="CE161" s="34" t="n">
        <f aca="false">IF(CE$8=1,IF(Reales!$C$34="PYG",IF(CE$10&gt;0,N(Reales!CE34)/CE$10,0),N(Reales!CE34)),CE$149*INDEX(Precio_V,10)*INDEX(IdxPrecio_V,1,MIN(10,CE$136))*(1+V_dPrecio))</f>
        <v>0</v>
      </c>
      <c r="CF161" s="34" t="n">
        <f aca="false">IF(CF$8=1,IF(Reales!$C$34="PYG",IF(CF$10&gt;0,N(Reales!CF34)/CF$10,0),N(Reales!CF34)),CF$149*INDEX(Precio_V,10)*INDEX(IdxPrecio_V,1,MIN(10,CF$136))*(1+V_dPrecio))</f>
        <v>0</v>
      </c>
      <c r="CG161" s="34" t="n">
        <f aca="false">IF(CG$8=1,IF(Reales!$C$34="PYG",IF(CG$10&gt;0,N(Reales!CG34)/CG$10,0),N(Reales!CG34)),CG$149*INDEX(Precio_V,10)*INDEX(IdxPrecio_V,1,MIN(10,CG$136))*(1+V_dPrecio))</f>
        <v>0</v>
      </c>
      <c r="CH161" s="34" t="n">
        <f aca="false">IF(CH$8=1,IF(Reales!$C$34="PYG",IF(CH$10&gt;0,N(Reales!CH34)/CH$10,0),N(Reales!CH34)),CH$149*INDEX(Precio_V,10)*INDEX(IdxPrecio_V,1,MIN(10,CH$136))*(1+V_dPrecio))</f>
        <v>0</v>
      </c>
      <c r="CI161" s="34" t="n">
        <f aca="false">IF(CI$8=1,IF(Reales!$C$34="PYG",IF(CI$10&gt;0,N(Reales!CI34)/CI$10,0),N(Reales!CI34)),CI$149*INDEX(Precio_V,10)*INDEX(IdxPrecio_V,1,MIN(10,CI$136))*(1+V_dPrecio))</f>
        <v>0</v>
      </c>
      <c r="CJ161" s="34" t="n">
        <f aca="false">IF(CJ$8=1,IF(Reales!$C$34="PYG",IF(CJ$10&gt;0,N(Reales!CJ34)/CJ$10,0),N(Reales!CJ34)),CJ$149*INDEX(Precio_V,10)*INDEX(IdxPrecio_V,1,MIN(10,CJ$136))*(1+V_dPrecio))</f>
        <v>0</v>
      </c>
      <c r="CK161" s="34" t="n">
        <f aca="false">IF(CK$8=1,IF(Reales!$C$34="PYG",IF(CK$10&gt;0,N(Reales!CK34)/CK$10,0),N(Reales!CK34)),CK$149*INDEX(Precio_V,10)*INDEX(IdxPrecio_V,1,MIN(10,CK$136))*(1+V_dPrecio))</f>
        <v>0</v>
      </c>
      <c r="CL161" s="34" t="n">
        <f aca="false">IF(CL$8=1,IF(Reales!$C$34="PYG",IF(CL$10&gt;0,N(Reales!CL34)/CL$10,0),N(Reales!CL34)),CL$149*INDEX(Precio_V,10)*INDEX(IdxPrecio_V,1,MIN(10,CL$136))*(1+V_dPrecio))</f>
        <v>0</v>
      </c>
      <c r="CM161" s="34" t="n">
        <f aca="false">IF(CM$8=1,IF(Reales!$C$34="PYG",IF(CM$10&gt;0,N(Reales!CM34)/CM$10,0),N(Reales!CM34)),CM$149*INDEX(Precio_V,10)*INDEX(IdxPrecio_V,1,MIN(10,CM$136))*(1+V_dPrecio))</f>
        <v>0</v>
      </c>
      <c r="CN161" s="34" t="n">
        <f aca="false">IF(CN$8=1,IF(Reales!$C$34="PYG",IF(CN$10&gt;0,N(Reales!CN34)/CN$10,0),N(Reales!CN34)),CN$149*INDEX(Precio_V,10)*INDEX(IdxPrecio_V,1,MIN(10,CN$136))*(1+V_dPrecio))</f>
        <v>0</v>
      </c>
      <c r="CO161" s="34" t="n">
        <f aca="false">IF(CO$8=1,IF(Reales!$C$34="PYG",IF(CO$10&gt;0,N(Reales!CO34)/CO$10,0),N(Reales!CO34)),CO$149*INDEX(Precio_V,10)*INDEX(IdxPrecio_V,1,MIN(10,CO$136))*(1+V_dPrecio))</f>
        <v>0</v>
      </c>
      <c r="CP161" s="34" t="n">
        <f aca="false">IF(CP$8=1,IF(Reales!$C$34="PYG",IF(CP$10&gt;0,N(Reales!CP34)/CP$10,0),N(Reales!CP34)),CP$149*INDEX(Precio_V,10)*INDEX(IdxPrecio_V,1,MIN(10,CP$136))*(1+V_dPrecio))</f>
        <v>0</v>
      </c>
      <c r="CQ161" s="34" t="n">
        <f aca="false">IF(CQ$8=1,IF(Reales!$C$34="PYG",IF(CQ$10&gt;0,N(Reales!CQ34)/CQ$10,0),N(Reales!CQ34)),CQ$149*INDEX(Precio_V,10)*INDEX(IdxPrecio_V,1,MIN(10,CQ$136))*(1+V_dPrecio))</f>
        <v>0</v>
      </c>
      <c r="CR161" s="34" t="n">
        <f aca="false">IF(CR$8=1,IF(Reales!$C$34="PYG",IF(CR$10&gt;0,N(Reales!CR34)/CR$10,0),N(Reales!CR34)),CR$149*INDEX(Precio_V,10)*INDEX(IdxPrecio_V,1,MIN(10,CR$136))*(1+V_dPrecio))</f>
        <v>0</v>
      </c>
      <c r="CS161" s="34" t="n">
        <f aca="false">IF(CS$8=1,IF(Reales!$C$34="PYG",IF(CS$10&gt;0,N(Reales!CS34)/CS$10,0),N(Reales!CS34)),CS$149*INDEX(Precio_V,10)*INDEX(IdxPrecio_V,1,MIN(10,CS$136))*(1+V_dPrecio))</f>
        <v>0</v>
      </c>
      <c r="CT161" s="34" t="n">
        <f aca="false">IF(CT$8=1,IF(Reales!$C$34="PYG",IF(CT$10&gt;0,N(Reales!CT34)/CT$10,0),N(Reales!CT34)),CT$149*INDEX(Precio_V,10)*INDEX(IdxPrecio_V,1,MIN(10,CT$136))*(1+V_dPrecio))</f>
        <v>0</v>
      </c>
      <c r="CU161" s="34" t="n">
        <f aca="false">IF(CU$8=1,IF(Reales!$C$34="PYG",IF(CU$10&gt;0,N(Reales!CU34)/CU$10,0),N(Reales!CU34)),CU$149*INDEX(Precio_V,10)*INDEX(IdxPrecio_V,1,MIN(10,CU$136))*(1+V_dPrecio))</f>
        <v>0</v>
      </c>
      <c r="CV161" s="34" t="n">
        <f aca="false">IF(CV$8=1,IF(Reales!$C$34="PYG",IF(CV$10&gt;0,N(Reales!CV34)/CV$10,0),N(Reales!CV34)),CV$149*INDEX(Precio_V,10)*INDEX(IdxPrecio_V,1,MIN(10,CV$136))*(1+V_dPrecio))</f>
        <v>0</v>
      </c>
      <c r="CW161" s="34" t="n">
        <f aca="false">IF(CW$8=1,IF(Reales!$C$34="PYG",IF(CW$10&gt;0,N(Reales!CW34)/CW$10,0),N(Reales!CW34)),CW$149*INDEX(Precio_V,10)*INDEX(IdxPrecio_V,1,MIN(10,CW$136))*(1+V_dPrecio))</f>
        <v>0</v>
      </c>
      <c r="CX161" s="34" t="n">
        <f aca="false">IF(CX$8=1,IF(Reales!$C$34="PYG",IF(CX$10&gt;0,N(Reales!CX34)/CX$10,0),N(Reales!CX34)),CX$149*INDEX(Precio_V,10)*INDEX(IdxPrecio_V,1,MIN(10,CX$136))*(1+V_dPrecio))</f>
        <v>0</v>
      </c>
      <c r="CY161" s="34" t="n">
        <f aca="false">IF(CY$8=1,IF(Reales!$C$34="PYG",IF(CY$10&gt;0,N(Reales!CY34)/CY$10,0),N(Reales!CY34)),CY$149*INDEX(Precio_V,10)*INDEX(IdxPrecio_V,1,MIN(10,CY$136))*(1+V_dPrecio))</f>
        <v>0</v>
      </c>
      <c r="CZ161" s="34" t="n">
        <f aca="false">IF(CZ$8=1,IF(Reales!$C$34="PYG",IF(CZ$10&gt;0,N(Reales!CZ34)/CZ$10,0),N(Reales!CZ34)),CZ$149*INDEX(Precio_V,10)*INDEX(IdxPrecio_V,1,MIN(10,CZ$136))*(1+V_dPrecio))</f>
        <v>0</v>
      </c>
      <c r="DA161" s="34" t="n">
        <f aca="false">IF(DA$8=1,IF(Reales!$C$34="PYG",IF(DA$10&gt;0,N(Reales!DA34)/DA$10,0),N(Reales!DA34)),DA$149*INDEX(Precio_V,10)*INDEX(IdxPrecio_V,1,MIN(10,DA$136))*(1+V_dPrecio))</f>
        <v>0</v>
      </c>
      <c r="DB161" s="34" t="n">
        <f aca="false">IF(DB$8=1,IF(Reales!$C$34="PYG",IF(DB$10&gt;0,N(Reales!DB34)/DB$10,0),N(Reales!DB34)),DB$149*INDEX(Precio_V,10)*INDEX(IdxPrecio_V,1,MIN(10,DB$136))*(1+V_dPrecio))</f>
        <v>0</v>
      </c>
      <c r="DC161" s="34" t="n">
        <f aca="false">IF(DC$8=1,IF(Reales!$C$34="PYG",IF(DC$10&gt;0,N(Reales!DC34)/DC$10,0),N(Reales!DC34)),DC$149*INDEX(Precio_V,10)*INDEX(IdxPrecio_V,1,MIN(10,DC$136))*(1+V_dPrecio))</f>
        <v>0</v>
      </c>
      <c r="DD161" s="34" t="n">
        <f aca="false">IF(DD$8=1,IF(Reales!$C$34="PYG",IF(DD$10&gt;0,N(Reales!DD34)/DD$10,0),N(Reales!DD34)),DD$149*INDEX(Precio_V,10)*INDEX(IdxPrecio_V,1,MIN(10,DD$136))*(1+V_dPrecio))</f>
        <v>0</v>
      </c>
      <c r="DE161" s="34" t="n">
        <f aca="false">IF(DE$8=1,IF(Reales!$C$34="PYG",IF(DE$10&gt;0,N(Reales!DE34)/DE$10,0),N(Reales!DE34)),DE$149*INDEX(Precio_V,10)*INDEX(IdxPrecio_V,1,MIN(10,DE$136))*(1+V_dPrecio))</f>
        <v>0</v>
      </c>
      <c r="DF161" s="34" t="n">
        <f aca="false">IF(DF$8=1,IF(Reales!$C$34="PYG",IF(DF$10&gt;0,N(Reales!DF34)/DF$10,0),N(Reales!DF34)),DF$149*INDEX(Precio_V,10)*INDEX(IdxPrecio_V,1,MIN(10,DF$136))*(1+V_dPrecio))</f>
        <v>0</v>
      </c>
      <c r="DG161" s="34" t="n">
        <f aca="false">IF(DG$8=1,IF(Reales!$C$34="PYG",IF(DG$10&gt;0,N(Reales!DG34)/DG$10,0),N(Reales!DG34)),DG$149*INDEX(Precio_V,10)*INDEX(IdxPrecio_V,1,MIN(10,DG$136))*(1+V_dPrecio))</f>
        <v>0</v>
      </c>
      <c r="DH161" s="34" t="n">
        <f aca="false">IF(DH$8=1,IF(Reales!$C$34="PYG",IF(DH$10&gt;0,N(Reales!DH34)/DH$10,0),N(Reales!DH34)),DH$149*INDEX(Precio_V,10)*INDEX(IdxPrecio_V,1,MIN(10,DH$136))*(1+V_dPrecio))</f>
        <v>0</v>
      </c>
      <c r="DI161" s="34" t="n">
        <f aca="false">IF(DI$8=1,IF(Reales!$C$34="PYG",IF(DI$10&gt;0,N(Reales!DI34)/DI$10,0),N(Reales!DI34)),DI$149*INDEX(Precio_V,10)*INDEX(IdxPrecio_V,1,MIN(10,DI$136))*(1+V_dPrecio))</f>
        <v>0</v>
      </c>
      <c r="DJ161" s="34" t="n">
        <f aca="false">IF(DJ$8=1,IF(Reales!$C$34="PYG",IF(DJ$10&gt;0,N(Reales!DJ34)/DJ$10,0),N(Reales!DJ34)),DJ$149*INDEX(Precio_V,10)*INDEX(IdxPrecio_V,1,MIN(10,DJ$136))*(1+V_dPrecio))</f>
        <v>0</v>
      </c>
      <c r="DK161" s="34" t="n">
        <f aca="false">IF(DK$8=1,IF(Reales!$C$34="PYG",IF(DK$10&gt;0,N(Reales!DK34)/DK$10,0),N(Reales!DK34)),DK$149*INDEX(Precio_V,10)*INDEX(IdxPrecio_V,1,MIN(10,DK$136))*(1+V_dPrecio))</f>
        <v>0</v>
      </c>
      <c r="DL161" s="34" t="n">
        <f aca="false">IF(DL$8=1,IF(Reales!$C$34="PYG",IF(DL$10&gt;0,N(Reales!DL34)/DL$10,0),N(Reales!DL34)),DL$149*INDEX(Precio_V,10)*INDEX(IdxPrecio_V,1,MIN(10,DL$136))*(1+V_dPrecio))</f>
        <v>0</v>
      </c>
      <c r="DM161" s="34" t="n">
        <f aca="false">IF(DM$8=1,IF(Reales!$C$34="PYG",IF(DM$10&gt;0,N(Reales!DM34)/DM$10,0),N(Reales!DM34)),DM$149*INDEX(Precio_V,10)*INDEX(IdxPrecio_V,1,MIN(10,DM$136))*(1+V_dPrecio))</f>
        <v>0</v>
      </c>
      <c r="DN161" s="34" t="n">
        <f aca="false">IF(DN$8=1,IF(Reales!$C$34="PYG",IF(DN$10&gt;0,N(Reales!DN34)/DN$10,0),N(Reales!DN34)),DN$149*INDEX(Precio_V,10)*INDEX(IdxPrecio_V,1,MIN(10,DN$136))*(1+V_dPrecio))</f>
        <v>0</v>
      </c>
      <c r="DO161" s="34" t="n">
        <f aca="false">IF(DO$8=1,IF(Reales!$C$34="PYG",IF(DO$10&gt;0,N(Reales!DO34)/DO$10,0),N(Reales!DO34)),DO$149*INDEX(Precio_V,10)*INDEX(IdxPrecio_V,1,MIN(10,DO$136))*(1+V_dPrecio))</f>
        <v>0</v>
      </c>
      <c r="DP161" s="34" t="n">
        <f aca="false">IF(DP$8=1,IF(Reales!$C$34="PYG",IF(DP$10&gt;0,N(Reales!DP34)/DP$10,0),N(Reales!DP34)),DP$149*INDEX(Precio_V,10)*INDEX(IdxPrecio_V,1,MIN(10,DP$136))*(1+V_dPrecio))</f>
        <v>0</v>
      </c>
      <c r="DQ161" s="34" t="n">
        <f aca="false">IF(DQ$8=1,IF(Reales!$C$34="PYG",IF(DQ$10&gt;0,N(Reales!DQ34)/DQ$10,0),N(Reales!DQ34)),DQ$149*INDEX(Precio_V,10)*INDEX(IdxPrecio_V,1,MIN(10,DQ$136))*(1+V_dPrecio))</f>
        <v>0</v>
      </c>
      <c r="DR161" s="34" t="n">
        <f aca="false">IF(DR$8=1,IF(Reales!$C$34="PYG",IF(DR$10&gt;0,N(Reales!DR34)/DR$10,0),N(Reales!DR34)),DR$149*INDEX(Precio_V,10)*INDEX(IdxPrecio_V,1,MIN(10,DR$136))*(1+V_dPrecio))</f>
        <v>0</v>
      </c>
      <c r="DS161" s="34" t="n">
        <f aca="false">IF(DS$8=1,IF(Reales!$C$34="PYG",IF(DS$10&gt;0,N(Reales!DS34)/DS$10,0),N(Reales!DS34)),DS$149*INDEX(Precio_V,10)*INDEX(IdxPrecio_V,1,MIN(10,DS$136))*(1+V_dPrecio))</f>
        <v>0</v>
      </c>
      <c r="DT161" s="34" t="n">
        <f aca="false">IF(DT$8=1,IF(Reales!$C$34="PYG",IF(DT$10&gt;0,N(Reales!DT34)/DT$10,0),N(Reales!DT34)),DT$149*INDEX(Precio_V,10)*INDEX(IdxPrecio_V,1,MIN(10,DT$136))*(1+V_dPrecio))</f>
        <v>0</v>
      </c>
      <c r="DU161" s="34" t="n">
        <f aca="false">IF(DU$8=1,IF(Reales!$C$34="PYG",IF(DU$10&gt;0,N(Reales!DU34)/DU$10,0),N(Reales!DU34)),DU$149*INDEX(Precio_V,10)*INDEX(IdxPrecio_V,1,MIN(10,DU$136))*(1+V_dPrecio))</f>
        <v>0</v>
      </c>
      <c r="DV161" s="34" t="n">
        <f aca="false">IF(DV$8=1,IF(Reales!$C$34="PYG",IF(DV$10&gt;0,N(Reales!DV34)/DV$10,0),N(Reales!DV34)),DV$149*INDEX(Precio_V,10)*INDEX(IdxPrecio_V,1,MIN(10,DV$136))*(1+V_dPrecio))</f>
        <v>0</v>
      </c>
      <c r="DW161" s="34" t="n">
        <f aca="false">IF(DW$8=1,IF(Reales!$C$34="PYG",IF(DW$10&gt;0,N(Reales!DW34)/DW$10,0),N(Reales!DW34)),DW$149*INDEX(Precio_V,10)*INDEX(IdxPrecio_V,1,MIN(10,DW$136))*(1+V_dPrecio))</f>
        <v>0</v>
      </c>
      <c r="DX161" s="34" t="n">
        <f aca="false">IF(DX$8=1,IF(Reales!$C$34="PYG",IF(DX$10&gt;0,N(Reales!DX34)/DX$10,0),N(Reales!DX34)),DX$149*INDEX(Precio_V,10)*INDEX(IdxPrecio_V,1,MIN(10,DX$136))*(1+V_dPrecio))</f>
        <v>0</v>
      </c>
      <c r="DY161" s="34" t="n">
        <f aca="false">IF(DY$8=1,IF(Reales!$C$34="PYG",IF(DY$10&gt;0,N(Reales!DY34)/DY$10,0),N(Reales!DY34)),DY$149*INDEX(Precio_V,10)*INDEX(IdxPrecio_V,1,MIN(10,DY$136))*(1+V_dPrecio))</f>
        <v>0</v>
      </c>
      <c r="DZ161" s="34" t="n">
        <f aca="false">IF(DZ$8=1,IF(Reales!$C$34="PYG",IF(DZ$10&gt;0,N(Reales!DZ34)/DZ$10,0),N(Reales!DZ34)),DZ$149*INDEX(Precio_V,10)*INDEX(IdxPrecio_V,1,MIN(10,DZ$136))*(1+V_dPrecio))</f>
        <v>0</v>
      </c>
      <c r="EA161" s="34" t="n">
        <f aca="false">IF(EA$8=1,IF(Reales!$C$34="PYG",IF(EA$10&gt;0,N(Reales!EA34)/EA$10,0),N(Reales!EA34)),EA$149*INDEX(Precio_V,10)*INDEX(IdxPrecio_V,1,MIN(10,EA$136))*(1+V_dPrecio))</f>
        <v>0</v>
      </c>
      <c r="EB161" s="34" t="n">
        <f aca="false">IF(EB$8=1,IF(Reales!$C$34="PYG",IF(EB$10&gt;0,N(Reales!EB34)/EB$10,0),N(Reales!EB34)),EB$149*INDEX(Precio_V,10)*INDEX(IdxPrecio_V,1,MIN(10,EB$136))*(1+V_dPrecio))</f>
        <v>0</v>
      </c>
      <c r="EC161" s="34" t="n">
        <f aca="false">IF(EC$8=1,IF(Reales!$C$34="PYG",IF(EC$10&gt;0,N(Reales!EC34)/EC$10,0),N(Reales!EC34)),EC$149*INDEX(Precio_V,10)*INDEX(IdxPrecio_V,1,MIN(10,EC$136))*(1+V_dPrecio))</f>
        <v>0</v>
      </c>
      <c r="ED161" s="34" t="n">
        <f aca="false">IF(ED$8=1,IF(Reales!$C$34="PYG",IF(ED$10&gt;0,N(Reales!ED34)/ED$10,0),N(Reales!ED34)),ED$149*INDEX(Precio_V,10)*INDEX(IdxPrecio_V,1,MIN(10,ED$136))*(1+V_dPrecio))</f>
        <v>0</v>
      </c>
      <c r="EE161" s="34" t="n">
        <f aca="false">IF(EE$8=1,IF(Reales!$C$34="PYG",IF(EE$10&gt;0,N(Reales!EE34)/EE$10,0),N(Reales!EE34)),EE$149*INDEX(Precio_V,10)*INDEX(IdxPrecio_V,1,MIN(10,EE$136))*(1+V_dPrecio))</f>
        <v>0</v>
      </c>
      <c r="EF161" s="34" t="n">
        <f aca="false">IF(EF$8=1,IF(Reales!$C$34="PYG",IF(EF$10&gt;0,N(Reales!EF34)/EF$10,0),N(Reales!EF34)),EF$149*INDEX(Precio_V,10)*INDEX(IdxPrecio_V,1,MIN(10,EF$136))*(1+V_dPrecio))</f>
        <v>0</v>
      </c>
      <c r="EG161" s="34" t="n">
        <f aca="false">IF(EG$8=1,IF(Reales!$C$34="PYG",IF(EG$10&gt;0,N(Reales!EG34)/EG$10,0),N(Reales!EG34)),EG$149*INDEX(Precio_V,10)*INDEX(IdxPrecio_V,1,MIN(10,EG$136))*(1+V_dPrecio))</f>
        <v>0</v>
      </c>
      <c r="EH161" s="34" t="n">
        <f aca="false">IF(EH$8=1,IF(Reales!$C$34="PYG",IF(EH$10&gt;0,N(Reales!EH34)/EH$10,0),N(Reales!EH34)),EH$149*INDEX(Precio_V,10)*INDEX(IdxPrecio_V,1,MIN(10,EH$136))*(1+V_dPrecio))</f>
        <v>0</v>
      </c>
      <c r="EI161" s="34" t="n">
        <f aca="false">IF(EI$8=1,IF(Reales!$C$34="PYG",IF(EI$10&gt;0,N(Reales!EI34)/EI$10,0),N(Reales!EI34)),EI$149*INDEX(Precio_V,10)*INDEX(IdxPrecio_V,1,MIN(10,EI$136))*(1+V_dPrecio))</f>
        <v>0</v>
      </c>
      <c r="EJ161" s="34" t="n">
        <f aca="false">IF(EJ$8=1,IF(Reales!$C$34="PYG",IF(EJ$10&gt;0,N(Reales!EJ34)/EJ$10,0),N(Reales!EJ34)),EJ$149*INDEX(Precio_V,10)*INDEX(IdxPrecio_V,1,MIN(10,EJ$136))*(1+V_dPrecio))</f>
        <v>0</v>
      </c>
      <c r="EK161" s="34" t="n">
        <f aca="false">IF(EK$8=1,IF(Reales!$C$34="PYG",IF(EK$10&gt;0,N(Reales!EK34)/EK$10,0),N(Reales!EK34)),EK$149*INDEX(Precio_V,10)*INDEX(IdxPrecio_V,1,MIN(10,EK$136))*(1+V_dPrecio))</f>
        <v>0</v>
      </c>
      <c r="EL161" s="34" t="n">
        <f aca="false">IF(EL$8=1,IF(Reales!$C$34="PYG",IF(EL$10&gt;0,N(Reales!EL34)/EL$10,0),N(Reales!EL34)),EL$149*INDEX(Precio_V,10)*INDEX(IdxPrecio_V,1,MIN(10,EL$136))*(1+V_dPrecio))</f>
        <v>0</v>
      </c>
      <c r="EM161" s="34" t="n">
        <f aca="false">IF(EM$8=1,IF(Reales!$C$34="PYG",IF(EM$10&gt;0,N(Reales!EM34)/EM$10,0),N(Reales!EM34)),EM$149*INDEX(Precio_V,10)*INDEX(IdxPrecio_V,1,MIN(10,EM$136))*(1+V_dPrecio))</f>
        <v>0</v>
      </c>
      <c r="EN161" s="34" t="n">
        <f aca="false">IF(EN$8=1,IF(Reales!$C$34="PYG",IF(EN$10&gt;0,N(Reales!EN34)/EN$10,0),N(Reales!EN34)),EN$149*INDEX(Precio_V,10)*INDEX(IdxPrecio_V,1,MIN(10,EN$136))*(1+V_dPrecio))</f>
        <v>0</v>
      </c>
      <c r="EO161" s="34" t="n">
        <f aca="false">IF(EO$8=1,IF(Reales!$C$34="PYG",IF(EO$10&gt;0,N(Reales!EO34)/EO$10,0),N(Reales!EO34)),EO$149*INDEX(Precio_V,10)*INDEX(IdxPrecio_V,1,MIN(10,EO$136))*(1+V_dPrecio))</f>
        <v>0</v>
      </c>
      <c r="EP161" s="34" t="n">
        <f aca="false">IF(EP$8=1,IF(Reales!$C$34="PYG",IF(EP$10&gt;0,N(Reales!EP34)/EP$10,0),N(Reales!EP34)),EP$149*INDEX(Precio_V,10)*INDEX(IdxPrecio_V,1,MIN(10,EP$136))*(1+V_dPrecio))</f>
        <v>0</v>
      </c>
      <c r="EQ161" s="34" t="n">
        <f aca="false">IF(EQ$8=1,IF(Reales!$C$34="PYG",IF(EQ$10&gt;0,N(Reales!EQ34)/EQ$10,0),N(Reales!EQ34)),EQ$149*INDEX(Precio_V,10)*INDEX(IdxPrecio_V,1,MIN(10,EQ$136))*(1+V_dPrecio))</f>
        <v>0</v>
      </c>
      <c r="ER161" s="34" t="n">
        <f aca="false">IF(ER$8=1,IF(Reales!$C$34="PYG",IF(ER$10&gt;0,N(Reales!ER34)/ER$10,0),N(Reales!ER34)),ER$149*INDEX(Precio_V,10)*INDEX(IdxPrecio_V,1,MIN(10,ER$136))*(1+V_dPrecio))</f>
        <v>0</v>
      </c>
      <c r="ES161" s="34" t="n">
        <f aca="false">IF(ES$8=1,IF(Reales!$C$34="PYG",IF(ES$10&gt;0,N(Reales!ES34)/ES$10,0),N(Reales!ES34)),ES$149*INDEX(Precio_V,10)*INDEX(IdxPrecio_V,1,MIN(10,ES$136))*(1+V_dPrecio))</f>
        <v>0</v>
      </c>
    </row>
    <row r="162" customFormat="false" ht="15" hidden="false" customHeight="false" outlineLevel="0" collapsed="false">
      <c r="A162" s="2" t="s">
        <v>641</v>
      </c>
      <c r="B162" s="39" t="str">
        <f aca="false">IF(INDEX(Prod_Nombre,11)="","Producto 11",INDEX(Prod_Nombre,11))&amp;" — ventas USD"</f>
        <v>Producto 11 — ventas USD</v>
      </c>
      <c r="C162" s="6" t="s">
        <v>212</v>
      </c>
      <c r="E162" s="40" t="n">
        <f aca="false">SUM(F162:ES162)</f>
        <v>0</v>
      </c>
      <c r="F162" s="34" t="n">
        <f aca="false">IF(F$8=1,IF(Reales!$C$35="PYG",IF(F$10&gt;0,N(Reales!F35)/F$10,0),N(Reales!F35)),F$150*INDEX(Precio_V,11)*INDEX(IdxPrecio_V,1,MIN(10,F$136))*(1+V_dPrecio))</f>
        <v>0</v>
      </c>
      <c r="G162" s="34" t="n">
        <f aca="false">IF(G$8=1,IF(Reales!$C$35="PYG",IF(G$10&gt;0,N(Reales!G35)/G$10,0),N(Reales!G35)),G$150*INDEX(Precio_V,11)*INDEX(IdxPrecio_V,1,MIN(10,G$136))*(1+V_dPrecio))</f>
        <v>0</v>
      </c>
      <c r="H162" s="34" t="n">
        <f aca="false">IF(H$8=1,IF(Reales!$C$35="PYG",IF(H$10&gt;0,N(Reales!H35)/H$10,0),N(Reales!H35)),H$150*INDEX(Precio_V,11)*INDEX(IdxPrecio_V,1,MIN(10,H$136))*(1+V_dPrecio))</f>
        <v>0</v>
      </c>
      <c r="I162" s="34" t="n">
        <f aca="false">IF(I$8=1,IF(Reales!$C$35="PYG",IF(I$10&gt;0,N(Reales!I35)/I$10,0),N(Reales!I35)),I$150*INDEX(Precio_V,11)*INDEX(IdxPrecio_V,1,MIN(10,I$136))*(1+V_dPrecio))</f>
        <v>0</v>
      </c>
      <c r="J162" s="34" t="n">
        <f aca="false">IF(J$8=1,IF(Reales!$C$35="PYG",IF(J$10&gt;0,N(Reales!J35)/J$10,0),N(Reales!J35)),J$150*INDEX(Precio_V,11)*INDEX(IdxPrecio_V,1,MIN(10,J$136))*(1+V_dPrecio))</f>
        <v>0</v>
      </c>
      <c r="K162" s="34" t="n">
        <f aca="false">IF(K$8=1,IF(Reales!$C$35="PYG",IF(K$10&gt;0,N(Reales!K35)/K$10,0),N(Reales!K35)),K$150*INDEX(Precio_V,11)*INDEX(IdxPrecio_V,1,MIN(10,K$136))*(1+V_dPrecio))</f>
        <v>0</v>
      </c>
      <c r="L162" s="34" t="n">
        <f aca="false">IF(L$8=1,IF(Reales!$C$35="PYG",IF(L$10&gt;0,N(Reales!L35)/L$10,0),N(Reales!L35)),L$150*INDEX(Precio_V,11)*INDEX(IdxPrecio_V,1,MIN(10,L$136))*(1+V_dPrecio))</f>
        <v>0</v>
      </c>
      <c r="M162" s="34" t="n">
        <f aca="false">IF(M$8=1,IF(Reales!$C$35="PYG",IF(M$10&gt;0,N(Reales!M35)/M$10,0),N(Reales!M35)),M$150*INDEX(Precio_V,11)*INDEX(IdxPrecio_V,1,MIN(10,M$136))*(1+V_dPrecio))</f>
        <v>0</v>
      </c>
      <c r="N162" s="34" t="n">
        <f aca="false">IF(N$8=1,IF(Reales!$C$35="PYG",IF(N$10&gt;0,N(Reales!N35)/N$10,0),N(Reales!N35)),N$150*INDEX(Precio_V,11)*INDEX(IdxPrecio_V,1,MIN(10,N$136))*(1+V_dPrecio))</f>
        <v>0</v>
      </c>
      <c r="O162" s="34" t="n">
        <f aca="false">IF(O$8=1,IF(Reales!$C$35="PYG",IF(O$10&gt;0,N(Reales!O35)/O$10,0),N(Reales!O35)),O$150*INDEX(Precio_V,11)*INDEX(IdxPrecio_V,1,MIN(10,O$136))*(1+V_dPrecio))</f>
        <v>0</v>
      </c>
      <c r="P162" s="34" t="n">
        <f aca="false">IF(P$8=1,IF(Reales!$C$35="PYG",IF(P$10&gt;0,N(Reales!P35)/P$10,0),N(Reales!P35)),P$150*INDEX(Precio_V,11)*INDEX(IdxPrecio_V,1,MIN(10,P$136))*(1+V_dPrecio))</f>
        <v>0</v>
      </c>
      <c r="Q162" s="34" t="n">
        <f aca="false">IF(Q$8=1,IF(Reales!$C$35="PYG",IF(Q$10&gt;0,N(Reales!Q35)/Q$10,0),N(Reales!Q35)),Q$150*INDEX(Precio_V,11)*INDEX(IdxPrecio_V,1,MIN(10,Q$136))*(1+V_dPrecio))</f>
        <v>0</v>
      </c>
      <c r="R162" s="34" t="n">
        <f aca="false">IF(R$8=1,IF(Reales!$C$35="PYG",IF(R$10&gt;0,N(Reales!R35)/R$10,0),N(Reales!R35)),R$150*INDEX(Precio_V,11)*INDEX(IdxPrecio_V,1,MIN(10,R$136))*(1+V_dPrecio))</f>
        <v>0</v>
      </c>
      <c r="S162" s="34" t="n">
        <f aca="false">IF(S$8=1,IF(Reales!$C$35="PYG",IF(S$10&gt;0,N(Reales!S35)/S$10,0),N(Reales!S35)),S$150*INDEX(Precio_V,11)*INDEX(IdxPrecio_V,1,MIN(10,S$136))*(1+V_dPrecio))</f>
        <v>0</v>
      </c>
      <c r="T162" s="34" t="n">
        <f aca="false">IF(T$8=1,IF(Reales!$C$35="PYG",IF(T$10&gt;0,N(Reales!T35)/T$10,0),N(Reales!T35)),T$150*INDEX(Precio_V,11)*INDEX(IdxPrecio_V,1,MIN(10,T$136))*(1+V_dPrecio))</f>
        <v>0</v>
      </c>
      <c r="U162" s="34" t="n">
        <f aca="false">IF(U$8=1,IF(Reales!$C$35="PYG",IF(U$10&gt;0,N(Reales!U35)/U$10,0),N(Reales!U35)),U$150*INDEX(Precio_V,11)*INDEX(IdxPrecio_V,1,MIN(10,U$136))*(1+V_dPrecio))</f>
        <v>0</v>
      </c>
      <c r="V162" s="34" t="n">
        <f aca="false">IF(V$8=1,IF(Reales!$C$35="PYG",IF(V$10&gt;0,N(Reales!V35)/V$10,0),N(Reales!V35)),V$150*INDEX(Precio_V,11)*INDEX(IdxPrecio_V,1,MIN(10,V$136))*(1+V_dPrecio))</f>
        <v>0</v>
      </c>
      <c r="W162" s="34" t="n">
        <f aca="false">IF(W$8=1,IF(Reales!$C$35="PYG",IF(W$10&gt;0,N(Reales!W35)/W$10,0),N(Reales!W35)),W$150*INDEX(Precio_V,11)*INDEX(IdxPrecio_V,1,MIN(10,W$136))*(1+V_dPrecio))</f>
        <v>0</v>
      </c>
      <c r="X162" s="34" t="n">
        <f aca="false">IF(X$8=1,IF(Reales!$C$35="PYG",IF(X$10&gt;0,N(Reales!X35)/X$10,0),N(Reales!X35)),X$150*INDEX(Precio_V,11)*INDEX(IdxPrecio_V,1,MIN(10,X$136))*(1+V_dPrecio))</f>
        <v>0</v>
      </c>
      <c r="Y162" s="34" t="n">
        <f aca="false">IF(Y$8=1,IF(Reales!$C$35="PYG",IF(Y$10&gt;0,N(Reales!Y35)/Y$10,0),N(Reales!Y35)),Y$150*INDEX(Precio_V,11)*INDEX(IdxPrecio_V,1,MIN(10,Y$136))*(1+V_dPrecio))</f>
        <v>0</v>
      </c>
      <c r="Z162" s="34" t="n">
        <f aca="false">IF(Z$8=1,IF(Reales!$C$35="PYG",IF(Z$10&gt;0,N(Reales!Z35)/Z$10,0),N(Reales!Z35)),Z$150*INDEX(Precio_V,11)*INDEX(IdxPrecio_V,1,MIN(10,Z$136))*(1+V_dPrecio))</f>
        <v>0</v>
      </c>
      <c r="AA162" s="34" t="n">
        <f aca="false">IF(AA$8=1,IF(Reales!$C$35="PYG",IF(AA$10&gt;0,N(Reales!AA35)/AA$10,0),N(Reales!AA35)),AA$150*INDEX(Precio_V,11)*INDEX(IdxPrecio_V,1,MIN(10,AA$136))*(1+V_dPrecio))</f>
        <v>0</v>
      </c>
      <c r="AB162" s="34" t="n">
        <f aca="false">IF(AB$8=1,IF(Reales!$C$35="PYG",IF(AB$10&gt;0,N(Reales!AB35)/AB$10,0),N(Reales!AB35)),AB$150*INDEX(Precio_V,11)*INDEX(IdxPrecio_V,1,MIN(10,AB$136))*(1+V_dPrecio))</f>
        <v>0</v>
      </c>
      <c r="AC162" s="34" t="n">
        <f aca="false">IF(AC$8=1,IF(Reales!$C$35="PYG",IF(AC$10&gt;0,N(Reales!AC35)/AC$10,0),N(Reales!AC35)),AC$150*INDEX(Precio_V,11)*INDEX(IdxPrecio_V,1,MIN(10,AC$136))*(1+V_dPrecio))</f>
        <v>0</v>
      </c>
      <c r="AD162" s="34" t="n">
        <f aca="false">IF(AD$8=1,IF(Reales!$C$35="PYG",IF(AD$10&gt;0,N(Reales!AD35)/AD$10,0),N(Reales!AD35)),AD$150*INDEX(Precio_V,11)*INDEX(IdxPrecio_V,1,MIN(10,AD$136))*(1+V_dPrecio))</f>
        <v>0</v>
      </c>
      <c r="AE162" s="34" t="n">
        <f aca="false">IF(AE$8=1,IF(Reales!$C$35="PYG",IF(AE$10&gt;0,N(Reales!AE35)/AE$10,0),N(Reales!AE35)),AE$150*INDEX(Precio_V,11)*INDEX(IdxPrecio_V,1,MIN(10,AE$136))*(1+V_dPrecio))</f>
        <v>0</v>
      </c>
      <c r="AF162" s="34" t="n">
        <f aca="false">IF(AF$8=1,IF(Reales!$C$35="PYG",IF(AF$10&gt;0,N(Reales!AF35)/AF$10,0),N(Reales!AF35)),AF$150*INDEX(Precio_V,11)*INDEX(IdxPrecio_V,1,MIN(10,AF$136))*(1+V_dPrecio))</f>
        <v>0</v>
      </c>
      <c r="AG162" s="34" t="n">
        <f aca="false">IF(AG$8=1,IF(Reales!$C$35="PYG",IF(AG$10&gt;0,N(Reales!AG35)/AG$10,0),N(Reales!AG35)),AG$150*INDEX(Precio_V,11)*INDEX(IdxPrecio_V,1,MIN(10,AG$136))*(1+V_dPrecio))</f>
        <v>0</v>
      </c>
      <c r="AH162" s="34" t="n">
        <f aca="false">IF(AH$8=1,IF(Reales!$C$35="PYG",IF(AH$10&gt;0,N(Reales!AH35)/AH$10,0),N(Reales!AH35)),AH$150*INDEX(Precio_V,11)*INDEX(IdxPrecio_V,1,MIN(10,AH$136))*(1+V_dPrecio))</f>
        <v>0</v>
      </c>
      <c r="AI162" s="34" t="n">
        <f aca="false">IF(AI$8=1,IF(Reales!$C$35="PYG",IF(AI$10&gt;0,N(Reales!AI35)/AI$10,0),N(Reales!AI35)),AI$150*INDEX(Precio_V,11)*INDEX(IdxPrecio_V,1,MIN(10,AI$136))*(1+V_dPrecio))</f>
        <v>0</v>
      </c>
      <c r="AJ162" s="34" t="n">
        <f aca="false">IF(AJ$8=1,IF(Reales!$C$35="PYG",IF(AJ$10&gt;0,N(Reales!AJ35)/AJ$10,0),N(Reales!AJ35)),AJ$150*INDEX(Precio_V,11)*INDEX(IdxPrecio_V,1,MIN(10,AJ$136))*(1+V_dPrecio))</f>
        <v>0</v>
      </c>
      <c r="AK162" s="34" t="n">
        <f aca="false">IF(AK$8=1,IF(Reales!$C$35="PYG",IF(AK$10&gt;0,N(Reales!AK35)/AK$10,0),N(Reales!AK35)),AK$150*INDEX(Precio_V,11)*INDEX(IdxPrecio_V,1,MIN(10,AK$136))*(1+V_dPrecio))</f>
        <v>0</v>
      </c>
      <c r="AL162" s="34" t="n">
        <f aca="false">IF(AL$8=1,IF(Reales!$C$35="PYG",IF(AL$10&gt;0,N(Reales!AL35)/AL$10,0),N(Reales!AL35)),AL$150*INDEX(Precio_V,11)*INDEX(IdxPrecio_V,1,MIN(10,AL$136))*(1+V_dPrecio))</f>
        <v>0</v>
      </c>
      <c r="AM162" s="34" t="n">
        <f aca="false">IF(AM$8=1,IF(Reales!$C$35="PYG",IF(AM$10&gt;0,N(Reales!AM35)/AM$10,0),N(Reales!AM35)),AM$150*INDEX(Precio_V,11)*INDEX(IdxPrecio_V,1,MIN(10,AM$136))*(1+V_dPrecio))</f>
        <v>0</v>
      </c>
      <c r="AN162" s="34" t="n">
        <f aca="false">IF(AN$8=1,IF(Reales!$C$35="PYG",IF(AN$10&gt;0,N(Reales!AN35)/AN$10,0),N(Reales!AN35)),AN$150*INDEX(Precio_V,11)*INDEX(IdxPrecio_V,1,MIN(10,AN$136))*(1+V_dPrecio))</f>
        <v>0</v>
      </c>
      <c r="AO162" s="34" t="n">
        <f aca="false">IF(AO$8=1,IF(Reales!$C$35="PYG",IF(AO$10&gt;0,N(Reales!AO35)/AO$10,0),N(Reales!AO35)),AO$150*INDEX(Precio_V,11)*INDEX(IdxPrecio_V,1,MIN(10,AO$136))*(1+V_dPrecio))</f>
        <v>0</v>
      </c>
      <c r="AP162" s="34" t="n">
        <f aca="false">IF(AP$8=1,IF(Reales!$C$35="PYG",IF(AP$10&gt;0,N(Reales!AP35)/AP$10,0),N(Reales!AP35)),AP$150*INDEX(Precio_V,11)*INDEX(IdxPrecio_V,1,MIN(10,AP$136))*(1+V_dPrecio))</f>
        <v>0</v>
      </c>
      <c r="AQ162" s="34" t="n">
        <f aca="false">IF(AQ$8=1,IF(Reales!$C$35="PYG",IF(AQ$10&gt;0,N(Reales!AQ35)/AQ$10,0),N(Reales!AQ35)),AQ$150*INDEX(Precio_V,11)*INDEX(IdxPrecio_V,1,MIN(10,AQ$136))*(1+V_dPrecio))</f>
        <v>0</v>
      </c>
      <c r="AR162" s="34" t="n">
        <f aca="false">IF(AR$8=1,IF(Reales!$C$35="PYG",IF(AR$10&gt;0,N(Reales!AR35)/AR$10,0),N(Reales!AR35)),AR$150*INDEX(Precio_V,11)*INDEX(IdxPrecio_V,1,MIN(10,AR$136))*(1+V_dPrecio))</f>
        <v>0</v>
      </c>
      <c r="AS162" s="34" t="n">
        <f aca="false">IF(AS$8=1,IF(Reales!$C$35="PYG",IF(AS$10&gt;0,N(Reales!AS35)/AS$10,0),N(Reales!AS35)),AS$150*INDEX(Precio_V,11)*INDEX(IdxPrecio_V,1,MIN(10,AS$136))*(1+V_dPrecio))</f>
        <v>0</v>
      </c>
      <c r="AT162" s="34" t="n">
        <f aca="false">IF(AT$8=1,IF(Reales!$C$35="PYG",IF(AT$10&gt;0,N(Reales!AT35)/AT$10,0),N(Reales!AT35)),AT$150*INDEX(Precio_V,11)*INDEX(IdxPrecio_V,1,MIN(10,AT$136))*(1+V_dPrecio))</f>
        <v>0</v>
      </c>
      <c r="AU162" s="34" t="n">
        <f aca="false">IF(AU$8=1,IF(Reales!$C$35="PYG",IF(AU$10&gt;0,N(Reales!AU35)/AU$10,0),N(Reales!AU35)),AU$150*INDEX(Precio_V,11)*INDEX(IdxPrecio_V,1,MIN(10,AU$136))*(1+V_dPrecio))</f>
        <v>0</v>
      </c>
      <c r="AV162" s="34" t="n">
        <f aca="false">IF(AV$8=1,IF(Reales!$C$35="PYG",IF(AV$10&gt;0,N(Reales!AV35)/AV$10,0),N(Reales!AV35)),AV$150*INDEX(Precio_V,11)*INDEX(IdxPrecio_V,1,MIN(10,AV$136))*(1+V_dPrecio))</f>
        <v>0</v>
      </c>
      <c r="AW162" s="34" t="n">
        <f aca="false">IF(AW$8=1,IF(Reales!$C$35="PYG",IF(AW$10&gt;0,N(Reales!AW35)/AW$10,0),N(Reales!AW35)),AW$150*INDEX(Precio_V,11)*INDEX(IdxPrecio_V,1,MIN(10,AW$136))*(1+V_dPrecio))</f>
        <v>0</v>
      </c>
      <c r="AX162" s="34" t="n">
        <f aca="false">IF(AX$8=1,IF(Reales!$C$35="PYG",IF(AX$10&gt;0,N(Reales!AX35)/AX$10,0),N(Reales!AX35)),AX$150*INDEX(Precio_V,11)*INDEX(IdxPrecio_V,1,MIN(10,AX$136))*(1+V_dPrecio))</f>
        <v>0</v>
      </c>
      <c r="AY162" s="34" t="n">
        <f aca="false">IF(AY$8=1,IF(Reales!$C$35="PYG",IF(AY$10&gt;0,N(Reales!AY35)/AY$10,0),N(Reales!AY35)),AY$150*INDEX(Precio_V,11)*INDEX(IdxPrecio_V,1,MIN(10,AY$136))*(1+V_dPrecio))</f>
        <v>0</v>
      </c>
      <c r="AZ162" s="34" t="n">
        <f aca="false">IF(AZ$8=1,IF(Reales!$C$35="PYG",IF(AZ$10&gt;0,N(Reales!AZ35)/AZ$10,0),N(Reales!AZ35)),AZ$150*INDEX(Precio_V,11)*INDEX(IdxPrecio_V,1,MIN(10,AZ$136))*(1+V_dPrecio))</f>
        <v>0</v>
      </c>
      <c r="BA162" s="34" t="n">
        <f aca="false">IF(BA$8=1,IF(Reales!$C$35="PYG",IF(BA$10&gt;0,N(Reales!BA35)/BA$10,0),N(Reales!BA35)),BA$150*INDEX(Precio_V,11)*INDEX(IdxPrecio_V,1,MIN(10,BA$136))*(1+V_dPrecio))</f>
        <v>0</v>
      </c>
      <c r="BB162" s="34" t="n">
        <f aca="false">IF(BB$8=1,IF(Reales!$C$35="PYG",IF(BB$10&gt;0,N(Reales!BB35)/BB$10,0),N(Reales!BB35)),BB$150*INDEX(Precio_V,11)*INDEX(IdxPrecio_V,1,MIN(10,BB$136))*(1+V_dPrecio))</f>
        <v>0</v>
      </c>
      <c r="BC162" s="34" t="n">
        <f aca="false">IF(BC$8=1,IF(Reales!$C$35="PYG",IF(BC$10&gt;0,N(Reales!BC35)/BC$10,0),N(Reales!BC35)),BC$150*INDEX(Precio_V,11)*INDEX(IdxPrecio_V,1,MIN(10,BC$136))*(1+V_dPrecio))</f>
        <v>0</v>
      </c>
      <c r="BD162" s="34" t="n">
        <f aca="false">IF(BD$8=1,IF(Reales!$C$35="PYG",IF(BD$10&gt;0,N(Reales!BD35)/BD$10,0),N(Reales!BD35)),BD$150*INDEX(Precio_V,11)*INDEX(IdxPrecio_V,1,MIN(10,BD$136))*(1+V_dPrecio))</f>
        <v>0</v>
      </c>
      <c r="BE162" s="34" t="n">
        <f aca="false">IF(BE$8=1,IF(Reales!$C$35="PYG",IF(BE$10&gt;0,N(Reales!BE35)/BE$10,0),N(Reales!BE35)),BE$150*INDEX(Precio_V,11)*INDEX(IdxPrecio_V,1,MIN(10,BE$136))*(1+V_dPrecio))</f>
        <v>0</v>
      </c>
      <c r="BF162" s="34" t="n">
        <f aca="false">IF(BF$8=1,IF(Reales!$C$35="PYG",IF(BF$10&gt;0,N(Reales!BF35)/BF$10,0),N(Reales!BF35)),BF$150*INDEX(Precio_V,11)*INDEX(IdxPrecio_V,1,MIN(10,BF$136))*(1+V_dPrecio))</f>
        <v>0</v>
      </c>
      <c r="BG162" s="34" t="n">
        <f aca="false">IF(BG$8=1,IF(Reales!$C$35="PYG",IF(BG$10&gt;0,N(Reales!BG35)/BG$10,0),N(Reales!BG35)),BG$150*INDEX(Precio_V,11)*INDEX(IdxPrecio_V,1,MIN(10,BG$136))*(1+V_dPrecio))</f>
        <v>0</v>
      </c>
      <c r="BH162" s="34" t="n">
        <f aca="false">IF(BH$8=1,IF(Reales!$C$35="PYG",IF(BH$10&gt;0,N(Reales!BH35)/BH$10,0),N(Reales!BH35)),BH$150*INDEX(Precio_V,11)*INDEX(IdxPrecio_V,1,MIN(10,BH$136))*(1+V_dPrecio))</f>
        <v>0</v>
      </c>
      <c r="BI162" s="34" t="n">
        <f aca="false">IF(BI$8=1,IF(Reales!$C$35="PYG",IF(BI$10&gt;0,N(Reales!BI35)/BI$10,0),N(Reales!BI35)),BI$150*INDEX(Precio_V,11)*INDEX(IdxPrecio_V,1,MIN(10,BI$136))*(1+V_dPrecio))</f>
        <v>0</v>
      </c>
      <c r="BJ162" s="34" t="n">
        <f aca="false">IF(BJ$8=1,IF(Reales!$C$35="PYG",IF(BJ$10&gt;0,N(Reales!BJ35)/BJ$10,0),N(Reales!BJ35)),BJ$150*INDEX(Precio_V,11)*INDEX(IdxPrecio_V,1,MIN(10,BJ$136))*(1+V_dPrecio))</f>
        <v>0</v>
      </c>
      <c r="BK162" s="34" t="n">
        <f aca="false">IF(BK$8=1,IF(Reales!$C$35="PYG",IF(BK$10&gt;0,N(Reales!BK35)/BK$10,0),N(Reales!BK35)),BK$150*INDEX(Precio_V,11)*INDEX(IdxPrecio_V,1,MIN(10,BK$136))*(1+V_dPrecio))</f>
        <v>0</v>
      </c>
      <c r="BL162" s="34" t="n">
        <f aca="false">IF(BL$8=1,IF(Reales!$C$35="PYG",IF(BL$10&gt;0,N(Reales!BL35)/BL$10,0),N(Reales!BL35)),BL$150*INDEX(Precio_V,11)*INDEX(IdxPrecio_V,1,MIN(10,BL$136))*(1+V_dPrecio))</f>
        <v>0</v>
      </c>
      <c r="BM162" s="34" t="n">
        <f aca="false">IF(BM$8=1,IF(Reales!$C$35="PYG",IF(BM$10&gt;0,N(Reales!BM35)/BM$10,0),N(Reales!BM35)),BM$150*INDEX(Precio_V,11)*INDEX(IdxPrecio_V,1,MIN(10,BM$136))*(1+V_dPrecio))</f>
        <v>0</v>
      </c>
      <c r="BN162" s="34" t="n">
        <f aca="false">IF(BN$8=1,IF(Reales!$C$35="PYG",IF(BN$10&gt;0,N(Reales!BN35)/BN$10,0),N(Reales!BN35)),BN$150*INDEX(Precio_V,11)*INDEX(IdxPrecio_V,1,MIN(10,BN$136))*(1+V_dPrecio))</f>
        <v>0</v>
      </c>
      <c r="BO162" s="34" t="n">
        <f aca="false">IF(BO$8=1,IF(Reales!$C$35="PYG",IF(BO$10&gt;0,N(Reales!BO35)/BO$10,0),N(Reales!BO35)),BO$150*INDEX(Precio_V,11)*INDEX(IdxPrecio_V,1,MIN(10,BO$136))*(1+V_dPrecio))</f>
        <v>0</v>
      </c>
      <c r="BP162" s="34" t="n">
        <f aca="false">IF(BP$8=1,IF(Reales!$C$35="PYG",IF(BP$10&gt;0,N(Reales!BP35)/BP$10,0),N(Reales!BP35)),BP$150*INDEX(Precio_V,11)*INDEX(IdxPrecio_V,1,MIN(10,BP$136))*(1+V_dPrecio))</f>
        <v>0</v>
      </c>
      <c r="BQ162" s="34" t="n">
        <f aca="false">IF(BQ$8=1,IF(Reales!$C$35="PYG",IF(BQ$10&gt;0,N(Reales!BQ35)/BQ$10,0),N(Reales!BQ35)),BQ$150*INDEX(Precio_V,11)*INDEX(IdxPrecio_V,1,MIN(10,BQ$136))*(1+V_dPrecio))</f>
        <v>0</v>
      </c>
      <c r="BR162" s="34" t="n">
        <f aca="false">IF(BR$8=1,IF(Reales!$C$35="PYG",IF(BR$10&gt;0,N(Reales!BR35)/BR$10,0),N(Reales!BR35)),BR$150*INDEX(Precio_V,11)*INDEX(IdxPrecio_V,1,MIN(10,BR$136))*(1+V_dPrecio))</f>
        <v>0</v>
      </c>
      <c r="BS162" s="34" t="n">
        <f aca="false">IF(BS$8=1,IF(Reales!$C$35="PYG",IF(BS$10&gt;0,N(Reales!BS35)/BS$10,0),N(Reales!BS35)),BS$150*INDEX(Precio_V,11)*INDEX(IdxPrecio_V,1,MIN(10,BS$136))*(1+V_dPrecio))</f>
        <v>0</v>
      </c>
      <c r="BT162" s="34" t="n">
        <f aca="false">IF(BT$8=1,IF(Reales!$C$35="PYG",IF(BT$10&gt;0,N(Reales!BT35)/BT$10,0),N(Reales!BT35)),BT$150*INDEX(Precio_V,11)*INDEX(IdxPrecio_V,1,MIN(10,BT$136))*(1+V_dPrecio))</f>
        <v>0</v>
      </c>
      <c r="BU162" s="34" t="n">
        <f aca="false">IF(BU$8=1,IF(Reales!$C$35="PYG",IF(BU$10&gt;0,N(Reales!BU35)/BU$10,0),N(Reales!BU35)),BU$150*INDEX(Precio_V,11)*INDEX(IdxPrecio_V,1,MIN(10,BU$136))*(1+V_dPrecio))</f>
        <v>0</v>
      </c>
      <c r="BV162" s="34" t="n">
        <f aca="false">IF(BV$8=1,IF(Reales!$C$35="PYG",IF(BV$10&gt;0,N(Reales!BV35)/BV$10,0),N(Reales!BV35)),BV$150*INDEX(Precio_V,11)*INDEX(IdxPrecio_V,1,MIN(10,BV$136))*(1+V_dPrecio))</f>
        <v>0</v>
      </c>
      <c r="BW162" s="34" t="n">
        <f aca="false">IF(BW$8=1,IF(Reales!$C$35="PYG",IF(BW$10&gt;0,N(Reales!BW35)/BW$10,0),N(Reales!BW35)),BW$150*INDEX(Precio_V,11)*INDEX(IdxPrecio_V,1,MIN(10,BW$136))*(1+V_dPrecio))</f>
        <v>0</v>
      </c>
      <c r="BX162" s="34" t="n">
        <f aca="false">IF(BX$8=1,IF(Reales!$C$35="PYG",IF(BX$10&gt;0,N(Reales!BX35)/BX$10,0),N(Reales!BX35)),BX$150*INDEX(Precio_V,11)*INDEX(IdxPrecio_V,1,MIN(10,BX$136))*(1+V_dPrecio))</f>
        <v>0</v>
      </c>
      <c r="BY162" s="34" t="n">
        <f aca="false">IF(BY$8=1,IF(Reales!$C$35="PYG",IF(BY$10&gt;0,N(Reales!BY35)/BY$10,0),N(Reales!BY35)),BY$150*INDEX(Precio_V,11)*INDEX(IdxPrecio_V,1,MIN(10,BY$136))*(1+V_dPrecio))</f>
        <v>0</v>
      </c>
      <c r="BZ162" s="34" t="n">
        <f aca="false">IF(BZ$8=1,IF(Reales!$C$35="PYG",IF(BZ$10&gt;0,N(Reales!BZ35)/BZ$10,0),N(Reales!BZ35)),BZ$150*INDEX(Precio_V,11)*INDEX(IdxPrecio_V,1,MIN(10,BZ$136))*(1+V_dPrecio))</f>
        <v>0</v>
      </c>
      <c r="CA162" s="34" t="n">
        <f aca="false">IF(CA$8=1,IF(Reales!$C$35="PYG",IF(CA$10&gt;0,N(Reales!CA35)/CA$10,0),N(Reales!CA35)),CA$150*INDEX(Precio_V,11)*INDEX(IdxPrecio_V,1,MIN(10,CA$136))*(1+V_dPrecio))</f>
        <v>0</v>
      </c>
      <c r="CB162" s="34" t="n">
        <f aca="false">IF(CB$8=1,IF(Reales!$C$35="PYG",IF(CB$10&gt;0,N(Reales!CB35)/CB$10,0),N(Reales!CB35)),CB$150*INDEX(Precio_V,11)*INDEX(IdxPrecio_V,1,MIN(10,CB$136))*(1+V_dPrecio))</f>
        <v>0</v>
      </c>
      <c r="CC162" s="34" t="n">
        <f aca="false">IF(CC$8=1,IF(Reales!$C$35="PYG",IF(CC$10&gt;0,N(Reales!CC35)/CC$10,0),N(Reales!CC35)),CC$150*INDEX(Precio_V,11)*INDEX(IdxPrecio_V,1,MIN(10,CC$136))*(1+V_dPrecio))</f>
        <v>0</v>
      </c>
      <c r="CD162" s="34" t="n">
        <f aca="false">IF(CD$8=1,IF(Reales!$C$35="PYG",IF(CD$10&gt;0,N(Reales!CD35)/CD$10,0),N(Reales!CD35)),CD$150*INDEX(Precio_V,11)*INDEX(IdxPrecio_V,1,MIN(10,CD$136))*(1+V_dPrecio))</f>
        <v>0</v>
      </c>
      <c r="CE162" s="34" t="n">
        <f aca="false">IF(CE$8=1,IF(Reales!$C$35="PYG",IF(CE$10&gt;0,N(Reales!CE35)/CE$10,0),N(Reales!CE35)),CE$150*INDEX(Precio_V,11)*INDEX(IdxPrecio_V,1,MIN(10,CE$136))*(1+V_dPrecio))</f>
        <v>0</v>
      </c>
      <c r="CF162" s="34" t="n">
        <f aca="false">IF(CF$8=1,IF(Reales!$C$35="PYG",IF(CF$10&gt;0,N(Reales!CF35)/CF$10,0),N(Reales!CF35)),CF$150*INDEX(Precio_V,11)*INDEX(IdxPrecio_V,1,MIN(10,CF$136))*(1+V_dPrecio))</f>
        <v>0</v>
      </c>
      <c r="CG162" s="34" t="n">
        <f aca="false">IF(CG$8=1,IF(Reales!$C$35="PYG",IF(CG$10&gt;0,N(Reales!CG35)/CG$10,0),N(Reales!CG35)),CG$150*INDEX(Precio_V,11)*INDEX(IdxPrecio_V,1,MIN(10,CG$136))*(1+V_dPrecio))</f>
        <v>0</v>
      </c>
      <c r="CH162" s="34" t="n">
        <f aca="false">IF(CH$8=1,IF(Reales!$C$35="PYG",IF(CH$10&gt;0,N(Reales!CH35)/CH$10,0),N(Reales!CH35)),CH$150*INDEX(Precio_V,11)*INDEX(IdxPrecio_V,1,MIN(10,CH$136))*(1+V_dPrecio))</f>
        <v>0</v>
      </c>
      <c r="CI162" s="34" t="n">
        <f aca="false">IF(CI$8=1,IF(Reales!$C$35="PYG",IF(CI$10&gt;0,N(Reales!CI35)/CI$10,0),N(Reales!CI35)),CI$150*INDEX(Precio_V,11)*INDEX(IdxPrecio_V,1,MIN(10,CI$136))*(1+V_dPrecio))</f>
        <v>0</v>
      </c>
      <c r="CJ162" s="34" t="n">
        <f aca="false">IF(CJ$8=1,IF(Reales!$C$35="PYG",IF(CJ$10&gt;0,N(Reales!CJ35)/CJ$10,0),N(Reales!CJ35)),CJ$150*INDEX(Precio_V,11)*INDEX(IdxPrecio_V,1,MIN(10,CJ$136))*(1+V_dPrecio))</f>
        <v>0</v>
      </c>
      <c r="CK162" s="34" t="n">
        <f aca="false">IF(CK$8=1,IF(Reales!$C$35="PYG",IF(CK$10&gt;0,N(Reales!CK35)/CK$10,0),N(Reales!CK35)),CK$150*INDEX(Precio_V,11)*INDEX(IdxPrecio_V,1,MIN(10,CK$136))*(1+V_dPrecio))</f>
        <v>0</v>
      </c>
      <c r="CL162" s="34" t="n">
        <f aca="false">IF(CL$8=1,IF(Reales!$C$35="PYG",IF(CL$10&gt;0,N(Reales!CL35)/CL$10,0),N(Reales!CL35)),CL$150*INDEX(Precio_V,11)*INDEX(IdxPrecio_V,1,MIN(10,CL$136))*(1+V_dPrecio))</f>
        <v>0</v>
      </c>
      <c r="CM162" s="34" t="n">
        <f aca="false">IF(CM$8=1,IF(Reales!$C$35="PYG",IF(CM$10&gt;0,N(Reales!CM35)/CM$10,0),N(Reales!CM35)),CM$150*INDEX(Precio_V,11)*INDEX(IdxPrecio_V,1,MIN(10,CM$136))*(1+V_dPrecio))</f>
        <v>0</v>
      </c>
      <c r="CN162" s="34" t="n">
        <f aca="false">IF(CN$8=1,IF(Reales!$C$35="PYG",IF(CN$10&gt;0,N(Reales!CN35)/CN$10,0),N(Reales!CN35)),CN$150*INDEX(Precio_V,11)*INDEX(IdxPrecio_V,1,MIN(10,CN$136))*(1+V_dPrecio))</f>
        <v>0</v>
      </c>
      <c r="CO162" s="34" t="n">
        <f aca="false">IF(CO$8=1,IF(Reales!$C$35="PYG",IF(CO$10&gt;0,N(Reales!CO35)/CO$10,0),N(Reales!CO35)),CO$150*INDEX(Precio_V,11)*INDEX(IdxPrecio_V,1,MIN(10,CO$136))*(1+V_dPrecio))</f>
        <v>0</v>
      </c>
      <c r="CP162" s="34" t="n">
        <f aca="false">IF(CP$8=1,IF(Reales!$C$35="PYG",IF(CP$10&gt;0,N(Reales!CP35)/CP$10,0),N(Reales!CP35)),CP$150*INDEX(Precio_V,11)*INDEX(IdxPrecio_V,1,MIN(10,CP$136))*(1+V_dPrecio))</f>
        <v>0</v>
      </c>
      <c r="CQ162" s="34" t="n">
        <f aca="false">IF(CQ$8=1,IF(Reales!$C$35="PYG",IF(CQ$10&gt;0,N(Reales!CQ35)/CQ$10,0),N(Reales!CQ35)),CQ$150*INDEX(Precio_V,11)*INDEX(IdxPrecio_V,1,MIN(10,CQ$136))*(1+V_dPrecio))</f>
        <v>0</v>
      </c>
      <c r="CR162" s="34" t="n">
        <f aca="false">IF(CR$8=1,IF(Reales!$C$35="PYG",IF(CR$10&gt;0,N(Reales!CR35)/CR$10,0),N(Reales!CR35)),CR$150*INDEX(Precio_V,11)*INDEX(IdxPrecio_V,1,MIN(10,CR$136))*(1+V_dPrecio))</f>
        <v>0</v>
      </c>
      <c r="CS162" s="34" t="n">
        <f aca="false">IF(CS$8=1,IF(Reales!$C$35="PYG",IF(CS$10&gt;0,N(Reales!CS35)/CS$10,0),N(Reales!CS35)),CS$150*INDEX(Precio_V,11)*INDEX(IdxPrecio_V,1,MIN(10,CS$136))*(1+V_dPrecio))</f>
        <v>0</v>
      </c>
      <c r="CT162" s="34" t="n">
        <f aca="false">IF(CT$8=1,IF(Reales!$C$35="PYG",IF(CT$10&gt;0,N(Reales!CT35)/CT$10,0),N(Reales!CT35)),CT$150*INDEX(Precio_V,11)*INDEX(IdxPrecio_V,1,MIN(10,CT$136))*(1+V_dPrecio))</f>
        <v>0</v>
      </c>
      <c r="CU162" s="34" t="n">
        <f aca="false">IF(CU$8=1,IF(Reales!$C$35="PYG",IF(CU$10&gt;0,N(Reales!CU35)/CU$10,0),N(Reales!CU35)),CU$150*INDEX(Precio_V,11)*INDEX(IdxPrecio_V,1,MIN(10,CU$136))*(1+V_dPrecio))</f>
        <v>0</v>
      </c>
      <c r="CV162" s="34" t="n">
        <f aca="false">IF(CV$8=1,IF(Reales!$C$35="PYG",IF(CV$10&gt;0,N(Reales!CV35)/CV$10,0),N(Reales!CV35)),CV$150*INDEX(Precio_V,11)*INDEX(IdxPrecio_V,1,MIN(10,CV$136))*(1+V_dPrecio))</f>
        <v>0</v>
      </c>
      <c r="CW162" s="34" t="n">
        <f aca="false">IF(CW$8=1,IF(Reales!$C$35="PYG",IF(CW$10&gt;0,N(Reales!CW35)/CW$10,0),N(Reales!CW35)),CW$150*INDEX(Precio_V,11)*INDEX(IdxPrecio_V,1,MIN(10,CW$136))*(1+V_dPrecio))</f>
        <v>0</v>
      </c>
      <c r="CX162" s="34" t="n">
        <f aca="false">IF(CX$8=1,IF(Reales!$C$35="PYG",IF(CX$10&gt;0,N(Reales!CX35)/CX$10,0),N(Reales!CX35)),CX$150*INDEX(Precio_V,11)*INDEX(IdxPrecio_V,1,MIN(10,CX$136))*(1+V_dPrecio))</f>
        <v>0</v>
      </c>
      <c r="CY162" s="34" t="n">
        <f aca="false">IF(CY$8=1,IF(Reales!$C$35="PYG",IF(CY$10&gt;0,N(Reales!CY35)/CY$10,0),N(Reales!CY35)),CY$150*INDEX(Precio_V,11)*INDEX(IdxPrecio_V,1,MIN(10,CY$136))*(1+V_dPrecio))</f>
        <v>0</v>
      </c>
      <c r="CZ162" s="34" t="n">
        <f aca="false">IF(CZ$8=1,IF(Reales!$C$35="PYG",IF(CZ$10&gt;0,N(Reales!CZ35)/CZ$10,0),N(Reales!CZ35)),CZ$150*INDEX(Precio_V,11)*INDEX(IdxPrecio_V,1,MIN(10,CZ$136))*(1+V_dPrecio))</f>
        <v>0</v>
      </c>
      <c r="DA162" s="34" t="n">
        <f aca="false">IF(DA$8=1,IF(Reales!$C$35="PYG",IF(DA$10&gt;0,N(Reales!DA35)/DA$10,0),N(Reales!DA35)),DA$150*INDEX(Precio_V,11)*INDEX(IdxPrecio_V,1,MIN(10,DA$136))*(1+V_dPrecio))</f>
        <v>0</v>
      </c>
      <c r="DB162" s="34" t="n">
        <f aca="false">IF(DB$8=1,IF(Reales!$C$35="PYG",IF(DB$10&gt;0,N(Reales!DB35)/DB$10,0),N(Reales!DB35)),DB$150*INDEX(Precio_V,11)*INDEX(IdxPrecio_V,1,MIN(10,DB$136))*(1+V_dPrecio))</f>
        <v>0</v>
      </c>
      <c r="DC162" s="34" t="n">
        <f aca="false">IF(DC$8=1,IF(Reales!$C$35="PYG",IF(DC$10&gt;0,N(Reales!DC35)/DC$10,0),N(Reales!DC35)),DC$150*INDEX(Precio_V,11)*INDEX(IdxPrecio_V,1,MIN(10,DC$136))*(1+V_dPrecio))</f>
        <v>0</v>
      </c>
      <c r="DD162" s="34" t="n">
        <f aca="false">IF(DD$8=1,IF(Reales!$C$35="PYG",IF(DD$10&gt;0,N(Reales!DD35)/DD$10,0),N(Reales!DD35)),DD$150*INDEX(Precio_V,11)*INDEX(IdxPrecio_V,1,MIN(10,DD$136))*(1+V_dPrecio))</f>
        <v>0</v>
      </c>
      <c r="DE162" s="34" t="n">
        <f aca="false">IF(DE$8=1,IF(Reales!$C$35="PYG",IF(DE$10&gt;0,N(Reales!DE35)/DE$10,0),N(Reales!DE35)),DE$150*INDEX(Precio_V,11)*INDEX(IdxPrecio_V,1,MIN(10,DE$136))*(1+V_dPrecio))</f>
        <v>0</v>
      </c>
      <c r="DF162" s="34" t="n">
        <f aca="false">IF(DF$8=1,IF(Reales!$C$35="PYG",IF(DF$10&gt;0,N(Reales!DF35)/DF$10,0),N(Reales!DF35)),DF$150*INDEX(Precio_V,11)*INDEX(IdxPrecio_V,1,MIN(10,DF$136))*(1+V_dPrecio))</f>
        <v>0</v>
      </c>
      <c r="DG162" s="34" t="n">
        <f aca="false">IF(DG$8=1,IF(Reales!$C$35="PYG",IF(DG$10&gt;0,N(Reales!DG35)/DG$10,0),N(Reales!DG35)),DG$150*INDEX(Precio_V,11)*INDEX(IdxPrecio_V,1,MIN(10,DG$136))*(1+V_dPrecio))</f>
        <v>0</v>
      </c>
      <c r="DH162" s="34" t="n">
        <f aca="false">IF(DH$8=1,IF(Reales!$C$35="PYG",IF(DH$10&gt;0,N(Reales!DH35)/DH$10,0),N(Reales!DH35)),DH$150*INDEX(Precio_V,11)*INDEX(IdxPrecio_V,1,MIN(10,DH$136))*(1+V_dPrecio))</f>
        <v>0</v>
      </c>
      <c r="DI162" s="34" t="n">
        <f aca="false">IF(DI$8=1,IF(Reales!$C$35="PYG",IF(DI$10&gt;0,N(Reales!DI35)/DI$10,0),N(Reales!DI35)),DI$150*INDEX(Precio_V,11)*INDEX(IdxPrecio_V,1,MIN(10,DI$136))*(1+V_dPrecio))</f>
        <v>0</v>
      </c>
      <c r="DJ162" s="34" t="n">
        <f aca="false">IF(DJ$8=1,IF(Reales!$C$35="PYG",IF(DJ$10&gt;0,N(Reales!DJ35)/DJ$10,0),N(Reales!DJ35)),DJ$150*INDEX(Precio_V,11)*INDEX(IdxPrecio_V,1,MIN(10,DJ$136))*(1+V_dPrecio))</f>
        <v>0</v>
      </c>
      <c r="DK162" s="34" t="n">
        <f aca="false">IF(DK$8=1,IF(Reales!$C$35="PYG",IF(DK$10&gt;0,N(Reales!DK35)/DK$10,0),N(Reales!DK35)),DK$150*INDEX(Precio_V,11)*INDEX(IdxPrecio_V,1,MIN(10,DK$136))*(1+V_dPrecio))</f>
        <v>0</v>
      </c>
      <c r="DL162" s="34" t="n">
        <f aca="false">IF(DL$8=1,IF(Reales!$C$35="PYG",IF(DL$10&gt;0,N(Reales!DL35)/DL$10,0),N(Reales!DL35)),DL$150*INDEX(Precio_V,11)*INDEX(IdxPrecio_V,1,MIN(10,DL$136))*(1+V_dPrecio))</f>
        <v>0</v>
      </c>
      <c r="DM162" s="34" t="n">
        <f aca="false">IF(DM$8=1,IF(Reales!$C$35="PYG",IF(DM$10&gt;0,N(Reales!DM35)/DM$10,0),N(Reales!DM35)),DM$150*INDEX(Precio_V,11)*INDEX(IdxPrecio_V,1,MIN(10,DM$136))*(1+V_dPrecio))</f>
        <v>0</v>
      </c>
      <c r="DN162" s="34" t="n">
        <f aca="false">IF(DN$8=1,IF(Reales!$C$35="PYG",IF(DN$10&gt;0,N(Reales!DN35)/DN$10,0),N(Reales!DN35)),DN$150*INDEX(Precio_V,11)*INDEX(IdxPrecio_V,1,MIN(10,DN$136))*(1+V_dPrecio))</f>
        <v>0</v>
      </c>
      <c r="DO162" s="34" t="n">
        <f aca="false">IF(DO$8=1,IF(Reales!$C$35="PYG",IF(DO$10&gt;0,N(Reales!DO35)/DO$10,0),N(Reales!DO35)),DO$150*INDEX(Precio_V,11)*INDEX(IdxPrecio_V,1,MIN(10,DO$136))*(1+V_dPrecio))</f>
        <v>0</v>
      </c>
      <c r="DP162" s="34" t="n">
        <f aca="false">IF(DP$8=1,IF(Reales!$C$35="PYG",IF(DP$10&gt;0,N(Reales!DP35)/DP$10,0),N(Reales!DP35)),DP$150*INDEX(Precio_V,11)*INDEX(IdxPrecio_V,1,MIN(10,DP$136))*(1+V_dPrecio))</f>
        <v>0</v>
      </c>
      <c r="DQ162" s="34" t="n">
        <f aca="false">IF(DQ$8=1,IF(Reales!$C$35="PYG",IF(DQ$10&gt;0,N(Reales!DQ35)/DQ$10,0),N(Reales!DQ35)),DQ$150*INDEX(Precio_V,11)*INDEX(IdxPrecio_V,1,MIN(10,DQ$136))*(1+V_dPrecio))</f>
        <v>0</v>
      </c>
      <c r="DR162" s="34" t="n">
        <f aca="false">IF(DR$8=1,IF(Reales!$C$35="PYG",IF(DR$10&gt;0,N(Reales!DR35)/DR$10,0),N(Reales!DR35)),DR$150*INDEX(Precio_V,11)*INDEX(IdxPrecio_V,1,MIN(10,DR$136))*(1+V_dPrecio))</f>
        <v>0</v>
      </c>
      <c r="DS162" s="34" t="n">
        <f aca="false">IF(DS$8=1,IF(Reales!$C$35="PYG",IF(DS$10&gt;0,N(Reales!DS35)/DS$10,0),N(Reales!DS35)),DS$150*INDEX(Precio_V,11)*INDEX(IdxPrecio_V,1,MIN(10,DS$136))*(1+V_dPrecio))</f>
        <v>0</v>
      </c>
      <c r="DT162" s="34" t="n">
        <f aca="false">IF(DT$8=1,IF(Reales!$C$35="PYG",IF(DT$10&gt;0,N(Reales!DT35)/DT$10,0),N(Reales!DT35)),DT$150*INDEX(Precio_V,11)*INDEX(IdxPrecio_V,1,MIN(10,DT$136))*(1+V_dPrecio))</f>
        <v>0</v>
      </c>
      <c r="DU162" s="34" t="n">
        <f aca="false">IF(DU$8=1,IF(Reales!$C$35="PYG",IF(DU$10&gt;0,N(Reales!DU35)/DU$10,0),N(Reales!DU35)),DU$150*INDEX(Precio_V,11)*INDEX(IdxPrecio_V,1,MIN(10,DU$136))*(1+V_dPrecio))</f>
        <v>0</v>
      </c>
      <c r="DV162" s="34" t="n">
        <f aca="false">IF(DV$8=1,IF(Reales!$C$35="PYG",IF(DV$10&gt;0,N(Reales!DV35)/DV$10,0),N(Reales!DV35)),DV$150*INDEX(Precio_V,11)*INDEX(IdxPrecio_V,1,MIN(10,DV$136))*(1+V_dPrecio))</f>
        <v>0</v>
      </c>
      <c r="DW162" s="34" t="n">
        <f aca="false">IF(DW$8=1,IF(Reales!$C$35="PYG",IF(DW$10&gt;0,N(Reales!DW35)/DW$10,0),N(Reales!DW35)),DW$150*INDEX(Precio_V,11)*INDEX(IdxPrecio_V,1,MIN(10,DW$136))*(1+V_dPrecio))</f>
        <v>0</v>
      </c>
      <c r="DX162" s="34" t="n">
        <f aca="false">IF(DX$8=1,IF(Reales!$C$35="PYG",IF(DX$10&gt;0,N(Reales!DX35)/DX$10,0),N(Reales!DX35)),DX$150*INDEX(Precio_V,11)*INDEX(IdxPrecio_V,1,MIN(10,DX$136))*(1+V_dPrecio))</f>
        <v>0</v>
      </c>
      <c r="DY162" s="34" t="n">
        <f aca="false">IF(DY$8=1,IF(Reales!$C$35="PYG",IF(DY$10&gt;0,N(Reales!DY35)/DY$10,0),N(Reales!DY35)),DY$150*INDEX(Precio_V,11)*INDEX(IdxPrecio_V,1,MIN(10,DY$136))*(1+V_dPrecio))</f>
        <v>0</v>
      </c>
      <c r="DZ162" s="34" t="n">
        <f aca="false">IF(DZ$8=1,IF(Reales!$C$35="PYG",IF(DZ$10&gt;0,N(Reales!DZ35)/DZ$10,0),N(Reales!DZ35)),DZ$150*INDEX(Precio_V,11)*INDEX(IdxPrecio_V,1,MIN(10,DZ$136))*(1+V_dPrecio))</f>
        <v>0</v>
      </c>
      <c r="EA162" s="34" t="n">
        <f aca="false">IF(EA$8=1,IF(Reales!$C$35="PYG",IF(EA$10&gt;0,N(Reales!EA35)/EA$10,0),N(Reales!EA35)),EA$150*INDEX(Precio_V,11)*INDEX(IdxPrecio_V,1,MIN(10,EA$136))*(1+V_dPrecio))</f>
        <v>0</v>
      </c>
      <c r="EB162" s="34" t="n">
        <f aca="false">IF(EB$8=1,IF(Reales!$C$35="PYG",IF(EB$10&gt;0,N(Reales!EB35)/EB$10,0),N(Reales!EB35)),EB$150*INDEX(Precio_V,11)*INDEX(IdxPrecio_V,1,MIN(10,EB$136))*(1+V_dPrecio))</f>
        <v>0</v>
      </c>
      <c r="EC162" s="34" t="n">
        <f aca="false">IF(EC$8=1,IF(Reales!$C$35="PYG",IF(EC$10&gt;0,N(Reales!EC35)/EC$10,0),N(Reales!EC35)),EC$150*INDEX(Precio_V,11)*INDEX(IdxPrecio_V,1,MIN(10,EC$136))*(1+V_dPrecio))</f>
        <v>0</v>
      </c>
      <c r="ED162" s="34" t="n">
        <f aca="false">IF(ED$8=1,IF(Reales!$C$35="PYG",IF(ED$10&gt;0,N(Reales!ED35)/ED$10,0),N(Reales!ED35)),ED$150*INDEX(Precio_V,11)*INDEX(IdxPrecio_V,1,MIN(10,ED$136))*(1+V_dPrecio))</f>
        <v>0</v>
      </c>
      <c r="EE162" s="34" t="n">
        <f aca="false">IF(EE$8=1,IF(Reales!$C$35="PYG",IF(EE$10&gt;0,N(Reales!EE35)/EE$10,0),N(Reales!EE35)),EE$150*INDEX(Precio_V,11)*INDEX(IdxPrecio_V,1,MIN(10,EE$136))*(1+V_dPrecio))</f>
        <v>0</v>
      </c>
      <c r="EF162" s="34" t="n">
        <f aca="false">IF(EF$8=1,IF(Reales!$C$35="PYG",IF(EF$10&gt;0,N(Reales!EF35)/EF$10,0),N(Reales!EF35)),EF$150*INDEX(Precio_V,11)*INDEX(IdxPrecio_V,1,MIN(10,EF$136))*(1+V_dPrecio))</f>
        <v>0</v>
      </c>
      <c r="EG162" s="34" t="n">
        <f aca="false">IF(EG$8=1,IF(Reales!$C$35="PYG",IF(EG$10&gt;0,N(Reales!EG35)/EG$10,0),N(Reales!EG35)),EG$150*INDEX(Precio_V,11)*INDEX(IdxPrecio_V,1,MIN(10,EG$136))*(1+V_dPrecio))</f>
        <v>0</v>
      </c>
      <c r="EH162" s="34" t="n">
        <f aca="false">IF(EH$8=1,IF(Reales!$C$35="PYG",IF(EH$10&gt;0,N(Reales!EH35)/EH$10,0),N(Reales!EH35)),EH$150*INDEX(Precio_V,11)*INDEX(IdxPrecio_V,1,MIN(10,EH$136))*(1+V_dPrecio))</f>
        <v>0</v>
      </c>
      <c r="EI162" s="34" t="n">
        <f aca="false">IF(EI$8=1,IF(Reales!$C$35="PYG",IF(EI$10&gt;0,N(Reales!EI35)/EI$10,0),N(Reales!EI35)),EI$150*INDEX(Precio_V,11)*INDEX(IdxPrecio_V,1,MIN(10,EI$136))*(1+V_dPrecio))</f>
        <v>0</v>
      </c>
      <c r="EJ162" s="34" t="n">
        <f aca="false">IF(EJ$8=1,IF(Reales!$C$35="PYG",IF(EJ$10&gt;0,N(Reales!EJ35)/EJ$10,0),N(Reales!EJ35)),EJ$150*INDEX(Precio_V,11)*INDEX(IdxPrecio_V,1,MIN(10,EJ$136))*(1+V_dPrecio))</f>
        <v>0</v>
      </c>
      <c r="EK162" s="34" t="n">
        <f aca="false">IF(EK$8=1,IF(Reales!$C$35="PYG",IF(EK$10&gt;0,N(Reales!EK35)/EK$10,0),N(Reales!EK35)),EK$150*INDEX(Precio_V,11)*INDEX(IdxPrecio_V,1,MIN(10,EK$136))*(1+V_dPrecio))</f>
        <v>0</v>
      </c>
      <c r="EL162" s="34" t="n">
        <f aca="false">IF(EL$8=1,IF(Reales!$C$35="PYG",IF(EL$10&gt;0,N(Reales!EL35)/EL$10,0),N(Reales!EL35)),EL$150*INDEX(Precio_V,11)*INDEX(IdxPrecio_V,1,MIN(10,EL$136))*(1+V_dPrecio))</f>
        <v>0</v>
      </c>
      <c r="EM162" s="34" t="n">
        <f aca="false">IF(EM$8=1,IF(Reales!$C$35="PYG",IF(EM$10&gt;0,N(Reales!EM35)/EM$10,0),N(Reales!EM35)),EM$150*INDEX(Precio_V,11)*INDEX(IdxPrecio_V,1,MIN(10,EM$136))*(1+V_dPrecio))</f>
        <v>0</v>
      </c>
      <c r="EN162" s="34" t="n">
        <f aca="false">IF(EN$8=1,IF(Reales!$C$35="PYG",IF(EN$10&gt;0,N(Reales!EN35)/EN$10,0),N(Reales!EN35)),EN$150*INDEX(Precio_V,11)*INDEX(IdxPrecio_V,1,MIN(10,EN$136))*(1+V_dPrecio))</f>
        <v>0</v>
      </c>
      <c r="EO162" s="34" t="n">
        <f aca="false">IF(EO$8=1,IF(Reales!$C$35="PYG",IF(EO$10&gt;0,N(Reales!EO35)/EO$10,0),N(Reales!EO35)),EO$150*INDEX(Precio_V,11)*INDEX(IdxPrecio_V,1,MIN(10,EO$136))*(1+V_dPrecio))</f>
        <v>0</v>
      </c>
      <c r="EP162" s="34" t="n">
        <f aca="false">IF(EP$8=1,IF(Reales!$C$35="PYG",IF(EP$10&gt;0,N(Reales!EP35)/EP$10,0),N(Reales!EP35)),EP$150*INDEX(Precio_V,11)*INDEX(IdxPrecio_V,1,MIN(10,EP$136))*(1+V_dPrecio))</f>
        <v>0</v>
      </c>
      <c r="EQ162" s="34" t="n">
        <f aca="false">IF(EQ$8=1,IF(Reales!$C$35="PYG",IF(EQ$10&gt;0,N(Reales!EQ35)/EQ$10,0),N(Reales!EQ35)),EQ$150*INDEX(Precio_V,11)*INDEX(IdxPrecio_V,1,MIN(10,EQ$136))*(1+V_dPrecio))</f>
        <v>0</v>
      </c>
      <c r="ER162" s="34" t="n">
        <f aca="false">IF(ER$8=1,IF(Reales!$C$35="PYG",IF(ER$10&gt;0,N(Reales!ER35)/ER$10,0),N(Reales!ER35)),ER$150*INDEX(Precio_V,11)*INDEX(IdxPrecio_V,1,MIN(10,ER$136))*(1+V_dPrecio))</f>
        <v>0</v>
      </c>
      <c r="ES162" s="34" t="n">
        <f aca="false">IF(ES$8=1,IF(Reales!$C$35="PYG",IF(ES$10&gt;0,N(Reales!ES35)/ES$10,0),N(Reales!ES35)),ES$150*INDEX(Precio_V,11)*INDEX(IdxPrecio_V,1,MIN(10,ES$136))*(1+V_dPrecio))</f>
        <v>0</v>
      </c>
    </row>
    <row r="163" customFormat="false" ht="15" hidden="false" customHeight="false" outlineLevel="0" collapsed="false">
      <c r="A163" s="2" t="s">
        <v>642</v>
      </c>
      <c r="B163" s="39" t="str">
        <f aca="false">IF(INDEX(Prod_Nombre,12)="","Producto 12",INDEX(Prod_Nombre,12))&amp;" — ventas USD"</f>
        <v>Producto 12 — ventas USD</v>
      </c>
      <c r="C163" s="6" t="s">
        <v>212</v>
      </c>
      <c r="E163" s="40" t="n">
        <f aca="false">SUM(F163:ES163)</f>
        <v>0</v>
      </c>
      <c r="F163" s="34" t="n">
        <f aca="false">IF(F$8=1,IF(Reales!$C$36="PYG",IF(F$10&gt;0,N(Reales!F36)/F$10,0),N(Reales!F36)),F$151*INDEX(Precio_V,12)*INDEX(IdxPrecio_V,1,MIN(10,F$136))*(1+V_dPrecio))</f>
        <v>0</v>
      </c>
      <c r="G163" s="34" t="n">
        <f aca="false">IF(G$8=1,IF(Reales!$C$36="PYG",IF(G$10&gt;0,N(Reales!G36)/G$10,0),N(Reales!G36)),G$151*INDEX(Precio_V,12)*INDEX(IdxPrecio_V,1,MIN(10,G$136))*(1+V_dPrecio))</f>
        <v>0</v>
      </c>
      <c r="H163" s="34" t="n">
        <f aca="false">IF(H$8=1,IF(Reales!$C$36="PYG",IF(H$10&gt;0,N(Reales!H36)/H$10,0),N(Reales!H36)),H$151*INDEX(Precio_V,12)*INDEX(IdxPrecio_V,1,MIN(10,H$136))*(1+V_dPrecio))</f>
        <v>0</v>
      </c>
      <c r="I163" s="34" t="n">
        <f aca="false">IF(I$8=1,IF(Reales!$C$36="PYG",IF(I$10&gt;0,N(Reales!I36)/I$10,0),N(Reales!I36)),I$151*INDEX(Precio_V,12)*INDEX(IdxPrecio_V,1,MIN(10,I$136))*(1+V_dPrecio))</f>
        <v>0</v>
      </c>
      <c r="J163" s="34" t="n">
        <f aca="false">IF(J$8=1,IF(Reales!$C$36="PYG",IF(J$10&gt;0,N(Reales!J36)/J$10,0),N(Reales!J36)),J$151*INDEX(Precio_V,12)*INDEX(IdxPrecio_V,1,MIN(10,J$136))*(1+V_dPrecio))</f>
        <v>0</v>
      </c>
      <c r="K163" s="34" t="n">
        <f aca="false">IF(K$8=1,IF(Reales!$C$36="PYG",IF(K$10&gt;0,N(Reales!K36)/K$10,0),N(Reales!K36)),K$151*INDEX(Precio_V,12)*INDEX(IdxPrecio_V,1,MIN(10,K$136))*(1+V_dPrecio))</f>
        <v>0</v>
      </c>
      <c r="L163" s="34" t="n">
        <f aca="false">IF(L$8=1,IF(Reales!$C$36="PYG",IF(L$10&gt;0,N(Reales!L36)/L$10,0),N(Reales!L36)),L$151*INDEX(Precio_V,12)*INDEX(IdxPrecio_V,1,MIN(10,L$136))*(1+V_dPrecio))</f>
        <v>0</v>
      </c>
      <c r="M163" s="34" t="n">
        <f aca="false">IF(M$8=1,IF(Reales!$C$36="PYG",IF(M$10&gt;0,N(Reales!M36)/M$10,0),N(Reales!M36)),M$151*INDEX(Precio_V,12)*INDEX(IdxPrecio_V,1,MIN(10,M$136))*(1+V_dPrecio))</f>
        <v>0</v>
      </c>
      <c r="N163" s="34" t="n">
        <f aca="false">IF(N$8=1,IF(Reales!$C$36="PYG",IF(N$10&gt;0,N(Reales!N36)/N$10,0),N(Reales!N36)),N$151*INDEX(Precio_V,12)*INDEX(IdxPrecio_V,1,MIN(10,N$136))*(1+V_dPrecio))</f>
        <v>0</v>
      </c>
      <c r="O163" s="34" t="n">
        <f aca="false">IF(O$8=1,IF(Reales!$C$36="PYG",IF(O$10&gt;0,N(Reales!O36)/O$10,0),N(Reales!O36)),O$151*INDEX(Precio_V,12)*INDEX(IdxPrecio_V,1,MIN(10,O$136))*(1+V_dPrecio))</f>
        <v>0</v>
      </c>
      <c r="P163" s="34" t="n">
        <f aca="false">IF(P$8=1,IF(Reales!$C$36="PYG",IF(P$10&gt;0,N(Reales!P36)/P$10,0),N(Reales!P36)),P$151*INDEX(Precio_V,12)*INDEX(IdxPrecio_V,1,MIN(10,P$136))*(1+V_dPrecio))</f>
        <v>0</v>
      </c>
      <c r="Q163" s="34" t="n">
        <f aca="false">IF(Q$8=1,IF(Reales!$C$36="PYG",IF(Q$10&gt;0,N(Reales!Q36)/Q$10,0),N(Reales!Q36)),Q$151*INDEX(Precio_V,12)*INDEX(IdxPrecio_V,1,MIN(10,Q$136))*(1+V_dPrecio))</f>
        <v>0</v>
      </c>
      <c r="R163" s="34" t="n">
        <f aca="false">IF(R$8=1,IF(Reales!$C$36="PYG",IF(R$10&gt;0,N(Reales!R36)/R$10,0),N(Reales!R36)),R$151*INDEX(Precio_V,12)*INDEX(IdxPrecio_V,1,MIN(10,R$136))*(1+V_dPrecio))</f>
        <v>0</v>
      </c>
      <c r="S163" s="34" t="n">
        <f aca="false">IF(S$8=1,IF(Reales!$C$36="PYG",IF(S$10&gt;0,N(Reales!S36)/S$10,0),N(Reales!S36)),S$151*INDEX(Precio_V,12)*INDEX(IdxPrecio_V,1,MIN(10,S$136))*(1+V_dPrecio))</f>
        <v>0</v>
      </c>
      <c r="T163" s="34" t="n">
        <f aca="false">IF(T$8=1,IF(Reales!$C$36="PYG",IF(T$10&gt;0,N(Reales!T36)/T$10,0),N(Reales!T36)),T$151*INDEX(Precio_V,12)*INDEX(IdxPrecio_V,1,MIN(10,T$136))*(1+V_dPrecio))</f>
        <v>0</v>
      </c>
      <c r="U163" s="34" t="n">
        <f aca="false">IF(U$8=1,IF(Reales!$C$36="PYG",IF(U$10&gt;0,N(Reales!U36)/U$10,0),N(Reales!U36)),U$151*INDEX(Precio_V,12)*INDEX(IdxPrecio_V,1,MIN(10,U$136))*(1+V_dPrecio))</f>
        <v>0</v>
      </c>
      <c r="V163" s="34" t="n">
        <f aca="false">IF(V$8=1,IF(Reales!$C$36="PYG",IF(V$10&gt;0,N(Reales!V36)/V$10,0),N(Reales!V36)),V$151*INDEX(Precio_V,12)*INDEX(IdxPrecio_V,1,MIN(10,V$136))*(1+V_dPrecio))</f>
        <v>0</v>
      </c>
      <c r="W163" s="34" t="n">
        <f aca="false">IF(W$8=1,IF(Reales!$C$36="PYG",IF(W$10&gt;0,N(Reales!W36)/W$10,0),N(Reales!W36)),W$151*INDEX(Precio_V,12)*INDEX(IdxPrecio_V,1,MIN(10,W$136))*(1+V_dPrecio))</f>
        <v>0</v>
      </c>
      <c r="X163" s="34" t="n">
        <f aca="false">IF(X$8=1,IF(Reales!$C$36="PYG",IF(X$10&gt;0,N(Reales!X36)/X$10,0),N(Reales!X36)),X$151*INDEX(Precio_V,12)*INDEX(IdxPrecio_V,1,MIN(10,X$136))*(1+V_dPrecio))</f>
        <v>0</v>
      </c>
      <c r="Y163" s="34" t="n">
        <f aca="false">IF(Y$8=1,IF(Reales!$C$36="PYG",IF(Y$10&gt;0,N(Reales!Y36)/Y$10,0),N(Reales!Y36)),Y$151*INDEX(Precio_V,12)*INDEX(IdxPrecio_V,1,MIN(10,Y$136))*(1+V_dPrecio))</f>
        <v>0</v>
      </c>
      <c r="Z163" s="34" t="n">
        <f aca="false">IF(Z$8=1,IF(Reales!$C$36="PYG",IF(Z$10&gt;0,N(Reales!Z36)/Z$10,0),N(Reales!Z36)),Z$151*INDEX(Precio_V,12)*INDEX(IdxPrecio_V,1,MIN(10,Z$136))*(1+V_dPrecio))</f>
        <v>0</v>
      </c>
      <c r="AA163" s="34" t="n">
        <f aca="false">IF(AA$8=1,IF(Reales!$C$36="PYG",IF(AA$10&gt;0,N(Reales!AA36)/AA$10,0),N(Reales!AA36)),AA$151*INDEX(Precio_V,12)*INDEX(IdxPrecio_V,1,MIN(10,AA$136))*(1+V_dPrecio))</f>
        <v>0</v>
      </c>
      <c r="AB163" s="34" t="n">
        <f aca="false">IF(AB$8=1,IF(Reales!$C$36="PYG",IF(AB$10&gt;0,N(Reales!AB36)/AB$10,0),N(Reales!AB36)),AB$151*INDEX(Precio_V,12)*INDEX(IdxPrecio_V,1,MIN(10,AB$136))*(1+V_dPrecio))</f>
        <v>0</v>
      </c>
      <c r="AC163" s="34" t="n">
        <f aca="false">IF(AC$8=1,IF(Reales!$C$36="PYG",IF(AC$10&gt;0,N(Reales!AC36)/AC$10,0),N(Reales!AC36)),AC$151*INDEX(Precio_V,12)*INDEX(IdxPrecio_V,1,MIN(10,AC$136))*(1+V_dPrecio))</f>
        <v>0</v>
      </c>
      <c r="AD163" s="34" t="n">
        <f aca="false">IF(AD$8=1,IF(Reales!$C$36="PYG",IF(AD$10&gt;0,N(Reales!AD36)/AD$10,0),N(Reales!AD36)),AD$151*INDEX(Precio_V,12)*INDEX(IdxPrecio_V,1,MIN(10,AD$136))*(1+V_dPrecio))</f>
        <v>0</v>
      </c>
      <c r="AE163" s="34" t="n">
        <f aca="false">IF(AE$8=1,IF(Reales!$C$36="PYG",IF(AE$10&gt;0,N(Reales!AE36)/AE$10,0),N(Reales!AE36)),AE$151*INDEX(Precio_V,12)*INDEX(IdxPrecio_V,1,MIN(10,AE$136))*(1+V_dPrecio))</f>
        <v>0</v>
      </c>
      <c r="AF163" s="34" t="n">
        <f aca="false">IF(AF$8=1,IF(Reales!$C$36="PYG",IF(AF$10&gt;0,N(Reales!AF36)/AF$10,0),N(Reales!AF36)),AF$151*INDEX(Precio_V,12)*INDEX(IdxPrecio_V,1,MIN(10,AF$136))*(1+V_dPrecio))</f>
        <v>0</v>
      </c>
      <c r="AG163" s="34" t="n">
        <f aca="false">IF(AG$8=1,IF(Reales!$C$36="PYG",IF(AG$10&gt;0,N(Reales!AG36)/AG$10,0),N(Reales!AG36)),AG$151*INDEX(Precio_V,12)*INDEX(IdxPrecio_V,1,MIN(10,AG$136))*(1+V_dPrecio))</f>
        <v>0</v>
      </c>
      <c r="AH163" s="34" t="n">
        <f aca="false">IF(AH$8=1,IF(Reales!$C$36="PYG",IF(AH$10&gt;0,N(Reales!AH36)/AH$10,0),N(Reales!AH36)),AH$151*INDEX(Precio_V,12)*INDEX(IdxPrecio_V,1,MIN(10,AH$136))*(1+V_dPrecio))</f>
        <v>0</v>
      </c>
      <c r="AI163" s="34" t="n">
        <f aca="false">IF(AI$8=1,IF(Reales!$C$36="PYG",IF(AI$10&gt;0,N(Reales!AI36)/AI$10,0),N(Reales!AI36)),AI$151*INDEX(Precio_V,12)*INDEX(IdxPrecio_V,1,MIN(10,AI$136))*(1+V_dPrecio))</f>
        <v>0</v>
      </c>
      <c r="AJ163" s="34" t="n">
        <f aca="false">IF(AJ$8=1,IF(Reales!$C$36="PYG",IF(AJ$10&gt;0,N(Reales!AJ36)/AJ$10,0),N(Reales!AJ36)),AJ$151*INDEX(Precio_V,12)*INDEX(IdxPrecio_V,1,MIN(10,AJ$136))*(1+V_dPrecio))</f>
        <v>0</v>
      </c>
      <c r="AK163" s="34" t="n">
        <f aca="false">IF(AK$8=1,IF(Reales!$C$36="PYG",IF(AK$10&gt;0,N(Reales!AK36)/AK$10,0),N(Reales!AK36)),AK$151*INDEX(Precio_V,12)*INDEX(IdxPrecio_V,1,MIN(10,AK$136))*(1+V_dPrecio))</f>
        <v>0</v>
      </c>
      <c r="AL163" s="34" t="n">
        <f aca="false">IF(AL$8=1,IF(Reales!$C$36="PYG",IF(AL$10&gt;0,N(Reales!AL36)/AL$10,0),N(Reales!AL36)),AL$151*INDEX(Precio_V,12)*INDEX(IdxPrecio_V,1,MIN(10,AL$136))*(1+V_dPrecio))</f>
        <v>0</v>
      </c>
      <c r="AM163" s="34" t="n">
        <f aca="false">IF(AM$8=1,IF(Reales!$C$36="PYG",IF(AM$10&gt;0,N(Reales!AM36)/AM$10,0),N(Reales!AM36)),AM$151*INDEX(Precio_V,12)*INDEX(IdxPrecio_V,1,MIN(10,AM$136))*(1+V_dPrecio))</f>
        <v>0</v>
      </c>
      <c r="AN163" s="34" t="n">
        <f aca="false">IF(AN$8=1,IF(Reales!$C$36="PYG",IF(AN$10&gt;0,N(Reales!AN36)/AN$10,0),N(Reales!AN36)),AN$151*INDEX(Precio_V,12)*INDEX(IdxPrecio_V,1,MIN(10,AN$136))*(1+V_dPrecio))</f>
        <v>0</v>
      </c>
      <c r="AO163" s="34" t="n">
        <f aca="false">IF(AO$8=1,IF(Reales!$C$36="PYG",IF(AO$10&gt;0,N(Reales!AO36)/AO$10,0),N(Reales!AO36)),AO$151*INDEX(Precio_V,12)*INDEX(IdxPrecio_V,1,MIN(10,AO$136))*(1+V_dPrecio))</f>
        <v>0</v>
      </c>
      <c r="AP163" s="34" t="n">
        <f aca="false">IF(AP$8=1,IF(Reales!$C$36="PYG",IF(AP$10&gt;0,N(Reales!AP36)/AP$10,0),N(Reales!AP36)),AP$151*INDEX(Precio_V,12)*INDEX(IdxPrecio_V,1,MIN(10,AP$136))*(1+V_dPrecio))</f>
        <v>0</v>
      </c>
      <c r="AQ163" s="34" t="n">
        <f aca="false">IF(AQ$8=1,IF(Reales!$C$36="PYG",IF(AQ$10&gt;0,N(Reales!AQ36)/AQ$10,0),N(Reales!AQ36)),AQ$151*INDEX(Precio_V,12)*INDEX(IdxPrecio_V,1,MIN(10,AQ$136))*(1+V_dPrecio))</f>
        <v>0</v>
      </c>
      <c r="AR163" s="34" t="n">
        <f aca="false">IF(AR$8=1,IF(Reales!$C$36="PYG",IF(AR$10&gt;0,N(Reales!AR36)/AR$10,0),N(Reales!AR36)),AR$151*INDEX(Precio_V,12)*INDEX(IdxPrecio_V,1,MIN(10,AR$136))*(1+V_dPrecio))</f>
        <v>0</v>
      </c>
      <c r="AS163" s="34" t="n">
        <f aca="false">IF(AS$8=1,IF(Reales!$C$36="PYG",IF(AS$10&gt;0,N(Reales!AS36)/AS$10,0),N(Reales!AS36)),AS$151*INDEX(Precio_V,12)*INDEX(IdxPrecio_V,1,MIN(10,AS$136))*(1+V_dPrecio))</f>
        <v>0</v>
      </c>
      <c r="AT163" s="34" t="n">
        <f aca="false">IF(AT$8=1,IF(Reales!$C$36="PYG",IF(AT$10&gt;0,N(Reales!AT36)/AT$10,0),N(Reales!AT36)),AT$151*INDEX(Precio_V,12)*INDEX(IdxPrecio_V,1,MIN(10,AT$136))*(1+V_dPrecio))</f>
        <v>0</v>
      </c>
      <c r="AU163" s="34" t="n">
        <f aca="false">IF(AU$8=1,IF(Reales!$C$36="PYG",IF(AU$10&gt;0,N(Reales!AU36)/AU$10,0),N(Reales!AU36)),AU$151*INDEX(Precio_V,12)*INDEX(IdxPrecio_V,1,MIN(10,AU$136))*(1+V_dPrecio))</f>
        <v>0</v>
      </c>
      <c r="AV163" s="34" t="n">
        <f aca="false">IF(AV$8=1,IF(Reales!$C$36="PYG",IF(AV$10&gt;0,N(Reales!AV36)/AV$10,0),N(Reales!AV36)),AV$151*INDEX(Precio_V,12)*INDEX(IdxPrecio_V,1,MIN(10,AV$136))*(1+V_dPrecio))</f>
        <v>0</v>
      </c>
      <c r="AW163" s="34" t="n">
        <f aca="false">IF(AW$8=1,IF(Reales!$C$36="PYG",IF(AW$10&gt;0,N(Reales!AW36)/AW$10,0),N(Reales!AW36)),AW$151*INDEX(Precio_V,12)*INDEX(IdxPrecio_V,1,MIN(10,AW$136))*(1+V_dPrecio))</f>
        <v>0</v>
      </c>
      <c r="AX163" s="34" t="n">
        <f aca="false">IF(AX$8=1,IF(Reales!$C$36="PYG",IF(AX$10&gt;0,N(Reales!AX36)/AX$10,0),N(Reales!AX36)),AX$151*INDEX(Precio_V,12)*INDEX(IdxPrecio_V,1,MIN(10,AX$136))*(1+V_dPrecio))</f>
        <v>0</v>
      </c>
      <c r="AY163" s="34" t="n">
        <f aca="false">IF(AY$8=1,IF(Reales!$C$36="PYG",IF(AY$10&gt;0,N(Reales!AY36)/AY$10,0),N(Reales!AY36)),AY$151*INDEX(Precio_V,12)*INDEX(IdxPrecio_V,1,MIN(10,AY$136))*(1+V_dPrecio))</f>
        <v>0</v>
      </c>
      <c r="AZ163" s="34" t="n">
        <f aca="false">IF(AZ$8=1,IF(Reales!$C$36="PYG",IF(AZ$10&gt;0,N(Reales!AZ36)/AZ$10,0),N(Reales!AZ36)),AZ$151*INDEX(Precio_V,12)*INDEX(IdxPrecio_V,1,MIN(10,AZ$136))*(1+V_dPrecio))</f>
        <v>0</v>
      </c>
      <c r="BA163" s="34" t="n">
        <f aca="false">IF(BA$8=1,IF(Reales!$C$36="PYG",IF(BA$10&gt;0,N(Reales!BA36)/BA$10,0),N(Reales!BA36)),BA$151*INDEX(Precio_V,12)*INDEX(IdxPrecio_V,1,MIN(10,BA$136))*(1+V_dPrecio))</f>
        <v>0</v>
      </c>
      <c r="BB163" s="34" t="n">
        <f aca="false">IF(BB$8=1,IF(Reales!$C$36="PYG",IF(BB$10&gt;0,N(Reales!BB36)/BB$10,0),N(Reales!BB36)),BB$151*INDEX(Precio_V,12)*INDEX(IdxPrecio_V,1,MIN(10,BB$136))*(1+V_dPrecio))</f>
        <v>0</v>
      </c>
      <c r="BC163" s="34" t="n">
        <f aca="false">IF(BC$8=1,IF(Reales!$C$36="PYG",IF(BC$10&gt;0,N(Reales!BC36)/BC$10,0),N(Reales!BC36)),BC$151*INDEX(Precio_V,12)*INDEX(IdxPrecio_V,1,MIN(10,BC$136))*(1+V_dPrecio))</f>
        <v>0</v>
      </c>
      <c r="BD163" s="34" t="n">
        <f aca="false">IF(BD$8=1,IF(Reales!$C$36="PYG",IF(BD$10&gt;0,N(Reales!BD36)/BD$10,0),N(Reales!BD36)),BD$151*INDEX(Precio_V,12)*INDEX(IdxPrecio_V,1,MIN(10,BD$136))*(1+V_dPrecio))</f>
        <v>0</v>
      </c>
      <c r="BE163" s="34" t="n">
        <f aca="false">IF(BE$8=1,IF(Reales!$C$36="PYG",IF(BE$10&gt;0,N(Reales!BE36)/BE$10,0),N(Reales!BE36)),BE$151*INDEX(Precio_V,12)*INDEX(IdxPrecio_V,1,MIN(10,BE$136))*(1+V_dPrecio))</f>
        <v>0</v>
      </c>
      <c r="BF163" s="34" t="n">
        <f aca="false">IF(BF$8=1,IF(Reales!$C$36="PYG",IF(BF$10&gt;0,N(Reales!BF36)/BF$10,0),N(Reales!BF36)),BF$151*INDEX(Precio_V,12)*INDEX(IdxPrecio_V,1,MIN(10,BF$136))*(1+V_dPrecio))</f>
        <v>0</v>
      </c>
      <c r="BG163" s="34" t="n">
        <f aca="false">IF(BG$8=1,IF(Reales!$C$36="PYG",IF(BG$10&gt;0,N(Reales!BG36)/BG$10,0),N(Reales!BG36)),BG$151*INDEX(Precio_V,12)*INDEX(IdxPrecio_V,1,MIN(10,BG$136))*(1+V_dPrecio))</f>
        <v>0</v>
      </c>
      <c r="BH163" s="34" t="n">
        <f aca="false">IF(BH$8=1,IF(Reales!$C$36="PYG",IF(BH$10&gt;0,N(Reales!BH36)/BH$10,0),N(Reales!BH36)),BH$151*INDEX(Precio_V,12)*INDEX(IdxPrecio_V,1,MIN(10,BH$136))*(1+V_dPrecio))</f>
        <v>0</v>
      </c>
      <c r="BI163" s="34" t="n">
        <f aca="false">IF(BI$8=1,IF(Reales!$C$36="PYG",IF(BI$10&gt;0,N(Reales!BI36)/BI$10,0),N(Reales!BI36)),BI$151*INDEX(Precio_V,12)*INDEX(IdxPrecio_V,1,MIN(10,BI$136))*(1+V_dPrecio))</f>
        <v>0</v>
      </c>
      <c r="BJ163" s="34" t="n">
        <f aca="false">IF(BJ$8=1,IF(Reales!$C$36="PYG",IF(BJ$10&gt;0,N(Reales!BJ36)/BJ$10,0),N(Reales!BJ36)),BJ$151*INDEX(Precio_V,12)*INDEX(IdxPrecio_V,1,MIN(10,BJ$136))*(1+V_dPrecio))</f>
        <v>0</v>
      </c>
      <c r="BK163" s="34" t="n">
        <f aca="false">IF(BK$8=1,IF(Reales!$C$36="PYG",IF(BK$10&gt;0,N(Reales!BK36)/BK$10,0),N(Reales!BK36)),BK$151*INDEX(Precio_V,12)*INDEX(IdxPrecio_V,1,MIN(10,BK$136))*(1+V_dPrecio))</f>
        <v>0</v>
      </c>
      <c r="BL163" s="34" t="n">
        <f aca="false">IF(BL$8=1,IF(Reales!$C$36="PYG",IF(BL$10&gt;0,N(Reales!BL36)/BL$10,0),N(Reales!BL36)),BL$151*INDEX(Precio_V,12)*INDEX(IdxPrecio_V,1,MIN(10,BL$136))*(1+V_dPrecio))</f>
        <v>0</v>
      </c>
      <c r="BM163" s="34" t="n">
        <f aca="false">IF(BM$8=1,IF(Reales!$C$36="PYG",IF(BM$10&gt;0,N(Reales!BM36)/BM$10,0),N(Reales!BM36)),BM$151*INDEX(Precio_V,12)*INDEX(IdxPrecio_V,1,MIN(10,BM$136))*(1+V_dPrecio))</f>
        <v>0</v>
      </c>
      <c r="BN163" s="34" t="n">
        <f aca="false">IF(BN$8=1,IF(Reales!$C$36="PYG",IF(BN$10&gt;0,N(Reales!BN36)/BN$10,0),N(Reales!BN36)),BN$151*INDEX(Precio_V,12)*INDEX(IdxPrecio_V,1,MIN(10,BN$136))*(1+V_dPrecio))</f>
        <v>0</v>
      </c>
      <c r="BO163" s="34" t="n">
        <f aca="false">IF(BO$8=1,IF(Reales!$C$36="PYG",IF(BO$10&gt;0,N(Reales!BO36)/BO$10,0),N(Reales!BO36)),BO$151*INDEX(Precio_V,12)*INDEX(IdxPrecio_V,1,MIN(10,BO$136))*(1+V_dPrecio))</f>
        <v>0</v>
      </c>
      <c r="BP163" s="34" t="n">
        <f aca="false">IF(BP$8=1,IF(Reales!$C$36="PYG",IF(BP$10&gt;0,N(Reales!BP36)/BP$10,0),N(Reales!BP36)),BP$151*INDEX(Precio_V,12)*INDEX(IdxPrecio_V,1,MIN(10,BP$136))*(1+V_dPrecio))</f>
        <v>0</v>
      </c>
      <c r="BQ163" s="34" t="n">
        <f aca="false">IF(BQ$8=1,IF(Reales!$C$36="PYG",IF(BQ$10&gt;0,N(Reales!BQ36)/BQ$10,0),N(Reales!BQ36)),BQ$151*INDEX(Precio_V,12)*INDEX(IdxPrecio_V,1,MIN(10,BQ$136))*(1+V_dPrecio))</f>
        <v>0</v>
      </c>
      <c r="BR163" s="34" t="n">
        <f aca="false">IF(BR$8=1,IF(Reales!$C$36="PYG",IF(BR$10&gt;0,N(Reales!BR36)/BR$10,0),N(Reales!BR36)),BR$151*INDEX(Precio_V,12)*INDEX(IdxPrecio_V,1,MIN(10,BR$136))*(1+V_dPrecio))</f>
        <v>0</v>
      </c>
      <c r="BS163" s="34" t="n">
        <f aca="false">IF(BS$8=1,IF(Reales!$C$36="PYG",IF(BS$10&gt;0,N(Reales!BS36)/BS$10,0),N(Reales!BS36)),BS$151*INDEX(Precio_V,12)*INDEX(IdxPrecio_V,1,MIN(10,BS$136))*(1+V_dPrecio))</f>
        <v>0</v>
      </c>
      <c r="BT163" s="34" t="n">
        <f aca="false">IF(BT$8=1,IF(Reales!$C$36="PYG",IF(BT$10&gt;0,N(Reales!BT36)/BT$10,0),N(Reales!BT36)),BT$151*INDEX(Precio_V,12)*INDEX(IdxPrecio_V,1,MIN(10,BT$136))*(1+V_dPrecio))</f>
        <v>0</v>
      </c>
      <c r="BU163" s="34" t="n">
        <f aca="false">IF(BU$8=1,IF(Reales!$C$36="PYG",IF(BU$10&gt;0,N(Reales!BU36)/BU$10,0),N(Reales!BU36)),BU$151*INDEX(Precio_V,12)*INDEX(IdxPrecio_V,1,MIN(10,BU$136))*(1+V_dPrecio))</f>
        <v>0</v>
      </c>
      <c r="BV163" s="34" t="n">
        <f aca="false">IF(BV$8=1,IF(Reales!$C$36="PYG",IF(BV$10&gt;0,N(Reales!BV36)/BV$10,0),N(Reales!BV36)),BV$151*INDEX(Precio_V,12)*INDEX(IdxPrecio_V,1,MIN(10,BV$136))*(1+V_dPrecio))</f>
        <v>0</v>
      </c>
      <c r="BW163" s="34" t="n">
        <f aca="false">IF(BW$8=1,IF(Reales!$C$36="PYG",IF(BW$10&gt;0,N(Reales!BW36)/BW$10,0),N(Reales!BW36)),BW$151*INDEX(Precio_V,12)*INDEX(IdxPrecio_V,1,MIN(10,BW$136))*(1+V_dPrecio))</f>
        <v>0</v>
      </c>
      <c r="BX163" s="34" t="n">
        <f aca="false">IF(BX$8=1,IF(Reales!$C$36="PYG",IF(BX$10&gt;0,N(Reales!BX36)/BX$10,0),N(Reales!BX36)),BX$151*INDEX(Precio_V,12)*INDEX(IdxPrecio_V,1,MIN(10,BX$136))*(1+V_dPrecio))</f>
        <v>0</v>
      </c>
      <c r="BY163" s="34" t="n">
        <f aca="false">IF(BY$8=1,IF(Reales!$C$36="PYG",IF(BY$10&gt;0,N(Reales!BY36)/BY$10,0),N(Reales!BY36)),BY$151*INDEX(Precio_V,12)*INDEX(IdxPrecio_V,1,MIN(10,BY$136))*(1+V_dPrecio))</f>
        <v>0</v>
      </c>
      <c r="BZ163" s="34" t="n">
        <f aca="false">IF(BZ$8=1,IF(Reales!$C$36="PYG",IF(BZ$10&gt;0,N(Reales!BZ36)/BZ$10,0),N(Reales!BZ36)),BZ$151*INDEX(Precio_V,12)*INDEX(IdxPrecio_V,1,MIN(10,BZ$136))*(1+V_dPrecio))</f>
        <v>0</v>
      </c>
      <c r="CA163" s="34" t="n">
        <f aca="false">IF(CA$8=1,IF(Reales!$C$36="PYG",IF(CA$10&gt;0,N(Reales!CA36)/CA$10,0),N(Reales!CA36)),CA$151*INDEX(Precio_V,12)*INDEX(IdxPrecio_V,1,MIN(10,CA$136))*(1+V_dPrecio))</f>
        <v>0</v>
      </c>
      <c r="CB163" s="34" t="n">
        <f aca="false">IF(CB$8=1,IF(Reales!$C$36="PYG",IF(CB$10&gt;0,N(Reales!CB36)/CB$10,0),N(Reales!CB36)),CB$151*INDEX(Precio_V,12)*INDEX(IdxPrecio_V,1,MIN(10,CB$136))*(1+V_dPrecio))</f>
        <v>0</v>
      </c>
      <c r="CC163" s="34" t="n">
        <f aca="false">IF(CC$8=1,IF(Reales!$C$36="PYG",IF(CC$10&gt;0,N(Reales!CC36)/CC$10,0),N(Reales!CC36)),CC$151*INDEX(Precio_V,12)*INDEX(IdxPrecio_V,1,MIN(10,CC$136))*(1+V_dPrecio))</f>
        <v>0</v>
      </c>
      <c r="CD163" s="34" t="n">
        <f aca="false">IF(CD$8=1,IF(Reales!$C$36="PYG",IF(CD$10&gt;0,N(Reales!CD36)/CD$10,0),N(Reales!CD36)),CD$151*INDEX(Precio_V,12)*INDEX(IdxPrecio_V,1,MIN(10,CD$136))*(1+V_dPrecio))</f>
        <v>0</v>
      </c>
      <c r="CE163" s="34" t="n">
        <f aca="false">IF(CE$8=1,IF(Reales!$C$36="PYG",IF(CE$10&gt;0,N(Reales!CE36)/CE$10,0),N(Reales!CE36)),CE$151*INDEX(Precio_V,12)*INDEX(IdxPrecio_V,1,MIN(10,CE$136))*(1+V_dPrecio))</f>
        <v>0</v>
      </c>
      <c r="CF163" s="34" t="n">
        <f aca="false">IF(CF$8=1,IF(Reales!$C$36="PYG",IF(CF$10&gt;0,N(Reales!CF36)/CF$10,0),N(Reales!CF36)),CF$151*INDEX(Precio_V,12)*INDEX(IdxPrecio_V,1,MIN(10,CF$136))*(1+V_dPrecio))</f>
        <v>0</v>
      </c>
      <c r="CG163" s="34" t="n">
        <f aca="false">IF(CG$8=1,IF(Reales!$C$36="PYG",IF(CG$10&gt;0,N(Reales!CG36)/CG$10,0),N(Reales!CG36)),CG$151*INDEX(Precio_V,12)*INDEX(IdxPrecio_V,1,MIN(10,CG$136))*(1+V_dPrecio))</f>
        <v>0</v>
      </c>
      <c r="CH163" s="34" t="n">
        <f aca="false">IF(CH$8=1,IF(Reales!$C$36="PYG",IF(CH$10&gt;0,N(Reales!CH36)/CH$10,0),N(Reales!CH36)),CH$151*INDEX(Precio_V,12)*INDEX(IdxPrecio_V,1,MIN(10,CH$136))*(1+V_dPrecio))</f>
        <v>0</v>
      </c>
      <c r="CI163" s="34" t="n">
        <f aca="false">IF(CI$8=1,IF(Reales!$C$36="PYG",IF(CI$10&gt;0,N(Reales!CI36)/CI$10,0),N(Reales!CI36)),CI$151*INDEX(Precio_V,12)*INDEX(IdxPrecio_V,1,MIN(10,CI$136))*(1+V_dPrecio))</f>
        <v>0</v>
      </c>
      <c r="CJ163" s="34" t="n">
        <f aca="false">IF(CJ$8=1,IF(Reales!$C$36="PYG",IF(CJ$10&gt;0,N(Reales!CJ36)/CJ$10,0),N(Reales!CJ36)),CJ$151*INDEX(Precio_V,12)*INDEX(IdxPrecio_V,1,MIN(10,CJ$136))*(1+V_dPrecio))</f>
        <v>0</v>
      </c>
      <c r="CK163" s="34" t="n">
        <f aca="false">IF(CK$8=1,IF(Reales!$C$36="PYG",IF(CK$10&gt;0,N(Reales!CK36)/CK$10,0),N(Reales!CK36)),CK$151*INDEX(Precio_V,12)*INDEX(IdxPrecio_V,1,MIN(10,CK$136))*(1+V_dPrecio))</f>
        <v>0</v>
      </c>
      <c r="CL163" s="34" t="n">
        <f aca="false">IF(CL$8=1,IF(Reales!$C$36="PYG",IF(CL$10&gt;0,N(Reales!CL36)/CL$10,0),N(Reales!CL36)),CL$151*INDEX(Precio_V,12)*INDEX(IdxPrecio_V,1,MIN(10,CL$136))*(1+V_dPrecio))</f>
        <v>0</v>
      </c>
      <c r="CM163" s="34" t="n">
        <f aca="false">IF(CM$8=1,IF(Reales!$C$36="PYG",IF(CM$10&gt;0,N(Reales!CM36)/CM$10,0),N(Reales!CM36)),CM$151*INDEX(Precio_V,12)*INDEX(IdxPrecio_V,1,MIN(10,CM$136))*(1+V_dPrecio))</f>
        <v>0</v>
      </c>
      <c r="CN163" s="34" t="n">
        <f aca="false">IF(CN$8=1,IF(Reales!$C$36="PYG",IF(CN$10&gt;0,N(Reales!CN36)/CN$10,0),N(Reales!CN36)),CN$151*INDEX(Precio_V,12)*INDEX(IdxPrecio_V,1,MIN(10,CN$136))*(1+V_dPrecio))</f>
        <v>0</v>
      </c>
      <c r="CO163" s="34" t="n">
        <f aca="false">IF(CO$8=1,IF(Reales!$C$36="PYG",IF(CO$10&gt;0,N(Reales!CO36)/CO$10,0),N(Reales!CO36)),CO$151*INDEX(Precio_V,12)*INDEX(IdxPrecio_V,1,MIN(10,CO$136))*(1+V_dPrecio))</f>
        <v>0</v>
      </c>
      <c r="CP163" s="34" t="n">
        <f aca="false">IF(CP$8=1,IF(Reales!$C$36="PYG",IF(CP$10&gt;0,N(Reales!CP36)/CP$10,0),N(Reales!CP36)),CP$151*INDEX(Precio_V,12)*INDEX(IdxPrecio_V,1,MIN(10,CP$136))*(1+V_dPrecio))</f>
        <v>0</v>
      </c>
      <c r="CQ163" s="34" t="n">
        <f aca="false">IF(CQ$8=1,IF(Reales!$C$36="PYG",IF(CQ$10&gt;0,N(Reales!CQ36)/CQ$10,0),N(Reales!CQ36)),CQ$151*INDEX(Precio_V,12)*INDEX(IdxPrecio_V,1,MIN(10,CQ$136))*(1+V_dPrecio))</f>
        <v>0</v>
      </c>
      <c r="CR163" s="34" t="n">
        <f aca="false">IF(CR$8=1,IF(Reales!$C$36="PYG",IF(CR$10&gt;0,N(Reales!CR36)/CR$10,0),N(Reales!CR36)),CR$151*INDEX(Precio_V,12)*INDEX(IdxPrecio_V,1,MIN(10,CR$136))*(1+V_dPrecio))</f>
        <v>0</v>
      </c>
      <c r="CS163" s="34" t="n">
        <f aca="false">IF(CS$8=1,IF(Reales!$C$36="PYG",IF(CS$10&gt;0,N(Reales!CS36)/CS$10,0),N(Reales!CS36)),CS$151*INDEX(Precio_V,12)*INDEX(IdxPrecio_V,1,MIN(10,CS$136))*(1+V_dPrecio))</f>
        <v>0</v>
      </c>
      <c r="CT163" s="34" t="n">
        <f aca="false">IF(CT$8=1,IF(Reales!$C$36="PYG",IF(CT$10&gt;0,N(Reales!CT36)/CT$10,0),N(Reales!CT36)),CT$151*INDEX(Precio_V,12)*INDEX(IdxPrecio_V,1,MIN(10,CT$136))*(1+V_dPrecio))</f>
        <v>0</v>
      </c>
      <c r="CU163" s="34" t="n">
        <f aca="false">IF(CU$8=1,IF(Reales!$C$36="PYG",IF(CU$10&gt;0,N(Reales!CU36)/CU$10,0),N(Reales!CU36)),CU$151*INDEX(Precio_V,12)*INDEX(IdxPrecio_V,1,MIN(10,CU$136))*(1+V_dPrecio))</f>
        <v>0</v>
      </c>
      <c r="CV163" s="34" t="n">
        <f aca="false">IF(CV$8=1,IF(Reales!$C$36="PYG",IF(CV$10&gt;0,N(Reales!CV36)/CV$10,0),N(Reales!CV36)),CV$151*INDEX(Precio_V,12)*INDEX(IdxPrecio_V,1,MIN(10,CV$136))*(1+V_dPrecio))</f>
        <v>0</v>
      </c>
      <c r="CW163" s="34" t="n">
        <f aca="false">IF(CW$8=1,IF(Reales!$C$36="PYG",IF(CW$10&gt;0,N(Reales!CW36)/CW$10,0),N(Reales!CW36)),CW$151*INDEX(Precio_V,12)*INDEX(IdxPrecio_V,1,MIN(10,CW$136))*(1+V_dPrecio))</f>
        <v>0</v>
      </c>
      <c r="CX163" s="34" t="n">
        <f aca="false">IF(CX$8=1,IF(Reales!$C$36="PYG",IF(CX$10&gt;0,N(Reales!CX36)/CX$10,0),N(Reales!CX36)),CX$151*INDEX(Precio_V,12)*INDEX(IdxPrecio_V,1,MIN(10,CX$136))*(1+V_dPrecio))</f>
        <v>0</v>
      </c>
      <c r="CY163" s="34" t="n">
        <f aca="false">IF(CY$8=1,IF(Reales!$C$36="PYG",IF(CY$10&gt;0,N(Reales!CY36)/CY$10,0),N(Reales!CY36)),CY$151*INDEX(Precio_V,12)*INDEX(IdxPrecio_V,1,MIN(10,CY$136))*(1+V_dPrecio))</f>
        <v>0</v>
      </c>
      <c r="CZ163" s="34" t="n">
        <f aca="false">IF(CZ$8=1,IF(Reales!$C$36="PYG",IF(CZ$10&gt;0,N(Reales!CZ36)/CZ$10,0),N(Reales!CZ36)),CZ$151*INDEX(Precio_V,12)*INDEX(IdxPrecio_V,1,MIN(10,CZ$136))*(1+V_dPrecio))</f>
        <v>0</v>
      </c>
      <c r="DA163" s="34" t="n">
        <f aca="false">IF(DA$8=1,IF(Reales!$C$36="PYG",IF(DA$10&gt;0,N(Reales!DA36)/DA$10,0),N(Reales!DA36)),DA$151*INDEX(Precio_V,12)*INDEX(IdxPrecio_V,1,MIN(10,DA$136))*(1+V_dPrecio))</f>
        <v>0</v>
      </c>
      <c r="DB163" s="34" t="n">
        <f aca="false">IF(DB$8=1,IF(Reales!$C$36="PYG",IF(DB$10&gt;0,N(Reales!DB36)/DB$10,0),N(Reales!DB36)),DB$151*INDEX(Precio_V,12)*INDEX(IdxPrecio_V,1,MIN(10,DB$136))*(1+V_dPrecio))</f>
        <v>0</v>
      </c>
      <c r="DC163" s="34" t="n">
        <f aca="false">IF(DC$8=1,IF(Reales!$C$36="PYG",IF(DC$10&gt;0,N(Reales!DC36)/DC$10,0),N(Reales!DC36)),DC$151*INDEX(Precio_V,12)*INDEX(IdxPrecio_V,1,MIN(10,DC$136))*(1+V_dPrecio))</f>
        <v>0</v>
      </c>
      <c r="DD163" s="34" t="n">
        <f aca="false">IF(DD$8=1,IF(Reales!$C$36="PYG",IF(DD$10&gt;0,N(Reales!DD36)/DD$10,0),N(Reales!DD36)),DD$151*INDEX(Precio_V,12)*INDEX(IdxPrecio_V,1,MIN(10,DD$136))*(1+V_dPrecio))</f>
        <v>0</v>
      </c>
      <c r="DE163" s="34" t="n">
        <f aca="false">IF(DE$8=1,IF(Reales!$C$36="PYG",IF(DE$10&gt;0,N(Reales!DE36)/DE$10,0),N(Reales!DE36)),DE$151*INDEX(Precio_V,12)*INDEX(IdxPrecio_V,1,MIN(10,DE$136))*(1+V_dPrecio))</f>
        <v>0</v>
      </c>
      <c r="DF163" s="34" t="n">
        <f aca="false">IF(DF$8=1,IF(Reales!$C$36="PYG",IF(DF$10&gt;0,N(Reales!DF36)/DF$10,0),N(Reales!DF36)),DF$151*INDEX(Precio_V,12)*INDEX(IdxPrecio_V,1,MIN(10,DF$136))*(1+V_dPrecio))</f>
        <v>0</v>
      </c>
      <c r="DG163" s="34" t="n">
        <f aca="false">IF(DG$8=1,IF(Reales!$C$36="PYG",IF(DG$10&gt;0,N(Reales!DG36)/DG$10,0),N(Reales!DG36)),DG$151*INDEX(Precio_V,12)*INDEX(IdxPrecio_V,1,MIN(10,DG$136))*(1+V_dPrecio))</f>
        <v>0</v>
      </c>
      <c r="DH163" s="34" t="n">
        <f aca="false">IF(DH$8=1,IF(Reales!$C$36="PYG",IF(DH$10&gt;0,N(Reales!DH36)/DH$10,0),N(Reales!DH36)),DH$151*INDEX(Precio_V,12)*INDEX(IdxPrecio_V,1,MIN(10,DH$136))*(1+V_dPrecio))</f>
        <v>0</v>
      </c>
      <c r="DI163" s="34" t="n">
        <f aca="false">IF(DI$8=1,IF(Reales!$C$36="PYG",IF(DI$10&gt;0,N(Reales!DI36)/DI$10,0),N(Reales!DI36)),DI$151*INDEX(Precio_V,12)*INDEX(IdxPrecio_V,1,MIN(10,DI$136))*(1+V_dPrecio))</f>
        <v>0</v>
      </c>
      <c r="DJ163" s="34" t="n">
        <f aca="false">IF(DJ$8=1,IF(Reales!$C$36="PYG",IF(DJ$10&gt;0,N(Reales!DJ36)/DJ$10,0),N(Reales!DJ36)),DJ$151*INDEX(Precio_V,12)*INDEX(IdxPrecio_V,1,MIN(10,DJ$136))*(1+V_dPrecio))</f>
        <v>0</v>
      </c>
      <c r="DK163" s="34" t="n">
        <f aca="false">IF(DK$8=1,IF(Reales!$C$36="PYG",IF(DK$10&gt;0,N(Reales!DK36)/DK$10,0),N(Reales!DK36)),DK$151*INDEX(Precio_V,12)*INDEX(IdxPrecio_V,1,MIN(10,DK$136))*(1+V_dPrecio))</f>
        <v>0</v>
      </c>
      <c r="DL163" s="34" t="n">
        <f aca="false">IF(DL$8=1,IF(Reales!$C$36="PYG",IF(DL$10&gt;0,N(Reales!DL36)/DL$10,0),N(Reales!DL36)),DL$151*INDEX(Precio_V,12)*INDEX(IdxPrecio_V,1,MIN(10,DL$136))*(1+V_dPrecio))</f>
        <v>0</v>
      </c>
      <c r="DM163" s="34" t="n">
        <f aca="false">IF(DM$8=1,IF(Reales!$C$36="PYG",IF(DM$10&gt;0,N(Reales!DM36)/DM$10,0),N(Reales!DM36)),DM$151*INDEX(Precio_V,12)*INDEX(IdxPrecio_V,1,MIN(10,DM$136))*(1+V_dPrecio))</f>
        <v>0</v>
      </c>
      <c r="DN163" s="34" t="n">
        <f aca="false">IF(DN$8=1,IF(Reales!$C$36="PYG",IF(DN$10&gt;0,N(Reales!DN36)/DN$10,0),N(Reales!DN36)),DN$151*INDEX(Precio_V,12)*INDEX(IdxPrecio_V,1,MIN(10,DN$136))*(1+V_dPrecio))</f>
        <v>0</v>
      </c>
      <c r="DO163" s="34" t="n">
        <f aca="false">IF(DO$8=1,IF(Reales!$C$36="PYG",IF(DO$10&gt;0,N(Reales!DO36)/DO$10,0),N(Reales!DO36)),DO$151*INDEX(Precio_V,12)*INDEX(IdxPrecio_V,1,MIN(10,DO$136))*(1+V_dPrecio))</f>
        <v>0</v>
      </c>
      <c r="DP163" s="34" t="n">
        <f aca="false">IF(DP$8=1,IF(Reales!$C$36="PYG",IF(DP$10&gt;0,N(Reales!DP36)/DP$10,0),N(Reales!DP36)),DP$151*INDEX(Precio_V,12)*INDEX(IdxPrecio_V,1,MIN(10,DP$136))*(1+V_dPrecio))</f>
        <v>0</v>
      </c>
      <c r="DQ163" s="34" t="n">
        <f aca="false">IF(DQ$8=1,IF(Reales!$C$36="PYG",IF(DQ$10&gt;0,N(Reales!DQ36)/DQ$10,0),N(Reales!DQ36)),DQ$151*INDEX(Precio_V,12)*INDEX(IdxPrecio_V,1,MIN(10,DQ$136))*(1+V_dPrecio))</f>
        <v>0</v>
      </c>
      <c r="DR163" s="34" t="n">
        <f aca="false">IF(DR$8=1,IF(Reales!$C$36="PYG",IF(DR$10&gt;0,N(Reales!DR36)/DR$10,0),N(Reales!DR36)),DR$151*INDEX(Precio_V,12)*INDEX(IdxPrecio_V,1,MIN(10,DR$136))*(1+V_dPrecio))</f>
        <v>0</v>
      </c>
      <c r="DS163" s="34" t="n">
        <f aca="false">IF(DS$8=1,IF(Reales!$C$36="PYG",IF(DS$10&gt;0,N(Reales!DS36)/DS$10,0),N(Reales!DS36)),DS$151*INDEX(Precio_V,12)*INDEX(IdxPrecio_V,1,MIN(10,DS$136))*(1+V_dPrecio))</f>
        <v>0</v>
      </c>
      <c r="DT163" s="34" t="n">
        <f aca="false">IF(DT$8=1,IF(Reales!$C$36="PYG",IF(DT$10&gt;0,N(Reales!DT36)/DT$10,0),N(Reales!DT36)),DT$151*INDEX(Precio_V,12)*INDEX(IdxPrecio_V,1,MIN(10,DT$136))*(1+V_dPrecio))</f>
        <v>0</v>
      </c>
      <c r="DU163" s="34" t="n">
        <f aca="false">IF(DU$8=1,IF(Reales!$C$36="PYG",IF(DU$10&gt;0,N(Reales!DU36)/DU$10,0),N(Reales!DU36)),DU$151*INDEX(Precio_V,12)*INDEX(IdxPrecio_V,1,MIN(10,DU$136))*(1+V_dPrecio))</f>
        <v>0</v>
      </c>
      <c r="DV163" s="34" t="n">
        <f aca="false">IF(DV$8=1,IF(Reales!$C$36="PYG",IF(DV$10&gt;0,N(Reales!DV36)/DV$10,0),N(Reales!DV36)),DV$151*INDEX(Precio_V,12)*INDEX(IdxPrecio_V,1,MIN(10,DV$136))*(1+V_dPrecio))</f>
        <v>0</v>
      </c>
      <c r="DW163" s="34" t="n">
        <f aca="false">IF(DW$8=1,IF(Reales!$C$36="PYG",IF(DW$10&gt;0,N(Reales!DW36)/DW$10,0),N(Reales!DW36)),DW$151*INDEX(Precio_V,12)*INDEX(IdxPrecio_V,1,MIN(10,DW$136))*(1+V_dPrecio))</f>
        <v>0</v>
      </c>
      <c r="DX163" s="34" t="n">
        <f aca="false">IF(DX$8=1,IF(Reales!$C$36="PYG",IF(DX$10&gt;0,N(Reales!DX36)/DX$10,0),N(Reales!DX36)),DX$151*INDEX(Precio_V,12)*INDEX(IdxPrecio_V,1,MIN(10,DX$136))*(1+V_dPrecio))</f>
        <v>0</v>
      </c>
      <c r="DY163" s="34" t="n">
        <f aca="false">IF(DY$8=1,IF(Reales!$C$36="PYG",IF(DY$10&gt;0,N(Reales!DY36)/DY$10,0),N(Reales!DY36)),DY$151*INDEX(Precio_V,12)*INDEX(IdxPrecio_V,1,MIN(10,DY$136))*(1+V_dPrecio))</f>
        <v>0</v>
      </c>
      <c r="DZ163" s="34" t="n">
        <f aca="false">IF(DZ$8=1,IF(Reales!$C$36="PYG",IF(DZ$10&gt;0,N(Reales!DZ36)/DZ$10,0),N(Reales!DZ36)),DZ$151*INDEX(Precio_V,12)*INDEX(IdxPrecio_V,1,MIN(10,DZ$136))*(1+V_dPrecio))</f>
        <v>0</v>
      </c>
      <c r="EA163" s="34" t="n">
        <f aca="false">IF(EA$8=1,IF(Reales!$C$36="PYG",IF(EA$10&gt;0,N(Reales!EA36)/EA$10,0),N(Reales!EA36)),EA$151*INDEX(Precio_V,12)*INDEX(IdxPrecio_V,1,MIN(10,EA$136))*(1+V_dPrecio))</f>
        <v>0</v>
      </c>
      <c r="EB163" s="34" t="n">
        <f aca="false">IF(EB$8=1,IF(Reales!$C$36="PYG",IF(EB$10&gt;0,N(Reales!EB36)/EB$10,0),N(Reales!EB36)),EB$151*INDEX(Precio_V,12)*INDEX(IdxPrecio_V,1,MIN(10,EB$136))*(1+V_dPrecio))</f>
        <v>0</v>
      </c>
      <c r="EC163" s="34" t="n">
        <f aca="false">IF(EC$8=1,IF(Reales!$C$36="PYG",IF(EC$10&gt;0,N(Reales!EC36)/EC$10,0),N(Reales!EC36)),EC$151*INDEX(Precio_V,12)*INDEX(IdxPrecio_V,1,MIN(10,EC$136))*(1+V_dPrecio))</f>
        <v>0</v>
      </c>
      <c r="ED163" s="34" t="n">
        <f aca="false">IF(ED$8=1,IF(Reales!$C$36="PYG",IF(ED$10&gt;0,N(Reales!ED36)/ED$10,0),N(Reales!ED36)),ED$151*INDEX(Precio_V,12)*INDEX(IdxPrecio_V,1,MIN(10,ED$136))*(1+V_dPrecio))</f>
        <v>0</v>
      </c>
      <c r="EE163" s="34" t="n">
        <f aca="false">IF(EE$8=1,IF(Reales!$C$36="PYG",IF(EE$10&gt;0,N(Reales!EE36)/EE$10,0),N(Reales!EE36)),EE$151*INDEX(Precio_V,12)*INDEX(IdxPrecio_V,1,MIN(10,EE$136))*(1+V_dPrecio))</f>
        <v>0</v>
      </c>
      <c r="EF163" s="34" t="n">
        <f aca="false">IF(EF$8=1,IF(Reales!$C$36="PYG",IF(EF$10&gt;0,N(Reales!EF36)/EF$10,0),N(Reales!EF36)),EF$151*INDEX(Precio_V,12)*INDEX(IdxPrecio_V,1,MIN(10,EF$136))*(1+V_dPrecio))</f>
        <v>0</v>
      </c>
      <c r="EG163" s="34" t="n">
        <f aca="false">IF(EG$8=1,IF(Reales!$C$36="PYG",IF(EG$10&gt;0,N(Reales!EG36)/EG$10,0),N(Reales!EG36)),EG$151*INDEX(Precio_V,12)*INDEX(IdxPrecio_V,1,MIN(10,EG$136))*(1+V_dPrecio))</f>
        <v>0</v>
      </c>
      <c r="EH163" s="34" t="n">
        <f aca="false">IF(EH$8=1,IF(Reales!$C$36="PYG",IF(EH$10&gt;0,N(Reales!EH36)/EH$10,0),N(Reales!EH36)),EH$151*INDEX(Precio_V,12)*INDEX(IdxPrecio_V,1,MIN(10,EH$136))*(1+V_dPrecio))</f>
        <v>0</v>
      </c>
      <c r="EI163" s="34" t="n">
        <f aca="false">IF(EI$8=1,IF(Reales!$C$36="PYG",IF(EI$10&gt;0,N(Reales!EI36)/EI$10,0),N(Reales!EI36)),EI$151*INDEX(Precio_V,12)*INDEX(IdxPrecio_V,1,MIN(10,EI$136))*(1+V_dPrecio))</f>
        <v>0</v>
      </c>
      <c r="EJ163" s="34" t="n">
        <f aca="false">IF(EJ$8=1,IF(Reales!$C$36="PYG",IF(EJ$10&gt;0,N(Reales!EJ36)/EJ$10,0),N(Reales!EJ36)),EJ$151*INDEX(Precio_V,12)*INDEX(IdxPrecio_V,1,MIN(10,EJ$136))*(1+V_dPrecio))</f>
        <v>0</v>
      </c>
      <c r="EK163" s="34" t="n">
        <f aca="false">IF(EK$8=1,IF(Reales!$C$36="PYG",IF(EK$10&gt;0,N(Reales!EK36)/EK$10,0),N(Reales!EK36)),EK$151*INDEX(Precio_V,12)*INDEX(IdxPrecio_V,1,MIN(10,EK$136))*(1+V_dPrecio))</f>
        <v>0</v>
      </c>
      <c r="EL163" s="34" t="n">
        <f aca="false">IF(EL$8=1,IF(Reales!$C$36="PYG",IF(EL$10&gt;0,N(Reales!EL36)/EL$10,0),N(Reales!EL36)),EL$151*INDEX(Precio_V,12)*INDEX(IdxPrecio_V,1,MIN(10,EL$136))*(1+V_dPrecio))</f>
        <v>0</v>
      </c>
      <c r="EM163" s="34" t="n">
        <f aca="false">IF(EM$8=1,IF(Reales!$C$36="PYG",IF(EM$10&gt;0,N(Reales!EM36)/EM$10,0),N(Reales!EM36)),EM$151*INDEX(Precio_V,12)*INDEX(IdxPrecio_V,1,MIN(10,EM$136))*(1+V_dPrecio))</f>
        <v>0</v>
      </c>
      <c r="EN163" s="34" t="n">
        <f aca="false">IF(EN$8=1,IF(Reales!$C$36="PYG",IF(EN$10&gt;0,N(Reales!EN36)/EN$10,0),N(Reales!EN36)),EN$151*INDEX(Precio_V,12)*INDEX(IdxPrecio_V,1,MIN(10,EN$136))*(1+V_dPrecio))</f>
        <v>0</v>
      </c>
      <c r="EO163" s="34" t="n">
        <f aca="false">IF(EO$8=1,IF(Reales!$C$36="PYG",IF(EO$10&gt;0,N(Reales!EO36)/EO$10,0),N(Reales!EO36)),EO$151*INDEX(Precio_V,12)*INDEX(IdxPrecio_V,1,MIN(10,EO$136))*(1+V_dPrecio))</f>
        <v>0</v>
      </c>
      <c r="EP163" s="34" t="n">
        <f aca="false">IF(EP$8=1,IF(Reales!$C$36="PYG",IF(EP$10&gt;0,N(Reales!EP36)/EP$10,0),N(Reales!EP36)),EP$151*INDEX(Precio_V,12)*INDEX(IdxPrecio_V,1,MIN(10,EP$136))*(1+V_dPrecio))</f>
        <v>0</v>
      </c>
      <c r="EQ163" s="34" t="n">
        <f aca="false">IF(EQ$8=1,IF(Reales!$C$36="PYG",IF(EQ$10&gt;0,N(Reales!EQ36)/EQ$10,0),N(Reales!EQ36)),EQ$151*INDEX(Precio_V,12)*INDEX(IdxPrecio_V,1,MIN(10,EQ$136))*(1+V_dPrecio))</f>
        <v>0</v>
      </c>
      <c r="ER163" s="34" t="n">
        <f aca="false">IF(ER$8=1,IF(Reales!$C$36="PYG",IF(ER$10&gt;0,N(Reales!ER36)/ER$10,0),N(Reales!ER36)),ER$151*INDEX(Precio_V,12)*INDEX(IdxPrecio_V,1,MIN(10,ER$136))*(1+V_dPrecio))</f>
        <v>0</v>
      </c>
      <c r="ES163" s="34" t="n">
        <f aca="false">IF(ES$8=1,IF(Reales!$C$36="PYG",IF(ES$10&gt;0,N(Reales!ES36)/ES$10,0),N(Reales!ES36)),ES$151*INDEX(Precio_V,12)*INDEX(IdxPrecio_V,1,MIN(10,ES$136))*(1+V_dPrecio))</f>
        <v>0</v>
      </c>
    </row>
    <row r="164" customFormat="false" ht="15" hidden="false" customHeight="false" outlineLevel="0" collapsed="false">
      <c r="A164" s="2" t="s">
        <v>643</v>
      </c>
      <c r="B164" s="52" t="s">
        <v>457</v>
      </c>
      <c r="C164" s="6" t="s">
        <v>212</v>
      </c>
      <c r="E164" s="40" t="n">
        <f aca="false">SUM(F164:ES164)</f>
        <v>0</v>
      </c>
      <c r="F164" s="10" t="n">
        <f aca="false">F$152+F$153+F$154+F$155+F$156+F$157+F$158+F$159+F$160+F$161+F$162+F$163</f>
        <v>0</v>
      </c>
      <c r="G164" s="10" t="n">
        <f aca="false">G$152+G$153+G$154+G$155+G$156+G$157+G$158+G$159+G$160+G$161+G$162+G$163</f>
        <v>0</v>
      </c>
      <c r="H164" s="10" t="n">
        <f aca="false">H$152+H$153+H$154+H$155+H$156+H$157+H$158+H$159+H$160+H$161+H$162+H$163</f>
        <v>0</v>
      </c>
      <c r="I164" s="10" t="n">
        <f aca="false">I$152+I$153+I$154+I$155+I$156+I$157+I$158+I$159+I$160+I$161+I$162+I$163</f>
        <v>0</v>
      </c>
      <c r="J164" s="10" t="n">
        <f aca="false">J$152+J$153+J$154+J$155+J$156+J$157+J$158+J$159+J$160+J$161+J$162+J$163</f>
        <v>0</v>
      </c>
      <c r="K164" s="10" t="n">
        <f aca="false">K$152+K$153+K$154+K$155+K$156+K$157+K$158+K$159+K$160+K$161+K$162+K$163</f>
        <v>0</v>
      </c>
      <c r="L164" s="10" t="n">
        <f aca="false">L$152+L$153+L$154+L$155+L$156+L$157+L$158+L$159+L$160+L$161+L$162+L$163</f>
        <v>0</v>
      </c>
      <c r="M164" s="10" t="n">
        <f aca="false">M$152+M$153+M$154+M$155+M$156+M$157+M$158+M$159+M$160+M$161+M$162+M$163</f>
        <v>0</v>
      </c>
      <c r="N164" s="10" t="n">
        <f aca="false">N$152+N$153+N$154+N$155+N$156+N$157+N$158+N$159+N$160+N$161+N$162+N$163</f>
        <v>0</v>
      </c>
      <c r="O164" s="10" t="n">
        <f aca="false">O$152+O$153+O$154+O$155+O$156+O$157+O$158+O$159+O$160+O$161+O$162+O$163</f>
        <v>0</v>
      </c>
      <c r="P164" s="10" t="n">
        <f aca="false">P$152+P$153+P$154+P$155+P$156+P$157+P$158+P$159+P$160+P$161+P$162+P$163</f>
        <v>0</v>
      </c>
      <c r="Q164" s="10" t="n">
        <f aca="false">Q$152+Q$153+Q$154+Q$155+Q$156+Q$157+Q$158+Q$159+Q$160+Q$161+Q$162+Q$163</f>
        <v>0</v>
      </c>
      <c r="R164" s="10" t="n">
        <f aca="false">R$152+R$153+R$154+R$155+R$156+R$157+R$158+R$159+R$160+R$161+R$162+R$163</f>
        <v>0</v>
      </c>
      <c r="S164" s="10" t="n">
        <f aca="false">S$152+S$153+S$154+S$155+S$156+S$157+S$158+S$159+S$160+S$161+S$162+S$163</f>
        <v>0</v>
      </c>
      <c r="T164" s="10" t="n">
        <f aca="false">T$152+T$153+T$154+T$155+T$156+T$157+T$158+T$159+T$160+T$161+T$162+T$163</f>
        <v>0</v>
      </c>
      <c r="U164" s="10" t="n">
        <f aca="false">U$152+U$153+U$154+U$155+U$156+U$157+U$158+U$159+U$160+U$161+U$162+U$163</f>
        <v>0</v>
      </c>
      <c r="V164" s="10" t="n">
        <f aca="false">V$152+V$153+V$154+V$155+V$156+V$157+V$158+V$159+V$160+V$161+V$162+V$163</f>
        <v>0</v>
      </c>
      <c r="W164" s="10" t="n">
        <f aca="false">W$152+W$153+W$154+W$155+W$156+W$157+W$158+W$159+W$160+W$161+W$162+W$163</f>
        <v>0</v>
      </c>
      <c r="X164" s="10" t="n">
        <f aca="false">X$152+X$153+X$154+X$155+X$156+X$157+X$158+X$159+X$160+X$161+X$162+X$163</f>
        <v>0</v>
      </c>
      <c r="Y164" s="10" t="n">
        <f aca="false">Y$152+Y$153+Y$154+Y$155+Y$156+Y$157+Y$158+Y$159+Y$160+Y$161+Y$162+Y$163</f>
        <v>0</v>
      </c>
      <c r="Z164" s="10" t="n">
        <f aca="false">Z$152+Z$153+Z$154+Z$155+Z$156+Z$157+Z$158+Z$159+Z$160+Z$161+Z$162+Z$163</f>
        <v>0</v>
      </c>
      <c r="AA164" s="10" t="n">
        <f aca="false">AA$152+AA$153+AA$154+AA$155+AA$156+AA$157+AA$158+AA$159+AA$160+AA$161+AA$162+AA$163</f>
        <v>0</v>
      </c>
      <c r="AB164" s="10" t="n">
        <f aca="false">AB$152+AB$153+AB$154+AB$155+AB$156+AB$157+AB$158+AB$159+AB$160+AB$161+AB$162+AB$163</f>
        <v>0</v>
      </c>
      <c r="AC164" s="10" t="n">
        <f aca="false">AC$152+AC$153+AC$154+AC$155+AC$156+AC$157+AC$158+AC$159+AC$160+AC$161+AC$162+AC$163</f>
        <v>0</v>
      </c>
      <c r="AD164" s="10" t="n">
        <f aca="false">AD$152+AD$153+AD$154+AD$155+AD$156+AD$157+AD$158+AD$159+AD$160+AD$161+AD$162+AD$163</f>
        <v>0</v>
      </c>
      <c r="AE164" s="10" t="n">
        <f aca="false">AE$152+AE$153+AE$154+AE$155+AE$156+AE$157+AE$158+AE$159+AE$160+AE$161+AE$162+AE$163</f>
        <v>0</v>
      </c>
      <c r="AF164" s="10" t="n">
        <f aca="false">AF$152+AF$153+AF$154+AF$155+AF$156+AF$157+AF$158+AF$159+AF$160+AF$161+AF$162+AF$163</f>
        <v>0</v>
      </c>
      <c r="AG164" s="10" t="n">
        <f aca="false">AG$152+AG$153+AG$154+AG$155+AG$156+AG$157+AG$158+AG$159+AG$160+AG$161+AG$162+AG$163</f>
        <v>0</v>
      </c>
      <c r="AH164" s="10" t="n">
        <f aca="false">AH$152+AH$153+AH$154+AH$155+AH$156+AH$157+AH$158+AH$159+AH$160+AH$161+AH$162+AH$163</f>
        <v>0</v>
      </c>
      <c r="AI164" s="10" t="n">
        <f aca="false">AI$152+AI$153+AI$154+AI$155+AI$156+AI$157+AI$158+AI$159+AI$160+AI$161+AI$162+AI$163</f>
        <v>0</v>
      </c>
      <c r="AJ164" s="10" t="n">
        <f aca="false">AJ$152+AJ$153+AJ$154+AJ$155+AJ$156+AJ$157+AJ$158+AJ$159+AJ$160+AJ$161+AJ$162+AJ$163</f>
        <v>0</v>
      </c>
      <c r="AK164" s="10" t="n">
        <f aca="false">AK$152+AK$153+AK$154+AK$155+AK$156+AK$157+AK$158+AK$159+AK$160+AK$161+AK$162+AK$163</f>
        <v>0</v>
      </c>
      <c r="AL164" s="10" t="n">
        <f aca="false">AL$152+AL$153+AL$154+AL$155+AL$156+AL$157+AL$158+AL$159+AL$160+AL$161+AL$162+AL$163</f>
        <v>0</v>
      </c>
      <c r="AM164" s="10" t="n">
        <f aca="false">AM$152+AM$153+AM$154+AM$155+AM$156+AM$157+AM$158+AM$159+AM$160+AM$161+AM$162+AM$163</f>
        <v>0</v>
      </c>
      <c r="AN164" s="10" t="n">
        <f aca="false">AN$152+AN$153+AN$154+AN$155+AN$156+AN$157+AN$158+AN$159+AN$160+AN$161+AN$162+AN$163</f>
        <v>0</v>
      </c>
      <c r="AO164" s="10" t="n">
        <f aca="false">AO$152+AO$153+AO$154+AO$155+AO$156+AO$157+AO$158+AO$159+AO$160+AO$161+AO$162+AO$163</f>
        <v>0</v>
      </c>
      <c r="AP164" s="10" t="n">
        <f aca="false">AP$152+AP$153+AP$154+AP$155+AP$156+AP$157+AP$158+AP$159+AP$160+AP$161+AP$162+AP$163</f>
        <v>0</v>
      </c>
      <c r="AQ164" s="10" t="n">
        <f aca="false">AQ$152+AQ$153+AQ$154+AQ$155+AQ$156+AQ$157+AQ$158+AQ$159+AQ$160+AQ$161+AQ$162+AQ$163</f>
        <v>0</v>
      </c>
      <c r="AR164" s="10" t="n">
        <f aca="false">AR$152+AR$153+AR$154+AR$155+AR$156+AR$157+AR$158+AR$159+AR$160+AR$161+AR$162+AR$163</f>
        <v>0</v>
      </c>
      <c r="AS164" s="10" t="n">
        <f aca="false">AS$152+AS$153+AS$154+AS$155+AS$156+AS$157+AS$158+AS$159+AS$160+AS$161+AS$162+AS$163</f>
        <v>0</v>
      </c>
      <c r="AT164" s="10" t="n">
        <f aca="false">AT$152+AT$153+AT$154+AT$155+AT$156+AT$157+AT$158+AT$159+AT$160+AT$161+AT$162+AT$163</f>
        <v>0</v>
      </c>
      <c r="AU164" s="10" t="n">
        <f aca="false">AU$152+AU$153+AU$154+AU$155+AU$156+AU$157+AU$158+AU$159+AU$160+AU$161+AU$162+AU$163</f>
        <v>0</v>
      </c>
      <c r="AV164" s="10" t="n">
        <f aca="false">AV$152+AV$153+AV$154+AV$155+AV$156+AV$157+AV$158+AV$159+AV$160+AV$161+AV$162+AV$163</f>
        <v>0</v>
      </c>
      <c r="AW164" s="10" t="n">
        <f aca="false">AW$152+AW$153+AW$154+AW$155+AW$156+AW$157+AW$158+AW$159+AW$160+AW$161+AW$162+AW$163</f>
        <v>0</v>
      </c>
      <c r="AX164" s="10" t="n">
        <f aca="false">AX$152+AX$153+AX$154+AX$155+AX$156+AX$157+AX$158+AX$159+AX$160+AX$161+AX$162+AX$163</f>
        <v>0</v>
      </c>
      <c r="AY164" s="10" t="n">
        <f aca="false">AY$152+AY$153+AY$154+AY$155+AY$156+AY$157+AY$158+AY$159+AY$160+AY$161+AY$162+AY$163</f>
        <v>0</v>
      </c>
      <c r="AZ164" s="10" t="n">
        <f aca="false">AZ$152+AZ$153+AZ$154+AZ$155+AZ$156+AZ$157+AZ$158+AZ$159+AZ$160+AZ$161+AZ$162+AZ$163</f>
        <v>0</v>
      </c>
      <c r="BA164" s="10" t="n">
        <f aca="false">BA$152+BA$153+BA$154+BA$155+BA$156+BA$157+BA$158+BA$159+BA$160+BA$161+BA$162+BA$163</f>
        <v>0</v>
      </c>
      <c r="BB164" s="10" t="n">
        <f aca="false">BB$152+BB$153+BB$154+BB$155+BB$156+BB$157+BB$158+BB$159+BB$160+BB$161+BB$162+BB$163</f>
        <v>0</v>
      </c>
      <c r="BC164" s="10" t="n">
        <f aca="false">BC$152+BC$153+BC$154+BC$155+BC$156+BC$157+BC$158+BC$159+BC$160+BC$161+BC$162+BC$163</f>
        <v>0</v>
      </c>
      <c r="BD164" s="10" t="n">
        <f aca="false">BD$152+BD$153+BD$154+BD$155+BD$156+BD$157+BD$158+BD$159+BD$160+BD$161+BD$162+BD$163</f>
        <v>0</v>
      </c>
      <c r="BE164" s="10" t="n">
        <f aca="false">BE$152+BE$153+BE$154+BE$155+BE$156+BE$157+BE$158+BE$159+BE$160+BE$161+BE$162+BE$163</f>
        <v>0</v>
      </c>
      <c r="BF164" s="10" t="n">
        <f aca="false">BF$152+BF$153+BF$154+BF$155+BF$156+BF$157+BF$158+BF$159+BF$160+BF$161+BF$162+BF$163</f>
        <v>0</v>
      </c>
      <c r="BG164" s="10" t="n">
        <f aca="false">BG$152+BG$153+BG$154+BG$155+BG$156+BG$157+BG$158+BG$159+BG$160+BG$161+BG$162+BG$163</f>
        <v>0</v>
      </c>
      <c r="BH164" s="10" t="n">
        <f aca="false">BH$152+BH$153+BH$154+BH$155+BH$156+BH$157+BH$158+BH$159+BH$160+BH$161+BH$162+BH$163</f>
        <v>0</v>
      </c>
      <c r="BI164" s="10" t="n">
        <f aca="false">BI$152+BI$153+BI$154+BI$155+BI$156+BI$157+BI$158+BI$159+BI$160+BI$161+BI$162+BI$163</f>
        <v>0</v>
      </c>
      <c r="BJ164" s="10" t="n">
        <f aca="false">BJ$152+BJ$153+BJ$154+BJ$155+BJ$156+BJ$157+BJ$158+BJ$159+BJ$160+BJ$161+BJ$162+BJ$163</f>
        <v>0</v>
      </c>
      <c r="BK164" s="10" t="n">
        <f aca="false">BK$152+BK$153+BK$154+BK$155+BK$156+BK$157+BK$158+BK$159+BK$160+BK$161+BK$162+BK$163</f>
        <v>0</v>
      </c>
      <c r="BL164" s="10" t="n">
        <f aca="false">BL$152+BL$153+BL$154+BL$155+BL$156+BL$157+BL$158+BL$159+BL$160+BL$161+BL$162+BL$163</f>
        <v>0</v>
      </c>
      <c r="BM164" s="10" t="n">
        <f aca="false">BM$152+BM$153+BM$154+BM$155+BM$156+BM$157+BM$158+BM$159+BM$160+BM$161+BM$162+BM$163</f>
        <v>0</v>
      </c>
      <c r="BN164" s="10" t="n">
        <f aca="false">BN$152+BN$153+BN$154+BN$155+BN$156+BN$157+BN$158+BN$159+BN$160+BN$161+BN$162+BN$163</f>
        <v>0</v>
      </c>
      <c r="BO164" s="10" t="n">
        <f aca="false">BO$152+BO$153+BO$154+BO$155+BO$156+BO$157+BO$158+BO$159+BO$160+BO$161+BO$162+BO$163</f>
        <v>0</v>
      </c>
      <c r="BP164" s="10" t="n">
        <f aca="false">BP$152+BP$153+BP$154+BP$155+BP$156+BP$157+BP$158+BP$159+BP$160+BP$161+BP$162+BP$163</f>
        <v>0</v>
      </c>
      <c r="BQ164" s="10" t="n">
        <f aca="false">BQ$152+BQ$153+BQ$154+BQ$155+BQ$156+BQ$157+BQ$158+BQ$159+BQ$160+BQ$161+BQ$162+BQ$163</f>
        <v>0</v>
      </c>
      <c r="BR164" s="10" t="n">
        <f aca="false">BR$152+BR$153+BR$154+BR$155+BR$156+BR$157+BR$158+BR$159+BR$160+BR$161+BR$162+BR$163</f>
        <v>0</v>
      </c>
      <c r="BS164" s="10" t="n">
        <f aca="false">BS$152+BS$153+BS$154+BS$155+BS$156+BS$157+BS$158+BS$159+BS$160+BS$161+BS$162+BS$163</f>
        <v>0</v>
      </c>
      <c r="BT164" s="10" t="n">
        <f aca="false">BT$152+BT$153+BT$154+BT$155+BT$156+BT$157+BT$158+BT$159+BT$160+BT$161+BT$162+BT$163</f>
        <v>0</v>
      </c>
      <c r="BU164" s="10" t="n">
        <f aca="false">BU$152+BU$153+BU$154+BU$155+BU$156+BU$157+BU$158+BU$159+BU$160+BU$161+BU$162+BU$163</f>
        <v>0</v>
      </c>
      <c r="BV164" s="10" t="n">
        <f aca="false">BV$152+BV$153+BV$154+BV$155+BV$156+BV$157+BV$158+BV$159+BV$160+BV$161+BV$162+BV$163</f>
        <v>0</v>
      </c>
      <c r="BW164" s="10" t="n">
        <f aca="false">BW$152+BW$153+BW$154+BW$155+BW$156+BW$157+BW$158+BW$159+BW$160+BW$161+BW$162+BW$163</f>
        <v>0</v>
      </c>
      <c r="BX164" s="10" t="n">
        <f aca="false">BX$152+BX$153+BX$154+BX$155+BX$156+BX$157+BX$158+BX$159+BX$160+BX$161+BX$162+BX$163</f>
        <v>0</v>
      </c>
      <c r="BY164" s="10" t="n">
        <f aca="false">BY$152+BY$153+BY$154+BY$155+BY$156+BY$157+BY$158+BY$159+BY$160+BY$161+BY$162+BY$163</f>
        <v>0</v>
      </c>
      <c r="BZ164" s="10" t="n">
        <f aca="false">BZ$152+BZ$153+BZ$154+BZ$155+BZ$156+BZ$157+BZ$158+BZ$159+BZ$160+BZ$161+BZ$162+BZ$163</f>
        <v>0</v>
      </c>
      <c r="CA164" s="10" t="n">
        <f aca="false">CA$152+CA$153+CA$154+CA$155+CA$156+CA$157+CA$158+CA$159+CA$160+CA$161+CA$162+CA$163</f>
        <v>0</v>
      </c>
      <c r="CB164" s="10" t="n">
        <f aca="false">CB$152+CB$153+CB$154+CB$155+CB$156+CB$157+CB$158+CB$159+CB$160+CB$161+CB$162+CB$163</f>
        <v>0</v>
      </c>
      <c r="CC164" s="10" t="n">
        <f aca="false">CC$152+CC$153+CC$154+CC$155+CC$156+CC$157+CC$158+CC$159+CC$160+CC$161+CC$162+CC$163</f>
        <v>0</v>
      </c>
      <c r="CD164" s="10" t="n">
        <f aca="false">CD$152+CD$153+CD$154+CD$155+CD$156+CD$157+CD$158+CD$159+CD$160+CD$161+CD$162+CD$163</f>
        <v>0</v>
      </c>
      <c r="CE164" s="10" t="n">
        <f aca="false">CE$152+CE$153+CE$154+CE$155+CE$156+CE$157+CE$158+CE$159+CE$160+CE$161+CE$162+CE$163</f>
        <v>0</v>
      </c>
      <c r="CF164" s="10" t="n">
        <f aca="false">CF$152+CF$153+CF$154+CF$155+CF$156+CF$157+CF$158+CF$159+CF$160+CF$161+CF$162+CF$163</f>
        <v>0</v>
      </c>
      <c r="CG164" s="10" t="n">
        <f aca="false">CG$152+CG$153+CG$154+CG$155+CG$156+CG$157+CG$158+CG$159+CG$160+CG$161+CG$162+CG$163</f>
        <v>0</v>
      </c>
      <c r="CH164" s="10" t="n">
        <f aca="false">CH$152+CH$153+CH$154+CH$155+CH$156+CH$157+CH$158+CH$159+CH$160+CH$161+CH$162+CH$163</f>
        <v>0</v>
      </c>
      <c r="CI164" s="10" t="n">
        <f aca="false">CI$152+CI$153+CI$154+CI$155+CI$156+CI$157+CI$158+CI$159+CI$160+CI$161+CI$162+CI$163</f>
        <v>0</v>
      </c>
      <c r="CJ164" s="10" t="n">
        <f aca="false">CJ$152+CJ$153+CJ$154+CJ$155+CJ$156+CJ$157+CJ$158+CJ$159+CJ$160+CJ$161+CJ$162+CJ$163</f>
        <v>0</v>
      </c>
      <c r="CK164" s="10" t="n">
        <f aca="false">CK$152+CK$153+CK$154+CK$155+CK$156+CK$157+CK$158+CK$159+CK$160+CK$161+CK$162+CK$163</f>
        <v>0</v>
      </c>
      <c r="CL164" s="10" t="n">
        <f aca="false">CL$152+CL$153+CL$154+CL$155+CL$156+CL$157+CL$158+CL$159+CL$160+CL$161+CL$162+CL$163</f>
        <v>0</v>
      </c>
      <c r="CM164" s="10" t="n">
        <f aca="false">CM$152+CM$153+CM$154+CM$155+CM$156+CM$157+CM$158+CM$159+CM$160+CM$161+CM$162+CM$163</f>
        <v>0</v>
      </c>
      <c r="CN164" s="10" t="n">
        <f aca="false">CN$152+CN$153+CN$154+CN$155+CN$156+CN$157+CN$158+CN$159+CN$160+CN$161+CN$162+CN$163</f>
        <v>0</v>
      </c>
      <c r="CO164" s="10" t="n">
        <f aca="false">CO$152+CO$153+CO$154+CO$155+CO$156+CO$157+CO$158+CO$159+CO$160+CO$161+CO$162+CO$163</f>
        <v>0</v>
      </c>
      <c r="CP164" s="10" t="n">
        <f aca="false">CP$152+CP$153+CP$154+CP$155+CP$156+CP$157+CP$158+CP$159+CP$160+CP$161+CP$162+CP$163</f>
        <v>0</v>
      </c>
      <c r="CQ164" s="10" t="n">
        <f aca="false">CQ$152+CQ$153+CQ$154+CQ$155+CQ$156+CQ$157+CQ$158+CQ$159+CQ$160+CQ$161+CQ$162+CQ$163</f>
        <v>0</v>
      </c>
      <c r="CR164" s="10" t="n">
        <f aca="false">CR$152+CR$153+CR$154+CR$155+CR$156+CR$157+CR$158+CR$159+CR$160+CR$161+CR$162+CR$163</f>
        <v>0</v>
      </c>
      <c r="CS164" s="10" t="n">
        <f aca="false">CS$152+CS$153+CS$154+CS$155+CS$156+CS$157+CS$158+CS$159+CS$160+CS$161+CS$162+CS$163</f>
        <v>0</v>
      </c>
      <c r="CT164" s="10" t="n">
        <f aca="false">CT$152+CT$153+CT$154+CT$155+CT$156+CT$157+CT$158+CT$159+CT$160+CT$161+CT$162+CT$163</f>
        <v>0</v>
      </c>
      <c r="CU164" s="10" t="n">
        <f aca="false">CU$152+CU$153+CU$154+CU$155+CU$156+CU$157+CU$158+CU$159+CU$160+CU$161+CU$162+CU$163</f>
        <v>0</v>
      </c>
      <c r="CV164" s="10" t="n">
        <f aca="false">CV$152+CV$153+CV$154+CV$155+CV$156+CV$157+CV$158+CV$159+CV$160+CV$161+CV$162+CV$163</f>
        <v>0</v>
      </c>
      <c r="CW164" s="10" t="n">
        <f aca="false">CW$152+CW$153+CW$154+CW$155+CW$156+CW$157+CW$158+CW$159+CW$160+CW$161+CW$162+CW$163</f>
        <v>0</v>
      </c>
      <c r="CX164" s="10" t="n">
        <f aca="false">CX$152+CX$153+CX$154+CX$155+CX$156+CX$157+CX$158+CX$159+CX$160+CX$161+CX$162+CX$163</f>
        <v>0</v>
      </c>
      <c r="CY164" s="10" t="n">
        <f aca="false">CY$152+CY$153+CY$154+CY$155+CY$156+CY$157+CY$158+CY$159+CY$160+CY$161+CY$162+CY$163</f>
        <v>0</v>
      </c>
      <c r="CZ164" s="10" t="n">
        <f aca="false">CZ$152+CZ$153+CZ$154+CZ$155+CZ$156+CZ$157+CZ$158+CZ$159+CZ$160+CZ$161+CZ$162+CZ$163</f>
        <v>0</v>
      </c>
      <c r="DA164" s="10" t="n">
        <f aca="false">DA$152+DA$153+DA$154+DA$155+DA$156+DA$157+DA$158+DA$159+DA$160+DA$161+DA$162+DA$163</f>
        <v>0</v>
      </c>
      <c r="DB164" s="10" t="n">
        <f aca="false">DB$152+DB$153+DB$154+DB$155+DB$156+DB$157+DB$158+DB$159+DB$160+DB$161+DB$162+DB$163</f>
        <v>0</v>
      </c>
      <c r="DC164" s="10" t="n">
        <f aca="false">DC$152+DC$153+DC$154+DC$155+DC$156+DC$157+DC$158+DC$159+DC$160+DC$161+DC$162+DC$163</f>
        <v>0</v>
      </c>
      <c r="DD164" s="10" t="n">
        <f aca="false">DD$152+DD$153+DD$154+DD$155+DD$156+DD$157+DD$158+DD$159+DD$160+DD$161+DD$162+DD$163</f>
        <v>0</v>
      </c>
      <c r="DE164" s="10" t="n">
        <f aca="false">DE$152+DE$153+DE$154+DE$155+DE$156+DE$157+DE$158+DE$159+DE$160+DE$161+DE$162+DE$163</f>
        <v>0</v>
      </c>
      <c r="DF164" s="10" t="n">
        <f aca="false">DF$152+DF$153+DF$154+DF$155+DF$156+DF$157+DF$158+DF$159+DF$160+DF$161+DF$162+DF$163</f>
        <v>0</v>
      </c>
      <c r="DG164" s="10" t="n">
        <f aca="false">DG$152+DG$153+DG$154+DG$155+DG$156+DG$157+DG$158+DG$159+DG$160+DG$161+DG$162+DG$163</f>
        <v>0</v>
      </c>
      <c r="DH164" s="10" t="n">
        <f aca="false">DH$152+DH$153+DH$154+DH$155+DH$156+DH$157+DH$158+DH$159+DH$160+DH$161+DH$162+DH$163</f>
        <v>0</v>
      </c>
      <c r="DI164" s="10" t="n">
        <f aca="false">DI$152+DI$153+DI$154+DI$155+DI$156+DI$157+DI$158+DI$159+DI$160+DI$161+DI$162+DI$163</f>
        <v>0</v>
      </c>
      <c r="DJ164" s="10" t="n">
        <f aca="false">DJ$152+DJ$153+DJ$154+DJ$155+DJ$156+DJ$157+DJ$158+DJ$159+DJ$160+DJ$161+DJ$162+DJ$163</f>
        <v>0</v>
      </c>
      <c r="DK164" s="10" t="n">
        <f aca="false">DK$152+DK$153+DK$154+DK$155+DK$156+DK$157+DK$158+DK$159+DK$160+DK$161+DK$162+DK$163</f>
        <v>0</v>
      </c>
      <c r="DL164" s="10" t="n">
        <f aca="false">DL$152+DL$153+DL$154+DL$155+DL$156+DL$157+DL$158+DL$159+DL$160+DL$161+DL$162+DL$163</f>
        <v>0</v>
      </c>
      <c r="DM164" s="10" t="n">
        <f aca="false">DM$152+DM$153+DM$154+DM$155+DM$156+DM$157+DM$158+DM$159+DM$160+DM$161+DM$162+DM$163</f>
        <v>0</v>
      </c>
      <c r="DN164" s="10" t="n">
        <f aca="false">DN$152+DN$153+DN$154+DN$155+DN$156+DN$157+DN$158+DN$159+DN$160+DN$161+DN$162+DN$163</f>
        <v>0</v>
      </c>
      <c r="DO164" s="10" t="n">
        <f aca="false">DO$152+DO$153+DO$154+DO$155+DO$156+DO$157+DO$158+DO$159+DO$160+DO$161+DO$162+DO$163</f>
        <v>0</v>
      </c>
      <c r="DP164" s="10" t="n">
        <f aca="false">DP$152+DP$153+DP$154+DP$155+DP$156+DP$157+DP$158+DP$159+DP$160+DP$161+DP$162+DP$163</f>
        <v>0</v>
      </c>
      <c r="DQ164" s="10" t="n">
        <f aca="false">DQ$152+DQ$153+DQ$154+DQ$155+DQ$156+DQ$157+DQ$158+DQ$159+DQ$160+DQ$161+DQ$162+DQ$163</f>
        <v>0</v>
      </c>
      <c r="DR164" s="10" t="n">
        <f aca="false">DR$152+DR$153+DR$154+DR$155+DR$156+DR$157+DR$158+DR$159+DR$160+DR$161+DR$162+DR$163</f>
        <v>0</v>
      </c>
      <c r="DS164" s="10" t="n">
        <f aca="false">DS$152+DS$153+DS$154+DS$155+DS$156+DS$157+DS$158+DS$159+DS$160+DS$161+DS$162+DS$163</f>
        <v>0</v>
      </c>
      <c r="DT164" s="10" t="n">
        <f aca="false">DT$152+DT$153+DT$154+DT$155+DT$156+DT$157+DT$158+DT$159+DT$160+DT$161+DT$162+DT$163</f>
        <v>0</v>
      </c>
      <c r="DU164" s="10" t="n">
        <f aca="false">DU$152+DU$153+DU$154+DU$155+DU$156+DU$157+DU$158+DU$159+DU$160+DU$161+DU$162+DU$163</f>
        <v>0</v>
      </c>
      <c r="DV164" s="10" t="n">
        <f aca="false">DV$152+DV$153+DV$154+DV$155+DV$156+DV$157+DV$158+DV$159+DV$160+DV$161+DV$162+DV$163</f>
        <v>0</v>
      </c>
      <c r="DW164" s="10" t="n">
        <f aca="false">DW$152+DW$153+DW$154+DW$155+DW$156+DW$157+DW$158+DW$159+DW$160+DW$161+DW$162+DW$163</f>
        <v>0</v>
      </c>
      <c r="DX164" s="10" t="n">
        <f aca="false">DX$152+DX$153+DX$154+DX$155+DX$156+DX$157+DX$158+DX$159+DX$160+DX$161+DX$162+DX$163</f>
        <v>0</v>
      </c>
      <c r="DY164" s="10" t="n">
        <f aca="false">DY$152+DY$153+DY$154+DY$155+DY$156+DY$157+DY$158+DY$159+DY$160+DY$161+DY$162+DY$163</f>
        <v>0</v>
      </c>
      <c r="DZ164" s="10" t="n">
        <f aca="false">DZ$152+DZ$153+DZ$154+DZ$155+DZ$156+DZ$157+DZ$158+DZ$159+DZ$160+DZ$161+DZ$162+DZ$163</f>
        <v>0</v>
      </c>
      <c r="EA164" s="10" t="n">
        <f aca="false">EA$152+EA$153+EA$154+EA$155+EA$156+EA$157+EA$158+EA$159+EA$160+EA$161+EA$162+EA$163</f>
        <v>0</v>
      </c>
      <c r="EB164" s="10" t="n">
        <f aca="false">EB$152+EB$153+EB$154+EB$155+EB$156+EB$157+EB$158+EB$159+EB$160+EB$161+EB$162+EB$163</f>
        <v>0</v>
      </c>
      <c r="EC164" s="10" t="n">
        <f aca="false">EC$152+EC$153+EC$154+EC$155+EC$156+EC$157+EC$158+EC$159+EC$160+EC$161+EC$162+EC$163</f>
        <v>0</v>
      </c>
      <c r="ED164" s="10" t="n">
        <f aca="false">ED$152+ED$153+ED$154+ED$155+ED$156+ED$157+ED$158+ED$159+ED$160+ED$161+ED$162+ED$163</f>
        <v>0</v>
      </c>
      <c r="EE164" s="10" t="n">
        <f aca="false">EE$152+EE$153+EE$154+EE$155+EE$156+EE$157+EE$158+EE$159+EE$160+EE$161+EE$162+EE$163</f>
        <v>0</v>
      </c>
      <c r="EF164" s="10" t="n">
        <f aca="false">EF$152+EF$153+EF$154+EF$155+EF$156+EF$157+EF$158+EF$159+EF$160+EF$161+EF$162+EF$163</f>
        <v>0</v>
      </c>
      <c r="EG164" s="10" t="n">
        <f aca="false">EG$152+EG$153+EG$154+EG$155+EG$156+EG$157+EG$158+EG$159+EG$160+EG$161+EG$162+EG$163</f>
        <v>0</v>
      </c>
      <c r="EH164" s="10" t="n">
        <f aca="false">EH$152+EH$153+EH$154+EH$155+EH$156+EH$157+EH$158+EH$159+EH$160+EH$161+EH$162+EH$163</f>
        <v>0</v>
      </c>
      <c r="EI164" s="10" t="n">
        <f aca="false">EI$152+EI$153+EI$154+EI$155+EI$156+EI$157+EI$158+EI$159+EI$160+EI$161+EI$162+EI$163</f>
        <v>0</v>
      </c>
      <c r="EJ164" s="10" t="n">
        <f aca="false">EJ$152+EJ$153+EJ$154+EJ$155+EJ$156+EJ$157+EJ$158+EJ$159+EJ$160+EJ$161+EJ$162+EJ$163</f>
        <v>0</v>
      </c>
      <c r="EK164" s="10" t="n">
        <f aca="false">EK$152+EK$153+EK$154+EK$155+EK$156+EK$157+EK$158+EK$159+EK$160+EK$161+EK$162+EK$163</f>
        <v>0</v>
      </c>
      <c r="EL164" s="10" t="n">
        <f aca="false">EL$152+EL$153+EL$154+EL$155+EL$156+EL$157+EL$158+EL$159+EL$160+EL$161+EL$162+EL$163</f>
        <v>0</v>
      </c>
      <c r="EM164" s="10" t="n">
        <f aca="false">EM$152+EM$153+EM$154+EM$155+EM$156+EM$157+EM$158+EM$159+EM$160+EM$161+EM$162+EM$163</f>
        <v>0</v>
      </c>
      <c r="EN164" s="10" t="n">
        <f aca="false">EN$152+EN$153+EN$154+EN$155+EN$156+EN$157+EN$158+EN$159+EN$160+EN$161+EN$162+EN$163</f>
        <v>0</v>
      </c>
      <c r="EO164" s="10" t="n">
        <f aca="false">EO$152+EO$153+EO$154+EO$155+EO$156+EO$157+EO$158+EO$159+EO$160+EO$161+EO$162+EO$163</f>
        <v>0</v>
      </c>
      <c r="EP164" s="10" t="n">
        <f aca="false">EP$152+EP$153+EP$154+EP$155+EP$156+EP$157+EP$158+EP$159+EP$160+EP$161+EP$162+EP$163</f>
        <v>0</v>
      </c>
      <c r="EQ164" s="10" t="n">
        <f aca="false">EQ$152+EQ$153+EQ$154+EQ$155+EQ$156+EQ$157+EQ$158+EQ$159+EQ$160+EQ$161+EQ$162+EQ$163</f>
        <v>0</v>
      </c>
      <c r="ER164" s="10" t="n">
        <f aca="false">ER$152+ER$153+ER$154+ER$155+ER$156+ER$157+ER$158+ER$159+ER$160+ER$161+ER$162+ER$163</f>
        <v>0</v>
      </c>
      <c r="ES164" s="10" t="n">
        <f aca="false">ES$152+ES$153+ES$154+ES$155+ES$156+ES$157+ES$158+ES$159+ES$160+ES$161+ES$162+ES$163</f>
        <v>0</v>
      </c>
    </row>
    <row r="165" customFormat="false" ht="15" hidden="false" customHeight="false" outlineLevel="0" collapsed="false">
      <c r="A165" s="4"/>
      <c r="B165" s="3" t="s">
        <v>458</v>
      </c>
      <c r="C165" s="4"/>
      <c r="D165" s="4"/>
      <c r="E165" s="4"/>
    </row>
    <row r="166" customFormat="false" ht="15" hidden="false" customHeight="false" outlineLevel="0" collapsed="false">
      <c r="A166" s="2" t="s">
        <v>644</v>
      </c>
      <c r="B166" s="6" t="s">
        <v>460</v>
      </c>
      <c r="C166" s="6" t="s">
        <v>212</v>
      </c>
      <c r="E166" s="40" t="n">
        <f aca="false">SUM(F166:ES166)</f>
        <v>0</v>
      </c>
      <c r="F166" s="34" t="n">
        <f aca="false">SUMPRODUCT(F140:F151,MP_V)*INDEX(IdxMP_V,1,MIN(10,F$136))*(1+V_dMat)/(1-V_Merma)</f>
        <v>0</v>
      </c>
      <c r="G166" s="34" t="n">
        <f aca="false">SUMPRODUCT(G140:G151,MP_V)*INDEX(IdxMP_V,1,MIN(10,G$136))*(1+V_dMat)/(1-V_Merma)</f>
        <v>0</v>
      </c>
      <c r="H166" s="34" t="n">
        <f aca="false">SUMPRODUCT(H140:H151,MP_V)*INDEX(IdxMP_V,1,MIN(10,H$136))*(1+V_dMat)/(1-V_Merma)</f>
        <v>0</v>
      </c>
      <c r="I166" s="34" t="n">
        <f aca="false">SUMPRODUCT(I140:I151,MP_V)*INDEX(IdxMP_V,1,MIN(10,I$136))*(1+V_dMat)/(1-V_Merma)</f>
        <v>0</v>
      </c>
      <c r="J166" s="34" t="n">
        <f aca="false">SUMPRODUCT(J140:J151,MP_V)*INDEX(IdxMP_V,1,MIN(10,J$136))*(1+V_dMat)/(1-V_Merma)</f>
        <v>0</v>
      </c>
      <c r="K166" s="34" t="n">
        <f aca="false">SUMPRODUCT(K140:K151,MP_V)*INDEX(IdxMP_V,1,MIN(10,K$136))*(1+V_dMat)/(1-V_Merma)</f>
        <v>0</v>
      </c>
      <c r="L166" s="34" t="n">
        <f aca="false">SUMPRODUCT(L140:L151,MP_V)*INDEX(IdxMP_V,1,MIN(10,L$136))*(1+V_dMat)/(1-V_Merma)</f>
        <v>0</v>
      </c>
      <c r="M166" s="34" t="n">
        <f aca="false">SUMPRODUCT(M140:M151,MP_V)*INDEX(IdxMP_V,1,MIN(10,M$136))*(1+V_dMat)/(1-V_Merma)</f>
        <v>0</v>
      </c>
      <c r="N166" s="34" t="n">
        <f aca="false">SUMPRODUCT(N140:N151,MP_V)*INDEX(IdxMP_V,1,MIN(10,N$136))*(1+V_dMat)/(1-V_Merma)</f>
        <v>0</v>
      </c>
      <c r="O166" s="34" t="n">
        <f aca="false">SUMPRODUCT(O140:O151,MP_V)*INDEX(IdxMP_V,1,MIN(10,O$136))*(1+V_dMat)/(1-V_Merma)</f>
        <v>0</v>
      </c>
      <c r="P166" s="34" t="n">
        <f aca="false">SUMPRODUCT(P140:P151,MP_V)*INDEX(IdxMP_V,1,MIN(10,P$136))*(1+V_dMat)/(1-V_Merma)</f>
        <v>0</v>
      </c>
      <c r="Q166" s="34" t="n">
        <f aca="false">SUMPRODUCT(Q140:Q151,MP_V)*INDEX(IdxMP_V,1,MIN(10,Q$136))*(1+V_dMat)/(1-V_Merma)</f>
        <v>0</v>
      </c>
      <c r="R166" s="34" t="n">
        <f aca="false">SUMPRODUCT(R140:R151,MP_V)*INDEX(IdxMP_V,1,MIN(10,R$136))*(1+V_dMat)/(1-V_Merma)</f>
        <v>0</v>
      </c>
      <c r="S166" s="34" t="n">
        <f aca="false">SUMPRODUCT(S140:S151,MP_V)*INDEX(IdxMP_V,1,MIN(10,S$136))*(1+V_dMat)/(1-V_Merma)</f>
        <v>0</v>
      </c>
      <c r="T166" s="34" t="n">
        <f aca="false">SUMPRODUCT(T140:T151,MP_V)*INDEX(IdxMP_V,1,MIN(10,T$136))*(1+V_dMat)/(1-V_Merma)</f>
        <v>0</v>
      </c>
      <c r="U166" s="34" t="n">
        <f aca="false">SUMPRODUCT(U140:U151,MP_V)*INDEX(IdxMP_V,1,MIN(10,U$136))*(1+V_dMat)/(1-V_Merma)</f>
        <v>0</v>
      </c>
      <c r="V166" s="34" t="n">
        <f aca="false">SUMPRODUCT(V140:V151,MP_V)*INDEX(IdxMP_V,1,MIN(10,V$136))*(1+V_dMat)/(1-V_Merma)</f>
        <v>0</v>
      </c>
      <c r="W166" s="34" t="n">
        <f aca="false">SUMPRODUCT(W140:W151,MP_V)*INDEX(IdxMP_V,1,MIN(10,W$136))*(1+V_dMat)/(1-V_Merma)</f>
        <v>0</v>
      </c>
      <c r="X166" s="34" t="n">
        <f aca="false">SUMPRODUCT(X140:X151,MP_V)*INDEX(IdxMP_V,1,MIN(10,X$136))*(1+V_dMat)/(1-V_Merma)</f>
        <v>0</v>
      </c>
      <c r="Y166" s="34" t="n">
        <f aca="false">SUMPRODUCT(Y140:Y151,MP_V)*INDEX(IdxMP_V,1,MIN(10,Y$136))*(1+V_dMat)/(1-V_Merma)</f>
        <v>0</v>
      </c>
      <c r="Z166" s="34" t="n">
        <f aca="false">SUMPRODUCT(Z140:Z151,MP_V)*INDEX(IdxMP_V,1,MIN(10,Z$136))*(1+V_dMat)/(1-V_Merma)</f>
        <v>0</v>
      </c>
      <c r="AA166" s="34" t="n">
        <f aca="false">SUMPRODUCT(AA140:AA151,MP_V)*INDEX(IdxMP_V,1,MIN(10,AA$136))*(1+V_dMat)/(1-V_Merma)</f>
        <v>0</v>
      </c>
      <c r="AB166" s="34" t="n">
        <f aca="false">SUMPRODUCT(AB140:AB151,MP_V)*INDEX(IdxMP_V,1,MIN(10,AB$136))*(1+V_dMat)/(1-V_Merma)</f>
        <v>0</v>
      </c>
      <c r="AC166" s="34" t="n">
        <f aca="false">SUMPRODUCT(AC140:AC151,MP_V)*INDEX(IdxMP_V,1,MIN(10,AC$136))*(1+V_dMat)/(1-V_Merma)</f>
        <v>0</v>
      </c>
      <c r="AD166" s="34" t="n">
        <f aca="false">SUMPRODUCT(AD140:AD151,MP_V)*INDEX(IdxMP_V,1,MIN(10,AD$136))*(1+V_dMat)/(1-V_Merma)</f>
        <v>0</v>
      </c>
      <c r="AE166" s="34" t="n">
        <f aca="false">SUMPRODUCT(AE140:AE151,MP_V)*INDEX(IdxMP_V,1,MIN(10,AE$136))*(1+V_dMat)/(1-V_Merma)</f>
        <v>0</v>
      </c>
      <c r="AF166" s="34" t="n">
        <f aca="false">SUMPRODUCT(AF140:AF151,MP_V)*INDEX(IdxMP_V,1,MIN(10,AF$136))*(1+V_dMat)/(1-V_Merma)</f>
        <v>0</v>
      </c>
      <c r="AG166" s="34" t="n">
        <f aca="false">SUMPRODUCT(AG140:AG151,MP_V)*INDEX(IdxMP_V,1,MIN(10,AG$136))*(1+V_dMat)/(1-V_Merma)</f>
        <v>0</v>
      </c>
      <c r="AH166" s="34" t="n">
        <f aca="false">SUMPRODUCT(AH140:AH151,MP_V)*INDEX(IdxMP_V,1,MIN(10,AH$136))*(1+V_dMat)/(1-V_Merma)</f>
        <v>0</v>
      </c>
      <c r="AI166" s="34" t="n">
        <f aca="false">SUMPRODUCT(AI140:AI151,MP_V)*INDEX(IdxMP_V,1,MIN(10,AI$136))*(1+V_dMat)/(1-V_Merma)</f>
        <v>0</v>
      </c>
      <c r="AJ166" s="34" t="n">
        <f aca="false">SUMPRODUCT(AJ140:AJ151,MP_V)*INDEX(IdxMP_V,1,MIN(10,AJ$136))*(1+V_dMat)/(1-V_Merma)</f>
        <v>0</v>
      </c>
      <c r="AK166" s="34" t="n">
        <f aca="false">SUMPRODUCT(AK140:AK151,MP_V)*INDEX(IdxMP_V,1,MIN(10,AK$136))*(1+V_dMat)/(1-V_Merma)</f>
        <v>0</v>
      </c>
      <c r="AL166" s="34" t="n">
        <f aca="false">SUMPRODUCT(AL140:AL151,MP_V)*INDEX(IdxMP_V,1,MIN(10,AL$136))*(1+V_dMat)/(1-V_Merma)</f>
        <v>0</v>
      </c>
      <c r="AM166" s="34" t="n">
        <f aca="false">SUMPRODUCT(AM140:AM151,MP_V)*INDEX(IdxMP_V,1,MIN(10,AM$136))*(1+V_dMat)/(1-V_Merma)</f>
        <v>0</v>
      </c>
      <c r="AN166" s="34" t="n">
        <f aca="false">SUMPRODUCT(AN140:AN151,MP_V)*INDEX(IdxMP_V,1,MIN(10,AN$136))*(1+V_dMat)/(1-V_Merma)</f>
        <v>0</v>
      </c>
      <c r="AO166" s="34" t="n">
        <f aca="false">SUMPRODUCT(AO140:AO151,MP_V)*INDEX(IdxMP_V,1,MIN(10,AO$136))*(1+V_dMat)/(1-V_Merma)</f>
        <v>0</v>
      </c>
      <c r="AP166" s="34" t="n">
        <f aca="false">SUMPRODUCT(AP140:AP151,MP_V)*INDEX(IdxMP_V,1,MIN(10,AP$136))*(1+V_dMat)/(1-V_Merma)</f>
        <v>0</v>
      </c>
      <c r="AQ166" s="34" t="n">
        <f aca="false">SUMPRODUCT(AQ140:AQ151,MP_V)*INDEX(IdxMP_V,1,MIN(10,AQ$136))*(1+V_dMat)/(1-V_Merma)</f>
        <v>0</v>
      </c>
      <c r="AR166" s="34" t="n">
        <f aca="false">SUMPRODUCT(AR140:AR151,MP_V)*INDEX(IdxMP_V,1,MIN(10,AR$136))*(1+V_dMat)/(1-V_Merma)</f>
        <v>0</v>
      </c>
      <c r="AS166" s="34" t="n">
        <f aca="false">SUMPRODUCT(AS140:AS151,MP_V)*INDEX(IdxMP_V,1,MIN(10,AS$136))*(1+V_dMat)/(1-V_Merma)</f>
        <v>0</v>
      </c>
      <c r="AT166" s="34" t="n">
        <f aca="false">SUMPRODUCT(AT140:AT151,MP_V)*INDEX(IdxMP_V,1,MIN(10,AT$136))*(1+V_dMat)/(1-V_Merma)</f>
        <v>0</v>
      </c>
      <c r="AU166" s="34" t="n">
        <f aca="false">SUMPRODUCT(AU140:AU151,MP_V)*INDEX(IdxMP_V,1,MIN(10,AU$136))*(1+V_dMat)/(1-V_Merma)</f>
        <v>0</v>
      </c>
      <c r="AV166" s="34" t="n">
        <f aca="false">SUMPRODUCT(AV140:AV151,MP_V)*INDEX(IdxMP_V,1,MIN(10,AV$136))*(1+V_dMat)/(1-V_Merma)</f>
        <v>0</v>
      </c>
      <c r="AW166" s="34" t="n">
        <f aca="false">SUMPRODUCT(AW140:AW151,MP_V)*INDEX(IdxMP_V,1,MIN(10,AW$136))*(1+V_dMat)/(1-V_Merma)</f>
        <v>0</v>
      </c>
      <c r="AX166" s="34" t="n">
        <f aca="false">SUMPRODUCT(AX140:AX151,MP_V)*INDEX(IdxMP_V,1,MIN(10,AX$136))*(1+V_dMat)/(1-V_Merma)</f>
        <v>0</v>
      </c>
      <c r="AY166" s="34" t="n">
        <f aca="false">SUMPRODUCT(AY140:AY151,MP_V)*INDEX(IdxMP_V,1,MIN(10,AY$136))*(1+V_dMat)/(1-V_Merma)</f>
        <v>0</v>
      </c>
      <c r="AZ166" s="34" t="n">
        <f aca="false">SUMPRODUCT(AZ140:AZ151,MP_V)*INDEX(IdxMP_V,1,MIN(10,AZ$136))*(1+V_dMat)/(1-V_Merma)</f>
        <v>0</v>
      </c>
      <c r="BA166" s="34" t="n">
        <f aca="false">SUMPRODUCT(BA140:BA151,MP_V)*INDEX(IdxMP_V,1,MIN(10,BA$136))*(1+V_dMat)/(1-V_Merma)</f>
        <v>0</v>
      </c>
      <c r="BB166" s="34" t="n">
        <f aca="false">SUMPRODUCT(BB140:BB151,MP_V)*INDEX(IdxMP_V,1,MIN(10,BB$136))*(1+V_dMat)/(1-V_Merma)</f>
        <v>0</v>
      </c>
      <c r="BC166" s="34" t="n">
        <f aca="false">SUMPRODUCT(BC140:BC151,MP_V)*INDEX(IdxMP_V,1,MIN(10,BC$136))*(1+V_dMat)/(1-V_Merma)</f>
        <v>0</v>
      </c>
      <c r="BD166" s="34" t="n">
        <f aca="false">SUMPRODUCT(BD140:BD151,MP_V)*INDEX(IdxMP_V,1,MIN(10,BD$136))*(1+V_dMat)/(1-V_Merma)</f>
        <v>0</v>
      </c>
      <c r="BE166" s="34" t="n">
        <f aca="false">SUMPRODUCT(BE140:BE151,MP_V)*INDEX(IdxMP_V,1,MIN(10,BE$136))*(1+V_dMat)/(1-V_Merma)</f>
        <v>0</v>
      </c>
      <c r="BF166" s="34" t="n">
        <f aca="false">SUMPRODUCT(BF140:BF151,MP_V)*INDEX(IdxMP_V,1,MIN(10,BF$136))*(1+V_dMat)/(1-V_Merma)</f>
        <v>0</v>
      </c>
      <c r="BG166" s="34" t="n">
        <f aca="false">SUMPRODUCT(BG140:BG151,MP_V)*INDEX(IdxMP_V,1,MIN(10,BG$136))*(1+V_dMat)/(1-V_Merma)</f>
        <v>0</v>
      </c>
      <c r="BH166" s="34" t="n">
        <f aca="false">SUMPRODUCT(BH140:BH151,MP_V)*INDEX(IdxMP_V,1,MIN(10,BH$136))*(1+V_dMat)/(1-V_Merma)</f>
        <v>0</v>
      </c>
      <c r="BI166" s="34" t="n">
        <f aca="false">SUMPRODUCT(BI140:BI151,MP_V)*INDEX(IdxMP_V,1,MIN(10,BI$136))*(1+V_dMat)/(1-V_Merma)</f>
        <v>0</v>
      </c>
      <c r="BJ166" s="34" t="n">
        <f aca="false">SUMPRODUCT(BJ140:BJ151,MP_V)*INDEX(IdxMP_V,1,MIN(10,BJ$136))*(1+V_dMat)/(1-V_Merma)</f>
        <v>0</v>
      </c>
      <c r="BK166" s="34" t="n">
        <f aca="false">SUMPRODUCT(BK140:BK151,MP_V)*INDEX(IdxMP_V,1,MIN(10,BK$136))*(1+V_dMat)/(1-V_Merma)</f>
        <v>0</v>
      </c>
      <c r="BL166" s="34" t="n">
        <f aca="false">SUMPRODUCT(BL140:BL151,MP_V)*INDEX(IdxMP_V,1,MIN(10,BL$136))*(1+V_dMat)/(1-V_Merma)</f>
        <v>0</v>
      </c>
      <c r="BM166" s="34" t="n">
        <f aca="false">SUMPRODUCT(BM140:BM151,MP_V)*INDEX(IdxMP_V,1,MIN(10,BM$136))*(1+V_dMat)/(1-V_Merma)</f>
        <v>0</v>
      </c>
      <c r="BN166" s="34" t="n">
        <f aca="false">SUMPRODUCT(BN140:BN151,MP_V)*INDEX(IdxMP_V,1,MIN(10,BN$136))*(1+V_dMat)/(1-V_Merma)</f>
        <v>0</v>
      </c>
      <c r="BO166" s="34" t="n">
        <f aca="false">SUMPRODUCT(BO140:BO151,MP_V)*INDEX(IdxMP_V,1,MIN(10,BO$136))*(1+V_dMat)/(1-V_Merma)</f>
        <v>0</v>
      </c>
      <c r="BP166" s="34" t="n">
        <f aca="false">SUMPRODUCT(BP140:BP151,MP_V)*INDEX(IdxMP_V,1,MIN(10,BP$136))*(1+V_dMat)/(1-V_Merma)</f>
        <v>0</v>
      </c>
      <c r="BQ166" s="34" t="n">
        <f aca="false">SUMPRODUCT(BQ140:BQ151,MP_V)*INDEX(IdxMP_V,1,MIN(10,BQ$136))*(1+V_dMat)/(1-V_Merma)</f>
        <v>0</v>
      </c>
      <c r="BR166" s="34" t="n">
        <f aca="false">SUMPRODUCT(BR140:BR151,MP_V)*INDEX(IdxMP_V,1,MIN(10,BR$136))*(1+V_dMat)/(1-V_Merma)</f>
        <v>0</v>
      </c>
      <c r="BS166" s="34" t="n">
        <f aca="false">SUMPRODUCT(BS140:BS151,MP_V)*INDEX(IdxMP_V,1,MIN(10,BS$136))*(1+V_dMat)/(1-V_Merma)</f>
        <v>0</v>
      </c>
      <c r="BT166" s="34" t="n">
        <f aca="false">SUMPRODUCT(BT140:BT151,MP_V)*INDEX(IdxMP_V,1,MIN(10,BT$136))*(1+V_dMat)/(1-V_Merma)</f>
        <v>0</v>
      </c>
      <c r="BU166" s="34" t="n">
        <f aca="false">SUMPRODUCT(BU140:BU151,MP_V)*INDEX(IdxMP_V,1,MIN(10,BU$136))*(1+V_dMat)/(1-V_Merma)</f>
        <v>0</v>
      </c>
      <c r="BV166" s="34" t="n">
        <f aca="false">SUMPRODUCT(BV140:BV151,MP_V)*INDEX(IdxMP_V,1,MIN(10,BV$136))*(1+V_dMat)/(1-V_Merma)</f>
        <v>0</v>
      </c>
      <c r="BW166" s="34" t="n">
        <f aca="false">SUMPRODUCT(BW140:BW151,MP_V)*INDEX(IdxMP_V,1,MIN(10,BW$136))*(1+V_dMat)/(1-V_Merma)</f>
        <v>0</v>
      </c>
      <c r="BX166" s="34" t="n">
        <f aca="false">SUMPRODUCT(BX140:BX151,MP_V)*INDEX(IdxMP_V,1,MIN(10,BX$136))*(1+V_dMat)/(1-V_Merma)</f>
        <v>0</v>
      </c>
      <c r="BY166" s="34" t="n">
        <f aca="false">SUMPRODUCT(BY140:BY151,MP_V)*INDEX(IdxMP_V,1,MIN(10,BY$136))*(1+V_dMat)/(1-V_Merma)</f>
        <v>0</v>
      </c>
      <c r="BZ166" s="34" t="n">
        <f aca="false">SUMPRODUCT(BZ140:BZ151,MP_V)*INDEX(IdxMP_V,1,MIN(10,BZ$136))*(1+V_dMat)/(1-V_Merma)</f>
        <v>0</v>
      </c>
      <c r="CA166" s="34" t="n">
        <f aca="false">SUMPRODUCT(CA140:CA151,MP_V)*INDEX(IdxMP_V,1,MIN(10,CA$136))*(1+V_dMat)/(1-V_Merma)</f>
        <v>0</v>
      </c>
      <c r="CB166" s="34" t="n">
        <f aca="false">SUMPRODUCT(CB140:CB151,MP_V)*INDEX(IdxMP_V,1,MIN(10,CB$136))*(1+V_dMat)/(1-V_Merma)</f>
        <v>0</v>
      </c>
      <c r="CC166" s="34" t="n">
        <f aca="false">SUMPRODUCT(CC140:CC151,MP_V)*INDEX(IdxMP_V,1,MIN(10,CC$136))*(1+V_dMat)/(1-V_Merma)</f>
        <v>0</v>
      </c>
      <c r="CD166" s="34" t="n">
        <f aca="false">SUMPRODUCT(CD140:CD151,MP_V)*INDEX(IdxMP_V,1,MIN(10,CD$136))*(1+V_dMat)/(1-V_Merma)</f>
        <v>0</v>
      </c>
      <c r="CE166" s="34" t="n">
        <f aca="false">SUMPRODUCT(CE140:CE151,MP_V)*INDEX(IdxMP_V,1,MIN(10,CE$136))*(1+V_dMat)/(1-V_Merma)</f>
        <v>0</v>
      </c>
      <c r="CF166" s="34" t="n">
        <f aca="false">SUMPRODUCT(CF140:CF151,MP_V)*INDEX(IdxMP_V,1,MIN(10,CF$136))*(1+V_dMat)/(1-V_Merma)</f>
        <v>0</v>
      </c>
      <c r="CG166" s="34" t="n">
        <f aca="false">SUMPRODUCT(CG140:CG151,MP_V)*INDEX(IdxMP_V,1,MIN(10,CG$136))*(1+V_dMat)/(1-V_Merma)</f>
        <v>0</v>
      </c>
      <c r="CH166" s="34" t="n">
        <f aca="false">SUMPRODUCT(CH140:CH151,MP_V)*INDEX(IdxMP_V,1,MIN(10,CH$136))*(1+V_dMat)/(1-V_Merma)</f>
        <v>0</v>
      </c>
      <c r="CI166" s="34" t="n">
        <f aca="false">SUMPRODUCT(CI140:CI151,MP_V)*INDEX(IdxMP_V,1,MIN(10,CI$136))*(1+V_dMat)/(1-V_Merma)</f>
        <v>0</v>
      </c>
      <c r="CJ166" s="34" t="n">
        <f aca="false">SUMPRODUCT(CJ140:CJ151,MP_V)*INDEX(IdxMP_V,1,MIN(10,CJ$136))*(1+V_dMat)/(1-V_Merma)</f>
        <v>0</v>
      </c>
      <c r="CK166" s="34" t="n">
        <f aca="false">SUMPRODUCT(CK140:CK151,MP_V)*INDEX(IdxMP_V,1,MIN(10,CK$136))*(1+V_dMat)/(1-V_Merma)</f>
        <v>0</v>
      </c>
      <c r="CL166" s="34" t="n">
        <f aca="false">SUMPRODUCT(CL140:CL151,MP_V)*INDEX(IdxMP_V,1,MIN(10,CL$136))*(1+V_dMat)/(1-V_Merma)</f>
        <v>0</v>
      </c>
      <c r="CM166" s="34" t="n">
        <f aca="false">SUMPRODUCT(CM140:CM151,MP_V)*INDEX(IdxMP_V,1,MIN(10,CM$136))*(1+V_dMat)/(1-V_Merma)</f>
        <v>0</v>
      </c>
      <c r="CN166" s="34" t="n">
        <f aca="false">SUMPRODUCT(CN140:CN151,MP_V)*INDEX(IdxMP_V,1,MIN(10,CN$136))*(1+V_dMat)/(1-V_Merma)</f>
        <v>0</v>
      </c>
      <c r="CO166" s="34" t="n">
        <f aca="false">SUMPRODUCT(CO140:CO151,MP_V)*INDEX(IdxMP_V,1,MIN(10,CO$136))*(1+V_dMat)/(1-V_Merma)</f>
        <v>0</v>
      </c>
      <c r="CP166" s="34" t="n">
        <f aca="false">SUMPRODUCT(CP140:CP151,MP_V)*INDEX(IdxMP_V,1,MIN(10,CP$136))*(1+V_dMat)/(1-V_Merma)</f>
        <v>0</v>
      </c>
      <c r="CQ166" s="34" t="n">
        <f aca="false">SUMPRODUCT(CQ140:CQ151,MP_V)*INDEX(IdxMP_V,1,MIN(10,CQ$136))*(1+V_dMat)/(1-V_Merma)</f>
        <v>0</v>
      </c>
      <c r="CR166" s="34" t="n">
        <f aca="false">SUMPRODUCT(CR140:CR151,MP_V)*INDEX(IdxMP_V,1,MIN(10,CR$136))*(1+V_dMat)/(1-V_Merma)</f>
        <v>0</v>
      </c>
      <c r="CS166" s="34" t="n">
        <f aca="false">SUMPRODUCT(CS140:CS151,MP_V)*INDEX(IdxMP_V,1,MIN(10,CS$136))*(1+V_dMat)/(1-V_Merma)</f>
        <v>0</v>
      </c>
      <c r="CT166" s="34" t="n">
        <f aca="false">SUMPRODUCT(CT140:CT151,MP_V)*INDEX(IdxMP_V,1,MIN(10,CT$136))*(1+V_dMat)/(1-V_Merma)</f>
        <v>0</v>
      </c>
      <c r="CU166" s="34" t="n">
        <f aca="false">SUMPRODUCT(CU140:CU151,MP_V)*INDEX(IdxMP_V,1,MIN(10,CU$136))*(1+V_dMat)/(1-V_Merma)</f>
        <v>0</v>
      </c>
      <c r="CV166" s="34" t="n">
        <f aca="false">SUMPRODUCT(CV140:CV151,MP_V)*INDEX(IdxMP_V,1,MIN(10,CV$136))*(1+V_dMat)/(1-V_Merma)</f>
        <v>0</v>
      </c>
      <c r="CW166" s="34" t="n">
        <f aca="false">SUMPRODUCT(CW140:CW151,MP_V)*INDEX(IdxMP_V,1,MIN(10,CW$136))*(1+V_dMat)/(1-V_Merma)</f>
        <v>0</v>
      </c>
      <c r="CX166" s="34" t="n">
        <f aca="false">SUMPRODUCT(CX140:CX151,MP_V)*INDEX(IdxMP_V,1,MIN(10,CX$136))*(1+V_dMat)/(1-V_Merma)</f>
        <v>0</v>
      </c>
      <c r="CY166" s="34" t="n">
        <f aca="false">SUMPRODUCT(CY140:CY151,MP_V)*INDEX(IdxMP_V,1,MIN(10,CY$136))*(1+V_dMat)/(1-V_Merma)</f>
        <v>0</v>
      </c>
      <c r="CZ166" s="34" t="n">
        <f aca="false">SUMPRODUCT(CZ140:CZ151,MP_V)*INDEX(IdxMP_V,1,MIN(10,CZ$136))*(1+V_dMat)/(1-V_Merma)</f>
        <v>0</v>
      </c>
      <c r="DA166" s="34" t="n">
        <f aca="false">SUMPRODUCT(DA140:DA151,MP_V)*INDEX(IdxMP_V,1,MIN(10,DA$136))*(1+V_dMat)/(1-V_Merma)</f>
        <v>0</v>
      </c>
      <c r="DB166" s="34" t="n">
        <f aca="false">SUMPRODUCT(DB140:DB151,MP_V)*INDEX(IdxMP_V,1,MIN(10,DB$136))*(1+V_dMat)/(1-V_Merma)</f>
        <v>0</v>
      </c>
      <c r="DC166" s="34" t="n">
        <f aca="false">SUMPRODUCT(DC140:DC151,MP_V)*INDEX(IdxMP_V,1,MIN(10,DC$136))*(1+V_dMat)/(1-V_Merma)</f>
        <v>0</v>
      </c>
      <c r="DD166" s="34" t="n">
        <f aca="false">SUMPRODUCT(DD140:DD151,MP_V)*INDEX(IdxMP_V,1,MIN(10,DD$136))*(1+V_dMat)/(1-V_Merma)</f>
        <v>0</v>
      </c>
      <c r="DE166" s="34" t="n">
        <f aca="false">SUMPRODUCT(DE140:DE151,MP_V)*INDEX(IdxMP_V,1,MIN(10,DE$136))*(1+V_dMat)/(1-V_Merma)</f>
        <v>0</v>
      </c>
      <c r="DF166" s="34" t="n">
        <f aca="false">SUMPRODUCT(DF140:DF151,MP_V)*INDEX(IdxMP_V,1,MIN(10,DF$136))*(1+V_dMat)/(1-V_Merma)</f>
        <v>0</v>
      </c>
      <c r="DG166" s="34" t="n">
        <f aca="false">SUMPRODUCT(DG140:DG151,MP_V)*INDEX(IdxMP_V,1,MIN(10,DG$136))*(1+V_dMat)/(1-V_Merma)</f>
        <v>0</v>
      </c>
      <c r="DH166" s="34" t="n">
        <f aca="false">SUMPRODUCT(DH140:DH151,MP_V)*INDEX(IdxMP_V,1,MIN(10,DH$136))*(1+V_dMat)/(1-V_Merma)</f>
        <v>0</v>
      </c>
      <c r="DI166" s="34" t="n">
        <f aca="false">SUMPRODUCT(DI140:DI151,MP_V)*INDEX(IdxMP_V,1,MIN(10,DI$136))*(1+V_dMat)/(1-V_Merma)</f>
        <v>0</v>
      </c>
      <c r="DJ166" s="34" t="n">
        <f aca="false">SUMPRODUCT(DJ140:DJ151,MP_V)*INDEX(IdxMP_V,1,MIN(10,DJ$136))*(1+V_dMat)/(1-V_Merma)</f>
        <v>0</v>
      </c>
      <c r="DK166" s="34" t="n">
        <f aca="false">SUMPRODUCT(DK140:DK151,MP_V)*INDEX(IdxMP_V,1,MIN(10,DK$136))*(1+V_dMat)/(1-V_Merma)</f>
        <v>0</v>
      </c>
      <c r="DL166" s="34" t="n">
        <f aca="false">SUMPRODUCT(DL140:DL151,MP_V)*INDEX(IdxMP_V,1,MIN(10,DL$136))*(1+V_dMat)/(1-V_Merma)</f>
        <v>0</v>
      </c>
      <c r="DM166" s="34" t="n">
        <f aca="false">SUMPRODUCT(DM140:DM151,MP_V)*INDEX(IdxMP_V,1,MIN(10,DM$136))*(1+V_dMat)/(1-V_Merma)</f>
        <v>0</v>
      </c>
      <c r="DN166" s="34" t="n">
        <f aca="false">SUMPRODUCT(DN140:DN151,MP_V)*INDEX(IdxMP_V,1,MIN(10,DN$136))*(1+V_dMat)/(1-V_Merma)</f>
        <v>0</v>
      </c>
      <c r="DO166" s="34" t="n">
        <f aca="false">SUMPRODUCT(DO140:DO151,MP_V)*INDEX(IdxMP_V,1,MIN(10,DO$136))*(1+V_dMat)/(1-V_Merma)</f>
        <v>0</v>
      </c>
      <c r="DP166" s="34" t="n">
        <f aca="false">SUMPRODUCT(DP140:DP151,MP_V)*INDEX(IdxMP_V,1,MIN(10,DP$136))*(1+V_dMat)/(1-V_Merma)</f>
        <v>0</v>
      </c>
      <c r="DQ166" s="34" t="n">
        <f aca="false">SUMPRODUCT(DQ140:DQ151,MP_V)*INDEX(IdxMP_V,1,MIN(10,DQ$136))*(1+V_dMat)/(1-V_Merma)</f>
        <v>0</v>
      </c>
      <c r="DR166" s="34" t="n">
        <f aca="false">SUMPRODUCT(DR140:DR151,MP_V)*INDEX(IdxMP_V,1,MIN(10,DR$136))*(1+V_dMat)/(1-V_Merma)</f>
        <v>0</v>
      </c>
      <c r="DS166" s="34" t="n">
        <f aca="false">SUMPRODUCT(DS140:DS151,MP_V)*INDEX(IdxMP_V,1,MIN(10,DS$136))*(1+V_dMat)/(1-V_Merma)</f>
        <v>0</v>
      </c>
      <c r="DT166" s="34" t="n">
        <f aca="false">SUMPRODUCT(DT140:DT151,MP_V)*INDEX(IdxMP_V,1,MIN(10,DT$136))*(1+V_dMat)/(1-V_Merma)</f>
        <v>0</v>
      </c>
      <c r="DU166" s="34" t="n">
        <f aca="false">SUMPRODUCT(DU140:DU151,MP_V)*INDEX(IdxMP_V,1,MIN(10,DU$136))*(1+V_dMat)/(1-V_Merma)</f>
        <v>0</v>
      </c>
      <c r="DV166" s="34" t="n">
        <f aca="false">SUMPRODUCT(DV140:DV151,MP_V)*INDEX(IdxMP_V,1,MIN(10,DV$136))*(1+V_dMat)/(1-V_Merma)</f>
        <v>0</v>
      </c>
      <c r="DW166" s="34" t="n">
        <f aca="false">SUMPRODUCT(DW140:DW151,MP_V)*INDEX(IdxMP_V,1,MIN(10,DW$136))*(1+V_dMat)/(1-V_Merma)</f>
        <v>0</v>
      </c>
      <c r="DX166" s="34" t="n">
        <f aca="false">SUMPRODUCT(DX140:DX151,MP_V)*INDEX(IdxMP_V,1,MIN(10,DX$136))*(1+V_dMat)/(1-V_Merma)</f>
        <v>0</v>
      </c>
      <c r="DY166" s="34" t="n">
        <f aca="false">SUMPRODUCT(DY140:DY151,MP_V)*INDEX(IdxMP_V,1,MIN(10,DY$136))*(1+V_dMat)/(1-V_Merma)</f>
        <v>0</v>
      </c>
      <c r="DZ166" s="34" t="n">
        <f aca="false">SUMPRODUCT(DZ140:DZ151,MP_V)*INDEX(IdxMP_V,1,MIN(10,DZ$136))*(1+V_dMat)/(1-V_Merma)</f>
        <v>0</v>
      </c>
      <c r="EA166" s="34" t="n">
        <f aca="false">SUMPRODUCT(EA140:EA151,MP_V)*INDEX(IdxMP_V,1,MIN(10,EA$136))*(1+V_dMat)/(1-V_Merma)</f>
        <v>0</v>
      </c>
      <c r="EB166" s="34" t="n">
        <f aca="false">SUMPRODUCT(EB140:EB151,MP_V)*INDEX(IdxMP_V,1,MIN(10,EB$136))*(1+V_dMat)/(1-V_Merma)</f>
        <v>0</v>
      </c>
      <c r="EC166" s="34" t="n">
        <f aca="false">SUMPRODUCT(EC140:EC151,MP_V)*INDEX(IdxMP_V,1,MIN(10,EC$136))*(1+V_dMat)/(1-V_Merma)</f>
        <v>0</v>
      </c>
      <c r="ED166" s="34" t="n">
        <f aca="false">SUMPRODUCT(ED140:ED151,MP_V)*INDEX(IdxMP_V,1,MIN(10,ED$136))*(1+V_dMat)/(1-V_Merma)</f>
        <v>0</v>
      </c>
      <c r="EE166" s="34" t="n">
        <f aca="false">SUMPRODUCT(EE140:EE151,MP_V)*INDEX(IdxMP_V,1,MIN(10,EE$136))*(1+V_dMat)/(1-V_Merma)</f>
        <v>0</v>
      </c>
      <c r="EF166" s="34" t="n">
        <f aca="false">SUMPRODUCT(EF140:EF151,MP_V)*INDEX(IdxMP_V,1,MIN(10,EF$136))*(1+V_dMat)/(1-V_Merma)</f>
        <v>0</v>
      </c>
      <c r="EG166" s="34" t="n">
        <f aca="false">SUMPRODUCT(EG140:EG151,MP_V)*INDEX(IdxMP_V,1,MIN(10,EG$136))*(1+V_dMat)/(1-V_Merma)</f>
        <v>0</v>
      </c>
      <c r="EH166" s="34" t="n">
        <f aca="false">SUMPRODUCT(EH140:EH151,MP_V)*INDEX(IdxMP_V,1,MIN(10,EH$136))*(1+V_dMat)/(1-V_Merma)</f>
        <v>0</v>
      </c>
      <c r="EI166" s="34" t="n">
        <f aca="false">SUMPRODUCT(EI140:EI151,MP_V)*INDEX(IdxMP_V,1,MIN(10,EI$136))*(1+V_dMat)/(1-V_Merma)</f>
        <v>0</v>
      </c>
      <c r="EJ166" s="34" t="n">
        <f aca="false">SUMPRODUCT(EJ140:EJ151,MP_V)*INDEX(IdxMP_V,1,MIN(10,EJ$136))*(1+V_dMat)/(1-V_Merma)</f>
        <v>0</v>
      </c>
      <c r="EK166" s="34" t="n">
        <f aca="false">SUMPRODUCT(EK140:EK151,MP_V)*INDEX(IdxMP_V,1,MIN(10,EK$136))*(1+V_dMat)/(1-V_Merma)</f>
        <v>0</v>
      </c>
      <c r="EL166" s="34" t="n">
        <f aca="false">SUMPRODUCT(EL140:EL151,MP_V)*INDEX(IdxMP_V,1,MIN(10,EL$136))*(1+V_dMat)/(1-V_Merma)</f>
        <v>0</v>
      </c>
      <c r="EM166" s="34" t="n">
        <f aca="false">SUMPRODUCT(EM140:EM151,MP_V)*INDEX(IdxMP_V,1,MIN(10,EM$136))*(1+V_dMat)/(1-V_Merma)</f>
        <v>0</v>
      </c>
      <c r="EN166" s="34" t="n">
        <f aca="false">SUMPRODUCT(EN140:EN151,MP_V)*INDEX(IdxMP_V,1,MIN(10,EN$136))*(1+V_dMat)/(1-V_Merma)</f>
        <v>0</v>
      </c>
      <c r="EO166" s="34" t="n">
        <f aca="false">SUMPRODUCT(EO140:EO151,MP_V)*INDEX(IdxMP_V,1,MIN(10,EO$136))*(1+V_dMat)/(1-V_Merma)</f>
        <v>0</v>
      </c>
      <c r="EP166" s="34" t="n">
        <f aca="false">SUMPRODUCT(EP140:EP151,MP_V)*INDEX(IdxMP_V,1,MIN(10,EP$136))*(1+V_dMat)/(1-V_Merma)</f>
        <v>0</v>
      </c>
      <c r="EQ166" s="34" t="n">
        <f aca="false">SUMPRODUCT(EQ140:EQ151,MP_V)*INDEX(IdxMP_V,1,MIN(10,EQ$136))*(1+V_dMat)/(1-V_Merma)</f>
        <v>0</v>
      </c>
      <c r="ER166" s="34" t="n">
        <f aca="false">SUMPRODUCT(ER140:ER151,MP_V)*INDEX(IdxMP_V,1,MIN(10,ER$136))*(1+V_dMat)/(1-V_Merma)</f>
        <v>0</v>
      </c>
      <c r="ES166" s="34" t="n">
        <f aca="false">SUMPRODUCT(ES140:ES151,MP_V)*INDEX(IdxMP_V,1,MIN(10,ES$136))*(1+V_dMat)/(1-V_Merma)</f>
        <v>0</v>
      </c>
    </row>
    <row r="167" customFormat="false" ht="15" hidden="false" customHeight="false" outlineLevel="0" collapsed="false">
      <c r="A167" s="2" t="s">
        <v>645</v>
      </c>
      <c r="B167" s="6" t="s">
        <v>462</v>
      </c>
      <c r="C167" s="6" t="s">
        <v>212</v>
      </c>
      <c r="E167" s="40" t="n">
        <f aca="false">SUM(F167:ES167)</f>
        <v>0</v>
      </c>
      <c r="F167" s="34" t="n">
        <f aca="false">SUMPRODUCT(F140:F151,INS_V)*INDEX(IdxOV_V,1,MIN(10,F$136))*(1+V_dMat)/(1-V_Merma)</f>
        <v>0</v>
      </c>
      <c r="G167" s="34" t="n">
        <f aca="false">SUMPRODUCT(G140:G151,INS_V)*INDEX(IdxOV_V,1,MIN(10,G$136))*(1+V_dMat)/(1-V_Merma)</f>
        <v>0</v>
      </c>
      <c r="H167" s="34" t="n">
        <f aca="false">SUMPRODUCT(H140:H151,INS_V)*INDEX(IdxOV_V,1,MIN(10,H$136))*(1+V_dMat)/(1-V_Merma)</f>
        <v>0</v>
      </c>
      <c r="I167" s="34" t="n">
        <f aca="false">SUMPRODUCT(I140:I151,INS_V)*INDEX(IdxOV_V,1,MIN(10,I$136))*(1+V_dMat)/(1-V_Merma)</f>
        <v>0</v>
      </c>
      <c r="J167" s="34" t="n">
        <f aca="false">SUMPRODUCT(J140:J151,INS_V)*INDEX(IdxOV_V,1,MIN(10,J$136))*(1+V_dMat)/(1-V_Merma)</f>
        <v>0</v>
      </c>
      <c r="K167" s="34" t="n">
        <f aca="false">SUMPRODUCT(K140:K151,INS_V)*INDEX(IdxOV_V,1,MIN(10,K$136))*(1+V_dMat)/(1-V_Merma)</f>
        <v>0</v>
      </c>
      <c r="L167" s="34" t="n">
        <f aca="false">SUMPRODUCT(L140:L151,INS_V)*INDEX(IdxOV_V,1,MIN(10,L$136))*(1+V_dMat)/(1-V_Merma)</f>
        <v>0</v>
      </c>
      <c r="M167" s="34" t="n">
        <f aca="false">SUMPRODUCT(M140:M151,INS_V)*INDEX(IdxOV_V,1,MIN(10,M$136))*(1+V_dMat)/(1-V_Merma)</f>
        <v>0</v>
      </c>
      <c r="N167" s="34" t="n">
        <f aca="false">SUMPRODUCT(N140:N151,INS_V)*INDEX(IdxOV_V,1,MIN(10,N$136))*(1+V_dMat)/(1-V_Merma)</f>
        <v>0</v>
      </c>
      <c r="O167" s="34" t="n">
        <f aca="false">SUMPRODUCT(O140:O151,INS_V)*INDEX(IdxOV_V,1,MIN(10,O$136))*(1+V_dMat)/(1-V_Merma)</f>
        <v>0</v>
      </c>
      <c r="P167" s="34" t="n">
        <f aca="false">SUMPRODUCT(P140:P151,INS_V)*INDEX(IdxOV_V,1,MIN(10,P$136))*(1+V_dMat)/(1-V_Merma)</f>
        <v>0</v>
      </c>
      <c r="Q167" s="34" t="n">
        <f aca="false">SUMPRODUCT(Q140:Q151,INS_V)*INDEX(IdxOV_V,1,MIN(10,Q$136))*(1+V_dMat)/(1-V_Merma)</f>
        <v>0</v>
      </c>
      <c r="R167" s="34" t="n">
        <f aca="false">SUMPRODUCT(R140:R151,INS_V)*INDEX(IdxOV_V,1,MIN(10,R$136))*(1+V_dMat)/(1-V_Merma)</f>
        <v>0</v>
      </c>
      <c r="S167" s="34" t="n">
        <f aca="false">SUMPRODUCT(S140:S151,INS_V)*INDEX(IdxOV_V,1,MIN(10,S$136))*(1+V_dMat)/(1-V_Merma)</f>
        <v>0</v>
      </c>
      <c r="T167" s="34" t="n">
        <f aca="false">SUMPRODUCT(T140:T151,INS_V)*INDEX(IdxOV_V,1,MIN(10,T$136))*(1+V_dMat)/(1-V_Merma)</f>
        <v>0</v>
      </c>
      <c r="U167" s="34" t="n">
        <f aca="false">SUMPRODUCT(U140:U151,INS_V)*INDEX(IdxOV_V,1,MIN(10,U$136))*(1+V_dMat)/(1-V_Merma)</f>
        <v>0</v>
      </c>
      <c r="V167" s="34" t="n">
        <f aca="false">SUMPRODUCT(V140:V151,INS_V)*INDEX(IdxOV_V,1,MIN(10,V$136))*(1+V_dMat)/(1-V_Merma)</f>
        <v>0</v>
      </c>
      <c r="W167" s="34" t="n">
        <f aca="false">SUMPRODUCT(W140:W151,INS_V)*INDEX(IdxOV_V,1,MIN(10,W$136))*(1+V_dMat)/(1-V_Merma)</f>
        <v>0</v>
      </c>
      <c r="X167" s="34" t="n">
        <f aca="false">SUMPRODUCT(X140:X151,INS_V)*INDEX(IdxOV_V,1,MIN(10,X$136))*(1+V_dMat)/(1-V_Merma)</f>
        <v>0</v>
      </c>
      <c r="Y167" s="34" t="n">
        <f aca="false">SUMPRODUCT(Y140:Y151,INS_V)*INDEX(IdxOV_V,1,MIN(10,Y$136))*(1+V_dMat)/(1-V_Merma)</f>
        <v>0</v>
      </c>
      <c r="Z167" s="34" t="n">
        <f aca="false">SUMPRODUCT(Z140:Z151,INS_V)*INDEX(IdxOV_V,1,MIN(10,Z$136))*(1+V_dMat)/(1-V_Merma)</f>
        <v>0</v>
      </c>
      <c r="AA167" s="34" t="n">
        <f aca="false">SUMPRODUCT(AA140:AA151,INS_V)*INDEX(IdxOV_V,1,MIN(10,AA$136))*(1+V_dMat)/(1-V_Merma)</f>
        <v>0</v>
      </c>
      <c r="AB167" s="34" t="n">
        <f aca="false">SUMPRODUCT(AB140:AB151,INS_V)*INDEX(IdxOV_V,1,MIN(10,AB$136))*(1+V_dMat)/(1-V_Merma)</f>
        <v>0</v>
      </c>
      <c r="AC167" s="34" t="n">
        <f aca="false">SUMPRODUCT(AC140:AC151,INS_V)*INDEX(IdxOV_V,1,MIN(10,AC$136))*(1+V_dMat)/(1-V_Merma)</f>
        <v>0</v>
      </c>
      <c r="AD167" s="34" t="n">
        <f aca="false">SUMPRODUCT(AD140:AD151,INS_V)*INDEX(IdxOV_V,1,MIN(10,AD$136))*(1+V_dMat)/(1-V_Merma)</f>
        <v>0</v>
      </c>
      <c r="AE167" s="34" t="n">
        <f aca="false">SUMPRODUCT(AE140:AE151,INS_V)*INDEX(IdxOV_V,1,MIN(10,AE$136))*(1+V_dMat)/(1-V_Merma)</f>
        <v>0</v>
      </c>
      <c r="AF167" s="34" t="n">
        <f aca="false">SUMPRODUCT(AF140:AF151,INS_V)*INDEX(IdxOV_V,1,MIN(10,AF$136))*(1+V_dMat)/(1-V_Merma)</f>
        <v>0</v>
      </c>
      <c r="AG167" s="34" t="n">
        <f aca="false">SUMPRODUCT(AG140:AG151,INS_V)*INDEX(IdxOV_V,1,MIN(10,AG$136))*(1+V_dMat)/(1-V_Merma)</f>
        <v>0</v>
      </c>
      <c r="AH167" s="34" t="n">
        <f aca="false">SUMPRODUCT(AH140:AH151,INS_V)*INDEX(IdxOV_V,1,MIN(10,AH$136))*(1+V_dMat)/(1-V_Merma)</f>
        <v>0</v>
      </c>
      <c r="AI167" s="34" t="n">
        <f aca="false">SUMPRODUCT(AI140:AI151,INS_V)*INDEX(IdxOV_V,1,MIN(10,AI$136))*(1+V_dMat)/(1-V_Merma)</f>
        <v>0</v>
      </c>
      <c r="AJ167" s="34" t="n">
        <f aca="false">SUMPRODUCT(AJ140:AJ151,INS_V)*INDEX(IdxOV_V,1,MIN(10,AJ$136))*(1+V_dMat)/(1-V_Merma)</f>
        <v>0</v>
      </c>
      <c r="AK167" s="34" t="n">
        <f aca="false">SUMPRODUCT(AK140:AK151,INS_V)*INDEX(IdxOV_V,1,MIN(10,AK$136))*(1+V_dMat)/(1-V_Merma)</f>
        <v>0</v>
      </c>
      <c r="AL167" s="34" t="n">
        <f aca="false">SUMPRODUCT(AL140:AL151,INS_V)*INDEX(IdxOV_V,1,MIN(10,AL$136))*(1+V_dMat)/(1-V_Merma)</f>
        <v>0</v>
      </c>
      <c r="AM167" s="34" t="n">
        <f aca="false">SUMPRODUCT(AM140:AM151,INS_V)*INDEX(IdxOV_V,1,MIN(10,AM$136))*(1+V_dMat)/(1-V_Merma)</f>
        <v>0</v>
      </c>
      <c r="AN167" s="34" t="n">
        <f aca="false">SUMPRODUCT(AN140:AN151,INS_V)*INDEX(IdxOV_V,1,MIN(10,AN$136))*(1+V_dMat)/(1-V_Merma)</f>
        <v>0</v>
      </c>
      <c r="AO167" s="34" t="n">
        <f aca="false">SUMPRODUCT(AO140:AO151,INS_V)*INDEX(IdxOV_V,1,MIN(10,AO$136))*(1+V_dMat)/(1-V_Merma)</f>
        <v>0</v>
      </c>
      <c r="AP167" s="34" t="n">
        <f aca="false">SUMPRODUCT(AP140:AP151,INS_V)*INDEX(IdxOV_V,1,MIN(10,AP$136))*(1+V_dMat)/(1-V_Merma)</f>
        <v>0</v>
      </c>
      <c r="AQ167" s="34" t="n">
        <f aca="false">SUMPRODUCT(AQ140:AQ151,INS_V)*INDEX(IdxOV_V,1,MIN(10,AQ$136))*(1+V_dMat)/(1-V_Merma)</f>
        <v>0</v>
      </c>
      <c r="AR167" s="34" t="n">
        <f aca="false">SUMPRODUCT(AR140:AR151,INS_V)*INDEX(IdxOV_V,1,MIN(10,AR$136))*(1+V_dMat)/(1-V_Merma)</f>
        <v>0</v>
      </c>
      <c r="AS167" s="34" t="n">
        <f aca="false">SUMPRODUCT(AS140:AS151,INS_V)*INDEX(IdxOV_V,1,MIN(10,AS$136))*(1+V_dMat)/(1-V_Merma)</f>
        <v>0</v>
      </c>
      <c r="AT167" s="34" t="n">
        <f aca="false">SUMPRODUCT(AT140:AT151,INS_V)*INDEX(IdxOV_V,1,MIN(10,AT$136))*(1+V_dMat)/(1-V_Merma)</f>
        <v>0</v>
      </c>
      <c r="AU167" s="34" t="n">
        <f aca="false">SUMPRODUCT(AU140:AU151,INS_V)*INDEX(IdxOV_V,1,MIN(10,AU$136))*(1+V_dMat)/(1-V_Merma)</f>
        <v>0</v>
      </c>
      <c r="AV167" s="34" t="n">
        <f aca="false">SUMPRODUCT(AV140:AV151,INS_V)*INDEX(IdxOV_V,1,MIN(10,AV$136))*(1+V_dMat)/(1-V_Merma)</f>
        <v>0</v>
      </c>
      <c r="AW167" s="34" t="n">
        <f aca="false">SUMPRODUCT(AW140:AW151,INS_V)*INDEX(IdxOV_V,1,MIN(10,AW$136))*(1+V_dMat)/(1-V_Merma)</f>
        <v>0</v>
      </c>
      <c r="AX167" s="34" t="n">
        <f aca="false">SUMPRODUCT(AX140:AX151,INS_V)*INDEX(IdxOV_V,1,MIN(10,AX$136))*(1+V_dMat)/(1-V_Merma)</f>
        <v>0</v>
      </c>
      <c r="AY167" s="34" t="n">
        <f aca="false">SUMPRODUCT(AY140:AY151,INS_V)*INDEX(IdxOV_V,1,MIN(10,AY$136))*(1+V_dMat)/(1-V_Merma)</f>
        <v>0</v>
      </c>
      <c r="AZ167" s="34" t="n">
        <f aca="false">SUMPRODUCT(AZ140:AZ151,INS_V)*INDEX(IdxOV_V,1,MIN(10,AZ$136))*(1+V_dMat)/(1-V_Merma)</f>
        <v>0</v>
      </c>
      <c r="BA167" s="34" t="n">
        <f aca="false">SUMPRODUCT(BA140:BA151,INS_V)*INDEX(IdxOV_V,1,MIN(10,BA$136))*(1+V_dMat)/(1-V_Merma)</f>
        <v>0</v>
      </c>
      <c r="BB167" s="34" t="n">
        <f aca="false">SUMPRODUCT(BB140:BB151,INS_V)*INDEX(IdxOV_V,1,MIN(10,BB$136))*(1+V_dMat)/(1-V_Merma)</f>
        <v>0</v>
      </c>
      <c r="BC167" s="34" t="n">
        <f aca="false">SUMPRODUCT(BC140:BC151,INS_V)*INDEX(IdxOV_V,1,MIN(10,BC$136))*(1+V_dMat)/(1-V_Merma)</f>
        <v>0</v>
      </c>
      <c r="BD167" s="34" t="n">
        <f aca="false">SUMPRODUCT(BD140:BD151,INS_V)*INDEX(IdxOV_V,1,MIN(10,BD$136))*(1+V_dMat)/(1-V_Merma)</f>
        <v>0</v>
      </c>
      <c r="BE167" s="34" t="n">
        <f aca="false">SUMPRODUCT(BE140:BE151,INS_V)*INDEX(IdxOV_V,1,MIN(10,BE$136))*(1+V_dMat)/(1-V_Merma)</f>
        <v>0</v>
      </c>
      <c r="BF167" s="34" t="n">
        <f aca="false">SUMPRODUCT(BF140:BF151,INS_V)*INDEX(IdxOV_V,1,MIN(10,BF$136))*(1+V_dMat)/(1-V_Merma)</f>
        <v>0</v>
      </c>
      <c r="BG167" s="34" t="n">
        <f aca="false">SUMPRODUCT(BG140:BG151,INS_V)*INDEX(IdxOV_V,1,MIN(10,BG$136))*(1+V_dMat)/(1-V_Merma)</f>
        <v>0</v>
      </c>
      <c r="BH167" s="34" t="n">
        <f aca="false">SUMPRODUCT(BH140:BH151,INS_V)*INDEX(IdxOV_V,1,MIN(10,BH$136))*(1+V_dMat)/(1-V_Merma)</f>
        <v>0</v>
      </c>
      <c r="BI167" s="34" t="n">
        <f aca="false">SUMPRODUCT(BI140:BI151,INS_V)*INDEX(IdxOV_V,1,MIN(10,BI$136))*(1+V_dMat)/(1-V_Merma)</f>
        <v>0</v>
      </c>
      <c r="BJ167" s="34" t="n">
        <f aca="false">SUMPRODUCT(BJ140:BJ151,INS_V)*INDEX(IdxOV_V,1,MIN(10,BJ$136))*(1+V_dMat)/(1-V_Merma)</f>
        <v>0</v>
      </c>
      <c r="BK167" s="34" t="n">
        <f aca="false">SUMPRODUCT(BK140:BK151,INS_V)*INDEX(IdxOV_V,1,MIN(10,BK$136))*(1+V_dMat)/(1-V_Merma)</f>
        <v>0</v>
      </c>
      <c r="BL167" s="34" t="n">
        <f aca="false">SUMPRODUCT(BL140:BL151,INS_V)*INDEX(IdxOV_V,1,MIN(10,BL$136))*(1+V_dMat)/(1-V_Merma)</f>
        <v>0</v>
      </c>
      <c r="BM167" s="34" t="n">
        <f aca="false">SUMPRODUCT(BM140:BM151,INS_V)*INDEX(IdxOV_V,1,MIN(10,BM$136))*(1+V_dMat)/(1-V_Merma)</f>
        <v>0</v>
      </c>
      <c r="BN167" s="34" t="n">
        <f aca="false">SUMPRODUCT(BN140:BN151,INS_V)*INDEX(IdxOV_V,1,MIN(10,BN$136))*(1+V_dMat)/(1-V_Merma)</f>
        <v>0</v>
      </c>
      <c r="BO167" s="34" t="n">
        <f aca="false">SUMPRODUCT(BO140:BO151,INS_V)*INDEX(IdxOV_V,1,MIN(10,BO$136))*(1+V_dMat)/(1-V_Merma)</f>
        <v>0</v>
      </c>
      <c r="BP167" s="34" t="n">
        <f aca="false">SUMPRODUCT(BP140:BP151,INS_V)*INDEX(IdxOV_V,1,MIN(10,BP$136))*(1+V_dMat)/(1-V_Merma)</f>
        <v>0</v>
      </c>
      <c r="BQ167" s="34" t="n">
        <f aca="false">SUMPRODUCT(BQ140:BQ151,INS_V)*INDEX(IdxOV_V,1,MIN(10,BQ$136))*(1+V_dMat)/(1-V_Merma)</f>
        <v>0</v>
      </c>
      <c r="BR167" s="34" t="n">
        <f aca="false">SUMPRODUCT(BR140:BR151,INS_V)*INDEX(IdxOV_V,1,MIN(10,BR$136))*(1+V_dMat)/(1-V_Merma)</f>
        <v>0</v>
      </c>
      <c r="BS167" s="34" t="n">
        <f aca="false">SUMPRODUCT(BS140:BS151,INS_V)*INDEX(IdxOV_V,1,MIN(10,BS$136))*(1+V_dMat)/(1-V_Merma)</f>
        <v>0</v>
      </c>
      <c r="BT167" s="34" t="n">
        <f aca="false">SUMPRODUCT(BT140:BT151,INS_V)*INDEX(IdxOV_V,1,MIN(10,BT$136))*(1+V_dMat)/(1-V_Merma)</f>
        <v>0</v>
      </c>
      <c r="BU167" s="34" t="n">
        <f aca="false">SUMPRODUCT(BU140:BU151,INS_V)*INDEX(IdxOV_V,1,MIN(10,BU$136))*(1+V_dMat)/(1-V_Merma)</f>
        <v>0</v>
      </c>
      <c r="BV167" s="34" t="n">
        <f aca="false">SUMPRODUCT(BV140:BV151,INS_V)*INDEX(IdxOV_V,1,MIN(10,BV$136))*(1+V_dMat)/(1-V_Merma)</f>
        <v>0</v>
      </c>
      <c r="BW167" s="34" t="n">
        <f aca="false">SUMPRODUCT(BW140:BW151,INS_V)*INDEX(IdxOV_V,1,MIN(10,BW$136))*(1+V_dMat)/(1-V_Merma)</f>
        <v>0</v>
      </c>
      <c r="BX167" s="34" t="n">
        <f aca="false">SUMPRODUCT(BX140:BX151,INS_V)*INDEX(IdxOV_V,1,MIN(10,BX$136))*(1+V_dMat)/(1-V_Merma)</f>
        <v>0</v>
      </c>
      <c r="BY167" s="34" t="n">
        <f aca="false">SUMPRODUCT(BY140:BY151,INS_V)*INDEX(IdxOV_V,1,MIN(10,BY$136))*(1+V_dMat)/(1-V_Merma)</f>
        <v>0</v>
      </c>
      <c r="BZ167" s="34" t="n">
        <f aca="false">SUMPRODUCT(BZ140:BZ151,INS_V)*INDEX(IdxOV_V,1,MIN(10,BZ$136))*(1+V_dMat)/(1-V_Merma)</f>
        <v>0</v>
      </c>
      <c r="CA167" s="34" t="n">
        <f aca="false">SUMPRODUCT(CA140:CA151,INS_V)*INDEX(IdxOV_V,1,MIN(10,CA$136))*(1+V_dMat)/(1-V_Merma)</f>
        <v>0</v>
      </c>
      <c r="CB167" s="34" t="n">
        <f aca="false">SUMPRODUCT(CB140:CB151,INS_V)*INDEX(IdxOV_V,1,MIN(10,CB$136))*(1+V_dMat)/(1-V_Merma)</f>
        <v>0</v>
      </c>
      <c r="CC167" s="34" t="n">
        <f aca="false">SUMPRODUCT(CC140:CC151,INS_V)*INDEX(IdxOV_V,1,MIN(10,CC$136))*(1+V_dMat)/(1-V_Merma)</f>
        <v>0</v>
      </c>
      <c r="CD167" s="34" t="n">
        <f aca="false">SUMPRODUCT(CD140:CD151,INS_V)*INDEX(IdxOV_V,1,MIN(10,CD$136))*(1+V_dMat)/(1-V_Merma)</f>
        <v>0</v>
      </c>
      <c r="CE167" s="34" t="n">
        <f aca="false">SUMPRODUCT(CE140:CE151,INS_V)*INDEX(IdxOV_V,1,MIN(10,CE$136))*(1+V_dMat)/(1-V_Merma)</f>
        <v>0</v>
      </c>
      <c r="CF167" s="34" t="n">
        <f aca="false">SUMPRODUCT(CF140:CF151,INS_V)*INDEX(IdxOV_V,1,MIN(10,CF$136))*(1+V_dMat)/(1-V_Merma)</f>
        <v>0</v>
      </c>
      <c r="CG167" s="34" t="n">
        <f aca="false">SUMPRODUCT(CG140:CG151,INS_V)*INDEX(IdxOV_V,1,MIN(10,CG$136))*(1+V_dMat)/(1-V_Merma)</f>
        <v>0</v>
      </c>
      <c r="CH167" s="34" t="n">
        <f aca="false">SUMPRODUCT(CH140:CH151,INS_V)*INDEX(IdxOV_V,1,MIN(10,CH$136))*(1+V_dMat)/(1-V_Merma)</f>
        <v>0</v>
      </c>
      <c r="CI167" s="34" t="n">
        <f aca="false">SUMPRODUCT(CI140:CI151,INS_V)*INDEX(IdxOV_V,1,MIN(10,CI$136))*(1+V_dMat)/(1-V_Merma)</f>
        <v>0</v>
      </c>
      <c r="CJ167" s="34" t="n">
        <f aca="false">SUMPRODUCT(CJ140:CJ151,INS_V)*INDEX(IdxOV_V,1,MIN(10,CJ$136))*(1+V_dMat)/(1-V_Merma)</f>
        <v>0</v>
      </c>
      <c r="CK167" s="34" t="n">
        <f aca="false">SUMPRODUCT(CK140:CK151,INS_V)*INDEX(IdxOV_V,1,MIN(10,CK$136))*(1+V_dMat)/(1-V_Merma)</f>
        <v>0</v>
      </c>
      <c r="CL167" s="34" t="n">
        <f aca="false">SUMPRODUCT(CL140:CL151,INS_V)*INDEX(IdxOV_V,1,MIN(10,CL$136))*(1+V_dMat)/(1-V_Merma)</f>
        <v>0</v>
      </c>
      <c r="CM167" s="34" t="n">
        <f aca="false">SUMPRODUCT(CM140:CM151,INS_V)*INDEX(IdxOV_V,1,MIN(10,CM$136))*(1+V_dMat)/(1-V_Merma)</f>
        <v>0</v>
      </c>
      <c r="CN167" s="34" t="n">
        <f aca="false">SUMPRODUCT(CN140:CN151,INS_V)*INDEX(IdxOV_V,1,MIN(10,CN$136))*(1+V_dMat)/(1-V_Merma)</f>
        <v>0</v>
      </c>
      <c r="CO167" s="34" t="n">
        <f aca="false">SUMPRODUCT(CO140:CO151,INS_V)*INDEX(IdxOV_V,1,MIN(10,CO$136))*(1+V_dMat)/(1-V_Merma)</f>
        <v>0</v>
      </c>
      <c r="CP167" s="34" t="n">
        <f aca="false">SUMPRODUCT(CP140:CP151,INS_V)*INDEX(IdxOV_V,1,MIN(10,CP$136))*(1+V_dMat)/(1-V_Merma)</f>
        <v>0</v>
      </c>
      <c r="CQ167" s="34" t="n">
        <f aca="false">SUMPRODUCT(CQ140:CQ151,INS_V)*INDEX(IdxOV_V,1,MIN(10,CQ$136))*(1+V_dMat)/(1-V_Merma)</f>
        <v>0</v>
      </c>
      <c r="CR167" s="34" t="n">
        <f aca="false">SUMPRODUCT(CR140:CR151,INS_V)*INDEX(IdxOV_V,1,MIN(10,CR$136))*(1+V_dMat)/(1-V_Merma)</f>
        <v>0</v>
      </c>
      <c r="CS167" s="34" t="n">
        <f aca="false">SUMPRODUCT(CS140:CS151,INS_V)*INDEX(IdxOV_V,1,MIN(10,CS$136))*(1+V_dMat)/(1-V_Merma)</f>
        <v>0</v>
      </c>
      <c r="CT167" s="34" t="n">
        <f aca="false">SUMPRODUCT(CT140:CT151,INS_V)*INDEX(IdxOV_V,1,MIN(10,CT$136))*(1+V_dMat)/(1-V_Merma)</f>
        <v>0</v>
      </c>
      <c r="CU167" s="34" t="n">
        <f aca="false">SUMPRODUCT(CU140:CU151,INS_V)*INDEX(IdxOV_V,1,MIN(10,CU$136))*(1+V_dMat)/(1-V_Merma)</f>
        <v>0</v>
      </c>
      <c r="CV167" s="34" t="n">
        <f aca="false">SUMPRODUCT(CV140:CV151,INS_V)*INDEX(IdxOV_V,1,MIN(10,CV$136))*(1+V_dMat)/(1-V_Merma)</f>
        <v>0</v>
      </c>
      <c r="CW167" s="34" t="n">
        <f aca="false">SUMPRODUCT(CW140:CW151,INS_V)*INDEX(IdxOV_V,1,MIN(10,CW$136))*(1+V_dMat)/(1-V_Merma)</f>
        <v>0</v>
      </c>
      <c r="CX167" s="34" t="n">
        <f aca="false">SUMPRODUCT(CX140:CX151,INS_V)*INDEX(IdxOV_V,1,MIN(10,CX$136))*(1+V_dMat)/(1-V_Merma)</f>
        <v>0</v>
      </c>
      <c r="CY167" s="34" t="n">
        <f aca="false">SUMPRODUCT(CY140:CY151,INS_V)*INDEX(IdxOV_V,1,MIN(10,CY$136))*(1+V_dMat)/(1-V_Merma)</f>
        <v>0</v>
      </c>
      <c r="CZ167" s="34" t="n">
        <f aca="false">SUMPRODUCT(CZ140:CZ151,INS_V)*INDEX(IdxOV_V,1,MIN(10,CZ$136))*(1+V_dMat)/(1-V_Merma)</f>
        <v>0</v>
      </c>
      <c r="DA167" s="34" t="n">
        <f aca="false">SUMPRODUCT(DA140:DA151,INS_V)*INDEX(IdxOV_V,1,MIN(10,DA$136))*(1+V_dMat)/(1-V_Merma)</f>
        <v>0</v>
      </c>
      <c r="DB167" s="34" t="n">
        <f aca="false">SUMPRODUCT(DB140:DB151,INS_V)*INDEX(IdxOV_V,1,MIN(10,DB$136))*(1+V_dMat)/(1-V_Merma)</f>
        <v>0</v>
      </c>
      <c r="DC167" s="34" t="n">
        <f aca="false">SUMPRODUCT(DC140:DC151,INS_V)*INDEX(IdxOV_V,1,MIN(10,DC$136))*(1+V_dMat)/(1-V_Merma)</f>
        <v>0</v>
      </c>
      <c r="DD167" s="34" t="n">
        <f aca="false">SUMPRODUCT(DD140:DD151,INS_V)*INDEX(IdxOV_V,1,MIN(10,DD$136))*(1+V_dMat)/(1-V_Merma)</f>
        <v>0</v>
      </c>
      <c r="DE167" s="34" t="n">
        <f aca="false">SUMPRODUCT(DE140:DE151,INS_V)*INDEX(IdxOV_V,1,MIN(10,DE$136))*(1+V_dMat)/(1-V_Merma)</f>
        <v>0</v>
      </c>
      <c r="DF167" s="34" t="n">
        <f aca="false">SUMPRODUCT(DF140:DF151,INS_V)*INDEX(IdxOV_V,1,MIN(10,DF$136))*(1+V_dMat)/(1-V_Merma)</f>
        <v>0</v>
      </c>
      <c r="DG167" s="34" t="n">
        <f aca="false">SUMPRODUCT(DG140:DG151,INS_V)*INDEX(IdxOV_V,1,MIN(10,DG$136))*(1+V_dMat)/(1-V_Merma)</f>
        <v>0</v>
      </c>
      <c r="DH167" s="34" t="n">
        <f aca="false">SUMPRODUCT(DH140:DH151,INS_V)*INDEX(IdxOV_V,1,MIN(10,DH$136))*(1+V_dMat)/(1-V_Merma)</f>
        <v>0</v>
      </c>
      <c r="DI167" s="34" t="n">
        <f aca="false">SUMPRODUCT(DI140:DI151,INS_V)*INDEX(IdxOV_V,1,MIN(10,DI$136))*(1+V_dMat)/(1-V_Merma)</f>
        <v>0</v>
      </c>
      <c r="DJ167" s="34" t="n">
        <f aca="false">SUMPRODUCT(DJ140:DJ151,INS_V)*INDEX(IdxOV_V,1,MIN(10,DJ$136))*(1+V_dMat)/(1-V_Merma)</f>
        <v>0</v>
      </c>
      <c r="DK167" s="34" t="n">
        <f aca="false">SUMPRODUCT(DK140:DK151,INS_V)*INDEX(IdxOV_V,1,MIN(10,DK$136))*(1+V_dMat)/(1-V_Merma)</f>
        <v>0</v>
      </c>
      <c r="DL167" s="34" t="n">
        <f aca="false">SUMPRODUCT(DL140:DL151,INS_V)*INDEX(IdxOV_V,1,MIN(10,DL$136))*(1+V_dMat)/(1-V_Merma)</f>
        <v>0</v>
      </c>
      <c r="DM167" s="34" t="n">
        <f aca="false">SUMPRODUCT(DM140:DM151,INS_V)*INDEX(IdxOV_V,1,MIN(10,DM$136))*(1+V_dMat)/(1-V_Merma)</f>
        <v>0</v>
      </c>
      <c r="DN167" s="34" t="n">
        <f aca="false">SUMPRODUCT(DN140:DN151,INS_V)*INDEX(IdxOV_V,1,MIN(10,DN$136))*(1+V_dMat)/(1-V_Merma)</f>
        <v>0</v>
      </c>
      <c r="DO167" s="34" t="n">
        <f aca="false">SUMPRODUCT(DO140:DO151,INS_V)*INDEX(IdxOV_V,1,MIN(10,DO$136))*(1+V_dMat)/(1-V_Merma)</f>
        <v>0</v>
      </c>
      <c r="DP167" s="34" t="n">
        <f aca="false">SUMPRODUCT(DP140:DP151,INS_V)*INDEX(IdxOV_V,1,MIN(10,DP$136))*(1+V_dMat)/(1-V_Merma)</f>
        <v>0</v>
      </c>
      <c r="DQ167" s="34" t="n">
        <f aca="false">SUMPRODUCT(DQ140:DQ151,INS_V)*INDEX(IdxOV_V,1,MIN(10,DQ$136))*(1+V_dMat)/(1-V_Merma)</f>
        <v>0</v>
      </c>
      <c r="DR167" s="34" t="n">
        <f aca="false">SUMPRODUCT(DR140:DR151,INS_V)*INDEX(IdxOV_V,1,MIN(10,DR$136))*(1+V_dMat)/(1-V_Merma)</f>
        <v>0</v>
      </c>
      <c r="DS167" s="34" t="n">
        <f aca="false">SUMPRODUCT(DS140:DS151,INS_V)*INDEX(IdxOV_V,1,MIN(10,DS$136))*(1+V_dMat)/(1-V_Merma)</f>
        <v>0</v>
      </c>
      <c r="DT167" s="34" t="n">
        <f aca="false">SUMPRODUCT(DT140:DT151,INS_V)*INDEX(IdxOV_V,1,MIN(10,DT$136))*(1+V_dMat)/(1-V_Merma)</f>
        <v>0</v>
      </c>
      <c r="DU167" s="34" t="n">
        <f aca="false">SUMPRODUCT(DU140:DU151,INS_V)*INDEX(IdxOV_V,1,MIN(10,DU$136))*(1+V_dMat)/(1-V_Merma)</f>
        <v>0</v>
      </c>
      <c r="DV167" s="34" t="n">
        <f aca="false">SUMPRODUCT(DV140:DV151,INS_V)*INDEX(IdxOV_V,1,MIN(10,DV$136))*(1+V_dMat)/(1-V_Merma)</f>
        <v>0</v>
      </c>
      <c r="DW167" s="34" t="n">
        <f aca="false">SUMPRODUCT(DW140:DW151,INS_V)*INDEX(IdxOV_V,1,MIN(10,DW$136))*(1+V_dMat)/(1-V_Merma)</f>
        <v>0</v>
      </c>
      <c r="DX167" s="34" t="n">
        <f aca="false">SUMPRODUCT(DX140:DX151,INS_V)*INDEX(IdxOV_V,1,MIN(10,DX$136))*(1+V_dMat)/(1-V_Merma)</f>
        <v>0</v>
      </c>
      <c r="DY167" s="34" t="n">
        <f aca="false">SUMPRODUCT(DY140:DY151,INS_V)*INDEX(IdxOV_V,1,MIN(10,DY$136))*(1+V_dMat)/(1-V_Merma)</f>
        <v>0</v>
      </c>
      <c r="DZ167" s="34" t="n">
        <f aca="false">SUMPRODUCT(DZ140:DZ151,INS_V)*INDEX(IdxOV_V,1,MIN(10,DZ$136))*(1+V_dMat)/(1-V_Merma)</f>
        <v>0</v>
      </c>
      <c r="EA167" s="34" t="n">
        <f aca="false">SUMPRODUCT(EA140:EA151,INS_V)*INDEX(IdxOV_V,1,MIN(10,EA$136))*(1+V_dMat)/(1-V_Merma)</f>
        <v>0</v>
      </c>
      <c r="EB167" s="34" t="n">
        <f aca="false">SUMPRODUCT(EB140:EB151,INS_V)*INDEX(IdxOV_V,1,MIN(10,EB$136))*(1+V_dMat)/(1-V_Merma)</f>
        <v>0</v>
      </c>
      <c r="EC167" s="34" t="n">
        <f aca="false">SUMPRODUCT(EC140:EC151,INS_V)*INDEX(IdxOV_V,1,MIN(10,EC$136))*(1+V_dMat)/(1-V_Merma)</f>
        <v>0</v>
      </c>
      <c r="ED167" s="34" t="n">
        <f aca="false">SUMPRODUCT(ED140:ED151,INS_V)*INDEX(IdxOV_V,1,MIN(10,ED$136))*(1+V_dMat)/(1-V_Merma)</f>
        <v>0</v>
      </c>
      <c r="EE167" s="34" t="n">
        <f aca="false">SUMPRODUCT(EE140:EE151,INS_V)*INDEX(IdxOV_V,1,MIN(10,EE$136))*(1+V_dMat)/(1-V_Merma)</f>
        <v>0</v>
      </c>
      <c r="EF167" s="34" t="n">
        <f aca="false">SUMPRODUCT(EF140:EF151,INS_V)*INDEX(IdxOV_V,1,MIN(10,EF$136))*(1+V_dMat)/(1-V_Merma)</f>
        <v>0</v>
      </c>
      <c r="EG167" s="34" t="n">
        <f aca="false">SUMPRODUCT(EG140:EG151,INS_V)*INDEX(IdxOV_V,1,MIN(10,EG$136))*(1+V_dMat)/(1-V_Merma)</f>
        <v>0</v>
      </c>
      <c r="EH167" s="34" t="n">
        <f aca="false">SUMPRODUCT(EH140:EH151,INS_V)*INDEX(IdxOV_V,1,MIN(10,EH$136))*(1+V_dMat)/(1-V_Merma)</f>
        <v>0</v>
      </c>
      <c r="EI167" s="34" t="n">
        <f aca="false">SUMPRODUCT(EI140:EI151,INS_V)*INDEX(IdxOV_V,1,MIN(10,EI$136))*(1+V_dMat)/(1-V_Merma)</f>
        <v>0</v>
      </c>
      <c r="EJ167" s="34" t="n">
        <f aca="false">SUMPRODUCT(EJ140:EJ151,INS_V)*INDEX(IdxOV_V,1,MIN(10,EJ$136))*(1+V_dMat)/(1-V_Merma)</f>
        <v>0</v>
      </c>
      <c r="EK167" s="34" t="n">
        <f aca="false">SUMPRODUCT(EK140:EK151,INS_V)*INDEX(IdxOV_V,1,MIN(10,EK$136))*(1+V_dMat)/(1-V_Merma)</f>
        <v>0</v>
      </c>
      <c r="EL167" s="34" t="n">
        <f aca="false">SUMPRODUCT(EL140:EL151,INS_V)*INDEX(IdxOV_V,1,MIN(10,EL$136))*(1+V_dMat)/(1-V_Merma)</f>
        <v>0</v>
      </c>
      <c r="EM167" s="34" t="n">
        <f aca="false">SUMPRODUCT(EM140:EM151,INS_V)*INDEX(IdxOV_V,1,MIN(10,EM$136))*(1+V_dMat)/(1-V_Merma)</f>
        <v>0</v>
      </c>
      <c r="EN167" s="34" t="n">
        <f aca="false">SUMPRODUCT(EN140:EN151,INS_V)*INDEX(IdxOV_V,1,MIN(10,EN$136))*(1+V_dMat)/(1-V_Merma)</f>
        <v>0</v>
      </c>
      <c r="EO167" s="34" t="n">
        <f aca="false">SUMPRODUCT(EO140:EO151,INS_V)*INDEX(IdxOV_V,1,MIN(10,EO$136))*(1+V_dMat)/(1-V_Merma)</f>
        <v>0</v>
      </c>
      <c r="EP167" s="34" t="n">
        <f aca="false">SUMPRODUCT(EP140:EP151,INS_V)*INDEX(IdxOV_V,1,MIN(10,EP$136))*(1+V_dMat)/(1-V_Merma)</f>
        <v>0</v>
      </c>
      <c r="EQ167" s="34" t="n">
        <f aca="false">SUMPRODUCT(EQ140:EQ151,INS_V)*INDEX(IdxOV_V,1,MIN(10,EQ$136))*(1+V_dMat)/(1-V_Merma)</f>
        <v>0</v>
      </c>
      <c r="ER167" s="34" t="n">
        <f aca="false">SUMPRODUCT(ER140:ER151,INS_V)*INDEX(IdxOV_V,1,MIN(10,ER$136))*(1+V_dMat)/(1-V_Merma)</f>
        <v>0</v>
      </c>
      <c r="ES167" s="34" t="n">
        <f aca="false">SUMPRODUCT(ES140:ES151,INS_V)*INDEX(IdxOV_V,1,MIN(10,ES$136))*(1+V_dMat)/(1-V_Merma)</f>
        <v>0</v>
      </c>
    </row>
    <row r="168" customFormat="false" ht="15" hidden="false" customHeight="false" outlineLevel="0" collapsed="false">
      <c r="A168" s="2" t="s">
        <v>646</v>
      </c>
      <c r="B168" s="6" t="s">
        <v>464</v>
      </c>
      <c r="C168" s="6" t="s">
        <v>212</v>
      </c>
      <c r="E168" s="40" t="n">
        <f aca="false">SUM(F168:ES168)</f>
        <v>0</v>
      </c>
      <c r="F168" s="34" t="n">
        <f aca="false">SUMPRODUCT(F140:F151,OV_V)*INDEX(IdxOV_V,1,MIN(10,F$136))*(1+V_dMat)/(1-V_Merma)</f>
        <v>0</v>
      </c>
      <c r="G168" s="34" t="n">
        <f aca="false">SUMPRODUCT(G140:G151,OV_V)*INDEX(IdxOV_V,1,MIN(10,G$136))*(1+V_dMat)/(1-V_Merma)</f>
        <v>0</v>
      </c>
      <c r="H168" s="34" t="n">
        <f aca="false">SUMPRODUCT(H140:H151,OV_V)*INDEX(IdxOV_V,1,MIN(10,H$136))*(1+V_dMat)/(1-V_Merma)</f>
        <v>0</v>
      </c>
      <c r="I168" s="34" t="n">
        <f aca="false">SUMPRODUCT(I140:I151,OV_V)*INDEX(IdxOV_V,1,MIN(10,I$136))*(1+V_dMat)/(1-V_Merma)</f>
        <v>0</v>
      </c>
      <c r="J168" s="34" t="n">
        <f aca="false">SUMPRODUCT(J140:J151,OV_V)*INDEX(IdxOV_V,1,MIN(10,J$136))*(1+V_dMat)/(1-V_Merma)</f>
        <v>0</v>
      </c>
      <c r="K168" s="34" t="n">
        <f aca="false">SUMPRODUCT(K140:K151,OV_V)*INDEX(IdxOV_V,1,MIN(10,K$136))*(1+V_dMat)/(1-V_Merma)</f>
        <v>0</v>
      </c>
      <c r="L168" s="34" t="n">
        <f aca="false">SUMPRODUCT(L140:L151,OV_V)*INDEX(IdxOV_V,1,MIN(10,L$136))*(1+V_dMat)/(1-V_Merma)</f>
        <v>0</v>
      </c>
      <c r="M168" s="34" t="n">
        <f aca="false">SUMPRODUCT(M140:M151,OV_V)*INDEX(IdxOV_V,1,MIN(10,M$136))*(1+V_dMat)/(1-V_Merma)</f>
        <v>0</v>
      </c>
      <c r="N168" s="34" t="n">
        <f aca="false">SUMPRODUCT(N140:N151,OV_V)*INDEX(IdxOV_V,1,MIN(10,N$136))*(1+V_dMat)/(1-V_Merma)</f>
        <v>0</v>
      </c>
      <c r="O168" s="34" t="n">
        <f aca="false">SUMPRODUCT(O140:O151,OV_V)*INDEX(IdxOV_V,1,MIN(10,O$136))*(1+V_dMat)/(1-V_Merma)</f>
        <v>0</v>
      </c>
      <c r="P168" s="34" t="n">
        <f aca="false">SUMPRODUCT(P140:P151,OV_V)*INDEX(IdxOV_V,1,MIN(10,P$136))*(1+V_dMat)/(1-V_Merma)</f>
        <v>0</v>
      </c>
      <c r="Q168" s="34" t="n">
        <f aca="false">SUMPRODUCT(Q140:Q151,OV_V)*INDEX(IdxOV_V,1,MIN(10,Q$136))*(1+V_dMat)/(1-V_Merma)</f>
        <v>0</v>
      </c>
      <c r="R168" s="34" t="n">
        <f aca="false">SUMPRODUCT(R140:R151,OV_V)*INDEX(IdxOV_V,1,MIN(10,R$136))*(1+V_dMat)/(1-V_Merma)</f>
        <v>0</v>
      </c>
      <c r="S168" s="34" t="n">
        <f aca="false">SUMPRODUCT(S140:S151,OV_V)*INDEX(IdxOV_V,1,MIN(10,S$136))*(1+V_dMat)/(1-V_Merma)</f>
        <v>0</v>
      </c>
      <c r="T168" s="34" t="n">
        <f aca="false">SUMPRODUCT(T140:T151,OV_V)*INDEX(IdxOV_V,1,MIN(10,T$136))*(1+V_dMat)/(1-V_Merma)</f>
        <v>0</v>
      </c>
      <c r="U168" s="34" t="n">
        <f aca="false">SUMPRODUCT(U140:U151,OV_V)*INDEX(IdxOV_V,1,MIN(10,U$136))*(1+V_dMat)/(1-V_Merma)</f>
        <v>0</v>
      </c>
      <c r="V168" s="34" t="n">
        <f aca="false">SUMPRODUCT(V140:V151,OV_V)*INDEX(IdxOV_V,1,MIN(10,V$136))*(1+V_dMat)/(1-V_Merma)</f>
        <v>0</v>
      </c>
      <c r="W168" s="34" t="n">
        <f aca="false">SUMPRODUCT(W140:W151,OV_V)*INDEX(IdxOV_V,1,MIN(10,W$136))*(1+V_dMat)/(1-V_Merma)</f>
        <v>0</v>
      </c>
      <c r="X168" s="34" t="n">
        <f aca="false">SUMPRODUCT(X140:X151,OV_V)*INDEX(IdxOV_V,1,MIN(10,X$136))*(1+V_dMat)/(1-V_Merma)</f>
        <v>0</v>
      </c>
      <c r="Y168" s="34" t="n">
        <f aca="false">SUMPRODUCT(Y140:Y151,OV_V)*INDEX(IdxOV_V,1,MIN(10,Y$136))*(1+V_dMat)/(1-V_Merma)</f>
        <v>0</v>
      </c>
      <c r="Z168" s="34" t="n">
        <f aca="false">SUMPRODUCT(Z140:Z151,OV_V)*INDEX(IdxOV_V,1,MIN(10,Z$136))*(1+V_dMat)/(1-V_Merma)</f>
        <v>0</v>
      </c>
      <c r="AA168" s="34" t="n">
        <f aca="false">SUMPRODUCT(AA140:AA151,OV_V)*INDEX(IdxOV_V,1,MIN(10,AA$136))*(1+V_dMat)/(1-V_Merma)</f>
        <v>0</v>
      </c>
      <c r="AB168" s="34" t="n">
        <f aca="false">SUMPRODUCT(AB140:AB151,OV_V)*INDEX(IdxOV_V,1,MIN(10,AB$136))*(1+V_dMat)/(1-V_Merma)</f>
        <v>0</v>
      </c>
      <c r="AC168" s="34" t="n">
        <f aca="false">SUMPRODUCT(AC140:AC151,OV_V)*INDEX(IdxOV_V,1,MIN(10,AC$136))*(1+V_dMat)/(1-V_Merma)</f>
        <v>0</v>
      </c>
      <c r="AD168" s="34" t="n">
        <f aca="false">SUMPRODUCT(AD140:AD151,OV_V)*INDEX(IdxOV_V,1,MIN(10,AD$136))*(1+V_dMat)/(1-V_Merma)</f>
        <v>0</v>
      </c>
      <c r="AE168" s="34" t="n">
        <f aca="false">SUMPRODUCT(AE140:AE151,OV_V)*INDEX(IdxOV_V,1,MIN(10,AE$136))*(1+V_dMat)/(1-V_Merma)</f>
        <v>0</v>
      </c>
      <c r="AF168" s="34" t="n">
        <f aca="false">SUMPRODUCT(AF140:AF151,OV_V)*INDEX(IdxOV_V,1,MIN(10,AF$136))*(1+V_dMat)/(1-V_Merma)</f>
        <v>0</v>
      </c>
      <c r="AG168" s="34" t="n">
        <f aca="false">SUMPRODUCT(AG140:AG151,OV_V)*INDEX(IdxOV_V,1,MIN(10,AG$136))*(1+V_dMat)/(1-V_Merma)</f>
        <v>0</v>
      </c>
      <c r="AH168" s="34" t="n">
        <f aca="false">SUMPRODUCT(AH140:AH151,OV_V)*INDEX(IdxOV_V,1,MIN(10,AH$136))*(1+V_dMat)/(1-V_Merma)</f>
        <v>0</v>
      </c>
      <c r="AI168" s="34" t="n">
        <f aca="false">SUMPRODUCT(AI140:AI151,OV_V)*INDEX(IdxOV_V,1,MIN(10,AI$136))*(1+V_dMat)/(1-V_Merma)</f>
        <v>0</v>
      </c>
      <c r="AJ168" s="34" t="n">
        <f aca="false">SUMPRODUCT(AJ140:AJ151,OV_V)*INDEX(IdxOV_V,1,MIN(10,AJ$136))*(1+V_dMat)/(1-V_Merma)</f>
        <v>0</v>
      </c>
      <c r="AK168" s="34" t="n">
        <f aca="false">SUMPRODUCT(AK140:AK151,OV_V)*INDEX(IdxOV_V,1,MIN(10,AK$136))*(1+V_dMat)/(1-V_Merma)</f>
        <v>0</v>
      </c>
      <c r="AL168" s="34" t="n">
        <f aca="false">SUMPRODUCT(AL140:AL151,OV_V)*INDEX(IdxOV_V,1,MIN(10,AL$136))*(1+V_dMat)/(1-V_Merma)</f>
        <v>0</v>
      </c>
      <c r="AM168" s="34" t="n">
        <f aca="false">SUMPRODUCT(AM140:AM151,OV_V)*INDEX(IdxOV_V,1,MIN(10,AM$136))*(1+V_dMat)/(1-V_Merma)</f>
        <v>0</v>
      </c>
      <c r="AN168" s="34" t="n">
        <f aca="false">SUMPRODUCT(AN140:AN151,OV_V)*INDEX(IdxOV_V,1,MIN(10,AN$136))*(1+V_dMat)/(1-V_Merma)</f>
        <v>0</v>
      </c>
      <c r="AO168" s="34" t="n">
        <f aca="false">SUMPRODUCT(AO140:AO151,OV_V)*INDEX(IdxOV_V,1,MIN(10,AO$136))*(1+V_dMat)/(1-V_Merma)</f>
        <v>0</v>
      </c>
      <c r="AP168" s="34" t="n">
        <f aca="false">SUMPRODUCT(AP140:AP151,OV_V)*INDEX(IdxOV_V,1,MIN(10,AP$136))*(1+V_dMat)/(1-V_Merma)</f>
        <v>0</v>
      </c>
      <c r="AQ168" s="34" t="n">
        <f aca="false">SUMPRODUCT(AQ140:AQ151,OV_V)*INDEX(IdxOV_V,1,MIN(10,AQ$136))*(1+V_dMat)/(1-V_Merma)</f>
        <v>0</v>
      </c>
      <c r="AR168" s="34" t="n">
        <f aca="false">SUMPRODUCT(AR140:AR151,OV_V)*INDEX(IdxOV_V,1,MIN(10,AR$136))*(1+V_dMat)/(1-V_Merma)</f>
        <v>0</v>
      </c>
      <c r="AS168" s="34" t="n">
        <f aca="false">SUMPRODUCT(AS140:AS151,OV_V)*INDEX(IdxOV_V,1,MIN(10,AS$136))*(1+V_dMat)/(1-V_Merma)</f>
        <v>0</v>
      </c>
      <c r="AT168" s="34" t="n">
        <f aca="false">SUMPRODUCT(AT140:AT151,OV_V)*INDEX(IdxOV_V,1,MIN(10,AT$136))*(1+V_dMat)/(1-V_Merma)</f>
        <v>0</v>
      </c>
      <c r="AU168" s="34" t="n">
        <f aca="false">SUMPRODUCT(AU140:AU151,OV_V)*INDEX(IdxOV_V,1,MIN(10,AU$136))*(1+V_dMat)/(1-V_Merma)</f>
        <v>0</v>
      </c>
      <c r="AV168" s="34" t="n">
        <f aca="false">SUMPRODUCT(AV140:AV151,OV_V)*INDEX(IdxOV_V,1,MIN(10,AV$136))*(1+V_dMat)/(1-V_Merma)</f>
        <v>0</v>
      </c>
      <c r="AW168" s="34" t="n">
        <f aca="false">SUMPRODUCT(AW140:AW151,OV_V)*INDEX(IdxOV_V,1,MIN(10,AW$136))*(1+V_dMat)/(1-V_Merma)</f>
        <v>0</v>
      </c>
      <c r="AX168" s="34" t="n">
        <f aca="false">SUMPRODUCT(AX140:AX151,OV_V)*INDEX(IdxOV_V,1,MIN(10,AX$136))*(1+V_dMat)/(1-V_Merma)</f>
        <v>0</v>
      </c>
      <c r="AY168" s="34" t="n">
        <f aca="false">SUMPRODUCT(AY140:AY151,OV_V)*INDEX(IdxOV_V,1,MIN(10,AY$136))*(1+V_dMat)/(1-V_Merma)</f>
        <v>0</v>
      </c>
      <c r="AZ168" s="34" t="n">
        <f aca="false">SUMPRODUCT(AZ140:AZ151,OV_V)*INDEX(IdxOV_V,1,MIN(10,AZ$136))*(1+V_dMat)/(1-V_Merma)</f>
        <v>0</v>
      </c>
      <c r="BA168" s="34" t="n">
        <f aca="false">SUMPRODUCT(BA140:BA151,OV_V)*INDEX(IdxOV_V,1,MIN(10,BA$136))*(1+V_dMat)/(1-V_Merma)</f>
        <v>0</v>
      </c>
      <c r="BB168" s="34" t="n">
        <f aca="false">SUMPRODUCT(BB140:BB151,OV_V)*INDEX(IdxOV_V,1,MIN(10,BB$136))*(1+V_dMat)/(1-V_Merma)</f>
        <v>0</v>
      </c>
      <c r="BC168" s="34" t="n">
        <f aca="false">SUMPRODUCT(BC140:BC151,OV_V)*INDEX(IdxOV_V,1,MIN(10,BC$136))*(1+V_dMat)/(1-V_Merma)</f>
        <v>0</v>
      </c>
      <c r="BD168" s="34" t="n">
        <f aca="false">SUMPRODUCT(BD140:BD151,OV_V)*INDEX(IdxOV_V,1,MIN(10,BD$136))*(1+V_dMat)/(1-V_Merma)</f>
        <v>0</v>
      </c>
      <c r="BE168" s="34" t="n">
        <f aca="false">SUMPRODUCT(BE140:BE151,OV_V)*INDEX(IdxOV_V,1,MIN(10,BE$136))*(1+V_dMat)/(1-V_Merma)</f>
        <v>0</v>
      </c>
      <c r="BF168" s="34" t="n">
        <f aca="false">SUMPRODUCT(BF140:BF151,OV_V)*INDEX(IdxOV_V,1,MIN(10,BF$136))*(1+V_dMat)/(1-V_Merma)</f>
        <v>0</v>
      </c>
      <c r="BG168" s="34" t="n">
        <f aca="false">SUMPRODUCT(BG140:BG151,OV_V)*INDEX(IdxOV_V,1,MIN(10,BG$136))*(1+V_dMat)/(1-V_Merma)</f>
        <v>0</v>
      </c>
      <c r="BH168" s="34" t="n">
        <f aca="false">SUMPRODUCT(BH140:BH151,OV_V)*INDEX(IdxOV_V,1,MIN(10,BH$136))*(1+V_dMat)/(1-V_Merma)</f>
        <v>0</v>
      </c>
      <c r="BI168" s="34" t="n">
        <f aca="false">SUMPRODUCT(BI140:BI151,OV_V)*INDEX(IdxOV_V,1,MIN(10,BI$136))*(1+V_dMat)/(1-V_Merma)</f>
        <v>0</v>
      </c>
      <c r="BJ168" s="34" t="n">
        <f aca="false">SUMPRODUCT(BJ140:BJ151,OV_V)*INDEX(IdxOV_V,1,MIN(10,BJ$136))*(1+V_dMat)/(1-V_Merma)</f>
        <v>0</v>
      </c>
      <c r="BK168" s="34" t="n">
        <f aca="false">SUMPRODUCT(BK140:BK151,OV_V)*INDEX(IdxOV_V,1,MIN(10,BK$136))*(1+V_dMat)/(1-V_Merma)</f>
        <v>0</v>
      </c>
      <c r="BL168" s="34" t="n">
        <f aca="false">SUMPRODUCT(BL140:BL151,OV_V)*INDEX(IdxOV_V,1,MIN(10,BL$136))*(1+V_dMat)/(1-V_Merma)</f>
        <v>0</v>
      </c>
      <c r="BM168" s="34" t="n">
        <f aca="false">SUMPRODUCT(BM140:BM151,OV_V)*INDEX(IdxOV_V,1,MIN(10,BM$136))*(1+V_dMat)/(1-V_Merma)</f>
        <v>0</v>
      </c>
      <c r="BN168" s="34" t="n">
        <f aca="false">SUMPRODUCT(BN140:BN151,OV_V)*INDEX(IdxOV_V,1,MIN(10,BN$136))*(1+V_dMat)/(1-V_Merma)</f>
        <v>0</v>
      </c>
      <c r="BO168" s="34" t="n">
        <f aca="false">SUMPRODUCT(BO140:BO151,OV_V)*INDEX(IdxOV_V,1,MIN(10,BO$136))*(1+V_dMat)/(1-V_Merma)</f>
        <v>0</v>
      </c>
      <c r="BP168" s="34" t="n">
        <f aca="false">SUMPRODUCT(BP140:BP151,OV_V)*INDEX(IdxOV_V,1,MIN(10,BP$136))*(1+V_dMat)/(1-V_Merma)</f>
        <v>0</v>
      </c>
      <c r="BQ168" s="34" t="n">
        <f aca="false">SUMPRODUCT(BQ140:BQ151,OV_V)*INDEX(IdxOV_V,1,MIN(10,BQ$136))*(1+V_dMat)/(1-V_Merma)</f>
        <v>0</v>
      </c>
      <c r="BR168" s="34" t="n">
        <f aca="false">SUMPRODUCT(BR140:BR151,OV_V)*INDEX(IdxOV_V,1,MIN(10,BR$136))*(1+V_dMat)/(1-V_Merma)</f>
        <v>0</v>
      </c>
      <c r="BS168" s="34" t="n">
        <f aca="false">SUMPRODUCT(BS140:BS151,OV_V)*INDEX(IdxOV_V,1,MIN(10,BS$136))*(1+V_dMat)/(1-V_Merma)</f>
        <v>0</v>
      </c>
      <c r="BT168" s="34" t="n">
        <f aca="false">SUMPRODUCT(BT140:BT151,OV_V)*INDEX(IdxOV_V,1,MIN(10,BT$136))*(1+V_dMat)/(1-V_Merma)</f>
        <v>0</v>
      </c>
      <c r="BU168" s="34" t="n">
        <f aca="false">SUMPRODUCT(BU140:BU151,OV_V)*INDEX(IdxOV_V,1,MIN(10,BU$136))*(1+V_dMat)/(1-V_Merma)</f>
        <v>0</v>
      </c>
      <c r="BV168" s="34" t="n">
        <f aca="false">SUMPRODUCT(BV140:BV151,OV_V)*INDEX(IdxOV_V,1,MIN(10,BV$136))*(1+V_dMat)/(1-V_Merma)</f>
        <v>0</v>
      </c>
      <c r="BW168" s="34" t="n">
        <f aca="false">SUMPRODUCT(BW140:BW151,OV_V)*INDEX(IdxOV_V,1,MIN(10,BW$136))*(1+V_dMat)/(1-V_Merma)</f>
        <v>0</v>
      </c>
      <c r="BX168" s="34" t="n">
        <f aca="false">SUMPRODUCT(BX140:BX151,OV_V)*INDEX(IdxOV_V,1,MIN(10,BX$136))*(1+V_dMat)/(1-V_Merma)</f>
        <v>0</v>
      </c>
      <c r="BY168" s="34" t="n">
        <f aca="false">SUMPRODUCT(BY140:BY151,OV_V)*INDEX(IdxOV_V,1,MIN(10,BY$136))*(1+V_dMat)/(1-V_Merma)</f>
        <v>0</v>
      </c>
      <c r="BZ168" s="34" t="n">
        <f aca="false">SUMPRODUCT(BZ140:BZ151,OV_V)*INDEX(IdxOV_V,1,MIN(10,BZ$136))*(1+V_dMat)/(1-V_Merma)</f>
        <v>0</v>
      </c>
      <c r="CA168" s="34" t="n">
        <f aca="false">SUMPRODUCT(CA140:CA151,OV_V)*INDEX(IdxOV_V,1,MIN(10,CA$136))*(1+V_dMat)/(1-V_Merma)</f>
        <v>0</v>
      </c>
      <c r="CB168" s="34" t="n">
        <f aca="false">SUMPRODUCT(CB140:CB151,OV_V)*INDEX(IdxOV_V,1,MIN(10,CB$136))*(1+V_dMat)/(1-V_Merma)</f>
        <v>0</v>
      </c>
      <c r="CC168" s="34" t="n">
        <f aca="false">SUMPRODUCT(CC140:CC151,OV_V)*INDEX(IdxOV_V,1,MIN(10,CC$136))*(1+V_dMat)/(1-V_Merma)</f>
        <v>0</v>
      </c>
      <c r="CD168" s="34" t="n">
        <f aca="false">SUMPRODUCT(CD140:CD151,OV_V)*INDEX(IdxOV_V,1,MIN(10,CD$136))*(1+V_dMat)/(1-V_Merma)</f>
        <v>0</v>
      </c>
      <c r="CE168" s="34" t="n">
        <f aca="false">SUMPRODUCT(CE140:CE151,OV_V)*INDEX(IdxOV_V,1,MIN(10,CE$136))*(1+V_dMat)/(1-V_Merma)</f>
        <v>0</v>
      </c>
      <c r="CF168" s="34" t="n">
        <f aca="false">SUMPRODUCT(CF140:CF151,OV_V)*INDEX(IdxOV_V,1,MIN(10,CF$136))*(1+V_dMat)/(1-V_Merma)</f>
        <v>0</v>
      </c>
      <c r="CG168" s="34" t="n">
        <f aca="false">SUMPRODUCT(CG140:CG151,OV_V)*INDEX(IdxOV_V,1,MIN(10,CG$136))*(1+V_dMat)/(1-V_Merma)</f>
        <v>0</v>
      </c>
      <c r="CH168" s="34" t="n">
        <f aca="false">SUMPRODUCT(CH140:CH151,OV_V)*INDEX(IdxOV_V,1,MIN(10,CH$136))*(1+V_dMat)/(1-V_Merma)</f>
        <v>0</v>
      </c>
      <c r="CI168" s="34" t="n">
        <f aca="false">SUMPRODUCT(CI140:CI151,OV_V)*INDEX(IdxOV_V,1,MIN(10,CI$136))*(1+V_dMat)/(1-V_Merma)</f>
        <v>0</v>
      </c>
      <c r="CJ168" s="34" t="n">
        <f aca="false">SUMPRODUCT(CJ140:CJ151,OV_V)*INDEX(IdxOV_V,1,MIN(10,CJ$136))*(1+V_dMat)/(1-V_Merma)</f>
        <v>0</v>
      </c>
      <c r="CK168" s="34" t="n">
        <f aca="false">SUMPRODUCT(CK140:CK151,OV_V)*INDEX(IdxOV_V,1,MIN(10,CK$136))*(1+V_dMat)/(1-V_Merma)</f>
        <v>0</v>
      </c>
      <c r="CL168" s="34" t="n">
        <f aca="false">SUMPRODUCT(CL140:CL151,OV_V)*INDEX(IdxOV_V,1,MIN(10,CL$136))*(1+V_dMat)/(1-V_Merma)</f>
        <v>0</v>
      </c>
      <c r="CM168" s="34" t="n">
        <f aca="false">SUMPRODUCT(CM140:CM151,OV_V)*INDEX(IdxOV_V,1,MIN(10,CM$136))*(1+V_dMat)/(1-V_Merma)</f>
        <v>0</v>
      </c>
      <c r="CN168" s="34" t="n">
        <f aca="false">SUMPRODUCT(CN140:CN151,OV_V)*INDEX(IdxOV_V,1,MIN(10,CN$136))*(1+V_dMat)/(1-V_Merma)</f>
        <v>0</v>
      </c>
      <c r="CO168" s="34" t="n">
        <f aca="false">SUMPRODUCT(CO140:CO151,OV_V)*INDEX(IdxOV_V,1,MIN(10,CO$136))*(1+V_dMat)/(1-V_Merma)</f>
        <v>0</v>
      </c>
      <c r="CP168" s="34" t="n">
        <f aca="false">SUMPRODUCT(CP140:CP151,OV_V)*INDEX(IdxOV_V,1,MIN(10,CP$136))*(1+V_dMat)/(1-V_Merma)</f>
        <v>0</v>
      </c>
      <c r="CQ168" s="34" t="n">
        <f aca="false">SUMPRODUCT(CQ140:CQ151,OV_V)*INDEX(IdxOV_V,1,MIN(10,CQ$136))*(1+V_dMat)/(1-V_Merma)</f>
        <v>0</v>
      </c>
      <c r="CR168" s="34" t="n">
        <f aca="false">SUMPRODUCT(CR140:CR151,OV_V)*INDEX(IdxOV_V,1,MIN(10,CR$136))*(1+V_dMat)/(1-V_Merma)</f>
        <v>0</v>
      </c>
      <c r="CS168" s="34" t="n">
        <f aca="false">SUMPRODUCT(CS140:CS151,OV_V)*INDEX(IdxOV_V,1,MIN(10,CS$136))*(1+V_dMat)/(1-V_Merma)</f>
        <v>0</v>
      </c>
      <c r="CT168" s="34" t="n">
        <f aca="false">SUMPRODUCT(CT140:CT151,OV_V)*INDEX(IdxOV_V,1,MIN(10,CT$136))*(1+V_dMat)/(1-V_Merma)</f>
        <v>0</v>
      </c>
      <c r="CU168" s="34" t="n">
        <f aca="false">SUMPRODUCT(CU140:CU151,OV_V)*INDEX(IdxOV_V,1,MIN(10,CU$136))*(1+V_dMat)/(1-V_Merma)</f>
        <v>0</v>
      </c>
      <c r="CV168" s="34" t="n">
        <f aca="false">SUMPRODUCT(CV140:CV151,OV_V)*INDEX(IdxOV_V,1,MIN(10,CV$136))*(1+V_dMat)/(1-V_Merma)</f>
        <v>0</v>
      </c>
      <c r="CW168" s="34" t="n">
        <f aca="false">SUMPRODUCT(CW140:CW151,OV_V)*INDEX(IdxOV_V,1,MIN(10,CW$136))*(1+V_dMat)/(1-V_Merma)</f>
        <v>0</v>
      </c>
      <c r="CX168" s="34" t="n">
        <f aca="false">SUMPRODUCT(CX140:CX151,OV_V)*INDEX(IdxOV_V,1,MIN(10,CX$136))*(1+V_dMat)/(1-V_Merma)</f>
        <v>0</v>
      </c>
      <c r="CY168" s="34" t="n">
        <f aca="false">SUMPRODUCT(CY140:CY151,OV_V)*INDEX(IdxOV_V,1,MIN(10,CY$136))*(1+V_dMat)/(1-V_Merma)</f>
        <v>0</v>
      </c>
      <c r="CZ168" s="34" t="n">
        <f aca="false">SUMPRODUCT(CZ140:CZ151,OV_V)*INDEX(IdxOV_V,1,MIN(10,CZ$136))*(1+V_dMat)/(1-V_Merma)</f>
        <v>0</v>
      </c>
      <c r="DA168" s="34" t="n">
        <f aca="false">SUMPRODUCT(DA140:DA151,OV_V)*INDEX(IdxOV_V,1,MIN(10,DA$136))*(1+V_dMat)/(1-V_Merma)</f>
        <v>0</v>
      </c>
      <c r="DB168" s="34" t="n">
        <f aca="false">SUMPRODUCT(DB140:DB151,OV_V)*INDEX(IdxOV_V,1,MIN(10,DB$136))*(1+V_dMat)/(1-V_Merma)</f>
        <v>0</v>
      </c>
      <c r="DC168" s="34" t="n">
        <f aca="false">SUMPRODUCT(DC140:DC151,OV_V)*INDEX(IdxOV_V,1,MIN(10,DC$136))*(1+V_dMat)/(1-V_Merma)</f>
        <v>0</v>
      </c>
      <c r="DD168" s="34" t="n">
        <f aca="false">SUMPRODUCT(DD140:DD151,OV_V)*INDEX(IdxOV_V,1,MIN(10,DD$136))*(1+V_dMat)/(1-V_Merma)</f>
        <v>0</v>
      </c>
      <c r="DE168" s="34" t="n">
        <f aca="false">SUMPRODUCT(DE140:DE151,OV_V)*INDEX(IdxOV_V,1,MIN(10,DE$136))*(1+V_dMat)/(1-V_Merma)</f>
        <v>0</v>
      </c>
      <c r="DF168" s="34" t="n">
        <f aca="false">SUMPRODUCT(DF140:DF151,OV_V)*INDEX(IdxOV_V,1,MIN(10,DF$136))*(1+V_dMat)/(1-V_Merma)</f>
        <v>0</v>
      </c>
      <c r="DG168" s="34" t="n">
        <f aca="false">SUMPRODUCT(DG140:DG151,OV_V)*INDEX(IdxOV_V,1,MIN(10,DG$136))*(1+V_dMat)/(1-V_Merma)</f>
        <v>0</v>
      </c>
      <c r="DH168" s="34" t="n">
        <f aca="false">SUMPRODUCT(DH140:DH151,OV_V)*INDEX(IdxOV_V,1,MIN(10,DH$136))*(1+V_dMat)/(1-V_Merma)</f>
        <v>0</v>
      </c>
      <c r="DI168" s="34" t="n">
        <f aca="false">SUMPRODUCT(DI140:DI151,OV_V)*INDEX(IdxOV_V,1,MIN(10,DI$136))*(1+V_dMat)/(1-V_Merma)</f>
        <v>0</v>
      </c>
      <c r="DJ168" s="34" t="n">
        <f aca="false">SUMPRODUCT(DJ140:DJ151,OV_V)*INDEX(IdxOV_V,1,MIN(10,DJ$136))*(1+V_dMat)/(1-V_Merma)</f>
        <v>0</v>
      </c>
      <c r="DK168" s="34" t="n">
        <f aca="false">SUMPRODUCT(DK140:DK151,OV_V)*INDEX(IdxOV_V,1,MIN(10,DK$136))*(1+V_dMat)/(1-V_Merma)</f>
        <v>0</v>
      </c>
      <c r="DL168" s="34" t="n">
        <f aca="false">SUMPRODUCT(DL140:DL151,OV_V)*INDEX(IdxOV_V,1,MIN(10,DL$136))*(1+V_dMat)/(1-V_Merma)</f>
        <v>0</v>
      </c>
      <c r="DM168" s="34" t="n">
        <f aca="false">SUMPRODUCT(DM140:DM151,OV_V)*INDEX(IdxOV_V,1,MIN(10,DM$136))*(1+V_dMat)/(1-V_Merma)</f>
        <v>0</v>
      </c>
      <c r="DN168" s="34" t="n">
        <f aca="false">SUMPRODUCT(DN140:DN151,OV_V)*INDEX(IdxOV_V,1,MIN(10,DN$136))*(1+V_dMat)/(1-V_Merma)</f>
        <v>0</v>
      </c>
      <c r="DO168" s="34" t="n">
        <f aca="false">SUMPRODUCT(DO140:DO151,OV_V)*INDEX(IdxOV_V,1,MIN(10,DO$136))*(1+V_dMat)/(1-V_Merma)</f>
        <v>0</v>
      </c>
      <c r="DP168" s="34" t="n">
        <f aca="false">SUMPRODUCT(DP140:DP151,OV_V)*INDEX(IdxOV_V,1,MIN(10,DP$136))*(1+V_dMat)/(1-V_Merma)</f>
        <v>0</v>
      </c>
      <c r="DQ168" s="34" t="n">
        <f aca="false">SUMPRODUCT(DQ140:DQ151,OV_V)*INDEX(IdxOV_V,1,MIN(10,DQ$136))*(1+V_dMat)/(1-V_Merma)</f>
        <v>0</v>
      </c>
      <c r="DR168" s="34" t="n">
        <f aca="false">SUMPRODUCT(DR140:DR151,OV_V)*INDEX(IdxOV_V,1,MIN(10,DR$136))*(1+V_dMat)/(1-V_Merma)</f>
        <v>0</v>
      </c>
      <c r="DS168" s="34" t="n">
        <f aca="false">SUMPRODUCT(DS140:DS151,OV_V)*INDEX(IdxOV_V,1,MIN(10,DS$136))*(1+V_dMat)/(1-V_Merma)</f>
        <v>0</v>
      </c>
      <c r="DT168" s="34" t="n">
        <f aca="false">SUMPRODUCT(DT140:DT151,OV_V)*INDEX(IdxOV_V,1,MIN(10,DT$136))*(1+V_dMat)/(1-V_Merma)</f>
        <v>0</v>
      </c>
      <c r="DU168" s="34" t="n">
        <f aca="false">SUMPRODUCT(DU140:DU151,OV_V)*INDEX(IdxOV_V,1,MIN(10,DU$136))*(1+V_dMat)/(1-V_Merma)</f>
        <v>0</v>
      </c>
      <c r="DV168" s="34" t="n">
        <f aca="false">SUMPRODUCT(DV140:DV151,OV_V)*INDEX(IdxOV_V,1,MIN(10,DV$136))*(1+V_dMat)/(1-V_Merma)</f>
        <v>0</v>
      </c>
      <c r="DW168" s="34" t="n">
        <f aca="false">SUMPRODUCT(DW140:DW151,OV_V)*INDEX(IdxOV_V,1,MIN(10,DW$136))*(1+V_dMat)/(1-V_Merma)</f>
        <v>0</v>
      </c>
      <c r="DX168" s="34" t="n">
        <f aca="false">SUMPRODUCT(DX140:DX151,OV_V)*INDEX(IdxOV_V,1,MIN(10,DX$136))*(1+V_dMat)/(1-V_Merma)</f>
        <v>0</v>
      </c>
      <c r="DY168" s="34" t="n">
        <f aca="false">SUMPRODUCT(DY140:DY151,OV_V)*INDEX(IdxOV_V,1,MIN(10,DY$136))*(1+V_dMat)/(1-V_Merma)</f>
        <v>0</v>
      </c>
      <c r="DZ168" s="34" t="n">
        <f aca="false">SUMPRODUCT(DZ140:DZ151,OV_V)*INDEX(IdxOV_V,1,MIN(10,DZ$136))*(1+V_dMat)/(1-V_Merma)</f>
        <v>0</v>
      </c>
      <c r="EA168" s="34" t="n">
        <f aca="false">SUMPRODUCT(EA140:EA151,OV_V)*INDEX(IdxOV_V,1,MIN(10,EA$136))*(1+V_dMat)/(1-V_Merma)</f>
        <v>0</v>
      </c>
      <c r="EB168" s="34" t="n">
        <f aca="false">SUMPRODUCT(EB140:EB151,OV_V)*INDEX(IdxOV_V,1,MIN(10,EB$136))*(1+V_dMat)/(1-V_Merma)</f>
        <v>0</v>
      </c>
      <c r="EC168" s="34" t="n">
        <f aca="false">SUMPRODUCT(EC140:EC151,OV_V)*INDEX(IdxOV_V,1,MIN(10,EC$136))*(1+V_dMat)/(1-V_Merma)</f>
        <v>0</v>
      </c>
      <c r="ED168" s="34" t="n">
        <f aca="false">SUMPRODUCT(ED140:ED151,OV_V)*INDEX(IdxOV_V,1,MIN(10,ED$136))*(1+V_dMat)/(1-V_Merma)</f>
        <v>0</v>
      </c>
      <c r="EE168" s="34" t="n">
        <f aca="false">SUMPRODUCT(EE140:EE151,OV_V)*INDEX(IdxOV_V,1,MIN(10,EE$136))*(1+V_dMat)/(1-V_Merma)</f>
        <v>0</v>
      </c>
      <c r="EF168" s="34" t="n">
        <f aca="false">SUMPRODUCT(EF140:EF151,OV_V)*INDEX(IdxOV_V,1,MIN(10,EF$136))*(1+V_dMat)/(1-V_Merma)</f>
        <v>0</v>
      </c>
      <c r="EG168" s="34" t="n">
        <f aca="false">SUMPRODUCT(EG140:EG151,OV_V)*INDEX(IdxOV_V,1,MIN(10,EG$136))*(1+V_dMat)/(1-V_Merma)</f>
        <v>0</v>
      </c>
      <c r="EH168" s="34" t="n">
        <f aca="false">SUMPRODUCT(EH140:EH151,OV_V)*INDEX(IdxOV_V,1,MIN(10,EH$136))*(1+V_dMat)/(1-V_Merma)</f>
        <v>0</v>
      </c>
      <c r="EI168" s="34" t="n">
        <f aca="false">SUMPRODUCT(EI140:EI151,OV_V)*INDEX(IdxOV_V,1,MIN(10,EI$136))*(1+V_dMat)/(1-V_Merma)</f>
        <v>0</v>
      </c>
      <c r="EJ168" s="34" t="n">
        <f aca="false">SUMPRODUCT(EJ140:EJ151,OV_V)*INDEX(IdxOV_V,1,MIN(10,EJ$136))*(1+V_dMat)/(1-V_Merma)</f>
        <v>0</v>
      </c>
      <c r="EK168" s="34" t="n">
        <f aca="false">SUMPRODUCT(EK140:EK151,OV_V)*INDEX(IdxOV_V,1,MIN(10,EK$136))*(1+V_dMat)/(1-V_Merma)</f>
        <v>0</v>
      </c>
      <c r="EL168" s="34" t="n">
        <f aca="false">SUMPRODUCT(EL140:EL151,OV_V)*INDEX(IdxOV_V,1,MIN(10,EL$136))*(1+V_dMat)/(1-V_Merma)</f>
        <v>0</v>
      </c>
      <c r="EM168" s="34" t="n">
        <f aca="false">SUMPRODUCT(EM140:EM151,OV_V)*INDEX(IdxOV_V,1,MIN(10,EM$136))*(1+V_dMat)/(1-V_Merma)</f>
        <v>0</v>
      </c>
      <c r="EN168" s="34" t="n">
        <f aca="false">SUMPRODUCT(EN140:EN151,OV_V)*INDEX(IdxOV_V,1,MIN(10,EN$136))*(1+V_dMat)/(1-V_Merma)</f>
        <v>0</v>
      </c>
      <c r="EO168" s="34" t="n">
        <f aca="false">SUMPRODUCT(EO140:EO151,OV_V)*INDEX(IdxOV_V,1,MIN(10,EO$136))*(1+V_dMat)/(1-V_Merma)</f>
        <v>0</v>
      </c>
      <c r="EP168" s="34" t="n">
        <f aca="false">SUMPRODUCT(EP140:EP151,OV_V)*INDEX(IdxOV_V,1,MIN(10,EP$136))*(1+V_dMat)/(1-V_Merma)</f>
        <v>0</v>
      </c>
      <c r="EQ168" s="34" t="n">
        <f aca="false">SUMPRODUCT(EQ140:EQ151,OV_V)*INDEX(IdxOV_V,1,MIN(10,EQ$136))*(1+V_dMat)/(1-V_Merma)</f>
        <v>0</v>
      </c>
      <c r="ER168" s="34" t="n">
        <f aca="false">SUMPRODUCT(ER140:ER151,OV_V)*INDEX(IdxOV_V,1,MIN(10,ER$136))*(1+V_dMat)/(1-V_Merma)</f>
        <v>0</v>
      </c>
      <c r="ES168" s="34" t="n">
        <f aca="false">SUMPRODUCT(ES140:ES151,OV_V)*INDEX(IdxOV_V,1,MIN(10,ES$136))*(1+V_dMat)/(1-V_Merma)</f>
        <v>0</v>
      </c>
    </row>
    <row r="169" customFormat="false" ht="15" hidden="false" customHeight="false" outlineLevel="0" collapsed="false">
      <c r="A169" s="2" t="s">
        <v>647</v>
      </c>
      <c r="B169" s="6" t="s">
        <v>466</v>
      </c>
      <c r="C169" s="6" t="s">
        <v>212</v>
      </c>
      <c r="E169" s="40" t="n">
        <f aca="false">SUM(F169:ES169)</f>
        <v>0</v>
      </c>
      <c r="F169" s="34" t="n">
        <f aca="false">V_Desp*(F$166+F$167)</f>
        <v>0</v>
      </c>
      <c r="G169" s="34" t="n">
        <f aca="false">V_Desp*(G$166+G$167)</f>
        <v>0</v>
      </c>
      <c r="H169" s="34" t="n">
        <f aca="false">V_Desp*(H$166+H$167)</f>
        <v>0</v>
      </c>
      <c r="I169" s="34" t="n">
        <f aca="false">V_Desp*(I$166+I$167)</f>
        <v>0</v>
      </c>
      <c r="J169" s="34" t="n">
        <f aca="false">V_Desp*(J$166+J$167)</f>
        <v>0</v>
      </c>
      <c r="K169" s="34" t="n">
        <f aca="false">V_Desp*(K$166+K$167)</f>
        <v>0</v>
      </c>
      <c r="L169" s="34" t="n">
        <f aca="false">V_Desp*(L$166+L$167)</f>
        <v>0</v>
      </c>
      <c r="M169" s="34" t="n">
        <f aca="false">V_Desp*(M$166+M$167)</f>
        <v>0</v>
      </c>
      <c r="N169" s="34" t="n">
        <f aca="false">V_Desp*(N$166+N$167)</f>
        <v>0</v>
      </c>
      <c r="O169" s="34" t="n">
        <f aca="false">V_Desp*(O$166+O$167)</f>
        <v>0</v>
      </c>
      <c r="P169" s="34" t="n">
        <f aca="false">V_Desp*(P$166+P$167)</f>
        <v>0</v>
      </c>
      <c r="Q169" s="34" t="n">
        <f aca="false">V_Desp*(Q$166+Q$167)</f>
        <v>0</v>
      </c>
      <c r="R169" s="34" t="n">
        <f aca="false">V_Desp*(R$166+R$167)</f>
        <v>0</v>
      </c>
      <c r="S169" s="34" t="n">
        <f aca="false">V_Desp*(S$166+S$167)</f>
        <v>0</v>
      </c>
      <c r="T169" s="34" t="n">
        <f aca="false">V_Desp*(T$166+T$167)</f>
        <v>0</v>
      </c>
      <c r="U169" s="34" t="n">
        <f aca="false">V_Desp*(U$166+U$167)</f>
        <v>0</v>
      </c>
      <c r="V169" s="34" t="n">
        <f aca="false">V_Desp*(V$166+V$167)</f>
        <v>0</v>
      </c>
      <c r="W169" s="34" t="n">
        <f aca="false">V_Desp*(W$166+W$167)</f>
        <v>0</v>
      </c>
      <c r="X169" s="34" t="n">
        <f aca="false">V_Desp*(X$166+X$167)</f>
        <v>0</v>
      </c>
      <c r="Y169" s="34" t="n">
        <f aca="false">V_Desp*(Y$166+Y$167)</f>
        <v>0</v>
      </c>
      <c r="Z169" s="34" t="n">
        <f aca="false">V_Desp*(Z$166+Z$167)</f>
        <v>0</v>
      </c>
      <c r="AA169" s="34" t="n">
        <f aca="false">V_Desp*(AA$166+AA$167)</f>
        <v>0</v>
      </c>
      <c r="AB169" s="34" t="n">
        <f aca="false">V_Desp*(AB$166+AB$167)</f>
        <v>0</v>
      </c>
      <c r="AC169" s="34" t="n">
        <f aca="false">V_Desp*(AC$166+AC$167)</f>
        <v>0</v>
      </c>
      <c r="AD169" s="34" t="n">
        <f aca="false">V_Desp*(AD$166+AD$167)</f>
        <v>0</v>
      </c>
      <c r="AE169" s="34" t="n">
        <f aca="false">V_Desp*(AE$166+AE$167)</f>
        <v>0</v>
      </c>
      <c r="AF169" s="34" t="n">
        <f aca="false">V_Desp*(AF$166+AF$167)</f>
        <v>0</v>
      </c>
      <c r="AG169" s="34" t="n">
        <f aca="false">V_Desp*(AG$166+AG$167)</f>
        <v>0</v>
      </c>
      <c r="AH169" s="34" t="n">
        <f aca="false">V_Desp*(AH$166+AH$167)</f>
        <v>0</v>
      </c>
      <c r="AI169" s="34" t="n">
        <f aca="false">V_Desp*(AI$166+AI$167)</f>
        <v>0</v>
      </c>
      <c r="AJ169" s="34" t="n">
        <f aca="false">V_Desp*(AJ$166+AJ$167)</f>
        <v>0</v>
      </c>
      <c r="AK169" s="34" t="n">
        <f aca="false">V_Desp*(AK$166+AK$167)</f>
        <v>0</v>
      </c>
      <c r="AL169" s="34" t="n">
        <f aca="false">V_Desp*(AL$166+AL$167)</f>
        <v>0</v>
      </c>
      <c r="AM169" s="34" t="n">
        <f aca="false">V_Desp*(AM$166+AM$167)</f>
        <v>0</v>
      </c>
      <c r="AN169" s="34" t="n">
        <f aca="false">V_Desp*(AN$166+AN$167)</f>
        <v>0</v>
      </c>
      <c r="AO169" s="34" t="n">
        <f aca="false">V_Desp*(AO$166+AO$167)</f>
        <v>0</v>
      </c>
      <c r="AP169" s="34" t="n">
        <f aca="false">V_Desp*(AP$166+AP$167)</f>
        <v>0</v>
      </c>
      <c r="AQ169" s="34" t="n">
        <f aca="false">V_Desp*(AQ$166+AQ$167)</f>
        <v>0</v>
      </c>
      <c r="AR169" s="34" t="n">
        <f aca="false">V_Desp*(AR$166+AR$167)</f>
        <v>0</v>
      </c>
      <c r="AS169" s="34" t="n">
        <f aca="false">V_Desp*(AS$166+AS$167)</f>
        <v>0</v>
      </c>
      <c r="AT169" s="34" t="n">
        <f aca="false">V_Desp*(AT$166+AT$167)</f>
        <v>0</v>
      </c>
      <c r="AU169" s="34" t="n">
        <f aca="false">V_Desp*(AU$166+AU$167)</f>
        <v>0</v>
      </c>
      <c r="AV169" s="34" t="n">
        <f aca="false">V_Desp*(AV$166+AV$167)</f>
        <v>0</v>
      </c>
      <c r="AW169" s="34" t="n">
        <f aca="false">V_Desp*(AW$166+AW$167)</f>
        <v>0</v>
      </c>
      <c r="AX169" s="34" t="n">
        <f aca="false">V_Desp*(AX$166+AX$167)</f>
        <v>0</v>
      </c>
      <c r="AY169" s="34" t="n">
        <f aca="false">V_Desp*(AY$166+AY$167)</f>
        <v>0</v>
      </c>
      <c r="AZ169" s="34" t="n">
        <f aca="false">V_Desp*(AZ$166+AZ$167)</f>
        <v>0</v>
      </c>
      <c r="BA169" s="34" t="n">
        <f aca="false">V_Desp*(BA$166+BA$167)</f>
        <v>0</v>
      </c>
      <c r="BB169" s="34" t="n">
        <f aca="false">V_Desp*(BB$166+BB$167)</f>
        <v>0</v>
      </c>
      <c r="BC169" s="34" t="n">
        <f aca="false">V_Desp*(BC$166+BC$167)</f>
        <v>0</v>
      </c>
      <c r="BD169" s="34" t="n">
        <f aca="false">V_Desp*(BD$166+BD$167)</f>
        <v>0</v>
      </c>
      <c r="BE169" s="34" t="n">
        <f aca="false">V_Desp*(BE$166+BE$167)</f>
        <v>0</v>
      </c>
      <c r="BF169" s="34" t="n">
        <f aca="false">V_Desp*(BF$166+BF$167)</f>
        <v>0</v>
      </c>
      <c r="BG169" s="34" t="n">
        <f aca="false">V_Desp*(BG$166+BG$167)</f>
        <v>0</v>
      </c>
      <c r="BH169" s="34" t="n">
        <f aca="false">V_Desp*(BH$166+BH$167)</f>
        <v>0</v>
      </c>
      <c r="BI169" s="34" t="n">
        <f aca="false">V_Desp*(BI$166+BI$167)</f>
        <v>0</v>
      </c>
      <c r="BJ169" s="34" t="n">
        <f aca="false">V_Desp*(BJ$166+BJ$167)</f>
        <v>0</v>
      </c>
      <c r="BK169" s="34" t="n">
        <f aca="false">V_Desp*(BK$166+BK$167)</f>
        <v>0</v>
      </c>
      <c r="BL169" s="34" t="n">
        <f aca="false">V_Desp*(BL$166+BL$167)</f>
        <v>0</v>
      </c>
      <c r="BM169" s="34" t="n">
        <f aca="false">V_Desp*(BM$166+BM$167)</f>
        <v>0</v>
      </c>
      <c r="BN169" s="34" t="n">
        <f aca="false">V_Desp*(BN$166+BN$167)</f>
        <v>0</v>
      </c>
      <c r="BO169" s="34" t="n">
        <f aca="false">V_Desp*(BO$166+BO$167)</f>
        <v>0</v>
      </c>
      <c r="BP169" s="34" t="n">
        <f aca="false">V_Desp*(BP$166+BP$167)</f>
        <v>0</v>
      </c>
      <c r="BQ169" s="34" t="n">
        <f aca="false">V_Desp*(BQ$166+BQ$167)</f>
        <v>0</v>
      </c>
      <c r="BR169" s="34" t="n">
        <f aca="false">V_Desp*(BR$166+BR$167)</f>
        <v>0</v>
      </c>
      <c r="BS169" s="34" t="n">
        <f aca="false">V_Desp*(BS$166+BS$167)</f>
        <v>0</v>
      </c>
      <c r="BT169" s="34" t="n">
        <f aca="false">V_Desp*(BT$166+BT$167)</f>
        <v>0</v>
      </c>
      <c r="BU169" s="34" t="n">
        <f aca="false">V_Desp*(BU$166+BU$167)</f>
        <v>0</v>
      </c>
      <c r="BV169" s="34" t="n">
        <f aca="false">V_Desp*(BV$166+BV$167)</f>
        <v>0</v>
      </c>
      <c r="BW169" s="34" t="n">
        <f aca="false">V_Desp*(BW$166+BW$167)</f>
        <v>0</v>
      </c>
      <c r="BX169" s="34" t="n">
        <f aca="false">V_Desp*(BX$166+BX$167)</f>
        <v>0</v>
      </c>
      <c r="BY169" s="34" t="n">
        <f aca="false">V_Desp*(BY$166+BY$167)</f>
        <v>0</v>
      </c>
      <c r="BZ169" s="34" t="n">
        <f aca="false">V_Desp*(BZ$166+BZ$167)</f>
        <v>0</v>
      </c>
      <c r="CA169" s="34" t="n">
        <f aca="false">V_Desp*(CA$166+CA$167)</f>
        <v>0</v>
      </c>
      <c r="CB169" s="34" t="n">
        <f aca="false">V_Desp*(CB$166+CB$167)</f>
        <v>0</v>
      </c>
      <c r="CC169" s="34" t="n">
        <f aca="false">V_Desp*(CC$166+CC$167)</f>
        <v>0</v>
      </c>
      <c r="CD169" s="34" t="n">
        <f aca="false">V_Desp*(CD$166+CD$167)</f>
        <v>0</v>
      </c>
      <c r="CE169" s="34" t="n">
        <f aca="false">V_Desp*(CE$166+CE$167)</f>
        <v>0</v>
      </c>
      <c r="CF169" s="34" t="n">
        <f aca="false">V_Desp*(CF$166+CF$167)</f>
        <v>0</v>
      </c>
      <c r="CG169" s="34" t="n">
        <f aca="false">V_Desp*(CG$166+CG$167)</f>
        <v>0</v>
      </c>
      <c r="CH169" s="34" t="n">
        <f aca="false">V_Desp*(CH$166+CH$167)</f>
        <v>0</v>
      </c>
      <c r="CI169" s="34" t="n">
        <f aca="false">V_Desp*(CI$166+CI$167)</f>
        <v>0</v>
      </c>
      <c r="CJ169" s="34" t="n">
        <f aca="false">V_Desp*(CJ$166+CJ$167)</f>
        <v>0</v>
      </c>
      <c r="CK169" s="34" t="n">
        <f aca="false">V_Desp*(CK$166+CK$167)</f>
        <v>0</v>
      </c>
      <c r="CL169" s="34" t="n">
        <f aca="false">V_Desp*(CL$166+CL$167)</f>
        <v>0</v>
      </c>
      <c r="CM169" s="34" t="n">
        <f aca="false">V_Desp*(CM$166+CM$167)</f>
        <v>0</v>
      </c>
      <c r="CN169" s="34" t="n">
        <f aca="false">V_Desp*(CN$166+CN$167)</f>
        <v>0</v>
      </c>
      <c r="CO169" s="34" t="n">
        <f aca="false">V_Desp*(CO$166+CO$167)</f>
        <v>0</v>
      </c>
      <c r="CP169" s="34" t="n">
        <f aca="false">V_Desp*(CP$166+CP$167)</f>
        <v>0</v>
      </c>
      <c r="CQ169" s="34" t="n">
        <f aca="false">V_Desp*(CQ$166+CQ$167)</f>
        <v>0</v>
      </c>
      <c r="CR169" s="34" t="n">
        <f aca="false">V_Desp*(CR$166+CR$167)</f>
        <v>0</v>
      </c>
      <c r="CS169" s="34" t="n">
        <f aca="false">V_Desp*(CS$166+CS$167)</f>
        <v>0</v>
      </c>
      <c r="CT169" s="34" t="n">
        <f aca="false">V_Desp*(CT$166+CT$167)</f>
        <v>0</v>
      </c>
      <c r="CU169" s="34" t="n">
        <f aca="false">V_Desp*(CU$166+CU$167)</f>
        <v>0</v>
      </c>
      <c r="CV169" s="34" t="n">
        <f aca="false">V_Desp*(CV$166+CV$167)</f>
        <v>0</v>
      </c>
      <c r="CW169" s="34" t="n">
        <f aca="false">V_Desp*(CW$166+CW$167)</f>
        <v>0</v>
      </c>
      <c r="CX169" s="34" t="n">
        <f aca="false">V_Desp*(CX$166+CX$167)</f>
        <v>0</v>
      </c>
      <c r="CY169" s="34" t="n">
        <f aca="false">V_Desp*(CY$166+CY$167)</f>
        <v>0</v>
      </c>
      <c r="CZ169" s="34" t="n">
        <f aca="false">V_Desp*(CZ$166+CZ$167)</f>
        <v>0</v>
      </c>
      <c r="DA169" s="34" t="n">
        <f aca="false">V_Desp*(DA$166+DA$167)</f>
        <v>0</v>
      </c>
      <c r="DB169" s="34" t="n">
        <f aca="false">V_Desp*(DB$166+DB$167)</f>
        <v>0</v>
      </c>
      <c r="DC169" s="34" t="n">
        <f aca="false">V_Desp*(DC$166+DC$167)</f>
        <v>0</v>
      </c>
      <c r="DD169" s="34" t="n">
        <f aca="false">V_Desp*(DD$166+DD$167)</f>
        <v>0</v>
      </c>
      <c r="DE169" s="34" t="n">
        <f aca="false">V_Desp*(DE$166+DE$167)</f>
        <v>0</v>
      </c>
      <c r="DF169" s="34" t="n">
        <f aca="false">V_Desp*(DF$166+DF$167)</f>
        <v>0</v>
      </c>
      <c r="DG169" s="34" t="n">
        <f aca="false">V_Desp*(DG$166+DG$167)</f>
        <v>0</v>
      </c>
      <c r="DH169" s="34" t="n">
        <f aca="false">V_Desp*(DH$166+DH$167)</f>
        <v>0</v>
      </c>
      <c r="DI169" s="34" t="n">
        <f aca="false">V_Desp*(DI$166+DI$167)</f>
        <v>0</v>
      </c>
      <c r="DJ169" s="34" t="n">
        <f aca="false">V_Desp*(DJ$166+DJ$167)</f>
        <v>0</v>
      </c>
      <c r="DK169" s="34" t="n">
        <f aca="false">V_Desp*(DK$166+DK$167)</f>
        <v>0</v>
      </c>
      <c r="DL169" s="34" t="n">
        <f aca="false">V_Desp*(DL$166+DL$167)</f>
        <v>0</v>
      </c>
      <c r="DM169" s="34" t="n">
        <f aca="false">V_Desp*(DM$166+DM$167)</f>
        <v>0</v>
      </c>
      <c r="DN169" s="34" t="n">
        <f aca="false">V_Desp*(DN$166+DN$167)</f>
        <v>0</v>
      </c>
      <c r="DO169" s="34" t="n">
        <f aca="false">V_Desp*(DO$166+DO$167)</f>
        <v>0</v>
      </c>
      <c r="DP169" s="34" t="n">
        <f aca="false">V_Desp*(DP$166+DP$167)</f>
        <v>0</v>
      </c>
      <c r="DQ169" s="34" t="n">
        <f aca="false">V_Desp*(DQ$166+DQ$167)</f>
        <v>0</v>
      </c>
      <c r="DR169" s="34" t="n">
        <f aca="false">V_Desp*(DR$166+DR$167)</f>
        <v>0</v>
      </c>
      <c r="DS169" s="34" t="n">
        <f aca="false">V_Desp*(DS$166+DS$167)</f>
        <v>0</v>
      </c>
      <c r="DT169" s="34" t="n">
        <f aca="false">V_Desp*(DT$166+DT$167)</f>
        <v>0</v>
      </c>
      <c r="DU169" s="34" t="n">
        <f aca="false">V_Desp*(DU$166+DU$167)</f>
        <v>0</v>
      </c>
      <c r="DV169" s="34" t="n">
        <f aca="false">V_Desp*(DV$166+DV$167)</f>
        <v>0</v>
      </c>
      <c r="DW169" s="34" t="n">
        <f aca="false">V_Desp*(DW$166+DW$167)</f>
        <v>0</v>
      </c>
      <c r="DX169" s="34" t="n">
        <f aca="false">V_Desp*(DX$166+DX$167)</f>
        <v>0</v>
      </c>
      <c r="DY169" s="34" t="n">
        <f aca="false">V_Desp*(DY$166+DY$167)</f>
        <v>0</v>
      </c>
      <c r="DZ169" s="34" t="n">
        <f aca="false">V_Desp*(DZ$166+DZ$167)</f>
        <v>0</v>
      </c>
      <c r="EA169" s="34" t="n">
        <f aca="false">V_Desp*(EA$166+EA$167)</f>
        <v>0</v>
      </c>
      <c r="EB169" s="34" t="n">
        <f aca="false">V_Desp*(EB$166+EB$167)</f>
        <v>0</v>
      </c>
      <c r="EC169" s="34" t="n">
        <f aca="false">V_Desp*(EC$166+EC$167)</f>
        <v>0</v>
      </c>
      <c r="ED169" s="34" t="n">
        <f aca="false">V_Desp*(ED$166+ED$167)</f>
        <v>0</v>
      </c>
      <c r="EE169" s="34" t="n">
        <f aca="false">V_Desp*(EE$166+EE$167)</f>
        <v>0</v>
      </c>
      <c r="EF169" s="34" t="n">
        <f aca="false">V_Desp*(EF$166+EF$167)</f>
        <v>0</v>
      </c>
      <c r="EG169" s="34" t="n">
        <f aca="false">V_Desp*(EG$166+EG$167)</f>
        <v>0</v>
      </c>
      <c r="EH169" s="34" t="n">
        <f aca="false">V_Desp*(EH$166+EH$167)</f>
        <v>0</v>
      </c>
      <c r="EI169" s="34" t="n">
        <f aca="false">V_Desp*(EI$166+EI$167)</f>
        <v>0</v>
      </c>
      <c r="EJ169" s="34" t="n">
        <f aca="false">V_Desp*(EJ$166+EJ$167)</f>
        <v>0</v>
      </c>
      <c r="EK169" s="34" t="n">
        <f aca="false">V_Desp*(EK$166+EK$167)</f>
        <v>0</v>
      </c>
      <c r="EL169" s="34" t="n">
        <f aca="false">V_Desp*(EL$166+EL$167)</f>
        <v>0</v>
      </c>
      <c r="EM169" s="34" t="n">
        <f aca="false">V_Desp*(EM$166+EM$167)</f>
        <v>0</v>
      </c>
      <c r="EN169" s="34" t="n">
        <f aca="false">V_Desp*(EN$166+EN$167)</f>
        <v>0</v>
      </c>
      <c r="EO169" s="34" t="n">
        <f aca="false">V_Desp*(EO$166+EO$167)</f>
        <v>0</v>
      </c>
      <c r="EP169" s="34" t="n">
        <f aca="false">V_Desp*(EP$166+EP$167)</f>
        <v>0</v>
      </c>
      <c r="EQ169" s="34" t="n">
        <f aca="false">V_Desp*(EQ$166+EQ$167)</f>
        <v>0</v>
      </c>
      <c r="ER169" s="34" t="n">
        <f aca="false">V_Desp*(ER$166+ER$167)</f>
        <v>0</v>
      </c>
      <c r="ES169" s="34" t="n">
        <f aca="false">V_Desp*(ES$166+ES$167)</f>
        <v>0</v>
      </c>
    </row>
    <row r="170" customFormat="false" ht="15" hidden="false" customHeight="false" outlineLevel="0" collapsed="false">
      <c r="A170" s="2" t="s">
        <v>648</v>
      </c>
      <c r="B170" s="6" t="s">
        <v>468</v>
      </c>
      <c r="C170" s="6" t="s">
        <v>469</v>
      </c>
      <c r="F170" s="36" t="n">
        <f aca="false">SUMPRODUCT((Per_Clase="Directo")*INDEX(Dot_V,0,MIN(10,F$136)))*(F$134+F$135*V_PreDir)</f>
        <v>0</v>
      </c>
      <c r="G170" s="36" t="n">
        <f aca="false">SUMPRODUCT((Per_Clase="Directo")*INDEX(Dot_V,0,MIN(10,G$136)))*(G$134+G$135*V_PreDir)</f>
        <v>0</v>
      </c>
      <c r="H170" s="36" t="n">
        <f aca="false">SUMPRODUCT((Per_Clase="Directo")*INDEX(Dot_V,0,MIN(10,H$136)))*(H$134+H$135*V_PreDir)</f>
        <v>0</v>
      </c>
      <c r="I170" s="36" t="n">
        <f aca="false">SUMPRODUCT((Per_Clase="Directo")*INDEX(Dot_V,0,MIN(10,I$136)))*(I$134+I$135*V_PreDir)</f>
        <v>0</v>
      </c>
      <c r="J170" s="36" t="n">
        <f aca="false">SUMPRODUCT((Per_Clase="Directo")*INDEX(Dot_V,0,MIN(10,J$136)))*(J$134+J$135*V_PreDir)</f>
        <v>0</v>
      </c>
      <c r="K170" s="36" t="n">
        <f aca="false">SUMPRODUCT((Per_Clase="Directo")*INDEX(Dot_V,0,MIN(10,K$136)))*(K$134+K$135*V_PreDir)</f>
        <v>0</v>
      </c>
      <c r="L170" s="36" t="n">
        <f aca="false">SUMPRODUCT((Per_Clase="Directo")*INDEX(Dot_V,0,MIN(10,L$136)))*(L$134+L$135*V_PreDir)</f>
        <v>0</v>
      </c>
      <c r="M170" s="36" t="n">
        <f aca="false">SUMPRODUCT((Per_Clase="Directo")*INDEX(Dot_V,0,MIN(10,M$136)))*(M$134+M$135*V_PreDir)</f>
        <v>0</v>
      </c>
      <c r="N170" s="36" t="n">
        <f aca="false">SUMPRODUCT((Per_Clase="Directo")*INDEX(Dot_V,0,MIN(10,N$136)))*(N$134+N$135*V_PreDir)</f>
        <v>0</v>
      </c>
      <c r="O170" s="36" t="n">
        <f aca="false">SUMPRODUCT((Per_Clase="Directo")*INDEX(Dot_V,0,MIN(10,O$136)))*(O$134+O$135*V_PreDir)</f>
        <v>0</v>
      </c>
      <c r="P170" s="36" t="n">
        <f aca="false">SUMPRODUCT((Per_Clase="Directo")*INDEX(Dot_V,0,MIN(10,P$136)))*(P$134+P$135*V_PreDir)</f>
        <v>0</v>
      </c>
      <c r="Q170" s="36" t="n">
        <f aca="false">SUMPRODUCT((Per_Clase="Directo")*INDEX(Dot_V,0,MIN(10,Q$136)))*(Q$134+Q$135*V_PreDir)</f>
        <v>0</v>
      </c>
      <c r="R170" s="36" t="n">
        <f aca="false">SUMPRODUCT((Per_Clase="Directo")*INDEX(Dot_V,0,MIN(10,R$136)))*(R$134+R$135*V_PreDir)</f>
        <v>0</v>
      </c>
      <c r="S170" s="36" t="n">
        <f aca="false">SUMPRODUCT((Per_Clase="Directo")*INDEX(Dot_V,0,MIN(10,S$136)))*(S$134+S$135*V_PreDir)</f>
        <v>0</v>
      </c>
      <c r="T170" s="36" t="n">
        <f aca="false">SUMPRODUCT((Per_Clase="Directo")*INDEX(Dot_V,0,MIN(10,T$136)))*(T$134+T$135*V_PreDir)</f>
        <v>0</v>
      </c>
      <c r="U170" s="36" t="n">
        <f aca="false">SUMPRODUCT((Per_Clase="Directo")*INDEX(Dot_V,0,MIN(10,U$136)))*(U$134+U$135*V_PreDir)</f>
        <v>0</v>
      </c>
      <c r="V170" s="36" t="n">
        <f aca="false">SUMPRODUCT((Per_Clase="Directo")*INDEX(Dot_V,0,MIN(10,V$136)))*(V$134+V$135*V_PreDir)</f>
        <v>0</v>
      </c>
      <c r="W170" s="36" t="n">
        <f aca="false">SUMPRODUCT((Per_Clase="Directo")*INDEX(Dot_V,0,MIN(10,W$136)))*(W$134+W$135*V_PreDir)</f>
        <v>0</v>
      </c>
      <c r="X170" s="36" t="n">
        <f aca="false">SUMPRODUCT((Per_Clase="Directo")*INDEX(Dot_V,0,MIN(10,X$136)))*(X$134+X$135*V_PreDir)</f>
        <v>0</v>
      </c>
      <c r="Y170" s="36" t="n">
        <f aca="false">SUMPRODUCT((Per_Clase="Directo")*INDEX(Dot_V,0,MIN(10,Y$136)))*(Y$134+Y$135*V_PreDir)</f>
        <v>0</v>
      </c>
      <c r="Z170" s="36" t="n">
        <f aca="false">SUMPRODUCT((Per_Clase="Directo")*INDEX(Dot_V,0,MIN(10,Z$136)))*(Z$134+Z$135*V_PreDir)</f>
        <v>0</v>
      </c>
      <c r="AA170" s="36" t="n">
        <f aca="false">SUMPRODUCT((Per_Clase="Directo")*INDEX(Dot_V,0,MIN(10,AA$136)))*(AA$134+AA$135*V_PreDir)</f>
        <v>0</v>
      </c>
      <c r="AB170" s="36" t="n">
        <f aca="false">SUMPRODUCT((Per_Clase="Directo")*INDEX(Dot_V,0,MIN(10,AB$136)))*(AB$134+AB$135*V_PreDir)</f>
        <v>0</v>
      </c>
      <c r="AC170" s="36" t="n">
        <f aca="false">SUMPRODUCT((Per_Clase="Directo")*INDEX(Dot_V,0,MIN(10,AC$136)))*(AC$134+AC$135*V_PreDir)</f>
        <v>0</v>
      </c>
      <c r="AD170" s="36" t="n">
        <f aca="false">SUMPRODUCT((Per_Clase="Directo")*INDEX(Dot_V,0,MIN(10,AD$136)))*(AD$134+AD$135*V_PreDir)</f>
        <v>0</v>
      </c>
      <c r="AE170" s="36" t="n">
        <f aca="false">SUMPRODUCT((Per_Clase="Directo")*INDEX(Dot_V,0,MIN(10,AE$136)))*(AE$134+AE$135*V_PreDir)</f>
        <v>0</v>
      </c>
      <c r="AF170" s="36" t="n">
        <f aca="false">SUMPRODUCT((Per_Clase="Directo")*INDEX(Dot_V,0,MIN(10,AF$136)))*(AF$134+AF$135*V_PreDir)</f>
        <v>0</v>
      </c>
      <c r="AG170" s="36" t="n">
        <f aca="false">SUMPRODUCT((Per_Clase="Directo")*INDEX(Dot_V,0,MIN(10,AG$136)))*(AG$134+AG$135*V_PreDir)</f>
        <v>0</v>
      </c>
      <c r="AH170" s="36" t="n">
        <f aca="false">SUMPRODUCT((Per_Clase="Directo")*INDEX(Dot_V,0,MIN(10,AH$136)))*(AH$134+AH$135*V_PreDir)</f>
        <v>0</v>
      </c>
      <c r="AI170" s="36" t="n">
        <f aca="false">SUMPRODUCT((Per_Clase="Directo")*INDEX(Dot_V,0,MIN(10,AI$136)))*(AI$134+AI$135*V_PreDir)</f>
        <v>0</v>
      </c>
      <c r="AJ170" s="36" t="n">
        <f aca="false">SUMPRODUCT((Per_Clase="Directo")*INDEX(Dot_V,0,MIN(10,AJ$136)))*(AJ$134+AJ$135*V_PreDir)</f>
        <v>0</v>
      </c>
      <c r="AK170" s="36" t="n">
        <f aca="false">SUMPRODUCT((Per_Clase="Directo")*INDEX(Dot_V,0,MIN(10,AK$136)))*(AK$134+AK$135*V_PreDir)</f>
        <v>0</v>
      </c>
      <c r="AL170" s="36" t="n">
        <f aca="false">SUMPRODUCT((Per_Clase="Directo")*INDEX(Dot_V,0,MIN(10,AL$136)))*(AL$134+AL$135*V_PreDir)</f>
        <v>0</v>
      </c>
      <c r="AM170" s="36" t="n">
        <f aca="false">SUMPRODUCT((Per_Clase="Directo")*INDEX(Dot_V,0,MIN(10,AM$136)))*(AM$134+AM$135*V_PreDir)</f>
        <v>0</v>
      </c>
      <c r="AN170" s="36" t="n">
        <f aca="false">SUMPRODUCT((Per_Clase="Directo")*INDEX(Dot_V,0,MIN(10,AN$136)))*(AN$134+AN$135*V_PreDir)</f>
        <v>0</v>
      </c>
      <c r="AO170" s="36" t="n">
        <f aca="false">SUMPRODUCT((Per_Clase="Directo")*INDEX(Dot_V,0,MIN(10,AO$136)))*(AO$134+AO$135*V_PreDir)</f>
        <v>0</v>
      </c>
      <c r="AP170" s="36" t="n">
        <f aca="false">SUMPRODUCT((Per_Clase="Directo")*INDEX(Dot_V,0,MIN(10,AP$136)))*(AP$134+AP$135*V_PreDir)</f>
        <v>0</v>
      </c>
      <c r="AQ170" s="36" t="n">
        <f aca="false">SUMPRODUCT((Per_Clase="Directo")*INDEX(Dot_V,0,MIN(10,AQ$136)))*(AQ$134+AQ$135*V_PreDir)</f>
        <v>0</v>
      </c>
      <c r="AR170" s="36" t="n">
        <f aca="false">SUMPRODUCT((Per_Clase="Directo")*INDEX(Dot_V,0,MIN(10,AR$136)))*(AR$134+AR$135*V_PreDir)</f>
        <v>0</v>
      </c>
      <c r="AS170" s="36" t="n">
        <f aca="false">SUMPRODUCT((Per_Clase="Directo")*INDEX(Dot_V,0,MIN(10,AS$136)))*(AS$134+AS$135*V_PreDir)</f>
        <v>0</v>
      </c>
      <c r="AT170" s="36" t="n">
        <f aca="false">SUMPRODUCT((Per_Clase="Directo")*INDEX(Dot_V,0,MIN(10,AT$136)))*(AT$134+AT$135*V_PreDir)</f>
        <v>0</v>
      </c>
      <c r="AU170" s="36" t="n">
        <f aca="false">SUMPRODUCT((Per_Clase="Directo")*INDEX(Dot_V,0,MIN(10,AU$136)))*(AU$134+AU$135*V_PreDir)</f>
        <v>0</v>
      </c>
      <c r="AV170" s="36" t="n">
        <f aca="false">SUMPRODUCT((Per_Clase="Directo")*INDEX(Dot_V,0,MIN(10,AV$136)))*(AV$134+AV$135*V_PreDir)</f>
        <v>0</v>
      </c>
      <c r="AW170" s="36" t="n">
        <f aca="false">SUMPRODUCT((Per_Clase="Directo")*INDEX(Dot_V,0,MIN(10,AW$136)))*(AW$134+AW$135*V_PreDir)</f>
        <v>0</v>
      </c>
      <c r="AX170" s="36" t="n">
        <f aca="false">SUMPRODUCT((Per_Clase="Directo")*INDEX(Dot_V,0,MIN(10,AX$136)))*(AX$134+AX$135*V_PreDir)</f>
        <v>0</v>
      </c>
      <c r="AY170" s="36" t="n">
        <f aca="false">SUMPRODUCT((Per_Clase="Directo")*INDEX(Dot_V,0,MIN(10,AY$136)))*(AY$134+AY$135*V_PreDir)</f>
        <v>0</v>
      </c>
      <c r="AZ170" s="36" t="n">
        <f aca="false">SUMPRODUCT((Per_Clase="Directo")*INDEX(Dot_V,0,MIN(10,AZ$136)))*(AZ$134+AZ$135*V_PreDir)</f>
        <v>0</v>
      </c>
      <c r="BA170" s="36" t="n">
        <f aca="false">SUMPRODUCT((Per_Clase="Directo")*INDEX(Dot_V,0,MIN(10,BA$136)))*(BA$134+BA$135*V_PreDir)</f>
        <v>0</v>
      </c>
      <c r="BB170" s="36" t="n">
        <f aca="false">SUMPRODUCT((Per_Clase="Directo")*INDEX(Dot_V,0,MIN(10,BB$136)))*(BB$134+BB$135*V_PreDir)</f>
        <v>0</v>
      </c>
      <c r="BC170" s="36" t="n">
        <f aca="false">SUMPRODUCT((Per_Clase="Directo")*INDEX(Dot_V,0,MIN(10,BC$136)))*(BC$134+BC$135*V_PreDir)</f>
        <v>0</v>
      </c>
      <c r="BD170" s="36" t="n">
        <f aca="false">SUMPRODUCT((Per_Clase="Directo")*INDEX(Dot_V,0,MIN(10,BD$136)))*(BD$134+BD$135*V_PreDir)</f>
        <v>0</v>
      </c>
      <c r="BE170" s="36" t="n">
        <f aca="false">SUMPRODUCT((Per_Clase="Directo")*INDEX(Dot_V,0,MIN(10,BE$136)))*(BE$134+BE$135*V_PreDir)</f>
        <v>0</v>
      </c>
      <c r="BF170" s="36" t="n">
        <f aca="false">SUMPRODUCT((Per_Clase="Directo")*INDEX(Dot_V,0,MIN(10,BF$136)))*(BF$134+BF$135*V_PreDir)</f>
        <v>0</v>
      </c>
      <c r="BG170" s="36" t="n">
        <f aca="false">SUMPRODUCT((Per_Clase="Directo")*INDEX(Dot_V,0,MIN(10,BG$136)))*(BG$134+BG$135*V_PreDir)</f>
        <v>0</v>
      </c>
      <c r="BH170" s="36" t="n">
        <f aca="false">SUMPRODUCT((Per_Clase="Directo")*INDEX(Dot_V,0,MIN(10,BH$136)))*(BH$134+BH$135*V_PreDir)</f>
        <v>0</v>
      </c>
      <c r="BI170" s="36" t="n">
        <f aca="false">SUMPRODUCT((Per_Clase="Directo")*INDEX(Dot_V,0,MIN(10,BI$136)))*(BI$134+BI$135*V_PreDir)</f>
        <v>0</v>
      </c>
      <c r="BJ170" s="36" t="n">
        <f aca="false">SUMPRODUCT((Per_Clase="Directo")*INDEX(Dot_V,0,MIN(10,BJ$136)))*(BJ$134+BJ$135*V_PreDir)</f>
        <v>0</v>
      </c>
      <c r="BK170" s="36" t="n">
        <f aca="false">SUMPRODUCT((Per_Clase="Directo")*INDEX(Dot_V,0,MIN(10,BK$136)))*(BK$134+BK$135*V_PreDir)</f>
        <v>0</v>
      </c>
      <c r="BL170" s="36" t="n">
        <f aca="false">SUMPRODUCT((Per_Clase="Directo")*INDEX(Dot_V,0,MIN(10,BL$136)))*(BL$134+BL$135*V_PreDir)</f>
        <v>0</v>
      </c>
      <c r="BM170" s="36" t="n">
        <f aca="false">SUMPRODUCT((Per_Clase="Directo")*INDEX(Dot_V,0,MIN(10,BM$136)))*(BM$134+BM$135*V_PreDir)</f>
        <v>0</v>
      </c>
      <c r="BN170" s="36" t="n">
        <f aca="false">SUMPRODUCT((Per_Clase="Directo")*INDEX(Dot_V,0,MIN(10,BN$136)))*(BN$134+BN$135*V_PreDir)</f>
        <v>0</v>
      </c>
      <c r="BO170" s="36" t="n">
        <f aca="false">SUMPRODUCT((Per_Clase="Directo")*INDEX(Dot_V,0,MIN(10,BO$136)))*(BO$134+BO$135*V_PreDir)</f>
        <v>0</v>
      </c>
      <c r="BP170" s="36" t="n">
        <f aca="false">SUMPRODUCT((Per_Clase="Directo")*INDEX(Dot_V,0,MIN(10,BP$136)))*(BP$134+BP$135*V_PreDir)</f>
        <v>0</v>
      </c>
      <c r="BQ170" s="36" t="n">
        <f aca="false">SUMPRODUCT((Per_Clase="Directo")*INDEX(Dot_V,0,MIN(10,BQ$136)))*(BQ$134+BQ$135*V_PreDir)</f>
        <v>0</v>
      </c>
      <c r="BR170" s="36" t="n">
        <f aca="false">SUMPRODUCT((Per_Clase="Directo")*INDEX(Dot_V,0,MIN(10,BR$136)))*(BR$134+BR$135*V_PreDir)</f>
        <v>0</v>
      </c>
      <c r="BS170" s="36" t="n">
        <f aca="false">SUMPRODUCT((Per_Clase="Directo")*INDEX(Dot_V,0,MIN(10,BS$136)))*(BS$134+BS$135*V_PreDir)</f>
        <v>0</v>
      </c>
      <c r="BT170" s="36" t="n">
        <f aca="false">SUMPRODUCT((Per_Clase="Directo")*INDEX(Dot_V,0,MIN(10,BT$136)))*(BT$134+BT$135*V_PreDir)</f>
        <v>0</v>
      </c>
      <c r="BU170" s="36" t="n">
        <f aca="false">SUMPRODUCT((Per_Clase="Directo")*INDEX(Dot_V,0,MIN(10,BU$136)))*(BU$134+BU$135*V_PreDir)</f>
        <v>0</v>
      </c>
      <c r="BV170" s="36" t="n">
        <f aca="false">SUMPRODUCT((Per_Clase="Directo")*INDEX(Dot_V,0,MIN(10,BV$136)))*(BV$134+BV$135*V_PreDir)</f>
        <v>0</v>
      </c>
      <c r="BW170" s="36" t="n">
        <f aca="false">SUMPRODUCT((Per_Clase="Directo")*INDEX(Dot_V,0,MIN(10,BW$136)))*(BW$134+BW$135*V_PreDir)</f>
        <v>0</v>
      </c>
      <c r="BX170" s="36" t="n">
        <f aca="false">SUMPRODUCT((Per_Clase="Directo")*INDEX(Dot_V,0,MIN(10,BX$136)))*(BX$134+BX$135*V_PreDir)</f>
        <v>0</v>
      </c>
      <c r="BY170" s="36" t="n">
        <f aca="false">SUMPRODUCT((Per_Clase="Directo")*INDEX(Dot_V,0,MIN(10,BY$136)))*(BY$134+BY$135*V_PreDir)</f>
        <v>0</v>
      </c>
      <c r="BZ170" s="36" t="n">
        <f aca="false">SUMPRODUCT((Per_Clase="Directo")*INDEX(Dot_V,0,MIN(10,BZ$136)))*(BZ$134+BZ$135*V_PreDir)</f>
        <v>0</v>
      </c>
      <c r="CA170" s="36" t="n">
        <f aca="false">SUMPRODUCT((Per_Clase="Directo")*INDEX(Dot_V,0,MIN(10,CA$136)))*(CA$134+CA$135*V_PreDir)</f>
        <v>0</v>
      </c>
      <c r="CB170" s="36" t="n">
        <f aca="false">SUMPRODUCT((Per_Clase="Directo")*INDEX(Dot_V,0,MIN(10,CB$136)))*(CB$134+CB$135*V_PreDir)</f>
        <v>0</v>
      </c>
      <c r="CC170" s="36" t="n">
        <f aca="false">SUMPRODUCT((Per_Clase="Directo")*INDEX(Dot_V,0,MIN(10,CC$136)))*(CC$134+CC$135*V_PreDir)</f>
        <v>0</v>
      </c>
      <c r="CD170" s="36" t="n">
        <f aca="false">SUMPRODUCT((Per_Clase="Directo")*INDEX(Dot_V,0,MIN(10,CD$136)))*(CD$134+CD$135*V_PreDir)</f>
        <v>0</v>
      </c>
      <c r="CE170" s="36" t="n">
        <f aca="false">SUMPRODUCT((Per_Clase="Directo")*INDEX(Dot_V,0,MIN(10,CE$136)))*(CE$134+CE$135*V_PreDir)</f>
        <v>0</v>
      </c>
      <c r="CF170" s="36" t="n">
        <f aca="false">SUMPRODUCT((Per_Clase="Directo")*INDEX(Dot_V,0,MIN(10,CF$136)))*(CF$134+CF$135*V_PreDir)</f>
        <v>0</v>
      </c>
      <c r="CG170" s="36" t="n">
        <f aca="false">SUMPRODUCT((Per_Clase="Directo")*INDEX(Dot_V,0,MIN(10,CG$136)))*(CG$134+CG$135*V_PreDir)</f>
        <v>0</v>
      </c>
      <c r="CH170" s="36" t="n">
        <f aca="false">SUMPRODUCT((Per_Clase="Directo")*INDEX(Dot_V,0,MIN(10,CH$136)))*(CH$134+CH$135*V_PreDir)</f>
        <v>0</v>
      </c>
      <c r="CI170" s="36" t="n">
        <f aca="false">SUMPRODUCT((Per_Clase="Directo")*INDEX(Dot_V,0,MIN(10,CI$136)))*(CI$134+CI$135*V_PreDir)</f>
        <v>0</v>
      </c>
      <c r="CJ170" s="36" t="n">
        <f aca="false">SUMPRODUCT((Per_Clase="Directo")*INDEX(Dot_V,0,MIN(10,CJ$136)))*(CJ$134+CJ$135*V_PreDir)</f>
        <v>0</v>
      </c>
      <c r="CK170" s="36" t="n">
        <f aca="false">SUMPRODUCT((Per_Clase="Directo")*INDEX(Dot_V,0,MIN(10,CK$136)))*(CK$134+CK$135*V_PreDir)</f>
        <v>0</v>
      </c>
      <c r="CL170" s="36" t="n">
        <f aca="false">SUMPRODUCT((Per_Clase="Directo")*INDEX(Dot_V,0,MIN(10,CL$136)))*(CL$134+CL$135*V_PreDir)</f>
        <v>0</v>
      </c>
      <c r="CM170" s="36" t="n">
        <f aca="false">SUMPRODUCT((Per_Clase="Directo")*INDEX(Dot_V,0,MIN(10,CM$136)))*(CM$134+CM$135*V_PreDir)</f>
        <v>0</v>
      </c>
      <c r="CN170" s="36" t="n">
        <f aca="false">SUMPRODUCT((Per_Clase="Directo")*INDEX(Dot_V,0,MIN(10,CN$136)))*(CN$134+CN$135*V_PreDir)</f>
        <v>0</v>
      </c>
      <c r="CO170" s="36" t="n">
        <f aca="false">SUMPRODUCT((Per_Clase="Directo")*INDEX(Dot_V,0,MIN(10,CO$136)))*(CO$134+CO$135*V_PreDir)</f>
        <v>0</v>
      </c>
      <c r="CP170" s="36" t="n">
        <f aca="false">SUMPRODUCT((Per_Clase="Directo")*INDEX(Dot_V,0,MIN(10,CP$136)))*(CP$134+CP$135*V_PreDir)</f>
        <v>0</v>
      </c>
      <c r="CQ170" s="36" t="n">
        <f aca="false">SUMPRODUCT((Per_Clase="Directo")*INDEX(Dot_V,0,MIN(10,CQ$136)))*(CQ$134+CQ$135*V_PreDir)</f>
        <v>0</v>
      </c>
      <c r="CR170" s="36" t="n">
        <f aca="false">SUMPRODUCT((Per_Clase="Directo")*INDEX(Dot_V,0,MIN(10,CR$136)))*(CR$134+CR$135*V_PreDir)</f>
        <v>0</v>
      </c>
      <c r="CS170" s="36" t="n">
        <f aca="false">SUMPRODUCT((Per_Clase="Directo")*INDEX(Dot_V,0,MIN(10,CS$136)))*(CS$134+CS$135*V_PreDir)</f>
        <v>0</v>
      </c>
      <c r="CT170" s="36" t="n">
        <f aca="false">SUMPRODUCT((Per_Clase="Directo")*INDEX(Dot_V,0,MIN(10,CT$136)))*(CT$134+CT$135*V_PreDir)</f>
        <v>0</v>
      </c>
      <c r="CU170" s="36" t="n">
        <f aca="false">SUMPRODUCT((Per_Clase="Directo")*INDEX(Dot_V,0,MIN(10,CU$136)))*(CU$134+CU$135*V_PreDir)</f>
        <v>0</v>
      </c>
      <c r="CV170" s="36" t="n">
        <f aca="false">SUMPRODUCT((Per_Clase="Directo")*INDEX(Dot_V,0,MIN(10,CV$136)))*(CV$134+CV$135*V_PreDir)</f>
        <v>0</v>
      </c>
      <c r="CW170" s="36" t="n">
        <f aca="false">SUMPRODUCT((Per_Clase="Directo")*INDEX(Dot_V,0,MIN(10,CW$136)))*(CW$134+CW$135*V_PreDir)</f>
        <v>0</v>
      </c>
      <c r="CX170" s="36" t="n">
        <f aca="false">SUMPRODUCT((Per_Clase="Directo")*INDEX(Dot_V,0,MIN(10,CX$136)))*(CX$134+CX$135*V_PreDir)</f>
        <v>0</v>
      </c>
      <c r="CY170" s="36" t="n">
        <f aca="false">SUMPRODUCT((Per_Clase="Directo")*INDEX(Dot_V,0,MIN(10,CY$136)))*(CY$134+CY$135*V_PreDir)</f>
        <v>0</v>
      </c>
      <c r="CZ170" s="36" t="n">
        <f aca="false">SUMPRODUCT((Per_Clase="Directo")*INDEX(Dot_V,0,MIN(10,CZ$136)))*(CZ$134+CZ$135*V_PreDir)</f>
        <v>0</v>
      </c>
      <c r="DA170" s="36" t="n">
        <f aca="false">SUMPRODUCT((Per_Clase="Directo")*INDEX(Dot_V,0,MIN(10,DA$136)))*(DA$134+DA$135*V_PreDir)</f>
        <v>0</v>
      </c>
      <c r="DB170" s="36" t="n">
        <f aca="false">SUMPRODUCT((Per_Clase="Directo")*INDEX(Dot_V,0,MIN(10,DB$136)))*(DB$134+DB$135*V_PreDir)</f>
        <v>0</v>
      </c>
      <c r="DC170" s="36" t="n">
        <f aca="false">SUMPRODUCT((Per_Clase="Directo")*INDEX(Dot_V,0,MIN(10,DC$136)))*(DC$134+DC$135*V_PreDir)</f>
        <v>0</v>
      </c>
      <c r="DD170" s="36" t="n">
        <f aca="false">SUMPRODUCT((Per_Clase="Directo")*INDEX(Dot_V,0,MIN(10,DD$136)))*(DD$134+DD$135*V_PreDir)</f>
        <v>0</v>
      </c>
      <c r="DE170" s="36" t="n">
        <f aca="false">SUMPRODUCT((Per_Clase="Directo")*INDEX(Dot_V,0,MIN(10,DE$136)))*(DE$134+DE$135*V_PreDir)</f>
        <v>0</v>
      </c>
      <c r="DF170" s="36" t="n">
        <f aca="false">SUMPRODUCT((Per_Clase="Directo")*INDEX(Dot_V,0,MIN(10,DF$136)))*(DF$134+DF$135*V_PreDir)</f>
        <v>0</v>
      </c>
      <c r="DG170" s="36" t="n">
        <f aca="false">SUMPRODUCT((Per_Clase="Directo")*INDEX(Dot_V,0,MIN(10,DG$136)))*(DG$134+DG$135*V_PreDir)</f>
        <v>0</v>
      </c>
      <c r="DH170" s="36" t="n">
        <f aca="false">SUMPRODUCT((Per_Clase="Directo")*INDEX(Dot_V,0,MIN(10,DH$136)))*(DH$134+DH$135*V_PreDir)</f>
        <v>0</v>
      </c>
      <c r="DI170" s="36" t="n">
        <f aca="false">SUMPRODUCT((Per_Clase="Directo")*INDEX(Dot_V,0,MIN(10,DI$136)))*(DI$134+DI$135*V_PreDir)</f>
        <v>0</v>
      </c>
      <c r="DJ170" s="36" t="n">
        <f aca="false">SUMPRODUCT((Per_Clase="Directo")*INDEX(Dot_V,0,MIN(10,DJ$136)))*(DJ$134+DJ$135*V_PreDir)</f>
        <v>0</v>
      </c>
      <c r="DK170" s="36" t="n">
        <f aca="false">SUMPRODUCT((Per_Clase="Directo")*INDEX(Dot_V,0,MIN(10,DK$136)))*(DK$134+DK$135*V_PreDir)</f>
        <v>0</v>
      </c>
      <c r="DL170" s="36" t="n">
        <f aca="false">SUMPRODUCT((Per_Clase="Directo")*INDEX(Dot_V,0,MIN(10,DL$136)))*(DL$134+DL$135*V_PreDir)</f>
        <v>0</v>
      </c>
      <c r="DM170" s="36" t="n">
        <f aca="false">SUMPRODUCT((Per_Clase="Directo")*INDEX(Dot_V,0,MIN(10,DM$136)))*(DM$134+DM$135*V_PreDir)</f>
        <v>0</v>
      </c>
      <c r="DN170" s="36" t="n">
        <f aca="false">SUMPRODUCT((Per_Clase="Directo")*INDEX(Dot_V,0,MIN(10,DN$136)))*(DN$134+DN$135*V_PreDir)</f>
        <v>0</v>
      </c>
      <c r="DO170" s="36" t="n">
        <f aca="false">SUMPRODUCT((Per_Clase="Directo")*INDEX(Dot_V,0,MIN(10,DO$136)))*(DO$134+DO$135*V_PreDir)</f>
        <v>0</v>
      </c>
      <c r="DP170" s="36" t="n">
        <f aca="false">SUMPRODUCT((Per_Clase="Directo")*INDEX(Dot_V,0,MIN(10,DP$136)))*(DP$134+DP$135*V_PreDir)</f>
        <v>0</v>
      </c>
      <c r="DQ170" s="36" t="n">
        <f aca="false">SUMPRODUCT((Per_Clase="Directo")*INDEX(Dot_V,0,MIN(10,DQ$136)))*(DQ$134+DQ$135*V_PreDir)</f>
        <v>0</v>
      </c>
      <c r="DR170" s="36" t="n">
        <f aca="false">SUMPRODUCT((Per_Clase="Directo")*INDEX(Dot_V,0,MIN(10,DR$136)))*(DR$134+DR$135*V_PreDir)</f>
        <v>0</v>
      </c>
      <c r="DS170" s="36" t="n">
        <f aca="false">SUMPRODUCT((Per_Clase="Directo")*INDEX(Dot_V,0,MIN(10,DS$136)))*(DS$134+DS$135*V_PreDir)</f>
        <v>0</v>
      </c>
      <c r="DT170" s="36" t="n">
        <f aca="false">SUMPRODUCT((Per_Clase="Directo")*INDEX(Dot_V,0,MIN(10,DT$136)))*(DT$134+DT$135*V_PreDir)</f>
        <v>0</v>
      </c>
      <c r="DU170" s="36" t="n">
        <f aca="false">SUMPRODUCT((Per_Clase="Directo")*INDEX(Dot_V,0,MIN(10,DU$136)))*(DU$134+DU$135*V_PreDir)</f>
        <v>0</v>
      </c>
      <c r="DV170" s="36" t="n">
        <f aca="false">SUMPRODUCT((Per_Clase="Directo")*INDEX(Dot_V,0,MIN(10,DV$136)))*(DV$134+DV$135*V_PreDir)</f>
        <v>0</v>
      </c>
      <c r="DW170" s="36" t="n">
        <f aca="false">SUMPRODUCT((Per_Clase="Directo")*INDEX(Dot_V,0,MIN(10,DW$136)))*(DW$134+DW$135*V_PreDir)</f>
        <v>0</v>
      </c>
      <c r="DX170" s="36" t="n">
        <f aca="false">SUMPRODUCT((Per_Clase="Directo")*INDEX(Dot_V,0,MIN(10,DX$136)))*(DX$134+DX$135*V_PreDir)</f>
        <v>0</v>
      </c>
      <c r="DY170" s="36" t="n">
        <f aca="false">SUMPRODUCT((Per_Clase="Directo")*INDEX(Dot_V,0,MIN(10,DY$136)))*(DY$134+DY$135*V_PreDir)</f>
        <v>0</v>
      </c>
      <c r="DZ170" s="36" t="n">
        <f aca="false">SUMPRODUCT((Per_Clase="Directo")*INDEX(Dot_V,0,MIN(10,DZ$136)))*(DZ$134+DZ$135*V_PreDir)</f>
        <v>0</v>
      </c>
      <c r="EA170" s="36" t="n">
        <f aca="false">SUMPRODUCT((Per_Clase="Directo")*INDEX(Dot_V,0,MIN(10,EA$136)))*(EA$134+EA$135*V_PreDir)</f>
        <v>0</v>
      </c>
      <c r="EB170" s="36" t="n">
        <f aca="false">SUMPRODUCT((Per_Clase="Directo")*INDEX(Dot_V,0,MIN(10,EB$136)))*(EB$134+EB$135*V_PreDir)</f>
        <v>0</v>
      </c>
      <c r="EC170" s="36" t="n">
        <f aca="false">SUMPRODUCT((Per_Clase="Directo")*INDEX(Dot_V,0,MIN(10,EC$136)))*(EC$134+EC$135*V_PreDir)</f>
        <v>0</v>
      </c>
      <c r="ED170" s="36" t="n">
        <f aca="false">SUMPRODUCT((Per_Clase="Directo")*INDEX(Dot_V,0,MIN(10,ED$136)))*(ED$134+ED$135*V_PreDir)</f>
        <v>0</v>
      </c>
      <c r="EE170" s="36" t="n">
        <f aca="false">SUMPRODUCT((Per_Clase="Directo")*INDEX(Dot_V,0,MIN(10,EE$136)))*(EE$134+EE$135*V_PreDir)</f>
        <v>0</v>
      </c>
      <c r="EF170" s="36" t="n">
        <f aca="false">SUMPRODUCT((Per_Clase="Directo")*INDEX(Dot_V,0,MIN(10,EF$136)))*(EF$134+EF$135*V_PreDir)</f>
        <v>0</v>
      </c>
      <c r="EG170" s="36" t="n">
        <f aca="false">SUMPRODUCT((Per_Clase="Directo")*INDEX(Dot_V,0,MIN(10,EG$136)))*(EG$134+EG$135*V_PreDir)</f>
        <v>0</v>
      </c>
      <c r="EH170" s="36" t="n">
        <f aca="false">SUMPRODUCT((Per_Clase="Directo")*INDEX(Dot_V,0,MIN(10,EH$136)))*(EH$134+EH$135*V_PreDir)</f>
        <v>0</v>
      </c>
      <c r="EI170" s="36" t="n">
        <f aca="false">SUMPRODUCT((Per_Clase="Directo")*INDEX(Dot_V,0,MIN(10,EI$136)))*(EI$134+EI$135*V_PreDir)</f>
        <v>0</v>
      </c>
      <c r="EJ170" s="36" t="n">
        <f aca="false">SUMPRODUCT((Per_Clase="Directo")*INDEX(Dot_V,0,MIN(10,EJ$136)))*(EJ$134+EJ$135*V_PreDir)</f>
        <v>0</v>
      </c>
      <c r="EK170" s="36" t="n">
        <f aca="false">SUMPRODUCT((Per_Clase="Directo")*INDEX(Dot_V,0,MIN(10,EK$136)))*(EK$134+EK$135*V_PreDir)</f>
        <v>0</v>
      </c>
      <c r="EL170" s="36" t="n">
        <f aca="false">SUMPRODUCT((Per_Clase="Directo")*INDEX(Dot_V,0,MIN(10,EL$136)))*(EL$134+EL$135*V_PreDir)</f>
        <v>0</v>
      </c>
      <c r="EM170" s="36" t="n">
        <f aca="false">SUMPRODUCT((Per_Clase="Directo")*INDEX(Dot_V,0,MIN(10,EM$136)))*(EM$134+EM$135*V_PreDir)</f>
        <v>0</v>
      </c>
      <c r="EN170" s="36" t="n">
        <f aca="false">SUMPRODUCT((Per_Clase="Directo")*INDEX(Dot_V,0,MIN(10,EN$136)))*(EN$134+EN$135*V_PreDir)</f>
        <v>0</v>
      </c>
      <c r="EO170" s="36" t="n">
        <f aca="false">SUMPRODUCT((Per_Clase="Directo")*INDEX(Dot_V,0,MIN(10,EO$136)))*(EO$134+EO$135*V_PreDir)</f>
        <v>0</v>
      </c>
      <c r="EP170" s="36" t="n">
        <f aca="false">SUMPRODUCT((Per_Clase="Directo")*INDEX(Dot_V,0,MIN(10,EP$136)))*(EP$134+EP$135*V_PreDir)</f>
        <v>0</v>
      </c>
      <c r="EQ170" s="36" t="n">
        <f aca="false">SUMPRODUCT((Per_Clase="Directo")*INDEX(Dot_V,0,MIN(10,EQ$136)))*(EQ$134+EQ$135*V_PreDir)</f>
        <v>0</v>
      </c>
      <c r="ER170" s="36" t="n">
        <f aca="false">SUMPRODUCT((Per_Clase="Directo")*INDEX(Dot_V,0,MIN(10,ER$136)))*(ER$134+ER$135*V_PreDir)</f>
        <v>0</v>
      </c>
      <c r="ES170" s="36" t="n">
        <f aca="false">SUMPRODUCT((Per_Clase="Directo")*INDEX(Dot_V,0,MIN(10,ES$136)))*(ES$134+ES$135*V_PreDir)</f>
        <v>0</v>
      </c>
    </row>
    <row r="171" customFormat="false" ht="15" hidden="false" customHeight="false" outlineLevel="0" collapsed="false">
      <c r="A171" s="2" t="s">
        <v>649</v>
      </c>
      <c r="B171" s="6" t="s">
        <v>471</v>
      </c>
      <c r="C171" s="6" t="s">
        <v>212</v>
      </c>
      <c r="E171" s="40" t="n">
        <f aca="false">SUM(F171:ES171)</f>
        <v>0</v>
      </c>
      <c r="F171" s="34" t="n">
        <f aca="false">SUMPRODUCT((Per_Clase="Directo")*Sal_V*INDEX(Dot_V,0,MIN(10,F$136))*((Per_Mon="PYG")*F$138+(Per_Mon&lt;&gt;"PYG")))*(F$134+F$135*V_PreDir)*INDEX(IdxSal_V,1,MIN(10,F$136))*(1+V_Cargas)+F$170*V_Alim*F$138</f>
        <v>0</v>
      </c>
      <c r="G171" s="34" t="n">
        <f aca="false">SUMPRODUCT((Per_Clase="Directo")*Sal_V*INDEX(Dot_V,0,MIN(10,G$136))*((Per_Mon="PYG")*G$138+(Per_Mon&lt;&gt;"PYG")))*(G$134+G$135*V_PreDir)*INDEX(IdxSal_V,1,MIN(10,G$136))*(1+V_Cargas)+G$170*V_Alim*G$138</f>
        <v>0</v>
      </c>
      <c r="H171" s="34" t="n">
        <f aca="false">SUMPRODUCT((Per_Clase="Directo")*Sal_V*INDEX(Dot_V,0,MIN(10,H$136))*((Per_Mon="PYG")*H$138+(Per_Mon&lt;&gt;"PYG")))*(H$134+H$135*V_PreDir)*INDEX(IdxSal_V,1,MIN(10,H$136))*(1+V_Cargas)+H$170*V_Alim*H$138</f>
        <v>0</v>
      </c>
      <c r="I171" s="34" t="n">
        <f aca="false">SUMPRODUCT((Per_Clase="Directo")*Sal_V*INDEX(Dot_V,0,MIN(10,I$136))*((Per_Mon="PYG")*I$138+(Per_Mon&lt;&gt;"PYG")))*(I$134+I$135*V_PreDir)*INDEX(IdxSal_V,1,MIN(10,I$136))*(1+V_Cargas)+I$170*V_Alim*I$138</f>
        <v>0</v>
      </c>
      <c r="J171" s="34" t="n">
        <f aca="false">SUMPRODUCT((Per_Clase="Directo")*Sal_V*INDEX(Dot_V,0,MIN(10,J$136))*((Per_Mon="PYG")*J$138+(Per_Mon&lt;&gt;"PYG")))*(J$134+J$135*V_PreDir)*INDEX(IdxSal_V,1,MIN(10,J$136))*(1+V_Cargas)+J$170*V_Alim*J$138</f>
        <v>0</v>
      </c>
      <c r="K171" s="34" t="n">
        <f aca="false">SUMPRODUCT((Per_Clase="Directo")*Sal_V*INDEX(Dot_V,0,MIN(10,K$136))*((Per_Mon="PYG")*K$138+(Per_Mon&lt;&gt;"PYG")))*(K$134+K$135*V_PreDir)*INDEX(IdxSal_V,1,MIN(10,K$136))*(1+V_Cargas)+K$170*V_Alim*K$138</f>
        <v>0</v>
      </c>
      <c r="L171" s="34" t="n">
        <f aca="false">SUMPRODUCT((Per_Clase="Directo")*Sal_V*INDEX(Dot_V,0,MIN(10,L$136))*((Per_Mon="PYG")*L$138+(Per_Mon&lt;&gt;"PYG")))*(L$134+L$135*V_PreDir)*INDEX(IdxSal_V,1,MIN(10,L$136))*(1+V_Cargas)+L$170*V_Alim*L$138</f>
        <v>0</v>
      </c>
      <c r="M171" s="34" t="n">
        <f aca="false">SUMPRODUCT((Per_Clase="Directo")*Sal_V*INDEX(Dot_V,0,MIN(10,M$136))*((Per_Mon="PYG")*M$138+(Per_Mon&lt;&gt;"PYG")))*(M$134+M$135*V_PreDir)*INDEX(IdxSal_V,1,MIN(10,M$136))*(1+V_Cargas)+M$170*V_Alim*M$138</f>
        <v>0</v>
      </c>
      <c r="N171" s="34" t="n">
        <f aca="false">SUMPRODUCT((Per_Clase="Directo")*Sal_V*INDEX(Dot_V,0,MIN(10,N$136))*((Per_Mon="PYG")*N$138+(Per_Mon&lt;&gt;"PYG")))*(N$134+N$135*V_PreDir)*INDEX(IdxSal_V,1,MIN(10,N$136))*(1+V_Cargas)+N$170*V_Alim*N$138</f>
        <v>0</v>
      </c>
      <c r="O171" s="34" t="n">
        <f aca="false">SUMPRODUCT((Per_Clase="Directo")*Sal_V*INDEX(Dot_V,0,MIN(10,O$136))*((Per_Mon="PYG")*O$138+(Per_Mon&lt;&gt;"PYG")))*(O$134+O$135*V_PreDir)*INDEX(IdxSal_V,1,MIN(10,O$136))*(1+V_Cargas)+O$170*V_Alim*O$138</f>
        <v>0</v>
      </c>
      <c r="P171" s="34" t="n">
        <f aca="false">SUMPRODUCT((Per_Clase="Directo")*Sal_V*INDEX(Dot_V,0,MIN(10,P$136))*((Per_Mon="PYG")*P$138+(Per_Mon&lt;&gt;"PYG")))*(P$134+P$135*V_PreDir)*INDEX(IdxSal_V,1,MIN(10,P$136))*(1+V_Cargas)+P$170*V_Alim*P$138</f>
        <v>0</v>
      </c>
      <c r="Q171" s="34" t="n">
        <f aca="false">SUMPRODUCT((Per_Clase="Directo")*Sal_V*INDEX(Dot_V,0,MIN(10,Q$136))*((Per_Mon="PYG")*Q$138+(Per_Mon&lt;&gt;"PYG")))*(Q$134+Q$135*V_PreDir)*INDEX(IdxSal_V,1,MIN(10,Q$136))*(1+V_Cargas)+Q$170*V_Alim*Q$138</f>
        <v>0</v>
      </c>
      <c r="R171" s="34" t="n">
        <f aca="false">SUMPRODUCT((Per_Clase="Directo")*Sal_V*INDEX(Dot_V,0,MIN(10,R$136))*((Per_Mon="PYG")*R$138+(Per_Mon&lt;&gt;"PYG")))*(R$134+R$135*V_PreDir)*INDEX(IdxSal_V,1,MIN(10,R$136))*(1+V_Cargas)+R$170*V_Alim*R$138</f>
        <v>0</v>
      </c>
      <c r="S171" s="34" t="n">
        <f aca="false">SUMPRODUCT((Per_Clase="Directo")*Sal_V*INDEX(Dot_V,0,MIN(10,S$136))*((Per_Mon="PYG")*S$138+(Per_Mon&lt;&gt;"PYG")))*(S$134+S$135*V_PreDir)*INDEX(IdxSal_V,1,MIN(10,S$136))*(1+V_Cargas)+S$170*V_Alim*S$138</f>
        <v>0</v>
      </c>
      <c r="T171" s="34" t="n">
        <f aca="false">SUMPRODUCT((Per_Clase="Directo")*Sal_V*INDEX(Dot_V,0,MIN(10,T$136))*((Per_Mon="PYG")*T$138+(Per_Mon&lt;&gt;"PYG")))*(T$134+T$135*V_PreDir)*INDEX(IdxSal_V,1,MIN(10,T$136))*(1+V_Cargas)+T$170*V_Alim*T$138</f>
        <v>0</v>
      </c>
      <c r="U171" s="34" t="n">
        <f aca="false">SUMPRODUCT((Per_Clase="Directo")*Sal_V*INDEX(Dot_V,0,MIN(10,U$136))*((Per_Mon="PYG")*U$138+(Per_Mon&lt;&gt;"PYG")))*(U$134+U$135*V_PreDir)*INDEX(IdxSal_V,1,MIN(10,U$136))*(1+V_Cargas)+U$170*V_Alim*U$138</f>
        <v>0</v>
      </c>
      <c r="V171" s="34" t="n">
        <f aca="false">SUMPRODUCT((Per_Clase="Directo")*Sal_V*INDEX(Dot_V,0,MIN(10,V$136))*((Per_Mon="PYG")*V$138+(Per_Mon&lt;&gt;"PYG")))*(V$134+V$135*V_PreDir)*INDEX(IdxSal_V,1,MIN(10,V$136))*(1+V_Cargas)+V$170*V_Alim*V$138</f>
        <v>0</v>
      </c>
      <c r="W171" s="34" t="n">
        <f aca="false">SUMPRODUCT((Per_Clase="Directo")*Sal_V*INDEX(Dot_V,0,MIN(10,W$136))*((Per_Mon="PYG")*W$138+(Per_Mon&lt;&gt;"PYG")))*(W$134+W$135*V_PreDir)*INDEX(IdxSal_V,1,MIN(10,W$136))*(1+V_Cargas)+W$170*V_Alim*W$138</f>
        <v>0</v>
      </c>
      <c r="X171" s="34" t="n">
        <f aca="false">SUMPRODUCT((Per_Clase="Directo")*Sal_V*INDEX(Dot_V,0,MIN(10,X$136))*((Per_Mon="PYG")*X$138+(Per_Mon&lt;&gt;"PYG")))*(X$134+X$135*V_PreDir)*INDEX(IdxSal_V,1,MIN(10,X$136))*(1+V_Cargas)+X$170*V_Alim*X$138</f>
        <v>0</v>
      </c>
      <c r="Y171" s="34" t="n">
        <f aca="false">SUMPRODUCT((Per_Clase="Directo")*Sal_V*INDEX(Dot_V,0,MIN(10,Y$136))*((Per_Mon="PYG")*Y$138+(Per_Mon&lt;&gt;"PYG")))*(Y$134+Y$135*V_PreDir)*INDEX(IdxSal_V,1,MIN(10,Y$136))*(1+V_Cargas)+Y$170*V_Alim*Y$138</f>
        <v>0</v>
      </c>
      <c r="Z171" s="34" t="n">
        <f aca="false">SUMPRODUCT((Per_Clase="Directo")*Sal_V*INDEX(Dot_V,0,MIN(10,Z$136))*((Per_Mon="PYG")*Z$138+(Per_Mon&lt;&gt;"PYG")))*(Z$134+Z$135*V_PreDir)*INDEX(IdxSal_V,1,MIN(10,Z$136))*(1+V_Cargas)+Z$170*V_Alim*Z$138</f>
        <v>0</v>
      </c>
      <c r="AA171" s="34" t="n">
        <f aca="false">SUMPRODUCT((Per_Clase="Directo")*Sal_V*INDEX(Dot_V,0,MIN(10,AA$136))*((Per_Mon="PYG")*AA$138+(Per_Mon&lt;&gt;"PYG")))*(AA$134+AA$135*V_PreDir)*INDEX(IdxSal_V,1,MIN(10,AA$136))*(1+V_Cargas)+AA$170*V_Alim*AA$138</f>
        <v>0</v>
      </c>
      <c r="AB171" s="34" t="n">
        <f aca="false">SUMPRODUCT((Per_Clase="Directo")*Sal_V*INDEX(Dot_V,0,MIN(10,AB$136))*((Per_Mon="PYG")*AB$138+(Per_Mon&lt;&gt;"PYG")))*(AB$134+AB$135*V_PreDir)*INDEX(IdxSal_V,1,MIN(10,AB$136))*(1+V_Cargas)+AB$170*V_Alim*AB$138</f>
        <v>0</v>
      </c>
      <c r="AC171" s="34" t="n">
        <f aca="false">SUMPRODUCT((Per_Clase="Directo")*Sal_V*INDEX(Dot_V,0,MIN(10,AC$136))*((Per_Mon="PYG")*AC$138+(Per_Mon&lt;&gt;"PYG")))*(AC$134+AC$135*V_PreDir)*INDEX(IdxSal_V,1,MIN(10,AC$136))*(1+V_Cargas)+AC$170*V_Alim*AC$138</f>
        <v>0</v>
      </c>
      <c r="AD171" s="34" t="n">
        <f aca="false">SUMPRODUCT((Per_Clase="Directo")*Sal_V*INDEX(Dot_V,0,MIN(10,AD$136))*((Per_Mon="PYG")*AD$138+(Per_Mon&lt;&gt;"PYG")))*(AD$134+AD$135*V_PreDir)*INDEX(IdxSal_V,1,MIN(10,AD$136))*(1+V_Cargas)+AD$170*V_Alim*AD$138</f>
        <v>0</v>
      </c>
      <c r="AE171" s="34" t="n">
        <f aca="false">SUMPRODUCT((Per_Clase="Directo")*Sal_V*INDEX(Dot_V,0,MIN(10,AE$136))*((Per_Mon="PYG")*AE$138+(Per_Mon&lt;&gt;"PYG")))*(AE$134+AE$135*V_PreDir)*INDEX(IdxSal_V,1,MIN(10,AE$136))*(1+V_Cargas)+AE$170*V_Alim*AE$138</f>
        <v>0</v>
      </c>
      <c r="AF171" s="34" t="n">
        <f aca="false">SUMPRODUCT((Per_Clase="Directo")*Sal_V*INDEX(Dot_V,0,MIN(10,AF$136))*((Per_Mon="PYG")*AF$138+(Per_Mon&lt;&gt;"PYG")))*(AF$134+AF$135*V_PreDir)*INDEX(IdxSal_V,1,MIN(10,AF$136))*(1+V_Cargas)+AF$170*V_Alim*AF$138</f>
        <v>0</v>
      </c>
      <c r="AG171" s="34" t="n">
        <f aca="false">SUMPRODUCT((Per_Clase="Directo")*Sal_V*INDEX(Dot_V,0,MIN(10,AG$136))*((Per_Mon="PYG")*AG$138+(Per_Mon&lt;&gt;"PYG")))*(AG$134+AG$135*V_PreDir)*INDEX(IdxSal_V,1,MIN(10,AG$136))*(1+V_Cargas)+AG$170*V_Alim*AG$138</f>
        <v>0</v>
      </c>
      <c r="AH171" s="34" t="n">
        <f aca="false">SUMPRODUCT((Per_Clase="Directo")*Sal_V*INDEX(Dot_V,0,MIN(10,AH$136))*((Per_Mon="PYG")*AH$138+(Per_Mon&lt;&gt;"PYG")))*(AH$134+AH$135*V_PreDir)*INDEX(IdxSal_V,1,MIN(10,AH$136))*(1+V_Cargas)+AH$170*V_Alim*AH$138</f>
        <v>0</v>
      </c>
      <c r="AI171" s="34" t="n">
        <f aca="false">SUMPRODUCT((Per_Clase="Directo")*Sal_V*INDEX(Dot_V,0,MIN(10,AI$136))*((Per_Mon="PYG")*AI$138+(Per_Mon&lt;&gt;"PYG")))*(AI$134+AI$135*V_PreDir)*INDEX(IdxSal_V,1,MIN(10,AI$136))*(1+V_Cargas)+AI$170*V_Alim*AI$138</f>
        <v>0</v>
      </c>
      <c r="AJ171" s="34" t="n">
        <f aca="false">SUMPRODUCT((Per_Clase="Directo")*Sal_V*INDEX(Dot_V,0,MIN(10,AJ$136))*((Per_Mon="PYG")*AJ$138+(Per_Mon&lt;&gt;"PYG")))*(AJ$134+AJ$135*V_PreDir)*INDEX(IdxSal_V,1,MIN(10,AJ$136))*(1+V_Cargas)+AJ$170*V_Alim*AJ$138</f>
        <v>0</v>
      </c>
      <c r="AK171" s="34" t="n">
        <f aca="false">SUMPRODUCT((Per_Clase="Directo")*Sal_V*INDEX(Dot_V,0,MIN(10,AK$136))*((Per_Mon="PYG")*AK$138+(Per_Mon&lt;&gt;"PYG")))*(AK$134+AK$135*V_PreDir)*INDEX(IdxSal_V,1,MIN(10,AK$136))*(1+V_Cargas)+AK$170*V_Alim*AK$138</f>
        <v>0</v>
      </c>
      <c r="AL171" s="34" t="n">
        <f aca="false">SUMPRODUCT((Per_Clase="Directo")*Sal_V*INDEX(Dot_V,0,MIN(10,AL$136))*((Per_Mon="PYG")*AL$138+(Per_Mon&lt;&gt;"PYG")))*(AL$134+AL$135*V_PreDir)*INDEX(IdxSal_V,1,MIN(10,AL$136))*(1+V_Cargas)+AL$170*V_Alim*AL$138</f>
        <v>0</v>
      </c>
      <c r="AM171" s="34" t="n">
        <f aca="false">SUMPRODUCT((Per_Clase="Directo")*Sal_V*INDEX(Dot_V,0,MIN(10,AM$136))*((Per_Mon="PYG")*AM$138+(Per_Mon&lt;&gt;"PYG")))*(AM$134+AM$135*V_PreDir)*INDEX(IdxSal_V,1,MIN(10,AM$136))*(1+V_Cargas)+AM$170*V_Alim*AM$138</f>
        <v>0</v>
      </c>
      <c r="AN171" s="34" t="n">
        <f aca="false">SUMPRODUCT((Per_Clase="Directo")*Sal_V*INDEX(Dot_V,0,MIN(10,AN$136))*((Per_Mon="PYG")*AN$138+(Per_Mon&lt;&gt;"PYG")))*(AN$134+AN$135*V_PreDir)*INDEX(IdxSal_V,1,MIN(10,AN$136))*(1+V_Cargas)+AN$170*V_Alim*AN$138</f>
        <v>0</v>
      </c>
      <c r="AO171" s="34" t="n">
        <f aca="false">SUMPRODUCT((Per_Clase="Directo")*Sal_V*INDEX(Dot_V,0,MIN(10,AO$136))*((Per_Mon="PYG")*AO$138+(Per_Mon&lt;&gt;"PYG")))*(AO$134+AO$135*V_PreDir)*INDEX(IdxSal_V,1,MIN(10,AO$136))*(1+V_Cargas)+AO$170*V_Alim*AO$138</f>
        <v>0</v>
      </c>
      <c r="AP171" s="34" t="n">
        <f aca="false">SUMPRODUCT((Per_Clase="Directo")*Sal_V*INDEX(Dot_V,0,MIN(10,AP$136))*((Per_Mon="PYG")*AP$138+(Per_Mon&lt;&gt;"PYG")))*(AP$134+AP$135*V_PreDir)*INDEX(IdxSal_V,1,MIN(10,AP$136))*(1+V_Cargas)+AP$170*V_Alim*AP$138</f>
        <v>0</v>
      </c>
      <c r="AQ171" s="34" t="n">
        <f aca="false">SUMPRODUCT((Per_Clase="Directo")*Sal_V*INDEX(Dot_V,0,MIN(10,AQ$136))*((Per_Mon="PYG")*AQ$138+(Per_Mon&lt;&gt;"PYG")))*(AQ$134+AQ$135*V_PreDir)*INDEX(IdxSal_V,1,MIN(10,AQ$136))*(1+V_Cargas)+AQ$170*V_Alim*AQ$138</f>
        <v>0</v>
      </c>
      <c r="AR171" s="34" t="n">
        <f aca="false">SUMPRODUCT((Per_Clase="Directo")*Sal_V*INDEX(Dot_V,0,MIN(10,AR$136))*((Per_Mon="PYG")*AR$138+(Per_Mon&lt;&gt;"PYG")))*(AR$134+AR$135*V_PreDir)*INDEX(IdxSal_V,1,MIN(10,AR$136))*(1+V_Cargas)+AR$170*V_Alim*AR$138</f>
        <v>0</v>
      </c>
      <c r="AS171" s="34" t="n">
        <f aca="false">SUMPRODUCT((Per_Clase="Directo")*Sal_V*INDEX(Dot_V,0,MIN(10,AS$136))*((Per_Mon="PYG")*AS$138+(Per_Mon&lt;&gt;"PYG")))*(AS$134+AS$135*V_PreDir)*INDEX(IdxSal_V,1,MIN(10,AS$136))*(1+V_Cargas)+AS$170*V_Alim*AS$138</f>
        <v>0</v>
      </c>
      <c r="AT171" s="34" t="n">
        <f aca="false">SUMPRODUCT((Per_Clase="Directo")*Sal_V*INDEX(Dot_V,0,MIN(10,AT$136))*((Per_Mon="PYG")*AT$138+(Per_Mon&lt;&gt;"PYG")))*(AT$134+AT$135*V_PreDir)*INDEX(IdxSal_V,1,MIN(10,AT$136))*(1+V_Cargas)+AT$170*V_Alim*AT$138</f>
        <v>0</v>
      </c>
      <c r="AU171" s="34" t="n">
        <f aca="false">SUMPRODUCT((Per_Clase="Directo")*Sal_V*INDEX(Dot_V,0,MIN(10,AU$136))*((Per_Mon="PYG")*AU$138+(Per_Mon&lt;&gt;"PYG")))*(AU$134+AU$135*V_PreDir)*INDEX(IdxSal_V,1,MIN(10,AU$136))*(1+V_Cargas)+AU$170*V_Alim*AU$138</f>
        <v>0</v>
      </c>
      <c r="AV171" s="34" t="n">
        <f aca="false">SUMPRODUCT((Per_Clase="Directo")*Sal_V*INDEX(Dot_V,0,MIN(10,AV$136))*((Per_Mon="PYG")*AV$138+(Per_Mon&lt;&gt;"PYG")))*(AV$134+AV$135*V_PreDir)*INDEX(IdxSal_V,1,MIN(10,AV$136))*(1+V_Cargas)+AV$170*V_Alim*AV$138</f>
        <v>0</v>
      </c>
      <c r="AW171" s="34" t="n">
        <f aca="false">SUMPRODUCT((Per_Clase="Directo")*Sal_V*INDEX(Dot_V,0,MIN(10,AW$136))*((Per_Mon="PYG")*AW$138+(Per_Mon&lt;&gt;"PYG")))*(AW$134+AW$135*V_PreDir)*INDEX(IdxSal_V,1,MIN(10,AW$136))*(1+V_Cargas)+AW$170*V_Alim*AW$138</f>
        <v>0</v>
      </c>
      <c r="AX171" s="34" t="n">
        <f aca="false">SUMPRODUCT((Per_Clase="Directo")*Sal_V*INDEX(Dot_V,0,MIN(10,AX$136))*((Per_Mon="PYG")*AX$138+(Per_Mon&lt;&gt;"PYG")))*(AX$134+AX$135*V_PreDir)*INDEX(IdxSal_V,1,MIN(10,AX$136))*(1+V_Cargas)+AX$170*V_Alim*AX$138</f>
        <v>0</v>
      </c>
      <c r="AY171" s="34" t="n">
        <f aca="false">SUMPRODUCT((Per_Clase="Directo")*Sal_V*INDEX(Dot_V,0,MIN(10,AY$136))*((Per_Mon="PYG")*AY$138+(Per_Mon&lt;&gt;"PYG")))*(AY$134+AY$135*V_PreDir)*INDEX(IdxSal_V,1,MIN(10,AY$136))*(1+V_Cargas)+AY$170*V_Alim*AY$138</f>
        <v>0</v>
      </c>
      <c r="AZ171" s="34" t="n">
        <f aca="false">SUMPRODUCT((Per_Clase="Directo")*Sal_V*INDEX(Dot_V,0,MIN(10,AZ$136))*((Per_Mon="PYG")*AZ$138+(Per_Mon&lt;&gt;"PYG")))*(AZ$134+AZ$135*V_PreDir)*INDEX(IdxSal_V,1,MIN(10,AZ$136))*(1+V_Cargas)+AZ$170*V_Alim*AZ$138</f>
        <v>0</v>
      </c>
      <c r="BA171" s="34" t="n">
        <f aca="false">SUMPRODUCT((Per_Clase="Directo")*Sal_V*INDEX(Dot_V,0,MIN(10,BA$136))*((Per_Mon="PYG")*BA$138+(Per_Mon&lt;&gt;"PYG")))*(BA$134+BA$135*V_PreDir)*INDEX(IdxSal_V,1,MIN(10,BA$136))*(1+V_Cargas)+BA$170*V_Alim*BA$138</f>
        <v>0</v>
      </c>
      <c r="BB171" s="34" t="n">
        <f aca="false">SUMPRODUCT((Per_Clase="Directo")*Sal_V*INDEX(Dot_V,0,MIN(10,BB$136))*((Per_Mon="PYG")*BB$138+(Per_Mon&lt;&gt;"PYG")))*(BB$134+BB$135*V_PreDir)*INDEX(IdxSal_V,1,MIN(10,BB$136))*(1+V_Cargas)+BB$170*V_Alim*BB$138</f>
        <v>0</v>
      </c>
      <c r="BC171" s="34" t="n">
        <f aca="false">SUMPRODUCT((Per_Clase="Directo")*Sal_V*INDEX(Dot_V,0,MIN(10,BC$136))*((Per_Mon="PYG")*BC$138+(Per_Mon&lt;&gt;"PYG")))*(BC$134+BC$135*V_PreDir)*INDEX(IdxSal_V,1,MIN(10,BC$136))*(1+V_Cargas)+BC$170*V_Alim*BC$138</f>
        <v>0</v>
      </c>
      <c r="BD171" s="34" t="n">
        <f aca="false">SUMPRODUCT((Per_Clase="Directo")*Sal_V*INDEX(Dot_V,0,MIN(10,BD$136))*((Per_Mon="PYG")*BD$138+(Per_Mon&lt;&gt;"PYG")))*(BD$134+BD$135*V_PreDir)*INDEX(IdxSal_V,1,MIN(10,BD$136))*(1+V_Cargas)+BD$170*V_Alim*BD$138</f>
        <v>0</v>
      </c>
      <c r="BE171" s="34" t="n">
        <f aca="false">SUMPRODUCT((Per_Clase="Directo")*Sal_V*INDEX(Dot_V,0,MIN(10,BE$136))*((Per_Mon="PYG")*BE$138+(Per_Mon&lt;&gt;"PYG")))*(BE$134+BE$135*V_PreDir)*INDEX(IdxSal_V,1,MIN(10,BE$136))*(1+V_Cargas)+BE$170*V_Alim*BE$138</f>
        <v>0</v>
      </c>
      <c r="BF171" s="34" t="n">
        <f aca="false">SUMPRODUCT((Per_Clase="Directo")*Sal_V*INDEX(Dot_V,0,MIN(10,BF$136))*((Per_Mon="PYG")*BF$138+(Per_Mon&lt;&gt;"PYG")))*(BF$134+BF$135*V_PreDir)*INDEX(IdxSal_V,1,MIN(10,BF$136))*(1+V_Cargas)+BF$170*V_Alim*BF$138</f>
        <v>0</v>
      </c>
      <c r="BG171" s="34" t="n">
        <f aca="false">SUMPRODUCT((Per_Clase="Directo")*Sal_V*INDEX(Dot_V,0,MIN(10,BG$136))*((Per_Mon="PYG")*BG$138+(Per_Mon&lt;&gt;"PYG")))*(BG$134+BG$135*V_PreDir)*INDEX(IdxSal_V,1,MIN(10,BG$136))*(1+V_Cargas)+BG$170*V_Alim*BG$138</f>
        <v>0</v>
      </c>
      <c r="BH171" s="34" t="n">
        <f aca="false">SUMPRODUCT((Per_Clase="Directo")*Sal_V*INDEX(Dot_V,0,MIN(10,BH$136))*((Per_Mon="PYG")*BH$138+(Per_Mon&lt;&gt;"PYG")))*(BH$134+BH$135*V_PreDir)*INDEX(IdxSal_V,1,MIN(10,BH$136))*(1+V_Cargas)+BH$170*V_Alim*BH$138</f>
        <v>0</v>
      </c>
      <c r="BI171" s="34" t="n">
        <f aca="false">SUMPRODUCT((Per_Clase="Directo")*Sal_V*INDEX(Dot_V,0,MIN(10,BI$136))*((Per_Mon="PYG")*BI$138+(Per_Mon&lt;&gt;"PYG")))*(BI$134+BI$135*V_PreDir)*INDEX(IdxSal_V,1,MIN(10,BI$136))*(1+V_Cargas)+BI$170*V_Alim*BI$138</f>
        <v>0</v>
      </c>
      <c r="BJ171" s="34" t="n">
        <f aca="false">SUMPRODUCT((Per_Clase="Directo")*Sal_V*INDEX(Dot_V,0,MIN(10,BJ$136))*((Per_Mon="PYG")*BJ$138+(Per_Mon&lt;&gt;"PYG")))*(BJ$134+BJ$135*V_PreDir)*INDEX(IdxSal_V,1,MIN(10,BJ$136))*(1+V_Cargas)+BJ$170*V_Alim*BJ$138</f>
        <v>0</v>
      </c>
      <c r="BK171" s="34" t="n">
        <f aca="false">SUMPRODUCT((Per_Clase="Directo")*Sal_V*INDEX(Dot_V,0,MIN(10,BK$136))*((Per_Mon="PYG")*BK$138+(Per_Mon&lt;&gt;"PYG")))*(BK$134+BK$135*V_PreDir)*INDEX(IdxSal_V,1,MIN(10,BK$136))*(1+V_Cargas)+BK$170*V_Alim*BK$138</f>
        <v>0</v>
      </c>
      <c r="BL171" s="34" t="n">
        <f aca="false">SUMPRODUCT((Per_Clase="Directo")*Sal_V*INDEX(Dot_V,0,MIN(10,BL$136))*((Per_Mon="PYG")*BL$138+(Per_Mon&lt;&gt;"PYG")))*(BL$134+BL$135*V_PreDir)*INDEX(IdxSal_V,1,MIN(10,BL$136))*(1+V_Cargas)+BL$170*V_Alim*BL$138</f>
        <v>0</v>
      </c>
      <c r="BM171" s="34" t="n">
        <f aca="false">SUMPRODUCT((Per_Clase="Directo")*Sal_V*INDEX(Dot_V,0,MIN(10,BM$136))*((Per_Mon="PYG")*BM$138+(Per_Mon&lt;&gt;"PYG")))*(BM$134+BM$135*V_PreDir)*INDEX(IdxSal_V,1,MIN(10,BM$136))*(1+V_Cargas)+BM$170*V_Alim*BM$138</f>
        <v>0</v>
      </c>
      <c r="BN171" s="34" t="n">
        <f aca="false">SUMPRODUCT((Per_Clase="Directo")*Sal_V*INDEX(Dot_V,0,MIN(10,BN$136))*((Per_Mon="PYG")*BN$138+(Per_Mon&lt;&gt;"PYG")))*(BN$134+BN$135*V_PreDir)*INDEX(IdxSal_V,1,MIN(10,BN$136))*(1+V_Cargas)+BN$170*V_Alim*BN$138</f>
        <v>0</v>
      </c>
      <c r="BO171" s="34" t="n">
        <f aca="false">SUMPRODUCT((Per_Clase="Directo")*Sal_V*INDEX(Dot_V,0,MIN(10,BO$136))*((Per_Mon="PYG")*BO$138+(Per_Mon&lt;&gt;"PYG")))*(BO$134+BO$135*V_PreDir)*INDEX(IdxSal_V,1,MIN(10,BO$136))*(1+V_Cargas)+BO$170*V_Alim*BO$138</f>
        <v>0</v>
      </c>
      <c r="BP171" s="34" t="n">
        <f aca="false">SUMPRODUCT((Per_Clase="Directo")*Sal_V*INDEX(Dot_V,0,MIN(10,BP$136))*((Per_Mon="PYG")*BP$138+(Per_Mon&lt;&gt;"PYG")))*(BP$134+BP$135*V_PreDir)*INDEX(IdxSal_V,1,MIN(10,BP$136))*(1+V_Cargas)+BP$170*V_Alim*BP$138</f>
        <v>0</v>
      </c>
      <c r="BQ171" s="34" t="n">
        <f aca="false">SUMPRODUCT((Per_Clase="Directo")*Sal_V*INDEX(Dot_V,0,MIN(10,BQ$136))*((Per_Mon="PYG")*BQ$138+(Per_Mon&lt;&gt;"PYG")))*(BQ$134+BQ$135*V_PreDir)*INDEX(IdxSal_V,1,MIN(10,BQ$136))*(1+V_Cargas)+BQ$170*V_Alim*BQ$138</f>
        <v>0</v>
      </c>
      <c r="BR171" s="34" t="n">
        <f aca="false">SUMPRODUCT((Per_Clase="Directo")*Sal_V*INDEX(Dot_V,0,MIN(10,BR$136))*((Per_Mon="PYG")*BR$138+(Per_Mon&lt;&gt;"PYG")))*(BR$134+BR$135*V_PreDir)*INDEX(IdxSal_V,1,MIN(10,BR$136))*(1+V_Cargas)+BR$170*V_Alim*BR$138</f>
        <v>0</v>
      </c>
      <c r="BS171" s="34" t="n">
        <f aca="false">SUMPRODUCT((Per_Clase="Directo")*Sal_V*INDEX(Dot_V,0,MIN(10,BS$136))*((Per_Mon="PYG")*BS$138+(Per_Mon&lt;&gt;"PYG")))*(BS$134+BS$135*V_PreDir)*INDEX(IdxSal_V,1,MIN(10,BS$136))*(1+V_Cargas)+BS$170*V_Alim*BS$138</f>
        <v>0</v>
      </c>
      <c r="BT171" s="34" t="n">
        <f aca="false">SUMPRODUCT((Per_Clase="Directo")*Sal_V*INDEX(Dot_V,0,MIN(10,BT$136))*((Per_Mon="PYG")*BT$138+(Per_Mon&lt;&gt;"PYG")))*(BT$134+BT$135*V_PreDir)*INDEX(IdxSal_V,1,MIN(10,BT$136))*(1+V_Cargas)+BT$170*V_Alim*BT$138</f>
        <v>0</v>
      </c>
      <c r="BU171" s="34" t="n">
        <f aca="false">SUMPRODUCT((Per_Clase="Directo")*Sal_V*INDEX(Dot_V,0,MIN(10,BU$136))*((Per_Mon="PYG")*BU$138+(Per_Mon&lt;&gt;"PYG")))*(BU$134+BU$135*V_PreDir)*INDEX(IdxSal_V,1,MIN(10,BU$136))*(1+V_Cargas)+BU$170*V_Alim*BU$138</f>
        <v>0</v>
      </c>
      <c r="BV171" s="34" t="n">
        <f aca="false">SUMPRODUCT((Per_Clase="Directo")*Sal_V*INDEX(Dot_V,0,MIN(10,BV$136))*((Per_Mon="PYG")*BV$138+(Per_Mon&lt;&gt;"PYG")))*(BV$134+BV$135*V_PreDir)*INDEX(IdxSal_V,1,MIN(10,BV$136))*(1+V_Cargas)+BV$170*V_Alim*BV$138</f>
        <v>0</v>
      </c>
      <c r="BW171" s="34" t="n">
        <f aca="false">SUMPRODUCT((Per_Clase="Directo")*Sal_V*INDEX(Dot_V,0,MIN(10,BW$136))*((Per_Mon="PYG")*BW$138+(Per_Mon&lt;&gt;"PYG")))*(BW$134+BW$135*V_PreDir)*INDEX(IdxSal_V,1,MIN(10,BW$136))*(1+V_Cargas)+BW$170*V_Alim*BW$138</f>
        <v>0</v>
      </c>
      <c r="BX171" s="34" t="n">
        <f aca="false">SUMPRODUCT((Per_Clase="Directo")*Sal_V*INDEX(Dot_V,0,MIN(10,BX$136))*((Per_Mon="PYG")*BX$138+(Per_Mon&lt;&gt;"PYG")))*(BX$134+BX$135*V_PreDir)*INDEX(IdxSal_V,1,MIN(10,BX$136))*(1+V_Cargas)+BX$170*V_Alim*BX$138</f>
        <v>0</v>
      </c>
      <c r="BY171" s="34" t="n">
        <f aca="false">SUMPRODUCT((Per_Clase="Directo")*Sal_V*INDEX(Dot_V,0,MIN(10,BY$136))*((Per_Mon="PYG")*BY$138+(Per_Mon&lt;&gt;"PYG")))*(BY$134+BY$135*V_PreDir)*INDEX(IdxSal_V,1,MIN(10,BY$136))*(1+V_Cargas)+BY$170*V_Alim*BY$138</f>
        <v>0</v>
      </c>
      <c r="BZ171" s="34" t="n">
        <f aca="false">SUMPRODUCT((Per_Clase="Directo")*Sal_V*INDEX(Dot_V,0,MIN(10,BZ$136))*((Per_Mon="PYG")*BZ$138+(Per_Mon&lt;&gt;"PYG")))*(BZ$134+BZ$135*V_PreDir)*INDEX(IdxSal_V,1,MIN(10,BZ$136))*(1+V_Cargas)+BZ$170*V_Alim*BZ$138</f>
        <v>0</v>
      </c>
      <c r="CA171" s="34" t="n">
        <f aca="false">SUMPRODUCT((Per_Clase="Directo")*Sal_V*INDEX(Dot_V,0,MIN(10,CA$136))*((Per_Mon="PYG")*CA$138+(Per_Mon&lt;&gt;"PYG")))*(CA$134+CA$135*V_PreDir)*INDEX(IdxSal_V,1,MIN(10,CA$136))*(1+V_Cargas)+CA$170*V_Alim*CA$138</f>
        <v>0</v>
      </c>
      <c r="CB171" s="34" t="n">
        <f aca="false">SUMPRODUCT((Per_Clase="Directo")*Sal_V*INDEX(Dot_V,0,MIN(10,CB$136))*((Per_Mon="PYG")*CB$138+(Per_Mon&lt;&gt;"PYG")))*(CB$134+CB$135*V_PreDir)*INDEX(IdxSal_V,1,MIN(10,CB$136))*(1+V_Cargas)+CB$170*V_Alim*CB$138</f>
        <v>0</v>
      </c>
      <c r="CC171" s="34" t="n">
        <f aca="false">SUMPRODUCT((Per_Clase="Directo")*Sal_V*INDEX(Dot_V,0,MIN(10,CC$136))*((Per_Mon="PYG")*CC$138+(Per_Mon&lt;&gt;"PYG")))*(CC$134+CC$135*V_PreDir)*INDEX(IdxSal_V,1,MIN(10,CC$136))*(1+V_Cargas)+CC$170*V_Alim*CC$138</f>
        <v>0</v>
      </c>
      <c r="CD171" s="34" t="n">
        <f aca="false">SUMPRODUCT((Per_Clase="Directo")*Sal_V*INDEX(Dot_V,0,MIN(10,CD$136))*((Per_Mon="PYG")*CD$138+(Per_Mon&lt;&gt;"PYG")))*(CD$134+CD$135*V_PreDir)*INDEX(IdxSal_V,1,MIN(10,CD$136))*(1+V_Cargas)+CD$170*V_Alim*CD$138</f>
        <v>0</v>
      </c>
      <c r="CE171" s="34" t="n">
        <f aca="false">SUMPRODUCT((Per_Clase="Directo")*Sal_V*INDEX(Dot_V,0,MIN(10,CE$136))*((Per_Mon="PYG")*CE$138+(Per_Mon&lt;&gt;"PYG")))*(CE$134+CE$135*V_PreDir)*INDEX(IdxSal_V,1,MIN(10,CE$136))*(1+V_Cargas)+CE$170*V_Alim*CE$138</f>
        <v>0</v>
      </c>
      <c r="CF171" s="34" t="n">
        <f aca="false">SUMPRODUCT((Per_Clase="Directo")*Sal_V*INDEX(Dot_V,0,MIN(10,CF$136))*((Per_Mon="PYG")*CF$138+(Per_Mon&lt;&gt;"PYG")))*(CF$134+CF$135*V_PreDir)*INDEX(IdxSal_V,1,MIN(10,CF$136))*(1+V_Cargas)+CF$170*V_Alim*CF$138</f>
        <v>0</v>
      </c>
      <c r="CG171" s="34" t="n">
        <f aca="false">SUMPRODUCT((Per_Clase="Directo")*Sal_V*INDEX(Dot_V,0,MIN(10,CG$136))*((Per_Mon="PYG")*CG$138+(Per_Mon&lt;&gt;"PYG")))*(CG$134+CG$135*V_PreDir)*INDEX(IdxSal_V,1,MIN(10,CG$136))*(1+V_Cargas)+CG$170*V_Alim*CG$138</f>
        <v>0</v>
      </c>
      <c r="CH171" s="34" t="n">
        <f aca="false">SUMPRODUCT((Per_Clase="Directo")*Sal_V*INDEX(Dot_V,0,MIN(10,CH$136))*((Per_Mon="PYG")*CH$138+(Per_Mon&lt;&gt;"PYG")))*(CH$134+CH$135*V_PreDir)*INDEX(IdxSal_V,1,MIN(10,CH$136))*(1+V_Cargas)+CH$170*V_Alim*CH$138</f>
        <v>0</v>
      </c>
      <c r="CI171" s="34" t="n">
        <f aca="false">SUMPRODUCT((Per_Clase="Directo")*Sal_V*INDEX(Dot_V,0,MIN(10,CI$136))*((Per_Mon="PYG")*CI$138+(Per_Mon&lt;&gt;"PYG")))*(CI$134+CI$135*V_PreDir)*INDEX(IdxSal_V,1,MIN(10,CI$136))*(1+V_Cargas)+CI$170*V_Alim*CI$138</f>
        <v>0</v>
      </c>
      <c r="CJ171" s="34" t="n">
        <f aca="false">SUMPRODUCT((Per_Clase="Directo")*Sal_V*INDEX(Dot_V,0,MIN(10,CJ$136))*((Per_Mon="PYG")*CJ$138+(Per_Mon&lt;&gt;"PYG")))*(CJ$134+CJ$135*V_PreDir)*INDEX(IdxSal_V,1,MIN(10,CJ$136))*(1+V_Cargas)+CJ$170*V_Alim*CJ$138</f>
        <v>0</v>
      </c>
      <c r="CK171" s="34" t="n">
        <f aca="false">SUMPRODUCT((Per_Clase="Directo")*Sal_V*INDEX(Dot_V,0,MIN(10,CK$136))*((Per_Mon="PYG")*CK$138+(Per_Mon&lt;&gt;"PYG")))*(CK$134+CK$135*V_PreDir)*INDEX(IdxSal_V,1,MIN(10,CK$136))*(1+V_Cargas)+CK$170*V_Alim*CK$138</f>
        <v>0</v>
      </c>
      <c r="CL171" s="34" t="n">
        <f aca="false">SUMPRODUCT((Per_Clase="Directo")*Sal_V*INDEX(Dot_V,0,MIN(10,CL$136))*((Per_Mon="PYG")*CL$138+(Per_Mon&lt;&gt;"PYG")))*(CL$134+CL$135*V_PreDir)*INDEX(IdxSal_V,1,MIN(10,CL$136))*(1+V_Cargas)+CL$170*V_Alim*CL$138</f>
        <v>0</v>
      </c>
      <c r="CM171" s="34" t="n">
        <f aca="false">SUMPRODUCT((Per_Clase="Directo")*Sal_V*INDEX(Dot_V,0,MIN(10,CM$136))*((Per_Mon="PYG")*CM$138+(Per_Mon&lt;&gt;"PYG")))*(CM$134+CM$135*V_PreDir)*INDEX(IdxSal_V,1,MIN(10,CM$136))*(1+V_Cargas)+CM$170*V_Alim*CM$138</f>
        <v>0</v>
      </c>
      <c r="CN171" s="34" t="n">
        <f aca="false">SUMPRODUCT((Per_Clase="Directo")*Sal_V*INDEX(Dot_V,0,MIN(10,CN$136))*((Per_Mon="PYG")*CN$138+(Per_Mon&lt;&gt;"PYG")))*(CN$134+CN$135*V_PreDir)*INDEX(IdxSal_V,1,MIN(10,CN$136))*(1+V_Cargas)+CN$170*V_Alim*CN$138</f>
        <v>0</v>
      </c>
      <c r="CO171" s="34" t="n">
        <f aca="false">SUMPRODUCT((Per_Clase="Directo")*Sal_V*INDEX(Dot_V,0,MIN(10,CO$136))*((Per_Mon="PYG")*CO$138+(Per_Mon&lt;&gt;"PYG")))*(CO$134+CO$135*V_PreDir)*INDEX(IdxSal_V,1,MIN(10,CO$136))*(1+V_Cargas)+CO$170*V_Alim*CO$138</f>
        <v>0</v>
      </c>
      <c r="CP171" s="34" t="n">
        <f aca="false">SUMPRODUCT((Per_Clase="Directo")*Sal_V*INDEX(Dot_V,0,MIN(10,CP$136))*((Per_Mon="PYG")*CP$138+(Per_Mon&lt;&gt;"PYG")))*(CP$134+CP$135*V_PreDir)*INDEX(IdxSal_V,1,MIN(10,CP$136))*(1+V_Cargas)+CP$170*V_Alim*CP$138</f>
        <v>0</v>
      </c>
      <c r="CQ171" s="34" t="n">
        <f aca="false">SUMPRODUCT((Per_Clase="Directo")*Sal_V*INDEX(Dot_V,0,MIN(10,CQ$136))*((Per_Mon="PYG")*CQ$138+(Per_Mon&lt;&gt;"PYG")))*(CQ$134+CQ$135*V_PreDir)*INDEX(IdxSal_V,1,MIN(10,CQ$136))*(1+V_Cargas)+CQ$170*V_Alim*CQ$138</f>
        <v>0</v>
      </c>
      <c r="CR171" s="34" t="n">
        <f aca="false">SUMPRODUCT((Per_Clase="Directo")*Sal_V*INDEX(Dot_V,0,MIN(10,CR$136))*((Per_Mon="PYG")*CR$138+(Per_Mon&lt;&gt;"PYG")))*(CR$134+CR$135*V_PreDir)*INDEX(IdxSal_V,1,MIN(10,CR$136))*(1+V_Cargas)+CR$170*V_Alim*CR$138</f>
        <v>0</v>
      </c>
      <c r="CS171" s="34" t="n">
        <f aca="false">SUMPRODUCT((Per_Clase="Directo")*Sal_V*INDEX(Dot_V,0,MIN(10,CS$136))*((Per_Mon="PYG")*CS$138+(Per_Mon&lt;&gt;"PYG")))*(CS$134+CS$135*V_PreDir)*INDEX(IdxSal_V,1,MIN(10,CS$136))*(1+V_Cargas)+CS$170*V_Alim*CS$138</f>
        <v>0</v>
      </c>
      <c r="CT171" s="34" t="n">
        <f aca="false">SUMPRODUCT((Per_Clase="Directo")*Sal_V*INDEX(Dot_V,0,MIN(10,CT$136))*((Per_Mon="PYG")*CT$138+(Per_Mon&lt;&gt;"PYG")))*(CT$134+CT$135*V_PreDir)*INDEX(IdxSal_V,1,MIN(10,CT$136))*(1+V_Cargas)+CT$170*V_Alim*CT$138</f>
        <v>0</v>
      </c>
      <c r="CU171" s="34" t="n">
        <f aca="false">SUMPRODUCT((Per_Clase="Directo")*Sal_V*INDEX(Dot_V,0,MIN(10,CU$136))*((Per_Mon="PYG")*CU$138+(Per_Mon&lt;&gt;"PYG")))*(CU$134+CU$135*V_PreDir)*INDEX(IdxSal_V,1,MIN(10,CU$136))*(1+V_Cargas)+CU$170*V_Alim*CU$138</f>
        <v>0</v>
      </c>
      <c r="CV171" s="34" t="n">
        <f aca="false">SUMPRODUCT((Per_Clase="Directo")*Sal_V*INDEX(Dot_V,0,MIN(10,CV$136))*((Per_Mon="PYG")*CV$138+(Per_Mon&lt;&gt;"PYG")))*(CV$134+CV$135*V_PreDir)*INDEX(IdxSal_V,1,MIN(10,CV$136))*(1+V_Cargas)+CV$170*V_Alim*CV$138</f>
        <v>0</v>
      </c>
      <c r="CW171" s="34" t="n">
        <f aca="false">SUMPRODUCT((Per_Clase="Directo")*Sal_V*INDEX(Dot_V,0,MIN(10,CW$136))*((Per_Mon="PYG")*CW$138+(Per_Mon&lt;&gt;"PYG")))*(CW$134+CW$135*V_PreDir)*INDEX(IdxSal_V,1,MIN(10,CW$136))*(1+V_Cargas)+CW$170*V_Alim*CW$138</f>
        <v>0</v>
      </c>
      <c r="CX171" s="34" t="n">
        <f aca="false">SUMPRODUCT((Per_Clase="Directo")*Sal_V*INDEX(Dot_V,0,MIN(10,CX$136))*((Per_Mon="PYG")*CX$138+(Per_Mon&lt;&gt;"PYG")))*(CX$134+CX$135*V_PreDir)*INDEX(IdxSal_V,1,MIN(10,CX$136))*(1+V_Cargas)+CX$170*V_Alim*CX$138</f>
        <v>0</v>
      </c>
      <c r="CY171" s="34" t="n">
        <f aca="false">SUMPRODUCT((Per_Clase="Directo")*Sal_V*INDEX(Dot_V,0,MIN(10,CY$136))*((Per_Mon="PYG")*CY$138+(Per_Mon&lt;&gt;"PYG")))*(CY$134+CY$135*V_PreDir)*INDEX(IdxSal_V,1,MIN(10,CY$136))*(1+V_Cargas)+CY$170*V_Alim*CY$138</f>
        <v>0</v>
      </c>
      <c r="CZ171" s="34" t="n">
        <f aca="false">SUMPRODUCT((Per_Clase="Directo")*Sal_V*INDEX(Dot_V,0,MIN(10,CZ$136))*((Per_Mon="PYG")*CZ$138+(Per_Mon&lt;&gt;"PYG")))*(CZ$134+CZ$135*V_PreDir)*INDEX(IdxSal_V,1,MIN(10,CZ$136))*(1+V_Cargas)+CZ$170*V_Alim*CZ$138</f>
        <v>0</v>
      </c>
      <c r="DA171" s="34" t="n">
        <f aca="false">SUMPRODUCT((Per_Clase="Directo")*Sal_V*INDEX(Dot_V,0,MIN(10,DA$136))*((Per_Mon="PYG")*DA$138+(Per_Mon&lt;&gt;"PYG")))*(DA$134+DA$135*V_PreDir)*INDEX(IdxSal_V,1,MIN(10,DA$136))*(1+V_Cargas)+DA$170*V_Alim*DA$138</f>
        <v>0</v>
      </c>
      <c r="DB171" s="34" t="n">
        <f aca="false">SUMPRODUCT((Per_Clase="Directo")*Sal_V*INDEX(Dot_V,0,MIN(10,DB$136))*((Per_Mon="PYG")*DB$138+(Per_Mon&lt;&gt;"PYG")))*(DB$134+DB$135*V_PreDir)*INDEX(IdxSal_V,1,MIN(10,DB$136))*(1+V_Cargas)+DB$170*V_Alim*DB$138</f>
        <v>0</v>
      </c>
      <c r="DC171" s="34" t="n">
        <f aca="false">SUMPRODUCT((Per_Clase="Directo")*Sal_V*INDEX(Dot_V,0,MIN(10,DC$136))*((Per_Mon="PYG")*DC$138+(Per_Mon&lt;&gt;"PYG")))*(DC$134+DC$135*V_PreDir)*INDEX(IdxSal_V,1,MIN(10,DC$136))*(1+V_Cargas)+DC$170*V_Alim*DC$138</f>
        <v>0</v>
      </c>
      <c r="DD171" s="34" t="n">
        <f aca="false">SUMPRODUCT((Per_Clase="Directo")*Sal_V*INDEX(Dot_V,0,MIN(10,DD$136))*((Per_Mon="PYG")*DD$138+(Per_Mon&lt;&gt;"PYG")))*(DD$134+DD$135*V_PreDir)*INDEX(IdxSal_V,1,MIN(10,DD$136))*(1+V_Cargas)+DD$170*V_Alim*DD$138</f>
        <v>0</v>
      </c>
      <c r="DE171" s="34" t="n">
        <f aca="false">SUMPRODUCT((Per_Clase="Directo")*Sal_V*INDEX(Dot_V,0,MIN(10,DE$136))*((Per_Mon="PYG")*DE$138+(Per_Mon&lt;&gt;"PYG")))*(DE$134+DE$135*V_PreDir)*INDEX(IdxSal_V,1,MIN(10,DE$136))*(1+V_Cargas)+DE$170*V_Alim*DE$138</f>
        <v>0</v>
      </c>
      <c r="DF171" s="34" t="n">
        <f aca="false">SUMPRODUCT((Per_Clase="Directo")*Sal_V*INDEX(Dot_V,0,MIN(10,DF$136))*((Per_Mon="PYG")*DF$138+(Per_Mon&lt;&gt;"PYG")))*(DF$134+DF$135*V_PreDir)*INDEX(IdxSal_V,1,MIN(10,DF$136))*(1+V_Cargas)+DF$170*V_Alim*DF$138</f>
        <v>0</v>
      </c>
      <c r="DG171" s="34" t="n">
        <f aca="false">SUMPRODUCT((Per_Clase="Directo")*Sal_V*INDEX(Dot_V,0,MIN(10,DG$136))*((Per_Mon="PYG")*DG$138+(Per_Mon&lt;&gt;"PYG")))*(DG$134+DG$135*V_PreDir)*INDEX(IdxSal_V,1,MIN(10,DG$136))*(1+V_Cargas)+DG$170*V_Alim*DG$138</f>
        <v>0</v>
      </c>
      <c r="DH171" s="34" t="n">
        <f aca="false">SUMPRODUCT((Per_Clase="Directo")*Sal_V*INDEX(Dot_V,0,MIN(10,DH$136))*((Per_Mon="PYG")*DH$138+(Per_Mon&lt;&gt;"PYG")))*(DH$134+DH$135*V_PreDir)*INDEX(IdxSal_V,1,MIN(10,DH$136))*(1+V_Cargas)+DH$170*V_Alim*DH$138</f>
        <v>0</v>
      </c>
      <c r="DI171" s="34" t="n">
        <f aca="false">SUMPRODUCT((Per_Clase="Directo")*Sal_V*INDEX(Dot_V,0,MIN(10,DI$136))*((Per_Mon="PYG")*DI$138+(Per_Mon&lt;&gt;"PYG")))*(DI$134+DI$135*V_PreDir)*INDEX(IdxSal_V,1,MIN(10,DI$136))*(1+V_Cargas)+DI$170*V_Alim*DI$138</f>
        <v>0</v>
      </c>
      <c r="DJ171" s="34" t="n">
        <f aca="false">SUMPRODUCT((Per_Clase="Directo")*Sal_V*INDEX(Dot_V,0,MIN(10,DJ$136))*((Per_Mon="PYG")*DJ$138+(Per_Mon&lt;&gt;"PYG")))*(DJ$134+DJ$135*V_PreDir)*INDEX(IdxSal_V,1,MIN(10,DJ$136))*(1+V_Cargas)+DJ$170*V_Alim*DJ$138</f>
        <v>0</v>
      </c>
      <c r="DK171" s="34" t="n">
        <f aca="false">SUMPRODUCT((Per_Clase="Directo")*Sal_V*INDEX(Dot_V,0,MIN(10,DK$136))*((Per_Mon="PYG")*DK$138+(Per_Mon&lt;&gt;"PYG")))*(DK$134+DK$135*V_PreDir)*INDEX(IdxSal_V,1,MIN(10,DK$136))*(1+V_Cargas)+DK$170*V_Alim*DK$138</f>
        <v>0</v>
      </c>
      <c r="DL171" s="34" t="n">
        <f aca="false">SUMPRODUCT((Per_Clase="Directo")*Sal_V*INDEX(Dot_V,0,MIN(10,DL$136))*((Per_Mon="PYG")*DL$138+(Per_Mon&lt;&gt;"PYG")))*(DL$134+DL$135*V_PreDir)*INDEX(IdxSal_V,1,MIN(10,DL$136))*(1+V_Cargas)+DL$170*V_Alim*DL$138</f>
        <v>0</v>
      </c>
      <c r="DM171" s="34" t="n">
        <f aca="false">SUMPRODUCT((Per_Clase="Directo")*Sal_V*INDEX(Dot_V,0,MIN(10,DM$136))*((Per_Mon="PYG")*DM$138+(Per_Mon&lt;&gt;"PYG")))*(DM$134+DM$135*V_PreDir)*INDEX(IdxSal_V,1,MIN(10,DM$136))*(1+V_Cargas)+DM$170*V_Alim*DM$138</f>
        <v>0</v>
      </c>
      <c r="DN171" s="34" t="n">
        <f aca="false">SUMPRODUCT((Per_Clase="Directo")*Sal_V*INDEX(Dot_V,0,MIN(10,DN$136))*((Per_Mon="PYG")*DN$138+(Per_Mon&lt;&gt;"PYG")))*(DN$134+DN$135*V_PreDir)*INDEX(IdxSal_V,1,MIN(10,DN$136))*(1+V_Cargas)+DN$170*V_Alim*DN$138</f>
        <v>0</v>
      </c>
      <c r="DO171" s="34" t="n">
        <f aca="false">SUMPRODUCT((Per_Clase="Directo")*Sal_V*INDEX(Dot_V,0,MIN(10,DO$136))*((Per_Mon="PYG")*DO$138+(Per_Mon&lt;&gt;"PYG")))*(DO$134+DO$135*V_PreDir)*INDEX(IdxSal_V,1,MIN(10,DO$136))*(1+V_Cargas)+DO$170*V_Alim*DO$138</f>
        <v>0</v>
      </c>
      <c r="DP171" s="34" t="n">
        <f aca="false">SUMPRODUCT((Per_Clase="Directo")*Sal_V*INDEX(Dot_V,0,MIN(10,DP$136))*((Per_Mon="PYG")*DP$138+(Per_Mon&lt;&gt;"PYG")))*(DP$134+DP$135*V_PreDir)*INDEX(IdxSal_V,1,MIN(10,DP$136))*(1+V_Cargas)+DP$170*V_Alim*DP$138</f>
        <v>0</v>
      </c>
      <c r="DQ171" s="34" t="n">
        <f aca="false">SUMPRODUCT((Per_Clase="Directo")*Sal_V*INDEX(Dot_V,0,MIN(10,DQ$136))*((Per_Mon="PYG")*DQ$138+(Per_Mon&lt;&gt;"PYG")))*(DQ$134+DQ$135*V_PreDir)*INDEX(IdxSal_V,1,MIN(10,DQ$136))*(1+V_Cargas)+DQ$170*V_Alim*DQ$138</f>
        <v>0</v>
      </c>
      <c r="DR171" s="34" t="n">
        <f aca="false">SUMPRODUCT((Per_Clase="Directo")*Sal_V*INDEX(Dot_V,0,MIN(10,DR$136))*((Per_Mon="PYG")*DR$138+(Per_Mon&lt;&gt;"PYG")))*(DR$134+DR$135*V_PreDir)*INDEX(IdxSal_V,1,MIN(10,DR$136))*(1+V_Cargas)+DR$170*V_Alim*DR$138</f>
        <v>0</v>
      </c>
      <c r="DS171" s="34" t="n">
        <f aca="false">SUMPRODUCT((Per_Clase="Directo")*Sal_V*INDEX(Dot_V,0,MIN(10,DS$136))*((Per_Mon="PYG")*DS$138+(Per_Mon&lt;&gt;"PYG")))*(DS$134+DS$135*V_PreDir)*INDEX(IdxSal_V,1,MIN(10,DS$136))*(1+V_Cargas)+DS$170*V_Alim*DS$138</f>
        <v>0</v>
      </c>
      <c r="DT171" s="34" t="n">
        <f aca="false">SUMPRODUCT((Per_Clase="Directo")*Sal_V*INDEX(Dot_V,0,MIN(10,DT$136))*((Per_Mon="PYG")*DT$138+(Per_Mon&lt;&gt;"PYG")))*(DT$134+DT$135*V_PreDir)*INDEX(IdxSal_V,1,MIN(10,DT$136))*(1+V_Cargas)+DT$170*V_Alim*DT$138</f>
        <v>0</v>
      </c>
      <c r="DU171" s="34" t="n">
        <f aca="false">SUMPRODUCT((Per_Clase="Directo")*Sal_V*INDEX(Dot_V,0,MIN(10,DU$136))*((Per_Mon="PYG")*DU$138+(Per_Mon&lt;&gt;"PYG")))*(DU$134+DU$135*V_PreDir)*INDEX(IdxSal_V,1,MIN(10,DU$136))*(1+V_Cargas)+DU$170*V_Alim*DU$138</f>
        <v>0</v>
      </c>
      <c r="DV171" s="34" t="n">
        <f aca="false">SUMPRODUCT((Per_Clase="Directo")*Sal_V*INDEX(Dot_V,0,MIN(10,DV$136))*((Per_Mon="PYG")*DV$138+(Per_Mon&lt;&gt;"PYG")))*(DV$134+DV$135*V_PreDir)*INDEX(IdxSal_V,1,MIN(10,DV$136))*(1+V_Cargas)+DV$170*V_Alim*DV$138</f>
        <v>0</v>
      </c>
      <c r="DW171" s="34" t="n">
        <f aca="false">SUMPRODUCT((Per_Clase="Directo")*Sal_V*INDEX(Dot_V,0,MIN(10,DW$136))*((Per_Mon="PYG")*DW$138+(Per_Mon&lt;&gt;"PYG")))*(DW$134+DW$135*V_PreDir)*INDEX(IdxSal_V,1,MIN(10,DW$136))*(1+V_Cargas)+DW$170*V_Alim*DW$138</f>
        <v>0</v>
      </c>
      <c r="DX171" s="34" t="n">
        <f aca="false">SUMPRODUCT((Per_Clase="Directo")*Sal_V*INDEX(Dot_V,0,MIN(10,DX$136))*((Per_Mon="PYG")*DX$138+(Per_Mon&lt;&gt;"PYG")))*(DX$134+DX$135*V_PreDir)*INDEX(IdxSal_V,1,MIN(10,DX$136))*(1+V_Cargas)+DX$170*V_Alim*DX$138</f>
        <v>0</v>
      </c>
      <c r="DY171" s="34" t="n">
        <f aca="false">SUMPRODUCT((Per_Clase="Directo")*Sal_V*INDEX(Dot_V,0,MIN(10,DY$136))*((Per_Mon="PYG")*DY$138+(Per_Mon&lt;&gt;"PYG")))*(DY$134+DY$135*V_PreDir)*INDEX(IdxSal_V,1,MIN(10,DY$136))*(1+V_Cargas)+DY$170*V_Alim*DY$138</f>
        <v>0</v>
      </c>
      <c r="DZ171" s="34" t="n">
        <f aca="false">SUMPRODUCT((Per_Clase="Directo")*Sal_V*INDEX(Dot_V,0,MIN(10,DZ$136))*((Per_Mon="PYG")*DZ$138+(Per_Mon&lt;&gt;"PYG")))*(DZ$134+DZ$135*V_PreDir)*INDEX(IdxSal_V,1,MIN(10,DZ$136))*(1+V_Cargas)+DZ$170*V_Alim*DZ$138</f>
        <v>0</v>
      </c>
      <c r="EA171" s="34" t="n">
        <f aca="false">SUMPRODUCT((Per_Clase="Directo")*Sal_V*INDEX(Dot_V,0,MIN(10,EA$136))*((Per_Mon="PYG")*EA$138+(Per_Mon&lt;&gt;"PYG")))*(EA$134+EA$135*V_PreDir)*INDEX(IdxSal_V,1,MIN(10,EA$136))*(1+V_Cargas)+EA$170*V_Alim*EA$138</f>
        <v>0</v>
      </c>
      <c r="EB171" s="34" t="n">
        <f aca="false">SUMPRODUCT((Per_Clase="Directo")*Sal_V*INDEX(Dot_V,0,MIN(10,EB$136))*((Per_Mon="PYG")*EB$138+(Per_Mon&lt;&gt;"PYG")))*(EB$134+EB$135*V_PreDir)*INDEX(IdxSal_V,1,MIN(10,EB$136))*(1+V_Cargas)+EB$170*V_Alim*EB$138</f>
        <v>0</v>
      </c>
      <c r="EC171" s="34" t="n">
        <f aca="false">SUMPRODUCT((Per_Clase="Directo")*Sal_V*INDEX(Dot_V,0,MIN(10,EC$136))*((Per_Mon="PYG")*EC$138+(Per_Mon&lt;&gt;"PYG")))*(EC$134+EC$135*V_PreDir)*INDEX(IdxSal_V,1,MIN(10,EC$136))*(1+V_Cargas)+EC$170*V_Alim*EC$138</f>
        <v>0</v>
      </c>
      <c r="ED171" s="34" t="n">
        <f aca="false">SUMPRODUCT((Per_Clase="Directo")*Sal_V*INDEX(Dot_V,0,MIN(10,ED$136))*((Per_Mon="PYG")*ED$138+(Per_Mon&lt;&gt;"PYG")))*(ED$134+ED$135*V_PreDir)*INDEX(IdxSal_V,1,MIN(10,ED$136))*(1+V_Cargas)+ED$170*V_Alim*ED$138</f>
        <v>0</v>
      </c>
      <c r="EE171" s="34" t="n">
        <f aca="false">SUMPRODUCT((Per_Clase="Directo")*Sal_V*INDEX(Dot_V,0,MIN(10,EE$136))*((Per_Mon="PYG")*EE$138+(Per_Mon&lt;&gt;"PYG")))*(EE$134+EE$135*V_PreDir)*INDEX(IdxSal_V,1,MIN(10,EE$136))*(1+V_Cargas)+EE$170*V_Alim*EE$138</f>
        <v>0</v>
      </c>
      <c r="EF171" s="34" t="n">
        <f aca="false">SUMPRODUCT((Per_Clase="Directo")*Sal_V*INDEX(Dot_V,0,MIN(10,EF$136))*((Per_Mon="PYG")*EF$138+(Per_Mon&lt;&gt;"PYG")))*(EF$134+EF$135*V_PreDir)*INDEX(IdxSal_V,1,MIN(10,EF$136))*(1+V_Cargas)+EF$170*V_Alim*EF$138</f>
        <v>0</v>
      </c>
      <c r="EG171" s="34" t="n">
        <f aca="false">SUMPRODUCT((Per_Clase="Directo")*Sal_V*INDEX(Dot_V,0,MIN(10,EG$136))*((Per_Mon="PYG")*EG$138+(Per_Mon&lt;&gt;"PYG")))*(EG$134+EG$135*V_PreDir)*INDEX(IdxSal_V,1,MIN(10,EG$136))*(1+V_Cargas)+EG$170*V_Alim*EG$138</f>
        <v>0</v>
      </c>
      <c r="EH171" s="34" t="n">
        <f aca="false">SUMPRODUCT((Per_Clase="Directo")*Sal_V*INDEX(Dot_V,0,MIN(10,EH$136))*((Per_Mon="PYG")*EH$138+(Per_Mon&lt;&gt;"PYG")))*(EH$134+EH$135*V_PreDir)*INDEX(IdxSal_V,1,MIN(10,EH$136))*(1+V_Cargas)+EH$170*V_Alim*EH$138</f>
        <v>0</v>
      </c>
      <c r="EI171" s="34" t="n">
        <f aca="false">SUMPRODUCT((Per_Clase="Directo")*Sal_V*INDEX(Dot_V,0,MIN(10,EI$136))*((Per_Mon="PYG")*EI$138+(Per_Mon&lt;&gt;"PYG")))*(EI$134+EI$135*V_PreDir)*INDEX(IdxSal_V,1,MIN(10,EI$136))*(1+V_Cargas)+EI$170*V_Alim*EI$138</f>
        <v>0</v>
      </c>
      <c r="EJ171" s="34" t="n">
        <f aca="false">SUMPRODUCT((Per_Clase="Directo")*Sal_V*INDEX(Dot_V,0,MIN(10,EJ$136))*((Per_Mon="PYG")*EJ$138+(Per_Mon&lt;&gt;"PYG")))*(EJ$134+EJ$135*V_PreDir)*INDEX(IdxSal_V,1,MIN(10,EJ$136))*(1+V_Cargas)+EJ$170*V_Alim*EJ$138</f>
        <v>0</v>
      </c>
      <c r="EK171" s="34" t="n">
        <f aca="false">SUMPRODUCT((Per_Clase="Directo")*Sal_V*INDEX(Dot_V,0,MIN(10,EK$136))*((Per_Mon="PYG")*EK$138+(Per_Mon&lt;&gt;"PYG")))*(EK$134+EK$135*V_PreDir)*INDEX(IdxSal_V,1,MIN(10,EK$136))*(1+V_Cargas)+EK$170*V_Alim*EK$138</f>
        <v>0</v>
      </c>
      <c r="EL171" s="34" t="n">
        <f aca="false">SUMPRODUCT((Per_Clase="Directo")*Sal_V*INDEX(Dot_V,0,MIN(10,EL$136))*((Per_Mon="PYG")*EL$138+(Per_Mon&lt;&gt;"PYG")))*(EL$134+EL$135*V_PreDir)*INDEX(IdxSal_V,1,MIN(10,EL$136))*(1+V_Cargas)+EL$170*V_Alim*EL$138</f>
        <v>0</v>
      </c>
      <c r="EM171" s="34" t="n">
        <f aca="false">SUMPRODUCT((Per_Clase="Directo")*Sal_V*INDEX(Dot_V,0,MIN(10,EM$136))*((Per_Mon="PYG")*EM$138+(Per_Mon&lt;&gt;"PYG")))*(EM$134+EM$135*V_PreDir)*INDEX(IdxSal_V,1,MIN(10,EM$136))*(1+V_Cargas)+EM$170*V_Alim*EM$138</f>
        <v>0</v>
      </c>
      <c r="EN171" s="34" t="n">
        <f aca="false">SUMPRODUCT((Per_Clase="Directo")*Sal_V*INDEX(Dot_V,0,MIN(10,EN$136))*((Per_Mon="PYG")*EN$138+(Per_Mon&lt;&gt;"PYG")))*(EN$134+EN$135*V_PreDir)*INDEX(IdxSal_V,1,MIN(10,EN$136))*(1+V_Cargas)+EN$170*V_Alim*EN$138</f>
        <v>0</v>
      </c>
      <c r="EO171" s="34" t="n">
        <f aca="false">SUMPRODUCT((Per_Clase="Directo")*Sal_V*INDEX(Dot_V,0,MIN(10,EO$136))*((Per_Mon="PYG")*EO$138+(Per_Mon&lt;&gt;"PYG")))*(EO$134+EO$135*V_PreDir)*INDEX(IdxSal_V,1,MIN(10,EO$136))*(1+V_Cargas)+EO$170*V_Alim*EO$138</f>
        <v>0</v>
      </c>
      <c r="EP171" s="34" t="n">
        <f aca="false">SUMPRODUCT((Per_Clase="Directo")*Sal_V*INDEX(Dot_V,0,MIN(10,EP$136))*((Per_Mon="PYG")*EP$138+(Per_Mon&lt;&gt;"PYG")))*(EP$134+EP$135*V_PreDir)*INDEX(IdxSal_V,1,MIN(10,EP$136))*(1+V_Cargas)+EP$170*V_Alim*EP$138</f>
        <v>0</v>
      </c>
      <c r="EQ171" s="34" t="n">
        <f aca="false">SUMPRODUCT((Per_Clase="Directo")*Sal_V*INDEX(Dot_V,0,MIN(10,EQ$136))*((Per_Mon="PYG")*EQ$138+(Per_Mon&lt;&gt;"PYG")))*(EQ$134+EQ$135*V_PreDir)*INDEX(IdxSal_V,1,MIN(10,EQ$136))*(1+V_Cargas)+EQ$170*V_Alim*EQ$138</f>
        <v>0</v>
      </c>
      <c r="ER171" s="34" t="n">
        <f aca="false">SUMPRODUCT((Per_Clase="Directo")*Sal_V*INDEX(Dot_V,0,MIN(10,ER$136))*((Per_Mon="PYG")*ER$138+(Per_Mon&lt;&gt;"PYG")))*(ER$134+ER$135*V_PreDir)*INDEX(IdxSal_V,1,MIN(10,ER$136))*(1+V_Cargas)+ER$170*V_Alim*ER$138</f>
        <v>0</v>
      </c>
      <c r="ES171" s="34" t="n">
        <f aca="false">SUMPRODUCT((Per_Clase="Directo")*Sal_V*INDEX(Dot_V,0,MIN(10,ES$136))*((Per_Mon="PYG")*ES$138+(Per_Mon&lt;&gt;"PYG")))*(ES$134+ES$135*V_PreDir)*INDEX(IdxSal_V,1,MIN(10,ES$136))*(1+V_Cargas)+ES$170*V_Alim*ES$138</f>
        <v>0</v>
      </c>
    </row>
    <row r="172" customFormat="false" ht="15" hidden="false" customHeight="false" outlineLevel="0" collapsed="false">
      <c r="A172" s="2" t="s">
        <v>650</v>
      </c>
      <c r="B172" s="6" t="s">
        <v>473</v>
      </c>
      <c r="C172" s="6" t="s">
        <v>469</v>
      </c>
      <c r="F172" s="36" t="n">
        <f aca="false">SUMPRODUCT((Per_Clase="Indirecto")*INDEX(Dot_V,0,MIN(10,F$136)))*(F$134+F$135*V_PreInd)</f>
        <v>0</v>
      </c>
      <c r="G172" s="36" t="n">
        <f aca="false">SUMPRODUCT((Per_Clase="Indirecto")*INDEX(Dot_V,0,MIN(10,G$136)))*(G$134+G$135*V_PreInd)</f>
        <v>0</v>
      </c>
      <c r="H172" s="36" t="n">
        <f aca="false">SUMPRODUCT((Per_Clase="Indirecto")*INDEX(Dot_V,0,MIN(10,H$136)))*(H$134+H$135*V_PreInd)</f>
        <v>0</v>
      </c>
      <c r="I172" s="36" t="n">
        <f aca="false">SUMPRODUCT((Per_Clase="Indirecto")*INDEX(Dot_V,0,MIN(10,I$136)))*(I$134+I$135*V_PreInd)</f>
        <v>0</v>
      </c>
      <c r="J172" s="36" t="n">
        <f aca="false">SUMPRODUCT((Per_Clase="Indirecto")*INDEX(Dot_V,0,MIN(10,J$136)))*(J$134+J$135*V_PreInd)</f>
        <v>0</v>
      </c>
      <c r="K172" s="36" t="n">
        <f aca="false">SUMPRODUCT((Per_Clase="Indirecto")*INDEX(Dot_V,0,MIN(10,K$136)))*(K$134+K$135*V_PreInd)</f>
        <v>0</v>
      </c>
      <c r="L172" s="36" t="n">
        <f aca="false">SUMPRODUCT((Per_Clase="Indirecto")*INDEX(Dot_V,0,MIN(10,L$136)))*(L$134+L$135*V_PreInd)</f>
        <v>0</v>
      </c>
      <c r="M172" s="36" t="n">
        <f aca="false">SUMPRODUCT((Per_Clase="Indirecto")*INDEX(Dot_V,0,MIN(10,M$136)))*(M$134+M$135*V_PreInd)</f>
        <v>0</v>
      </c>
      <c r="N172" s="36" t="n">
        <f aca="false">SUMPRODUCT((Per_Clase="Indirecto")*INDEX(Dot_V,0,MIN(10,N$136)))*(N$134+N$135*V_PreInd)</f>
        <v>0</v>
      </c>
      <c r="O172" s="36" t="n">
        <f aca="false">SUMPRODUCT((Per_Clase="Indirecto")*INDEX(Dot_V,0,MIN(10,O$136)))*(O$134+O$135*V_PreInd)</f>
        <v>0</v>
      </c>
      <c r="P172" s="36" t="n">
        <f aca="false">SUMPRODUCT((Per_Clase="Indirecto")*INDEX(Dot_V,0,MIN(10,P$136)))*(P$134+P$135*V_PreInd)</f>
        <v>0</v>
      </c>
      <c r="Q172" s="36" t="n">
        <f aca="false">SUMPRODUCT((Per_Clase="Indirecto")*INDEX(Dot_V,0,MIN(10,Q$136)))*(Q$134+Q$135*V_PreInd)</f>
        <v>0</v>
      </c>
      <c r="R172" s="36" t="n">
        <f aca="false">SUMPRODUCT((Per_Clase="Indirecto")*INDEX(Dot_V,0,MIN(10,R$136)))*(R$134+R$135*V_PreInd)</f>
        <v>0</v>
      </c>
      <c r="S172" s="36" t="n">
        <f aca="false">SUMPRODUCT((Per_Clase="Indirecto")*INDEX(Dot_V,0,MIN(10,S$136)))*(S$134+S$135*V_PreInd)</f>
        <v>0</v>
      </c>
      <c r="T172" s="36" t="n">
        <f aca="false">SUMPRODUCT((Per_Clase="Indirecto")*INDEX(Dot_V,0,MIN(10,T$136)))*(T$134+T$135*V_PreInd)</f>
        <v>0</v>
      </c>
      <c r="U172" s="36" t="n">
        <f aca="false">SUMPRODUCT((Per_Clase="Indirecto")*INDEX(Dot_V,0,MIN(10,U$136)))*(U$134+U$135*V_PreInd)</f>
        <v>0</v>
      </c>
      <c r="V172" s="36" t="n">
        <f aca="false">SUMPRODUCT((Per_Clase="Indirecto")*INDEX(Dot_V,0,MIN(10,V$136)))*(V$134+V$135*V_PreInd)</f>
        <v>0</v>
      </c>
      <c r="W172" s="36" t="n">
        <f aca="false">SUMPRODUCT((Per_Clase="Indirecto")*INDEX(Dot_V,0,MIN(10,W$136)))*(W$134+W$135*V_PreInd)</f>
        <v>0</v>
      </c>
      <c r="X172" s="36" t="n">
        <f aca="false">SUMPRODUCT((Per_Clase="Indirecto")*INDEX(Dot_V,0,MIN(10,X$136)))*(X$134+X$135*V_PreInd)</f>
        <v>0</v>
      </c>
      <c r="Y172" s="36" t="n">
        <f aca="false">SUMPRODUCT((Per_Clase="Indirecto")*INDEX(Dot_V,0,MIN(10,Y$136)))*(Y$134+Y$135*V_PreInd)</f>
        <v>0</v>
      </c>
      <c r="Z172" s="36" t="n">
        <f aca="false">SUMPRODUCT((Per_Clase="Indirecto")*INDEX(Dot_V,0,MIN(10,Z$136)))*(Z$134+Z$135*V_PreInd)</f>
        <v>0</v>
      </c>
      <c r="AA172" s="36" t="n">
        <f aca="false">SUMPRODUCT((Per_Clase="Indirecto")*INDEX(Dot_V,0,MIN(10,AA$136)))*(AA$134+AA$135*V_PreInd)</f>
        <v>0</v>
      </c>
      <c r="AB172" s="36" t="n">
        <f aca="false">SUMPRODUCT((Per_Clase="Indirecto")*INDEX(Dot_V,0,MIN(10,AB$136)))*(AB$134+AB$135*V_PreInd)</f>
        <v>0</v>
      </c>
      <c r="AC172" s="36" t="n">
        <f aca="false">SUMPRODUCT((Per_Clase="Indirecto")*INDEX(Dot_V,0,MIN(10,AC$136)))*(AC$134+AC$135*V_PreInd)</f>
        <v>0</v>
      </c>
      <c r="AD172" s="36" t="n">
        <f aca="false">SUMPRODUCT((Per_Clase="Indirecto")*INDEX(Dot_V,0,MIN(10,AD$136)))*(AD$134+AD$135*V_PreInd)</f>
        <v>0</v>
      </c>
      <c r="AE172" s="36" t="n">
        <f aca="false">SUMPRODUCT((Per_Clase="Indirecto")*INDEX(Dot_V,0,MIN(10,AE$136)))*(AE$134+AE$135*V_PreInd)</f>
        <v>0</v>
      </c>
      <c r="AF172" s="36" t="n">
        <f aca="false">SUMPRODUCT((Per_Clase="Indirecto")*INDEX(Dot_V,0,MIN(10,AF$136)))*(AF$134+AF$135*V_PreInd)</f>
        <v>0</v>
      </c>
      <c r="AG172" s="36" t="n">
        <f aca="false">SUMPRODUCT((Per_Clase="Indirecto")*INDEX(Dot_V,0,MIN(10,AG$136)))*(AG$134+AG$135*V_PreInd)</f>
        <v>0</v>
      </c>
      <c r="AH172" s="36" t="n">
        <f aca="false">SUMPRODUCT((Per_Clase="Indirecto")*INDEX(Dot_V,0,MIN(10,AH$136)))*(AH$134+AH$135*V_PreInd)</f>
        <v>0</v>
      </c>
      <c r="AI172" s="36" t="n">
        <f aca="false">SUMPRODUCT((Per_Clase="Indirecto")*INDEX(Dot_V,0,MIN(10,AI$136)))*(AI$134+AI$135*V_PreInd)</f>
        <v>0</v>
      </c>
      <c r="AJ172" s="36" t="n">
        <f aca="false">SUMPRODUCT((Per_Clase="Indirecto")*INDEX(Dot_V,0,MIN(10,AJ$136)))*(AJ$134+AJ$135*V_PreInd)</f>
        <v>0</v>
      </c>
      <c r="AK172" s="36" t="n">
        <f aca="false">SUMPRODUCT((Per_Clase="Indirecto")*INDEX(Dot_V,0,MIN(10,AK$136)))*(AK$134+AK$135*V_PreInd)</f>
        <v>0</v>
      </c>
      <c r="AL172" s="36" t="n">
        <f aca="false">SUMPRODUCT((Per_Clase="Indirecto")*INDEX(Dot_V,0,MIN(10,AL$136)))*(AL$134+AL$135*V_PreInd)</f>
        <v>0</v>
      </c>
      <c r="AM172" s="36" t="n">
        <f aca="false">SUMPRODUCT((Per_Clase="Indirecto")*INDEX(Dot_V,0,MIN(10,AM$136)))*(AM$134+AM$135*V_PreInd)</f>
        <v>0</v>
      </c>
      <c r="AN172" s="36" t="n">
        <f aca="false">SUMPRODUCT((Per_Clase="Indirecto")*INDEX(Dot_V,0,MIN(10,AN$136)))*(AN$134+AN$135*V_PreInd)</f>
        <v>0</v>
      </c>
      <c r="AO172" s="36" t="n">
        <f aca="false">SUMPRODUCT((Per_Clase="Indirecto")*INDEX(Dot_V,0,MIN(10,AO$136)))*(AO$134+AO$135*V_PreInd)</f>
        <v>0</v>
      </c>
      <c r="AP172" s="36" t="n">
        <f aca="false">SUMPRODUCT((Per_Clase="Indirecto")*INDEX(Dot_V,0,MIN(10,AP$136)))*(AP$134+AP$135*V_PreInd)</f>
        <v>0</v>
      </c>
      <c r="AQ172" s="36" t="n">
        <f aca="false">SUMPRODUCT((Per_Clase="Indirecto")*INDEX(Dot_V,0,MIN(10,AQ$136)))*(AQ$134+AQ$135*V_PreInd)</f>
        <v>0</v>
      </c>
      <c r="AR172" s="36" t="n">
        <f aca="false">SUMPRODUCT((Per_Clase="Indirecto")*INDEX(Dot_V,0,MIN(10,AR$136)))*(AR$134+AR$135*V_PreInd)</f>
        <v>0</v>
      </c>
      <c r="AS172" s="36" t="n">
        <f aca="false">SUMPRODUCT((Per_Clase="Indirecto")*INDEX(Dot_V,0,MIN(10,AS$136)))*(AS$134+AS$135*V_PreInd)</f>
        <v>0</v>
      </c>
      <c r="AT172" s="36" t="n">
        <f aca="false">SUMPRODUCT((Per_Clase="Indirecto")*INDEX(Dot_V,0,MIN(10,AT$136)))*(AT$134+AT$135*V_PreInd)</f>
        <v>0</v>
      </c>
      <c r="AU172" s="36" t="n">
        <f aca="false">SUMPRODUCT((Per_Clase="Indirecto")*INDEX(Dot_V,0,MIN(10,AU$136)))*(AU$134+AU$135*V_PreInd)</f>
        <v>0</v>
      </c>
      <c r="AV172" s="36" t="n">
        <f aca="false">SUMPRODUCT((Per_Clase="Indirecto")*INDEX(Dot_V,0,MIN(10,AV$136)))*(AV$134+AV$135*V_PreInd)</f>
        <v>0</v>
      </c>
      <c r="AW172" s="36" t="n">
        <f aca="false">SUMPRODUCT((Per_Clase="Indirecto")*INDEX(Dot_V,0,MIN(10,AW$136)))*(AW$134+AW$135*V_PreInd)</f>
        <v>0</v>
      </c>
      <c r="AX172" s="36" t="n">
        <f aca="false">SUMPRODUCT((Per_Clase="Indirecto")*INDEX(Dot_V,0,MIN(10,AX$136)))*(AX$134+AX$135*V_PreInd)</f>
        <v>0</v>
      </c>
      <c r="AY172" s="36" t="n">
        <f aca="false">SUMPRODUCT((Per_Clase="Indirecto")*INDEX(Dot_V,0,MIN(10,AY$136)))*(AY$134+AY$135*V_PreInd)</f>
        <v>0</v>
      </c>
      <c r="AZ172" s="36" t="n">
        <f aca="false">SUMPRODUCT((Per_Clase="Indirecto")*INDEX(Dot_V,0,MIN(10,AZ$136)))*(AZ$134+AZ$135*V_PreInd)</f>
        <v>0</v>
      </c>
      <c r="BA172" s="36" t="n">
        <f aca="false">SUMPRODUCT((Per_Clase="Indirecto")*INDEX(Dot_V,0,MIN(10,BA$136)))*(BA$134+BA$135*V_PreInd)</f>
        <v>0</v>
      </c>
      <c r="BB172" s="36" t="n">
        <f aca="false">SUMPRODUCT((Per_Clase="Indirecto")*INDEX(Dot_V,0,MIN(10,BB$136)))*(BB$134+BB$135*V_PreInd)</f>
        <v>0</v>
      </c>
      <c r="BC172" s="36" t="n">
        <f aca="false">SUMPRODUCT((Per_Clase="Indirecto")*INDEX(Dot_V,0,MIN(10,BC$136)))*(BC$134+BC$135*V_PreInd)</f>
        <v>0</v>
      </c>
      <c r="BD172" s="36" t="n">
        <f aca="false">SUMPRODUCT((Per_Clase="Indirecto")*INDEX(Dot_V,0,MIN(10,BD$136)))*(BD$134+BD$135*V_PreInd)</f>
        <v>0</v>
      </c>
      <c r="BE172" s="36" t="n">
        <f aca="false">SUMPRODUCT((Per_Clase="Indirecto")*INDEX(Dot_V,0,MIN(10,BE$136)))*(BE$134+BE$135*V_PreInd)</f>
        <v>0</v>
      </c>
      <c r="BF172" s="36" t="n">
        <f aca="false">SUMPRODUCT((Per_Clase="Indirecto")*INDEX(Dot_V,0,MIN(10,BF$136)))*(BF$134+BF$135*V_PreInd)</f>
        <v>0</v>
      </c>
      <c r="BG172" s="36" t="n">
        <f aca="false">SUMPRODUCT((Per_Clase="Indirecto")*INDEX(Dot_V,0,MIN(10,BG$136)))*(BG$134+BG$135*V_PreInd)</f>
        <v>0</v>
      </c>
      <c r="BH172" s="36" t="n">
        <f aca="false">SUMPRODUCT((Per_Clase="Indirecto")*INDEX(Dot_V,0,MIN(10,BH$136)))*(BH$134+BH$135*V_PreInd)</f>
        <v>0</v>
      </c>
      <c r="BI172" s="36" t="n">
        <f aca="false">SUMPRODUCT((Per_Clase="Indirecto")*INDEX(Dot_V,0,MIN(10,BI$136)))*(BI$134+BI$135*V_PreInd)</f>
        <v>0</v>
      </c>
      <c r="BJ172" s="36" t="n">
        <f aca="false">SUMPRODUCT((Per_Clase="Indirecto")*INDEX(Dot_V,0,MIN(10,BJ$136)))*(BJ$134+BJ$135*V_PreInd)</f>
        <v>0</v>
      </c>
      <c r="BK172" s="36" t="n">
        <f aca="false">SUMPRODUCT((Per_Clase="Indirecto")*INDEX(Dot_V,0,MIN(10,BK$136)))*(BK$134+BK$135*V_PreInd)</f>
        <v>0</v>
      </c>
      <c r="BL172" s="36" t="n">
        <f aca="false">SUMPRODUCT((Per_Clase="Indirecto")*INDEX(Dot_V,0,MIN(10,BL$136)))*(BL$134+BL$135*V_PreInd)</f>
        <v>0</v>
      </c>
      <c r="BM172" s="36" t="n">
        <f aca="false">SUMPRODUCT((Per_Clase="Indirecto")*INDEX(Dot_V,0,MIN(10,BM$136)))*(BM$134+BM$135*V_PreInd)</f>
        <v>0</v>
      </c>
      <c r="BN172" s="36" t="n">
        <f aca="false">SUMPRODUCT((Per_Clase="Indirecto")*INDEX(Dot_V,0,MIN(10,BN$136)))*(BN$134+BN$135*V_PreInd)</f>
        <v>0</v>
      </c>
      <c r="BO172" s="36" t="n">
        <f aca="false">SUMPRODUCT((Per_Clase="Indirecto")*INDEX(Dot_V,0,MIN(10,BO$136)))*(BO$134+BO$135*V_PreInd)</f>
        <v>0</v>
      </c>
      <c r="BP172" s="36" t="n">
        <f aca="false">SUMPRODUCT((Per_Clase="Indirecto")*INDEX(Dot_V,0,MIN(10,BP$136)))*(BP$134+BP$135*V_PreInd)</f>
        <v>0</v>
      </c>
      <c r="BQ172" s="36" t="n">
        <f aca="false">SUMPRODUCT((Per_Clase="Indirecto")*INDEX(Dot_V,0,MIN(10,BQ$136)))*(BQ$134+BQ$135*V_PreInd)</f>
        <v>0</v>
      </c>
      <c r="BR172" s="36" t="n">
        <f aca="false">SUMPRODUCT((Per_Clase="Indirecto")*INDEX(Dot_V,0,MIN(10,BR$136)))*(BR$134+BR$135*V_PreInd)</f>
        <v>0</v>
      </c>
      <c r="BS172" s="36" t="n">
        <f aca="false">SUMPRODUCT((Per_Clase="Indirecto")*INDEX(Dot_V,0,MIN(10,BS$136)))*(BS$134+BS$135*V_PreInd)</f>
        <v>0</v>
      </c>
      <c r="BT172" s="36" t="n">
        <f aca="false">SUMPRODUCT((Per_Clase="Indirecto")*INDEX(Dot_V,0,MIN(10,BT$136)))*(BT$134+BT$135*V_PreInd)</f>
        <v>0</v>
      </c>
      <c r="BU172" s="36" t="n">
        <f aca="false">SUMPRODUCT((Per_Clase="Indirecto")*INDEX(Dot_V,0,MIN(10,BU$136)))*(BU$134+BU$135*V_PreInd)</f>
        <v>0</v>
      </c>
      <c r="BV172" s="36" t="n">
        <f aca="false">SUMPRODUCT((Per_Clase="Indirecto")*INDEX(Dot_V,0,MIN(10,BV$136)))*(BV$134+BV$135*V_PreInd)</f>
        <v>0</v>
      </c>
      <c r="BW172" s="36" t="n">
        <f aca="false">SUMPRODUCT((Per_Clase="Indirecto")*INDEX(Dot_V,0,MIN(10,BW$136)))*(BW$134+BW$135*V_PreInd)</f>
        <v>0</v>
      </c>
      <c r="BX172" s="36" t="n">
        <f aca="false">SUMPRODUCT((Per_Clase="Indirecto")*INDEX(Dot_V,0,MIN(10,BX$136)))*(BX$134+BX$135*V_PreInd)</f>
        <v>0</v>
      </c>
      <c r="BY172" s="36" t="n">
        <f aca="false">SUMPRODUCT((Per_Clase="Indirecto")*INDEX(Dot_V,0,MIN(10,BY$136)))*(BY$134+BY$135*V_PreInd)</f>
        <v>0</v>
      </c>
      <c r="BZ172" s="36" t="n">
        <f aca="false">SUMPRODUCT((Per_Clase="Indirecto")*INDEX(Dot_V,0,MIN(10,BZ$136)))*(BZ$134+BZ$135*V_PreInd)</f>
        <v>0</v>
      </c>
      <c r="CA172" s="36" t="n">
        <f aca="false">SUMPRODUCT((Per_Clase="Indirecto")*INDEX(Dot_V,0,MIN(10,CA$136)))*(CA$134+CA$135*V_PreInd)</f>
        <v>0</v>
      </c>
      <c r="CB172" s="36" t="n">
        <f aca="false">SUMPRODUCT((Per_Clase="Indirecto")*INDEX(Dot_V,0,MIN(10,CB$136)))*(CB$134+CB$135*V_PreInd)</f>
        <v>0</v>
      </c>
      <c r="CC172" s="36" t="n">
        <f aca="false">SUMPRODUCT((Per_Clase="Indirecto")*INDEX(Dot_V,0,MIN(10,CC$136)))*(CC$134+CC$135*V_PreInd)</f>
        <v>0</v>
      </c>
      <c r="CD172" s="36" t="n">
        <f aca="false">SUMPRODUCT((Per_Clase="Indirecto")*INDEX(Dot_V,0,MIN(10,CD$136)))*(CD$134+CD$135*V_PreInd)</f>
        <v>0</v>
      </c>
      <c r="CE172" s="36" t="n">
        <f aca="false">SUMPRODUCT((Per_Clase="Indirecto")*INDEX(Dot_V,0,MIN(10,CE$136)))*(CE$134+CE$135*V_PreInd)</f>
        <v>0</v>
      </c>
      <c r="CF172" s="36" t="n">
        <f aca="false">SUMPRODUCT((Per_Clase="Indirecto")*INDEX(Dot_V,0,MIN(10,CF$136)))*(CF$134+CF$135*V_PreInd)</f>
        <v>0</v>
      </c>
      <c r="CG172" s="36" t="n">
        <f aca="false">SUMPRODUCT((Per_Clase="Indirecto")*INDEX(Dot_V,0,MIN(10,CG$136)))*(CG$134+CG$135*V_PreInd)</f>
        <v>0</v>
      </c>
      <c r="CH172" s="36" t="n">
        <f aca="false">SUMPRODUCT((Per_Clase="Indirecto")*INDEX(Dot_V,0,MIN(10,CH$136)))*(CH$134+CH$135*V_PreInd)</f>
        <v>0</v>
      </c>
      <c r="CI172" s="36" t="n">
        <f aca="false">SUMPRODUCT((Per_Clase="Indirecto")*INDEX(Dot_V,0,MIN(10,CI$136)))*(CI$134+CI$135*V_PreInd)</f>
        <v>0</v>
      </c>
      <c r="CJ172" s="36" t="n">
        <f aca="false">SUMPRODUCT((Per_Clase="Indirecto")*INDEX(Dot_V,0,MIN(10,CJ$136)))*(CJ$134+CJ$135*V_PreInd)</f>
        <v>0</v>
      </c>
      <c r="CK172" s="36" t="n">
        <f aca="false">SUMPRODUCT((Per_Clase="Indirecto")*INDEX(Dot_V,0,MIN(10,CK$136)))*(CK$134+CK$135*V_PreInd)</f>
        <v>0</v>
      </c>
      <c r="CL172" s="36" t="n">
        <f aca="false">SUMPRODUCT((Per_Clase="Indirecto")*INDEX(Dot_V,0,MIN(10,CL$136)))*(CL$134+CL$135*V_PreInd)</f>
        <v>0</v>
      </c>
      <c r="CM172" s="36" t="n">
        <f aca="false">SUMPRODUCT((Per_Clase="Indirecto")*INDEX(Dot_V,0,MIN(10,CM$136)))*(CM$134+CM$135*V_PreInd)</f>
        <v>0</v>
      </c>
      <c r="CN172" s="36" t="n">
        <f aca="false">SUMPRODUCT((Per_Clase="Indirecto")*INDEX(Dot_V,0,MIN(10,CN$136)))*(CN$134+CN$135*V_PreInd)</f>
        <v>0</v>
      </c>
      <c r="CO172" s="36" t="n">
        <f aca="false">SUMPRODUCT((Per_Clase="Indirecto")*INDEX(Dot_V,0,MIN(10,CO$136)))*(CO$134+CO$135*V_PreInd)</f>
        <v>0</v>
      </c>
      <c r="CP172" s="36" t="n">
        <f aca="false">SUMPRODUCT((Per_Clase="Indirecto")*INDEX(Dot_V,0,MIN(10,CP$136)))*(CP$134+CP$135*V_PreInd)</f>
        <v>0</v>
      </c>
      <c r="CQ172" s="36" t="n">
        <f aca="false">SUMPRODUCT((Per_Clase="Indirecto")*INDEX(Dot_V,0,MIN(10,CQ$136)))*(CQ$134+CQ$135*V_PreInd)</f>
        <v>0</v>
      </c>
      <c r="CR172" s="36" t="n">
        <f aca="false">SUMPRODUCT((Per_Clase="Indirecto")*INDEX(Dot_V,0,MIN(10,CR$136)))*(CR$134+CR$135*V_PreInd)</f>
        <v>0</v>
      </c>
      <c r="CS172" s="36" t="n">
        <f aca="false">SUMPRODUCT((Per_Clase="Indirecto")*INDEX(Dot_V,0,MIN(10,CS$136)))*(CS$134+CS$135*V_PreInd)</f>
        <v>0</v>
      </c>
      <c r="CT172" s="36" t="n">
        <f aca="false">SUMPRODUCT((Per_Clase="Indirecto")*INDEX(Dot_V,0,MIN(10,CT$136)))*(CT$134+CT$135*V_PreInd)</f>
        <v>0</v>
      </c>
      <c r="CU172" s="36" t="n">
        <f aca="false">SUMPRODUCT((Per_Clase="Indirecto")*INDEX(Dot_V,0,MIN(10,CU$136)))*(CU$134+CU$135*V_PreInd)</f>
        <v>0</v>
      </c>
      <c r="CV172" s="36" t="n">
        <f aca="false">SUMPRODUCT((Per_Clase="Indirecto")*INDEX(Dot_V,0,MIN(10,CV$136)))*(CV$134+CV$135*V_PreInd)</f>
        <v>0</v>
      </c>
      <c r="CW172" s="36" t="n">
        <f aca="false">SUMPRODUCT((Per_Clase="Indirecto")*INDEX(Dot_V,0,MIN(10,CW$136)))*(CW$134+CW$135*V_PreInd)</f>
        <v>0</v>
      </c>
      <c r="CX172" s="36" t="n">
        <f aca="false">SUMPRODUCT((Per_Clase="Indirecto")*INDEX(Dot_V,0,MIN(10,CX$136)))*(CX$134+CX$135*V_PreInd)</f>
        <v>0</v>
      </c>
      <c r="CY172" s="36" t="n">
        <f aca="false">SUMPRODUCT((Per_Clase="Indirecto")*INDEX(Dot_V,0,MIN(10,CY$136)))*(CY$134+CY$135*V_PreInd)</f>
        <v>0</v>
      </c>
      <c r="CZ172" s="36" t="n">
        <f aca="false">SUMPRODUCT((Per_Clase="Indirecto")*INDEX(Dot_V,0,MIN(10,CZ$136)))*(CZ$134+CZ$135*V_PreInd)</f>
        <v>0</v>
      </c>
      <c r="DA172" s="36" t="n">
        <f aca="false">SUMPRODUCT((Per_Clase="Indirecto")*INDEX(Dot_V,0,MIN(10,DA$136)))*(DA$134+DA$135*V_PreInd)</f>
        <v>0</v>
      </c>
      <c r="DB172" s="36" t="n">
        <f aca="false">SUMPRODUCT((Per_Clase="Indirecto")*INDEX(Dot_V,0,MIN(10,DB$136)))*(DB$134+DB$135*V_PreInd)</f>
        <v>0</v>
      </c>
      <c r="DC172" s="36" t="n">
        <f aca="false">SUMPRODUCT((Per_Clase="Indirecto")*INDEX(Dot_V,0,MIN(10,DC$136)))*(DC$134+DC$135*V_PreInd)</f>
        <v>0</v>
      </c>
      <c r="DD172" s="36" t="n">
        <f aca="false">SUMPRODUCT((Per_Clase="Indirecto")*INDEX(Dot_V,0,MIN(10,DD$136)))*(DD$134+DD$135*V_PreInd)</f>
        <v>0</v>
      </c>
      <c r="DE172" s="36" t="n">
        <f aca="false">SUMPRODUCT((Per_Clase="Indirecto")*INDEX(Dot_V,0,MIN(10,DE$136)))*(DE$134+DE$135*V_PreInd)</f>
        <v>0</v>
      </c>
      <c r="DF172" s="36" t="n">
        <f aca="false">SUMPRODUCT((Per_Clase="Indirecto")*INDEX(Dot_V,0,MIN(10,DF$136)))*(DF$134+DF$135*V_PreInd)</f>
        <v>0</v>
      </c>
      <c r="DG172" s="36" t="n">
        <f aca="false">SUMPRODUCT((Per_Clase="Indirecto")*INDEX(Dot_V,0,MIN(10,DG$136)))*(DG$134+DG$135*V_PreInd)</f>
        <v>0</v>
      </c>
      <c r="DH172" s="36" t="n">
        <f aca="false">SUMPRODUCT((Per_Clase="Indirecto")*INDEX(Dot_V,0,MIN(10,DH$136)))*(DH$134+DH$135*V_PreInd)</f>
        <v>0</v>
      </c>
      <c r="DI172" s="36" t="n">
        <f aca="false">SUMPRODUCT((Per_Clase="Indirecto")*INDEX(Dot_V,0,MIN(10,DI$136)))*(DI$134+DI$135*V_PreInd)</f>
        <v>0</v>
      </c>
      <c r="DJ172" s="36" t="n">
        <f aca="false">SUMPRODUCT((Per_Clase="Indirecto")*INDEX(Dot_V,0,MIN(10,DJ$136)))*(DJ$134+DJ$135*V_PreInd)</f>
        <v>0</v>
      </c>
      <c r="DK172" s="36" t="n">
        <f aca="false">SUMPRODUCT((Per_Clase="Indirecto")*INDEX(Dot_V,0,MIN(10,DK$136)))*(DK$134+DK$135*V_PreInd)</f>
        <v>0</v>
      </c>
      <c r="DL172" s="36" t="n">
        <f aca="false">SUMPRODUCT((Per_Clase="Indirecto")*INDEX(Dot_V,0,MIN(10,DL$136)))*(DL$134+DL$135*V_PreInd)</f>
        <v>0</v>
      </c>
      <c r="DM172" s="36" t="n">
        <f aca="false">SUMPRODUCT((Per_Clase="Indirecto")*INDEX(Dot_V,0,MIN(10,DM$136)))*(DM$134+DM$135*V_PreInd)</f>
        <v>0</v>
      </c>
      <c r="DN172" s="36" t="n">
        <f aca="false">SUMPRODUCT((Per_Clase="Indirecto")*INDEX(Dot_V,0,MIN(10,DN$136)))*(DN$134+DN$135*V_PreInd)</f>
        <v>0</v>
      </c>
      <c r="DO172" s="36" t="n">
        <f aca="false">SUMPRODUCT((Per_Clase="Indirecto")*INDEX(Dot_V,0,MIN(10,DO$136)))*(DO$134+DO$135*V_PreInd)</f>
        <v>0</v>
      </c>
      <c r="DP172" s="36" t="n">
        <f aca="false">SUMPRODUCT((Per_Clase="Indirecto")*INDEX(Dot_V,0,MIN(10,DP$136)))*(DP$134+DP$135*V_PreInd)</f>
        <v>0</v>
      </c>
      <c r="DQ172" s="36" t="n">
        <f aca="false">SUMPRODUCT((Per_Clase="Indirecto")*INDEX(Dot_V,0,MIN(10,DQ$136)))*(DQ$134+DQ$135*V_PreInd)</f>
        <v>0</v>
      </c>
      <c r="DR172" s="36" t="n">
        <f aca="false">SUMPRODUCT((Per_Clase="Indirecto")*INDEX(Dot_V,0,MIN(10,DR$136)))*(DR$134+DR$135*V_PreInd)</f>
        <v>0</v>
      </c>
      <c r="DS172" s="36" t="n">
        <f aca="false">SUMPRODUCT((Per_Clase="Indirecto")*INDEX(Dot_V,0,MIN(10,DS$136)))*(DS$134+DS$135*V_PreInd)</f>
        <v>0</v>
      </c>
      <c r="DT172" s="36" t="n">
        <f aca="false">SUMPRODUCT((Per_Clase="Indirecto")*INDEX(Dot_V,0,MIN(10,DT$136)))*(DT$134+DT$135*V_PreInd)</f>
        <v>0</v>
      </c>
      <c r="DU172" s="36" t="n">
        <f aca="false">SUMPRODUCT((Per_Clase="Indirecto")*INDEX(Dot_V,0,MIN(10,DU$136)))*(DU$134+DU$135*V_PreInd)</f>
        <v>0</v>
      </c>
      <c r="DV172" s="36" t="n">
        <f aca="false">SUMPRODUCT((Per_Clase="Indirecto")*INDEX(Dot_V,0,MIN(10,DV$136)))*(DV$134+DV$135*V_PreInd)</f>
        <v>0</v>
      </c>
      <c r="DW172" s="36" t="n">
        <f aca="false">SUMPRODUCT((Per_Clase="Indirecto")*INDEX(Dot_V,0,MIN(10,DW$136)))*(DW$134+DW$135*V_PreInd)</f>
        <v>0</v>
      </c>
      <c r="DX172" s="36" t="n">
        <f aca="false">SUMPRODUCT((Per_Clase="Indirecto")*INDEX(Dot_V,0,MIN(10,DX$136)))*(DX$134+DX$135*V_PreInd)</f>
        <v>0</v>
      </c>
      <c r="DY172" s="36" t="n">
        <f aca="false">SUMPRODUCT((Per_Clase="Indirecto")*INDEX(Dot_V,0,MIN(10,DY$136)))*(DY$134+DY$135*V_PreInd)</f>
        <v>0</v>
      </c>
      <c r="DZ172" s="36" t="n">
        <f aca="false">SUMPRODUCT((Per_Clase="Indirecto")*INDEX(Dot_V,0,MIN(10,DZ$136)))*(DZ$134+DZ$135*V_PreInd)</f>
        <v>0</v>
      </c>
      <c r="EA172" s="36" t="n">
        <f aca="false">SUMPRODUCT((Per_Clase="Indirecto")*INDEX(Dot_V,0,MIN(10,EA$136)))*(EA$134+EA$135*V_PreInd)</f>
        <v>0</v>
      </c>
      <c r="EB172" s="36" t="n">
        <f aca="false">SUMPRODUCT((Per_Clase="Indirecto")*INDEX(Dot_V,0,MIN(10,EB$136)))*(EB$134+EB$135*V_PreInd)</f>
        <v>0</v>
      </c>
      <c r="EC172" s="36" t="n">
        <f aca="false">SUMPRODUCT((Per_Clase="Indirecto")*INDEX(Dot_V,0,MIN(10,EC$136)))*(EC$134+EC$135*V_PreInd)</f>
        <v>0</v>
      </c>
      <c r="ED172" s="36" t="n">
        <f aca="false">SUMPRODUCT((Per_Clase="Indirecto")*INDEX(Dot_V,0,MIN(10,ED$136)))*(ED$134+ED$135*V_PreInd)</f>
        <v>0</v>
      </c>
      <c r="EE172" s="36" t="n">
        <f aca="false">SUMPRODUCT((Per_Clase="Indirecto")*INDEX(Dot_V,0,MIN(10,EE$136)))*(EE$134+EE$135*V_PreInd)</f>
        <v>0</v>
      </c>
      <c r="EF172" s="36" t="n">
        <f aca="false">SUMPRODUCT((Per_Clase="Indirecto")*INDEX(Dot_V,0,MIN(10,EF$136)))*(EF$134+EF$135*V_PreInd)</f>
        <v>0</v>
      </c>
      <c r="EG172" s="36" t="n">
        <f aca="false">SUMPRODUCT((Per_Clase="Indirecto")*INDEX(Dot_V,0,MIN(10,EG$136)))*(EG$134+EG$135*V_PreInd)</f>
        <v>0</v>
      </c>
      <c r="EH172" s="36" t="n">
        <f aca="false">SUMPRODUCT((Per_Clase="Indirecto")*INDEX(Dot_V,0,MIN(10,EH$136)))*(EH$134+EH$135*V_PreInd)</f>
        <v>0</v>
      </c>
      <c r="EI172" s="36" t="n">
        <f aca="false">SUMPRODUCT((Per_Clase="Indirecto")*INDEX(Dot_V,0,MIN(10,EI$136)))*(EI$134+EI$135*V_PreInd)</f>
        <v>0</v>
      </c>
      <c r="EJ172" s="36" t="n">
        <f aca="false">SUMPRODUCT((Per_Clase="Indirecto")*INDEX(Dot_V,0,MIN(10,EJ$136)))*(EJ$134+EJ$135*V_PreInd)</f>
        <v>0</v>
      </c>
      <c r="EK172" s="36" t="n">
        <f aca="false">SUMPRODUCT((Per_Clase="Indirecto")*INDEX(Dot_V,0,MIN(10,EK$136)))*(EK$134+EK$135*V_PreInd)</f>
        <v>0</v>
      </c>
      <c r="EL172" s="36" t="n">
        <f aca="false">SUMPRODUCT((Per_Clase="Indirecto")*INDEX(Dot_V,0,MIN(10,EL$136)))*(EL$134+EL$135*V_PreInd)</f>
        <v>0</v>
      </c>
      <c r="EM172" s="36" t="n">
        <f aca="false">SUMPRODUCT((Per_Clase="Indirecto")*INDEX(Dot_V,0,MIN(10,EM$136)))*(EM$134+EM$135*V_PreInd)</f>
        <v>0</v>
      </c>
      <c r="EN172" s="36" t="n">
        <f aca="false">SUMPRODUCT((Per_Clase="Indirecto")*INDEX(Dot_V,0,MIN(10,EN$136)))*(EN$134+EN$135*V_PreInd)</f>
        <v>0</v>
      </c>
      <c r="EO172" s="36" t="n">
        <f aca="false">SUMPRODUCT((Per_Clase="Indirecto")*INDEX(Dot_V,0,MIN(10,EO$136)))*(EO$134+EO$135*V_PreInd)</f>
        <v>0</v>
      </c>
      <c r="EP172" s="36" t="n">
        <f aca="false">SUMPRODUCT((Per_Clase="Indirecto")*INDEX(Dot_V,0,MIN(10,EP$136)))*(EP$134+EP$135*V_PreInd)</f>
        <v>0</v>
      </c>
      <c r="EQ172" s="36" t="n">
        <f aca="false">SUMPRODUCT((Per_Clase="Indirecto")*INDEX(Dot_V,0,MIN(10,EQ$136)))*(EQ$134+EQ$135*V_PreInd)</f>
        <v>0</v>
      </c>
      <c r="ER172" s="36" t="n">
        <f aca="false">SUMPRODUCT((Per_Clase="Indirecto")*INDEX(Dot_V,0,MIN(10,ER$136)))*(ER$134+ER$135*V_PreInd)</f>
        <v>0</v>
      </c>
      <c r="ES172" s="36" t="n">
        <f aca="false">SUMPRODUCT((Per_Clase="Indirecto")*INDEX(Dot_V,0,MIN(10,ES$136)))*(ES$134+ES$135*V_PreInd)</f>
        <v>0</v>
      </c>
    </row>
    <row r="173" customFormat="false" ht="15" hidden="false" customHeight="false" outlineLevel="0" collapsed="false">
      <c r="A173" s="2" t="s">
        <v>651</v>
      </c>
      <c r="B173" s="6" t="s">
        <v>475</v>
      </c>
      <c r="C173" s="6" t="s">
        <v>212</v>
      </c>
      <c r="E173" s="40" t="n">
        <f aca="false">SUM(F173:ES173)</f>
        <v>0</v>
      </c>
      <c r="F173" s="34" t="n">
        <f aca="false">SUMPRODUCT((Per_Clase="Indirecto")*Sal_V*INDEX(Dot_V,0,MIN(10,F$136))*((Per_Mon="PYG")*F$138+(Per_Mon&lt;&gt;"PYG")))*(F$134+F$135*V_PreInd)*INDEX(IdxSal_V,1,MIN(10,F$136))*(1+V_Cargas)+F$172*V_Alim*F$138</f>
        <v>0</v>
      </c>
      <c r="G173" s="34" t="n">
        <f aca="false">SUMPRODUCT((Per_Clase="Indirecto")*Sal_V*INDEX(Dot_V,0,MIN(10,G$136))*((Per_Mon="PYG")*G$138+(Per_Mon&lt;&gt;"PYG")))*(G$134+G$135*V_PreInd)*INDEX(IdxSal_V,1,MIN(10,G$136))*(1+V_Cargas)+G$172*V_Alim*G$138</f>
        <v>0</v>
      </c>
      <c r="H173" s="34" t="n">
        <f aca="false">SUMPRODUCT((Per_Clase="Indirecto")*Sal_V*INDEX(Dot_V,0,MIN(10,H$136))*((Per_Mon="PYG")*H$138+(Per_Mon&lt;&gt;"PYG")))*(H$134+H$135*V_PreInd)*INDEX(IdxSal_V,1,MIN(10,H$136))*(1+V_Cargas)+H$172*V_Alim*H$138</f>
        <v>0</v>
      </c>
      <c r="I173" s="34" t="n">
        <f aca="false">SUMPRODUCT((Per_Clase="Indirecto")*Sal_V*INDEX(Dot_V,0,MIN(10,I$136))*((Per_Mon="PYG")*I$138+(Per_Mon&lt;&gt;"PYG")))*(I$134+I$135*V_PreInd)*INDEX(IdxSal_V,1,MIN(10,I$136))*(1+V_Cargas)+I$172*V_Alim*I$138</f>
        <v>0</v>
      </c>
      <c r="J173" s="34" t="n">
        <f aca="false">SUMPRODUCT((Per_Clase="Indirecto")*Sal_V*INDEX(Dot_V,0,MIN(10,J$136))*((Per_Mon="PYG")*J$138+(Per_Mon&lt;&gt;"PYG")))*(J$134+J$135*V_PreInd)*INDEX(IdxSal_V,1,MIN(10,J$136))*(1+V_Cargas)+J$172*V_Alim*J$138</f>
        <v>0</v>
      </c>
      <c r="K173" s="34" t="n">
        <f aca="false">SUMPRODUCT((Per_Clase="Indirecto")*Sal_V*INDEX(Dot_V,0,MIN(10,K$136))*((Per_Mon="PYG")*K$138+(Per_Mon&lt;&gt;"PYG")))*(K$134+K$135*V_PreInd)*INDEX(IdxSal_V,1,MIN(10,K$136))*(1+V_Cargas)+K$172*V_Alim*K$138</f>
        <v>0</v>
      </c>
      <c r="L173" s="34" t="n">
        <f aca="false">SUMPRODUCT((Per_Clase="Indirecto")*Sal_V*INDEX(Dot_V,0,MIN(10,L$136))*((Per_Mon="PYG")*L$138+(Per_Mon&lt;&gt;"PYG")))*(L$134+L$135*V_PreInd)*INDEX(IdxSal_V,1,MIN(10,L$136))*(1+V_Cargas)+L$172*V_Alim*L$138</f>
        <v>0</v>
      </c>
      <c r="M173" s="34" t="n">
        <f aca="false">SUMPRODUCT((Per_Clase="Indirecto")*Sal_V*INDEX(Dot_V,0,MIN(10,M$136))*((Per_Mon="PYG")*M$138+(Per_Mon&lt;&gt;"PYG")))*(M$134+M$135*V_PreInd)*INDEX(IdxSal_V,1,MIN(10,M$136))*(1+V_Cargas)+M$172*V_Alim*M$138</f>
        <v>0</v>
      </c>
      <c r="N173" s="34" t="n">
        <f aca="false">SUMPRODUCT((Per_Clase="Indirecto")*Sal_V*INDEX(Dot_V,0,MIN(10,N$136))*((Per_Mon="PYG")*N$138+(Per_Mon&lt;&gt;"PYG")))*(N$134+N$135*V_PreInd)*INDEX(IdxSal_V,1,MIN(10,N$136))*(1+V_Cargas)+N$172*V_Alim*N$138</f>
        <v>0</v>
      </c>
      <c r="O173" s="34" t="n">
        <f aca="false">SUMPRODUCT((Per_Clase="Indirecto")*Sal_V*INDEX(Dot_V,0,MIN(10,O$136))*((Per_Mon="PYG")*O$138+(Per_Mon&lt;&gt;"PYG")))*(O$134+O$135*V_PreInd)*INDEX(IdxSal_V,1,MIN(10,O$136))*(1+V_Cargas)+O$172*V_Alim*O$138</f>
        <v>0</v>
      </c>
      <c r="P173" s="34" t="n">
        <f aca="false">SUMPRODUCT((Per_Clase="Indirecto")*Sal_V*INDEX(Dot_V,0,MIN(10,P$136))*((Per_Mon="PYG")*P$138+(Per_Mon&lt;&gt;"PYG")))*(P$134+P$135*V_PreInd)*INDEX(IdxSal_V,1,MIN(10,P$136))*(1+V_Cargas)+P$172*V_Alim*P$138</f>
        <v>0</v>
      </c>
      <c r="Q173" s="34" t="n">
        <f aca="false">SUMPRODUCT((Per_Clase="Indirecto")*Sal_V*INDEX(Dot_V,0,MIN(10,Q$136))*((Per_Mon="PYG")*Q$138+(Per_Mon&lt;&gt;"PYG")))*(Q$134+Q$135*V_PreInd)*INDEX(IdxSal_V,1,MIN(10,Q$136))*(1+V_Cargas)+Q$172*V_Alim*Q$138</f>
        <v>0</v>
      </c>
      <c r="R173" s="34" t="n">
        <f aca="false">SUMPRODUCT((Per_Clase="Indirecto")*Sal_V*INDEX(Dot_V,0,MIN(10,R$136))*((Per_Mon="PYG")*R$138+(Per_Mon&lt;&gt;"PYG")))*(R$134+R$135*V_PreInd)*INDEX(IdxSal_V,1,MIN(10,R$136))*(1+V_Cargas)+R$172*V_Alim*R$138</f>
        <v>0</v>
      </c>
      <c r="S173" s="34" t="n">
        <f aca="false">SUMPRODUCT((Per_Clase="Indirecto")*Sal_V*INDEX(Dot_V,0,MIN(10,S$136))*((Per_Mon="PYG")*S$138+(Per_Mon&lt;&gt;"PYG")))*(S$134+S$135*V_PreInd)*INDEX(IdxSal_V,1,MIN(10,S$136))*(1+V_Cargas)+S$172*V_Alim*S$138</f>
        <v>0</v>
      </c>
      <c r="T173" s="34" t="n">
        <f aca="false">SUMPRODUCT((Per_Clase="Indirecto")*Sal_V*INDEX(Dot_V,0,MIN(10,T$136))*((Per_Mon="PYG")*T$138+(Per_Mon&lt;&gt;"PYG")))*(T$134+T$135*V_PreInd)*INDEX(IdxSal_V,1,MIN(10,T$136))*(1+V_Cargas)+T$172*V_Alim*T$138</f>
        <v>0</v>
      </c>
      <c r="U173" s="34" t="n">
        <f aca="false">SUMPRODUCT((Per_Clase="Indirecto")*Sal_V*INDEX(Dot_V,0,MIN(10,U$136))*((Per_Mon="PYG")*U$138+(Per_Mon&lt;&gt;"PYG")))*(U$134+U$135*V_PreInd)*INDEX(IdxSal_V,1,MIN(10,U$136))*(1+V_Cargas)+U$172*V_Alim*U$138</f>
        <v>0</v>
      </c>
      <c r="V173" s="34" t="n">
        <f aca="false">SUMPRODUCT((Per_Clase="Indirecto")*Sal_V*INDEX(Dot_V,0,MIN(10,V$136))*((Per_Mon="PYG")*V$138+(Per_Mon&lt;&gt;"PYG")))*(V$134+V$135*V_PreInd)*INDEX(IdxSal_V,1,MIN(10,V$136))*(1+V_Cargas)+V$172*V_Alim*V$138</f>
        <v>0</v>
      </c>
      <c r="W173" s="34" t="n">
        <f aca="false">SUMPRODUCT((Per_Clase="Indirecto")*Sal_V*INDEX(Dot_V,0,MIN(10,W$136))*((Per_Mon="PYG")*W$138+(Per_Mon&lt;&gt;"PYG")))*(W$134+W$135*V_PreInd)*INDEX(IdxSal_V,1,MIN(10,W$136))*(1+V_Cargas)+W$172*V_Alim*W$138</f>
        <v>0</v>
      </c>
      <c r="X173" s="34" t="n">
        <f aca="false">SUMPRODUCT((Per_Clase="Indirecto")*Sal_V*INDEX(Dot_V,0,MIN(10,X$136))*((Per_Mon="PYG")*X$138+(Per_Mon&lt;&gt;"PYG")))*(X$134+X$135*V_PreInd)*INDEX(IdxSal_V,1,MIN(10,X$136))*(1+V_Cargas)+X$172*V_Alim*X$138</f>
        <v>0</v>
      </c>
      <c r="Y173" s="34" t="n">
        <f aca="false">SUMPRODUCT((Per_Clase="Indirecto")*Sal_V*INDEX(Dot_V,0,MIN(10,Y$136))*((Per_Mon="PYG")*Y$138+(Per_Mon&lt;&gt;"PYG")))*(Y$134+Y$135*V_PreInd)*INDEX(IdxSal_V,1,MIN(10,Y$136))*(1+V_Cargas)+Y$172*V_Alim*Y$138</f>
        <v>0</v>
      </c>
      <c r="Z173" s="34" t="n">
        <f aca="false">SUMPRODUCT((Per_Clase="Indirecto")*Sal_V*INDEX(Dot_V,0,MIN(10,Z$136))*((Per_Mon="PYG")*Z$138+(Per_Mon&lt;&gt;"PYG")))*(Z$134+Z$135*V_PreInd)*INDEX(IdxSal_V,1,MIN(10,Z$136))*(1+V_Cargas)+Z$172*V_Alim*Z$138</f>
        <v>0</v>
      </c>
      <c r="AA173" s="34" t="n">
        <f aca="false">SUMPRODUCT((Per_Clase="Indirecto")*Sal_V*INDEX(Dot_V,0,MIN(10,AA$136))*((Per_Mon="PYG")*AA$138+(Per_Mon&lt;&gt;"PYG")))*(AA$134+AA$135*V_PreInd)*INDEX(IdxSal_V,1,MIN(10,AA$136))*(1+V_Cargas)+AA$172*V_Alim*AA$138</f>
        <v>0</v>
      </c>
      <c r="AB173" s="34" t="n">
        <f aca="false">SUMPRODUCT((Per_Clase="Indirecto")*Sal_V*INDEX(Dot_V,0,MIN(10,AB$136))*((Per_Mon="PYG")*AB$138+(Per_Mon&lt;&gt;"PYG")))*(AB$134+AB$135*V_PreInd)*INDEX(IdxSal_V,1,MIN(10,AB$136))*(1+V_Cargas)+AB$172*V_Alim*AB$138</f>
        <v>0</v>
      </c>
      <c r="AC173" s="34" t="n">
        <f aca="false">SUMPRODUCT((Per_Clase="Indirecto")*Sal_V*INDEX(Dot_V,0,MIN(10,AC$136))*((Per_Mon="PYG")*AC$138+(Per_Mon&lt;&gt;"PYG")))*(AC$134+AC$135*V_PreInd)*INDEX(IdxSal_V,1,MIN(10,AC$136))*(1+V_Cargas)+AC$172*V_Alim*AC$138</f>
        <v>0</v>
      </c>
      <c r="AD173" s="34" t="n">
        <f aca="false">SUMPRODUCT((Per_Clase="Indirecto")*Sal_V*INDEX(Dot_V,0,MIN(10,AD$136))*((Per_Mon="PYG")*AD$138+(Per_Mon&lt;&gt;"PYG")))*(AD$134+AD$135*V_PreInd)*INDEX(IdxSal_V,1,MIN(10,AD$136))*(1+V_Cargas)+AD$172*V_Alim*AD$138</f>
        <v>0</v>
      </c>
      <c r="AE173" s="34" t="n">
        <f aca="false">SUMPRODUCT((Per_Clase="Indirecto")*Sal_V*INDEX(Dot_V,0,MIN(10,AE$136))*((Per_Mon="PYG")*AE$138+(Per_Mon&lt;&gt;"PYG")))*(AE$134+AE$135*V_PreInd)*INDEX(IdxSal_V,1,MIN(10,AE$136))*(1+V_Cargas)+AE$172*V_Alim*AE$138</f>
        <v>0</v>
      </c>
      <c r="AF173" s="34" t="n">
        <f aca="false">SUMPRODUCT((Per_Clase="Indirecto")*Sal_V*INDEX(Dot_V,0,MIN(10,AF$136))*((Per_Mon="PYG")*AF$138+(Per_Mon&lt;&gt;"PYG")))*(AF$134+AF$135*V_PreInd)*INDEX(IdxSal_V,1,MIN(10,AF$136))*(1+V_Cargas)+AF$172*V_Alim*AF$138</f>
        <v>0</v>
      </c>
      <c r="AG173" s="34" t="n">
        <f aca="false">SUMPRODUCT((Per_Clase="Indirecto")*Sal_V*INDEX(Dot_V,0,MIN(10,AG$136))*((Per_Mon="PYG")*AG$138+(Per_Mon&lt;&gt;"PYG")))*(AG$134+AG$135*V_PreInd)*INDEX(IdxSal_V,1,MIN(10,AG$136))*(1+V_Cargas)+AG$172*V_Alim*AG$138</f>
        <v>0</v>
      </c>
      <c r="AH173" s="34" t="n">
        <f aca="false">SUMPRODUCT((Per_Clase="Indirecto")*Sal_V*INDEX(Dot_V,0,MIN(10,AH$136))*((Per_Mon="PYG")*AH$138+(Per_Mon&lt;&gt;"PYG")))*(AH$134+AH$135*V_PreInd)*INDEX(IdxSal_V,1,MIN(10,AH$136))*(1+V_Cargas)+AH$172*V_Alim*AH$138</f>
        <v>0</v>
      </c>
      <c r="AI173" s="34" t="n">
        <f aca="false">SUMPRODUCT((Per_Clase="Indirecto")*Sal_V*INDEX(Dot_V,0,MIN(10,AI$136))*((Per_Mon="PYG")*AI$138+(Per_Mon&lt;&gt;"PYG")))*(AI$134+AI$135*V_PreInd)*INDEX(IdxSal_V,1,MIN(10,AI$136))*(1+V_Cargas)+AI$172*V_Alim*AI$138</f>
        <v>0</v>
      </c>
      <c r="AJ173" s="34" t="n">
        <f aca="false">SUMPRODUCT((Per_Clase="Indirecto")*Sal_V*INDEX(Dot_V,0,MIN(10,AJ$136))*((Per_Mon="PYG")*AJ$138+(Per_Mon&lt;&gt;"PYG")))*(AJ$134+AJ$135*V_PreInd)*INDEX(IdxSal_V,1,MIN(10,AJ$136))*(1+V_Cargas)+AJ$172*V_Alim*AJ$138</f>
        <v>0</v>
      </c>
      <c r="AK173" s="34" t="n">
        <f aca="false">SUMPRODUCT((Per_Clase="Indirecto")*Sal_V*INDEX(Dot_V,0,MIN(10,AK$136))*((Per_Mon="PYG")*AK$138+(Per_Mon&lt;&gt;"PYG")))*(AK$134+AK$135*V_PreInd)*INDEX(IdxSal_V,1,MIN(10,AK$136))*(1+V_Cargas)+AK$172*V_Alim*AK$138</f>
        <v>0</v>
      </c>
      <c r="AL173" s="34" t="n">
        <f aca="false">SUMPRODUCT((Per_Clase="Indirecto")*Sal_V*INDEX(Dot_V,0,MIN(10,AL$136))*((Per_Mon="PYG")*AL$138+(Per_Mon&lt;&gt;"PYG")))*(AL$134+AL$135*V_PreInd)*INDEX(IdxSal_V,1,MIN(10,AL$136))*(1+V_Cargas)+AL$172*V_Alim*AL$138</f>
        <v>0</v>
      </c>
      <c r="AM173" s="34" t="n">
        <f aca="false">SUMPRODUCT((Per_Clase="Indirecto")*Sal_V*INDEX(Dot_V,0,MIN(10,AM$136))*((Per_Mon="PYG")*AM$138+(Per_Mon&lt;&gt;"PYG")))*(AM$134+AM$135*V_PreInd)*INDEX(IdxSal_V,1,MIN(10,AM$136))*(1+V_Cargas)+AM$172*V_Alim*AM$138</f>
        <v>0</v>
      </c>
      <c r="AN173" s="34" t="n">
        <f aca="false">SUMPRODUCT((Per_Clase="Indirecto")*Sal_V*INDEX(Dot_V,0,MIN(10,AN$136))*((Per_Mon="PYG")*AN$138+(Per_Mon&lt;&gt;"PYG")))*(AN$134+AN$135*V_PreInd)*INDEX(IdxSal_V,1,MIN(10,AN$136))*(1+V_Cargas)+AN$172*V_Alim*AN$138</f>
        <v>0</v>
      </c>
      <c r="AO173" s="34" t="n">
        <f aca="false">SUMPRODUCT((Per_Clase="Indirecto")*Sal_V*INDEX(Dot_V,0,MIN(10,AO$136))*((Per_Mon="PYG")*AO$138+(Per_Mon&lt;&gt;"PYG")))*(AO$134+AO$135*V_PreInd)*INDEX(IdxSal_V,1,MIN(10,AO$136))*(1+V_Cargas)+AO$172*V_Alim*AO$138</f>
        <v>0</v>
      </c>
      <c r="AP173" s="34" t="n">
        <f aca="false">SUMPRODUCT((Per_Clase="Indirecto")*Sal_V*INDEX(Dot_V,0,MIN(10,AP$136))*((Per_Mon="PYG")*AP$138+(Per_Mon&lt;&gt;"PYG")))*(AP$134+AP$135*V_PreInd)*INDEX(IdxSal_V,1,MIN(10,AP$136))*(1+V_Cargas)+AP$172*V_Alim*AP$138</f>
        <v>0</v>
      </c>
      <c r="AQ173" s="34" t="n">
        <f aca="false">SUMPRODUCT((Per_Clase="Indirecto")*Sal_V*INDEX(Dot_V,0,MIN(10,AQ$136))*((Per_Mon="PYG")*AQ$138+(Per_Mon&lt;&gt;"PYG")))*(AQ$134+AQ$135*V_PreInd)*INDEX(IdxSal_V,1,MIN(10,AQ$136))*(1+V_Cargas)+AQ$172*V_Alim*AQ$138</f>
        <v>0</v>
      </c>
      <c r="AR173" s="34" t="n">
        <f aca="false">SUMPRODUCT((Per_Clase="Indirecto")*Sal_V*INDEX(Dot_V,0,MIN(10,AR$136))*((Per_Mon="PYG")*AR$138+(Per_Mon&lt;&gt;"PYG")))*(AR$134+AR$135*V_PreInd)*INDEX(IdxSal_V,1,MIN(10,AR$136))*(1+V_Cargas)+AR$172*V_Alim*AR$138</f>
        <v>0</v>
      </c>
      <c r="AS173" s="34" t="n">
        <f aca="false">SUMPRODUCT((Per_Clase="Indirecto")*Sal_V*INDEX(Dot_V,0,MIN(10,AS$136))*((Per_Mon="PYG")*AS$138+(Per_Mon&lt;&gt;"PYG")))*(AS$134+AS$135*V_PreInd)*INDEX(IdxSal_V,1,MIN(10,AS$136))*(1+V_Cargas)+AS$172*V_Alim*AS$138</f>
        <v>0</v>
      </c>
      <c r="AT173" s="34" t="n">
        <f aca="false">SUMPRODUCT((Per_Clase="Indirecto")*Sal_V*INDEX(Dot_V,0,MIN(10,AT$136))*((Per_Mon="PYG")*AT$138+(Per_Mon&lt;&gt;"PYG")))*(AT$134+AT$135*V_PreInd)*INDEX(IdxSal_V,1,MIN(10,AT$136))*(1+V_Cargas)+AT$172*V_Alim*AT$138</f>
        <v>0</v>
      </c>
      <c r="AU173" s="34" t="n">
        <f aca="false">SUMPRODUCT((Per_Clase="Indirecto")*Sal_V*INDEX(Dot_V,0,MIN(10,AU$136))*((Per_Mon="PYG")*AU$138+(Per_Mon&lt;&gt;"PYG")))*(AU$134+AU$135*V_PreInd)*INDEX(IdxSal_V,1,MIN(10,AU$136))*(1+V_Cargas)+AU$172*V_Alim*AU$138</f>
        <v>0</v>
      </c>
      <c r="AV173" s="34" t="n">
        <f aca="false">SUMPRODUCT((Per_Clase="Indirecto")*Sal_V*INDEX(Dot_V,0,MIN(10,AV$136))*((Per_Mon="PYG")*AV$138+(Per_Mon&lt;&gt;"PYG")))*(AV$134+AV$135*V_PreInd)*INDEX(IdxSal_V,1,MIN(10,AV$136))*(1+V_Cargas)+AV$172*V_Alim*AV$138</f>
        <v>0</v>
      </c>
      <c r="AW173" s="34" t="n">
        <f aca="false">SUMPRODUCT((Per_Clase="Indirecto")*Sal_V*INDEX(Dot_V,0,MIN(10,AW$136))*((Per_Mon="PYG")*AW$138+(Per_Mon&lt;&gt;"PYG")))*(AW$134+AW$135*V_PreInd)*INDEX(IdxSal_V,1,MIN(10,AW$136))*(1+V_Cargas)+AW$172*V_Alim*AW$138</f>
        <v>0</v>
      </c>
      <c r="AX173" s="34" t="n">
        <f aca="false">SUMPRODUCT((Per_Clase="Indirecto")*Sal_V*INDEX(Dot_V,0,MIN(10,AX$136))*((Per_Mon="PYG")*AX$138+(Per_Mon&lt;&gt;"PYG")))*(AX$134+AX$135*V_PreInd)*INDEX(IdxSal_V,1,MIN(10,AX$136))*(1+V_Cargas)+AX$172*V_Alim*AX$138</f>
        <v>0</v>
      </c>
      <c r="AY173" s="34" t="n">
        <f aca="false">SUMPRODUCT((Per_Clase="Indirecto")*Sal_V*INDEX(Dot_V,0,MIN(10,AY$136))*((Per_Mon="PYG")*AY$138+(Per_Mon&lt;&gt;"PYG")))*(AY$134+AY$135*V_PreInd)*INDEX(IdxSal_V,1,MIN(10,AY$136))*(1+V_Cargas)+AY$172*V_Alim*AY$138</f>
        <v>0</v>
      </c>
      <c r="AZ173" s="34" t="n">
        <f aca="false">SUMPRODUCT((Per_Clase="Indirecto")*Sal_V*INDEX(Dot_V,0,MIN(10,AZ$136))*((Per_Mon="PYG")*AZ$138+(Per_Mon&lt;&gt;"PYG")))*(AZ$134+AZ$135*V_PreInd)*INDEX(IdxSal_V,1,MIN(10,AZ$136))*(1+V_Cargas)+AZ$172*V_Alim*AZ$138</f>
        <v>0</v>
      </c>
      <c r="BA173" s="34" t="n">
        <f aca="false">SUMPRODUCT((Per_Clase="Indirecto")*Sal_V*INDEX(Dot_V,0,MIN(10,BA$136))*((Per_Mon="PYG")*BA$138+(Per_Mon&lt;&gt;"PYG")))*(BA$134+BA$135*V_PreInd)*INDEX(IdxSal_V,1,MIN(10,BA$136))*(1+V_Cargas)+BA$172*V_Alim*BA$138</f>
        <v>0</v>
      </c>
      <c r="BB173" s="34" t="n">
        <f aca="false">SUMPRODUCT((Per_Clase="Indirecto")*Sal_V*INDEX(Dot_V,0,MIN(10,BB$136))*((Per_Mon="PYG")*BB$138+(Per_Mon&lt;&gt;"PYG")))*(BB$134+BB$135*V_PreInd)*INDEX(IdxSal_V,1,MIN(10,BB$136))*(1+V_Cargas)+BB$172*V_Alim*BB$138</f>
        <v>0</v>
      </c>
      <c r="BC173" s="34" t="n">
        <f aca="false">SUMPRODUCT((Per_Clase="Indirecto")*Sal_V*INDEX(Dot_V,0,MIN(10,BC$136))*((Per_Mon="PYG")*BC$138+(Per_Mon&lt;&gt;"PYG")))*(BC$134+BC$135*V_PreInd)*INDEX(IdxSal_V,1,MIN(10,BC$136))*(1+V_Cargas)+BC$172*V_Alim*BC$138</f>
        <v>0</v>
      </c>
      <c r="BD173" s="34" t="n">
        <f aca="false">SUMPRODUCT((Per_Clase="Indirecto")*Sal_V*INDEX(Dot_V,0,MIN(10,BD$136))*((Per_Mon="PYG")*BD$138+(Per_Mon&lt;&gt;"PYG")))*(BD$134+BD$135*V_PreInd)*INDEX(IdxSal_V,1,MIN(10,BD$136))*(1+V_Cargas)+BD$172*V_Alim*BD$138</f>
        <v>0</v>
      </c>
      <c r="BE173" s="34" t="n">
        <f aca="false">SUMPRODUCT((Per_Clase="Indirecto")*Sal_V*INDEX(Dot_V,0,MIN(10,BE$136))*((Per_Mon="PYG")*BE$138+(Per_Mon&lt;&gt;"PYG")))*(BE$134+BE$135*V_PreInd)*INDEX(IdxSal_V,1,MIN(10,BE$136))*(1+V_Cargas)+BE$172*V_Alim*BE$138</f>
        <v>0</v>
      </c>
      <c r="BF173" s="34" t="n">
        <f aca="false">SUMPRODUCT((Per_Clase="Indirecto")*Sal_V*INDEX(Dot_V,0,MIN(10,BF$136))*((Per_Mon="PYG")*BF$138+(Per_Mon&lt;&gt;"PYG")))*(BF$134+BF$135*V_PreInd)*INDEX(IdxSal_V,1,MIN(10,BF$136))*(1+V_Cargas)+BF$172*V_Alim*BF$138</f>
        <v>0</v>
      </c>
      <c r="BG173" s="34" t="n">
        <f aca="false">SUMPRODUCT((Per_Clase="Indirecto")*Sal_V*INDEX(Dot_V,0,MIN(10,BG$136))*((Per_Mon="PYG")*BG$138+(Per_Mon&lt;&gt;"PYG")))*(BG$134+BG$135*V_PreInd)*INDEX(IdxSal_V,1,MIN(10,BG$136))*(1+V_Cargas)+BG$172*V_Alim*BG$138</f>
        <v>0</v>
      </c>
      <c r="BH173" s="34" t="n">
        <f aca="false">SUMPRODUCT((Per_Clase="Indirecto")*Sal_V*INDEX(Dot_V,0,MIN(10,BH$136))*((Per_Mon="PYG")*BH$138+(Per_Mon&lt;&gt;"PYG")))*(BH$134+BH$135*V_PreInd)*INDEX(IdxSal_V,1,MIN(10,BH$136))*(1+V_Cargas)+BH$172*V_Alim*BH$138</f>
        <v>0</v>
      </c>
      <c r="BI173" s="34" t="n">
        <f aca="false">SUMPRODUCT((Per_Clase="Indirecto")*Sal_V*INDEX(Dot_V,0,MIN(10,BI$136))*((Per_Mon="PYG")*BI$138+(Per_Mon&lt;&gt;"PYG")))*(BI$134+BI$135*V_PreInd)*INDEX(IdxSal_V,1,MIN(10,BI$136))*(1+V_Cargas)+BI$172*V_Alim*BI$138</f>
        <v>0</v>
      </c>
      <c r="BJ173" s="34" t="n">
        <f aca="false">SUMPRODUCT((Per_Clase="Indirecto")*Sal_V*INDEX(Dot_V,0,MIN(10,BJ$136))*((Per_Mon="PYG")*BJ$138+(Per_Mon&lt;&gt;"PYG")))*(BJ$134+BJ$135*V_PreInd)*INDEX(IdxSal_V,1,MIN(10,BJ$136))*(1+V_Cargas)+BJ$172*V_Alim*BJ$138</f>
        <v>0</v>
      </c>
      <c r="BK173" s="34" t="n">
        <f aca="false">SUMPRODUCT((Per_Clase="Indirecto")*Sal_V*INDEX(Dot_V,0,MIN(10,BK$136))*((Per_Mon="PYG")*BK$138+(Per_Mon&lt;&gt;"PYG")))*(BK$134+BK$135*V_PreInd)*INDEX(IdxSal_V,1,MIN(10,BK$136))*(1+V_Cargas)+BK$172*V_Alim*BK$138</f>
        <v>0</v>
      </c>
      <c r="BL173" s="34" t="n">
        <f aca="false">SUMPRODUCT((Per_Clase="Indirecto")*Sal_V*INDEX(Dot_V,0,MIN(10,BL$136))*((Per_Mon="PYG")*BL$138+(Per_Mon&lt;&gt;"PYG")))*(BL$134+BL$135*V_PreInd)*INDEX(IdxSal_V,1,MIN(10,BL$136))*(1+V_Cargas)+BL$172*V_Alim*BL$138</f>
        <v>0</v>
      </c>
      <c r="BM173" s="34" t="n">
        <f aca="false">SUMPRODUCT((Per_Clase="Indirecto")*Sal_V*INDEX(Dot_V,0,MIN(10,BM$136))*((Per_Mon="PYG")*BM$138+(Per_Mon&lt;&gt;"PYG")))*(BM$134+BM$135*V_PreInd)*INDEX(IdxSal_V,1,MIN(10,BM$136))*(1+V_Cargas)+BM$172*V_Alim*BM$138</f>
        <v>0</v>
      </c>
      <c r="BN173" s="34" t="n">
        <f aca="false">SUMPRODUCT((Per_Clase="Indirecto")*Sal_V*INDEX(Dot_V,0,MIN(10,BN$136))*((Per_Mon="PYG")*BN$138+(Per_Mon&lt;&gt;"PYG")))*(BN$134+BN$135*V_PreInd)*INDEX(IdxSal_V,1,MIN(10,BN$136))*(1+V_Cargas)+BN$172*V_Alim*BN$138</f>
        <v>0</v>
      </c>
      <c r="BO173" s="34" t="n">
        <f aca="false">SUMPRODUCT((Per_Clase="Indirecto")*Sal_V*INDEX(Dot_V,0,MIN(10,BO$136))*((Per_Mon="PYG")*BO$138+(Per_Mon&lt;&gt;"PYG")))*(BO$134+BO$135*V_PreInd)*INDEX(IdxSal_V,1,MIN(10,BO$136))*(1+V_Cargas)+BO$172*V_Alim*BO$138</f>
        <v>0</v>
      </c>
      <c r="BP173" s="34" t="n">
        <f aca="false">SUMPRODUCT((Per_Clase="Indirecto")*Sal_V*INDEX(Dot_V,0,MIN(10,BP$136))*((Per_Mon="PYG")*BP$138+(Per_Mon&lt;&gt;"PYG")))*(BP$134+BP$135*V_PreInd)*INDEX(IdxSal_V,1,MIN(10,BP$136))*(1+V_Cargas)+BP$172*V_Alim*BP$138</f>
        <v>0</v>
      </c>
      <c r="BQ173" s="34" t="n">
        <f aca="false">SUMPRODUCT((Per_Clase="Indirecto")*Sal_V*INDEX(Dot_V,0,MIN(10,BQ$136))*((Per_Mon="PYG")*BQ$138+(Per_Mon&lt;&gt;"PYG")))*(BQ$134+BQ$135*V_PreInd)*INDEX(IdxSal_V,1,MIN(10,BQ$136))*(1+V_Cargas)+BQ$172*V_Alim*BQ$138</f>
        <v>0</v>
      </c>
      <c r="BR173" s="34" t="n">
        <f aca="false">SUMPRODUCT((Per_Clase="Indirecto")*Sal_V*INDEX(Dot_V,0,MIN(10,BR$136))*((Per_Mon="PYG")*BR$138+(Per_Mon&lt;&gt;"PYG")))*(BR$134+BR$135*V_PreInd)*INDEX(IdxSal_V,1,MIN(10,BR$136))*(1+V_Cargas)+BR$172*V_Alim*BR$138</f>
        <v>0</v>
      </c>
      <c r="BS173" s="34" t="n">
        <f aca="false">SUMPRODUCT((Per_Clase="Indirecto")*Sal_V*INDEX(Dot_V,0,MIN(10,BS$136))*((Per_Mon="PYG")*BS$138+(Per_Mon&lt;&gt;"PYG")))*(BS$134+BS$135*V_PreInd)*INDEX(IdxSal_V,1,MIN(10,BS$136))*(1+V_Cargas)+BS$172*V_Alim*BS$138</f>
        <v>0</v>
      </c>
      <c r="BT173" s="34" t="n">
        <f aca="false">SUMPRODUCT((Per_Clase="Indirecto")*Sal_V*INDEX(Dot_V,0,MIN(10,BT$136))*((Per_Mon="PYG")*BT$138+(Per_Mon&lt;&gt;"PYG")))*(BT$134+BT$135*V_PreInd)*INDEX(IdxSal_V,1,MIN(10,BT$136))*(1+V_Cargas)+BT$172*V_Alim*BT$138</f>
        <v>0</v>
      </c>
      <c r="BU173" s="34" t="n">
        <f aca="false">SUMPRODUCT((Per_Clase="Indirecto")*Sal_V*INDEX(Dot_V,0,MIN(10,BU$136))*((Per_Mon="PYG")*BU$138+(Per_Mon&lt;&gt;"PYG")))*(BU$134+BU$135*V_PreInd)*INDEX(IdxSal_V,1,MIN(10,BU$136))*(1+V_Cargas)+BU$172*V_Alim*BU$138</f>
        <v>0</v>
      </c>
      <c r="BV173" s="34" t="n">
        <f aca="false">SUMPRODUCT((Per_Clase="Indirecto")*Sal_V*INDEX(Dot_V,0,MIN(10,BV$136))*((Per_Mon="PYG")*BV$138+(Per_Mon&lt;&gt;"PYG")))*(BV$134+BV$135*V_PreInd)*INDEX(IdxSal_V,1,MIN(10,BV$136))*(1+V_Cargas)+BV$172*V_Alim*BV$138</f>
        <v>0</v>
      </c>
      <c r="BW173" s="34" t="n">
        <f aca="false">SUMPRODUCT((Per_Clase="Indirecto")*Sal_V*INDEX(Dot_V,0,MIN(10,BW$136))*((Per_Mon="PYG")*BW$138+(Per_Mon&lt;&gt;"PYG")))*(BW$134+BW$135*V_PreInd)*INDEX(IdxSal_V,1,MIN(10,BW$136))*(1+V_Cargas)+BW$172*V_Alim*BW$138</f>
        <v>0</v>
      </c>
      <c r="BX173" s="34" t="n">
        <f aca="false">SUMPRODUCT((Per_Clase="Indirecto")*Sal_V*INDEX(Dot_V,0,MIN(10,BX$136))*((Per_Mon="PYG")*BX$138+(Per_Mon&lt;&gt;"PYG")))*(BX$134+BX$135*V_PreInd)*INDEX(IdxSal_V,1,MIN(10,BX$136))*(1+V_Cargas)+BX$172*V_Alim*BX$138</f>
        <v>0</v>
      </c>
      <c r="BY173" s="34" t="n">
        <f aca="false">SUMPRODUCT((Per_Clase="Indirecto")*Sal_V*INDEX(Dot_V,0,MIN(10,BY$136))*((Per_Mon="PYG")*BY$138+(Per_Mon&lt;&gt;"PYG")))*(BY$134+BY$135*V_PreInd)*INDEX(IdxSal_V,1,MIN(10,BY$136))*(1+V_Cargas)+BY$172*V_Alim*BY$138</f>
        <v>0</v>
      </c>
      <c r="BZ173" s="34" t="n">
        <f aca="false">SUMPRODUCT((Per_Clase="Indirecto")*Sal_V*INDEX(Dot_V,0,MIN(10,BZ$136))*((Per_Mon="PYG")*BZ$138+(Per_Mon&lt;&gt;"PYG")))*(BZ$134+BZ$135*V_PreInd)*INDEX(IdxSal_V,1,MIN(10,BZ$136))*(1+V_Cargas)+BZ$172*V_Alim*BZ$138</f>
        <v>0</v>
      </c>
      <c r="CA173" s="34" t="n">
        <f aca="false">SUMPRODUCT((Per_Clase="Indirecto")*Sal_V*INDEX(Dot_V,0,MIN(10,CA$136))*((Per_Mon="PYG")*CA$138+(Per_Mon&lt;&gt;"PYG")))*(CA$134+CA$135*V_PreInd)*INDEX(IdxSal_V,1,MIN(10,CA$136))*(1+V_Cargas)+CA$172*V_Alim*CA$138</f>
        <v>0</v>
      </c>
      <c r="CB173" s="34" t="n">
        <f aca="false">SUMPRODUCT((Per_Clase="Indirecto")*Sal_V*INDEX(Dot_V,0,MIN(10,CB$136))*((Per_Mon="PYG")*CB$138+(Per_Mon&lt;&gt;"PYG")))*(CB$134+CB$135*V_PreInd)*INDEX(IdxSal_V,1,MIN(10,CB$136))*(1+V_Cargas)+CB$172*V_Alim*CB$138</f>
        <v>0</v>
      </c>
      <c r="CC173" s="34" t="n">
        <f aca="false">SUMPRODUCT((Per_Clase="Indirecto")*Sal_V*INDEX(Dot_V,0,MIN(10,CC$136))*((Per_Mon="PYG")*CC$138+(Per_Mon&lt;&gt;"PYG")))*(CC$134+CC$135*V_PreInd)*INDEX(IdxSal_V,1,MIN(10,CC$136))*(1+V_Cargas)+CC$172*V_Alim*CC$138</f>
        <v>0</v>
      </c>
      <c r="CD173" s="34" t="n">
        <f aca="false">SUMPRODUCT((Per_Clase="Indirecto")*Sal_V*INDEX(Dot_V,0,MIN(10,CD$136))*((Per_Mon="PYG")*CD$138+(Per_Mon&lt;&gt;"PYG")))*(CD$134+CD$135*V_PreInd)*INDEX(IdxSal_V,1,MIN(10,CD$136))*(1+V_Cargas)+CD$172*V_Alim*CD$138</f>
        <v>0</v>
      </c>
      <c r="CE173" s="34" t="n">
        <f aca="false">SUMPRODUCT((Per_Clase="Indirecto")*Sal_V*INDEX(Dot_V,0,MIN(10,CE$136))*((Per_Mon="PYG")*CE$138+(Per_Mon&lt;&gt;"PYG")))*(CE$134+CE$135*V_PreInd)*INDEX(IdxSal_V,1,MIN(10,CE$136))*(1+V_Cargas)+CE$172*V_Alim*CE$138</f>
        <v>0</v>
      </c>
      <c r="CF173" s="34" t="n">
        <f aca="false">SUMPRODUCT((Per_Clase="Indirecto")*Sal_V*INDEX(Dot_V,0,MIN(10,CF$136))*((Per_Mon="PYG")*CF$138+(Per_Mon&lt;&gt;"PYG")))*(CF$134+CF$135*V_PreInd)*INDEX(IdxSal_V,1,MIN(10,CF$136))*(1+V_Cargas)+CF$172*V_Alim*CF$138</f>
        <v>0</v>
      </c>
      <c r="CG173" s="34" t="n">
        <f aca="false">SUMPRODUCT((Per_Clase="Indirecto")*Sal_V*INDEX(Dot_V,0,MIN(10,CG$136))*((Per_Mon="PYG")*CG$138+(Per_Mon&lt;&gt;"PYG")))*(CG$134+CG$135*V_PreInd)*INDEX(IdxSal_V,1,MIN(10,CG$136))*(1+V_Cargas)+CG$172*V_Alim*CG$138</f>
        <v>0</v>
      </c>
      <c r="CH173" s="34" t="n">
        <f aca="false">SUMPRODUCT((Per_Clase="Indirecto")*Sal_V*INDEX(Dot_V,0,MIN(10,CH$136))*((Per_Mon="PYG")*CH$138+(Per_Mon&lt;&gt;"PYG")))*(CH$134+CH$135*V_PreInd)*INDEX(IdxSal_V,1,MIN(10,CH$136))*(1+V_Cargas)+CH$172*V_Alim*CH$138</f>
        <v>0</v>
      </c>
      <c r="CI173" s="34" t="n">
        <f aca="false">SUMPRODUCT((Per_Clase="Indirecto")*Sal_V*INDEX(Dot_V,0,MIN(10,CI$136))*((Per_Mon="PYG")*CI$138+(Per_Mon&lt;&gt;"PYG")))*(CI$134+CI$135*V_PreInd)*INDEX(IdxSal_V,1,MIN(10,CI$136))*(1+V_Cargas)+CI$172*V_Alim*CI$138</f>
        <v>0</v>
      </c>
      <c r="CJ173" s="34" t="n">
        <f aca="false">SUMPRODUCT((Per_Clase="Indirecto")*Sal_V*INDEX(Dot_V,0,MIN(10,CJ$136))*((Per_Mon="PYG")*CJ$138+(Per_Mon&lt;&gt;"PYG")))*(CJ$134+CJ$135*V_PreInd)*INDEX(IdxSal_V,1,MIN(10,CJ$136))*(1+V_Cargas)+CJ$172*V_Alim*CJ$138</f>
        <v>0</v>
      </c>
      <c r="CK173" s="34" t="n">
        <f aca="false">SUMPRODUCT((Per_Clase="Indirecto")*Sal_V*INDEX(Dot_V,0,MIN(10,CK$136))*((Per_Mon="PYG")*CK$138+(Per_Mon&lt;&gt;"PYG")))*(CK$134+CK$135*V_PreInd)*INDEX(IdxSal_V,1,MIN(10,CK$136))*(1+V_Cargas)+CK$172*V_Alim*CK$138</f>
        <v>0</v>
      </c>
      <c r="CL173" s="34" t="n">
        <f aca="false">SUMPRODUCT((Per_Clase="Indirecto")*Sal_V*INDEX(Dot_V,0,MIN(10,CL$136))*((Per_Mon="PYG")*CL$138+(Per_Mon&lt;&gt;"PYG")))*(CL$134+CL$135*V_PreInd)*INDEX(IdxSal_V,1,MIN(10,CL$136))*(1+V_Cargas)+CL$172*V_Alim*CL$138</f>
        <v>0</v>
      </c>
      <c r="CM173" s="34" t="n">
        <f aca="false">SUMPRODUCT((Per_Clase="Indirecto")*Sal_V*INDEX(Dot_V,0,MIN(10,CM$136))*((Per_Mon="PYG")*CM$138+(Per_Mon&lt;&gt;"PYG")))*(CM$134+CM$135*V_PreInd)*INDEX(IdxSal_V,1,MIN(10,CM$136))*(1+V_Cargas)+CM$172*V_Alim*CM$138</f>
        <v>0</v>
      </c>
      <c r="CN173" s="34" t="n">
        <f aca="false">SUMPRODUCT((Per_Clase="Indirecto")*Sal_V*INDEX(Dot_V,0,MIN(10,CN$136))*((Per_Mon="PYG")*CN$138+(Per_Mon&lt;&gt;"PYG")))*(CN$134+CN$135*V_PreInd)*INDEX(IdxSal_V,1,MIN(10,CN$136))*(1+V_Cargas)+CN$172*V_Alim*CN$138</f>
        <v>0</v>
      </c>
      <c r="CO173" s="34" t="n">
        <f aca="false">SUMPRODUCT((Per_Clase="Indirecto")*Sal_V*INDEX(Dot_V,0,MIN(10,CO$136))*((Per_Mon="PYG")*CO$138+(Per_Mon&lt;&gt;"PYG")))*(CO$134+CO$135*V_PreInd)*INDEX(IdxSal_V,1,MIN(10,CO$136))*(1+V_Cargas)+CO$172*V_Alim*CO$138</f>
        <v>0</v>
      </c>
      <c r="CP173" s="34" t="n">
        <f aca="false">SUMPRODUCT((Per_Clase="Indirecto")*Sal_V*INDEX(Dot_V,0,MIN(10,CP$136))*((Per_Mon="PYG")*CP$138+(Per_Mon&lt;&gt;"PYG")))*(CP$134+CP$135*V_PreInd)*INDEX(IdxSal_V,1,MIN(10,CP$136))*(1+V_Cargas)+CP$172*V_Alim*CP$138</f>
        <v>0</v>
      </c>
      <c r="CQ173" s="34" t="n">
        <f aca="false">SUMPRODUCT((Per_Clase="Indirecto")*Sal_V*INDEX(Dot_V,0,MIN(10,CQ$136))*((Per_Mon="PYG")*CQ$138+(Per_Mon&lt;&gt;"PYG")))*(CQ$134+CQ$135*V_PreInd)*INDEX(IdxSal_V,1,MIN(10,CQ$136))*(1+V_Cargas)+CQ$172*V_Alim*CQ$138</f>
        <v>0</v>
      </c>
      <c r="CR173" s="34" t="n">
        <f aca="false">SUMPRODUCT((Per_Clase="Indirecto")*Sal_V*INDEX(Dot_V,0,MIN(10,CR$136))*((Per_Mon="PYG")*CR$138+(Per_Mon&lt;&gt;"PYG")))*(CR$134+CR$135*V_PreInd)*INDEX(IdxSal_V,1,MIN(10,CR$136))*(1+V_Cargas)+CR$172*V_Alim*CR$138</f>
        <v>0</v>
      </c>
      <c r="CS173" s="34" t="n">
        <f aca="false">SUMPRODUCT((Per_Clase="Indirecto")*Sal_V*INDEX(Dot_V,0,MIN(10,CS$136))*((Per_Mon="PYG")*CS$138+(Per_Mon&lt;&gt;"PYG")))*(CS$134+CS$135*V_PreInd)*INDEX(IdxSal_V,1,MIN(10,CS$136))*(1+V_Cargas)+CS$172*V_Alim*CS$138</f>
        <v>0</v>
      </c>
      <c r="CT173" s="34" t="n">
        <f aca="false">SUMPRODUCT((Per_Clase="Indirecto")*Sal_V*INDEX(Dot_V,0,MIN(10,CT$136))*((Per_Mon="PYG")*CT$138+(Per_Mon&lt;&gt;"PYG")))*(CT$134+CT$135*V_PreInd)*INDEX(IdxSal_V,1,MIN(10,CT$136))*(1+V_Cargas)+CT$172*V_Alim*CT$138</f>
        <v>0</v>
      </c>
      <c r="CU173" s="34" t="n">
        <f aca="false">SUMPRODUCT((Per_Clase="Indirecto")*Sal_V*INDEX(Dot_V,0,MIN(10,CU$136))*((Per_Mon="PYG")*CU$138+(Per_Mon&lt;&gt;"PYG")))*(CU$134+CU$135*V_PreInd)*INDEX(IdxSal_V,1,MIN(10,CU$136))*(1+V_Cargas)+CU$172*V_Alim*CU$138</f>
        <v>0</v>
      </c>
      <c r="CV173" s="34" t="n">
        <f aca="false">SUMPRODUCT((Per_Clase="Indirecto")*Sal_V*INDEX(Dot_V,0,MIN(10,CV$136))*((Per_Mon="PYG")*CV$138+(Per_Mon&lt;&gt;"PYG")))*(CV$134+CV$135*V_PreInd)*INDEX(IdxSal_V,1,MIN(10,CV$136))*(1+V_Cargas)+CV$172*V_Alim*CV$138</f>
        <v>0</v>
      </c>
      <c r="CW173" s="34" t="n">
        <f aca="false">SUMPRODUCT((Per_Clase="Indirecto")*Sal_V*INDEX(Dot_V,0,MIN(10,CW$136))*((Per_Mon="PYG")*CW$138+(Per_Mon&lt;&gt;"PYG")))*(CW$134+CW$135*V_PreInd)*INDEX(IdxSal_V,1,MIN(10,CW$136))*(1+V_Cargas)+CW$172*V_Alim*CW$138</f>
        <v>0</v>
      </c>
      <c r="CX173" s="34" t="n">
        <f aca="false">SUMPRODUCT((Per_Clase="Indirecto")*Sal_V*INDEX(Dot_V,0,MIN(10,CX$136))*((Per_Mon="PYG")*CX$138+(Per_Mon&lt;&gt;"PYG")))*(CX$134+CX$135*V_PreInd)*INDEX(IdxSal_V,1,MIN(10,CX$136))*(1+V_Cargas)+CX$172*V_Alim*CX$138</f>
        <v>0</v>
      </c>
      <c r="CY173" s="34" t="n">
        <f aca="false">SUMPRODUCT((Per_Clase="Indirecto")*Sal_V*INDEX(Dot_V,0,MIN(10,CY$136))*((Per_Mon="PYG")*CY$138+(Per_Mon&lt;&gt;"PYG")))*(CY$134+CY$135*V_PreInd)*INDEX(IdxSal_V,1,MIN(10,CY$136))*(1+V_Cargas)+CY$172*V_Alim*CY$138</f>
        <v>0</v>
      </c>
      <c r="CZ173" s="34" t="n">
        <f aca="false">SUMPRODUCT((Per_Clase="Indirecto")*Sal_V*INDEX(Dot_V,0,MIN(10,CZ$136))*((Per_Mon="PYG")*CZ$138+(Per_Mon&lt;&gt;"PYG")))*(CZ$134+CZ$135*V_PreInd)*INDEX(IdxSal_V,1,MIN(10,CZ$136))*(1+V_Cargas)+CZ$172*V_Alim*CZ$138</f>
        <v>0</v>
      </c>
      <c r="DA173" s="34" t="n">
        <f aca="false">SUMPRODUCT((Per_Clase="Indirecto")*Sal_V*INDEX(Dot_V,0,MIN(10,DA$136))*((Per_Mon="PYG")*DA$138+(Per_Mon&lt;&gt;"PYG")))*(DA$134+DA$135*V_PreInd)*INDEX(IdxSal_V,1,MIN(10,DA$136))*(1+V_Cargas)+DA$172*V_Alim*DA$138</f>
        <v>0</v>
      </c>
      <c r="DB173" s="34" t="n">
        <f aca="false">SUMPRODUCT((Per_Clase="Indirecto")*Sal_V*INDEX(Dot_V,0,MIN(10,DB$136))*((Per_Mon="PYG")*DB$138+(Per_Mon&lt;&gt;"PYG")))*(DB$134+DB$135*V_PreInd)*INDEX(IdxSal_V,1,MIN(10,DB$136))*(1+V_Cargas)+DB$172*V_Alim*DB$138</f>
        <v>0</v>
      </c>
      <c r="DC173" s="34" t="n">
        <f aca="false">SUMPRODUCT((Per_Clase="Indirecto")*Sal_V*INDEX(Dot_V,0,MIN(10,DC$136))*((Per_Mon="PYG")*DC$138+(Per_Mon&lt;&gt;"PYG")))*(DC$134+DC$135*V_PreInd)*INDEX(IdxSal_V,1,MIN(10,DC$136))*(1+V_Cargas)+DC$172*V_Alim*DC$138</f>
        <v>0</v>
      </c>
      <c r="DD173" s="34" t="n">
        <f aca="false">SUMPRODUCT((Per_Clase="Indirecto")*Sal_V*INDEX(Dot_V,0,MIN(10,DD$136))*((Per_Mon="PYG")*DD$138+(Per_Mon&lt;&gt;"PYG")))*(DD$134+DD$135*V_PreInd)*INDEX(IdxSal_V,1,MIN(10,DD$136))*(1+V_Cargas)+DD$172*V_Alim*DD$138</f>
        <v>0</v>
      </c>
      <c r="DE173" s="34" t="n">
        <f aca="false">SUMPRODUCT((Per_Clase="Indirecto")*Sal_V*INDEX(Dot_V,0,MIN(10,DE$136))*((Per_Mon="PYG")*DE$138+(Per_Mon&lt;&gt;"PYG")))*(DE$134+DE$135*V_PreInd)*INDEX(IdxSal_V,1,MIN(10,DE$136))*(1+V_Cargas)+DE$172*V_Alim*DE$138</f>
        <v>0</v>
      </c>
      <c r="DF173" s="34" t="n">
        <f aca="false">SUMPRODUCT((Per_Clase="Indirecto")*Sal_V*INDEX(Dot_V,0,MIN(10,DF$136))*((Per_Mon="PYG")*DF$138+(Per_Mon&lt;&gt;"PYG")))*(DF$134+DF$135*V_PreInd)*INDEX(IdxSal_V,1,MIN(10,DF$136))*(1+V_Cargas)+DF$172*V_Alim*DF$138</f>
        <v>0</v>
      </c>
      <c r="DG173" s="34" t="n">
        <f aca="false">SUMPRODUCT((Per_Clase="Indirecto")*Sal_V*INDEX(Dot_V,0,MIN(10,DG$136))*((Per_Mon="PYG")*DG$138+(Per_Mon&lt;&gt;"PYG")))*(DG$134+DG$135*V_PreInd)*INDEX(IdxSal_V,1,MIN(10,DG$136))*(1+V_Cargas)+DG$172*V_Alim*DG$138</f>
        <v>0</v>
      </c>
      <c r="DH173" s="34" t="n">
        <f aca="false">SUMPRODUCT((Per_Clase="Indirecto")*Sal_V*INDEX(Dot_V,0,MIN(10,DH$136))*((Per_Mon="PYG")*DH$138+(Per_Mon&lt;&gt;"PYG")))*(DH$134+DH$135*V_PreInd)*INDEX(IdxSal_V,1,MIN(10,DH$136))*(1+V_Cargas)+DH$172*V_Alim*DH$138</f>
        <v>0</v>
      </c>
      <c r="DI173" s="34" t="n">
        <f aca="false">SUMPRODUCT((Per_Clase="Indirecto")*Sal_V*INDEX(Dot_V,0,MIN(10,DI$136))*((Per_Mon="PYG")*DI$138+(Per_Mon&lt;&gt;"PYG")))*(DI$134+DI$135*V_PreInd)*INDEX(IdxSal_V,1,MIN(10,DI$136))*(1+V_Cargas)+DI$172*V_Alim*DI$138</f>
        <v>0</v>
      </c>
      <c r="DJ173" s="34" t="n">
        <f aca="false">SUMPRODUCT((Per_Clase="Indirecto")*Sal_V*INDEX(Dot_V,0,MIN(10,DJ$136))*((Per_Mon="PYG")*DJ$138+(Per_Mon&lt;&gt;"PYG")))*(DJ$134+DJ$135*V_PreInd)*INDEX(IdxSal_V,1,MIN(10,DJ$136))*(1+V_Cargas)+DJ$172*V_Alim*DJ$138</f>
        <v>0</v>
      </c>
      <c r="DK173" s="34" t="n">
        <f aca="false">SUMPRODUCT((Per_Clase="Indirecto")*Sal_V*INDEX(Dot_V,0,MIN(10,DK$136))*((Per_Mon="PYG")*DK$138+(Per_Mon&lt;&gt;"PYG")))*(DK$134+DK$135*V_PreInd)*INDEX(IdxSal_V,1,MIN(10,DK$136))*(1+V_Cargas)+DK$172*V_Alim*DK$138</f>
        <v>0</v>
      </c>
      <c r="DL173" s="34" t="n">
        <f aca="false">SUMPRODUCT((Per_Clase="Indirecto")*Sal_V*INDEX(Dot_V,0,MIN(10,DL$136))*((Per_Mon="PYG")*DL$138+(Per_Mon&lt;&gt;"PYG")))*(DL$134+DL$135*V_PreInd)*INDEX(IdxSal_V,1,MIN(10,DL$136))*(1+V_Cargas)+DL$172*V_Alim*DL$138</f>
        <v>0</v>
      </c>
      <c r="DM173" s="34" t="n">
        <f aca="false">SUMPRODUCT((Per_Clase="Indirecto")*Sal_V*INDEX(Dot_V,0,MIN(10,DM$136))*((Per_Mon="PYG")*DM$138+(Per_Mon&lt;&gt;"PYG")))*(DM$134+DM$135*V_PreInd)*INDEX(IdxSal_V,1,MIN(10,DM$136))*(1+V_Cargas)+DM$172*V_Alim*DM$138</f>
        <v>0</v>
      </c>
      <c r="DN173" s="34" t="n">
        <f aca="false">SUMPRODUCT((Per_Clase="Indirecto")*Sal_V*INDEX(Dot_V,0,MIN(10,DN$136))*((Per_Mon="PYG")*DN$138+(Per_Mon&lt;&gt;"PYG")))*(DN$134+DN$135*V_PreInd)*INDEX(IdxSal_V,1,MIN(10,DN$136))*(1+V_Cargas)+DN$172*V_Alim*DN$138</f>
        <v>0</v>
      </c>
      <c r="DO173" s="34" t="n">
        <f aca="false">SUMPRODUCT((Per_Clase="Indirecto")*Sal_V*INDEX(Dot_V,0,MIN(10,DO$136))*((Per_Mon="PYG")*DO$138+(Per_Mon&lt;&gt;"PYG")))*(DO$134+DO$135*V_PreInd)*INDEX(IdxSal_V,1,MIN(10,DO$136))*(1+V_Cargas)+DO$172*V_Alim*DO$138</f>
        <v>0</v>
      </c>
      <c r="DP173" s="34" t="n">
        <f aca="false">SUMPRODUCT((Per_Clase="Indirecto")*Sal_V*INDEX(Dot_V,0,MIN(10,DP$136))*((Per_Mon="PYG")*DP$138+(Per_Mon&lt;&gt;"PYG")))*(DP$134+DP$135*V_PreInd)*INDEX(IdxSal_V,1,MIN(10,DP$136))*(1+V_Cargas)+DP$172*V_Alim*DP$138</f>
        <v>0</v>
      </c>
      <c r="DQ173" s="34" t="n">
        <f aca="false">SUMPRODUCT((Per_Clase="Indirecto")*Sal_V*INDEX(Dot_V,0,MIN(10,DQ$136))*((Per_Mon="PYG")*DQ$138+(Per_Mon&lt;&gt;"PYG")))*(DQ$134+DQ$135*V_PreInd)*INDEX(IdxSal_V,1,MIN(10,DQ$136))*(1+V_Cargas)+DQ$172*V_Alim*DQ$138</f>
        <v>0</v>
      </c>
      <c r="DR173" s="34" t="n">
        <f aca="false">SUMPRODUCT((Per_Clase="Indirecto")*Sal_V*INDEX(Dot_V,0,MIN(10,DR$136))*((Per_Mon="PYG")*DR$138+(Per_Mon&lt;&gt;"PYG")))*(DR$134+DR$135*V_PreInd)*INDEX(IdxSal_V,1,MIN(10,DR$136))*(1+V_Cargas)+DR$172*V_Alim*DR$138</f>
        <v>0</v>
      </c>
      <c r="DS173" s="34" t="n">
        <f aca="false">SUMPRODUCT((Per_Clase="Indirecto")*Sal_V*INDEX(Dot_V,0,MIN(10,DS$136))*((Per_Mon="PYG")*DS$138+(Per_Mon&lt;&gt;"PYG")))*(DS$134+DS$135*V_PreInd)*INDEX(IdxSal_V,1,MIN(10,DS$136))*(1+V_Cargas)+DS$172*V_Alim*DS$138</f>
        <v>0</v>
      </c>
      <c r="DT173" s="34" t="n">
        <f aca="false">SUMPRODUCT((Per_Clase="Indirecto")*Sal_V*INDEX(Dot_V,0,MIN(10,DT$136))*((Per_Mon="PYG")*DT$138+(Per_Mon&lt;&gt;"PYG")))*(DT$134+DT$135*V_PreInd)*INDEX(IdxSal_V,1,MIN(10,DT$136))*(1+V_Cargas)+DT$172*V_Alim*DT$138</f>
        <v>0</v>
      </c>
      <c r="DU173" s="34" t="n">
        <f aca="false">SUMPRODUCT((Per_Clase="Indirecto")*Sal_V*INDEX(Dot_V,0,MIN(10,DU$136))*((Per_Mon="PYG")*DU$138+(Per_Mon&lt;&gt;"PYG")))*(DU$134+DU$135*V_PreInd)*INDEX(IdxSal_V,1,MIN(10,DU$136))*(1+V_Cargas)+DU$172*V_Alim*DU$138</f>
        <v>0</v>
      </c>
      <c r="DV173" s="34" t="n">
        <f aca="false">SUMPRODUCT((Per_Clase="Indirecto")*Sal_V*INDEX(Dot_V,0,MIN(10,DV$136))*((Per_Mon="PYG")*DV$138+(Per_Mon&lt;&gt;"PYG")))*(DV$134+DV$135*V_PreInd)*INDEX(IdxSal_V,1,MIN(10,DV$136))*(1+V_Cargas)+DV$172*V_Alim*DV$138</f>
        <v>0</v>
      </c>
      <c r="DW173" s="34" t="n">
        <f aca="false">SUMPRODUCT((Per_Clase="Indirecto")*Sal_V*INDEX(Dot_V,0,MIN(10,DW$136))*((Per_Mon="PYG")*DW$138+(Per_Mon&lt;&gt;"PYG")))*(DW$134+DW$135*V_PreInd)*INDEX(IdxSal_V,1,MIN(10,DW$136))*(1+V_Cargas)+DW$172*V_Alim*DW$138</f>
        <v>0</v>
      </c>
      <c r="DX173" s="34" t="n">
        <f aca="false">SUMPRODUCT((Per_Clase="Indirecto")*Sal_V*INDEX(Dot_V,0,MIN(10,DX$136))*((Per_Mon="PYG")*DX$138+(Per_Mon&lt;&gt;"PYG")))*(DX$134+DX$135*V_PreInd)*INDEX(IdxSal_V,1,MIN(10,DX$136))*(1+V_Cargas)+DX$172*V_Alim*DX$138</f>
        <v>0</v>
      </c>
      <c r="DY173" s="34" t="n">
        <f aca="false">SUMPRODUCT((Per_Clase="Indirecto")*Sal_V*INDEX(Dot_V,0,MIN(10,DY$136))*((Per_Mon="PYG")*DY$138+(Per_Mon&lt;&gt;"PYG")))*(DY$134+DY$135*V_PreInd)*INDEX(IdxSal_V,1,MIN(10,DY$136))*(1+V_Cargas)+DY$172*V_Alim*DY$138</f>
        <v>0</v>
      </c>
      <c r="DZ173" s="34" t="n">
        <f aca="false">SUMPRODUCT((Per_Clase="Indirecto")*Sal_V*INDEX(Dot_V,0,MIN(10,DZ$136))*((Per_Mon="PYG")*DZ$138+(Per_Mon&lt;&gt;"PYG")))*(DZ$134+DZ$135*V_PreInd)*INDEX(IdxSal_V,1,MIN(10,DZ$136))*(1+V_Cargas)+DZ$172*V_Alim*DZ$138</f>
        <v>0</v>
      </c>
      <c r="EA173" s="34" t="n">
        <f aca="false">SUMPRODUCT((Per_Clase="Indirecto")*Sal_V*INDEX(Dot_V,0,MIN(10,EA$136))*((Per_Mon="PYG")*EA$138+(Per_Mon&lt;&gt;"PYG")))*(EA$134+EA$135*V_PreInd)*INDEX(IdxSal_V,1,MIN(10,EA$136))*(1+V_Cargas)+EA$172*V_Alim*EA$138</f>
        <v>0</v>
      </c>
      <c r="EB173" s="34" t="n">
        <f aca="false">SUMPRODUCT((Per_Clase="Indirecto")*Sal_V*INDEX(Dot_V,0,MIN(10,EB$136))*((Per_Mon="PYG")*EB$138+(Per_Mon&lt;&gt;"PYG")))*(EB$134+EB$135*V_PreInd)*INDEX(IdxSal_V,1,MIN(10,EB$136))*(1+V_Cargas)+EB$172*V_Alim*EB$138</f>
        <v>0</v>
      </c>
      <c r="EC173" s="34" t="n">
        <f aca="false">SUMPRODUCT((Per_Clase="Indirecto")*Sal_V*INDEX(Dot_V,0,MIN(10,EC$136))*((Per_Mon="PYG")*EC$138+(Per_Mon&lt;&gt;"PYG")))*(EC$134+EC$135*V_PreInd)*INDEX(IdxSal_V,1,MIN(10,EC$136))*(1+V_Cargas)+EC$172*V_Alim*EC$138</f>
        <v>0</v>
      </c>
      <c r="ED173" s="34" t="n">
        <f aca="false">SUMPRODUCT((Per_Clase="Indirecto")*Sal_V*INDEX(Dot_V,0,MIN(10,ED$136))*((Per_Mon="PYG")*ED$138+(Per_Mon&lt;&gt;"PYG")))*(ED$134+ED$135*V_PreInd)*INDEX(IdxSal_V,1,MIN(10,ED$136))*(1+V_Cargas)+ED$172*V_Alim*ED$138</f>
        <v>0</v>
      </c>
      <c r="EE173" s="34" t="n">
        <f aca="false">SUMPRODUCT((Per_Clase="Indirecto")*Sal_V*INDEX(Dot_V,0,MIN(10,EE$136))*((Per_Mon="PYG")*EE$138+(Per_Mon&lt;&gt;"PYG")))*(EE$134+EE$135*V_PreInd)*INDEX(IdxSal_V,1,MIN(10,EE$136))*(1+V_Cargas)+EE$172*V_Alim*EE$138</f>
        <v>0</v>
      </c>
      <c r="EF173" s="34" t="n">
        <f aca="false">SUMPRODUCT((Per_Clase="Indirecto")*Sal_V*INDEX(Dot_V,0,MIN(10,EF$136))*((Per_Mon="PYG")*EF$138+(Per_Mon&lt;&gt;"PYG")))*(EF$134+EF$135*V_PreInd)*INDEX(IdxSal_V,1,MIN(10,EF$136))*(1+V_Cargas)+EF$172*V_Alim*EF$138</f>
        <v>0</v>
      </c>
      <c r="EG173" s="34" t="n">
        <f aca="false">SUMPRODUCT((Per_Clase="Indirecto")*Sal_V*INDEX(Dot_V,0,MIN(10,EG$136))*((Per_Mon="PYG")*EG$138+(Per_Mon&lt;&gt;"PYG")))*(EG$134+EG$135*V_PreInd)*INDEX(IdxSal_V,1,MIN(10,EG$136))*(1+V_Cargas)+EG$172*V_Alim*EG$138</f>
        <v>0</v>
      </c>
      <c r="EH173" s="34" t="n">
        <f aca="false">SUMPRODUCT((Per_Clase="Indirecto")*Sal_V*INDEX(Dot_V,0,MIN(10,EH$136))*((Per_Mon="PYG")*EH$138+(Per_Mon&lt;&gt;"PYG")))*(EH$134+EH$135*V_PreInd)*INDEX(IdxSal_V,1,MIN(10,EH$136))*(1+V_Cargas)+EH$172*V_Alim*EH$138</f>
        <v>0</v>
      </c>
      <c r="EI173" s="34" t="n">
        <f aca="false">SUMPRODUCT((Per_Clase="Indirecto")*Sal_V*INDEX(Dot_V,0,MIN(10,EI$136))*((Per_Mon="PYG")*EI$138+(Per_Mon&lt;&gt;"PYG")))*(EI$134+EI$135*V_PreInd)*INDEX(IdxSal_V,1,MIN(10,EI$136))*(1+V_Cargas)+EI$172*V_Alim*EI$138</f>
        <v>0</v>
      </c>
      <c r="EJ173" s="34" t="n">
        <f aca="false">SUMPRODUCT((Per_Clase="Indirecto")*Sal_V*INDEX(Dot_V,0,MIN(10,EJ$136))*((Per_Mon="PYG")*EJ$138+(Per_Mon&lt;&gt;"PYG")))*(EJ$134+EJ$135*V_PreInd)*INDEX(IdxSal_V,1,MIN(10,EJ$136))*(1+V_Cargas)+EJ$172*V_Alim*EJ$138</f>
        <v>0</v>
      </c>
      <c r="EK173" s="34" t="n">
        <f aca="false">SUMPRODUCT((Per_Clase="Indirecto")*Sal_V*INDEX(Dot_V,0,MIN(10,EK$136))*((Per_Mon="PYG")*EK$138+(Per_Mon&lt;&gt;"PYG")))*(EK$134+EK$135*V_PreInd)*INDEX(IdxSal_V,1,MIN(10,EK$136))*(1+V_Cargas)+EK$172*V_Alim*EK$138</f>
        <v>0</v>
      </c>
      <c r="EL173" s="34" t="n">
        <f aca="false">SUMPRODUCT((Per_Clase="Indirecto")*Sal_V*INDEX(Dot_V,0,MIN(10,EL$136))*((Per_Mon="PYG")*EL$138+(Per_Mon&lt;&gt;"PYG")))*(EL$134+EL$135*V_PreInd)*INDEX(IdxSal_V,1,MIN(10,EL$136))*(1+V_Cargas)+EL$172*V_Alim*EL$138</f>
        <v>0</v>
      </c>
      <c r="EM173" s="34" t="n">
        <f aca="false">SUMPRODUCT((Per_Clase="Indirecto")*Sal_V*INDEX(Dot_V,0,MIN(10,EM$136))*((Per_Mon="PYG")*EM$138+(Per_Mon&lt;&gt;"PYG")))*(EM$134+EM$135*V_PreInd)*INDEX(IdxSal_V,1,MIN(10,EM$136))*(1+V_Cargas)+EM$172*V_Alim*EM$138</f>
        <v>0</v>
      </c>
      <c r="EN173" s="34" t="n">
        <f aca="false">SUMPRODUCT((Per_Clase="Indirecto")*Sal_V*INDEX(Dot_V,0,MIN(10,EN$136))*((Per_Mon="PYG")*EN$138+(Per_Mon&lt;&gt;"PYG")))*(EN$134+EN$135*V_PreInd)*INDEX(IdxSal_V,1,MIN(10,EN$136))*(1+V_Cargas)+EN$172*V_Alim*EN$138</f>
        <v>0</v>
      </c>
      <c r="EO173" s="34" t="n">
        <f aca="false">SUMPRODUCT((Per_Clase="Indirecto")*Sal_V*INDEX(Dot_V,0,MIN(10,EO$136))*((Per_Mon="PYG")*EO$138+(Per_Mon&lt;&gt;"PYG")))*(EO$134+EO$135*V_PreInd)*INDEX(IdxSal_V,1,MIN(10,EO$136))*(1+V_Cargas)+EO$172*V_Alim*EO$138</f>
        <v>0</v>
      </c>
      <c r="EP173" s="34" t="n">
        <f aca="false">SUMPRODUCT((Per_Clase="Indirecto")*Sal_V*INDEX(Dot_V,0,MIN(10,EP$136))*((Per_Mon="PYG")*EP$138+(Per_Mon&lt;&gt;"PYG")))*(EP$134+EP$135*V_PreInd)*INDEX(IdxSal_V,1,MIN(10,EP$136))*(1+V_Cargas)+EP$172*V_Alim*EP$138</f>
        <v>0</v>
      </c>
      <c r="EQ173" s="34" t="n">
        <f aca="false">SUMPRODUCT((Per_Clase="Indirecto")*Sal_V*INDEX(Dot_V,0,MIN(10,EQ$136))*((Per_Mon="PYG")*EQ$138+(Per_Mon&lt;&gt;"PYG")))*(EQ$134+EQ$135*V_PreInd)*INDEX(IdxSal_V,1,MIN(10,EQ$136))*(1+V_Cargas)+EQ$172*V_Alim*EQ$138</f>
        <v>0</v>
      </c>
      <c r="ER173" s="34" t="n">
        <f aca="false">SUMPRODUCT((Per_Clase="Indirecto")*Sal_V*INDEX(Dot_V,0,MIN(10,ER$136))*((Per_Mon="PYG")*ER$138+(Per_Mon&lt;&gt;"PYG")))*(ER$134+ER$135*V_PreInd)*INDEX(IdxSal_V,1,MIN(10,ER$136))*(1+V_Cargas)+ER$172*V_Alim*ER$138</f>
        <v>0</v>
      </c>
      <c r="ES173" s="34" t="n">
        <f aca="false">SUMPRODUCT((Per_Clase="Indirecto")*Sal_V*INDEX(Dot_V,0,MIN(10,ES$136))*((Per_Mon="PYG")*ES$138+(Per_Mon&lt;&gt;"PYG")))*(ES$134+ES$135*V_PreInd)*INDEX(IdxSal_V,1,MIN(10,ES$136))*(1+V_Cargas)+ES$172*V_Alim*ES$138</f>
        <v>0</v>
      </c>
    </row>
    <row r="174" customFormat="false" ht="15" hidden="false" customHeight="false" outlineLevel="0" collapsed="false">
      <c r="A174" s="2" t="s">
        <v>652</v>
      </c>
      <c r="B174" s="6" t="s">
        <v>477</v>
      </c>
      <c r="C174" s="6" t="s">
        <v>469</v>
      </c>
      <c r="F174" s="36" t="n">
        <f aca="false">SUMPRODUCT((Per_Clase="Administración")*INDEX(Dot_V,0,MIN(10,F$136)))*(F$134+F$135*V_PreInd)</f>
        <v>0</v>
      </c>
      <c r="G174" s="36" t="n">
        <f aca="false">SUMPRODUCT((Per_Clase="Administración")*INDEX(Dot_V,0,MIN(10,G$136)))*(G$134+G$135*V_PreInd)</f>
        <v>0</v>
      </c>
      <c r="H174" s="36" t="n">
        <f aca="false">SUMPRODUCT((Per_Clase="Administración")*INDEX(Dot_V,0,MIN(10,H$136)))*(H$134+H$135*V_PreInd)</f>
        <v>0</v>
      </c>
      <c r="I174" s="36" t="n">
        <f aca="false">SUMPRODUCT((Per_Clase="Administración")*INDEX(Dot_V,0,MIN(10,I$136)))*(I$134+I$135*V_PreInd)</f>
        <v>0</v>
      </c>
      <c r="J174" s="36" t="n">
        <f aca="false">SUMPRODUCT((Per_Clase="Administración")*INDEX(Dot_V,0,MIN(10,J$136)))*(J$134+J$135*V_PreInd)</f>
        <v>0</v>
      </c>
      <c r="K174" s="36" t="n">
        <f aca="false">SUMPRODUCT((Per_Clase="Administración")*INDEX(Dot_V,0,MIN(10,K$136)))*(K$134+K$135*V_PreInd)</f>
        <v>0</v>
      </c>
      <c r="L174" s="36" t="n">
        <f aca="false">SUMPRODUCT((Per_Clase="Administración")*INDEX(Dot_V,0,MIN(10,L$136)))*(L$134+L$135*V_PreInd)</f>
        <v>0</v>
      </c>
      <c r="M174" s="36" t="n">
        <f aca="false">SUMPRODUCT((Per_Clase="Administración")*INDEX(Dot_V,0,MIN(10,M$136)))*(M$134+M$135*V_PreInd)</f>
        <v>0</v>
      </c>
      <c r="N174" s="36" t="n">
        <f aca="false">SUMPRODUCT((Per_Clase="Administración")*INDEX(Dot_V,0,MIN(10,N$136)))*(N$134+N$135*V_PreInd)</f>
        <v>0</v>
      </c>
      <c r="O174" s="36" t="n">
        <f aca="false">SUMPRODUCT((Per_Clase="Administración")*INDEX(Dot_V,0,MIN(10,O$136)))*(O$134+O$135*V_PreInd)</f>
        <v>0</v>
      </c>
      <c r="P174" s="36" t="n">
        <f aca="false">SUMPRODUCT((Per_Clase="Administración")*INDEX(Dot_V,0,MIN(10,P$136)))*(P$134+P$135*V_PreInd)</f>
        <v>0</v>
      </c>
      <c r="Q174" s="36" t="n">
        <f aca="false">SUMPRODUCT((Per_Clase="Administración")*INDEX(Dot_V,0,MIN(10,Q$136)))*(Q$134+Q$135*V_PreInd)</f>
        <v>0</v>
      </c>
      <c r="R174" s="36" t="n">
        <f aca="false">SUMPRODUCT((Per_Clase="Administración")*INDEX(Dot_V,0,MIN(10,R$136)))*(R$134+R$135*V_PreInd)</f>
        <v>0</v>
      </c>
      <c r="S174" s="36" t="n">
        <f aca="false">SUMPRODUCT((Per_Clase="Administración")*INDEX(Dot_V,0,MIN(10,S$136)))*(S$134+S$135*V_PreInd)</f>
        <v>0</v>
      </c>
      <c r="T174" s="36" t="n">
        <f aca="false">SUMPRODUCT((Per_Clase="Administración")*INDEX(Dot_V,0,MIN(10,T$136)))*(T$134+T$135*V_PreInd)</f>
        <v>0</v>
      </c>
      <c r="U174" s="36" t="n">
        <f aca="false">SUMPRODUCT((Per_Clase="Administración")*INDEX(Dot_V,0,MIN(10,U$136)))*(U$134+U$135*V_PreInd)</f>
        <v>0</v>
      </c>
      <c r="V174" s="36" t="n">
        <f aca="false">SUMPRODUCT((Per_Clase="Administración")*INDEX(Dot_V,0,MIN(10,V$136)))*(V$134+V$135*V_PreInd)</f>
        <v>0</v>
      </c>
      <c r="W174" s="36" t="n">
        <f aca="false">SUMPRODUCT((Per_Clase="Administración")*INDEX(Dot_V,0,MIN(10,W$136)))*(W$134+W$135*V_PreInd)</f>
        <v>0</v>
      </c>
      <c r="X174" s="36" t="n">
        <f aca="false">SUMPRODUCT((Per_Clase="Administración")*INDEX(Dot_V,0,MIN(10,X$136)))*(X$134+X$135*V_PreInd)</f>
        <v>0</v>
      </c>
      <c r="Y174" s="36" t="n">
        <f aca="false">SUMPRODUCT((Per_Clase="Administración")*INDEX(Dot_V,0,MIN(10,Y$136)))*(Y$134+Y$135*V_PreInd)</f>
        <v>0</v>
      </c>
      <c r="Z174" s="36" t="n">
        <f aca="false">SUMPRODUCT((Per_Clase="Administración")*INDEX(Dot_V,0,MIN(10,Z$136)))*(Z$134+Z$135*V_PreInd)</f>
        <v>0</v>
      </c>
      <c r="AA174" s="36" t="n">
        <f aca="false">SUMPRODUCT((Per_Clase="Administración")*INDEX(Dot_V,0,MIN(10,AA$136)))*(AA$134+AA$135*V_PreInd)</f>
        <v>0</v>
      </c>
      <c r="AB174" s="36" t="n">
        <f aca="false">SUMPRODUCT((Per_Clase="Administración")*INDEX(Dot_V,0,MIN(10,AB$136)))*(AB$134+AB$135*V_PreInd)</f>
        <v>0</v>
      </c>
      <c r="AC174" s="36" t="n">
        <f aca="false">SUMPRODUCT((Per_Clase="Administración")*INDEX(Dot_V,0,MIN(10,AC$136)))*(AC$134+AC$135*V_PreInd)</f>
        <v>0</v>
      </c>
      <c r="AD174" s="36" t="n">
        <f aca="false">SUMPRODUCT((Per_Clase="Administración")*INDEX(Dot_V,0,MIN(10,AD$136)))*(AD$134+AD$135*V_PreInd)</f>
        <v>0</v>
      </c>
      <c r="AE174" s="36" t="n">
        <f aca="false">SUMPRODUCT((Per_Clase="Administración")*INDEX(Dot_V,0,MIN(10,AE$136)))*(AE$134+AE$135*V_PreInd)</f>
        <v>0</v>
      </c>
      <c r="AF174" s="36" t="n">
        <f aca="false">SUMPRODUCT((Per_Clase="Administración")*INDEX(Dot_V,0,MIN(10,AF$136)))*(AF$134+AF$135*V_PreInd)</f>
        <v>0</v>
      </c>
      <c r="AG174" s="36" t="n">
        <f aca="false">SUMPRODUCT((Per_Clase="Administración")*INDEX(Dot_V,0,MIN(10,AG$136)))*(AG$134+AG$135*V_PreInd)</f>
        <v>0</v>
      </c>
      <c r="AH174" s="36" t="n">
        <f aca="false">SUMPRODUCT((Per_Clase="Administración")*INDEX(Dot_V,0,MIN(10,AH$136)))*(AH$134+AH$135*V_PreInd)</f>
        <v>0</v>
      </c>
      <c r="AI174" s="36" t="n">
        <f aca="false">SUMPRODUCT((Per_Clase="Administración")*INDEX(Dot_V,0,MIN(10,AI$136)))*(AI$134+AI$135*V_PreInd)</f>
        <v>0</v>
      </c>
      <c r="AJ174" s="36" t="n">
        <f aca="false">SUMPRODUCT((Per_Clase="Administración")*INDEX(Dot_V,0,MIN(10,AJ$136)))*(AJ$134+AJ$135*V_PreInd)</f>
        <v>0</v>
      </c>
      <c r="AK174" s="36" t="n">
        <f aca="false">SUMPRODUCT((Per_Clase="Administración")*INDEX(Dot_V,0,MIN(10,AK$136)))*(AK$134+AK$135*V_PreInd)</f>
        <v>0</v>
      </c>
      <c r="AL174" s="36" t="n">
        <f aca="false">SUMPRODUCT((Per_Clase="Administración")*INDEX(Dot_V,0,MIN(10,AL$136)))*(AL$134+AL$135*V_PreInd)</f>
        <v>0</v>
      </c>
      <c r="AM174" s="36" t="n">
        <f aca="false">SUMPRODUCT((Per_Clase="Administración")*INDEX(Dot_V,0,MIN(10,AM$136)))*(AM$134+AM$135*V_PreInd)</f>
        <v>0</v>
      </c>
      <c r="AN174" s="36" t="n">
        <f aca="false">SUMPRODUCT((Per_Clase="Administración")*INDEX(Dot_V,0,MIN(10,AN$136)))*(AN$134+AN$135*V_PreInd)</f>
        <v>0</v>
      </c>
      <c r="AO174" s="36" t="n">
        <f aca="false">SUMPRODUCT((Per_Clase="Administración")*INDEX(Dot_V,0,MIN(10,AO$136)))*(AO$134+AO$135*V_PreInd)</f>
        <v>0</v>
      </c>
      <c r="AP174" s="36" t="n">
        <f aca="false">SUMPRODUCT((Per_Clase="Administración")*INDEX(Dot_V,0,MIN(10,AP$136)))*(AP$134+AP$135*V_PreInd)</f>
        <v>0</v>
      </c>
      <c r="AQ174" s="36" t="n">
        <f aca="false">SUMPRODUCT((Per_Clase="Administración")*INDEX(Dot_V,0,MIN(10,AQ$136)))*(AQ$134+AQ$135*V_PreInd)</f>
        <v>0</v>
      </c>
      <c r="AR174" s="36" t="n">
        <f aca="false">SUMPRODUCT((Per_Clase="Administración")*INDEX(Dot_V,0,MIN(10,AR$136)))*(AR$134+AR$135*V_PreInd)</f>
        <v>0</v>
      </c>
      <c r="AS174" s="36" t="n">
        <f aca="false">SUMPRODUCT((Per_Clase="Administración")*INDEX(Dot_V,0,MIN(10,AS$136)))*(AS$134+AS$135*V_PreInd)</f>
        <v>0</v>
      </c>
      <c r="AT174" s="36" t="n">
        <f aca="false">SUMPRODUCT((Per_Clase="Administración")*INDEX(Dot_V,0,MIN(10,AT$136)))*(AT$134+AT$135*V_PreInd)</f>
        <v>0</v>
      </c>
      <c r="AU174" s="36" t="n">
        <f aca="false">SUMPRODUCT((Per_Clase="Administración")*INDEX(Dot_V,0,MIN(10,AU$136)))*(AU$134+AU$135*V_PreInd)</f>
        <v>0</v>
      </c>
      <c r="AV174" s="36" t="n">
        <f aca="false">SUMPRODUCT((Per_Clase="Administración")*INDEX(Dot_V,0,MIN(10,AV$136)))*(AV$134+AV$135*V_PreInd)</f>
        <v>0</v>
      </c>
      <c r="AW174" s="36" t="n">
        <f aca="false">SUMPRODUCT((Per_Clase="Administración")*INDEX(Dot_V,0,MIN(10,AW$136)))*(AW$134+AW$135*V_PreInd)</f>
        <v>0</v>
      </c>
      <c r="AX174" s="36" t="n">
        <f aca="false">SUMPRODUCT((Per_Clase="Administración")*INDEX(Dot_V,0,MIN(10,AX$136)))*(AX$134+AX$135*V_PreInd)</f>
        <v>0</v>
      </c>
      <c r="AY174" s="36" t="n">
        <f aca="false">SUMPRODUCT((Per_Clase="Administración")*INDEX(Dot_V,0,MIN(10,AY$136)))*(AY$134+AY$135*V_PreInd)</f>
        <v>0</v>
      </c>
      <c r="AZ174" s="36" t="n">
        <f aca="false">SUMPRODUCT((Per_Clase="Administración")*INDEX(Dot_V,0,MIN(10,AZ$136)))*(AZ$134+AZ$135*V_PreInd)</f>
        <v>0</v>
      </c>
      <c r="BA174" s="36" t="n">
        <f aca="false">SUMPRODUCT((Per_Clase="Administración")*INDEX(Dot_V,0,MIN(10,BA$136)))*(BA$134+BA$135*V_PreInd)</f>
        <v>0</v>
      </c>
      <c r="BB174" s="36" t="n">
        <f aca="false">SUMPRODUCT((Per_Clase="Administración")*INDEX(Dot_V,0,MIN(10,BB$136)))*(BB$134+BB$135*V_PreInd)</f>
        <v>0</v>
      </c>
      <c r="BC174" s="36" t="n">
        <f aca="false">SUMPRODUCT((Per_Clase="Administración")*INDEX(Dot_V,0,MIN(10,BC$136)))*(BC$134+BC$135*V_PreInd)</f>
        <v>0</v>
      </c>
      <c r="BD174" s="36" t="n">
        <f aca="false">SUMPRODUCT((Per_Clase="Administración")*INDEX(Dot_V,0,MIN(10,BD$136)))*(BD$134+BD$135*V_PreInd)</f>
        <v>0</v>
      </c>
      <c r="BE174" s="36" t="n">
        <f aca="false">SUMPRODUCT((Per_Clase="Administración")*INDEX(Dot_V,0,MIN(10,BE$136)))*(BE$134+BE$135*V_PreInd)</f>
        <v>0</v>
      </c>
      <c r="BF174" s="36" t="n">
        <f aca="false">SUMPRODUCT((Per_Clase="Administración")*INDEX(Dot_V,0,MIN(10,BF$136)))*(BF$134+BF$135*V_PreInd)</f>
        <v>0</v>
      </c>
      <c r="BG174" s="36" t="n">
        <f aca="false">SUMPRODUCT((Per_Clase="Administración")*INDEX(Dot_V,0,MIN(10,BG$136)))*(BG$134+BG$135*V_PreInd)</f>
        <v>0</v>
      </c>
      <c r="BH174" s="36" t="n">
        <f aca="false">SUMPRODUCT((Per_Clase="Administración")*INDEX(Dot_V,0,MIN(10,BH$136)))*(BH$134+BH$135*V_PreInd)</f>
        <v>0</v>
      </c>
      <c r="BI174" s="36" t="n">
        <f aca="false">SUMPRODUCT((Per_Clase="Administración")*INDEX(Dot_V,0,MIN(10,BI$136)))*(BI$134+BI$135*V_PreInd)</f>
        <v>0</v>
      </c>
      <c r="BJ174" s="36" t="n">
        <f aca="false">SUMPRODUCT((Per_Clase="Administración")*INDEX(Dot_V,0,MIN(10,BJ$136)))*(BJ$134+BJ$135*V_PreInd)</f>
        <v>0</v>
      </c>
      <c r="BK174" s="36" t="n">
        <f aca="false">SUMPRODUCT((Per_Clase="Administración")*INDEX(Dot_V,0,MIN(10,BK$136)))*(BK$134+BK$135*V_PreInd)</f>
        <v>0</v>
      </c>
      <c r="BL174" s="36" t="n">
        <f aca="false">SUMPRODUCT((Per_Clase="Administración")*INDEX(Dot_V,0,MIN(10,BL$136)))*(BL$134+BL$135*V_PreInd)</f>
        <v>0</v>
      </c>
      <c r="BM174" s="36" t="n">
        <f aca="false">SUMPRODUCT((Per_Clase="Administración")*INDEX(Dot_V,0,MIN(10,BM$136)))*(BM$134+BM$135*V_PreInd)</f>
        <v>0</v>
      </c>
      <c r="BN174" s="36" t="n">
        <f aca="false">SUMPRODUCT((Per_Clase="Administración")*INDEX(Dot_V,0,MIN(10,BN$136)))*(BN$134+BN$135*V_PreInd)</f>
        <v>0</v>
      </c>
      <c r="BO174" s="36" t="n">
        <f aca="false">SUMPRODUCT((Per_Clase="Administración")*INDEX(Dot_V,0,MIN(10,BO$136)))*(BO$134+BO$135*V_PreInd)</f>
        <v>0</v>
      </c>
      <c r="BP174" s="36" t="n">
        <f aca="false">SUMPRODUCT((Per_Clase="Administración")*INDEX(Dot_V,0,MIN(10,BP$136)))*(BP$134+BP$135*V_PreInd)</f>
        <v>0</v>
      </c>
      <c r="BQ174" s="36" t="n">
        <f aca="false">SUMPRODUCT((Per_Clase="Administración")*INDEX(Dot_V,0,MIN(10,BQ$136)))*(BQ$134+BQ$135*V_PreInd)</f>
        <v>0</v>
      </c>
      <c r="BR174" s="36" t="n">
        <f aca="false">SUMPRODUCT((Per_Clase="Administración")*INDEX(Dot_V,0,MIN(10,BR$136)))*(BR$134+BR$135*V_PreInd)</f>
        <v>0</v>
      </c>
      <c r="BS174" s="36" t="n">
        <f aca="false">SUMPRODUCT((Per_Clase="Administración")*INDEX(Dot_V,0,MIN(10,BS$136)))*(BS$134+BS$135*V_PreInd)</f>
        <v>0</v>
      </c>
      <c r="BT174" s="36" t="n">
        <f aca="false">SUMPRODUCT((Per_Clase="Administración")*INDEX(Dot_V,0,MIN(10,BT$136)))*(BT$134+BT$135*V_PreInd)</f>
        <v>0</v>
      </c>
      <c r="BU174" s="36" t="n">
        <f aca="false">SUMPRODUCT((Per_Clase="Administración")*INDEX(Dot_V,0,MIN(10,BU$136)))*(BU$134+BU$135*V_PreInd)</f>
        <v>0</v>
      </c>
      <c r="BV174" s="36" t="n">
        <f aca="false">SUMPRODUCT((Per_Clase="Administración")*INDEX(Dot_V,0,MIN(10,BV$136)))*(BV$134+BV$135*V_PreInd)</f>
        <v>0</v>
      </c>
      <c r="BW174" s="36" t="n">
        <f aca="false">SUMPRODUCT((Per_Clase="Administración")*INDEX(Dot_V,0,MIN(10,BW$136)))*(BW$134+BW$135*V_PreInd)</f>
        <v>0</v>
      </c>
      <c r="BX174" s="36" t="n">
        <f aca="false">SUMPRODUCT((Per_Clase="Administración")*INDEX(Dot_V,0,MIN(10,BX$136)))*(BX$134+BX$135*V_PreInd)</f>
        <v>0</v>
      </c>
      <c r="BY174" s="36" t="n">
        <f aca="false">SUMPRODUCT((Per_Clase="Administración")*INDEX(Dot_V,0,MIN(10,BY$136)))*(BY$134+BY$135*V_PreInd)</f>
        <v>0</v>
      </c>
      <c r="BZ174" s="36" t="n">
        <f aca="false">SUMPRODUCT((Per_Clase="Administración")*INDEX(Dot_V,0,MIN(10,BZ$136)))*(BZ$134+BZ$135*V_PreInd)</f>
        <v>0</v>
      </c>
      <c r="CA174" s="36" t="n">
        <f aca="false">SUMPRODUCT((Per_Clase="Administración")*INDEX(Dot_V,0,MIN(10,CA$136)))*(CA$134+CA$135*V_PreInd)</f>
        <v>0</v>
      </c>
      <c r="CB174" s="36" t="n">
        <f aca="false">SUMPRODUCT((Per_Clase="Administración")*INDEX(Dot_V,0,MIN(10,CB$136)))*(CB$134+CB$135*V_PreInd)</f>
        <v>0</v>
      </c>
      <c r="CC174" s="36" t="n">
        <f aca="false">SUMPRODUCT((Per_Clase="Administración")*INDEX(Dot_V,0,MIN(10,CC$136)))*(CC$134+CC$135*V_PreInd)</f>
        <v>0</v>
      </c>
      <c r="CD174" s="36" t="n">
        <f aca="false">SUMPRODUCT((Per_Clase="Administración")*INDEX(Dot_V,0,MIN(10,CD$136)))*(CD$134+CD$135*V_PreInd)</f>
        <v>0</v>
      </c>
      <c r="CE174" s="36" t="n">
        <f aca="false">SUMPRODUCT((Per_Clase="Administración")*INDEX(Dot_V,0,MIN(10,CE$136)))*(CE$134+CE$135*V_PreInd)</f>
        <v>0</v>
      </c>
      <c r="CF174" s="36" t="n">
        <f aca="false">SUMPRODUCT((Per_Clase="Administración")*INDEX(Dot_V,0,MIN(10,CF$136)))*(CF$134+CF$135*V_PreInd)</f>
        <v>0</v>
      </c>
      <c r="CG174" s="36" t="n">
        <f aca="false">SUMPRODUCT((Per_Clase="Administración")*INDEX(Dot_V,0,MIN(10,CG$136)))*(CG$134+CG$135*V_PreInd)</f>
        <v>0</v>
      </c>
      <c r="CH174" s="36" t="n">
        <f aca="false">SUMPRODUCT((Per_Clase="Administración")*INDEX(Dot_V,0,MIN(10,CH$136)))*(CH$134+CH$135*V_PreInd)</f>
        <v>0</v>
      </c>
      <c r="CI174" s="36" t="n">
        <f aca="false">SUMPRODUCT((Per_Clase="Administración")*INDEX(Dot_V,0,MIN(10,CI$136)))*(CI$134+CI$135*V_PreInd)</f>
        <v>0</v>
      </c>
      <c r="CJ174" s="36" t="n">
        <f aca="false">SUMPRODUCT((Per_Clase="Administración")*INDEX(Dot_V,0,MIN(10,CJ$136)))*(CJ$134+CJ$135*V_PreInd)</f>
        <v>0</v>
      </c>
      <c r="CK174" s="36" t="n">
        <f aca="false">SUMPRODUCT((Per_Clase="Administración")*INDEX(Dot_V,0,MIN(10,CK$136)))*(CK$134+CK$135*V_PreInd)</f>
        <v>0</v>
      </c>
      <c r="CL174" s="36" t="n">
        <f aca="false">SUMPRODUCT((Per_Clase="Administración")*INDEX(Dot_V,0,MIN(10,CL$136)))*(CL$134+CL$135*V_PreInd)</f>
        <v>0</v>
      </c>
      <c r="CM174" s="36" t="n">
        <f aca="false">SUMPRODUCT((Per_Clase="Administración")*INDEX(Dot_V,0,MIN(10,CM$136)))*(CM$134+CM$135*V_PreInd)</f>
        <v>0</v>
      </c>
      <c r="CN174" s="36" t="n">
        <f aca="false">SUMPRODUCT((Per_Clase="Administración")*INDEX(Dot_V,0,MIN(10,CN$136)))*(CN$134+CN$135*V_PreInd)</f>
        <v>0</v>
      </c>
      <c r="CO174" s="36" t="n">
        <f aca="false">SUMPRODUCT((Per_Clase="Administración")*INDEX(Dot_V,0,MIN(10,CO$136)))*(CO$134+CO$135*V_PreInd)</f>
        <v>0</v>
      </c>
      <c r="CP174" s="36" t="n">
        <f aca="false">SUMPRODUCT((Per_Clase="Administración")*INDEX(Dot_V,0,MIN(10,CP$136)))*(CP$134+CP$135*V_PreInd)</f>
        <v>0</v>
      </c>
      <c r="CQ174" s="36" t="n">
        <f aca="false">SUMPRODUCT((Per_Clase="Administración")*INDEX(Dot_V,0,MIN(10,CQ$136)))*(CQ$134+CQ$135*V_PreInd)</f>
        <v>0</v>
      </c>
      <c r="CR174" s="36" t="n">
        <f aca="false">SUMPRODUCT((Per_Clase="Administración")*INDEX(Dot_V,0,MIN(10,CR$136)))*(CR$134+CR$135*V_PreInd)</f>
        <v>0</v>
      </c>
      <c r="CS174" s="36" t="n">
        <f aca="false">SUMPRODUCT((Per_Clase="Administración")*INDEX(Dot_V,0,MIN(10,CS$136)))*(CS$134+CS$135*V_PreInd)</f>
        <v>0</v>
      </c>
      <c r="CT174" s="36" t="n">
        <f aca="false">SUMPRODUCT((Per_Clase="Administración")*INDEX(Dot_V,0,MIN(10,CT$136)))*(CT$134+CT$135*V_PreInd)</f>
        <v>0</v>
      </c>
      <c r="CU174" s="36" t="n">
        <f aca="false">SUMPRODUCT((Per_Clase="Administración")*INDEX(Dot_V,0,MIN(10,CU$136)))*(CU$134+CU$135*V_PreInd)</f>
        <v>0</v>
      </c>
      <c r="CV174" s="36" t="n">
        <f aca="false">SUMPRODUCT((Per_Clase="Administración")*INDEX(Dot_V,0,MIN(10,CV$136)))*(CV$134+CV$135*V_PreInd)</f>
        <v>0</v>
      </c>
      <c r="CW174" s="36" t="n">
        <f aca="false">SUMPRODUCT((Per_Clase="Administración")*INDEX(Dot_V,0,MIN(10,CW$136)))*(CW$134+CW$135*V_PreInd)</f>
        <v>0</v>
      </c>
      <c r="CX174" s="36" t="n">
        <f aca="false">SUMPRODUCT((Per_Clase="Administración")*INDEX(Dot_V,0,MIN(10,CX$136)))*(CX$134+CX$135*V_PreInd)</f>
        <v>0</v>
      </c>
      <c r="CY174" s="36" t="n">
        <f aca="false">SUMPRODUCT((Per_Clase="Administración")*INDEX(Dot_V,0,MIN(10,CY$136)))*(CY$134+CY$135*V_PreInd)</f>
        <v>0</v>
      </c>
      <c r="CZ174" s="36" t="n">
        <f aca="false">SUMPRODUCT((Per_Clase="Administración")*INDEX(Dot_V,0,MIN(10,CZ$136)))*(CZ$134+CZ$135*V_PreInd)</f>
        <v>0</v>
      </c>
      <c r="DA174" s="36" t="n">
        <f aca="false">SUMPRODUCT((Per_Clase="Administración")*INDEX(Dot_V,0,MIN(10,DA$136)))*(DA$134+DA$135*V_PreInd)</f>
        <v>0</v>
      </c>
      <c r="DB174" s="36" t="n">
        <f aca="false">SUMPRODUCT((Per_Clase="Administración")*INDEX(Dot_V,0,MIN(10,DB$136)))*(DB$134+DB$135*V_PreInd)</f>
        <v>0</v>
      </c>
      <c r="DC174" s="36" t="n">
        <f aca="false">SUMPRODUCT((Per_Clase="Administración")*INDEX(Dot_V,0,MIN(10,DC$136)))*(DC$134+DC$135*V_PreInd)</f>
        <v>0</v>
      </c>
      <c r="DD174" s="36" t="n">
        <f aca="false">SUMPRODUCT((Per_Clase="Administración")*INDEX(Dot_V,0,MIN(10,DD$136)))*(DD$134+DD$135*V_PreInd)</f>
        <v>0</v>
      </c>
      <c r="DE174" s="36" t="n">
        <f aca="false">SUMPRODUCT((Per_Clase="Administración")*INDEX(Dot_V,0,MIN(10,DE$136)))*(DE$134+DE$135*V_PreInd)</f>
        <v>0</v>
      </c>
      <c r="DF174" s="36" t="n">
        <f aca="false">SUMPRODUCT((Per_Clase="Administración")*INDEX(Dot_V,0,MIN(10,DF$136)))*(DF$134+DF$135*V_PreInd)</f>
        <v>0</v>
      </c>
      <c r="DG174" s="36" t="n">
        <f aca="false">SUMPRODUCT((Per_Clase="Administración")*INDEX(Dot_V,0,MIN(10,DG$136)))*(DG$134+DG$135*V_PreInd)</f>
        <v>0</v>
      </c>
      <c r="DH174" s="36" t="n">
        <f aca="false">SUMPRODUCT((Per_Clase="Administración")*INDEX(Dot_V,0,MIN(10,DH$136)))*(DH$134+DH$135*V_PreInd)</f>
        <v>0</v>
      </c>
      <c r="DI174" s="36" t="n">
        <f aca="false">SUMPRODUCT((Per_Clase="Administración")*INDEX(Dot_V,0,MIN(10,DI$136)))*(DI$134+DI$135*V_PreInd)</f>
        <v>0</v>
      </c>
      <c r="DJ174" s="36" t="n">
        <f aca="false">SUMPRODUCT((Per_Clase="Administración")*INDEX(Dot_V,0,MIN(10,DJ$136)))*(DJ$134+DJ$135*V_PreInd)</f>
        <v>0</v>
      </c>
      <c r="DK174" s="36" t="n">
        <f aca="false">SUMPRODUCT((Per_Clase="Administración")*INDEX(Dot_V,0,MIN(10,DK$136)))*(DK$134+DK$135*V_PreInd)</f>
        <v>0</v>
      </c>
      <c r="DL174" s="36" t="n">
        <f aca="false">SUMPRODUCT((Per_Clase="Administración")*INDEX(Dot_V,0,MIN(10,DL$136)))*(DL$134+DL$135*V_PreInd)</f>
        <v>0</v>
      </c>
      <c r="DM174" s="36" t="n">
        <f aca="false">SUMPRODUCT((Per_Clase="Administración")*INDEX(Dot_V,0,MIN(10,DM$136)))*(DM$134+DM$135*V_PreInd)</f>
        <v>0</v>
      </c>
      <c r="DN174" s="36" t="n">
        <f aca="false">SUMPRODUCT((Per_Clase="Administración")*INDEX(Dot_V,0,MIN(10,DN$136)))*(DN$134+DN$135*V_PreInd)</f>
        <v>0</v>
      </c>
      <c r="DO174" s="36" t="n">
        <f aca="false">SUMPRODUCT((Per_Clase="Administración")*INDEX(Dot_V,0,MIN(10,DO$136)))*(DO$134+DO$135*V_PreInd)</f>
        <v>0</v>
      </c>
      <c r="DP174" s="36" t="n">
        <f aca="false">SUMPRODUCT((Per_Clase="Administración")*INDEX(Dot_V,0,MIN(10,DP$136)))*(DP$134+DP$135*V_PreInd)</f>
        <v>0</v>
      </c>
      <c r="DQ174" s="36" t="n">
        <f aca="false">SUMPRODUCT((Per_Clase="Administración")*INDEX(Dot_V,0,MIN(10,DQ$136)))*(DQ$134+DQ$135*V_PreInd)</f>
        <v>0</v>
      </c>
      <c r="DR174" s="36" t="n">
        <f aca="false">SUMPRODUCT((Per_Clase="Administración")*INDEX(Dot_V,0,MIN(10,DR$136)))*(DR$134+DR$135*V_PreInd)</f>
        <v>0</v>
      </c>
      <c r="DS174" s="36" t="n">
        <f aca="false">SUMPRODUCT((Per_Clase="Administración")*INDEX(Dot_V,0,MIN(10,DS$136)))*(DS$134+DS$135*V_PreInd)</f>
        <v>0</v>
      </c>
      <c r="DT174" s="36" t="n">
        <f aca="false">SUMPRODUCT((Per_Clase="Administración")*INDEX(Dot_V,0,MIN(10,DT$136)))*(DT$134+DT$135*V_PreInd)</f>
        <v>0</v>
      </c>
      <c r="DU174" s="36" t="n">
        <f aca="false">SUMPRODUCT((Per_Clase="Administración")*INDEX(Dot_V,0,MIN(10,DU$136)))*(DU$134+DU$135*V_PreInd)</f>
        <v>0</v>
      </c>
      <c r="DV174" s="36" t="n">
        <f aca="false">SUMPRODUCT((Per_Clase="Administración")*INDEX(Dot_V,0,MIN(10,DV$136)))*(DV$134+DV$135*V_PreInd)</f>
        <v>0</v>
      </c>
      <c r="DW174" s="36" t="n">
        <f aca="false">SUMPRODUCT((Per_Clase="Administración")*INDEX(Dot_V,0,MIN(10,DW$136)))*(DW$134+DW$135*V_PreInd)</f>
        <v>0</v>
      </c>
      <c r="DX174" s="36" t="n">
        <f aca="false">SUMPRODUCT((Per_Clase="Administración")*INDEX(Dot_V,0,MIN(10,DX$136)))*(DX$134+DX$135*V_PreInd)</f>
        <v>0</v>
      </c>
      <c r="DY174" s="36" t="n">
        <f aca="false">SUMPRODUCT((Per_Clase="Administración")*INDEX(Dot_V,0,MIN(10,DY$136)))*(DY$134+DY$135*V_PreInd)</f>
        <v>0</v>
      </c>
      <c r="DZ174" s="36" t="n">
        <f aca="false">SUMPRODUCT((Per_Clase="Administración")*INDEX(Dot_V,0,MIN(10,DZ$136)))*(DZ$134+DZ$135*V_PreInd)</f>
        <v>0</v>
      </c>
      <c r="EA174" s="36" t="n">
        <f aca="false">SUMPRODUCT((Per_Clase="Administración")*INDEX(Dot_V,0,MIN(10,EA$136)))*(EA$134+EA$135*V_PreInd)</f>
        <v>0</v>
      </c>
      <c r="EB174" s="36" t="n">
        <f aca="false">SUMPRODUCT((Per_Clase="Administración")*INDEX(Dot_V,0,MIN(10,EB$136)))*(EB$134+EB$135*V_PreInd)</f>
        <v>0</v>
      </c>
      <c r="EC174" s="36" t="n">
        <f aca="false">SUMPRODUCT((Per_Clase="Administración")*INDEX(Dot_V,0,MIN(10,EC$136)))*(EC$134+EC$135*V_PreInd)</f>
        <v>0</v>
      </c>
      <c r="ED174" s="36" t="n">
        <f aca="false">SUMPRODUCT((Per_Clase="Administración")*INDEX(Dot_V,0,MIN(10,ED$136)))*(ED$134+ED$135*V_PreInd)</f>
        <v>0</v>
      </c>
      <c r="EE174" s="36" t="n">
        <f aca="false">SUMPRODUCT((Per_Clase="Administración")*INDEX(Dot_V,0,MIN(10,EE$136)))*(EE$134+EE$135*V_PreInd)</f>
        <v>0</v>
      </c>
      <c r="EF174" s="36" t="n">
        <f aca="false">SUMPRODUCT((Per_Clase="Administración")*INDEX(Dot_V,0,MIN(10,EF$136)))*(EF$134+EF$135*V_PreInd)</f>
        <v>0</v>
      </c>
      <c r="EG174" s="36" t="n">
        <f aca="false">SUMPRODUCT((Per_Clase="Administración")*INDEX(Dot_V,0,MIN(10,EG$136)))*(EG$134+EG$135*V_PreInd)</f>
        <v>0</v>
      </c>
      <c r="EH174" s="36" t="n">
        <f aca="false">SUMPRODUCT((Per_Clase="Administración")*INDEX(Dot_V,0,MIN(10,EH$136)))*(EH$134+EH$135*V_PreInd)</f>
        <v>0</v>
      </c>
      <c r="EI174" s="36" t="n">
        <f aca="false">SUMPRODUCT((Per_Clase="Administración")*INDEX(Dot_V,0,MIN(10,EI$136)))*(EI$134+EI$135*V_PreInd)</f>
        <v>0</v>
      </c>
      <c r="EJ174" s="36" t="n">
        <f aca="false">SUMPRODUCT((Per_Clase="Administración")*INDEX(Dot_V,0,MIN(10,EJ$136)))*(EJ$134+EJ$135*V_PreInd)</f>
        <v>0</v>
      </c>
      <c r="EK174" s="36" t="n">
        <f aca="false">SUMPRODUCT((Per_Clase="Administración")*INDEX(Dot_V,0,MIN(10,EK$136)))*(EK$134+EK$135*V_PreInd)</f>
        <v>0</v>
      </c>
      <c r="EL174" s="36" t="n">
        <f aca="false">SUMPRODUCT((Per_Clase="Administración")*INDEX(Dot_V,0,MIN(10,EL$136)))*(EL$134+EL$135*V_PreInd)</f>
        <v>0</v>
      </c>
      <c r="EM174" s="36" t="n">
        <f aca="false">SUMPRODUCT((Per_Clase="Administración")*INDEX(Dot_V,0,MIN(10,EM$136)))*(EM$134+EM$135*V_PreInd)</f>
        <v>0</v>
      </c>
      <c r="EN174" s="36" t="n">
        <f aca="false">SUMPRODUCT((Per_Clase="Administración")*INDEX(Dot_V,0,MIN(10,EN$136)))*(EN$134+EN$135*V_PreInd)</f>
        <v>0</v>
      </c>
      <c r="EO174" s="36" t="n">
        <f aca="false">SUMPRODUCT((Per_Clase="Administración")*INDEX(Dot_V,0,MIN(10,EO$136)))*(EO$134+EO$135*V_PreInd)</f>
        <v>0</v>
      </c>
      <c r="EP174" s="36" t="n">
        <f aca="false">SUMPRODUCT((Per_Clase="Administración")*INDEX(Dot_V,0,MIN(10,EP$136)))*(EP$134+EP$135*V_PreInd)</f>
        <v>0</v>
      </c>
      <c r="EQ174" s="36" t="n">
        <f aca="false">SUMPRODUCT((Per_Clase="Administración")*INDEX(Dot_V,0,MIN(10,EQ$136)))*(EQ$134+EQ$135*V_PreInd)</f>
        <v>0</v>
      </c>
      <c r="ER174" s="36" t="n">
        <f aca="false">SUMPRODUCT((Per_Clase="Administración")*INDEX(Dot_V,0,MIN(10,ER$136)))*(ER$134+ER$135*V_PreInd)</f>
        <v>0</v>
      </c>
      <c r="ES174" s="36" t="n">
        <f aca="false">SUMPRODUCT((Per_Clase="Administración")*INDEX(Dot_V,0,MIN(10,ES$136)))*(ES$134+ES$135*V_PreInd)</f>
        <v>0</v>
      </c>
    </row>
    <row r="175" customFormat="false" ht="15" hidden="false" customHeight="false" outlineLevel="0" collapsed="false">
      <c r="A175" s="2" t="s">
        <v>653</v>
      </c>
      <c r="B175" s="6" t="s">
        <v>479</v>
      </c>
      <c r="C175" s="6" t="s">
        <v>212</v>
      </c>
      <c r="E175" s="40" t="n">
        <f aca="false">SUM(F175:ES175)</f>
        <v>0</v>
      </c>
      <c r="F175" s="34" t="n">
        <f aca="false">SUMPRODUCT((Per_Clase="Administración")*Sal_V*INDEX(Dot_V,0,MIN(10,F$136))*((Per_Mon="PYG")*F$138+(Per_Mon&lt;&gt;"PYG")))*(F$134+F$135*V_PreInd)*INDEX(IdxSal_V,1,MIN(10,F$136))*(1+V_Cargas)+F$174*V_Alim*F$138</f>
        <v>0</v>
      </c>
      <c r="G175" s="34" t="n">
        <f aca="false">SUMPRODUCT((Per_Clase="Administración")*Sal_V*INDEX(Dot_V,0,MIN(10,G$136))*((Per_Mon="PYG")*G$138+(Per_Mon&lt;&gt;"PYG")))*(G$134+G$135*V_PreInd)*INDEX(IdxSal_V,1,MIN(10,G$136))*(1+V_Cargas)+G$174*V_Alim*G$138</f>
        <v>0</v>
      </c>
      <c r="H175" s="34" t="n">
        <f aca="false">SUMPRODUCT((Per_Clase="Administración")*Sal_V*INDEX(Dot_V,0,MIN(10,H$136))*((Per_Mon="PYG")*H$138+(Per_Mon&lt;&gt;"PYG")))*(H$134+H$135*V_PreInd)*INDEX(IdxSal_V,1,MIN(10,H$136))*(1+V_Cargas)+H$174*V_Alim*H$138</f>
        <v>0</v>
      </c>
      <c r="I175" s="34" t="n">
        <f aca="false">SUMPRODUCT((Per_Clase="Administración")*Sal_V*INDEX(Dot_V,0,MIN(10,I$136))*((Per_Mon="PYG")*I$138+(Per_Mon&lt;&gt;"PYG")))*(I$134+I$135*V_PreInd)*INDEX(IdxSal_V,1,MIN(10,I$136))*(1+V_Cargas)+I$174*V_Alim*I$138</f>
        <v>0</v>
      </c>
      <c r="J175" s="34" t="n">
        <f aca="false">SUMPRODUCT((Per_Clase="Administración")*Sal_V*INDEX(Dot_V,0,MIN(10,J$136))*((Per_Mon="PYG")*J$138+(Per_Mon&lt;&gt;"PYG")))*(J$134+J$135*V_PreInd)*INDEX(IdxSal_V,1,MIN(10,J$136))*(1+V_Cargas)+J$174*V_Alim*J$138</f>
        <v>0</v>
      </c>
      <c r="K175" s="34" t="n">
        <f aca="false">SUMPRODUCT((Per_Clase="Administración")*Sal_V*INDEX(Dot_V,0,MIN(10,K$136))*((Per_Mon="PYG")*K$138+(Per_Mon&lt;&gt;"PYG")))*(K$134+K$135*V_PreInd)*INDEX(IdxSal_V,1,MIN(10,K$136))*(1+V_Cargas)+K$174*V_Alim*K$138</f>
        <v>0</v>
      </c>
      <c r="L175" s="34" t="n">
        <f aca="false">SUMPRODUCT((Per_Clase="Administración")*Sal_V*INDEX(Dot_V,0,MIN(10,L$136))*((Per_Mon="PYG")*L$138+(Per_Mon&lt;&gt;"PYG")))*(L$134+L$135*V_PreInd)*INDEX(IdxSal_V,1,MIN(10,L$136))*(1+V_Cargas)+L$174*V_Alim*L$138</f>
        <v>0</v>
      </c>
      <c r="M175" s="34" t="n">
        <f aca="false">SUMPRODUCT((Per_Clase="Administración")*Sal_V*INDEX(Dot_V,0,MIN(10,M$136))*((Per_Mon="PYG")*M$138+(Per_Mon&lt;&gt;"PYG")))*(M$134+M$135*V_PreInd)*INDEX(IdxSal_V,1,MIN(10,M$136))*(1+V_Cargas)+M$174*V_Alim*M$138</f>
        <v>0</v>
      </c>
      <c r="N175" s="34" t="n">
        <f aca="false">SUMPRODUCT((Per_Clase="Administración")*Sal_V*INDEX(Dot_V,0,MIN(10,N$136))*((Per_Mon="PYG")*N$138+(Per_Mon&lt;&gt;"PYG")))*(N$134+N$135*V_PreInd)*INDEX(IdxSal_V,1,MIN(10,N$136))*(1+V_Cargas)+N$174*V_Alim*N$138</f>
        <v>0</v>
      </c>
      <c r="O175" s="34" t="n">
        <f aca="false">SUMPRODUCT((Per_Clase="Administración")*Sal_V*INDEX(Dot_V,0,MIN(10,O$136))*((Per_Mon="PYG")*O$138+(Per_Mon&lt;&gt;"PYG")))*(O$134+O$135*V_PreInd)*INDEX(IdxSal_V,1,MIN(10,O$136))*(1+V_Cargas)+O$174*V_Alim*O$138</f>
        <v>0</v>
      </c>
      <c r="P175" s="34" t="n">
        <f aca="false">SUMPRODUCT((Per_Clase="Administración")*Sal_V*INDEX(Dot_V,0,MIN(10,P$136))*((Per_Mon="PYG")*P$138+(Per_Mon&lt;&gt;"PYG")))*(P$134+P$135*V_PreInd)*INDEX(IdxSal_V,1,MIN(10,P$136))*(1+V_Cargas)+P$174*V_Alim*P$138</f>
        <v>0</v>
      </c>
      <c r="Q175" s="34" t="n">
        <f aca="false">SUMPRODUCT((Per_Clase="Administración")*Sal_V*INDEX(Dot_V,0,MIN(10,Q$136))*((Per_Mon="PYG")*Q$138+(Per_Mon&lt;&gt;"PYG")))*(Q$134+Q$135*V_PreInd)*INDEX(IdxSal_V,1,MIN(10,Q$136))*(1+V_Cargas)+Q$174*V_Alim*Q$138</f>
        <v>0</v>
      </c>
      <c r="R175" s="34" t="n">
        <f aca="false">SUMPRODUCT((Per_Clase="Administración")*Sal_V*INDEX(Dot_V,0,MIN(10,R$136))*((Per_Mon="PYG")*R$138+(Per_Mon&lt;&gt;"PYG")))*(R$134+R$135*V_PreInd)*INDEX(IdxSal_V,1,MIN(10,R$136))*(1+V_Cargas)+R$174*V_Alim*R$138</f>
        <v>0</v>
      </c>
      <c r="S175" s="34" t="n">
        <f aca="false">SUMPRODUCT((Per_Clase="Administración")*Sal_V*INDEX(Dot_V,0,MIN(10,S$136))*((Per_Mon="PYG")*S$138+(Per_Mon&lt;&gt;"PYG")))*(S$134+S$135*V_PreInd)*INDEX(IdxSal_V,1,MIN(10,S$136))*(1+V_Cargas)+S$174*V_Alim*S$138</f>
        <v>0</v>
      </c>
      <c r="T175" s="34" t="n">
        <f aca="false">SUMPRODUCT((Per_Clase="Administración")*Sal_V*INDEX(Dot_V,0,MIN(10,T$136))*((Per_Mon="PYG")*T$138+(Per_Mon&lt;&gt;"PYG")))*(T$134+T$135*V_PreInd)*INDEX(IdxSal_V,1,MIN(10,T$136))*(1+V_Cargas)+T$174*V_Alim*T$138</f>
        <v>0</v>
      </c>
      <c r="U175" s="34" t="n">
        <f aca="false">SUMPRODUCT((Per_Clase="Administración")*Sal_V*INDEX(Dot_V,0,MIN(10,U$136))*((Per_Mon="PYG")*U$138+(Per_Mon&lt;&gt;"PYG")))*(U$134+U$135*V_PreInd)*INDEX(IdxSal_V,1,MIN(10,U$136))*(1+V_Cargas)+U$174*V_Alim*U$138</f>
        <v>0</v>
      </c>
      <c r="V175" s="34" t="n">
        <f aca="false">SUMPRODUCT((Per_Clase="Administración")*Sal_V*INDEX(Dot_V,0,MIN(10,V$136))*((Per_Mon="PYG")*V$138+(Per_Mon&lt;&gt;"PYG")))*(V$134+V$135*V_PreInd)*INDEX(IdxSal_V,1,MIN(10,V$136))*(1+V_Cargas)+V$174*V_Alim*V$138</f>
        <v>0</v>
      </c>
      <c r="W175" s="34" t="n">
        <f aca="false">SUMPRODUCT((Per_Clase="Administración")*Sal_V*INDEX(Dot_V,0,MIN(10,W$136))*((Per_Mon="PYG")*W$138+(Per_Mon&lt;&gt;"PYG")))*(W$134+W$135*V_PreInd)*INDEX(IdxSal_V,1,MIN(10,W$136))*(1+V_Cargas)+W$174*V_Alim*W$138</f>
        <v>0</v>
      </c>
      <c r="X175" s="34" t="n">
        <f aca="false">SUMPRODUCT((Per_Clase="Administración")*Sal_V*INDEX(Dot_V,0,MIN(10,X$136))*((Per_Mon="PYG")*X$138+(Per_Mon&lt;&gt;"PYG")))*(X$134+X$135*V_PreInd)*INDEX(IdxSal_V,1,MIN(10,X$136))*(1+V_Cargas)+X$174*V_Alim*X$138</f>
        <v>0</v>
      </c>
      <c r="Y175" s="34" t="n">
        <f aca="false">SUMPRODUCT((Per_Clase="Administración")*Sal_V*INDEX(Dot_V,0,MIN(10,Y$136))*((Per_Mon="PYG")*Y$138+(Per_Mon&lt;&gt;"PYG")))*(Y$134+Y$135*V_PreInd)*INDEX(IdxSal_V,1,MIN(10,Y$136))*(1+V_Cargas)+Y$174*V_Alim*Y$138</f>
        <v>0</v>
      </c>
      <c r="Z175" s="34" t="n">
        <f aca="false">SUMPRODUCT((Per_Clase="Administración")*Sal_V*INDEX(Dot_V,0,MIN(10,Z$136))*((Per_Mon="PYG")*Z$138+(Per_Mon&lt;&gt;"PYG")))*(Z$134+Z$135*V_PreInd)*INDEX(IdxSal_V,1,MIN(10,Z$136))*(1+V_Cargas)+Z$174*V_Alim*Z$138</f>
        <v>0</v>
      </c>
      <c r="AA175" s="34" t="n">
        <f aca="false">SUMPRODUCT((Per_Clase="Administración")*Sal_V*INDEX(Dot_V,0,MIN(10,AA$136))*((Per_Mon="PYG")*AA$138+(Per_Mon&lt;&gt;"PYG")))*(AA$134+AA$135*V_PreInd)*INDEX(IdxSal_V,1,MIN(10,AA$136))*(1+V_Cargas)+AA$174*V_Alim*AA$138</f>
        <v>0</v>
      </c>
      <c r="AB175" s="34" t="n">
        <f aca="false">SUMPRODUCT((Per_Clase="Administración")*Sal_V*INDEX(Dot_V,0,MIN(10,AB$136))*((Per_Mon="PYG")*AB$138+(Per_Mon&lt;&gt;"PYG")))*(AB$134+AB$135*V_PreInd)*INDEX(IdxSal_V,1,MIN(10,AB$136))*(1+V_Cargas)+AB$174*V_Alim*AB$138</f>
        <v>0</v>
      </c>
      <c r="AC175" s="34" t="n">
        <f aca="false">SUMPRODUCT((Per_Clase="Administración")*Sal_V*INDEX(Dot_V,0,MIN(10,AC$136))*((Per_Mon="PYG")*AC$138+(Per_Mon&lt;&gt;"PYG")))*(AC$134+AC$135*V_PreInd)*INDEX(IdxSal_V,1,MIN(10,AC$136))*(1+V_Cargas)+AC$174*V_Alim*AC$138</f>
        <v>0</v>
      </c>
      <c r="AD175" s="34" t="n">
        <f aca="false">SUMPRODUCT((Per_Clase="Administración")*Sal_V*INDEX(Dot_V,0,MIN(10,AD$136))*((Per_Mon="PYG")*AD$138+(Per_Mon&lt;&gt;"PYG")))*(AD$134+AD$135*V_PreInd)*INDEX(IdxSal_V,1,MIN(10,AD$136))*(1+V_Cargas)+AD$174*V_Alim*AD$138</f>
        <v>0</v>
      </c>
      <c r="AE175" s="34" t="n">
        <f aca="false">SUMPRODUCT((Per_Clase="Administración")*Sal_V*INDEX(Dot_V,0,MIN(10,AE$136))*((Per_Mon="PYG")*AE$138+(Per_Mon&lt;&gt;"PYG")))*(AE$134+AE$135*V_PreInd)*INDEX(IdxSal_V,1,MIN(10,AE$136))*(1+V_Cargas)+AE$174*V_Alim*AE$138</f>
        <v>0</v>
      </c>
      <c r="AF175" s="34" t="n">
        <f aca="false">SUMPRODUCT((Per_Clase="Administración")*Sal_V*INDEX(Dot_V,0,MIN(10,AF$136))*((Per_Mon="PYG")*AF$138+(Per_Mon&lt;&gt;"PYG")))*(AF$134+AF$135*V_PreInd)*INDEX(IdxSal_V,1,MIN(10,AF$136))*(1+V_Cargas)+AF$174*V_Alim*AF$138</f>
        <v>0</v>
      </c>
      <c r="AG175" s="34" t="n">
        <f aca="false">SUMPRODUCT((Per_Clase="Administración")*Sal_V*INDEX(Dot_V,0,MIN(10,AG$136))*((Per_Mon="PYG")*AG$138+(Per_Mon&lt;&gt;"PYG")))*(AG$134+AG$135*V_PreInd)*INDEX(IdxSal_V,1,MIN(10,AG$136))*(1+V_Cargas)+AG$174*V_Alim*AG$138</f>
        <v>0</v>
      </c>
      <c r="AH175" s="34" t="n">
        <f aca="false">SUMPRODUCT((Per_Clase="Administración")*Sal_V*INDEX(Dot_V,0,MIN(10,AH$136))*((Per_Mon="PYG")*AH$138+(Per_Mon&lt;&gt;"PYG")))*(AH$134+AH$135*V_PreInd)*INDEX(IdxSal_V,1,MIN(10,AH$136))*(1+V_Cargas)+AH$174*V_Alim*AH$138</f>
        <v>0</v>
      </c>
      <c r="AI175" s="34" t="n">
        <f aca="false">SUMPRODUCT((Per_Clase="Administración")*Sal_V*INDEX(Dot_V,0,MIN(10,AI$136))*((Per_Mon="PYG")*AI$138+(Per_Mon&lt;&gt;"PYG")))*(AI$134+AI$135*V_PreInd)*INDEX(IdxSal_V,1,MIN(10,AI$136))*(1+V_Cargas)+AI$174*V_Alim*AI$138</f>
        <v>0</v>
      </c>
      <c r="AJ175" s="34" t="n">
        <f aca="false">SUMPRODUCT((Per_Clase="Administración")*Sal_V*INDEX(Dot_V,0,MIN(10,AJ$136))*((Per_Mon="PYG")*AJ$138+(Per_Mon&lt;&gt;"PYG")))*(AJ$134+AJ$135*V_PreInd)*INDEX(IdxSal_V,1,MIN(10,AJ$136))*(1+V_Cargas)+AJ$174*V_Alim*AJ$138</f>
        <v>0</v>
      </c>
      <c r="AK175" s="34" t="n">
        <f aca="false">SUMPRODUCT((Per_Clase="Administración")*Sal_V*INDEX(Dot_V,0,MIN(10,AK$136))*((Per_Mon="PYG")*AK$138+(Per_Mon&lt;&gt;"PYG")))*(AK$134+AK$135*V_PreInd)*INDEX(IdxSal_V,1,MIN(10,AK$136))*(1+V_Cargas)+AK$174*V_Alim*AK$138</f>
        <v>0</v>
      </c>
      <c r="AL175" s="34" t="n">
        <f aca="false">SUMPRODUCT((Per_Clase="Administración")*Sal_V*INDEX(Dot_V,0,MIN(10,AL$136))*((Per_Mon="PYG")*AL$138+(Per_Mon&lt;&gt;"PYG")))*(AL$134+AL$135*V_PreInd)*INDEX(IdxSal_V,1,MIN(10,AL$136))*(1+V_Cargas)+AL$174*V_Alim*AL$138</f>
        <v>0</v>
      </c>
      <c r="AM175" s="34" t="n">
        <f aca="false">SUMPRODUCT((Per_Clase="Administración")*Sal_V*INDEX(Dot_V,0,MIN(10,AM$136))*((Per_Mon="PYG")*AM$138+(Per_Mon&lt;&gt;"PYG")))*(AM$134+AM$135*V_PreInd)*INDEX(IdxSal_V,1,MIN(10,AM$136))*(1+V_Cargas)+AM$174*V_Alim*AM$138</f>
        <v>0</v>
      </c>
      <c r="AN175" s="34" t="n">
        <f aca="false">SUMPRODUCT((Per_Clase="Administración")*Sal_V*INDEX(Dot_V,0,MIN(10,AN$136))*((Per_Mon="PYG")*AN$138+(Per_Mon&lt;&gt;"PYG")))*(AN$134+AN$135*V_PreInd)*INDEX(IdxSal_V,1,MIN(10,AN$136))*(1+V_Cargas)+AN$174*V_Alim*AN$138</f>
        <v>0</v>
      </c>
      <c r="AO175" s="34" t="n">
        <f aca="false">SUMPRODUCT((Per_Clase="Administración")*Sal_V*INDEX(Dot_V,0,MIN(10,AO$136))*((Per_Mon="PYG")*AO$138+(Per_Mon&lt;&gt;"PYG")))*(AO$134+AO$135*V_PreInd)*INDEX(IdxSal_V,1,MIN(10,AO$136))*(1+V_Cargas)+AO$174*V_Alim*AO$138</f>
        <v>0</v>
      </c>
      <c r="AP175" s="34" t="n">
        <f aca="false">SUMPRODUCT((Per_Clase="Administración")*Sal_V*INDEX(Dot_V,0,MIN(10,AP$136))*((Per_Mon="PYG")*AP$138+(Per_Mon&lt;&gt;"PYG")))*(AP$134+AP$135*V_PreInd)*INDEX(IdxSal_V,1,MIN(10,AP$136))*(1+V_Cargas)+AP$174*V_Alim*AP$138</f>
        <v>0</v>
      </c>
      <c r="AQ175" s="34" t="n">
        <f aca="false">SUMPRODUCT((Per_Clase="Administración")*Sal_V*INDEX(Dot_V,0,MIN(10,AQ$136))*((Per_Mon="PYG")*AQ$138+(Per_Mon&lt;&gt;"PYG")))*(AQ$134+AQ$135*V_PreInd)*INDEX(IdxSal_V,1,MIN(10,AQ$136))*(1+V_Cargas)+AQ$174*V_Alim*AQ$138</f>
        <v>0</v>
      </c>
      <c r="AR175" s="34" t="n">
        <f aca="false">SUMPRODUCT((Per_Clase="Administración")*Sal_V*INDEX(Dot_V,0,MIN(10,AR$136))*((Per_Mon="PYG")*AR$138+(Per_Mon&lt;&gt;"PYG")))*(AR$134+AR$135*V_PreInd)*INDEX(IdxSal_V,1,MIN(10,AR$136))*(1+V_Cargas)+AR$174*V_Alim*AR$138</f>
        <v>0</v>
      </c>
      <c r="AS175" s="34" t="n">
        <f aca="false">SUMPRODUCT((Per_Clase="Administración")*Sal_V*INDEX(Dot_V,0,MIN(10,AS$136))*((Per_Mon="PYG")*AS$138+(Per_Mon&lt;&gt;"PYG")))*(AS$134+AS$135*V_PreInd)*INDEX(IdxSal_V,1,MIN(10,AS$136))*(1+V_Cargas)+AS$174*V_Alim*AS$138</f>
        <v>0</v>
      </c>
      <c r="AT175" s="34" t="n">
        <f aca="false">SUMPRODUCT((Per_Clase="Administración")*Sal_V*INDEX(Dot_V,0,MIN(10,AT$136))*((Per_Mon="PYG")*AT$138+(Per_Mon&lt;&gt;"PYG")))*(AT$134+AT$135*V_PreInd)*INDEX(IdxSal_V,1,MIN(10,AT$136))*(1+V_Cargas)+AT$174*V_Alim*AT$138</f>
        <v>0</v>
      </c>
      <c r="AU175" s="34" t="n">
        <f aca="false">SUMPRODUCT((Per_Clase="Administración")*Sal_V*INDEX(Dot_V,0,MIN(10,AU$136))*((Per_Mon="PYG")*AU$138+(Per_Mon&lt;&gt;"PYG")))*(AU$134+AU$135*V_PreInd)*INDEX(IdxSal_V,1,MIN(10,AU$136))*(1+V_Cargas)+AU$174*V_Alim*AU$138</f>
        <v>0</v>
      </c>
      <c r="AV175" s="34" t="n">
        <f aca="false">SUMPRODUCT((Per_Clase="Administración")*Sal_V*INDEX(Dot_V,0,MIN(10,AV$136))*((Per_Mon="PYG")*AV$138+(Per_Mon&lt;&gt;"PYG")))*(AV$134+AV$135*V_PreInd)*INDEX(IdxSal_V,1,MIN(10,AV$136))*(1+V_Cargas)+AV$174*V_Alim*AV$138</f>
        <v>0</v>
      </c>
      <c r="AW175" s="34" t="n">
        <f aca="false">SUMPRODUCT((Per_Clase="Administración")*Sal_V*INDEX(Dot_V,0,MIN(10,AW$136))*((Per_Mon="PYG")*AW$138+(Per_Mon&lt;&gt;"PYG")))*(AW$134+AW$135*V_PreInd)*INDEX(IdxSal_V,1,MIN(10,AW$136))*(1+V_Cargas)+AW$174*V_Alim*AW$138</f>
        <v>0</v>
      </c>
      <c r="AX175" s="34" t="n">
        <f aca="false">SUMPRODUCT((Per_Clase="Administración")*Sal_V*INDEX(Dot_V,0,MIN(10,AX$136))*((Per_Mon="PYG")*AX$138+(Per_Mon&lt;&gt;"PYG")))*(AX$134+AX$135*V_PreInd)*INDEX(IdxSal_V,1,MIN(10,AX$136))*(1+V_Cargas)+AX$174*V_Alim*AX$138</f>
        <v>0</v>
      </c>
      <c r="AY175" s="34" t="n">
        <f aca="false">SUMPRODUCT((Per_Clase="Administración")*Sal_V*INDEX(Dot_V,0,MIN(10,AY$136))*((Per_Mon="PYG")*AY$138+(Per_Mon&lt;&gt;"PYG")))*(AY$134+AY$135*V_PreInd)*INDEX(IdxSal_V,1,MIN(10,AY$136))*(1+V_Cargas)+AY$174*V_Alim*AY$138</f>
        <v>0</v>
      </c>
      <c r="AZ175" s="34" t="n">
        <f aca="false">SUMPRODUCT((Per_Clase="Administración")*Sal_V*INDEX(Dot_V,0,MIN(10,AZ$136))*((Per_Mon="PYG")*AZ$138+(Per_Mon&lt;&gt;"PYG")))*(AZ$134+AZ$135*V_PreInd)*INDEX(IdxSal_V,1,MIN(10,AZ$136))*(1+V_Cargas)+AZ$174*V_Alim*AZ$138</f>
        <v>0</v>
      </c>
      <c r="BA175" s="34" t="n">
        <f aca="false">SUMPRODUCT((Per_Clase="Administración")*Sal_V*INDEX(Dot_V,0,MIN(10,BA$136))*((Per_Mon="PYG")*BA$138+(Per_Mon&lt;&gt;"PYG")))*(BA$134+BA$135*V_PreInd)*INDEX(IdxSal_V,1,MIN(10,BA$136))*(1+V_Cargas)+BA$174*V_Alim*BA$138</f>
        <v>0</v>
      </c>
      <c r="BB175" s="34" t="n">
        <f aca="false">SUMPRODUCT((Per_Clase="Administración")*Sal_V*INDEX(Dot_V,0,MIN(10,BB$136))*((Per_Mon="PYG")*BB$138+(Per_Mon&lt;&gt;"PYG")))*(BB$134+BB$135*V_PreInd)*INDEX(IdxSal_V,1,MIN(10,BB$136))*(1+V_Cargas)+BB$174*V_Alim*BB$138</f>
        <v>0</v>
      </c>
      <c r="BC175" s="34" t="n">
        <f aca="false">SUMPRODUCT((Per_Clase="Administración")*Sal_V*INDEX(Dot_V,0,MIN(10,BC$136))*((Per_Mon="PYG")*BC$138+(Per_Mon&lt;&gt;"PYG")))*(BC$134+BC$135*V_PreInd)*INDEX(IdxSal_V,1,MIN(10,BC$136))*(1+V_Cargas)+BC$174*V_Alim*BC$138</f>
        <v>0</v>
      </c>
      <c r="BD175" s="34" t="n">
        <f aca="false">SUMPRODUCT((Per_Clase="Administración")*Sal_V*INDEX(Dot_V,0,MIN(10,BD$136))*((Per_Mon="PYG")*BD$138+(Per_Mon&lt;&gt;"PYG")))*(BD$134+BD$135*V_PreInd)*INDEX(IdxSal_V,1,MIN(10,BD$136))*(1+V_Cargas)+BD$174*V_Alim*BD$138</f>
        <v>0</v>
      </c>
      <c r="BE175" s="34" t="n">
        <f aca="false">SUMPRODUCT((Per_Clase="Administración")*Sal_V*INDEX(Dot_V,0,MIN(10,BE$136))*((Per_Mon="PYG")*BE$138+(Per_Mon&lt;&gt;"PYG")))*(BE$134+BE$135*V_PreInd)*INDEX(IdxSal_V,1,MIN(10,BE$136))*(1+V_Cargas)+BE$174*V_Alim*BE$138</f>
        <v>0</v>
      </c>
      <c r="BF175" s="34" t="n">
        <f aca="false">SUMPRODUCT((Per_Clase="Administración")*Sal_V*INDEX(Dot_V,0,MIN(10,BF$136))*((Per_Mon="PYG")*BF$138+(Per_Mon&lt;&gt;"PYG")))*(BF$134+BF$135*V_PreInd)*INDEX(IdxSal_V,1,MIN(10,BF$136))*(1+V_Cargas)+BF$174*V_Alim*BF$138</f>
        <v>0</v>
      </c>
      <c r="BG175" s="34" t="n">
        <f aca="false">SUMPRODUCT((Per_Clase="Administración")*Sal_V*INDEX(Dot_V,0,MIN(10,BG$136))*((Per_Mon="PYG")*BG$138+(Per_Mon&lt;&gt;"PYG")))*(BG$134+BG$135*V_PreInd)*INDEX(IdxSal_V,1,MIN(10,BG$136))*(1+V_Cargas)+BG$174*V_Alim*BG$138</f>
        <v>0</v>
      </c>
      <c r="BH175" s="34" t="n">
        <f aca="false">SUMPRODUCT((Per_Clase="Administración")*Sal_V*INDEX(Dot_V,0,MIN(10,BH$136))*((Per_Mon="PYG")*BH$138+(Per_Mon&lt;&gt;"PYG")))*(BH$134+BH$135*V_PreInd)*INDEX(IdxSal_V,1,MIN(10,BH$136))*(1+V_Cargas)+BH$174*V_Alim*BH$138</f>
        <v>0</v>
      </c>
      <c r="BI175" s="34" t="n">
        <f aca="false">SUMPRODUCT((Per_Clase="Administración")*Sal_V*INDEX(Dot_V,0,MIN(10,BI$136))*((Per_Mon="PYG")*BI$138+(Per_Mon&lt;&gt;"PYG")))*(BI$134+BI$135*V_PreInd)*INDEX(IdxSal_V,1,MIN(10,BI$136))*(1+V_Cargas)+BI$174*V_Alim*BI$138</f>
        <v>0</v>
      </c>
      <c r="BJ175" s="34" t="n">
        <f aca="false">SUMPRODUCT((Per_Clase="Administración")*Sal_V*INDEX(Dot_V,0,MIN(10,BJ$136))*((Per_Mon="PYG")*BJ$138+(Per_Mon&lt;&gt;"PYG")))*(BJ$134+BJ$135*V_PreInd)*INDEX(IdxSal_V,1,MIN(10,BJ$136))*(1+V_Cargas)+BJ$174*V_Alim*BJ$138</f>
        <v>0</v>
      </c>
      <c r="BK175" s="34" t="n">
        <f aca="false">SUMPRODUCT((Per_Clase="Administración")*Sal_V*INDEX(Dot_V,0,MIN(10,BK$136))*((Per_Mon="PYG")*BK$138+(Per_Mon&lt;&gt;"PYG")))*(BK$134+BK$135*V_PreInd)*INDEX(IdxSal_V,1,MIN(10,BK$136))*(1+V_Cargas)+BK$174*V_Alim*BK$138</f>
        <v>0</v>
      </c>
      <c r="BL175" s="34" t="n">
        <f aca="false">SUMPRODUCT((Per_Clase="Administración")*Sal_V*INDEX(Dot_V,0,MIN(10,BL$136))*((Per_Mon="PYG")*BL$138+(Per_Mon&lt;&gt;"PYG")))*(BL$134+BL$135*V_PreInd)*INDEX(IdxSal_V,1,MIN(10,BL$136))*(1+V_Cargas)+BL$174*V_Alim*BL$138</f>
        <v>0</v>
      </c>
      <c r="BM175" s="34" t="n">
        <f aca="false">SUMPRODUCT((Per_Clase="Administración")*Sal_V*INDEX(Dot_V,0,MIN(10,BM$136))*((Per_Mon="PYG")*BM$138+(Per_Mon&lt;&gt;"PYG")))*(BM$134+BM$135*V_PreInd)*INDEX(IdxSal_V,1,MIN(10,BM$136))*(1+V_Cargas)+BM$174*V_Alim*BM$138</f>
        <v>0</v>
      </c>
      <c r="BN175" s="34" t="n">
        <f aca="false">SUMPRODUCT((Per_Clase="Administración")*Sal_V*INDEX(Dot_V,0,MIN(10,BN$136))*((Per_Mon="PYG")*BN$138+(Per_Mon&lt;&gt;"PYG")))*(BN$134+BN$135*V_PreInd)*INDEX(IdxSal_V,1,MIN(10,BN$136))*(1+V_Cargas)+BN$174*V_Alim*BN$138</f>
        <v>0</v>
      </c>
      <c r="BO175" s="34" t="n">
        <f aca="false">SUMPRODUCT((Per_Clase="Administración")*Sal_V*INDEX(Dot_V,0,MIN(10,BO$136))*((Per_Mon="PYG")*BO$138+(Per_Mon&lt;&gt;"PYG")))*(BO$134+BO$135*V_PreInd)*INDEX(IdxSal_V,1,MIN(10,BO$136))*(1+V_Cargas)+BO$174*V_Alim*BO$138</f>
        <v>0</v>
      </c>
      <c r="BP175" s="34" t="n">
        <f aca="false">SUMPRODUCT((Per_Clase="Administración")*Sal_V*INDEX(Dot_V,0,MIN(10,BP$136))*((Per_Mon="PYG")*BP$138+(Per_Mon&lt;&gt;"PYG")))*(BP$134+BP$135*V_PreInd)*INDEX(IdxSal_V,1,MIN(10,BP$136))*(1+V_Cargas)+BP$174*V_Alim*BP$138</f>
        <v>0</v>
      </c>
      <c r="BQ175" s="34" t="n">
        <f aca="false">SUMPRODUCT((Per_Clase="Administración")*Sal_V*INDEX(Dot_V,0,MIN(10,BQ$136))*((Per_Mon="PYG")*BQ$138+(Per_Mon&lt;&gt;"PYG")))*(BQ$134+BQ$135*V_PreInd)*INDEX(IdxSal_V,1,MIN(10,BQ$136))*(1+V_Cargas)+BQ$174*V_Alim*BQ$138</f>
        <v>0</v>
      </c>
      <c r="BR175" s="34" t="n">
        <f aca="false">SUMPRODUCT((Per_Clase="Administración")*Sal_V*INDEX(Dot_V,0,MIN(10,BR$136))*((Per_Mon="PYG")*BR$138+(Per_Mon&lt;&gt;"PYG")))*(BR$134+BR$135*V_PreInd)*INDEX(IdxSal_V,1,MIN(10,BR$136))*(1+V_Cargas)+BR$174*V_Alim*BR$138</f>
        <v>0</v>
      </c>
      <c r="BS175" s="34" t="n">
        <f aca="false">SUMPRODUCT((Per_Clase="Administración")*Sal_V*INDEX(Dot_V,0,MIN(10,BS$136))*((Per_Mon="PYG")*BS$138+(Per_Mon&lt;&gt;"PYG")))*(BS$134+BS$135*V_PreInd)*INDEX(IdxSal_V,1,MIN(10,BS$136))*(1+V_Cargas)+BS$174*V_Alim*BS$138</f>
        <v>0</v>
      </c>
      <c r="BT175" s="34" t="n">
        <f aca="false">SUMPRODUCT((Per_Clase="Administración")*Sal_V*INDEX(Dot_V,0,MIN(10,BT$136))*((Per_Mon="PYG")*BT$138+(Per_Mon&lt;&gt;"PYG")))*(BT$134+BT$135*V_PreInd)*INDEX(IdxSal_V,1,MIN(10,BT$136))*(1+V_Cargas)+BT$174*V_Alim*BT$138</f>
        <v>0</v>
      </c>
      <c r="BU175" s="34" t="n">
        <f aca="false">SUMPRODUCT((Per_Clase="Administración")*Sal_V*INDEX(Dot_V,0,MIN(10,BU$136))*((Per_Mon="PYG")*BU$138+(Per_Mon&lt;&gt;"PYG")))*(BU$134+BU$135*V_PreInd)*INDEX(IdxSal_V,1,MIN(10,BU$136))*(1+V_Cargas)+BU$174*V_Alim*BU$138</f>
        <v>0</v>
      </c>
      <c r="BV175" s="34" t="n">
        <f aca="false">SUMPRODUCT((Per_Clase="Administración")*Sal_V*INDEX(Dot_V,0,MIN(10,BV$136))*((Per_Mon="PYG")*BV$138+(Per_Mon&lt;&gt;"PYG")))*(BV$134+BV$135*V_PreInd)*INDEX(IdxSal_V,1,MIN(10,BV$136))*(1+V_Cargas)+BV$174*V_Alim*BV$138</f>
        <v>0</v>
      </c>
      <c r="BW175" s="34" t="n">
        <f aca="false">SUMPRODUCT((Per_Clase="Administración")*Sal_V*INDEX(Dot_V,0,MIN(10,BW$136))*((Per_Mon="PYG")*BW$138+(Per_Mon&lt;&gt;"PYG")))*(BW$134+BW$135*V_PreInd)*INDEX(IdxSal_V,1,MIN(10,BW$136))*(1+V_Cargas)+BW$174*V_Alim*BW$138</f>
        <v>0</v>
      </c>
      <c r="BX175" s="34" t="n">
        <f aca="false">SUMPRODUCT((Per_Clase="Administración")*Sal_V*INDEX(Dot_V,0,MIN(10,BX$136))*((Per_Mon="PYG")*BX$138+(Per_Mon&lt;&gt;"PYG")))*(BX$134+BX$135*V_PreInd)*INDEX(IdxSal_V,1,MIN(10,BX$136))*(1+V_Cargas)+BX$174*V_Alim*BX$138</f>
        <v>0</v>
      </c>
      <c r="BY175" s="34" t="n">
        <f aca="false">SUMPRODUCT((Per_Clase="Administración")*Sal_V*INDEX(Dot_V,0,MIN(10,BY$136))*((Per_Mon="PYG")*BY$138+(Per_Mon&lt;&gt;"PYG")))*(BY$134+BY$135*V_PreInd)*INDEX(IdxSal_V,1,MIN(10,BY$136))*(1+V_Cargas)+BY$174*V_Alim*BY$138</f>
        <v>0</v>
      </c>
      <c r="BZ175" s="34" t="n">
        <f aca="false">SUMPRODUCT((Per_Clase="Administración")*Sal_V*INDEX(Dot_V,0,MIN(10,BZ$136))*((Per_Mon="PYG")*BZ$138+(Per_Mon&lt;&gt;"PYG")))*(BZ$134+BZ$135*V_PreInd)*INDEX(IdxSal_V,1,MIN(10,BZ$136))*(1+V_Cargas)+BZ$174*V_Alim*BZ$138</f>
        <v>0</v>
      </c>
      <c r="CA175" s="34" t="n">
        <f aca="false">SUMPRODUCT((Per_Clase="Administración")*Sal_V*INDEX(Dot_V,0,MIN(10,CA$136))*((Per_Mon="PYG")*CA$138+(Per_Mon&lt;&gt;"PYG")))*(CA$134+CA$135*V_PreInd)*INDEX(IdxSal_V,1,MIN(10,CA$136))*(1+V_Cargas)+CA$174*V_Alim*CA$138</f>
        <v>0</v>
      </c>
      <c r="CB175" s="34" t="n">
        <f aca="false">SUMPRODUCT((Per_Clase="Administración")*Sal_V*INDEX(Dot_V,0,MIN(10,CB$136))*((Per_Mon="PYG")*CB$138+(Per_Mon&lt;&gt;"PYG")))*(CB$134+CB$135*V_PreInd)*INDEX(IdxSal_V,1,MIN(10,CB$136))*(1+V_Cargas)+CB$174*V_Alim*CB$138</f>
        <v>0</v>
      </c>
      <c r="CC175" s="34" t="n">
        <f aca="false">SUMPRODUCT((Per_Clase="Administración")*Sal_V*INDEX(Dot_V,0,MIN(10,CC$136))*((Per_Mon="PYG")*CC$138+(Per_Mon&lt;&gt;"PYG")))*(CC$134+CC$135*V_PreInd)*INDEX(IdxSal_V,1,MIN(10,CC$136))*(1+V_Cargas)+CC$174*V_Alim*CC$138</f>
        <v>0</v>
      </c>
      <c r="CD175" s="34" t="n">
        <f aca="false">SUMPRODUCT((Per_Clase="Administración")*Sal_V*INDEX(Dot_V,0,MIN(10,CD$136))*((Per_Mon="PYG")*CD$138+(Per_Mon&lt;&gt;"PYG")))*(CD$134+CD$135*V_PreInd)*INDEX(IdxSal_V,1,MIN(10,CD$136))*(1+V_Cargas)+CD$174*V_Alim*CD$138</f>
        <v>0</v>
      </c>
      <c r="CE175" s="34" t="n">
        <f aca="false">SUMPRODUCT((Per_Clase="Administración")*Sal_V*INDEX(Dot_V,0,MIN(10,CE$136))*((Per_Mon="PYG")*CE$138+(Per_Mon&lt;&gt;"PYG")))*(CE$134+CE$135*V_PreInd)*INDEX(IdxSal_V,1,MIN(10,CE$136))*(1+V_Cargas)+CE$174*V_Alim*CE$138</f>
        <v>0</v>
      </c>
      <c r="CF175" s="34" t="n">
        <f aca="false">SUMPRODUCT((Per_Clase="Administración")*Sal_V*INDEX(Dot_V,0,MIN(10,CF$136))*((Per_Mon="PYG")*CF$138+(Per_Mon&lt;&gt;"PYG")))*(CF$134+CF$135*V_PreInd)*INDEX(IdxSal_V,1,MIN(10,CF$136))*(1+V_Cargas)+CF$174*V_Alim*CF$138</f>
        <v>0</v>
      </c>
      <c r="CG175" s="34" t="n">
        <f aca="false">SUMPRODUCT((Per_Clase="Administración")*Sal_V*INDEX(Dot_V,0,MIN(10,CG$136))*((Per_Mon="PYG")*CG$138+(Per_Mon&lt;&gt;"PYG")))*(CG$134+CG$135*V_PreInd)*INDEX(IdxSal_V,1,MIN(10,CG$136))*(1+V_Cargas)+CG$174*V_Alim*CG$138</f>
        <v>0</v>
      </c>
      <c r="CH175" s="34" t="n">
        <f aca="false">SUMPRODUCT((Per_Clase="Administración")*Sal_V*INDEX(Dot_V,0,MIN(10,CH$136))*((Per_Mon="PYG")*CH$138+(Per_Mon&lt;&gt;"PYG")))*(CH$134+CH$135*V_PreInd)*INDEX(IdxSal_V,1,MIN(10,CH$136))*(1+V_Cargas)+CH$174*V_Alim*CH$138</f>
        <v>0</v>
      </c>
      <c r="CI175" s="34" t="n">
        <f aca="false">SUMPRODUCT((Per_Clase="Administración")*Sal_V*INDEX(Dot_V,0,MIN(10,CI$136))*((Per_Mon="PYG")*CI$138+(Per_Mon&lt;&gt;"PYG")))*(CI$134+CI$135*V_PreInd)*INDEX(IdxSal_V,1,MIN(10,CI$136))*(1+V_Cargas)+CI$174*V_Alim*CI$138</f>
        <v>0</v>
      </c>
      <c r="CJ175" s="34" t="n">
        <f aca="false">SUMPRODUCT((Per_Clase="Administración")*Sal_V*INDEX(Dot_V,0,MIN(10,CJ$136))*((Per_Mon="PYG")*CJ$138+(Per_Mon&lt;&gt;"PYG")))*(CJ$134+CJ$135*V_PreInd)*INDEX(IdxSal_V,1,MIN(10,CJ$136))*(1+V_Cargas)+CJ$174*V_Alim*CJ$138</f>
        <v>0</v>
      </c>
      <c r="CK175" s="34" t="n">
        <f aca="false">SUMPRODUCT((Per_Clase="Administración")*Sal_V*INDEX(Dot_V,0,MIN(10,CK$136))*((Per_Mon="PYG")*CK$138+(Per_Mon&lt;&gt;"PYG")))*(CK$134+CK$135*V_PreInd)*INDEX(IdxSal_V,1,MIN(10,CK$136))*(1+V_Cargas)+CK$174*V_Alim*CK$138</f>
        <v>0</v>
      </c>
      <c r="CL175" s="34" t="n">
        <f aca="false">SUMPRODUCT((Per_Clase="Administración")*Sal_V*INDEX(Dot_V,0,MIN(10,CL$136))*((Per_Mon="PYG")*CL$138+(Per_Mon&lt;&gt;"PYG")))*(CL$134+CL$135*V_PreInd)*INDEX(IdxSal_V,1,MIN(10,CL$136))*(1+V_Cargas)+CL$174*V_Alim*CL$138</f>
        <v>0</v>
      </c>
      <c r="CM175" s="34" t="n">
        <f aca="false">SUMPRODUCT((Per_Clase="Administración")*Sal_V*INDEX(Dot_V,0,MIN(10,CM$136))*((Per_Mon="PYG")*CM$138+(Per_Mon&lt;&gt;"PYG")))*(CM$134+CM$135*V_PreInd)*INDEX(IdxSal_V,1,MIN(10,CM$136))*(1+V_Cargas)+CM$174*V_Alim*CM$138</f>
        <v>0</v>
      </c>
      <c r="CN175" s="34" t="n">
        <f aca="false">SUMPRODUCT((Per_Clase="Administración")*Sal_V*INDEX(Dot_V,0,MIN(10,CN$136))*((Per_Mon="PYG")*CN$138+(Per_Mon&lt;&gt;"PYG")))*(CN$134+CN$135*V_PreInd)*INDEX(IdxSal_V,1,MIN(10,CN$136))*(1+V_Cargas)+CN$174*V_Alim*CN$138</f>
        <v>0</v>
      </c>
      <c r="CO175" s="34" t="n">
        <f aca="false">SUMPRODUCT((Per_Clase="Administración")*Sal_V*INDEX(Dot_V,0,MIN(10,CO$136))*((Per_Mon="PYG")*CO$138+(Per_Mon&lt;&gt;"PYG")))*(CO$134+CO$135*V_PreInd)*INDEX(IdxSal_V,1,MIN(10,CO$136))*(1+V_Cargas)+CO$174*V_Alim*CO$138</f>
        <v>0</v>
      </c>
      <c r="CP175" s="34" t="n">
        <f aca="false">SUMPRODUCT((Per_Clase="Administración")*Sal_V*INDEX(Dot_V,0,MIN(10,CP$136))*((Per_Mon="PYG")*CP$138+(Per_Mon&lt;&gt;"PYG")))*(CP$134+CP$135*V_PreInd)*INDEX(IdxSal_V,1,MIN(10,CP$136))*(1+V_Cargas)+CP$174*V_Alim*CP$138</f>
        <v>0</v>
      </c>
      <c r="CQ175" s="34" t="n">
        <f aca="false">SUMPRODUCT((Per_Clase="Administración")*Sal_V*INDEX(Dot_V,0,MIN(10,CQ$136))*((Per_Mon="PYG")*CQ$138+(Per_Mon&lt;&gt;"PYG")))*(CQ$134+CQ$135*V_PreInd)*INDEX(IdxSal_V,1,MIN(10,CQ$136))*(1+V_Cargas)+CQ$174*V_Alim*CQ$138</f>
        <v>0</v>
      </c>
      <c r="CR175" s="34" t="n">
        <f aca="false">SUMPRODUCT((Per_Clase="Administración")*Sal_V*INDEX(Dot_V,0,MIN(10,CR$136))*((Per_Mon="PYG")*CR$138+(Per_Mon&lt;&gt;"PYG")))*(CR$134+CR$135*V_PreInd)*INDEX(IdxSal_V,1,MIN(10,CR$136))*(1+V_Cargas)+CR$174*V_Alim*CR$138</f>
        <v>0</v>
      </c>
      <c r="CS175" s="34" t="n">
        <f aca="false">SUMPRODUCT((Per_Clase="Administración")*Sal_V*INDEX(Dot_V,0,MIN(10,CS$136))*((Per_Mon="PYG")*CS$138+(Per_Mon&lt;&gt;"PYG")))*(CS$134+CS$135*V_PreInd)*INDEX(IdxSal_V,1,MIN(10,CS$136))*(1+V_Cargas)+CS$174*V_Alim*CS$138</f>
        <v>0</v>
      </c>
      <c r="CT175" s="34" t="n">
        <f aca="false">SUMPRODUCT((Per_Clase="Administración")*Sal_V*INDEX(Dot_V,0,MIN(10,CT$136))*((Per_Mon="PYG")*CT$138+(Per_Mon&lt;&gt;"PYG")))*(CT$134+CT$135*V_PreInd)*INDEX(IdxSal_V,1,MIN(10,CT$136))*(1+V_Cargas)+CT$174*V_Alim*CT$138</f>
        <v>0</v>
      </c>
      <c r="CU175" s="34" t="n">
        <f aca="false">SUMPRODUCT((Per_Clase="Administración")*Sal_V*INDEX(Dot_V,0,MIN(10,CU$136))*((Per_Mon="PYG")*CU$138+(Per_Mon&lt;&gt;"PYG")))*(CU$134+CU$135*V_PreInd)*INDEX(IdxSal_V,1,MIN(10,CU$136))*(1+V_Cargas)+CU$174*V_Alim*CU$138</f>
        <v>0</v>
      </c>
      <c r="CV175" s="34" t="n">
        <f aca="false">SUMPRODUCT((Per_Clase="Administración")*Sal_V*INDEX(Dot_V,0,MIN(10,CV$136))*((Per_Mon="PYG")*CV$138+(Per_Mon&lt;&gt;"PYG")))*(CV$134+CV$135*V_PreInd)*INDEX(IdxSal_V,1,MIN(10,CV$136))*(1+V_Cargas)+CV$174*V_Alim*CV$138</f>
        <v>0</v>
      </c>
      <c r="CW175" s="34" t="n">
        <f aca="false">SUMPRODUCT((Per_Clase="Administración")*Sal_V*INDEX(Dot_V,0,MIN(10,CW$136))*((Per_Mon="PYG")*CW$138+(Per_Mon&lt;&gt;"PYG")))*(CW$134+CW$135*V_PreInd)*INDEX(IdxSal_V,1,MIN(10,CW$136))*(1+V_Cargas)+CW$174*V_Alim*CW$138</f>
        <v>0</v>
      </c>
      <c r="CX175" s="34" t="n">
        <f aca="false">SUMPRODUCT((Per_Clase="Administración")*Sal_V*INDEX(Dot_V,0,MIN(10,CX$136))*((Per_Mon="PYG")*CX$138+(Per_Mon&lt;&gt;"PYG")))*(CX$134+CX$135*V_PreInd)*INDEX(IdxSal_V,1,MIN(10,CX$136))*(1+V_Cargas)+CX$174*V_Alim*CX$138</f>
        <v>0</v>
      </c>
      <c r="CY175" s="34" t="n">
        <f aca="false">SUMPRODUCT((Per_Clase="Administración")*Sal_V*INDEX(Dot_V,0,MIN(10,CY$136))*((Per_Mon="PYG")*CY$138+(Per_Mon&lt;&gt;"PYG")))*(CY$134+CY$135*V_PreInd)*INDEX(IdxSal_V,1,MIN(10,CY$136))*(1+V_Cargas)+CY$174*V_Alim*CY$138</f>
        <v>0</v>
      </c>
      <c r="CZ175" s="34" t="n">
        <f aca="false">SUMPRODUCT((Per_Clase="Administración")*Sal_V*INDEX(Dot_V,0,MIN(10,CZ$136))*((Per_Mon="PYG")*CZ$138+(Per_Mon&lt;&gt;"PYG")))*(CZ$134+CZ$135*V_PreInd)*INDEX(IdxSal_V,1,MIN(10,CZ$136))*(1+V_Cargas)+CZ$174*V_Alim*CZ$138</f>
        <v>0</v>
      </c>
      <c r="DA175" s="34" t="n">
        <f aca="false">SUMPRODUCT((Per_Clase="Administración")*Sal_V*INDEX(Dot_V,0,MIN(10,DA$136))*((Per_Mon="PYG")*DA$138+(Per_Mon&lt;&gt;"PYG")))*(DA$134+DA$135*V_PreInd)*INDEX(IdxSal_V,1,MIN(10,DA$136))*(1+V_Cargas)+DA$174*V_Alim*DA$138</f>
        <v>0</v>
      </c>
      <c r="DB175" s="34" t="n">
        <f aca="false">SUMPRODUCT((Per_Clase="Administración")*Sal_V*INDEX(Dot_V,0,MIN(10,DB$136))*((Per_Mon="PYG")*DB$138+(Per_Mon&lt;&gt;"PYG")))*(DB$134+DB$135*V_PreInd)*INDEX(IdxSal_V,1,MIN(10,DB$136))*(1+V_Cargas)+DB$174*V_Alim*DB$138</f>
        <v>0</v>
      </c>
      <c r="DC175" s="34" t="n">
        <f aca="false">SUMPRODUCT((Per_Clase="Administración")*Sal_V*INDEX(Dot_V,0,MIN(10,DC$136))*((Per_Mon="PYG")*DC$138+(Per_Mon&lt;&gt;"PYG")))*(DC$134+DC$135*V_PreInd)*INDEX(IdxSal_V,1,MIN(10,DC$136))*(1+V_Cargas)+DC$174*V_Alim*DC$138</f>
        <v>0</v>
      </c>
      <c r="DD175" s="34" t="n">
        <f aca="false">SUMPRODUCT((Per_Clase="Administración")*Sal_V*INDEX(Dot_V,0,MIN(10,DD$136))*((Per_Mon="PYG")*DD$138+(Per_Mon&lt;&gt;"PYG")))*(DD$134+DD$135*V_PreInd)*INDEX(IdxSal_V,1,MIN(10,DD$136))*(1+V_Cargas)+DD$174*V_Alim*DD$138</f>
        <v>0</v>
      </c>
      <c r="DE175" s="34" t="n">
        <f aca="false">SUMPRODUCT((Per_Clase="Administración")*Sal_V*INDEX(Dot_V,0,MIN(10,DE$136))*((Per_Mon="PYG")*DE$138+(Per_Mon&lt;&gt;"PYG")))*(DE$134+DE$135*V_PreInd)*INDEX(IdxSal_V,1,MIN(10,DE$136))*(1+V_Cargas)+DE$174*V_Alim*DE$138</f>
        <v>0</v>
      </c>
      <c r="DF175" s="34" t="n">
        <f aca="false">SUMPRODUCT((Per_Clase="Administración")*Sal_V*INDEX(Dot_V,0,MIN(10,DF$136))*((Per_Mon="PYG")*DF$138+(Per_Mon&lt;&gt;"PYG")))*(DF$134+DF$135*V_PreInd)*INDEX(IdxSal_V,1,MIN(10,DF$136))*(1+V_Cargas)+DF$174*V_Alim*DF$138</f>
        <v>0</v>
      </c>
      <c r="DG175" s="34" t="n">
        <f aca="false">SUMPRODUCT((Per_Clase="Administración")*Sal_V*INDEX(Dot_V,0,MIN(10,DG$136))*((Per_Mon="PYG")*DG$138+(Per_Mon&lt;&gt;"PYG")))*(DG$134+DG$135*V_PreInd)*INDEX(IdxSal_V,1,MIN(10,DG$136))*(1+V_Cargas)+DG$174*V_Alim*DG$138</f>
        <v>0</v>
      </c>
      <c r="DH175" s="34" t="n">
        <f aca="false">SUMPRODUCT((Per_Clase="Administración")*Sal_V*INDEX(Dot_V,0,MIN(10,DH$136))*((Per_Mon="PYG")*DH$138+(Per_Mon&lt;&gt;"PYG")))*(DH$134+DH$135*V_PreInd)*INDEX(IdxSal_V,1,MIN(10,DH$136))*(1+V_Cargas)+DH$174*V_Alim*DH$138</f>
        <v>0</v>
      </c>
      <c r="DI175" s="34" t="n">
        <f aca="false">SUMPRODUCT((Per_Clase="Administración")*Sal_V*INDEX(Dot_V,0,MIN(10,DI$136))*((Per_Mon="PYG")*DI$138+(Per_Mon&lt;&gt;"PYG")))*(DI$134+DI$135*V_PreInd)*INDEX(IdxSal_V,1,MIN(10,DI$136))*(1+V_Cargas)+DI$174*V_Alim*DI$138</f>
        <v>0</v>
      </c>
      <c r="DJ175" s="34" t="n">
        <f aca="false">SUMPRODUCT((Per_Clase="Administración")*Sal_V*INDEX(Dot_V,0,MIN(10,DJ$136))*((Per_Mon="PYG")*DJ$138+(Per_Mon&lt;&gt;"PYG")))*(DJ$134+DJ$135*V_PreInd)*INDEX(IdxSal_V,1,MIN(10,DJ$136))*(1+V_Cargas)+DJ$174*V_Alim*DJ$138</f>
        <v>0</v>
      </c>
      <c r="DK175" s="34" t="n">
        <f aca="false">SUMPRODUCT((Per_Clase="Administración")*Sal_V*INDEX(Dot_V,0,MIN(10,DK$136))*((Per_Mon="PYG")*DK$138+(Per_Mon&lt;&gt;"PYG")))*(DK$134+DK$135*V_PreInd)*INDEX(IdxSal_V,1,MIN(10,DK$136))*(1+V_Cargas)+DK$174*V_Alim*DK$138</f>
        <v>0</v>
      </c>
      <c r="DL175" s="34" t="n">
        <f aca="false">SUMPRODUCT((Per_Clase="Administración")*Sal_V*INDEX(Dot_V,0,MIN(10,DL$136))*((Per_Mon="PYG")*DL$138+(Per_Mon&lt;&gt;"PYG")))*(DL$134+DL$135*V_PreInd)*INDEX(IdxSal_V,1,MIN(10,DL$136))*(1+V_Cargas)+DL$174*V_Alim*DL$138</f>
        <v>0</v>
      </c>
      <c r="DM175" s="34" t="n">
        <f aca="false">SUMPRODUCT((Per_Clase="Administración")*Sal_V*INDEX(Dot_V,0,MIN(10,DM$136))*((Per_Mon="PYG")*DM$138+(Per_Mon&lt;&gt;"PYG")))*(DM$134+DM$135*V_PreInd)*INDEX(IdxSal_V,1,MIN(10,DM$136))*(1+V_Cargas)+DM$174*V_Alim*DM$138</f>
        <v>0</v>
      </c>
      <c r="DN175" s="34" t="n">
        <f aca="false">SUMPRODUCT((Per_Clase="Administración")*Sal_V*INDEX(Dot_V,0,MIN(10,DN$136))*((Per_Mon="PYG")*DN$138+(Per_Mon&lt;&gt;"PYG")))*(DN$134+DN$135*V_PreInd)*INDEX(IdxSal_V,1,MIN(10,DN$136))*(1+V_Cargas)+DN$174*V_Alim*DN$138</f>
        <v>0</v>
      </c>
      <c r="DO175" s="34" t="n">
        <f aca="false">SUMPRODUCT((Per_Clase="Administración")*Sal_V*INDEX(Dot_V,0,MIN(10,DO$136))*((Per_Mon="PYG")*DO$138+(Per_Mon&lt;&gt;"PYG")))*(DO$134+DO$135*V_PreInd)*INDEX(IdxSal_V,1,MIN(10,DO$136))*(1+V_Cargas)+DO$174*V_Alim*DO$138</f>
        <v>0</v>
      </c>
      <c r="DP175" s="34" t="n">
        <f aca="false">SUMPRODUCT((Per_Clase="Administración")*Sal_V*INDEX(Dot_V,0,MIN(10,DP$136))*((Per_Mon="PYG")*DP$138+(Per_Mon&lt;&gt;"PYG")))*(DP$134+DP$135*V_PreInd)*INDEX(IdxSal_V,1,MIN(10,DP$136))*(1+V_Cargas)+DP$174*V_Alim*DP$138</f>
        <v>0</v>
      </c>
      <c r="DQ175" s="34" t="n">
        <f aca="false">SUMPRODUCT((Per_Clase="Administración")*Sal_V*INDEX(Dot_V,0,MIN(10,DQ$136))*((Per_Mon="PYG")*DQ$138+(Per_Mon&lt;&gt;"PYG")))*(DQ$134+DQ$135*V_PreInd)*INDEX(IdxSal_V,1,MIN(10,DQ$136))*(1+V_Cargas)+DQ$174*V_Alim*DQ$138</f>
        <v>0</v>
      </c>
      <c r="DR175" s="34" t="n">
        <f aca="false">SUMPRODUCT((Per_Clase="Administración")*Sal_V*INDEX(Dot_V,0,MIN(10,DR$136))*((Per_Mon="PYG")*DR$138+(Per_Mon&lt;&gt;"PYG")))*(DR$134+DR$135*V_PreInd)*INDEX(IdxSal_V,1,MIN(10,DR$136))*(1+V_Cargas)+DR$174*V_Alim*DR$138</f>
        <v>0</v>
      </c>
      <c r="DS175" s="34" t="n">
        <f aca="false">SUMPRODUCT((Per_Clase="Administración")*Sal_V*INDEX(Dot_V,0,MIN(10,DS$136))*((Per_Mon="PYG")*DS$138+(Per_Mon&lt;&gt;"PYG")))*(DS$134+DS$135*V_PreInd)*INDEX(IdxSal_V,1,MIN(10,DS$136))*(1+V_Cargas)+DS$174*V_Alim*DS$138</f>
        <v>0</v>
      </c>
      <c r="DT175" s="34" t="n">
        <f aca="false">SUMPRODUCT((Per_Clase="Administración")*Sal_V*INDEX(Dot_V,0,MIN(10,DT$136))*((Per_Mon="PYG")*DT$138+(Per_Mon&lt;&gt;"PYG")))*(DT$134+DT$135*V_PreInd)*INDEX(IdxSal_V,1,MIN(10,DT$136))*(1+V_Cargas)+DT$174*V_Alim*DT$138</f>
        <v>0</v>
      </c>
      <c r="DU175" s="34" t="n">
        <f aca="false">SUMPRODUCT((Per_Clase="Administración")*Sal_V*INDEX(Dot_V,0,MIN(10,DU$136))*((Per_Mon="PYG")*DU$138+(Per_Mon&lt;&gt;"PYG")))*(DU$134+DU$135*V_PreInd)*INDEX(IdxSal_V,1,MIN(10,DU$136))*(1+V_Cargas)+DU$174*V_Alim*DU$138</f>
        <v>0</v>
      </c>
      <c r="DV175" s="34" t="n">
        <f aca="false">SUMPRODUCT((Per_Clase="Administración")*Sal_V*INDEX(Dot_V,0,MIN(10,DV$136))*((Per_Mon="PYG")*DV$138+(Per_Mon&lt;&gt;"PYG")))*(DV$134+DV$135*V_PreInd)*INDEX(IdxSal_V,1,MIN(10,DV$136))*(1+V_Cargas)+DV$174*V_Alim*DV$138</f>
        <v>0</v>
      </c>
      <c r="DW175" s="34" t="n">
        <f aca="false">SUMPRODUCT((Per_Clase="Administración")*Sal_V*INDEX(Dot_V,0,MIN(10,DW$136))*((Per_Mon="PYG")*DW$138+(Per_Mon&lt;&gt;"PYG")))*(DW$134+DW$135*V_PreInd)*INDEX(IdxSal_V,1,MIN(10,DW$136))*(1+V_Cargas)+DW$174*V_Alim*DW$138</f>
        <v>0</v>
      </c>
      <c r="DX175" s="34" t="n">
        <f aca="false">SUMPRODUCT((Per_Clase="Administración")*Sal_V*INDEX(Dot_V,0,MIN(10,DX$136))*((Per_Mon="PYG")*DX$138+(Per_Mon&lt;&gt;"PYG")))*(DX$134+DX$135*V_PreInd)*INDEX(IdxSal_V,1,MIN(10,DX$136))*(1+V_Cargas)+DX$174*V_Alim*DX$138</f>
        <v>0</v>
      </c>
      <c r="DY175" s="34" t="n">
        <f aca="false">SUMPRODUCT((Per_Clase="Administración")*Sal_V*INDEX(Dot_V,0,MIN(10,DY$136))*((Per_Mon="PYG")*DY$138+(Per_Mon&lt;&gt;"PYG")))*(DY$134+DY$135*V_PreInd)*INDEX(IdxSal_V,1,MIN(10,DY$136))*(1+V_Cargas)+DY$174*V_Alim*DY$138</f>
        <v>0</v>
      </c>
      <c r="DZ175" s="34" t="n">
        <f aca="false">SUMPRODUCT((Per_Clase="Administración")*Sal_V*INDEX(Dot_V,0,MIN(10,DZ$136))*((Per_Mon="PYG")*DZ$138+(Per_Mon&lt;&gt;"PYG")))*(DZ$134+DZ$135*V_PreInd)*INDEX(IdxSal_V,1,MIN(10,DZ$136))*(1+V_Cargas)+DZ$174*V_Alim*DZ$138</f>
        <v>0</v>
      </c>
      <c r="EA175" s="34" t="n">
        <f aca="false">SUMPRODUCT((Per_Clase="Administración")*Sal_V*INDEX(Dot_V,0,MIN(10,EA$136))*((Per_Mon="PYG")*EA$138+(Per_Mon&lt;&gt;"PYG")))*(EA$134+EA$135*V_PreInd)*INDEX(IdxSal_V,1,MIN(10,EA$136))*(1+V_Cargas)+EA$174*V_Alim*EA$138</f>
        <v>0</v>
      </c>
      <c r="EB175" s="34" t="n">
        <f aca="false">SUMPRODUCT((Per_Clase="Administración")*Sal_V*INDEX(Dot_V,0,MIN(10,EB$136))*((Per_Mon="PYG")*EB$138+(Per_Mon&lt;&gt;"PYG")))*(EB$134+EB$135*V_PreInd)*INDEX(IdxSal_V,1,MIN(10,EB$136))*(1+V_Cargas)+EB$174*V_Alim*EB$138</f>
        <v>0</v>
      </c>
      <c r="EC175" s="34" t="n">
        <f aca="false">SUMPRODUCT((Per_Clase="Administración")*Sal_V*INDEX(Dot_V,0,MIN(10,EC$136))*((Per_Mon="PYG")*EC$138+(Per_Mon&lt;&gt;"PYG")))*(EC$134+EC$135*V_PreInd)*INDEX(IdxSal_V,1,MIN(10,EC$136))*(1+V_Cargas)+EC$174*V_Alim*EC$138</f>
        <v>0</v>
      </c>
      <c r="ED175" s="34" t="n">
        <f aca="false">SUMPRODUCT((Per_Clase="Administración")*Sal_V*INDEX(Dot_V,0,MIN(10,ED$136))*((Per_Mon="PYG")*ED$138+(Per_Mon&lt;&gt;"PYG")))*(ED$134+ED$135*V_PreInd)*INDEX(IdxSal_V,1,MIN(10,ED$136))*(1+V_Cargas)+ED$174*V_Alim*ED$138</f>
        <v>0</v>
      </c>
      <c r="EE175" s="34" t="n">
        <f aca="false">SUMPRODUCT((Per_Clase="Administración")*Sal_V*INDEX(Dot_V,0,MIN(10,EE$136))*((Per_Mon="PYG")*EE$138+(Per_Mon&lt;&gt;"PYG")))*(EE$134+EE$135*V_PreInd)*INDEX(IdxSal_V,1,MIN(10,EE$136))*(1+V_Cargas)+EE$174*V_Alim*EE$138</f>
        <v>0</v>
      </c>
      <c r="EF175" s="34" t="n">
        <f aca="false">SUMPRODUCT((Per_Clase="Administración")*Sal_V*INDEX(Dot_V,0,MIN(10,EF$136))*((Per_Mon="PYG")*EF$138+(Per_Mon&lt;&gt;"PYG")))*(EF$134+EF$135*V_PreInd)*INDEX(IdxSal_V,1,MIN(10,EF$136))*(1+V_Cargas)+EF$174*V_Alim*EF$138</f>
        <v>0</v>
      </c>
      <c r="EG175" s="34" t="n">
        <f aca="false">SUMPRODUCT((Per_Clase="Administración")*Sal_V*INDEX(Dot_V,0,MIN(10,EG$136))*((Per_Mon="PYG")*EG$138+(Per_Mon&lt;&gt;"PYG")))*(EG$134+EG$135*V_PreInd)*INDEX(IdxSal_V,1,MIN(10,EG$136))*(1+V_Cargas)+EG$174*V_Alim*EG$138</f>
        <v>0</v>
      </c>
      <c r="EH175" s="34" t="n">
        <f aca="false">SUMPRODUCT((Per_Clase="Administración")*Sal_V*INDEX(Dot_V,0,MIN(10,EH$136))*((Per_Mon="PYG")*EH$138+(Per_Mon&lt;&gt;"PYG")))*(EH$134+EH$135*V_PreInd)*INDEX(IdxSal_V,1,MIN(10,EH$136))*(1+V_Cargas)+EH$174*V_Alim*EH$138</f>
        <v>0</v>
      </c>
      <c r="EI175" s="34" t="n">
        <f aca="false">SUMPRODUCT((Per_Clase="Administración")*Sal_V*INDEX(Dot_V,0,MIN(10,EI$136))*((Per_Mon="PYG")*EI$138+(Per_Mon&lt;&gt;"PYG")))*(EI$134+EI$135*V_PreInd)*INDEX(IdxSal_V,1,MIN(10,EI$136))*(1+V_Cargas)+EI$174*V_Alim*EI$138</f>
        <v>0</v>
      </c>
      <c r="EJ175" s="34" t="n">
        <f aca="false">SUMPRODUCT((Per_Clase="Administración")*Sal_V*INDEX(Dot_V,0,MIN(10,EJ$136))*((Per_Mon="PYG")*EJ$138+(Per_Mon&lt;&gt;"PYG")))*(EJ$134+EJ$135*V_PreInd)*INDEX(IdxSal_V,1,MIN(10,EJ$136))*(1+V_Cargas)+EJ$174*V_Alim*EJ$138</f>
        <v>0</v>
      </c>
      <c r="EK175" s="34" t="n">
        <f aca="false">SUMPRODUCT((Per_Clase="Administración")*Sal_V*INDEX(Dot_V,0,MIN(10,EK$136))*((Per_Mon="PYG")*EK$138+(Per_Mon&lt;&gt;"PYG")))*(EK$134+EK$135*V_PreInd)*INDEX(IdxSal_V,1,MIN(10,EK$136))*(1+V_Cargas)+EK$174*V_Alim*EK$138</f>
        <v>0</v>
      </c>
      <c r="EL175" s="34" t="n">
        <f aca="false">SUMPRODUCT((Per_Clase="Administración")*Sal_V*INDEX(Dot_V,0,MIN(10,EL$136))*((Per_Mon="PYG")*EL$138+(Per_Mon&lt;&gt;"PYG")))*(EL$134+EL$135*V_PreInd)*INDEX(IdxSal_V,1,MIN(10,EL$136))*(1+V_Cargas)+EL$174*V_Alim*EL$138</f>
        <v>0</v>
      </c>
      <c r="EM175" s="34" t="n">
        <f aca="false">SUMPRODUCT((Per_Clase="Administración")*Sal_V*INDEX(Dot_V,0,MIN(10,EM$136))*((Per_Mon="PYG")*EM$138+(Per_Mon&lt;&gt;"PYG")))*(EM$134+EM$135*V_PreInd)*INDEX(IdxSal_V,1,MIN(10,EM$136))*(1+V_Cargas)+EM$174*V_Alim*EM$138</f>
        <v>0</v>
      </c>
      <c r="EN175" s="34" t="n">
        <f aca="false">SUMPRODUCT((Per_Clase="Administración")*Sal_V*INDEX(Dot_V,0,MIN(10,EN$136))*((Per_Mon="PYG")*EN$138+(Per_Mon&lt;&gt;"PYG")))*(EN$134+EN$135*V_PreInd)*INDEX(IdxSal_V,1,MIN(10,EN$136))*(1+V_Cargas)+EN$174*V_Alim*EN$138</f>
        <v>0</v>
      </c>
      <c r="EO175" s="34" t="n">
        <f aca="false">SUMPRODUCT((Per_Clase="Administración")*Sal_V*INDEX(Dot_V,0,MIN(10,EO$136))*((Per_Mon="PYG")*EO$138+(Per_Mon&lt;&gt;"PYG")))*(EO$134+EO$135*V_PreInd)*INDEX(IdxSal_V,1,MIN(10,EO$136))*(1+V_Cargas)+EO$174*V_Alim*EO$138</f>
        <v>0</v>
      </c>
      <c r="EP175" s="34" t="n">
        <f aca="false">SUMPRODUCT((Per_Clase="Administración")*Sal_V*INDEX(Dot_V,0,MIN(10,EP$136))*((Per_Mon="PYG")*EP$138+(Per_Mon&lt;&gt;"PYG")))*(EP$134+EP$135*V_PreInd)*INDEX(IdxSal_V,1,MIN(10,EP$136))*(1+V_Cargas)+EP$174*V_Alim*EP$138</f>
        <v>0</v>
      </c>
      <c r="EQ175" s="34" t="n">
        <f aca="false">SUMPRODUCT((Per_Clase="Administración")*Sal_V*INDEX(Dot_V,0,MIN(10,EQ$136))*((Per_Mon="PYG")*EQ$138+(Per_Mon&lt;&gt;"PYG")))*(EQ$134+EQ$135*V_PreInd)*INDEX(IdxSal_V,1,MIN(10,EQ$136))*(1+V_Cargas)+EQ$174*V_Alim*EQ$138</f>
        <v>0</v>
      </c>
      <c r="ER175" s="34" t="n">
        <f aca="false">SUMPRODUCT((Per_Clase="Administración")*Sal_V*INDEX(Dot_V,0,MIN(10,ER$136))*((Per_Mon="PYG")*ER$138+(Per_Mon&lt;&gt;"PYG")))*(ER$134+ER$135*V_PreInd)*INDEX(IdxSal_V,1,MIN(10,ER$136))*(1+V_Cargas)+ER$174*V_Alim*ER$138</f>
        <v>0</v>
      </c>
      <c r="ES175" s="34" t="n">
        <f aca="false">SUMPRODUCT((Per_Clase="Administración")*Sal_V*INDEX(Dot_V,0,MIN(10,ES$136))*((Per_Mon="PYG")*ES$138+(Per_Mon&lt;&gt;"PYG")))*(ES$134+ES$135*V_PreInd)*INDEX(IdxSal_V,1,MIN(10,ES$136))*(1+V_Cargas)+ES$174*V_Alim*ES$138</f>
        <v>0</v>
      </c>
    </row>
    <row r="176" customFormat="false" ht="15" hidden="false" customHeight="false" outlineLevel="0" collapsed="false">
      <c r="A176" s="2" t="s">
        <v>654</v>
      </c>
      <c r="B176" s="6" t="s">
        <v>481</v>
      </c>
      <c r="C176" s="6" t="s">
        <v>212</v>
      </c>
      <c r="E176" s="40" t="n">
        <f aca="false">SUM(F176:ES176)</f>
        <v>0</v>
      </c>
      <c r="F176" s="34" t="n">
        <f aca="false">V_Pkg*(F$166+F$167+F$168+F$171)</f>
        <v>0</v>
      </c>
      <c r="G176" s="34" t="n">
        <f aca="false">V_Pkg*(G$166+G$167+G$168+G$171)</f>
        <v>0</v>
      </c>
      <c r="H176" s="34" t="n">
        <f aca="false">V_Pkg*(H$166+H$167+H$168+H$171)</f>
        <v>0</v>
      </c>
      <c r="I176" s="34" t="n">
        <f aca="false">V_Pkg*(I$166+I$167+I$168+I$171)</f>
        <v>0</v>
      </c>
      <c r="J176" s="34" t="n">
        <f aca="false">V_Pkg*(J$166+J$167+J$168+J$171)</f>
        <v>0</v>
      </c>
      <c r="K176" s="34" t="n">
        <f aca="false">V_Pkg*(K$166+K$167+K$168+K$171)</f>
        <v>0</v>
      </c>
      <c r="L176" s="34" t="n">
        <f aca="false">V_Pkg*(L$166+L$167+L$168+L$171)</f>
        <v>0</v>
      </c>
      <c r="M176" s="34" t="n">
        <f aca="false">V_Pkg*(M$166+M$167+M$168+M$171)</f>
        <v>0</v>
      </c>
      <c r="N176" s="34" t="n">
        <f aca="false">V_Pkg*(N$166+N$167+N$168+N$171)</f>
        <v>0</v>
      </c>
      <c r="O176" s="34" t="n">
        <f aca="false">V_Pkg*(O$166+O$167+O$168+O$171)</f>
        <v>0</v>
      </c>
      <c r="P176" s="34" t="n">
        <f aca="false">V_Pkg*(P$166+P$167+P$168+P$171)</f>
        <v>0</v>
      </c>
      <c r="Q176" s="34" t="n">
        <f aca="false">V_Pkg*(Q$166+Q$167+Q$168+Q$171)</f>
        <v>0</v>
      </c>
      <c r="R176" s="34" t="n">
        <f aca="false">V_Pkg*(R$166+R$167+R$168+R$171)</f>
        <v>0</v>
      </c>
      <c r="S176" s="34" t="n">
        <f aca="false">V_Pkg*(S$166+S$167+S$168+S$171)</f>
        <v>0</v>
      </c>
      <c r="T176" s="34" t="n">
        <f aca="false">V_Pkg*(T$166+T$167+T$168+T$171)</f>
        <v>0</v>
      </c>
      <c r="U176" s="34" t="n">
        <f aca="false">V_Pkg*(U$166+U$167+U$168+U$171)</f>
        <v>0</v>
      </c>
      <c r="V176" s="34" t="n">
        <f aca="false">V_Pkg*(V$166+V$167+V$168+V$171)</f>
        <v>0</v>
      </c>
      <c r="W176" s="34" t="n">
        <f aca="false">V_Pkg*(W$166+W$167+W$168+W$171)</f>
        <v>0</v>
      </c>
      <c r="X176" s="34" t="n">
        <f aca="false">V_Pkg*(X$166+X$167+X$168+X$171)</f>
        <v>0</v>
      </c>
      <c r="Y176" s="34" t="n">
        <f aca="false">V_Pkg*(Y$166+Y$167+Y$168+Y$171)</f>
        <v>0</v>
      </c>
      <c r="Z176" s="34" t="n">
        <f aca="false">V_Pkg*(Z$166+Z$167+Z$168+Z$171)</f>
        <v>0</v>
      </c>
      <c r="AA176" s="34" t="n">
        <f aca="false">V_Pkg*(AA$166+AA$167+AA$168+AA$171)</f>
        <v>0</v>
      </c>
      <c r="AB176" s="34" t="n">
        <f aca="false">V_Pkg*(AB$166+AB$167+AB$168+AB$171)</f>
        <v>0</v>
      </c>
      <c r="AC176" s="34" t="n">
        <f aca="false">V_Pkg*(AC$166+AC$167+AC$168+AC$171)</f>
        <v>0</v>
      </c>
      <c r="AD176" s="34" t="n">
        <f aca="false">V_Pkg*(AD$166+AD$167+AD$168+AD$171)</f>
        <v>0</v>
      </c>
      <c r="AE176" s="34" t="n">
        <f aca="false">V_Pkg*(AE$166+AE$167+AE$168+AE$171)</f>
        <v>0</v>
      </c>
      <c r="AF176" s="34" t="n">
        <f aca="false">V_Pkg*(AF$166+AF$167+AF$168+AF$171)</f>
        <v>0</v>
      </c>
      <c r="AG176" s="34" t="n">
        <f aca="false">V_Pkg*(AG$166+AG$167+AG$168+AG$171)</f>
        <v>0</v>
      </c>
      <c r="AH176" s="34" t="n">
        <f aca="false">V_Pkg*(AH$166+AH$167+AH$168+AH$171)</f>
        <v>0</v>
      </c>
      <c r="AI176" s="34" t="n">
        <f aca="false">V_Pkg*(AI$166+AI$167+AI$168+AI$171)</f>
        <v>0</v>
      </c>
      <c r="AJ176" s="34" t="n">
        <f aca="false">V_Pkg*(AJ$166+AJ$167+AJ$168+AJ$171)</f>
        <v>0</v>
      </c>
      <c r="AK176" s="34" t="n">
        <f aca="false">V_Pkg*(AK$166+AK$167+AK$168+AK$171)</f>
        <v>0</v>
      </c>
      <c r="AL176" s="34" t="n">
        <f aca="false">V_Pkg*(AL$166+AL$167+AL$168+AL$171)</f>
        <v>0</v>
      </c>
      <c r="AM176" s="34" t="n">
        <f aca="false">V_Pkg*(AM$166+AM$167+AM$168+AM$171)</f>
        <v>0</v>
      </c>
      <c r="AN176" s="34" t="n">
        <f aca="false">V_Pkg*(AN$166+AN$167+AN$168+AN$171)</f>
        <v>0</v>
      </c>
      <c r="AO176" s="34" t="n">
        <f aca="false">V_Pkg*(AO$166+AO$167+AO$168+AO$171)</f>
        <v>0</v>
      </c>
      <c r="AP176" s="34" t="n">
        <f aca="false">V_Pkg*(AP$166+AP$167+AP$168+AP$171)</f>
        <v>0</v>
      </c>
      <c r="AQ176" s="34" t="n">
        <f aca="false">V_Pkg*(AQ$166+AQ$167+AQ$168+AQ$171)</f>
        <v>0</v>
      </c>
      <c r="AR176" s="34" t="n">
        <f aca="false">V_Pkg*(AR$166+AR$167+AR$168+AR$171)</f>
        <v>0</v>
      </c>
      <c r="AS176" s="34" t="n">
        <f aca="false">V_Pkg*(AS$166+AS$167+AS$168+AS$171)</f>
        <v>0</v>
      </c>
      <c r="AT176" s="34" t="n">
        <f aca="false">V_Pkg*(AT$166+AT$167+AT$168+AT$171)</f>
        <v>0</v>
      </c>
      <c r="AU176" s="34" t="n">
        <f aca="false">V_Pkg*(AU$166+AU$167+AU$168+AU$171)</f>
        <v>0</v>
      </c>
      <c r="AV176" s="34" t="n">
        <f aca="false">V_Pkg*(AV$166+AV$167+AV$168+AV$171)</f>
        <v>0</v>
      </c>
      <c r="AW176" s="34" t="n">
        <f aca="false">V_Pkg*(AW$166+AW$167+AW$168+AW$171)</f>
        <v>0</v>
      </c>
      <c r="AX176" s="34" t="n">
        <f aca="false">V_Pkg*(AX$166+AX$167+AX$168+AX$171)</f>
        <v>0</v>
      </c>
      <c r="AY176" s="34" t="n">
        <f aca="false">V_Pkg*(AY$166+AY$167+AY$168+AY$171)</f>
        <v>0</v>
      </c>
      <c r="AZ176" s="34" t="n">
        <f aca="false">V_Pkg*(AZ$166+AZ$167+AZ$168+AZ$171)</f>
        <v>0</v>
      </c>
      <c r="BA176" s="34" t="n">
        <f aca="false">V_Pkg*(BA$166+BA$167+BA$168+BA$171)</f>
        <v>0</v>
      </c>
      <c r="BB176" s="34" t="n">
        <f aca="false">V_Pkg*(BB$166+BB$167+BB$168+BB$171)</f>
        <v>0</v>
      </c>
      <c r="BC176" s="34" t="n">
        <f aca="false">V_Pkg*(BC$166+BC$167+BC$168+BC$171)</f>
        <v>0</v>
      </c>
      <c r="BD176" s="34" t="n">
        <f aca="false">V_Pkg*(BD$166+BD$167+BD$168+BD$171)</f>
        <v>0</v>
      </c>
      <c r="BE176" s="34" t="n">
        <f aca="false">V_Pkg*(BE$166+BE$167+BE$168+BE$171)</f>
        <v>0</v>
      </c>
      <c r="BF176" s="34" t="n">
        <f aca="false">V_Pkg*(BF$166+BF$167+BF$168+BF$171)</f>
        <v>0</v>
      </c>
      <c r="BG176" s="34" t="n">
        <f aca="false">V_Pkg*(BG$166+BG$167+BG$168+BG$171)</f>
        <v>0</v>
      </c>
      <c r="BH176" s="34" t="n">
        <f aca="false">V_Pkg*(BH$166+BH$167+BH$168+BH$171)</f>
        <v>0</v>
      </c>
      <c r="BI176" s="34" t="n">
        <f aca="false">V_Pkg*(BI$166+BI$167+BI$168+BI$171)</f>
        <v>0</v>
      </c>
      <c r="BJ176" s="34" t="n">
        <f aca="false">V_Pkg*(BJ$166+BJ$167+BJ$168+BJ$171)</f>
        <v>0</v>
      </c>
      <c r="BK176" s="34" t="n">
        <f aca="false">V_Pkg*(BK$166+BK$167+BK$168+BK$171)</f>
        <v>0</v>
      </c>
      <c r="BL176" s="34" t="n">
        <f aca="false">V_Pkg*(BL$166+BL$167+BL$168+BL$171)</f>
        <v>0</v>
      </c>
      <c r="BM176" s="34" t="n">
        <f aca="false">V_Pkg*(BM$166+BM$167+BM$168+BM$171)</f>
        <v>0</v>
      </c>
      <c r="BN176" s="34" t="n">
        <f aca="false">V_Pkg*(BN$166+BN$167+BN$168+BN$171)</f>
        <v>0</v>
      </c>
      <c r="BO176" s="34" t="n">
        <f aca="false">V_Pkg*(BO$166+BO$167+BO$168+BO$171)</f>
        <v>0</v>
      </c>
      <c r="BP176" s="34" t="n">
        <f aca="false">V_Pkg*(BP$166+BP$167+BP$168+BP$171)</f>
        <v>0</v>
      </c>
      <c r="BQ176" s="34" t="n">
        <f aca="false">V_Pkg*(BQ$166+BQ$167+BQ$168+BQ$171)</f>
        <v>0</v>
      </c>
      <c r="BR176" s="34" t="n">
        <f aca="false">V_Pkg*(BR$166+BR$167+BR$168+BR$171)</f>
        <v>0</v>
      </c>
      <c r="BS176" s="34" t="n">
        <f aca="false">V_Pkg*(BS$166+BS$167+BS$168+BS$171)</f>
        <v>0</v>
      </c>
      <c r="BT176" s="34" t="n">
        <f aca="false">V_Pkg*(BT$166+BT$167+BT$168+BT$171)</f>
        <v>0</v>
      </c>
      <c r="BU176" s="34" t="n">
        <f aca="false">V_Pkg*(BU$166+BU$167+BU$168+BU$171)</f>
        <v>0</v>
      </c>
      <c r="BV176" s="34" t="n">
        <f aca="false">V_Pkg*(BV$166+BV$167+BV$168+BV$171)</f>
        <v>0</v>
      </c>
      <c r="BW176" s="34" t="n">
        <f aca="false">V_Pkg*(BW$166+BW$167+BW$168+BW$171)</f>
        <v>0</v>
      </c>
      <c r="BX176" s="34" t="n">
        <f aca="false">V_Pkg*(BX$166+BX$167+BX$168+BX$171)</f>
        <v>0</v>
      </c>
      <c r="BY176" s="34" t="n">
        <f aca="false">V_Pkg*(BY$166+BY$167+BY$168+BY$171)</f>
        <v>0</v>
      </c>
      <c r="BZ176" s="34" t="n">
        <f aca="false">V_Pkg*(BZ$166+BZ$167+BZ$168+BZ$171)</f>
        <v>0</v>
      </c>
      <c r="CA176" s="34" t="n">
        <f aca="false">V_Pkg*(CA$166+CA$167+CA$168+CA$171)</f>
        <v>0</v>
      </c>
      <c r="CB176" s="34" t="n">
        <f aca="false">V_Pkg*(CB$166+CB$167+CB$168+CB$171)</f>
        <v>0</v>
      </c>
      <c r="CC176" s="34" t="n">
        <f aca="false">V_Pkg*(CC$166+CC$167+CC$168+CC$171)</f>
        <v>0</v>
      </c>
      <c r="CD176" s="34" t="n">
        <f aca="false">V_Pkg*(CD$166+CD$167+CD$168+CD$171)</f>
        <v>0</v>
      </c>
      <c r="CE176" s="34" t="n">
        <f aca="false">V_Pkg*(CE$166+CE$167+CE$168+CE$171)</f>
        <v>0</v>
      </c>
      <c r="CF176" s="34" t="n">
        <f aca="false">V_Pkg*(CF$166+CF$167+CF$168+CF$171)</f>
        <v>0</v>
      </c>
      <c r="CG176" s="34" t="n">
        <f aca="false">V_Pkg*(CG$166+CG$167+CG$168+CG$171)</f>
        <v>0</v>
      </c>
      <c r="CH176" s="34" t="n">
        <f aca="false">V_Pkg*(CH$166+CH$167+CH$168+CH$171)</f>
        <v>0</v>
      </c>
      <c r="CI176" s="34" t="n">
        <f aca="false">V_Pkg*(CI$166+CI$167+CI$168+CI$171)</f>
        <v>0</v>
      </c>
      <c r="CJ176" s="34" t="n">
        <f aca="false">V_Pkg*(CJ$166+CJ$167+CJ$168+CJ$171)</f>
        <v>0</v>
      </c>
      <c r="CK176" s="34" t="n">
        <f aca="false">V_Pkg*(CK$166+CK$167+CK$168+CK$171)</f>
        <v>0</v>
      </c>
      <c r="CL176" s="34" t="n">
        <f aca="false">V_Pkg*(CL$166+CL$167+CL$168+CL$171)</f>
        <v>0</v>
      </c>
      <c r="CM176" s="34" t="n">
        <f aca="false">V_Pkg*(CM$166+CM$167+CM$168+CM$171)</f>
        <v>0</v>
      </c>
      <c r="CN176" s="34" t="n">
        <f aca="false">V_Pkg*(CN$166+CN$167+CN$168+CN$171)</f>
        <v>0</v>
      </c>
      <c r="CO176" s="34" t="n">
        <f aca="false">V_Pkg*(CO$166+CO$167+CO$168+CO$171)</f>
        <v>0</v>
      </c>
      <c r="CP176" s="34" t="n">
        <f aca="false">V_Pkg*(CP$166+CP$167+CP$168+CP$171)</f>
        <v>0</v>
      </c>
      <c r="CQ176" s="34" t="n">
        <f aca="false">V_Pkg*(CQ$166+CQ$167+CQ$168+CQ$171)</f>
        <v>0</v>
      </c>
      <c r="CR176" s="34" t="n">
        <f aca="false">V_Pkg*(CR$166+CR$167+CR$168+CR$171)</f>
        <v>0</v>
      </c>
      <c r="CS176" s="34" t="n">
        <f aca="false">V_Pkg*(CS$166+CS$167+CS$168+CS$171)</f>
        <v>0</v>
      </c>
      <c r="CT176" s="34" t="n">
        <f aca="false">V_Pkg*(CT$166+CT$167+CT$168+CT$171)</f>
        <v>0</v>
      </c>
      <c r="CU176" s="34" t="n">
        <f aca="false">V_Pkg*(CU$166+CU$167+CU$168+CU$171)</f>
        <v>0</v>
      </c>
      <c r="CV176" s="34" t="n">
        <f aca="false">V_Pkg*(CV$166+CV$167+CV$168+CV$171)</f>
        <v>0</v>
      </c>
      <c r="CW176" s="34" t="n">
        <f aca="false">V_Pkg*(CW$166+CW$167+CW$168+CW$171)</f>
        <v>0</v>
      </c>
      <c r="CX176" s="34" t="n">
        <f aca="false">V_Pkg*(CX$166+CX$167+CX$168+CX$171)</f>
        <v>0</v>
      </c>
      <c r="CY176" s="34" t="n">
        <f aca="false">V_Pkg*(CY$166+CY$167+CY$168+CY$171)</f>
        <v>0</v>
      </c>
      <c r="CZ176" s="34" t="n">
        <f aca="false">V_Pkg*(CZ$166+CZ$167+CZ$168+CZ$171)</f>
        <v>0</v>
      </c>
      <c r="DA176" s="34" t="n">
        <f aca="false">V_Pkg*(DA$166+DA$167+DA$168+DA$171)</f>
        <v>0</v>
      </c>
      <c r="DB176" s="34" t="n">
        <f aca="false">V_Pkg*(DB$166+DB$167+DB$168+DB$171)</f>
        <v>0</v>
      </c>
      <c r="DC176" s="34" t="n">
        <f aca="false">V_Pkg*(DC$166+DC$167+DC$168+DC$171)</f>
        <v>0</v>
      </c>
      <c r="DD176" s="34" t="n">
        <f aca="false">V_Pkg*(DD$166+DD$167+DD$168+DD$171)</f>
        <v>0</v>
      </c>
      <c r="DE176" s="34" t="n">
        <f aca="false">V_Pkg*(DE$166+DE$167+DE$168+DE$171)</f>
        <v>0</v>
      </c>
      <c r="DF176" s="34" t="n">
        <f aca="false">V_Pkg*(DF$166+DF$167+DF$168+DF$171)</f>
        <v>0</v>
      </c>
      <c r="DG176" s="34" t="n">
        <f aca="false">V_Pkg*(DG$166+DG$167+DG$168+DG$171)</f>
        <v>0</v>
      </c>
      <c r="DH176" s="34" t="n">
        <f aca="false">V_Pkg*(DH$166+DH$167+DH$168+DH$171)</f>
        <v>0</v>
      </c>
      <c r="DI176" s="34" t="n">
        <f aca="false">V_Pkg*(DI$166+DI$167+DI$168+DI$171)</f>
        <v>0</v>
      </c>
      <c r="DJ176" s="34" t="n">
        <f aca="false">V_Pkg*(DJ$166+DJ$167+DJ$168+DJ$171)</f>
        <v>0</v>
      </c>
      <c r="DK176" s="34" t="n">
        <f aca="false">V_Pkg*(DK$166+DK$167+DK$168+DK$171)</f>
        <v>0</v>
      </c>
      <c r="DL176" s="34" t="n">
        <f aca="false">V_Pkg*(DL$166+DL$167+DL$168+DL$171)</f>
        <v>0</v>
      </c>
      <c r="DM176" s="34" t="n">
        <f aca="false">V_Pkg*(DM$166+DM$167+DM$168+DM$171)</f>
        <v>0</v>
      </c>
      <c r="DN176" s="34" t="n">
        <f aca="false">V_Pkg*(DN$166+DN$167+DN$168+DN$171)</f>
        <v>0</v>
      </c>
      <c r="DO176" s="34" t="n">
        <f aca="false">V_Pkg*(DO$166+DO$167+DO$168+DO$171)</f>
        <v>0</v>
      </c>
      <c r="DP176" s="34" t="n">
        <f aca="false">V_Pkg*(DP$166+DP$167+DP$168+DP$171)</f>
        <v>0</v>
      </c>
      <c r="DQ176" s="34" t="n">
        <f aca="false">V_Pkg*(DQ$166+DQ$167+DQ$168+DQ$171)</f>
        <v>0</v>
      </c>
      <c r="DR176" s="34" t="n">
        <f aca="false">V_Pkg*(DR$166+DR$167+DR$168+DR$171)</f>
        <v>0</v>
      </c>
      <c r="DS176" s="34" t="n">
        <f aca="false">V_Pkg*(DS$166+DS$167+DS$168+DS$171)</f>
        <v>0</v>
      </c>
      <c r="DT176" s="34" t="n">
        <f aca="false">V_Pkg*(DT$166+DT$167+DT$168+DT$171)</f>
        <v>0</v>
      </c>
      <c r="DU176" s="34" t="n">
        <f aca="false">V_Pkg*(DU$166+DU$167+DU$168+DU$171)</f>
        <v>0</v>
      </c>
      <c r="DV176" s="34" t="n">
        <f aca="false">V_Pkg*(DV$166+DV$167+DV$168+DV$171)</f>
        <v>0</v>
      </c>
      <c r="DW176" s="34" t="n">
        <f aca="false">V_Pkg*(DW$166+DW$167+DW$168+DW$171)</f>
        <v>0</v>
      </c>
      <c r="DX176" s="34" t="n">
        <f aca="false">V_Pkg*(DX$166+DX$167+DX$168+DX$171)</f>
        <v>0</v>
      </c>
      <c r="DY176" s="34" t="n">
        <f aca="false">V_Pkg*(DY$166+DY$167+DY$168+DY$171)</f>
        <v>0</v>
      </c>
      <c r="DZ176" s="34" t="n">
        <f aca="false">V_Pkg*(DZ$166+DZ$167+DZ$168+DZ$171)</f>
        <v>0</v>
      </c>
      <c r="EA176" s="34" t="n">
        <f aca="false">V_Pkg*(EA$166+EA$167+EA$168+EA$171)</f>
        <v>0</v>
      </c>
      <c r="EB176" s="34" t="n">
        <f aca="false">V_Pkg*(EB$166+EB$167+EB$168+EB$171)</f>
        <v>0</v>
      </c>
      <c r="EC176" s="34" t="n">
        <f aca="false">V_Pkg*(EC$166+EC$167+EC$168+EC$171)</f>
        <v>0</v>
      </c>
      <c r="ED176" s="34" t="n">
        <f aca="false">V_Pkg*(ED$166+ED$167+ED$168+ED$171)</f>
        <v>0</v>
      </c>
      <c r="EE176" s="34" t="n">
        <f aca="false">V_Pkg*(EE$166+EE$167+EE$168+EE$171)</f>
        <v>0</v>
      </c>
      <c r="EF176" s="34" t="n">
        <f aca="false">V_Pkg*(EF$166+EF$167+EF$168+EF$171)</f>
        <v>0</v>
      </c>
      <c r="EG176" s="34" t="n">
        <f aca="false">V_Pkg*(EG$166+EG$167+EG$168+EG$171)</f>
        <v>0</v>
      </c>
      <c r="EH176" s="34" t="n">
        <f aca="false">V_Pkg*(EH$166+EH$167+EH$168+EH$171)</f>
        <v>0</v>
      </c>
      <c r="EI176" s="34" t="n">
        <f aca="false">V_Pkg*(EI$166+EI$167+EI$168+EI$171)</f>
        <v>0</v>
      </c>
      <c r="EJ176" s="34" t="n">
        <f aca="false">V_Pkg*(EJ$166+EJ$167+EJ$168+EJ$171)</f>
        <v>0</v>
      </c>
      <c r="EK176" s="34" t="n">
        <f aca="false">V_Pkg*(EK$166+EK$167+EK$168+EK$171)</f>
        <v>0</v>
      </c>
      <c r="EL176" s="34" t="n">
        <f aca="false">V_Pkg*(EL$166+EL$167+EL$168+EL$171)</f>
        <v>0</v>
      </c>
      <c r="EM176" s="34" t="n">
        <f aca="false">V_Pkg*(EM$166+EM$167+EM$168+EM$171)</f>
        <v>0</v>
      </c>
      <c r="EN176" s="34" t="n">
        <f aca="false">V_Pkg*(EN$166+EN$167+EN$168+EN$171)</f>
        <v>0</v>
      </c>
      <c r="EO176" s="34" t="n">
        <f aca="false">V_Pkg*(EO$166+EO$167+EO$168+EO$171)</f>
        <v>0</v>
      </c>
      <c r="EP176" s="34" t="n">
        <f aca="false">V_Pkg*(EP$166+EP$167+EP$168+EP$171)</f>
        <v>0</v>
      </c>
      <c r="EQ176" s="34" t="n">
        <f aca="false">V_Pkg*(EQ$166+EQ$167+EQ$168+EQ$171)</f>
        <v>0</v>
      </c>
      <c r="ER176" s="34" t="n">
        <f aca="false">V_Pkg*(ER$166+ER$167+ER$168+ER$171)</f>
        <v>0</v>
      </c>
      <c r="ES176" s="34" t="n">
        <f aca="false">V_Pkg*(ES$166+ES$167+ES$168+ES$171)</f>
        <v>0</v>
      </c>
    </row>
    <row r="177" customFormat="false" ht="15" hidden="false" customHeight="false" outlineLevel="0" collapsed="false">
      <c r="A177" s="2" t="s">
        <v>655</v>
      </c>
      <c r="B177" s="6" t="s">
        <v>483</v>
      </c>
      <c r="C177" s="6" t="s">
        <v>212</v>
      </c>
      <c r="E177" s="40" t="n">
        <f aca="false">SUM(F177:ES177)</f>
        <v>0</v>
      </c>
      <c r="F177" s="34" t="n">
        <f aca="false">(V_SegV+V_ComV)*F$164</f>
        <v>0</v>
      </c>
      <c r="G177" s="34" t="n">
        <f aca="false">(V_SegV+V_ComV)*G$164</f>
        <v>0</v>
      </c>
      <c r="H177" s="34" t="n">
        <f aca="false">(V_SegV+V_ComV)*H$164</f>
        <v>0</v>
      </c>
      <c r="I177" s="34" t="n">
        <f aca="false">(V_SegV+V_ComV)*I$164</f>
        <v>0</v>
      </c>
      <c r="J177" s="34" t="n">
        <f aca="false">(V_SegV+V_ComV)*J$164</f>
        <v>0</v>
      </c>
      <c r="K177" s="34" t="n">
        <f aca="false">(V_SegV+V_ComV)*K$164</f>
        <v>0</v>
      </c>
      <c r="L177" s="34" t="n">
        <f aca="false">(V_SegV+V_ComV)*L$164</f>
        <v>0</v>
      </c>
      <c r="M177" s="34" t="n">
        <f aca="false">(V_SegV+V_ComV)*M$164</f>
        <v>0</v>
      </c>
      <c r="N177" s="34" t="n">
        <f aca="false">(V_SegV+V_ComV)*N$164</f>
        <v>0</v>
      </c>
      <c r="O177" s="34" t="n">
        <f aca="false">(V_SegV+V_ComV)*O$164</f>
        <v>0</v>
      </c>
      <c r="P177" s="34" t="n">
        <f aca="false">(V_SegV+V_ComV)*P$164</f>
        <v>0</v>
      </c>
      <c r="Q177" s="34" t="n">
        <f aca="false">(V_SegV+V_ComV)*Q$164</f>
        <v>0</v>
      </c>
      <c r="R177" s="34" t="n">
        <f aca="false">(V_SegV+V_ComV)*R$164</f>
        <v>0</v>
      </c>
      <c r="S177" s="34" t="n">
        <f aca="false">(V_SegV+V_ComV)*S$164</f>
        <v>0</v>
      </c>
      <c r="T177" s="34" t="n">
        <f aca="false">(V_SegV+V_ComV)*T$164</f>
        <v>0</v>
      </c>
      <c r="U177" s="34" t="n">
        <f aca="false">(V_SegV+V_ComV)*U$164</f>
        <v>0</v>
      </c>
      <c r="V177" s="34" t="n">
        <f aca="false">(V_SegV+V_ComV)*V$164</f>
        <v>0</v>
      </c>
      <c r="W177" s="34" t="n">
        <f aca="false">(V_SegV+V_ComV)*W$164</f>
        <v>0</v>
      </c>
      <c r="X177" s="34" t="n">
        <f aca="false">(V_SegV+V_ComV)*X$164</f>
        <v>0</v>
      </c>
      <c r="Y177" s="34" t="n">
        <f aca="false">(V_SegV+V_ComV)*Y$164</f>
        <v>0</v>
      </c>
      <c r="Z177" s="34" t="n">
        <f aca="false">(V_SegV+V_ComV)*Z$164</f>
        <v>0</v>
      </c>
      <c r="AA177" s="34" t="n">
        <f aca="false">(V_SegV+V_ComV)*AA$164</f>
        <v>0</v>
      </c>
      <c r="AB177" s="34" t="n">
        <f aca="false">(V_SegV+V_ComV)*AB$164</f>
        <v>0</v>
      </c>
      <c r="AC177" s="34" t="n">
        <f aca="false">(V_SegV+V_ComV)*AC$164</f>
        <v>0</v>
      </c>
      <c r="AD177" s="34" t="n">
        <f aca="false">(V_SegV+V_ComV)*AD$164</f>
        <v>0</v>
      </c>
      <c r="AE177" s="34" t="n">
        <f aca="false">(V_SegV+V_ComV)*AE$164</f>
        <v>0</v>
      </c>
      <c r="AF177" s="34" t="n">
        <f aca="false">(V_SegV+V_ComV)*AF$164</f>
        <v>0</v>
      </c>
      <c r="AG177" s="34" t="n">
        <f aca="false">(V_SegV+V_ComV)*AG$164</f>
        <v>0</v>
      </c>
      <c r="AH177" s="34" t="n">
        <f aca="false">(V_SegV+V_ComV)*AH$164</f>
        <v>0</v>
      </c>
      <c r="AI177" s="34" t="n">
        <f aca="false">(V_SegV+V_ComV)*AI$164</f>
        <v>0</v>
      </c>
      <c r="AJ177" s="34" t="n">
        <f aca="false">(V_SegV+V_ComV)*AJ$164</f>
        <v>0</v>
      </c>
      <c r="AK177" s="34" t="n">
        <f aca="false">(V_SegV+V_ComV)*AK$164</f>
        <v>0</v>
      </c>
      <c r="AL177" s="34" t="n">
        <f aca="false">(V_SegV+V_ComV)*AL$164</f>
        <v>0</v>
      </c>
      <c r="AM177" s="34" t="n">
        <f aca="false">(V_SegV+V_ComV)*AM$164</f>
        <v>0</v>
      </c>
      <c r="AN177" s="34" t="n">
        <f aca="false">(V_SegV+V_ComV)*AN$164</f>
        <v>0</v>
      </c>
      <c r="AO177" s="34" t="n">
        <f aca="false">(V_SegV+V_ComV)*AO$164</f>
        <v>0</v>
      </c>
      <c r="AP177" s="34" t="n">
        <f aca="false">(V_SegV+V_ComV)*AP$164</f>
        <v>0</v>
      </c>
      <c r="AQ177" s="34" t="n">
        <f aca="false">(V_SegV+V_ComV)*AQ$164</f>
        <v>0</v>
      </c>
      <c r="AR177" s="34" t="n">
        <f aca="false">(V_SegV+V_ComV)*AR$164</f>
        <v>0</v>
      </c>
      <c r="AS177" s="34" t="n">
        <f aca="false">(V_SegV+V_ComV)*AS$164</f>
        <v>0</v>
      </c>
      <c r="AT177" s="34" t="n">
        <f aca="false">(V_SegV+V_ComV)*AT$164</f>
        <v>0</v>
      </c>
      <c r="AU177" s="34" t="n">
        <f aca="false">(V_SegV+V_ComV)*AU$164</f>
        <v>0</v>
      </c>
      <c r="AV177" s="34" t="n">
        <f aca="false">(V_SegV+V_ComV)*AV$164</f>
        <v>0</v>
      </c>
      <c r="AW177" s="34" t="n">
        <f aca="false">(V_SegV+V_ComV)*AW$164</f>
        <v>0</v>
      </c>
      <c r="AX177" s="34" t="n">
        <f aca="false">(V_SegV+V_ComV)*AX$164</f>
        <v>0</v>
      </c>
      <c r="AY177" s="34" t="n">
        <f aca="false">(V_SegV+V_ComV)*AY$164</f>
        <v>0</v>
      </c>
      <c r="AZ177" s="34" t="n">
        <f aca="false">(V_SegV+V_ComV)*AZ$164</f>
        <v>0</v>
      </c>
      <c r="BA177" s="34" t="n">
        <f aca="false">(V_SegV+V_ComV)*BA$164</f>
        <v>0</v>
      </c>
      <c r="BB177" s="34" t="n">
        <f aca="false">(V_SegV+V_ComV)*BB$164</f>
        <v>0</v>
      </c>
      <c r="BC177" s="34" t="n">
        <f aca="false">(V_SegV+V_ComV)*BC$164</f>
        <v>0</v>
      </c>
      <c r="BD177" s="34" t="n">
        <f aca="false">(V_SegV+V_ComV)*BD$164</f>
        <v>0</v>
      </c>
      <c r="BE177" s="34" t="n">
        <f aca="false">(V_SegV+V_ComV)*BE$164</f>
        <v>0</v>
      </c>
      <c r="BF177" s="34" t="n">
        <f aca="false">(V_SegV+V_ComV)*BF$164</f>
        <v>0</v>
      </c>
      <c r="BG177" s="34" t="n">
        <f aca="false">(V_SegV+V_ComV)*BG$164</f>
        <v>0</v>
      </c>
      <c r="BH177" s="34" t="n">
        <f aca="false">(V_SegV+V_ComV)*BH$164</f>
        <v>0</v>
      </c>
      <c r="BI177" s="34" t="n">
        <f aca="false">(V_SegV+V_ComV)*BI$164</f>
        <v>0</v>
      </c>
      <c r="BJ177" s="34" t="n">
        <f aca="false">(V_SegV+V_ComV)*BJ$164</f>
        <v>0</v>
      </c>
      <c r="BK177" s="34" t="n">
        <f aca="false">(V_SegV+V_ComV)*BK$164</f>
        <v>0</v>
      </c>
      <c r="BL177" s="34" t="n">
        <f aca="false">(V_SegV+V_ComV)*BL$164</f>
        <v>0</v>
      </c>
      <c r="BM177" s="34" t="n">
        <f aca="false">(V_SegV+V_ComV)*BM$164</f>
        <v>0</v>
      </c>
      <c r="BN177" s="34" t="n">
        <f aca="false">(V_SegV+V_ComV)*BN$164</f>
        <v>0</v>
      </c>
      <c r="BO177" s="34" t="n">
        <f aca="false">(V_SegV+V_ComV)*BO$164</f>
        <v>0</v>
      </c>
      <c r="BP177" s="34" t="n">
        <f aca="false">(V_SegV+V_ComV)*BP$164</f>
        <v>0</v>
      </c>
      <c r="BQ177" s="34" t="n">
        <f aca="false">(V_SegV+V_ComV)*BQ$164</f>
        <v>0</v>
      </c>
      <c r="BR177" s="34" t="n">
        <f aca="false">(V_SegV+V_ComV)*BR$164</f>
        <v>0</v>
      </c>
      <c r="BS177" s="34" t="n">
        <f aca="false">(V_SegV+V_ComV)*BS$164</f>
        <v>0</v>
      </c>
      <c r="BT177" s="34" t="n">
        <f aca="false">(V_SegV+V_ComV)*BT$164</f>
        <v>0</v>
      </c>
      <c r="BU177" s="34" t="n">
        <f aca="false">(V_SegV+V_ComV)*BU$164</f>
        <v>0</v>
      </c>
      <c r="BV177" s="34" t="n">
        <f aca="false">(V_SegV+V_ComV)*BV$164</f>
        <v>0</v>
      </c>
      <c r="BW177" s="34" t="n">
        <f aca="false">(V_SegV+V_ComV)*BW$164</f>
        <v>0</v>
      </c>
      <c r="BX177" s="34" t="n">
        <f aca="false">(V_SegV+V_ComV)*BX$164</f>
        <v>0</v>
      </c>
      <c r="BY177" s="34" t="n">
        <f aca="false">(V_SegV+V_ComV)*BY$164</f>
        <v>0</v>
      </c>
      <c r="BZ177" s="34" t="n">
        <f aca="false">(V_SegV+V_ComV)*BZ$164</f>
        <v>0</v>
      </c>
      <c r="CA177" s="34" t="n">
        <f aca="false">(V_SegV+V_ComV)*CA$164</f>
        <v>0</v>
      </c>
      <c r="CB177" s="34" t="n">
        <f aca="false">(V_SegV+V_ComV)*CB$164</f>
        <v>0</v>
      </c>
      <c r="CC177" s="34" t="n">
        <f aca="false">(V_SegV+V_ComV)*CC$164</f>
        <v>0</v>
      </c>
      <c r="CD177" s="34" t="n">
        <f aca="false">(V_SegV+V_ComV)*CD$164</f>
        <v>0</v>
      </c>
      <c r="CE177" s="34" t="n">
        <f aca="false">(V_SegV+V_ComV)*CE$164</f>
        <v>0</v>
      </c>
      <c r="CF177" s="34" t="n">
        <f aca="false">(V_SegV+V_ComV)*CF$164</f>
        <v>0</v>
      </c>
      <c r="CG177" s="34" t="n">
        <f aca="false">(V_SegV+V_ComV)*CG$164</f>
        <v>0</v>
      </c>
      <c r="CH177" s="34" t="n">
        <f aca="false">(V_SegV+V_ComV)*CH$164</f>
        <v>0</v>
      </c>
      <c r="CI177" s="34" t="n">
        <f aca="false">(V_SegV+V_ComV)*CI$164</f>
        <v>0</v>
      </c>
      <c r="CJ177" s="34" t="n">
        <f aca="false">(V_SegV+V_ComV)*CJ$164</f>
        <v>0</v>
      </c>
      <c r="CK177" s="34" t="n">
        <f aca="false">(V_SegV+V_ComV)*CK$164</f>
        <v>0</v>
      </c>
      <c r="CL177" s="34" t="n">
        <f aca="false">(V_SegV+V_ComV)*CL$164</f>
        <v>0</v>
      </c>
      <c r="CM177" s="34" t="n">
        <f aca="false">(V_SegV+V_ComV)*CM$164</f>
        <v>0</v>
      </c>
      <c r="CN177" s="34" t="n">
        <f aca="false">(V_SegV+V_ComV)*CN$164</f>
        <v>0</v>
      </c>
      <c r="CO177" s="34" t="n">
        <f aca="false">(V_SegV+V_ComV)*CO$164</f>
        <v>0</v>
      </c>
      <c r="CP177" s="34" t="n">
        <f aca="false">(V_SegV+V_ComV)*CP$164</f>
        <v>0</v>
      </c>
      <c r="CQ177" s="34" t="n">
        <f aca="false">(V_SegV+V_ComV)*CQ$164</f>
        <v>0</v>
      </c>
      <c r="CR177" s="34" t="n">
        <f aca="false">(V_SegV+V_ComV)*CR$164</f>
        <v>0</v>
      </c>
      <c r="CS177" s="34" t="n">
        <f aca="false">(V_SegV+V_ComV)*CS$164</f>
        <v>0</v>
      </c>
      <c r="CT177" s="34" t="n">
        <f aca="false">(V_SegV+V_ComV)*CT$164</f>
        <v>0</v>
      </c>
      <c r="CU177" s="34" t="n">
        <f aca="false">(V_SegV+V_ComV)*CU$164</f>
        <v>0</v>
      </c>
      <c r="CV177" s="34" t="n">
        <f aca="false">(V_SegV+V_ComV)*CV$164</f>
        <v>0</v>
      </c>
      <c r="CW177" s="34" t="n">
        <f aca="false">(V_SegV+V_ComV)*CW$164</f>
        <v>0</v>
      </c>
      <c r="CX177" s="34" t="n">
        <f aca="false">(V_SegV+V_ComV)*CX$164</f>
        <v>0</v>
      </c>
      <c r="CY177" s="34" t="n">
        <f aca="false">(V_SegV+V_ComV)*CY$164</f>
        <v>0</v>
      </c>
      <c r="CZ177" s="34" t="n">
        <f aca="false">(V_SegV+V_ComV)*CZ$164</f>
        <v>0</v>
      </c>
      <c r="DA177" s="34" t="n">
        <f aca="false">(V_SegV+V_ComV)*DA$164</f>
        <v>0</v>
      </c>
      <c r="DB177" s="34" t="n">
        <f aca="false">(V_SegV+V_ComV)*DB$164</f>
        <v>0</v>
      </c>
      <c r="DC177" s="34" t="n">
        <f aca="false">(V_SegV+V_ComV)*DC$164</f>
        <v>0</v>
      </c>
      <c r="DD177" s="34" t="n">
        <f aca="false">(V_SegV+V_ComV)*DD$164</f>
        <v>0</v>
      </c>
      <c r="DE177" s="34" t="n">
        <f aca="false">(V_SegV+V_ComV)*DE$164</f>
        <v>0</v>
      </c>
      <c r="DF177" s="34" t="n">
        <f aca="false">(V_SegV+V_ComV)*DF$164</f>
        <v>0</v>
      </c>
      <c r="DG177" s="34" t="n">
        <f aca="false">(V_SegV+V_ComV)*DG$164</f>
        <v>0</v>
      </c>
      <c r="DH177" s="34" t="n">
        <f aca="false">(V_SegV+V_ComV)*DH$164</f>
        <v>0</v>
      </c>
      <c r="DI177" s="34" t="n">
        <f aca="false">(V_SegV+V_ComV)*DI$164</f>
        <v>0</v>
      </c>
      <c r="DJ177" s="34" t="n">
        <f aca="false">(V_SegV+V_ComV)*DJ$164</f>
        <v>0</v>
      </c>
      <c r="DK177" s="34" t="n">
        <f aca="false">(V_SegV+V_ComV)*DK$164</f>
        <v>0</v>
      </c>
      <c r="DL177" s="34" t="n">
        <f aca="false">(V_SegV+V_ComV)*DL$164</f>
        <v>0</v>
      </c>
      <c r="DM177" s="34" t="n">
        <f aca="false">(V_SegV+V_ComV)*DM$164</f>
        <v>0</v>
      </c>
      <c r="DN177" s="34" t="n">
        <f aca="false">(V_SegV+V_ComV)*DN$164</f>
        <v>0</v>
      </c>
      <c r="DO177" s="34" t="n">
        <f aca="false">(V_SegV+V_ComV)*DO$164</f>
        <v>0</v>
      </c>
      <c r="DP177" s="34" t="n">
        <f aca="false">(V_SegV+V_ComV)*DP$164</f>
        <v>0</v>
      </c>
      <c r="DQ177" s="34" t="n">
        <f aca="false">(V_SegV+V_ComV)*DQ$164</f>
        <v>0</v>
      </c>
      <c r="DR177" s="34" t="n">
        <f aca="false">(V_SegV+V_ComV)*DR$164</f>
        <v>0</v>
      </c>
      <c r="DS177" s="34" t="n">
        <f aca="false">(V_SegV+V_ComV)*DS$164</f>
        <v>0</v>
      </c>
      <c r="DT177" s="34" t="n">
        <f aca="false">(V_SegV+V_ComV)*DT$164</f>
        <v>0</v>
      </c>
      <c r="DU177" s="34" t="n">
        <f aca="false">(V_SegV+V_ComV)*DU$164</f>
        <v>0</v>
      </c>
      <c r="DV177" s="34" t="n">
        <f aca="false">(V_SegV+V_ComV)*DV$164</f>
        <v>0</v>
      </c>
      <c r="DW177" s="34" t="n">
        <f aca="false">(V_SegV+V_ComV)*DW$164</f>
        <v>0</v>
      </c>
      <c r="DX177" s="34" t="n">
        <f aca="false">(V_SegV+V_ComV)*DX$164</f>
        <v>0</v>
      </c>
      <c r="DY177" s="34" t="n">
        <f aca="false">(V_SegV+V_ComV)*DY$164</f>
        <v>0</v>
      </c>
      <c r="DZ177" s="34" t="n">
        <f aca="false">(V_SegV+V_ComV)*DZ$164</f>
        <v>0</v>
      </c>
      <c r="EA177" s="34" t="n">
        <f aca="false">(V_SegV+V_ComV)*EA$164</f>
        <v>0</v>
      </c>
      <c r="EB177" s="34" t="n">
        <f aca="false">(V_SegV+V_ComV)*EB$164</f>
        <v>0</v>
      </c>
      <c r="EC177" s="34" t="n">
        <f aca="false">(V_SegV+V_ComV)*EC$164</f>
        <v>0</v>
      </c>
      <c r="ED177" s="34" t="n">
        <f aca="false">(V_SegV+V_ComV)*ED$164</f>
        <v>0</v>
      </c>
      <c r="EE177" s="34" t="n">
        <f aca="false">(V_SegV+V_ComV)*EE$164</f>
        <v>0</v>
      </c>
      <c r="EF177" s="34" t="n">
        <f aca="false">(V_SegV+V_ComV)*EF$164</f>
        <v>0</v>
      </c>
      <c r="EG177" s="34" t="n">
        <f aca="false">(V_SegV+V_ComV)*EG$164</f>
        <v>0</v>
      </c>
      <c r="EH177" s="34" t="n">
        <f aca="false">(V_SegV+V_ComV)*EH$164</f>
        <v>0</v>
      </c>
      <c r="EI177" s="34" t="n">
        <f aca="false">(V_SegV+V_ComV)*EI$164</f>
        <v>0</v>
      </c>
      <c r="EJ177" s="34" t="n">
        <f aca="false">(V_SegV+V_ComV)*EJ$164</f>
        <v>0</v>
      </c>
      <c r="EK177" s="34" t="n">
        <f aca="false">(V_SegV+V_ComV)*EK$164</f>
        <v>0</v>
      </c>
      <c r="EL177" s="34" t="n">
        <f aca="false">(V_SegV+V_ComV)*EL$164</f>
        <v>0</v>
      </c>
      <c r="EM177" s="34" t="n">
        <f aca="false">(V_SegV+V_ComV)*EM$164</f>
        <v>0</v>
      </c>
      <c r="EN177" s="34" t="n">
        <f aca="false">(V_SegV+V_ComV)*EN$164</f>
        <v>0</v>
      </c>
      <c r="EO177" s="34" t="n">
        <f aca="false">(V_SegV+V_ComV)*EO$164</f>
        <v>0</v>
      </c>
      <c r="EP177" s="34" t="n">
        <f aca="false">(V_SegV+V_ComV)*EP$164</f>
        <v>0</v>
      </c>
      <c r="EQ177" s="34" t="n">
        <f aca="false">(V_SegV+V_ComV)*EQ$164</f>
        <v>0</v>
      </c>
      <c r="ER177" s="34" t="n">
        <f aca="false">(V_SegV+V_ComV)*ER$164</f>
        <v>0</v>
      </c>
      <c r="ES177" s="34" t="n">
        <f aca="false">(V_SegV+V_ComV)*ES$164</f>
        <v>0</v>
      </c>
    </row>
    <row r="178" customFormat="false" ht="15" hidden="false" customHeight="false" outlineLevel="0" collapsed="false">
      <c r="A178" s="2" t="s">
        <v>656</v>
      </c>
      <c r="B178" s="6" t="s">
        <v>377</v>
      </c>
      <c r="C178" s="6" t="s">
        <v>212</v>
      </c>
      <c r="E178" s="40" t="n">
        <f aca="false">SUM(F178:ES178)</f>
        <v>0</v>
      </c>
      <c r="F178" s="34" t="n">
        <f aca="false">V_Trib*F$164</f>
        <v>0</v>
      </c>
      <c r="G178" s="34" t="n">
        <f aca="false">V_Trib*G$164</f>
        <v>0</v>
      </c>
      <c r="H178" s="34" t="n">
        <f aca="false">V_Trib*H$164</f>
        <v>0</v>
      </c>
      <c r="I178" s="34" t="n">
        <f aca="false">V_Trib*I$164</f>
        <v>0</v>
      </c>
      <c r="J178" s="34" t="n">
        <f aca="false">V_Trib*J$164</f>
        <v>0</v>
      </c>
      <c r="K178" s="34" t="n">
        <f aca="false">V_Trib*K$164</f>
        <v>0</v>
      </c>
      <c r="L178" s="34" t="n">
        <f aca="false">V_Trib*L$164</f>
        <v>0</v>
      </c>
      <c r="M178" s="34" t="n">
        <f aca="false">V_Trib*M$164</f>
        <v>0</v>
      </c>
      <c r="N178" s="34" t="n">
        <f aca="false">V_Trib*N$164</f>
        <v>0</v>
      </c>
      <c r="O178" s="34" t="n">
        <f aca="false">V_Trib*O$164</f>
        <v>0</v>
      </c>
      <c r="P178" s="34" t="n">
        <f aca="false">V_Trib*P$164</f>
        <v>0</v>
      </c>
      <c r="Q178" s="34" t="n">
        <f aca="false">V_Trib*Q$164</f>
        <v>0</v>
      </c>
      <c r="R178" s="34" t="n">
        <f aca="false">V_Trib*R$164</f>
        <v>0</v>
      </c>
      <c r="S178" s="34" t="n">
        <f aca="false">V_Trib*S$164</f>
        <v>0</v>
      </c>
      <c r="T178" s="34" t="n">
        <f aca="false">V_Trib*T$164</f>
        <v>0</v>
      </c>
      <c r="U178" s="34" t="n">
        <f aca="false">V_Trib*U$164</f>
        <v>0</v>
      </c>
      <c r="V178" s="34" t="n">
        <f aca="false">V_Trib*V$164</f>
        <v>0</v>
      </c>
      <c r="W178" s="34" t="n">
        <f aca="false">V_Trib*W$164</f>
        <v>0</v>
      </c>
      <c r="X178" s="34" t="n">
        <f aca="false">V_Trib*X$164</f>
        <v>0</v>
      </c>
      <c r="Y178" s="34" t="n">
        <f aca="false">V_Trib*Y$164</f>
        <v>0</v>
      </c>
      <c r="Z178" s="34" t="n">
        <f aca="false">V_Trib*Z$164</f>
        <v>0</v>
      </c>
      <c r="AA178" s="34" t="n">
        <f aca="false">V_Trib*AA$164</f>
        <v>0</v>
      </c>
      <c r="AB178" s="34" t="n">
        <f aca="false">V_Trib*AB$164</f>
        <v>0</v>
      </c>
      <c r="AC178" s="34" t="n">
        <f aca="false">V_Trib*AC$164</f>
        <v>0</v>
      </c>
      <c r="AD178" s="34" t="n">
        <f aca="false">V_Trib*AD$164</f>
        <v>0</v>
      </c>
      <c r="AE178" s="34" t="n">
        <f aca="false">V_Trib*AE$164</f>
        <v>0</v>
      </c>
      <c r="AF178" s="34" t="n">
        <f aca="false">V_Trib*AF$164</f>
        <v>0</v>
      </c>
      <c r="AG178" s="34" t="n">
        <f aca="false">V_Trib*AG$164</f>
        <v>0</v>
      </c>
      <c r="AH178" s="34" t="n">
        <f aca="false">V_Trib*AH$164</f>
        <v>0</v>
      </c>
      <c r="AI178" s="34" t="n">
        <f aca="false">V_Trib*AI$164</f>
        <v>0</v>
      </c>
      <c r="AJ178" s="34" t="n">
        <f aca="false">V_Trib*AJ$164</f>
        <v>0</v>
      </c>
      <c r="AK178" s="34" t="n">
        <f aca="false">V_Trib*AK$164</f>
        <v>0</v>
      </c>
      <c r="AL178" s="34" t="n">
        <f aca="false">V_Trib*AL$164</f>
        <v>0</v>
      </c>
      <c r="AM178" s="34" t="n">
        <f aca="false">V_Trib*AM$164</f>
        <v>0</v>
      </c>
      <c r="AN178" s="34" t="n">
        <f aca="false">V_Trib*AN$164</f>
        <v>0</v>
      </c>
      <c r="AO178" s="34" t="n">
        <f aca="false">V_Trib*AO$164</f>
        <v>0</v>
      </c>
      <c r="AP178" s="34" t="n">
        <f aca="false">V_Trib*AP$164</f>
        <v>0</v>
      </c>
      <c r="AQ178" s="34" t="n">
        <f aca="false">V_Trib*AQ$164</f>
        <v>0</v>
      </c>
      <c r="AR178" s="34" t="n">
        <f aca="false">V_Trib*AR$164</f>
        <v>0</v>
      </c>
      <c r="AS178" s="34" t="n">
        <f aca="false">V_Trib*AS$164</f>
        <v>0</v>
      </c>
      <c r="AT178" s="34" t="n">
        <f aca="false">V_Trib*AT$164</f>
        <v>0</v>
      </c>
      <c r="AU178" s="34" t="n">
        <f aca="false">V_Trib*AU$164</f>
        <v>0</v>
      </c>
      <c r="AV178" s="34" t="n">
        <f aca="false">V_Trib*AV$164</f>
        <v>0</v>
      </c>
      <c r="AW178" s="34" t="n">
        <f aca="false">V_Trib*AW$164</f>
        <v>0</v>
      </c>
      <c r="AX178" s="34" t="n">
        <f aca="false">V_Trib*AX$164</f>
        <v>0</v>
      </c>
      <c r="AY178" s="34" t="n">
        <f aca="false">V_Trib*AY$164</f>
        <v>0</v>
      </c>
      <c r="AZ178" s="34" t="n">
        <f aca="false">V_Trib*AZ$164</f>
        <v>0</v>
      </c>
      <c r="BA178" s="34" t="n">
        <f aca="false">V_Trib*BA$164</f>
        <v>0</v>
      </c>
      <c r="BB178" s="34" t="n">
        <f aca="false">V_Trib*BB$164</f>
        <v>0</v>
      </c>
      <c r="BC178" s="34" t="n">
        <f aca="false">V_Trib*BC$164</f>
        <v>0</v>
      </c>
      <c r="BD178" s="34" t="n">
        <f aca="false">V_Trib*BD$164</f>
        <v>0</v>
      </c>
      <c r="BE178" s="34" t="n">
        <f aca="false">V_Trib*BE$164</f>
        <v>0</v>
      </c>
      <c r="BF178" s="34" t="n">
        <f aca="false">V_Trib*BF$164</f>
        <v>0</v>
      </c>
      <c r="BG178" s="34" t="n">
        <f aca="false">V_Trib*BG$164</f>
        <v>0</v>
      </c>
      <c r="BH178" s="34" t="n">
        <f aca="false">V_Trib*BH$164</f>
        <v>0</v>
      </c>
      <c r="BI178" s="34" t="n">
        <f aca="false">V_Trib*BI$164</f>
        <v>0</v>
      </c>
      <c r="BJ178" s="34" t="n">
        <f aca="false">V_Trib*BJ$164</f>
        <v>0</v>
      </c>
      <c r="BK178" s="34" t="n">
        <f aca="false">V_Trib*BK$164</f>
        <v>0</v>
      </c>
      <c r="BL178" s="34" t="n">
        <f aca="false">V_Trib*BL$164</f>
        <v>0</v>
      </c>
      <c r="BM178" s="34" t="n">
        <f aca="false">V_Trib*BM$164</f>
        <v>0</v>
      </c>
      <c r="BN178" s="34" t="n">
        <f aca="false">V_Trib*BN$164</f>
        <v>0</v>
      </c>
      <c r="BO178" s="34" t="n">
        <f aca="false">V_Trib*BO$164</f>
        <v>0</v>
      </c>
      <c r="BP178" s="34" t="n">
        <f aca="false">V_Trib*BP$164</f>
        <v>0</v>
      </c>
      <c r="BQ178" s="34" t="n">
        <f aca="false">V_Trib*BQ$164</f>
        <v>0</v>
      </c>
      <c r="BR178" s="34" t="n">
        <f aca="false">V_Trib*BR$164</f>
        <v>0</v>
      </c>
      <c r="BS178" s="34" t="n">
        <f aca="false">V_Trib*BS$164</f>
        <v>0</v>
      </c>
      <c r="BT178" s="34" t="n">
        <f aca="false">V_Trib*BT$164</f>
        <v>0</v>
      </c>
      <c r="BU178" s="34" t="n">
        <f aca="false">V_Trib*BU$164</f>
        <v>0</v>
      </c>
      <c r="BV178" s="34" t="n">
        <f aca="false">V_Trib*BV$164</f>
        <v>0</v>
      </c>
      <c r="BW178" s="34" t="n">
        <f aca="false">V_Trib*BW$164</f>
        <v>0</v>
      </c>
      <c r="BX178" s="34" t="n">
        <f aca="false">V_Trib*BX$164</f>
        <v>0</v>
      </c>
      <c r="BY178" s="34" t="n">
        <f aca="false">V_Trib*BY$164</f>
        <v>0</v>
      </c>
      <c r="BZ178" s="34" t="n">
        <f aca="false">V_Trib*BZ$164</f>
        <v>0</v>
      </c>
      <c r="CA178" s="34" t="n">
        <f aca="false">V_Trib*CA$164</f>
        <v>0</v>
      </c>
      <c r="CB178" s="34" t="n">
        <f aca="false">V_Trib*CB$164</f>
        <v>0</v>
      </c>
      <c r="CC178" s="34" t="n">
        <f aca="false">V_Trib*CC$164</f>
        <v>0</v>
      </c>
      <c r="CD178" s="34" t="n">
        <f aca="false">V_Trib*CD$164</f>
        <v>0</v>
      </c>
      <c r="CE178" s="34" t="n">
        <f aca="false">V_Trib*CE$164</f>
        <v>0</v>
      </c>
      <c r="CF178" s="34" t="n">
        <f aca="false">V_Trib*CF$164</f>
        <v>0</v>
      </c>
      <c r="CG178" s="34" t="n">
        <f aca="false">V_Trib*CG$164</f>
        <v>0</v>
      </c>
      <c r="CH178" s="34" t="n">
        <f aca="false">V_Trib*CH$164</f>
        <v>0</v>
      </c>
      <c r="CI178" s="34" t="n">
        <f aca="false">V_Trib*CI$164</f>
        <v>0</v>
      </c>
      <c r="CJ178" s="34" t="n">
        <f aca="false">V_Trib*CJ$164</f>
        <v>0</v>
      </c>
      <c r="CK178" s="34" t="n">
        <f aca="false">V_Trib*CK$164</f>
        <v>0</v>
      </c>
      <c r="CL178" s="34" t="n">
        <f aca="false">V_Trib*CL$164</f>
        <v>0</v>
      </c>
      <c r="CM178" s="34" t="n">
        <f aca="false">V_Trib*CM$164</f>
        <v>0</v>
      </c>
      <c r="CN178" s="34" t="n">
        <f aca="false">V_Trib*CN$164</f>
        <v>0</v>
      </c>
      <c r="CO178" s="34" t="n">
        <f aca="false">V_Trib*CO$164</f>
        <v>0</v>
      </c>
      <c r="CP178" s="34" t="n">
        <f aca="false">V_Trib*CP$164</f>
        <v>0</v>
      </c>
      <c r="CQ178" s="34" t="n">
        <f aca="false">V_Trib*CQ$164</f>
        <v>0</v>
      </c>
      <c r="CR178" s="34" t="n">
        <f aca="false">V_Trib*CR$164</f>
        <v>0</v>
      </c>
      <c r="CS178" s="34" t="n">
        <f aca="false">V_Trib*CS$164</f>
        <v>0</v>
      </c>
      <c r="CT178" s="34" t="n">
        <f aca="false">V_Trib*CT$164</f>
        <v>0</v>
      </c>
      <c r="CU178" s="34" t="n">
        <f aca="false">V_Trib*CU$164</f>
        <v>0</v>
      </c>
      <c r="CV178" s="34" t="n">
        <f aca="false">V_Trib*CV$164</f>
        <v>0</v>
      </c>
      <c r="CW178" s="34" t="n">
        <f aca="false">V_Trib*CW$164</f>
        <v>0</v>
      </c>
      <c r="CX178" s="34" t="n">
        <f aca="false">V_Trib*CX$164</f>
        <v>0</v>
      </c>
      <c r="CY178" s="34" t="n">
        <f aca="false">V_Trib*CY$164</f>
        <v>0</v>
      </c>
      <c r="CZ178" s="34" t="n">
        <f aca="false">V_Trib*CZ$164</f>
        <v>0</v>
      </c>
      <c r="DA178" s="34" t="n">
        <f aca="false">V_Trib*DA$164</f>
        <v>0</v>
      </c>
      <c r="DB178" s="34" t="n">
        <f aca="false">V_Trib*DB$164</f>
        <v>0</v>
      </c>
      <c r="DC178" s="34" t="n">
        <f aca="false">V_Trib*DC$164</f>
        <v>0</v>
      </c>
      <c r="DD178" s="34" t="n">
        <f aca="false">V_Trib*DD$164</f>
        <v>0</v>
      </c>
      <c r="DE178" s="34" t="n">
        <f aca="false">V_Trib*DE$164</f>
        <v>0</v>
      </c>
      <c r="DF178" s="34" t="n">
        <f aca="false">V_Trib*DF$164</f>
        <v>0</v>
      </c>
      <c r="DG178" s="34" t="n">
        <f aca="false">V_Trib*DG$164</f>
        <v>0</v>
      </c>
      <c r="DH178" s="34" t="n">
        <f aca="false">V_Trib*DH$164</f>
        <v>0</v>
      </c>
      <c r="DI178" s="34" t="n">
        <f aca="false">V_Trib*DI$164</f>
        <v>0</v>
      </c>
      <c r="DJ178" s="34" t="n">
        <f aca="false">V_Trib*DJ$164</f>
        <v>0</v>
      </c>
      <c r="DK178" s="34" t="n">
        <f aca="false">V_Trib*DK$164</f>
        <v>0</v>
      </c>
      <c r="DL178" s="34" t="n">
        <f aca="false">V_Trib*DL$164</f>
        <v>0</v>
      </c>
      <c r="DM178" s="34" t="n">
        <f aca="false">V_Trib*DM$164</f>
        <v>0</v>
      </c>
      <c r="DN178" s="34" t="n">
        <f aca="false">V_Trib*DN$164</f>
        <v>0</v>
      </c>
      <c r="DO178" s="34" t="n">
        <f aca="false">V_Trib*DO$164</f>
        <v>0</v>
      </c>
      <c r="DP178" s="34" t="n">
        <f aca="false">V_Trib*DP$164</f>
        <v>0</v>
      </c>
      <c r="DQ178" s="34" t="n">
        <f aca="false">V_Trib*DQ$164</f>
        <v>0</v>
      </c>
      <c r="DR178" s="34" t="n">
        <f aca="false">V_Trib*DR$164</f>
        <v>0</v>
      </c>
      <c r="DS178" s="34" t="n">
        <f aca="false">V_Trib*DS$164</f>
        <v>0</v>
      </c>
      <c r="DT178" s="34" t="n">
        <f aca="false">V_Trib*DT$164</f>
        <v>0</v>
      </c>
      <c r="DU178" s="34" t="n">
        <f aca="false">V_Trib*DU$164</f>
        <v>0</v>
      </c>
      <c r="DV178" s="34" t="n">
        <f aca="false">V_Trib*DV$164</f>
        <v>0</v>
      </c>
      <c r="DW178" s="34" t="n">
        <f aca="false">V_Trib*DW$164</f>
        <v>0</v>
      </c>
      <c r="DX178" s="34" t="n">
        <f aca="false">V_Trib*DX$164</f>
        <v>0</v>
      </c>
      <c r="DY178" s="34" t="n">
        <f aca="false">V_Trib*DY$164</f>
        <v>0</v>
      </c>
      <c r="DZ178" s="34" t="n">
        <f aca="false">V_Trib*DZ$164</f>
        <v>0</v>
      </c>
      <c r="EA178" s="34" t="n">
        <f aca="false">V_Trib*EA$164</f>
        <v>0</v>
      </c>
      <c r="EB178" s="34" t="n">
        <f aca="false">V_Trib*EB$164</f>
        <v>0</v>
      </c>
      <c r="EC178" s="34" t="n">
        <f aca="false">V_Trib*EC$164</f>
        <v>0</v>
      </c>
      <c r="ED178" s="34" t="n">
        <f aca="false">V_Trib*ED$164</f>
        <v>0</v>
      </c>
      <c r="EE178" s="34" t="n">
        <f aca="false">V_Trib*EE$164</f>
        <v>0</v>
      </c>
      <c r="EF178" s="34" t="n">
        <f aca="false">V_Trib*EF$164</f>
        <v>0</v>
      </c>
      <c r="EG178" s="34" t="n">
        <f aca="false">V_Trib*EG$164</f>
        <v>0</v>
      </c>
      <c r="EH178" s="34" t="n">
        <f aca="false">V_Trib*EH$164</f>
        <v>0</v>
      </c>
      <c r="EI178" s="34" t="n">
        <f aca="false">V_Trib*EI$164</f>
        <v>0</v>
      </c>
      <c r="EJ178" s="34" t="n">
        <f aca="false">V_Trib*EJ$164</f>
        <v>0</v>
      </c>
      <c r="EK178" s="34" t="n">
        <f aca="false">V_Trib*EK$164</f>
        <v>0</v>
      </c>
      <c r="EL178" s="34" t="n">
        <f aca="false">V_Trib*EL$164</f>
        <v>0</v>
      </c>
      <c r="EM178" s="34" t="n">
        <f aca="false">V_Trib*EM$164</f>
        <v>0</v>
      </c>
      <c r="EN178" s="34" t="n">
        <f aca="false">V_Trib*EN$164</f>
        <v>0</v>
      </c>
      <c r="EO178" s="34" t="n">
        <f aca="false">V_Trib*EO$164</f>
        <v>0</v>
      </c>
      <c r="EP178" s="34" t="n">
        <f aca="false">V_Trib*EP$164</f>
        <v>0</v>
      </c>
      <c r="EQ178" s="34" t="n">
        <f aca="false">V_Trib*EQ$164</f>
        <v>0</v>
      </c>
      <c r="ER178" s="34" t="n">
        <f aca="false">V_Trib*ER$164</f>
        <v>0</v>
      </c>
      <c r="ES178" s="34" t="n">
        <f aca="false">V_Trib*ES$164</f>
        <v>0</v>
      </c>
    </row>
    <row r="179" customFormat="false" ht="15" hidden="false" customHeight="false" outlineLevel="0" collapsed="false">
      <c r="A179" s="2" t="s">
        <v>657</v>
      </c>
      <c r="B179" s="6" t="s">
        <v>486</v>
      </c>
      <c r="C179" s="6" t="s">
        <v>212</v>
      </c>
      <c r="E179" s="40" t="n">
        <f aca="false">SUM(F179:ES179)</f>
        <v>0</v>
      </c>
      <c r="F179" s="34" t="n">
        <f aca="false">SUMPRODUCT((FC_Clase="Producción")*FC_V*((FC_Mon="PYG")*F$138+(FC_Mon&lt;&gt;"PYG"))*(1+FC_g)^(F$136-1)*((FC_Desde=0)*(F$135+F$134)+(FC_Desde&gt;=1)*(F$133&gt;=FC_Desde)*F$134))</f>
        <v>0</v>
      </c>
      <c r="G179" s="34" t="n">
        <f aca="false">SUMPRODUCT((FC_Clase="Producción")*FC_V*((FC_Mon="PYG")*G$138+(FC_Mon&lt;&gt;"PYG"))*(1+FC_g)^(G$136-1)*((FC_Desde=0)*(G$135+G$134)+(FC_Desde&gt;=1)*(G$133&gt;=FC_Desde)*G$134))</f>
        <v>0</v>
      </c>
      <c r="H179" s="34" t="n">
        <f aca="false">SUMPRODUCT((FC_Clase="Producción")*FC_V*((FC_Mon="PYG")*H$138+(FC_Mon&lt;&gt;"PYG"))*(1+FC_g)^(H$136-1)*((FC_Desde=0)*(H$135+H$134)+(FC_Desde&gt;=1)*(H$133&gt;=FC_Desde)*H$134))</f>
        <v>0</v>
      </c>
      <c r="I179" s="34" t="n">
        <f aca="false">SUMPRODUCT((FC_Clase="Producción")*FC_V*((FC_Mon="PYG")*I$138+(FC_Mon&lt;&gt;"PYG"))*(1+FC_g)^(I$136-1)*((FC_Desde=0)*(I$135+I$134)+(FC_Desde&gt;=1)*(I$133&gt;=FC_Desde)*I$134))</f>
        <v>0</v>
      </c>
      <c r="J179" s="34" t="n">
        <f aca="false">SUMPRODUCT((FC_Clase="Producción")*FC_V*((FC_Mon="PYG")*J$138+(FC_Mon&lt;&gt;"PYG"))*(1+FC_g)^(J$136-1)*((FC_Desde=0)*(J$135+J$134)+(FC_Desde&gt;=1)*(J$133&gt;=FC_Desde)*J$134))</f>
        <v>0</v>
      </c>
      <c r="K179" s="34" t="n">
        <f aca="false">SUMPRODUCT((FC_Clase="Producción")*FC_V*((FC_Mon="PYG")*K$138+(FC_Mon&lt;&gt;"PYG"))*(1+FC_g)^(K$136-1)*((FC_Desde=0)*(K$135+K$134)+(FC_Desde&gt;=1)*(K$133&gt;=FC_Desde)*K$134))</f>
        <v>0</v>
      </c>
      <c r="L179" s="34" t="n">
        <f aca="false">SUMPRODUCT((FC_Clase="Producción")*FC_V*((FC_Mon="PYG")*L$138+(FC_Mon&lt;&gt;"PYG"))*(1+FC_g)^(L$136-1)*((FC_Desde=0)*(L$135+L$134)+(FC_Desde&gt;=1)*(L$133&gt;=FC_Desde)*L$134))</f>
        <v>0</v>
      </c>
      <c r="M179" s="34" t="n">
        <f aca="false">SUMPRODUCT((FC_Clase="Producción")*FC_V*((FC_Mon="PYG")*M$138+(FC_Mon&lt;&gt;"PYG"))*(1+FC_g)^(M$136-1)*((FC_Desde=0)*(M$135+M$134)+(FC_Desde&gt;=1)*(M$133&gt;=FC_Desde)*M$134))</f>
        <v>0</v>
      </c>
      <c r="N179" s="34" t="n">
        <f aca="false">SUMPRODUCT((FC_Clase="Producción")*FC_V*((FC_Mon="PYG")*N$138+(FC_Mon&lt;&gt;"PYG"))*(1+FC_g)^(N$136-1)*((FC_Desde=0)*(N$135+N$134)+(FC_Desde&gt;=1)*(N$133&gt;=FC_Desde)*N$134))</f>
        <v>0</v>
      </c>
      <c r="O179" s="34" t="n">
        <f aca="false">SUMPRODUCT((FC_Clase="Producción")*FC_V*((FC_Mon="PYG")*O$138+(FC_Mon&lt;&gt;"PYG"))*(1+FC_g)^(O$136-1)*((FC_Desde=0)*(O$135+O$134)+(FC_Desde&gt;=1)*(O$133&gt;=FC_Desde)*O$134))</f>
        <v>0</v>
      </c>
      <c r="P179" s="34" t="n">
        <f aca="false">SUMPRODUCT((FC_Clase="Producción")*FC_V*((FC_Mon="PYG")*P$138+(FC_Mon&lt;&gt;"PYG"))*(1+FC_g)^(P$136-1)*((FC_Desde=0)*(P$135+P$134)+(FC_Desde&gt;=1)*(P$133&gt;=FC_Desde)*P$134))</f>
        <v>0</v>
      </c>
      <c r="Q179" s="34" t="n">
        <f aca="false">SUMPRODUCT((FC_Clase="Producción")*FC_V*((FC_Mon="PYG")*Q$138+(FC_Mon&lt;&gt;"PYG"))*(1+FC_g)^(Q$136-1)*((FC_Desde=0)*(Q$135+Q$134)+(FC_Desde&gt;=1)*(Q$133&gt;=FC_Desde)*Q$134))</f>
        <v>0</v>
      </c>
      <c r="R179" s="34" t="n">
        <f aca="false">SUMPRODUCT((FC_Clase="Producción")*FC_V*((FC_Mon="PYG")*R$138+(FC_Mon&lt;&gt;"PYG"))*(1+FC_g)^(R$136-1)*((FC_Desde=0)*(R$135+R$134)+(FC_Desde&gt;=1)*(R$133&gt;=FC_Desde)*R$134))</f>
        <v>0</v>
      </c>
      <c r="S179" s="34" t="n">
        <f aca="false">SUMPRODUCT((FC_Clase="Producción")*FC_V*((FC_Mon="PYG")*S$138+(FC_Mon&lt;&gt;"PYG"))*(1+FC_g)^(S$136-1)*((FC_Desde=0)*(S$135+S$134)+(FC_Desde&gt;=1)*(S$133&gt;=FC_Desde)*S$134))</f>
        <v>0</v>
      </c>
      <c r="T179" s="34" t="n">
        <f aca="false">SUMPRODUCT((FC_Clase="Producción")*FC_V*((FC_Mon="PYG")*T$138+(FC_Mon&lt;&gt;"PYG"))*(1+FC_g)^(T$136-1)*((FC_Desde=0)*(T$135+T$134)+(FC_Desde&gt;=1)*(T$133&gt;=FC_Desde)*T$134))</f>
        <v>0</v>
      </c>
      <c r="U179" s="34" t="n">
        <f aca="false">SUMPRODUCT((FC_Clase="Producción")*FC_V*((FC_Mon="PYG")*U$138+(FC_Mon&lt;&gt;"PYG"))*(1+FC_g)^(U$136-1)*((FC_Desde=0)*(U$135+U$134)+(FC_Desde&gt;=1)*(U$133&gt;=FC_Desde)*U$134))</f>
        <v>0</v>
      </c>
      <c r="V179" s="34" t="n">
        <f aca="false">SUMPRODUCT((FC_Clase="Producción")*FC_V*((FC_Mon="PYG")*V$138+(FC_Mon&lt;&gt;"PYG"))*(1+FC_g)^(V$136-1)*((FC_Desde=0)*(V$135+V$134)+(FC_Desde&gt;=1)*(V$133&gt;=FC_Desde)*V$134))</f>
        <v>0</v>
      </c>
      <c r="W179" s="34" t="n">
        <f aca="false">SUMPRODUCT((FC_Clase="Producción")*FC_V*((FC_Mon="PYG")*W$138+(FC_Mon&lt;&gt;"PYG"))*(1+FC_g)^(W$136-1)*((FC_Desde=0)*(W$135+W$134)+(FC_Desde&gt;=1)*(W$133&gt;=FC_Desde)*W$134))</f>
        <v>0</v>
      </c>
      <c r="X179" s="34" t="n">
        <f aca="false">SUMPRODUCT((FC_Clase="Producción")*FC_V*((FC_Mon="PYG")*X$138+(FC_Mon&lt;&gt;"PYG"))*(1+FC_g)^(X$136-1)*((FC_Desde=0)*(X$135+X$134)+(FC_Desde&gt;=1)*(X$133&gt;=FC_Desde)*X$134))</f>
        <v>0</v>
      </c>
      <c r="Y179" s="34" t="n">
        <f aca="false">SUMPRODUCT((FC_Clase="Producción")*FC_V*((FC_Mon="PYG")*Y$138+(FC_Mon&lt;&gt;"PYG"))*(1+FC_g)^(Y$136-1)*((FC_Desde=0)*(Y$135+Y$134)+(FC_Desde&gt;=1)*(Y$133&gt;=FC_Desde)*Y$134))</f>
        <v>0</v>
      </c>
      <c r="Z179" s="34" t="n">
        <f aca="false">SUMPRODUCT((FC_Clase="Producción")*FC_V*((FC_Mon="PYG")*Z$138+(FC_Mon&lt;&gt;"PYG"))*(1+FC_g)^(Z$136-1)*((FC_Desde=0)*(Z$135+Z$134)+(FC_Desde&gt;=1)*(Z$133&gt;=FC_Desde)*Z$134))</f>
        <v>0</v>
      </c>
      <c r="AA179" s="34" t="n">
        <f aca="false">SUMPRODUCT((FC_Clase="Producción")*FC_V*((FC_Mon="PYG")*AA$138+(FC_Mon&lt;&gt;"PYG"))*(1+FC_g)^(AA$136-1)*((FC_Desde=0)*(AA$135+AA$134)+(FC_Desde&gt;=1)*(AA$133&gt;=FC_Desde)*AA$134))</f>
        <v>0</v>
      </c>
      <c r="AB179" s="34" t="n">
        <f aca="false">SUMPRODUCT((FC_Clase="Producción")*FC_V*((FC_Mon="PYG")*AB$138+(FC_Mon&lt;&gt;"PYG"))*(1+FC_g)^(AB$136-1)*((FC_Desde=0)*(AB$135+AB$134)+(FC_Desde&gt;=1)*(AB$133&gt;=FC_Desde)*AB$134))</f>
        <v>0</v>
      </c>
      <c r="AC179" s="34" t="n">
        <f aca="false">SUMPRODUCT((FC_Clase="Producción")*FC_V*((FC_Mon="PYG")*AC$138+(FC_Mon&lt;&gt;"PYG"))*(1+FC_g)^(AC$136-1)*((FC_Desde=0)*(AC$135+AC$134)+(FC_Desde&gt;=1)*(AC$133&gt;=FC_Desde)*AC$134))</f>
        <v>0</v>
      </c>
      <c r="AD179" s="34" t="n">
        <f aca="false">SUMPRODUCT((FC_Clase="Producción")*FC_V*((FC_Mon="PYG")*AD$138+(FC_Mon&lt;&gt;"PYG"))*(1+FC_g)^(AD$136-1)*((FC_Desde=0)*(AD$135+AD$134)+(FC_Desde&gt;=1)*(AD$133&gt;=FC_Desde)*AD$134))</f>
        <v>0</v>
      </c>
      <c r="AE179" s="34" t="n">
        <f aca="false">SUMPRODUCT((FC_Clase="Producción")*FC_V*((FC_Mon="PYG")*AE$138+(FC_Mon&lt;&gt;"PYG"))*(1+FC_g)^(AE$136-1)*((FC_Desde=0)*(AE$135+AE$134)+(FC_Desde&gt;=1)*(AE$133&gt;=FC_Desde)*AE$134))</f>
        <v>0</v>
      </c>
      <c r="AF179" s="34" t="n">
        <f aca="false">SUMPRODUCT((FC_Clase="Producción")*FC_V*((FC_Mon="PYG")*AF$138+(FC_Mon&lt;&gt;"PYG"))*(1+FC_g)^(AF$136-1)*((FC_Desde=0)*(AF$135+AF$134)+(FC_Desde&gt;=1)*(AF$133&gt;=FC_Desde)*AF$134))</f>
        <v>0</v>
      </c>
      <c r="AG179" s="34" t="n">
        <f aca="false">SUMPRODUCT((FC_Clase="Producción")*FC_V*((FC_Mon="PYG")*AG$138+(FC_Mon&lt;&gt;"PYG"))*(1+FC_g)^(AG$136-1)*((FC_Desde=0)*(AG$135+AG$134)+(FC_Desde&gt;=1)*(AG$133&gt;=FC_Desde)*AG$134))</f>
        <v>0</v>
      </c>
      <c r="AH179" s="34" t="n">
        <f aca="false">SUMPRODUCT((FC_Clase="Producción")*FC_V*((FC_Mon="PYG")*AH$138+(FC_Mon&lt;&gt;"PYG"))*(1+FC_g)^(AH$136-1)*((FC_Desde=0)*(AH$135+AH$134)+(FC_Desde&gt;=1)*(AH$133&gt;=FC_Desde)*AH$134))</f>
        <v>0</v>
      </c>
      <c r="AI179" s="34" t="n">
        <f aca="false">SUMPRODUCT((FC_Clase="Producción")*FC_V*((FC_Mon="PYG")*AI$138+(FC_Mon&lt;&gt;"PYG"))*(1+FC_g)^(AI$136-1)*((FC_Desde=0)*(AI$135+AI$134)+(FC_Desde&gt;=1)*(AI$133&gt;=FC_Desde)*AI$134))</f>
        <v>0</v>
      </c>
      <c r="AJ179" s="34" t="n">
        <f aca="false">SUMPRODUCT((FC_Clase="Producción")*FC_V*((FC_Mon="PYG")*AJ$138+(FC_Mon&lt;&gt;"PYG"))*(1+FC_g)^(AJ$136-1)*((FC_Desde=0)*(AJ$135+AJ$134)+(FC_Desde&gt;=1)*(AJ$133&gt;=FC_Desde)*AJ$134))</f>
        <v>0</v>
      </c>
      <c r="AK179" s="34" t="n">
        <f aca="false">SUMPRODUCT((FC_Clase="Producción")*FC_V*((FC_Mon="PYG")*AK$138+(FC_Mon&lt;&gt;"PYG"))*(1+FC_g)^(AK$136-1)*((FC_Desde=0)*(AK$135+AK$134)+(FC_Desde&gt;=1)*(AK$133&gt;=FC_Desde)*AK$134))</f>
        <v>0</v>
      </c>
      <c r="AL179" s="34" t="n">
        <f aca="false">SUMPRODUCT((FC_Clase="Producción")*FC_V*((FC_Mon="PYG")*AL$138+(FC_Mon&lt;&gt;"PYG"))*(1+FC_g)^(AL$136-1)*((FC_Desde=0)*(AL$135+AL$134)+(FC_Desde&gt;=1)*(AL$133&gt;=FC_Desde)*AL$134))</f>
        <v>0</v>
      </c>
      <c r="AM179" s="34" t="n">
        <f aca="false">SUMPRODUCT((FC_Clase="Producción")*FC_V*((FC_Mon="PYG")*AM$138+(FC_Mon&lt;&gt;"PYG"))*(1+FC_g)^(AM$136-1)*((FC_Desde=0)*(AM$135+AM$134)+(FC_Desde&gt;=1)*(AM$133&gt;=FC_Desde)*AM$134))</f>
        <v>0</v>
      </c>
      <c r="AN179" s="34" t="n">
        <f aca="false">SUMPRODUCT((FC_Clase="Producción")*FC_V*((FC_Mon="PYG")*AN$138+(FC_Mon&lt;&gt;"PYG"))*(1+FC_g)^(AN$136-1)*((FC_Desde=0)*(AN$135+AN$134)+(FC_Desde&gt;=1)*(AN$133&gt;=FC_Desde)*AN$134))</f>
        <v>0</v>
      </c>
      <c r="AO179" s="34" t="n">
        <f aca="false">SUMPRODUCT((FC_Clase="Producción")*FC_V*((FC_Mon="PYG")*AO$138+(FC_Mon&lt;&gt;"PYG"))*(1+FC_g)^(AO$136-1)*((FC_Desde=0)*(AO$135+AO$134)+(FC_Desde&gt;=1)*(AO$133&gt;=FC_Desde)*AO$134))</f>
        <v>0</v>
      </c>
      <c r="AP179" s="34" t="n">
        <f aca="false">SUMPRODUCT((FC_Clase="Producción")*FC_V*((FC_Mon="PYG")*AP$138+(FC_Mon&lt;&gt;"PYG"))*(1+FC_g)^(AP$136-1)*((FC_Desde=0)*(AP$135+AP$134)+(FC_Desde&gt;=1)*(AP$133&gt;=FC_Desde)*AP$134))</f>
        <v>0</v>
      </c>
      <c r="AQ179" s="34" t="n">
        <f aca="false">SUMPRODUCT((FC_Clase="Producción")*FC_V*((FC_Mon="PYG")*AQ$138+(FC_Mon&lt;&gt;"PYG"))*(1+FC_g)^(AQ$136-1)*((FC_Desde=0)*(AQ$135+AQ$134)+(FC_Desde&gt;=1)*(AQ$133&gt;=FC_Desde)*AQ$134))</f>
        <v>0</v>
      </c>
      <c r="AR179" s="34" t="n">
        <f aca="false">SUMPRODUCT((FC_Clase="Producción")*FC_V*((FC_Mon="PYG")*AR$138+(FC_Mon&lt;&gt;"PYG"))*(1+FC_g)^(AR$136-1)*((FC_Desde=0)*(AR$135+AR$134)+(FC_Desde&gt;=1)*(AR$133&gt;=FC_Desde)*AR$134))</f>
        <v>0</v>
      </c>
      <c r="AS179" s="34" t="n">
        <f aca="false">SUMPRODUCT((FC_Clase="Producción")*FC_V*((FC_Mon="PYG")*AS$138+(FC_Mon&lt;&gt;"PYG"))*(1+FC_g)^(AS$136-1)*((FC_Desde=0)*(AS$135+AS$134)+(FC_Desde&gt;=1)*(AS$133&gt;=FC_Desde)*AS$134))</f>
        <v>0</v>
      </c>
      <c r="AT179" s="34" t="n">
        <f aca="false">SUMPRODUCT((FC_Clase="Producción")*FC_V*((FC_Mon="PYG")*AT$138+(FC_Mon&lt;&gt;"PYG"))*(1+FC_g)^(AT$136-1)*((FC_Desde=0)*(AT$135+AT$134)+(FC_Desde&gt;=1)*(AT$133&gt;=FC_Desde)*AT$134))</f>
        <v>0</v>
      </c>
      <c r="AU179" s="34" t="n">
        <f aca="false">SUMPRODUCT((FC_Clase="Producción")*FC_V*((FC_Mon="PYG")*AU$138+(FC_Mon&lt;&gt;"PYG"))*(1+FC_g)^(AU$136-1)*((FC_Desde=0)*(AU$135+AU$134)+(FC_Desde&gt;=1)*(AU$133&gt;=FC_Desde)*AU$134))</f>
        <v>0</v>
      </c>
      <c r="AV179" s="34" t="n">
        <f aca="false">SUMPRODUCT((FC_Clase="Producción")*FC_V*((FC_Mon="PYG")*AV$138+(FC_Mon&lt;&gt;"PYG"))*(1+FC_g)^(AV$136-1)*((FC_Desde=0)*(AV$135+AV$134)+(FC_Desde&gt;=1)*(AV$133&gt;=FC_Desde)*AV$134))</f>
        <v>0</v>
      </c>
      <c r="AW179" s="34" t="n">
        <f aca="false">SUMPRODUCT((FC_Clase="Producción")*FC_V*((FC_Mon="PYG")*AW$138+(FC_Mon&lt;&gt;"PYG"))*(1+FC_g)^(AW$136-1)*((FC_Desde=0)*(AW$135+AW$134)+(FC_Desde&gt;=1)*(AW$133&gt;=FC_Desde)*AW$134))</f>
        <v>0</v>
      </c>
      <c r="AX179" s="34" t="n">
        <f aca="false">SUMPRODUCT((FC_Clase="Producción")*FC_V*((FC_Mon="PYG")*AX$138+(FC_Mon&lt;&gt;"PYG"))*(1+FC_g)^(AX$136-1)*((FC_Desde=0)*(AX$135+AX$134)+(FC_Desde&gt;=1)*(AX$133&gt;=FC_Desde)*AX$134))</f>
        <v>0</v>
      </c>
      <c r="AY179" s="34" t="n">
        <f aca="false">SUMPRODUCT((FC_Clase="Producción")*FC_V*((FC_Mon="PYG")*AY$138+(FC_Mon&lt;&gt;"PYG"))*(1+FC_g)^(AY$136-1)*((FC_Desde=0)*(AY$135+AY$134)+(FC_Desde&gt;=1)*(AY$133&gt;=FC_Desde)*AY$134))</f>
        <v>0</v>
      </c>
      <c r="AZ179" s="34" t="n">
        <f aca="false">SUMPRODUCT((FC_Clase="Producción")*FC_V*((FC_Mon="PYG")*AZ$138+(FC_Mon&lt;&gt;"PYG"))*(1+FC_g)^(AZ$136-1)*((FC_Desde=0)*(AZ$135+AZ$134)+(FC_Desde&gt;=1)*(AZ$133&gt;=FC_Desde)*AZ$134))</f>
        <v>0</v>
      </c>
      <c r="BA179" s="34" t="n">
        <f aca="false">SUMPRODUCT((FC_Clase="Producción")*FC_V*((FC_Mon="PYG")*BA$138+(FC_Mon&lt;&gt;"PYG"))*(1+FC_g)^(BA$136-1)*((FC_Desde=0)*(BA$135+BA$134)+(FC_Desde&gt;=1)*(BA$133&gt;=FC_Desde)*BA$134))</f>
        <v>0</v>
      </c>
      <c r="BB179" s="34" t="n">
        <f aca="false">SUMPRODUCT((FC_Clase="Producción")*FC_V*((FC_Mon="PYG")*BB$138+(FC_Mon&lt;&gt;"PYG"))*(1+FC_g)^(BB$136-1)*((FC_Desde=0)*(BB$135+BB$134)+(FC_Desde&gt;=1)*(BB$133&gt;=FC_Desde)*BB$134))</f>
        <v>0</v>
      </c>
      <c r="BC179" s="34" t="n">
        <f aca="false">SUMPRODUCT((FC_Clase="Producción")*FC_V*((FC_Mon="PYG")*BC$138+(FC_Mon&lt;&gt;"PYG"))*(1+FC_g)^(BC$136-1)*((FC_Desde=0)*(BC$135+BC$134)+(FC_Desde&gt;=1)*(BC$133&gt;=FC_Desde)*BC$134))</f>
        <v>0</v>
      </c>
      <c r="BD179" s="34" t="n">
        <f aca="false">SUMPRODUCT((FC_Clase="Producción")*FC_V*((FC_Mon="PYG")*BD$138+(FC_Mon&lt;&gt;"PYG"))*(1+FC_g)^(BD$136-1)*((FC_Desde=0)*(BD$135+BD$134)+(FC_Desde&gt;=1)*(BD$133&gt;=FC_Desde)*BD$134))</f>
        <v>0</v>
      </c>
      <c r="BE179" s="34" t="n">
        <f aca="false">SUMPRODUCT((FC_Clase="Producción")*FC_V*((FC_Mon="PYG")*BE$138+(FC_Mon&lt;&gt;"PYG"))*(1+FC_g)^(BE$136-1)*((FC_Desde=0)*(BE$135+BE$134)+(FC_Desde&gt;=1)*(BE$133&gt;=FC_Desde)*BE$134))</f>
        <v>0</v>
      </c>
      <c r="BF179" s="34" t="n">
        <f aca="false">SUMPRODUCT((FC_Clase="Producción")*FC_V*((FC_Mon="PYG")*BF$138+(FC_Mon&lt;&gt;"PYG"))*(1+FC_g)^(BF$136-1)*((FC_Desde=0)*(BF$135+BF$134)+(FC_Desde&gt;=1)*(BF$133&gt;=FC_Desde)*BF$134))</f>
        <v>0</v>
      </c>
      <c r="BG179" s="34" t="n">
        <f aca="false">SUMPRODUCT((FC_Clase="Producción")*FC_V*((FC_Mon="PYG")*BG$138+(FC_Mon&lt;&gt;"PYG"))*(1+FC_g)^(BG$136-1)*((FC_Desde=0)*(BG$135+BG$134)+(FC_Desde&gt;=1)*(BG$133&gt;=FC_Desde)*BG$134))</f>
        <v>0</v>
      </c>
      <c r="BH179" s="34" t="n">
        <f aca="false">SUMPRODUCT((FC_Clase="Producción")*FC_V*((FC_Mon="PYG")*BH$138+(FC_Mon&lt;&gt;"PYG"))*(1+FC_g)^(BH$136-1)*((FC_Desde=0)*(BH$135+BH$134)+(FC_Desde&gt;=1)*(BH$133&gt;=FC_Desde)*BH$134))</f>
        <v>0</v>
      </c>
      <c r="BI179" s="34" t="n">
        <f aca="false">SUMPRODUCT((FC_Clase="Producción")*FC_V*((FC_Mon="PYG")*BI$138+(FC_Mon&lt;&gt;"PYG"))*(1+FC_g)^(BI$136-1)*((FC_Desde=0)*(BI$135+BI$134)+(FC_Desde&gt;=1)*(BI$133&gt;=FC_Desde)*BI$134))</f>
        <v>0</v>
      </c>
      <c r="BJ179" s="34" t="n">
        <f aca="false">SUMPRODUCT((FC_Clase="Producción")*FC_V*((FC_Mon="PYG")*BJ$138+(FC_Mon&lt;&gt;"PYG"))*(1+FC_g)^(BJ$136-1)*((FC_Desde=0)*(BJ$135+BJ$134)+(FC_Desde&gt;=1)*(BJ$133&gt;=FC_Desde)*BJ$134))</f>
        <v>0</v>
      </c>
      <c r="BK179" s="34" t="n">
        <f aca="false">SUMPRODUCT((FC_Clase="Producción")*FC_V*((FC_Mon="PYG")*BK$138+(FC_Mon&lt;&gt;"PYG"))*(1+FC_g)^(BK$136-1)*((FC_Desde=0)*(BK$135+BK$134)+(FC_Desde&gt;=1)*(BK$133&gt;=FC_Desde)*BK$134))</f>
        <v>0</v>
      </c>
      <c r="BL179" s="34" t="n">
        <f aca="false">SUMPRODUCT((FC_Clase="Producción")*FC_V*((FC_Mon="PYG")*BL$138+(FC_Mon&lt;&gt;"PYG"))*(1+FC_g)^(BL$136-1)*((FC_Desde=0)*(BL$135+BL$134)+(FC_Desde&gt;=1)*(BL$133&gt;=FC_Desde)*BL$134))</f>
        <v>0</v>
      </c>
      <c r="BM179" s="34" t="n">
        <f aca="false">SUMPRODUCT((FC_Clase="Producción")*FC_V*((FC_Mon="PYG")*BM$138+(FC_Mon&lt;&gt;"PYG"))*(1+FC_g)^(BM$136-1)*((FC_Desde=0)*(BM$135+BM$134)+(FC_Desde&gt;=1)*(BM$133&gt;=FC_Desde)*BM$134))</f>
        <v>0</v>
      </c>
      <c r="BN179" s="34" t="n">
        <f aca="false">SUMPRODUCT((FC_Clase="Producción")*FC_V*((FC_Mon="PYG")*BN$138+(FC_Mon&lt;&gt;"PYG"))*(1+FC_g)^(BN$136-1)*((FC_Desde=0)*(BN$135+BN$134)+(FC_Desde&gt;=1)*(BN$133&gt;=FC_Desde)*BN$134))</f>
        <v>0</v>
      </c>
      <c r="BO179" s="34" t="n">
        <f aca="false">SUMPRODUCT((FC_Clase="Producción")*FC_V*((FC_Mon="PYG")*BO$138+(FC_Mon&lt;&gt;"PYG"))*(1+FC_g)^(BO$136-1)*((FC_Desde=0)*(BO$135+BO$134)+(FC_Desde&gt;=1)*(BO$133&gt;=FC_Desde)*BO$134))</f>
        <v>0</v>
      </c>
      <c r="BP179" s="34" t="n">
        <f aca="false">SUMPRODUCT((FC_Clase="Producción")*FC_V*((FC_Mon="PYG")*BP$138+(FC_Mon&lt;&gt;"PYG"))*(1+FC_g)^(BP$136-1)*((FC_Desde=0)*(BP$135+BP$134)+(FC_Desde&gt;=1)*(BP$133&gt;=FC_Desde)*BP$134))</f>
        <v>0</v>
      </c>
      <c r="BQ179" s="34" t="n">
        <f aca="false">SUMPRODUCT((FC_Clase="Producción")*FC_V*((FC_Mon="PYG")*BQ$138+(FC_Mon&lt;&gt;"PYG"))*(1+FC_g)^(BQ$136-1)*((FC_Desde=0)*(BQ$135+BQ$134)+(FC_Desde&gt;=1)*(BQ$133&gt;=FC_Desde)*BQ$134))</f>
        <v>0</v>
      </c>
      <c r="BR179" s="34" t="n">
        <f aca="false">SUMPRODUCT((FC_Clase="Producción")*FC_V*((FC_Mon="PYG")*BR$138+(FC_Mon&lt;&gt;"PYG"))*(1+FC_g)^(BR$136-1)*((FC_Desde=0)*(BR$135+BR$134)+(FC_Desde&gt;=1)*(BR$133&gt;=FC_Desde)*BR$134))</f>
        <v>0</v>
      </c>
      <c r="BS179" s="34" t="n">
        <f aca="false">SUMPRODUCT((FC_Clase="Producción")*FC_V*((FC_Mon="PYG")*BS$138+(FC_Mon&lt;&gt;"PYG"))*(1+FC_g)^(BS$136-1)*((FC_Desde=0)*(BS$135+BS$134)+(FC_Desde&gt;=1)*(BS$133&gt;=FC_Desde)*BS$134))</f>
        <v>0</v>
      </c>
      <c r="BT179" s="34" t="n">
        <f aca="false">SUMPRODUCT((FC_Clase="Producción")*FC_V*((FC_Mon="PYG")*BT$138+(FC_Mon&lt;&gt;"PYG"))*(1+FC_g)^(BT$136-1)*((FC_Desde=0)*(BT$135+BT$134)+(FC_Desde&gt;=1)*(BT$133&gt;=FC_Desde)*BT$134))</f>
        <v>0</v>
      </c>
      <c r="BU179" s="34" t="n">
        <f aca="false">SUMPRODUCT((FC_Clase="Producción")*FC_V*((FC_Mon="PYG")*BU$138+(FC_Mon&lt;&gt;"PYG"))*(1+FC_g)^(BU$136-1)*((FC_Desde=0)*(BU$135+BU$134)+(FC_Desde&gt;=1)*(BU$133&gt;=FC_Desde)*BU$134))</f>
        <v>0</v>
      </c>
      <c r="BV179" s="34" t="n">
        <f aca="false">SUMPRODUCT((FC_Clase="Producción")*FC_V*((FC_Mon="PYG")*BV$138+(FC_Mon&lt;&gt;"PYG"))*(1+FC_g)^(BV$136-1)*((FC_Desde=0)*(BV$135+BV$134)+(FC_Desde&gt;=1)*(BV$133&gt;=FC_Desde)*BV$134))</f>
        <v>0</v>
      </c>
      <c r="BW179" s="34" t="n">
        <f aca="false">SUMPRODUCT((FC_Clase="Producción")*FC_V*((FC_Mon="PYG")*BW$138+(FC_Mon&lt;&gt;"PYG"))*(1+FC_g)^(BW$136-1)*((FC_Desde=0)*(BW$135+BW$134)+(FC_Desde&gt;=1)*(BW$133&gt;=FC_Desde)*BW$134))</f>
        <v>0</v>
      </c>
      <c r="BX179" s="34" t="n">
        <f aca="false">SUMPRODUCT((FC_Clase="Producción")*FC_V*((FC_Mon="PYG")*BX$138+(FC_Mon&lt;&gt;"PYG"))*(1+FC_g)^(BX$136-1)*((FC_Desde=0)*(BX$135+BX$134)+(FC_Desde&gt;=1)*(BX$133&gt;=FC_Desde)*BX$134))</f>
        <v>0</v>
      </c>
      <c r="BY179" s="34" t="n">
        <f aca="false">SUMPRODUCT((FC_Clase="Producción")*FC_V*((FC_Mon="PYG")*BY$138+(FC_Mon&lt;&gt;"PYG"))*(1+FC_g)^(BY$136-1)*((FC_Desde=0)*(BY$135+BY$134)+(FC_Desde&gt;=1)*(BY$133&gt;=FC_Desde)*BY$134))</f>
        <v>0</v>
      </c>
      <c r="BZ179" s="34" t="n">
        <f aca="false">SUMPRODUCT((FC_Clase="Producción")*FC_V*((FC_Mon="PYG")*BZ$138+(FC_Mon&lt;&gt;"PYG"))*(1+FC_g)^(BZ$136-1)*((FC_Desde=0)*(BZ$135+BZ$134)+(FC_Desde&gt;=1)*(BZ$133&gt;=FC_Desde)*BZ$134))</f>
        <v>0</v>
      </c>
      <c r="CA179" s="34" t="n">
        <f aca="false">SUMPRODUCT((FC_Clase="Producción")*FC_V*((FC_Mon="PYG")*CA$138+(FC_Mon&lt;&gt;"PYG"))*(1+FC_g)^(CA$136-1)*((FC_Desde=0)*(CA$135+CA$134)+(FC_Desde&gt;=1)*(CA$133&gt;=FC_Desde)*CA$134))</f>
        <v>0</v>
      </c>
      <c r="CB179" s="34" t="n">
        <f aca="false">SUMPRODUCT((FC_Clase="Producción")*FC_V*((FC_Mon="PYG")*CB$138+(FC_Mon&lt;&gt;"PYG"))*(1+FC_g)^(CB$136-1)*((FC_Desde=0)*(CB$135+CB$134)+(FC_Desde&gt;=1)*(CB$133&gt;=FC_Desde)*CB$134))</f>
        <v>0</v>
      </c>
      <c r="CC179" s="34" t="n">
        <f aca="false">SUMPRODUCT((FC_Clase="Producción")*FC_V*((FC_Mon="PYG")*CC$138+(FC_Mon&lt;&gt;"PYG"))*(1+FC_g)^(CC$136-1)*((FC_Desde=0)*(CC$135+CC$134)+(FC_Desde&gt;=1)*(CC$133&gt;=FC_Desde)*CC$134))</f>
        <v>0</v>
      </c>
      <c r="CD179" s="34" t="n">
        <f aca="false">SUMPRODUCT((FC_Clase="Producción")*FC_V*((FC_Mon="PYG")*CD$138+(FC_Mon&lt;&gt;"PYG"))*(1+FC_g)^(CD$136-1)*((FC_Desde=0)*(CD$135+CD$134)+(FC_Desde&gt;=1)*(CD$133&gt;=FC_Desde)*CD$134))</f>
        <v>0</v>
      </c>
      <c r="CE179" s="34" t="n">
        <f aca="false">SUMPRODUCT((FC_Clase="Producción")*FC_V*((FC_Mon="PYG")*CE$138+(FC_Mon&lt;&gt;"PYG"))*(1+FC_g)^(CE$136-1)*((FC_Desde=0)*(CE$135+CE$134)+(FC_Desde&gt;=1)*(CE$133&gt;=FC_Desde)*CE$134))</f>
        <v>0</v>
      </c>
      <c r="CF179" s="34" t="n">
        <f aca="false">SUMPRODUCT((FC_Clase="Producción")*FC_V*((FC_Mon="PYG")*CF$138+(FC_Mon&lt;&gt;"PYG"))*(1+FC_g)^(CF$136-1)*((FC_Desde=0)*(CF$135+CF$134)+(FC_Desde&gt;=1)*(CF$133&gt;=FC_Desde)*CF$134))</f>
        <v>0</v>
      </c>
      <c r="CG179" s="34" t="n">
        <f aca="false">SUMPRODUCT((FC_Clase="Producción")*FC_V*((FC_Mon="PYG")*CG$138+(FC_Mon&lt;&gt;"PYG"))*(1+FC_g)^(CG$136-1)*((FC_Desde=0)*(CG$135+CG$134)+(FC_Desde&gt;=1)*(CG$133&gt;=FC_Desde)*CG$134))</f>
        <v>0</v>
      </c>
      <c r="CH179" s="34" t="n">
        <f aca="false">SUMPRODUCT((FC_Clase="Producción")*FC_V*((FC_Mon="PYG")*CH$138+(FC_Mon&lt;&gt;"PYG"))*(1+FC_g)^(CH$136-1)*((FC_Desde=0)*(CH$135+CH$134)+(FC_Desde&gt;=1)*(CH$133&gt;=FC_Desde)*CH$134))</f>
        <v>0</v>
      </c>
      <c r="CI179" s="34" t="n">
        <f aca="false">SUMPRODUCT((FC_Clase="Producción")*FC_V*((FC_Mon="PYG")*CI$138+(FC_Mon&lt;&gt;"PYG"))*(1+FC_g)^(CI$136-1)*((FC_Desde=0)*(CI$135+CI$134)+(FC_Desde&gt;=1)*(CI$133&gt;=FC_Desde)*CI$134))</f>
        <v>0</v>
      </c>
      <c r="CJ179" s="34" t="n">
        <f aca="false">SUMPRODUCT((FC_Clase="Producción")*FC_V*((FC_Mon="PYG")*CJ$138+(FC_Mon&lt;&gt;"PYG"))*(1+FC_g)^(CJ$136-1)*((FC_Desde=0)*(CJ$135+CJ$134)+(FC_Desde&gt;=1)*(CJ$133&gt;=FC_Desde)*CJ$134))</f>
        <v>0</v>
      </c>
      <c r="CK179" s="34" t="n">
        <f aca="false">SUMPRODUCT((FC_Clase="Producción")*FC_V*((FC_Mon="PYG")*CK$138+(FC_Mon&lt;&gt;"PYG"))*(1+FC_g)^(CK$136-1)*((FC_Desde=0)*(CK$135+CK$134)+(FC_Desde&gt;=1)*(CK$133&gt;=FC_Desde)*CK$134))</f>
        <v>0</v>
      </c>
      <c r="CL179" s="34" t="n">
        <f aca="false">SUMPRODUCT((FC_Clase="Producción")*FC_V*((FC_Mon="PYG")*CL$138+(FC_Mon&lt;&gt;"PYG"))*(1+FC_g)^(CL$136-1)*((FC_Desde=0)*(CL$135+CL$134)+(FC_Desde&gt;=1)*(CL$133&gt;=FC_Desde)*CL$134))</f>
        <v>0</v>
      </c>
      <c r="CM179" s="34" t="n">
        <f aca="false">SUMPRODUCT((FC_Clase="Producción")*FC_V*((FC_Mon="PYG")*CM$138+(FC_Mon&lt;&gt;"PYG"))*(1+FC_g)^(CM$136-1)*((FC_Desde=0)*(CM$135+CM$134)+(FC_Desde&gt;=1)*(CM$133&gt;=FC_Desde)*CM$134))</f>
        <v>0</v>
      </c>
      <c r="CN179" s="34" t="n">
        <f aca="false">SUMPRODUCT((FC_Clase="Producción")*FC_V*((FC_Mon="PYG")*CN$138+(FC_Mon&lt;&gt;"PYG"))*(1+FC_g)^(CN$136-1)*((FC_Desde=0)*(CN$135+CN$134)+(FC_Desde&gt;=1)*(CN$133&gt;=FC_Desde)*CN$134))</f>
        <v>0</v>
      </c>
      <c r="CO179" s="34" t="n">
        <f aca="false">SUMPRODUCT((FC_Clase="Producción")*FC_V*((FC_Mon="PYG")*CO$138+(FC_Mon&lt;&gt;"PYG"))*(1+FC_g)^(CO$136-1)*((FC_Desde=0)*(CO$135+CO$134)+(FC_Desde&gt;=1)*(CO$133&gt;=FC_Desde)*CO$134))</f>
        <v>0</v>
      </c>
      <c r="CP179" s="34" t="n">
        <f aca="false">SUMPRODUCT((FC_Clase="Producción")*FC_V*((FC_Mon="PYG")*CP$138+(FC_Mon&lt;&gt;"PYG"))*(1+FC_g)^(CP$136-1)*((FC_Desde=0)*(CP$135+CP$134)+(FC_Desde&gt;=1)*(CP$133&gt;=FC_Desde)*CP$134))</f>
        <v>0</v>
      </c>
      <c r="CQ179" s="34" t="n">
        <f aca="false">SUMPRODUCT((FC_Clase="Producción")*FC_V*((FC_Mon="PYG")*CQ$138+(FC_Mon&lt;&gt;"PYG"))*(1+FC_g)^(CQ$136-1)*((FC_Desde=0)*(CQ$135+CQ$134)+(FC_Desde&gt;=1)*(CQ$133&gt;=FC_Desde)*CQ$134))</f>
        <v>0</v>
      </c>
      <c r="CR179" s="34" t="n">
        <f aca="false">SUMPRODUCT((FC_Clase="Producción")*FC_V*((FC_Mon="PYG")*CR$138+(FC_Mon&lt;&gt;"PYG"))*(1+FC_g)^(CR$136-1)*((FC_Desde=0)*(CR$135+CR$134)+(FC_Desde&gt;=1)*(CR$133&gt;=FC_Desde)*CR$134))</f>
        <v>0</v>
      </c>
      <c r="CS179" s="34" t="n">
        <f aca="false">SUMPRODUCT((FC_Clase="Producción")*FC_V*((FC_Mon="PYG")*CS$138+(FC_Mon&lt;&gt;"PYG"))*(1+FC_g)^(CS$136-1)*((FC_Desde=0)*(CS$135+CS$134)+(FC_Desde&gt;=1)*(CS$133&gt;=FC_Desde)*CS$134))</f>
        <v>0</v>
      </c>
      <c r="CT179" s="34" t="n">
        <f aca="false">SUMPRODUCT((FC_Clase="Producción")*FC_V*((FC_Mon="PYG")*CT$138+(FC_Mon&lt;&gt;"PYG"))*(1+FC_g)^(CT$136-1)*((FC_Desde=0)*(CT$135+CT$134)+(FC_Desde&gt;=1)*(CT$133&gt;=FC_Desde)*CT$134))</f>
        <v>0</v>
      </c>
      <c r="CU179" s="34" t="n">
        <f aca="false">SUMPRODUCT((FC_Clase="Producción")*FC_V*((FC_Mon="PYG")*CU$138+(FC_Mon&lt;&gt;"PYG"))*(1+FC_g)^(CU$136-1)*((FC_Desde=0)*(CU$135+CU$134)+(FC_Desde&gt;=1)*(CU$133&gt;=FC_Desde)*CU$134))</f>
        <v>0</v>
      </c>
      <c r="CV179" s="34" t="n">
        <f aca="false">SUMPRODUCT((FC_Clase="Producción")*FC_V*((FC_Mon="PYG")*CV$138+(FC_Mon&lt;&gt;"PYG"))*(1+FC_g)^(CV$136-1)*((FC_Desde=0)*(CV$135+CV$134)+(FC_Desde&gt;=1)*(CV$133&gt;=FC_Desde)*CV$134))</f>
        <v>0</v>
      </c>
      <c r="CW179" s="34" t="n">
        <f aca="false">SUMPRODUCT((FC_Clase="Producción")*FC_V*((FC_Mon="PYG")*CW$138+(FC_Mon&lt;&gt;"PYG"))*(1+FC_g)^(CW$136-1)*((FC_Desde=0)*(CW$135+CW$134)+(FC_Desde&gt;=1)*(CW$133&gt;=FC_Desde)*CW$134))</f>
        <v>0</v>
      </c>
      <c r="CX179" s="34" t="n">
        <f aca="false">SUMPRODUCT((FC_Clase="Producción")*FC_V*((FC_Mon="PYG")*CX$138+(FC_Mon&lt;&gt;"PYG"))*(1+FC_g)^(CX$136-1)*((FC_Desde=0)*(CX$135+CX$134)+(FC_Desde&gt;=1)*(CX$133&gt;=FC_Desde)*CX$134))</f>
        <v>0</v>
      </c>
      <c r="CY179" s="34" t="n">
        <f aca="false">SUMPRODUCT((FC_Clase="Producción")*FC_V*((FC_Mon="PYG")*CY$138+(FC_Mon&lt;&gt;"PYG"))*(1+FC_g)^(CY$136-1)*((FC_Desde=0)*(CY$135+CY$134)+(FC_Desde&gt;=1)*(CY$133&gt;=FC_Desde)*CY$134))</f>
        <v>0</v>
      </c>
      <c r="CZ179" s="34" t="n">
        <f aca="false">SUMPRODUCT((FC_Clase="Producción")*FC_V*((FC_Mon="PYG")*CZ$138+(FC_Mon&lt;&gt;"PYG"))*(1+FC_g)^(CZ$136-1)*((FC_Desde=0)*(CZ$135+CZ$134)+(FC_Desde&gt;=1)*(CZ$133&gt;=FC_Desde)*CZ$134))</f>
        <v>0</v>
      </c>
      <c r="DA179" s="34" t="n">
        <f aca="false">SUMPRODUCT((FC_Clase="Producción")*FC_V*((FC_Mon="PYG")*DA$138+(FC_Mon&lt;&gt;"PYG"))*(1+FC_g)^(DA$136-1)*((FC_Desde=0)*(DA$135+DA$134)+(FC_Desde&gt;=1)*(DA$133&gt;=FC_Desde)*DA$134))</f>
        <v>0</v>
      </c>
      <c r="DB179" s="34" t="n">
        <f aca="false">SUMPRODUCT((FC_Clase="Producción")*FC_V*((FC_Mon="PYG")*DB$138+(FC_Mon&lt;&gt;"PYG"))*(1+FC_g)^(DB$136-1)*((FC_Desde=0)*(DB$135+DB$134)+(FC_Desde&gt;=1)*(DB$133&gt;=FC_Desde)*DB$134))</f>
        <v>0</v>
      </c>
      <c r="DC179" s="34" t="n">
        <f aca="false">SUMPRODUCT((FC_Clase="Producción")*FC_V*((FC_Mon="PYG")*DC$138+(FC_Mon&lt;&gt;"PYG"))*(1+FC_g)^(DC$136-1)*((FC_Desde=0)*(DC$135+DC$134)+(FC_Desde&gt;=1)*(DC$133&gt;=FC_Desde)*DC$134))</f>
        <v>0</v>
      </c>
      <c r="DD179" s="34" t="n">
        <f aca="false">SUMPRODUCT((FC_Clase="Producción")*FC_V*((FC_Mon="PYG")*DD$138+(FC_Mon&lt;&gt;"PYG"))*(1+FC_g)^(DD$136-1)*((FC_Desde=0)*(DD$135+DD$134)+(FC_Desde&gt;=1)*(DD$133&gt;=FC_Desde)*DD$134))</f>
        <v>0</v>
      </c>
      <c r="DE179" s="34" t="n">
        <f aca="false">SUMPRODUCT((FC_Clase="Producción")*FC_V*((FC_Mon="PYG")*DE$138+(FC_Mon&lt;&gt;"PYG"))*(1+FC_g)^(DE$136-1)*((FC_Desde=0)*(DE$135+DE$134)+(FC_Desde&gt;=1)*(DE$133&gt;=FC_Desde)*DE$134))</f>
        <v>0</v>
      </c>
      <c r="DF179" s="34" t="n">
        <f aca="false">SUMPRODUCT((FC_Clase="Producción")*FC_V*((FC_Mon="PYG")*DF$138+(FC_Mon&lt;&gt;"PYG"))*(1+FC_g)^(DF$136-1)*((FC_Desde=0)*(DF$135+DF$134)+(FC_Desde&gt;=1)*(DF$133&gt;=FC_Desde)*DF$134))</f>
        <v>0</v>
      </c>
      <c r="DG179" s="34" t="n">
        <f aca="false">SUMPRODUCT((FC_Clase="Producción")*FC_V*((FC_Mon="PYG")*DG$138+(FC_Mon&lt;&gt;"PYG"))*(1+FC_g)^(DG$136-1)*((FC_Desde=0)*(DG$135+DG$134)+(FC_Desde&gt;=1)*(DG$133&gt;=FC_Desde)*DG$134))</f>
        <v>0</v>
      </c>
      <c r="DH179" s="34" t="n">
        <f aca="false">SUMPRODUCT((FC_Clase="Producción")*FC_V*((FC_Mon="PYG")*DH$138+(FC_Mon&lt;&gt;"PYG"))*(1+FC_g)^(DH$136-1)*((FC_Desde=0)*(DH$135+DH$134)+(FC_Desde&gt;=1)*(DH$133&gt;=FC_Desde)*DH$134))</f>
        <v>0</v>
      </c>
      <c r="DI179" s="34" t="n">
        <f aca="false">SUMPRODUCT((FC_Clase="Producción")*FC_V*((FC_Mon="PYG")*DI$138+(FC_Mon&lt;&gt;"PYG"))*(1+FC_g)^(DI$136-1)*((FC_Desde=0)*(DI$135+DI$134)+(FC_Desde&gt;=1)*(DI$133&gt;=FC_Desde)*DI$134))</f>
        <v>0</v>
      </c>
      <c r="DJ179" s="34" t="n">
        <f aca="false">SUMPRODUCT((FC_Clase="Producción")*FC_V*((FC_Mon="PYG")*DJ$138+(FC_Mon&lt;&gt;"PYG"))*(1+FC_g)^(DJ$136-1)*((FC_Desde=0)*(DJ$135+DJ$134)+(FC_Desde&gt;=1)*(DJ$133&gt;=FC_Desde)*DJ$134))</f>
        <v>0</v>
      </c>
      <c r="DK179" s="34" t="n">
        <f aca="false">SUMPRODUCT((FC_Clase="Producción")*FC_V*((FC_Mon="PYG")*DK$138+(FC_Mon&lt;&gt;"PYG"))*(1+FC_g)^(DK$136-1)*((FC_Desde=0)*(DK$135+DK$134)+(FC_Desde&gt;=1)*(DK$133&gt;=FC_Desde)*DK$134))</f>
        <v>0</v>
      </c>
      <c r="DL179" s="34" t="n">
        <f aca="false">SUMPRODUCT((FC_Clase="Producción")*FC_V*((FC_Mon="PYG")*DL$138+(FC_Mon&lt;&gt;"PYG"))*(1+FC_g)^(DL$136-1)*((FC_Desde=0)*(DL$135+DL$134)+(FC_Desde&gt;=1)*(DL$133&gt;=FC_Desde)*DL$134))</f>
        <v>0</v>
      </c>
      <c r="DM179" s="34" t="n">
        <f aca="false">SUMPRODUCT((FC_Clase="Producción")*FC_V*((FC_Mon="PYG")*DM$138+(FC_Mon&lt;&gt;"PYG"))*(1+FC_g)^(DM$136-1)*((FC_Desde=0)*(DM$135+DM$134)+(FC_Desde&gt;=1)*(DM$133&gt;=FC_Desde)*DM$134))</f>
        <v>0</v>
      </c>
      <c r="DN179" s="34" t="n">
        <f aca="false">SUMPRODUCT((FC_Clase="Producción")*FC_V*((FC_Mon="PYG")*DN$138+(FC_Mon&lt;&gt;"PYG"))*(1+FC_g)^(DN$136-1)*((FC_Desde=0)*(DN$135+DN$134)+(FC_Desde&gt;=1)*(DN$133&gt;=FC_Desde)*DN$134))</f>
        <v>0</v>
      </c>
      <c r="DO179" s="34" t="n">
        <f aca="false">SUMPRODUCT((FC_Clase="Producción")*FC_V*((FC_Mon="PYG")*DO$138+(FC_Mon&lt;&gt;"PYG"))*(1+FC_g)^(DO$136-1)*((FC_Desde=0)*(DO$135+DO$134)+(FC_Desde&gt;=1)*(DO$133&gt;=FC_Desde)*DO$134))</f>
        <v>0</v>
      </c>
      <c r="DP179" s="34" t="n">
        <f aca="false">SUMPRODUCT((FC_Clase="Producción")*FC_V*((FC_Mon="PYG")*DP$138+(FC_Mon&lt;&gt;"PYG"))*(1+FC_g)^(DP$136-1)*((FC_Desde=0)*(DP$135+DP$134)+(FC_Desde&gt;=1)*(DP$133&gt;=FC_Desde)*DP$134))</f>
        <v>0</v>
      </c>
      <c r="DQ179" s="34" t="n">
        <f aca="false">SUMPRODUCT((FC_Clase="Producción")*FC_V*((FC_Mon="PYG")*DQ$138+(FC_Mon&lt;&gt;"PYG"))*(1+FC_g)^(DQ$136-1)*((FC_Desde=0)*(DQ$135+DQ$134)+(FC_Desde&gt;=1)*(DQ$133&gt;=FC_Desde)*DQ$134))</f>
        <v>0</v>
      </c>
      <c r="DR179" s="34" t="n">
        <f aca="false">SUMPRODUCT((FC_Clase="Producción")*FC_V*((FC_Mon="PYG")*DR$138+(FC_Mon&lt;&gt;"PYG"))*(1+FC_g)^(DR$136-1)*((FC_Desde=0)*(DR$135+DR$134)+(FC_Desde&gt;=1)*(DR$133&gt;=FC_Desde)*DR$134))</f>
        <v>0</v>
      </c>
      <c r="DS179" s="34" t="n">
        <f aca="false">SUMPRODUCT((FC_Clase="Producción")*FC_V*((FC_Mon="PYG")*DS$138+(FC_Mon&lt;&gt;"PYG"))*(1+FC_g)^(DS$136-1)*((FC_Desde=0)*(DS$135+DS$134)+(FC_Desde&gt;=1)*(DS$133&gt;=FC_Desde)*DS$134))</f>
        <v>0</v>
      </c>
      <c r="DT179" s="34" t="n">
        <f aca="false">SUMPRODUCT((FC_Clase="Producción")*FC_V*((FC_Mon="PYG")*DT$138+(FC_Mon&lt;&gt;"PYG"))*(1+FC_g)^(DT$136-1)*((FC_Desde=0)*(DT$135+DT$134)+(FC_Desde&gt;=1)*(DT$133&gt;=FC_Desde)*DT$134))</f>
        <v>0</v>
      </c>
      <c r="DU179" s="34" t="n">
        <f aca="false">SUMPRODUCT((FC_Clase="Producción")*FC_V*((FC_Mon="PYG")*DU$138+(FC_Mon&lt;&gt;"PYG"))*(1+FC_g)^(DU$136-1)*((FC_Desde=0)*(DU$135+DU$134)+(FC_Desde&gt;=1)*(DU$133&gt;=FC_Desde)*DU$134))</f>
        <v>0</v>
      </c>
      <c r="DV179" s="34" t="n">
        <f aca="false">SUMPRODUCT((FC_Clase="Producción")*FC_V*((FC_Mon="PYG")*DV$138+(FC_Mon&lt;&gt;"PYG"))*(1+FC_g)^(DV$136-1)*((FC_Desde=0)*(DV$135+DV$134)+(FC_Desde&gt;=1)*(DV$133&gt;=FC_Desde)*DV$134))</f>
        <v>0</v>
      </c>
      <c r="DW179" s="34" t="n">
        <f aca="false">SUMPRODUCT((FC_Clase="Producción")*FC_V*((FC_Mon="PYG")*DW$138+(FC_Mon&lt;&gt;"PYG"))*(1+FC_g)^(DW$136-1)*((FC_Desde=0)*(DW$135+DW$134)+(FC_Desde&gt;=1)*(DW$133&gt;=FC_Desde)*DW$134))</f>
        <v>0</v>
      </c>
      <c r="DX179" s="34" t="n">
        <f aca="false">SUMPRODUCT((FC_Clase="Producción")*FC_V*((FC_Mon="PYG")*DX$138+(FC_Mon&lt;&gt;"PYG"))*(1+FC_g)^(DX$136-1)*((FC_Desde=0)*(DX$135+DX$134)+(FC_Desde&gt;=1)*(DX$133&gt;=FC_Desde)*DX$134))</f>
        <v>0</v>
      </c>
      <c r="DY179" s="34" t="n">
        <f aca="false">SUMPRODUCT((FC_Clase="Producción")*FC_V*((FC_Mon="PYG")*DY$138+(FC_Mon&lt;&gt;"PYG"))*(1+FC_g)^(DY$136-1)*((FC_Desde=0)*(DY$135+DY$134)+(FC_Desde&gt;=1)*(DY$133&gt;=FC_Desde)*DY$134))</f>
        <v>0</v>
      </c>
      <c r="DZ179" s="34" t="n">
        <f aca="false">SUMPRODUCT((FC_Clase="Producción")*FC_V*((FC_Mon="PYG")*DZ$138+(FC_Mon&lt;&gt;"PYG"))*(1+FC_g)^(DZ$136-1)*((FC_Desde=0)*(DZ$135+DZ$134)+(FC_Desde&gt;=1)*(DZ$133&gt;=FC_Desde)*DZ$134))</f>
        <v>0</v>
      </c>
      <c r="EA179" s="34" t="n">
        <f aca="false">SUMPRODUCT((FC_Clase="Producción")*FC_V*((FC_Mon="PYG")*EA$138+(FC_Mon&lt;&gt;"PYG"))*(1+FC_g)^(EA$136-1)*((FC_Desde=0)*(EA$135+EA$134)+(FC_Desde&gt;=1)*(EA$133&gt;=FC_Desde)*EA$134))</f>
        <v>0</v>
      </c>
      <c r="EB179" s="34" t="n">
        <f aca="false">SUMPRODUCT((FC_Clase="Producción")*FC_V*((FC_Mon="PYG")*EB$138+(FC_Mon&lt;&gt;"PYG"))*(1+FC_g)^(EB$136-1)*((FC_Desde=0)*(EB$135+EB$134)+(FC_Desde&gt;=1)*(EB$133&gt;=FC_Desde)*EB$134))</f>
        <v>0</v>
      </c>
      <c r="EC179" s="34" t="n">
        <f aca="false">SUMPRODUCT((FC_Clase="Producción")*FC_V*((FC_Mon="PYG")*EC$138+(FC_Mon&lt;&gt;"PYG"))*(1+FC_g)^(EC$136-1)*((FC_Desde=0)*(EC$135+EC$134)+(FC_Desde&gt;=1)*(EC$133&gt;=FC_Desde)*EC$134))</f>
        <v>0</v>
      </c>
      <c r="ED179" s="34" t="n">
        <f aca="false">SUMPRODUCT((FC_Clase="Producción")*FC_V*((FC_Mon="PYG")*ED$138+(FC_Mon&lt;&gt;"PYG"))*(1+FC_g)^(ED$136-1)*((FC_Desde=0)*(ED$135+ED$134)+(FC_Desde&gt;=1)*(ED$133&gt;=FC_Desde)*ED$134))</f>
        <v>0</v>
      </c>
      <c r="EE179" s="34" t="n">
        <f aca="false">SUMPRODUCT((FC_Clase="Producción")*FC_V*((FC_Mon="PYG")*EE$138+(FC_Mon&lt;&gt;"PYG"))*(1+FC_g)^(EE$136-1)*((FC_Desde=0)*(EE$135+EE$134)+(FC_Desde&gt;=1)*(EE$133&gt;=FC_Desde)*EE$134))</f>
        <v>0</v>
      </c>
      <c r="EF179" s="34" t="n">
        <f aca="false">SUMPRODUCT((FC_Clase="Producción")*FC_V*((FC_Mon="PYG")*EF$138+(FC_Mon&lt;&gt;"PYG"))*(1+FC_g)^(EF$136-1)*((FC_Desde=0)*(EF$135+EF$134)+(FC_Desde&gt;=1)*(EF$133&gt;=FC_Desde)*EF$134))</f>
        <v>0</v>
      </c>
      <c r="EG179" s="34" t="n">
        <f aca="false">SUMPRODUCT((FC_Clase="Producción")*FC_V*((FC_Mon="PYG")*EG$138+(FC_Mon&lt;&gt;"PYG"))*(1+FC_g)^(EG$136-1)*((FC_Desde=0)*(EG$135+EG$134)+(FC_Desde&gt;=1)*(EG$133&gt;=FC_Desde)*EG$134))</f>
        <v>0</v>
      </c>
      <c r="EH179" s="34" t="n">
        <f aca="false">SUMPRODUCT((FC_Clase="Producción")*FC_V*((FC_Mon="PYG")*EH$138+(FC_Mon&lt;&gt;"PYG"))*(1+FC_g)^(EH$136-1)*((FC_Desde=0)*(EH$135+EH$134)+(FC_Desde&gt;=1)*(EH$133&gt;=FC_Desde)*EH$134))</f>
        <v>0</v>
      </c>
      <c r="EI179" s="34" t="n">
        <f aca="false">SUMPRODUCT((FC_Clase="Producción")*FC_V*((FC_Mon="PYG")*EI$138+(FC_Mon&lt;&gt;"PYG"))*(1+FC_g)^(EI$136-1)*((FC_Desde=0)*(EI$135+EI$134)+(FC_Desde&gt;=1)*(EI$133&gt;=FC_Desde)*EI$134))</f>
        <v>0</v>
      </c>
      <c r="EJ179" s="34" t="n">
        <f aca="false">SUMPRODUCT((FC_Clase="Producción")*FC_V*((FC_Mon="PYG")*EJ$138+(FC_Mon&lt;&gt;"PYG"))*(1+FC_g)^(EJ$136-1)*((FC_Desde=0)*(EJ$135+EJ$134)+(FC_Desde&gt;=1)*(EJ$133&gt;=FC_Desde)*EJ$134))</f>
        <v>0</v>
      </c>
      <c r="EK179" s="34" t="n">
        <f aca="false">SUMPRODUCT((FC_Clase="Producción")*FC_V*((FC_Mon="PYG")*EK$138+(FC_Mon&lt;&gt;"PYG"))*(1+FC_g)^(EK$136-1)*((FC_Desde=0)*(EK$135+EK$134)+(FC_Desde&gt;=1)*(EK$133&gt;=FC_Desde)*EK$134))</f>
        <v>0</v>
      </c>
      <c r="EL179" s="34" t="n">
        <f aca="false">SUMPRODUCT((FC_Clase="Producción")*FC_V*((FC_Mon="PYG")*EL$138+(FC_Mon&lt;&gt;"PYG"))*(1+FC_g)^(EL$136-1)*((FC_Desde=0)*(EL$135+EL$134)+(FC_Desde&gt;=1)*(EL$133&gt;=FC_Desde)*EL$134))</f>
        <v>0</v>
      </c>
      <c r="EM179" s="34" t="n">
        <f aca="false">SUMPRODUCT((FC_Clase="Producción")*FC_V*((FC_Mon="PYG")*EM$138+(FC_Mon&lt;&gt;"PYG"))*(1+FC_g)^(EM$136-1)*((FC_Desde=0)*(EM$135+EM$134)+(FC_Desde&gt;=1)*(EM$133&gt;=FC_Desde)*EM$134))</f>
        <v>0</v>
      </c>
      <c r="EN179" s="34" t="n">
        <f aca="false">SUMPRODUCT((FC_Clase="Producción")*FC_V*((FC_Mon="PYG")*EN$138+(FC_Mon&lt;&gt;"PYG"))*(1+FC_g)^(EN$136-1)*((FC_Desde=0)*(EN$135+EN$134)+(FC_Desde&gt;=1)*(EN$133&gt;=FC_Desde)*EN$134))</f>
        <v>0</v>
      </c>
      <c r="EO179" s="34" t="n">
        <f aca="false">SUMPRODUCT((FC_Clase="Producción")*FC_V*((FC_Mon="PYG")*EO$138+(FC_Mon&lt;&gt;"PYG"))*(1+FC_g)^(EO$136-1)*((FC_Desde=0)*(EO$135+EO$134)+(FC_Desde&gt;=1)*(EO$133&gt;=FC_Desde)*EO$134))</f>
        <v>0</v>
      </c>
      <c r="EP179" s="34" t="n">
        <f aca="false">SUMPRODUCT((FC_Clase="Producción")*FC_V*((FC_Mon="PYG")*EP$138+(FC_Mon&lt;&gt;"PYG"))*(1+FC_g)^(EP$136-1)*((FC_Desde=0)*(EP$135+EP$134)+(FC_Desde&gt;=1)*(EP$133&gt;=FC_Desde)*EP$134))</f>
        <v>0</v>
      </c>
      <c r="EQ179" s="34" t="n">
        <f aca="false">SUMPRODUCT((FC_Clase="Producción")*FC_V*((FC_Mon="PYG")*EQ$138+(FC_Mon&lt;&gt;"PYG"))*(1+FC_g)^(EQ$136-1)*((FC_Desde=0)*(EQ$135+EQ$134)+(FC_Desde&gt;=1)*(EQ$133&gt;=FC_Desde)*EQ$134))</f>
        <v>0</v>
      </c>
      <c r="ER179" s="34" t="n">
        <f aca="false">SUMPRODUCT((FC_Clase="Producción")*FC_V*((FC_Mon="PYG")*ER$138+(FC_Mon&lt;&gt;"PYG"))*(1+FC_g)^(ER$136-1)*((FC_Desde=0)*(ER$135+ER$134)+(FC_Desde&gt;=1)*(ER$133&gt;=FC_Desde)*ER$134))</f>
        <v>0</v>
      </c>
      <c r="ES179" s="34" t="n">
        <f aca="false">SUMPRODUCT((FC_Clase="Producción")*FC_V*((FC_Mon="PYG")*ES$138+(FC_Mon&lt;&gt;"PYG"))*(1+FC_g)^(ES$136-1)*((FC_Desde=0)*(ES$135+ES$134)+(FC_Desde&gt;=1)*(ES$133&gt;=FC_Desde)*ES$134))</f>
        <v>0</v>
      </c>
    </row>
    <row r="180" customFormat="false" ht="15" hidden="false" customHeight="false" outlineLevel="0" collapsed="false">
      <c r="A180" s="2" t="s">
        <v>658</v>
      </c>
      <c r="B180" s="6" t="s">
        <v>488</v>
      </c>
      <c r="C180" s="6" t="s">
        <v>212</v>
      </c>
      <c r="E180" s="40" t="n">
        <f aca="false">SUM(F180:ES180)</f>
        <v>0</v>
      </c>
      <c r="F180" s="34" t="n">
        <f aca="false">SUMPRODUCT((FC_Clase="Administración")*FC_V*((FC_Mon="PYG")*F$138+(FC_Mon&lt;&gt;"PYG"))*(1+FC_g)^(F$136-1)*((FC_Desde=0)*(F$135+F$134)+(FC_Desde&gt;=1)*(F$133&gt;=FC_Desde)*F$134))</f>
        <v>0</v>
      </c>
      <c r="G180" s="34" t="n">
        <f aca="false">SUMPRODUCT((FC_Clase="Administración")*FC_V*((FC_Mon="PYG")*G$138+(FC_Mon&lt;&gt;"PYG"))*(1+FC_g)^(G$136-1)*((FC_Desde=0)*(G$135+G$134)+(FC_Desde&gt;=1)*(G$133&gt;=FC_Desde)*G$134))</f>
        <v>0</v>
      </c>
      <c r="H180" s="34" t="n">
        <f aca="false">SUMPRODUCT((FC_Clase="Administración")*FC_V*((FC_Mon="PYG")*H$138+(FC_Mon&lt;&gt;"PYG"))*(1+FC_g)^(H$136-1)*((FC_Desde=0)*(H$135+H$134)+(FC_Desde&gt;=1)*(H$133&gt;=FC_Desde)*H$134))</f>
        <v>0</v>
      </c>
      <c r="I180" s="34" t="n">
        <f aca="false">SUMPRODUCT((FC_Clase="Administración")*FC_V*((FC_Mon="PYG")*I$138+(FC_Mon&lt;&gt;"PYG"))*(1+FC_g)^(I$136-1)*((FC_Desde=0)*(I$135+I$134)+(FC_Desde&gt;=1)*(I$133&gt;=FC_Desde)*I$134))</f>
        <v>0</v>
      </c>
      <c r="J180" s="34" t="n">
        <f aca="false">SUMPRODUCT((FC_Clase="Administración")*FC_V*((FC_Mon="PYG")*J$138+(FC_Mon&lt;&gt;"PYG"))*(1+FC_g)^(J$136-1)*((FC_Desde=0)*(J$135+J$134)+(FC_Desde&gt;=1)*(J$133&gt;=FC_Desde)*J$134))</f>
        <v>0</v>
      </c>
      <c r="K180" s="34" t="n">
        <f aca="false">SUMPRODUCT((FC_Clase="Administración")*FC_V*((FC_Mon="PYG")*K$138+(FC_Mon&lt;&gt;"PYG"))*(1+FC_g)^(K$136-1)*((FC_Desde=0)*(K$135+K$134)+(FC_Desde&gt;=1)*(K$133&gt;=FC_Desde)*K$134))</f>
        <v>0</v>
      </c>
      <c r="L180" s="34" t="n">
        <f aca="false">SUMPRODUCT((FC_Clase="Administración")*FC_V*((FC_Mon="PYG")*L$138+(FC_Mon&lt;&gt;"PYG"))*(1+FC_g)^(L$136-1)*((FC_Desde=0)*(L$135+L$134)+(FC_Desde&gt;=1)*(L$133&gt;=FC_Desde)*L$134))</f>
        <v>0</v>
      </c>
      <c r="M180" s="34" t="n">
        <f aca="false">SUMPRODUCT((FC_Clase="Administración")*FC_V*((FC_Mon="PYG")*M$138+(FC_Mon&lt;&gt;"PYG"))*(1+FC_g)^(M$136-1)*((FC_Desde=0)*(M$135+M$134)+(FC_Desde&gt;=1)*(M$133&gt;=FC_Desde)*M$134))</f>
        <v>0</v>
      </c>
      <c r="N180" s="34" t="n">
        <f aca="false">SUMPRODUCT((FC_Clase="Administración")*FC_V*((FC_Mon="PYG")*N$138+(FC_Mon&lt;&gt;"PYG"))*(1+FC_g)^(N$136-1)*((FC_Desde=0)*(N$135+N$134)+(FC_Desde&gt;=1)*(N$133&gt;=FC_Desde)*N$134))</f>
        <v>0</v>
      </c>
      <c r="O180" s="34" t="n">
        <f aca="false">SUMPRODUCT((FC_Clase="Administración")*FC_V*((FC_Mon="PYG")*O$138+(FC_Mon&lt;&gt;"PYG"))*(1+FC_g)^(O$136-1)*((FC_Desde=0)*(O$135+O$134)+(FC_Desde&gt;=1)*(O$133&gt;=FC_Desde)*O$134))</f>
        <v>0</v>
      </c>
      <c r="P180" s="34" t="n">
        <f aca="false">SUMPRODUCT((FC_Clase="Administración")*FC_V*((FC_Mon="PYG")*P$138+(FC_Mon&lt;&gt;"PYG"))*(1+FC_g)^(P$136-1)*((FC_Desde=0)*(P$135+P$134)+(FC_Desde&gt;=1)*(P$133&gt;=FC_Desde)*P$134))</f>
        <v>0</v>
      </c>
      <c r="Q180" s="34" t="n">
        <f aca="false">SUMPRODUCT((FC_Clase="Administración")*FC_V*((FC_Mon="PYG")*Q$138+(FC_Mon&lt;&gt;"PYG"))*(1+FC_g)^(Q$136-1)*((FC_Desde=0)*(Q$135+Q$134)+(FC_Desde&gt;=1)*(Q$133&gt;=FC_Desde)*Q$134))</f>
        <v>0</v>
      </c>
      <c r="R180" s="34" t="n">
        <f aca="false">SUMPRODUCT((FC_Clase="Administración")*FC_V*((FC_Mon="PYG")*R$138+(FC_Mon&lt;&gt;"PYG"))*(1+FC_g)^(R$136-1)*((FC_Desde=0)*(R$135+R$134)+(FC_Desde&gt;=1)*(R$133&gt;=FC_Desde)*R$134))</f>
        <v>0</v>
      </c>
      <c r="S180" s="34" t="n">
        <f aca="false">SUMPRODUCT((FC_Clase="Administración")*FC_V*((FC_Mon="PYG")*S$138+(FC_Mon&lt;&gt;"PYG"))*(1+FC_g)^(S$136-1)*((FC_Desde=0)*(S$135+S$134)+(FC_Desde&gt;=1)*(S$133&gt;=FC_Desde)*S$134))</f>
        <v>0</v>
      </c>
      <c r="T180" s="34" t="n">
        <f aca="false">SUMPRODUCT((FC_Clase="Administración")*FC_V*((FC_Mon="PYG")*T$138+(FC_Mon&lt;&gt;"PYG"))*(1+FC_g)^(T$136-1)*((FC_Desde=0)*(T$135+T$134)+(FC_Desde&gt;=1)*(T$133&gt;=FC_Desde)*T$134))</f>
        <v>0</v>
      </c>
      <c r="U180" s="34" t="n">
        <f aca="false">SUMPRODUCT((FC_Clase="Administración")*FC_V*((FC_Mon="PYG")*U$138+(FC_Mon&lt;&gt;"PYG"))*(1+FC_g)^(U$136-1)*((FC_Desde=0)*(U$135+U$134)+(FC_Desde&gt;=1)*(U$133&gt;=FC_Desde)*U$134))</f>
        <v>0</v>
      </c>
      <c r="V180" s="34" t="n">
        <f aca="false">SUMPRODUCT((FC_Clase="Administración")*FC_V*((FC_Mon="PYG")*V$138+(FC_Mon&lt;&gt;"PYG"))*(1+FC_g)^(V$136-1)*((FC_Desde=0)*(V$135+V$134)+(FC_Desde&gt;=1)*(V$133&gt;=FC_Desde)*V$134))</f>
        <v>0</v>
      </c>
      <c r="W180" s="34" t="n">
        <f aca="false">SUMPRODUCT((FC_Clase="Administración")*FC_V*((FC_Mon="PYG")*W$138+(FC_Mon&lt;&gt;"PYG"))*(1+FC_g)^(W$136-1)*((FC_Desde=0)*(W$135+W$134)+(FC_Desde&gt;=1)*(W$133&gt;=FC_Desde)*W$134))</f>
        <v>0</v>
      </c>
      <c r="X180" s="34" t="n">
        <f aca="false">SUMPRODUCT((FC_Clase="Administración")*FC_V*((FC_Mon="PYG")*X$138+(FC_Mon&lt;&gt;"PYG"))*(1+FC_g)^(X$136-1)*((FC_Desde=0)*(X$135+X$134)+(FC_Desde&gt;=1)*(X$133&gt;=FC_Desde)*X$134))</f>
        <v>0</v>
      </c>
      <c r="Y180" s="34" t="n">
        <f aca="false">SUMPRODUCT((FC_Clase="Administración")*FC_V*((FC_Mon="PYG")*Y$138+(FC_Mon&lt;&gt;"PYG"))*(1+FC_g)^(Y$136-1)*((FC_Desde=0)*(Y$135+Y$134)+(FC_Desde&gt;=1)*(Y$133&gt;=FC_Desde)*Y$134))</f>
        <v>0</v>
      </c>
      <c r="Z180" s="34" t="n">
        <f aca="false">SUMPRODUCT((FC_Clase="Administración")*FC_V*((FC_Mon="PYG")*Z$138+(FC_Mon&lt;&gt;"PYG"))*(1+FC_g)^(Z$136-1)*((FC_Desde=0)*(Z$135+Z$134)+(FC_Desde&gt;=1)*(Z$133&gt;=FC_Desde)*Z$134))</f>
        <v>0</v>
      </c>
      <c r="AA180" s="34" t="n">
        <f aca="false">SUMPRODUCT((FC_Clase="Administración")*FC_V*((FC_Mon="PYG")*AA$138+(FC_Mon&lt;&gt;"PYG"))*(1+FC_g)^(AA$136-1)*((FC_Desde=0)*(AA$135+AA$134)+(FC_Desde&gt;=1)*(AA$133&gt;=FC_Desde)*AA$134))</f>
        <v>0</v>
      </c>
      <c r="AB180" s="34" t="n">
        <f aca="false">SUMPRODUCT((FC_Clase="Administración")*FC_V*((FC_Mon="PYG")*AB$138+(FC_Mon&lt;&gt;"PYG"))*(1+FC_g)^(AB$136-1)*((FC_Desde=0)*(AB$135+AB$134)+(FC_Desde&gt;=1)*(AB$133&gt;=FC_Desde)*AB$134))</f>
        <v>0</v>
      </c>
      <c r="AC180" s="34" t="n">
        <f aca="false">SUMPRODUCT((FC_Clase="Administración")*FC_V*((FC_Mon="PYG")*AC$138+(FC_Mon&lt;&gt;"PYG"))*(1+FC_g)^(AC$136-1)*((FC_Desde=0)*(AC$135+AC$134)+(FC_Desde&gt;=1)*(AC$133&gt;=FC_Desde)*AC$134))</f>
        <v>0</v>
      </c>
      <c r="AD180" s="34" t="n">
        <f aca="false">SUMPRODUCT((FC_Clase="Administración")*FC_V*((FC_Mon="PYG")*AD$138+(FC_Mon&lt;&gt;"PYG"))*(1+FC_g)^(AD$136-1)*((FC_Desde=0)*(AD$135+AD$134)+(FC_Desde&gt;=1)*(AD$133&gt;=FC_Desde)*AD$134))</f>
        <v>0</v>
      </c>
      <c r="AE180" s="34" t="n">
        <f aca="false">SUMPRODUCT((FC_Clase="Administración")*FC_V*((FC_Mon="PYG")*AE$138+(FC_Mon&lt;&gt;"PYG"))*(1+FC_g)^(AE$136-1)*((FC_Desde=0)*(AE$135+AE$134)+(FC_Desde&gt;=1)*(AE$133&gt;=FC_Desde)*AE$134))</f>
        <v>0</v>
      </c>
      <c r="AF180" s="34" t="n">
        <f aca="false">SUMPRODUCT((FC_Clase="Administración")*FC_V*((FC_Mon="PYG")*AF$138+(FC_Mon&lt;&gt;"PYG"))*(1+FC_g)^(AF$136-1)*((FC_Desde=0)*(AF$135+AF$134)+(FC_Desde&gt;=1)*(AF$133&gt;=FC_Desde)*AF$134))</f>
        <v>0</v>
      </c>
      <c r="AG180" s="34" t="n">
        <f aca="false">SUMPRODUCT((FC_Clase="Administración")*FC_V*((FC_Mon="PYG")*AG$138+(FC_Mon&lt;&gt;"PYG"))*(1+FC_g)^(AG$136-1)*((FC_Desde=0)*(AG$135+AG$134)+(FC_Desde&gt;=1)*(AG$133&gt;=FC_Desde)*AG$134))</f>
        <v>0</v>
      </c>
      <c r="AH180" s="34" t="n">
        <f aca="false">SUMPRODUCT((FC_Clase="Administración")*FC_V*((FC_Mon="PYG")*AH$138+(FC_Mon&lt;&gt;"PYG"))*(1+FC_g)^(AH$136-1)*((FC_Desde=0)*(AH$135+AH$134)+(FC_Desde&gt;=1)*(AH$133&gt;=FC_Desde)*AH$134))</f>
        <v>0</v>
      </c>
      <c r="AI180" s="34" t="n">
        <f aca="false">SUMPRODUCT((FC_Clase="Administración")*FC_V*((FC_Mon="PYG")*AI$138+(FC_Mon&lt;&gt;"PYG"))*(1+FC_g)^(AI$136-1)*((FC_Desde=0)*(AI$135+AI$134)+(FC_Desde&gt;=1)*(AI$133&gt;=FC_Desde)*AI$134))</f>
        <v>0</v>
      </c>
      <c r="AJ180" s="34" t="n">
        <f aca="false">SUMPRODUCT((FC_Clase="Administración")*FC_V*((FC_Mon="PYG")*AJ$138+(FC_Mon&lt;&gt;"PYG"))*(1+FC_g)^(AJ$136-1)*((FC_Desde=0)*(AJ$135+AJ$134)+(FC_Desde&gt;=1)*(AJ$133&gt;=FC_Desde)*AJ$134))</f>
        <v>0</v>
      </c>
      <c r="AK180" s="34" t="n">
        <f aca="false">SUMPRODUCT((FC_Clase="Administración")*FC_V*((FC_Mon="PYG")*AK$138+(FC_Mon&lt;&gt;"PYG"))*(1+FC_g)^(AK$136-1)*((FC_Desde=0)*(AK$135+AK$134)+(FC_Desde&gt;=1)*(AK$133&gt;=FC_Desde)*AK$134))</f>
        <v>0</v>
      </c>
      <c r="AL180" s="34" t="n">
        <f aca="false">SUMPRODUCT((FC_Clase="Administración")*FC_V*((FC_Mon="PYG")*AL$138+(FC_Mon&lt;&gt;"PYG"))*(1+FC_g)^(AL$136-1)*((FC_Desde=0)*(AL$135+AL$134)+(FC_Desde&gt;=1)*(AL$133&gt;=FC_Desde)*AL$134))</f>
        <v>0</v>
      </c>
      <c r="AM180" s="34" t="n">
        <f aca="false">SUMPRODUCT((FC_Clase="Administración")*FC_V*((FC_Mon="PYG")*AM$138+(FC_Mon&lt;&gt;"PYG"))*(1+FC_g)^(AM$136-1)*((FC_Desde=0)*(AM$135+AM$134)+(FC_Desde&gt;=1)*(AM$133&gt;=FC_Desde)*AM$134))</f>
        <v>0</v>
      </c>
      <c r="AN180" s="34" t="n">
        <f aca="false">SUMPRODUCT((FC_Clase="Administración")*FC_V*((FC_Mon="PYG")*AN$138+(FC_Mon&lt;&gt;"PYG"))*(1+FC_g)^(AN$136-1)*((FC_Desde=0)*(AN$135+AN$134)+(FC_Desde&gt;=1)*(AN$133&gt;=FC_Desde)*AN$134))</f>
        <v>0</v>
      </c>
      <c r="AO180" s="34" t="n">
        <f aca="false">SUMPRODUCT((FC_Clase="Administración")*FC_V*((FC_Mon="PYG")*AO$138+(FC_Mon&lt;&gt;"PYG"))*(1+FC_g)^(AO$136-1)*((FC_Desde=0)*(AO$135+AO$134)+(FC_Desde&gt;=1)*(AO$133&gt;=FC_Desde)*AO$134))</f>
        <v>0</v>
      </c>
      <c r="AP180" s="34" t="n">
        <f aca="false">SUMPRODUCT((FC_Clase="Administración")*FC_V*((FC_Mon="PYG")*AP$138+(FC_Mon&lt;&gt;"PYG"))*(1+FC_g)^(AP$136-1)*((FC_Desde=0)*(AP$135+AP$134)+(FC_Desde&gt;=1)*(AP$133&gt;=FC_Desde)*AP$134))</f>
        <v>0</v>
      </c>
      <c r="AQ180" s="34" t="n">
        <f aca="false">SUMPRODUCT((FC_Clase="Administración")*FC_V*((FC_Mon="PYG")*AQ$138+(FC_Mon&lt;&gt;"PYG"))*(1+FC_g)^(AQ$136-1)*((FC_Desde=0)*(AQ$135+AQ$134)+(FC_Desde&gt;=1)*(AQ$133&gt;=FC_Desde)*AQ$134))</f>
        <v>0</v>
      </c>
      <c r="AR180" s="34" t="n">
        <f aca="false">SUMPRODUCT((FC_Clase="Administración")*FC_V*((FC_Mon="PYG")*AR$138+(FC_Mon&lt;&gt;"PYG"))*(1+FC_g)^(AR$136-1)*((FC_Desde=0)*(AR$135+AR$134)+(FC_Desde&gt;=1)*(AR$133&gt;=FC_Desde)*AR$134))</f>
        <v>0</v>
      </c>
      <c r="AS180" s="34" t="n">
        <f aca="false">SUMPRODUCT((FC_Clase="Administración")*FC_V*((FC_Mon="PYG")*AS$138+(FC_Mon&lt;&gt;"PYG"))*(1+FC_g)^(AS$136-1)*((FC_Desde=0)*(AS$135+AS$134)+(FC_Desde&gt;=1)*(AS$133&gt;=FC_Desde)*AS$134))</f>
        <v>0</v>
      </c>
      <c r="AT180" s="34" t="n">
        <f aca="false">SUMPRODUCT((FC_Clase="Administración")*FC_V*((FC_Mon="PYG")*AT$138+(FC_Mon&lt;&gt;"PYG"))*(1+FC_g)^(AT$136-1)*((FC_Desde=0)*(AT$135+AT$134)+(FC_Desde&gt;=1)*(AT$133&gt;=FC_Desde)*AT$134))</f>
        <v>0</v>
      </c>
      <c r="AU180" s="34" t="n">
        <f aca="false">SUMPRODUCT((FC_Clase="Administración")*FC_V*((FC_Mon="PYG")*AU$138+(FC_Mon&lt;&gt;"PYG"))*(1+FC_g)^(AU$136-1)*((FC_Desde=0)*(AU$135+AU$134)+(FC_Desde&gt;=1)*(AU$133&gt;=FC_Desde)*AU$134))</f>
        <v>0</v>
      </c>
      <c r="AV180" s="34" t="n">
        <f aca="false">SUMPRODUCT((FC_Clase="Administración")*FC_V*((FC_Mon="PYG")*AV$138+(FC_Mon&lt;&gt;"PYG"))*(1+FC_g)^(AV$136-1)*((FC_Desde=0)*(AV$135+AV$134)+(FC_Desde&gt;=1)*(AV$133&gt;=FC_Desde)*AV$134))</f>
        <v>0</v>
      </c>
      <c r="AW180" s="34" t="n">
        <f aca="false">SUMPRODUCT((FC_Clase="Administración")*FC_V*((FC_Mon="PYG")*AW$138+(FC_Mon&lt;&gt;"PYG"))*(1+FC_g)^(AW$136-1)*((FC_Desde=0)*(AW$135+AW$134)+(FC_Desde&gt;=1)*(AW$133&gt;=FC_Desde)*AW$134))</f>
        <v>0</v>
      </c>
      <c r="AX180" s="34" t="n">
        <f aca="false">SUMPRODUCT((FC_Clase="Administración")*FC_V*((FC_Mon="PYG")*AX$138+(FC_Mon&lt;&gt;"PYG"))*(1+FC_g)^(AX$136-1)*((FC_Desde=0)*(AX$135+AX$134)+(FC_Desde&gt;=1)*(AX$133&gt;=FC_Desde)*AX$134))</f>
        <v>0</v>
      </c>
      <c r="AY180" s="34" t="n">
        <f aca="false">SUMPRODUCT((FC_Clase="Administración")*FC_V*((FC_Mon="PYG")*AY$138+(FC_Mon&lt;&gt;"PYG"))*(1+FC_g)^(AY$136-1)*((FC_Desde=0)*(AY$135+AY$134)+(FC_Desde&gt;=1)*(AY$133&gt;=FC_Desde)*AY$134))</f>
        <v>0</v>
      </c>
      <c r="AZ180" s="34" t="n">
        <f aca="false">SUMPRODUCT((FC_Clase="Administración")*FC_V*((FC_Mon="PYG")*AZ$138+(FC_Mon&lt;&gt;"PYG"))*(1+FC_g)^(AZ$136-1)*((FC_Desde=0)*(AZ$135+AZ$134)+(FC_Desde&gt;=1)*(AZ$133&gt;=FC_Desde)*AZ$134))</f>
        <v>0</v>
      </c>
      <c r="BA180" s="34" t="n">
        <f aca="false">SUMPRODUCT((FC_Clase="Administración")*FC_V*((FC_Mon="PYG")*BA$138+(FC_Mon&lt;&gt;"PYG"))*(1+FC_g)^(BA$136-1)*((FC_Desde=0)*(BA$135+BA$134)+(FC_Desde&gt;=1)*(BA$133&gt;=FC_Desde)*BA$134))</f>
        <v>0</v>
      </c>
      <c r="BB180" s="34" t="n">
        <f aca="false">SUMPRODUCT((FC_Clase="Administración")*FC_V*((FC_Mon="PYG")*BB$138+(FC_Mon&lt;&gt;"PYG"))*(1+FC_g)^(BB$136-1)*((FC_Desde=0)*(BB$135+BB$134)+(FC_Desde&gt;=1)*(BB$133&gt;=FC_Desde)*BB$134))</f>
        <v>0</v>
      </c>
      <c r="BC180" s="34" t="n">
        <f aca="false">SUMPRODUCT((FC_Clase="Administración")*FC_V*((FC_Mon="PYG")*BC$138+(FC_Mon&lt;&gt;"PYG"))*(1+FC_g)^(BC$136-1)*((FC_Desde=0)*(BC$135+BC$134)+(FC_Desde&gt;=1)*(BC$133&gt;=FC_Desde)*BC$134))</f>
        <v>0</v>
      </c>
      <c r="BD180" s="34" t="n">
        <f aca="false">SUMPRODUCT((FC_Clase="Administración")*FC_V*((FC_Mon="PYG")*BD$138+(FC_Mon&lt;&gt;"PYG"))*(1+FC_g)^(BD$136-1)*((FC_Desde=0)*(BD$135+BD$134)+(FC_Desde&gt;=1)*(BD$133&gt;=FC_Desde)*BD$134))</f>
        <v>0</v>
      </c>
      <c r="BE180" s="34" t="n">
        <f aca="false">SUMPRODUCT((FC_Clase="Administración")*FC_V*((FC_Mon="PYG")*BE$138+(FC_Mon&lt;&gt;"PYG"))*(1+FC_g)^(BE$136-1)*((FC_Desde=0)*(BE$135+BE$134)+(FC_Desde&gt;=1)*(BE$133&gt;=FC_Desde)*BE$134))</f>
        <v>0</v>
      </c>
      <c r="BF180" s="34" t="n">
        <f aca="false">SUMPRODUCT((FC_Clase="Administración")*FC_V*((FC_Mon="PYG")*BF$138+(FC_Mon&lt;&gt;"PYG"))*(1+FC_g)^(BF$136-1)*((FC_Desde=0)*(BF$135+BF$134)+(FC_Desde&gt;=1)*(BF$133&gt;=FC_Desde)*BF$134))</f>
        <v>0</v>
      </c>
      <c r="BG180" s="34" t="n">
        <f aca="false">SUMPRODUCT((FC_Clase="Administración")*FC_V*((FC_Mon="PYG")*BG$138+(FC_Mon&lt;&gt;"PYG"))*(1+FC_g)^(BG$136-1)*((FC_Desde=0)*(BG$135+BG$134)+(FC_Desde&gt;=1)*(BG$133&gt;=FC_Desde)*BG$134))</f>
        <v>0</v>
      </c>
      <c r="BH180" s="34" t="n">
        <f aca="false">SUMPRODUCT((FC_Clase="Administración")*FC_V*((FC_Mon="PYG")*BH$138+(FC_Mon&lt;&gt;"PYG"))*(1+FC_g)^(BH$136-1)*((FC_Desde=0)*(BH$135+BH$134)+(FC_Desde&gt;=1)*(BH$133&gt;=FC_Desde)*BH$134))</f>
        <v>0</v>
      </c>
      <c r="BI180" s="34" t="n">
        <f aca="false">SUMPRODUCT((FC_Clase="Administración")*FC_V*((FC_Mon="PYG")*BI$138+(FC_Mon&lt;&gt;"PYG"))*(1+FC_g)^(BI$136-1)*((FC_Desde=0)*(BI$135+BI$134)+(FC_Desde&gt;=1)*(BI$133&gt;=FC_Desde)*BI$134))</f>
        <v>0</v>
      </c>
      <c r="BJ180" s="34" t="n">
        <f aca="false">SUMPRODUCT((FC_Clase="Administración")*FC_V*((FC_Mon="PYG")*BJ$138+(FC_Mon&lt;&gt;"PYG"))*(1+FC_g)^(BJ$136-1)*((FC_Desde=0)*(BJ$135+BJ$134)+(FC_Desde&gt;=1)*(BJ$133&gt;=FC_Desde)*BJ$134))</f>
        <v>0</v>
      </c>
      <c r="BK180" s="34" t="n">
        <f aca="false">SUMPRODUCT((FC_Clase="Administración")*FC_V*((FC_Mon="PYG")*BK$138+(FC_Mon&lt;&gt;"PYG"))*(1+FC_g)^(BK$136-1)*((FC_Desde=0)*(BK$135+BK$134)+(FC_Desde&gt;=1)*(BK$133&gt;=FC_Desde)*BK$134))</f>
        <v>0</v>
      </c>
      <c r="BL180" s="34" t="n">
        <f aca="false">SUMPRODUCT((FC_Clase="Administración")*FC_V*((FC_Mon="PYG")*BL$138+(FC_Mon&lt;&gt;"PYG"))*(1+FC_g)^(BL$136-1)*((FC_Desde=0)*(BL$135+BL$134)+(FC_Desde&gt;=1)*(BL$133&gt;=FC_Desde)*BL$134))</f>
        <v>0</v>
      </c>
      <c r="BM180" s="34" t="n">
        <f aca="false">SUMPRODUCT((FC_Clase="Administración")*FC_V*((FC_Mon="PYG")*BM$138+(FC_Mon&lt;&gt;"PYG"))*(1+FC_g)^(BM$136-1)*((FC_Desde=0)*(BM$135+BM$134)+(FC_Desde&gt;=1)*(BM$133&gt;=FC_Desde)*BM$134))</f>
        <v>0</v>
      </c>
      <c r="BN180" s="34" t="n">
        <f aca="false">SUMPRODUCT((FC_Clase="Administración")*FC_V*((FC_Mon="PYG")*BN$138+(FC_Mon&lt;&gt;"PYG"))*(1+FC_g)^(BN$136-1)*((FC_Desde=0)*(BN$135+BN$134)+(FC_Desde&gt;=1)*(BN$133&gt;=FC_Desde)*BN$134))</f>
        <v>0</v>
      </c>
      <c r="BO180" s="34" t="n">
        <f aca="false">SUMPRODUCT((FC_Clase="Administración")*FC_V*((FC_Mon="PYG")*BO$138+(FC_Mon&lt;&gt;"PYG"))*(1+FC_g)^(BO$136-1)*((FC_Desde=0)*(BO$135+BO$134)+(FC_Desde&gt;=1)*(BO$133&gt;=FC_Desde)*BO$134))</f>
        <v>0</v>
      </c>
      <c r="BP180" s="34" t="n">
        <f aca="false">SUMPRODUCT((FC_Clase="Administración")*FC_V*((FC_Mon="PYG")*BP$138+(FC_Mon&lt;&gt;"PYG"))*(1+FC_g)^(BP$136-1)*((FC_Desde=0)*(BP$135+BP$134)+(FC_Desde&gt;=1)*(BP$133&gt;=FC_Desde)*BP$134))</f>
        <v>0</v>
      </c>
      <c r="BQ180" s="34" t="n">
        <f aca="false">SUMPRODUCT((FC_Clase="Administración")*FC_V*((FC_Mon="PYG")*BQ$138+(FC_Mon&lt;&gt;"PYG"))*(1+FC_g)^(BQ$136-1)*((FC_Desde=0)*(BQ$135+BQ$134)+(FC_Desde&gt;=1)*(BQ$133&gt;=FC_Desde)*BQ$134))</f>
        <v>0</v>
      </c>
      <c r="BR180" s="34" t="n">
        <f aca="false">SUMPRODUCT((FC_Clase="Administración")*FC_V*((FC_Mon="PYG")*BR$138+(FC_Mon&lt;&gt;"PYG"))*(1+FC_g)^(BR$136-1)*((FC_Desde=0)*(BR$135+BR$134)+(FC_Desde&gt;=1)*(BR$133&gt;=FC_Desde)*BR$134))</f>
        <v>0</v>
      </c>
      <c r="BS180" s="34" t="n">
        <f aca="false">SUMPRODUCT((FC_Clase="Administración")*FC_V*((FC_Mon="PYG")*BS$138+(FC_Mon&lt;&gt;"PYG"))*(1+FC_g)^(BS$136-1)*((FC_Desde=0)*(BS$135+BS$134)+(FC_Desde&gt;=1)*(BS$133&gt;=FC_Desde)*BS$134))</f>
        <v>0</v>
      </c>
      <c r="BT180" s="34" t="n">
        <f aca="false">SUMPRODUCT((FC_Clase="Administración")*FC_V*((FC_Mon="PYG")*BT$138+(FC_Mon&lt;&gt;"PYG"))*(1+FC_g)^(BT$136-1)*((FC_Desde=0)*(BT$135+BT$134)+(FC_Desde&gt;=1)*(BT$133&gt;=FC_Desde)*BT$134))</f>
        <v>0</v>
      </c>
      <c r="BU180" s="34" t="n">
        <f aca="false">SUMPRODUCT((FC_Clase="Administración")*FC_V*((FC_Mon="PYG")*BU$138+(FC_Mon&lt;&gt;"PYG"))*(1+FC_g)^(BU$136-1)*((FC_Desde=0)*(BU$135+BU$134)+(FC_Desde&gt;=1)*(BU$133&gt;=FC_Desde)*BU$134))</f>
        <v>0</v>
      </c>
      <c r="BV180" s="34" t="n">
        <f aca="false">SUMPRODUCT((FC_Clase="Administración")*FC_V*((FC_Mon="PYG")*BV$138+(FC_Mon&lt;&gt;"PYG"))*(1+FC_g)^(BV$136-1)*((FC_Desde=0)*(BV$135+BV$134)+(FC_Desde&gt;=1)*(BV$133&gt;=FC_Desde)*BV$134))</f>
        <v>0</v>
      </c>
      <c r="BW180" s="34" t="n">
        <f aca="false">SUMPRODUCT((FC_Clase="Administración")*FC_V*((FC_Mon="PYG")*BW$138+(FC_Mon&lt;&gt;"PYG"))*(1+FC_g)^(BW$136-1)*((FC_Desde=0)*(BW$135+BW$134)+(FC_Desde&gt;=1)*(BW$133&gt;=FC_Desde)*BW$134))</f>
        <v>0</v>
      </c>
      <c r="BX180" s="34" t="n">
        <f aca="false">SUMPRODUCT((FC_Clase="Administración")*FC_V*((FC_Mon="PYG")*BX$138+(FC_Mon&lt;&gt;"PYG"))*(1+FC_g)^(BX$136-1)*((FC_Desde=0)*(BX$135+BX$134)+(FC_Desde&gt;=1)*(BX$133&gt;=FC_Desde)*BX$134))</f>
        <v>0</v>
      </c>
      <c r="BY180" s="34" t="n">
        <f aca="false">SUMPRODUCT((FC_Clase="Administración")*FC_V*((FC_Mon="PYG")*BY$138+(FC_Mon&lt;&gt;"PYG"))*(1+FC_g)^(BY$136-1)*((FC_Desde=0)*(BY$135+BY$134)+(FC_Desde&gt;=1)*(BY$133&gt;=FC_Desde)*BY$134))</f>
        <v>0</v>
      </c>
      <c r="BZ180" s="34" t="n">
        <f aca="false">SUMPRODUCT((FC_Clase="Administración")*FC_V*((FC_Mon="PYG")*BZ$138+(FC_Mon&lt;&gt;"PYG"))*(1+FC_g)^(BZ$136-1)*((FC_Desde=0)*(BZ$135+BZ$134)+(FC_Desde&gt;=1)*(BZ$133&gt;=FC_Desde)*BZ$134))</f>
        <v>0</v>
      </c>
      <c r="CA180" s="34" t="n">
        <f aca="false">SUMPRODUCT((FC_Clase="Administración")*FC_V*((FC_Mon="PYG")*CA$138+(FC_Mon&lt;&gt;"PYG"))*(1+FC_g)^(CA$136-1)*((FC_Desde=0)*(CA$135+CA$134)+(FC_Desde&gt;=1)*(CA$133&gt;=FC_Desde)*CA$134))</f>
        <v>0</v>
      </c>
      <c r="CB180" s="34" t="n">
        <f aca="false">SUMPRODUCT((FC_Clase="Administración")*FC_V*((FC_Mon="PYG")*CB$138+(FC_Mon&lt;&gt;"PYG"))*(1+FC_g)^(CB$136-1)*((FC_Desde=0)*(CB$135+CB$134)+(FC_Desde&gt;=1)*(CB$133&gt;=FC_Desde)*CB$134))</f>
        <v>0</v>
      </c>
      <c r="CC180" s="34" t="n">
        <f aca="false">SUMPRODUCT((FC_Clase="Administración")*FC_V*((FC_Mon="PYG")*CC$138+(FC_Mon&lt;&gt;"PYG"))*(1+FC_g)^(CC$136-1)*((FC_Desde=0)*(CC$135+CC$134)+(FC_Desde&gt;=1)*(CC$133&gt;=FC_Desde)*CC$134))</f>
        <v>0</v>
      </c>
      <c r="CD180" s="34" t="n">
        <f aca="false">SUMPRODUCT((FC_Clase="Administración")*FC_V*((FC_Mon="PYG")*CD$138+(FC_Mon&lt;&gt;"PYG"))*(1+FC_g)^(CD$136-1)*((FC_Desde=0)*(CD$135+CD$134)+(FC_Desde&gt;=1)*(CD$133&gt;=FC_Desde)*CD$134))</f>
        <v>0</v>
      </c>
      <c r="CE180" s="34" t="n">
        <f aca="false">SUMPRODUCT((FC_Clase="Administración")*FC_V*((FC_Mon="PYG")*CE$138+(FC_Mon&lt;&gt;"PYG"))*(1+FC_g)^(CE$136-1)*((FC_Desde=0)*(CE$135+CE$134)+(FC_Desde&gt;=1)*(CE$133&gt;=FC_Desde)*CE$134))</f>
        <v>0</v>
      </c>
      <c r="CF180" s="34" t="n">
        <f aca="false">SUMPRODUCT((FC_Clase="Administración")*FC_V*((FC_Mon="PYG")*CF$138+(FC_Mon&lt;&gt;"PYG"))*(1+FC_g)^(CF$136-1)*((FC_Desde=0)*(CF$135+CF$134)+(FC_Desde&gt;=1)*(CF$133&gt;=FC_Desde)*CF$134))</f>
        <v>0</v>
      </c>
      <c r="CG180" s="34" t="n">
        <f aca="false">SUMPRODUCT((FC_Clase="Administración")*FC_V*((FC_Mon="PYG")*CG$138+(FC_Mon&lt;&gt;"PYG"))*(1+FC_g)^(CG$136-1)*((FC_Desde=0)*(CG$135+CG$134)+(FC_Desde&gt;=1)*(CG$133&gt;=FC_Desde)*CG$134))</f>
        <v>0</v>
      </c>
      <c r="CH180" s="34" t="n">
        <f aca="false">SUMPRODUCT((FC_Clase="Administración")*FC_V*((FC_Mon="PYG")*CH$138+(FC_Mon&lt;&gt;"PYG"))*(1+FC_g)^(CH$136-1)*((FC_Desde=0)*(CH$135+CH$134)+(FC_Desde&gt;=1)*(CH$133&gt;=FC_Desde)*CH$134))</f>
        <v>0</v>
      </c>
      <c r="CI180" s="34" t="n">
        <f aca="false">SUMPRODUCT((FC_Clase="Administración")*FC_V*((FC_Mon="PYG")*CI$138+(FC_Mon&lt;&gt;"PYG"))*(1+FC_g)^(CI$136-1)*((FC_Desde=0)*(CI$135+CI$134)+(FC_Desde&gt;=1)*(CI$133&gt;=FC_Desde)*CI$134))</f>
        <v>0</v>
      </c>
      <c r="CJ180" s="34" t="n">
        <f aca="false">SUMPRODUCT((FC_Clase="Administración")*FC_V*((FC_Mon="PYG")*CJ$138+(FC_Mon&lt;&gt;"PYG"))*(1+FC_g)^(CJ$136-1)*((FC_Desde=0)*(CJ$135+CJ$134)+(FC_Desde&gt;=1)*(CJ$133&gt;=FC_Desde)*CJ$134))</f>
        <v>0</v>
      </c>
      <c r="CK180" s="34" t="n">
        <f aca="false">SUMPRODUCT((FC_Clase="Administración")*FC_V*((FC_Mon="PYG")*CK$138+(FC_Mon&lt;&gt;"PYG"))*(1+FC_g)^(CK$136-1)*((FC_Desde=0)*(CK$135+CK$134)+(FC_Desde&gt;=1)*(CK$133&gt;=FC_Desde)*CK$134))</f>
        <v>0</v>
      </c>
      <c r="CL180" s="34" t="n">
        <f aca="false">SUMPRODUCT((FC_Clase="Administración")*FC_V*((FC_Mon="PYG")*CL$138+(FC_Mon&lt;&gt;"PYG"))*(1+FC_g)^(CL$136-1)*((FC_Desde=0)*(CL$135+CL$134)+(FC_Desde&gt;=1)*(CL$133&gt;=FC_Desde)*CL$134))</f>
        <v>0</v>
      </c>
      <c r="CM180" s="34" t="n">
        <f aca="false">SUMPRODUCT((FC_Clase="Administración")*FC_V*((FC_Mon="PYG")*CM$138+(FC_Mon&lt;&gt;"PYG"))*(1+FC_g)^(CM$136-1)*((FC_Desde=0)*(CM$135+CM$134)+(FC_Desde&gt;=1)*(CM$133&gt;=FC_Desde)*CM$134))</f>
        <v>0</v>
      </c>
      <c r="CN180" s="34" t="n">
        <f aca="false">SUMPRODUCT((FC_Clase="Administración")*FC_V*((FC_Mon="PYG")*CN$138+(FC_Mon&lt;&gt;"PYG"))*(1+FC_g)^(CN$136-1)*((FC_Desde=0)*(CN$135+CN$134)+(FC_Desde&gt;=1)*(CN$133&gt;=FC_Desde)*CN$134))</f>
        <v>0</v>
      </c>
      <c r="CO180" s="34" t="n">
        <f aca="false">SUMPRODUCT((FC_Clase="Administración")*FC_V*((FC_Mon="PYG")*CO$138+(FC_Mon&lt;&gt;"PYG"))*(1+FC_g)^(CO$136-1)*((FC_Desde=0)*(CO$135+CO$134)+(FC_Desde&gt;=1)*(CO$133&gt;=FC_Desde)*CO$134))</f>
        <v>0</v>
      </c>
      <c r="CP180" s="34" t="n">
        <f aca="false">SUMPRODUCT((FC_Clase="Administración")*FC_V*((FC_Mon="PYG")*CP$138+(FC_Mon&lt;&gt;"PYG"))*(1+FC_g)^(CP$136-1)*((FC_Desde=0)*(CP$135+CP$134)+(FC_Desde&gt;=1)*(CP$133&gt;=FC_Desde)*CP$134))</f>
        <v>0</v>
      </c>
      <c r="CQ180" s="34" t="n">
        <f aca="false">SUMPRODUCT((FC_Clase="Administración")*FC_V*((FC_Mon="PYG")*CQ$138+(FC_Mon&lt;&gt;"PYG"))*(1+FC_g)^(CQ$136-1)*((FC_Desde=0)*(CQ$135+CQ$134)+(FC_Desde&gt;=1)*(CQ$133&gt;=FC_Desde)*CQ$134))</f>
        <v>0</v>
      </c>
      <c r="CR180" s="34" t="n">
        <f aca="false">SUMPRODUCT((FC_Clase="Administración")*FC_V*((FC_Mon="PYG")*CR$138+(FC_Mon&lt;&gt;"PYG"))*(1+FC_g)^(CR$136-1)*((FC_Desde=0)*(CR$135+CR$134)+(FC_Desde&gt;=1)*(CR$133&gt;=FC_Desde)*CR$134))</f>
        <v>0</v>
      </c>
      <c r="CS180" s="34" t="n">
        <f aca="false">SUMPRODUCT((FC_Clase="Administración")*FC_V*((FC_Mon="PYG")*CS$138+(FC_Mon&lt;&gt;"PYG"))*(1+FC_g)^(CS$136-1)*((FC_Desde=0)*(CS$135+CS$134)+(FC_Desde&gt;=1)*(CS$133&gt;=FC_Desde)*CS$134))</f>
        <v>0</v>
      </c>
      <c r="CT180" s="34" t="n">
        <f aca="false">SUMPRODUCT((FC_Clase="Administración")*FC_V*((FC_Mon="PYG")*CT$138+(FC_Mon&lt;&gt;"PYG"))*(1+FC_g)^(CT$136-1)*((FC_Desde=0)*(CT$135+CT$134)+(FC_Desde&gt;=1)*(CT$133&gt;=FC_Desde)*CT$134))</f>
        <v>0</v>
      </c>
      <c r="CU180" s="34" t="n">
        <f aca="false">SUMPRODUCT((FC_Clase="Administración")*FC_V*((FC_Mon="PYG")*CU$138+(FC_Mon&lt;&gt;"PYG"))*(1+FC_g)^(CU$136-1)*((FC_Desde=0)*(CU$135+CU$134)+(FC_Desde&gt;=1)*(CU$133&gt;=FC_Desde)*CU$134))</f>
        <v>0</v>
      </c>
      <c r="CV180" s="34" t="n">
        <f aca="false">SUMPRODUCT((FC_Clase="Administración")*FC_V*((FC_Mon="PYG")*CV$138+(FC_Mon&lt;&gt;"PYG"))*(1+FC_g)^(CV$136-1)*((FC_Desde=0)*(CV$135+CV$134)+(FC_Desde&gt;=1)*(CV$133&gt;=FC_Desde)*CV$134))</f>
        <v>0</v>
      </c>
      <c r="CW180" s="34" t="n">
        <f aca="false">SUMPRODUCT((FC_Clase="Administración")*FC_V*((FC_Mon="PYG")*CW$138+(FC_Mon&lt;&gt;"PYG"))*(1+FC_g)^(CW$136-1)*((FC_Desde=0)*(CW$135+CW$134)+(FC_Desde&gt;=1)*(CW$133&gt;=FC_Desde)*CW$134))</f>
        <v>0</v>
      </c>
      <c r="CX180" s="34" t="n">
        <f aca="false">SUMPRODUCT((FC_Clase="Administración")*FC_V*((FC_Mon="PYG")*CX$138+(FC_Mon&lt;&gt;"PYG"))*(1+FC_g)^(CX$136-1)*((FC_Desde=0)*(CX$135+CX$134)+(FC_Desde&gt;=1)*(CX$133&gt;=FC_Desde)*CX$134))</f>
        <v>0</v>
      </c>
      <c r="CY180" s="34" t="n">
        <f aca="false">SUMPRODUCT((FC_Clase="Administración")*FC_V*((FC_Mon="PYG")*CY$138+(FC_Mon&lt;&gt;"PYG"))*(1+FC_g)^(CY$136-1)*((FC_Desde=0)*(CY$135+CY$134)+(FC_Desde&gt;=1)*(CY$133&gt;=FC_Desde)*CY$134))</f>
        <v>0</v>
      </c>
      <c r="CZ180" s="34" t="n">
        <f aca="false">SUMPRODUCT((FC_Clase="Administración")*FC_V*((FC_Mon="PYG")*CZ$138+(FC_Mon&lt;&gt;"PYG"))*(1+FC_g)^(CZ$136-1)*((FC_Desde=0)*(CZ$135+CZ$134)+(FC_Desde&gt;=1)*(CZ$133&gt;=FC_Desde)*CZ$134))</f>
        <v>0</v>
      </c>
      <c r="DA180" s="34" t="n">
        <f aca="false">SUMPRODUCT((FC_Clase="Administración")*FC_V*((FC_Mon="PYG")*DA$138+(FC_Mon&lt;&gt;"PYG"))*(1+FC_g)^(DA$136-1)*((FC_Desde=0)*(DA$135+DA$134)+(FC_Desde&gt;=1)*(DA$133&gt;=FC_Desde)*DA$134))</f>
        <v>0</v>
      </c>
      <c r="DB180" s="34" t="n">
        <f aca="false">SUMPRODUCT((FC_Clase="Administración")*FC_V*((FC_Mon="PYG")*DB$138+(FC_Mon&lt;&gt;"PYG"))*(1+FC_g)^(DB$136-1)*((FC_Desde=0)*(DB$135+DB$134)+(FC_Desde&gt;=1)*(DB$133&gt;=FC_Desde)*DB$134))</f>
        <v>0</v>
      </c>
      <c r="DC180" s="34" t="n">
        <f aca="false">SUMPRODUCT((FC_Clase="Administración")*FC_V*((FC_Mon="PYG")*DC$138+(FC_Mon&lt;&gt;"PYG"))*(1+FC_g)^(DC$136-1)*((FC_Desde=0)*(DC$135+DC$134)+(FC_Desde&gt;=1)*(DC$133&gt;=FC_Desde)*DC$134))</f>
        <v>0</v>
      </c>
      <c r="DD180" s="34" t="n">
        <f aca="false">SUMPRODUCT((FC_Clase="Administración")*FC_V*((FC_Mon="PYG")*DD$138+(FC_Mon&lt;&gt;"PYG"))*(1+FC_g)^(DD$136-1)*((FC_Desde=0)*(DD$135+DD$134)+(FC_Desde&gt;=1)*(DD$133&gt;=FC_Desde)*DD$134))</f>
        <v>0</v>
      </c>
      <c r="DE180" s="34" t="n">
        <f aca="false">SUMPRODUCT((FC_Clase="Administración")*FC_V*((FC_Mon="PYG")*DE$138+(FC_Mon&lt;&gt;"PYG"))*(1+FC_g)^(DE$136-1)*((FC_Desde=0)*(DE$135+DE$134)+(FC_Desde&gt;=1)*(DE$133&gt;=FC_Desde)*DE$134))</f>
        <v>0</v>
      </c>
      <c r="DF180" s="34" t="n">
        <f aca="false">SUMPRODUCT((FC_Clase="Administración")*FC_V*((FC_Mon="PYG")*DF$138+(FC_Mon&lt;&gt;"PYG"))*(1+FC_g)^(DF$136-1)*((FC_Desde=0)*(DF$135+DF$134)+(FC_Desde&gt;=1)*(DF$133&gt;=FC_Desde)*DF$134))</f>
        <v>0</v>
      </c>
      <c r="DG180" s="34" t="n">
        <f aca="false">SUMPRODUCT((FC_Clase="Administración")*FC_V*((FC_Mon="PYG")*DG$138+(FC_Mon&lt;&gt;"PYG"))*(1+FC_g)^(DG$136-1)*((FC_Desde=0)*(DG$135+DG$134)+(FC_Desde&gt;=1)*(DG$133&gt;=FC_Desde)*DG$134))</f>
        <v>0</v>
      </c>
      <c r="DH180" s="34" t="n">
        <f aca="false">SUMPRODUCT((FC_Clase="Administración")*FC_V*((FC_Mon="PYG")*DH$138+(FC_Mon&lt;&gt;"PYG"))*(1+FC_g)^(DH$136-1)*((FC_Desde=0)*(DH$135+DH$134)+(FC_Desde&gt;=1)*(DH$133&gt;=FC_Desde)*DH$134))</f>
        <v>0</v>
      </c>
      <c r="DI180" s="34" t="n">
        <f aca="false">SUMPRODUCT((FC_Clase="Administración")*FC_V*((FC_Mon="PYG")*DI$138+(FC_Mon&lt;&gt;"PYG"))*(1+FC_g)^(DI$136-1)*((FC_Desde=0)*(DI$135+DI$134)+(FC_Desde&gt;=1)*(DI$133&gt;=FC_Desde)*DI$134))</f>
        <v>0</v>
      </c>
      <c r="DJ180" s="34" t="n">
        <f aca="false">SUMPRODUCT((FC_Clase="Administración")*FC_V*((FC_Mon="PYG")*DJ$138+(FC_Mon&lt;&gt;"PYG"))*(1+FC_g)^(DJ$136-1)*((FC_Desde=0)*(DJ$135+DJ$134)+(FC_Desde&gt;=1)*(DJ$133&gt;=FC_Desde)*DJ$134))</f>
        <v>0</v>
      </c>
      <c r="DK180" s="34" t="n">
        <f aca="false">SUMPRODUCT((FC_Clase="Administración")*FC_V*((FC_Mon="PYG")*DK$138+(FC_Mon&lt;&gt;"PYG"))*(1+FC_g)^(DK$136-1)*((FC_Desde=0)*(DK$135+DK$134)+(FC_Desde&gt;=1)*(DK$133&gt;=FC_Desde)*DK$134))</f>
        <v>0</v>
      </c>
      <c r="DL180" s="34" t="n">
        <f aca="false">SUMPRODUCT((FC_Clase="Administración")*FC_V*((FC_Mon="PYG")*DL$138+(FC_Mon&lt;&gt;"PYG"))*(1+FC_g)^(DL$136-1)*((FC_Desde=0)*(DL$135+DL$134)+(FC_Desde&gt;=1)*(DL$133&gt;=FC_Desde)*DL$134))</f>
        <v>0</v>
      </c>
      <c r="DM180" s="34" t="n">
        <f aca="false">SUMPRODUCT((FC_Clase="Administración")*FC_V*((FC_Mon="PYG")*DM$138+(FC_Mon&lt;&gt;"PYG"))*(1+FC_g)^(DM$136-1)*((FC_Desde=0)*(DM$135+DM$134)+(FC_Desde&gt;=1)*(DM$133&gt;=FC_Desde)*DM$134))</f>
        <v>0</v>
      </c>
      <c r="DN180" s="34" t="n">
        <f aca="false">SUMPRODUCT((FC_Clase="Administración")*FC_V*((FC_Mon="PYG")*DN$138+(FC_Mon&lt;&gt;"PYG"))*(1+FC_g)^(DN$136-1)*((FC_Desde=0)*(DN$135+DN$134)+(FC_Desde&gt;=1)*(DN$133&gt;=FC_Desde)*DN$134))</f>
        <v>0</v>
      </c>
      <c r="DO180" s="34" t="n">
        <f aca="false">SUMPRODUCT((FC_Clase="Administración")*FC_V*((FC_Mon="PYG")*DO$138+(FC_Mon&lt;&gt;"PYG"))*(1+FC_g)^(DO$136-1)*((FC_Desde=0)*(DO$135+DO$134)+(FC_Desde&gt;=1)*(DO$133&gt;=FC_Desde)*DO$134))</f>
        <v>0</v>
      </c>
      <c r="DP180" s="34" t="n">
        <f aca="false">SUMPRODUCT((FC_Clase="Administración")*FC_V*((FC_Mon="PYG")*DP$138+(FC_Mon&lt;&gt;"PYG"))*(1+FC_g)^(DP$136-1)*((FC_Desde=0)*(DP$135+DP$134)+(FC_Desde&gt;=1)*(DP$133&gt;=FC_Desde)*DP$134))</f>
        <v>0</v>
      </c>
      <c r="DQ180" s="34" t="n">
        <f aca="false">SUMPRODUCT((FC_Clase="Administración")*FC_V*((FC_Mon="PYG")*DQ$138+(FC_Mon&lt;&gt;"PYG"))*(1+FC_g)^(DQ$136-1)*((FC_Desde=0)*(DQ$135+DQ$134)+(FC_Desde&gt;=1)*(DQ$133&gt;=FC_Desde)*DQ$134))</f>
        <v>0</v>
      </c>
      <c r="DR180" s="34" t="n">
        <f aca="false">SUMPRODUCT((FC_Clase="Administración")*FC_V*((FC_Mon="PYG")*DR$138+(FC_Mon&lt;&gt;"PYG"))*(1+FC_g)^(DR$136-1)*((FC_Desde=0)*(DR$135+DR$134)+(FC_Desde&gt;=1)*(DR$133&gt;=FC_Desde)*DR$134))</f>
        <v>0</v>
      </c>
      <c r="DS180" s="34" t="n">
        <f aca="false">SUMPRODUCT((FC_Clase="Administración")*FC_V*((FC_Mon="PYG")*DS$138+(FC_Mon&lt;&gt;"PYG"))*(1+FC_g)^(DS$136-1)*((FC_Desde=0)*(DS$135+DS$134)+(FC_Desde&gt;=1)*(DS$133&gt;=FC_Desde)*DS$134))</f>
        <v>0</v>
      </c>
      <c r="DT180" s="34" t="n">
        <f aca="false">SUMPRODUCT((FC_Clase="Administración")*FC_V*((FC_Mon="PYG")*DT$138+(FC_Mon&lt;&gt;"PYG"))*(1+FC_g)^(DT$136-1)*((FC_Desde=0)*(DT$135+DT$134)+(FC_Desde&gt;=1)*(DT$133&gt;=FC_Desde)*DT$134))</f>
        <v>0</v>
      </c>
      <c r="DU180" s="34" t="n">
        <f aca="false">SUMPRODUCT((FC_Clase="Administración")*FC_V*((FC_Mon="PYG")*DU$138+(FC_Mon&lt;&gt;"PYG"))*(1+FC_g)^(DU$136-1)*((FC_Desde=0)*(DU$135+DU$134)+(FC_Desde&gt;=1)*(DU$133&gt;=FC_Desde)*DU$134))</f>
        <v>0</v>
      </c>
      <c r="DV180" s="34" t="n">
        <f aca="false">SUMPRODUCT((FC_Clase="Administración")*FC_V*((FC_Mon="PYG")*DV$138+(FC_Mon&lt;&gt;"PYG"))*(1+FC_g)^(DV$136-1)*((FC_Desde=0)*(DV$135+DV$134)+(FC_Desde&gt;=1)*(DV$133&gt;=FC_Desde)*DV$134))</f>
        <v>0</v>
      </c>
      <c r="DW180" s="34" t="n">
        <f aca="false">SUMPRODUCT((FC_Clase="Administración")*FC_V*((FC_Mon="PYG")*DW$138+(FC_Mon&lt;&gt;"PYG"))*(1+FC_g)^(DW$136-1)*((FC_Desde=0)*(DW$135+DW$134)+(FC_Desde&gt;=1)*(DW$133&gt;=FC_Desde)*DW$134))</f>
        <v>0</v>
      </c>
      <c r="DX180" s="34" t="n">
        <f aca="false">SUMPRODUCT((FC_Clase="Administración")*FC_V*((FC_Mon="PYG")*DX$138+(FC_Mon&lt;&gt;"PYG"))*(1+FC_g)^(DX$136-1)*((FC_Desde=0)*(DX$135+DX$134)+(FC_Desde&gt;=1)*(DX$133&gt;=FC_Desde)*DX$134))</f>
        <v>0</v>
      </c>
      <c r="DY180" s="34" t="n">
        <f aca="false">SUMPRODUCT((FC_Clase="Administración")*FC_V*((FC_Mon="PYG")*DY$138+(FC_Mon&lt;&gt;"PYG"))*(1+FC_g)^(DY$136-1)*((FC_Desde=0)*(DY$135+DY$134)+(FC_Desde&gt;=1)*(DY$133&gt;=FC_Desde)*DY$134))</f>
        <v>0</v>
      </c>
      <c r="DZ180" s="34" t="n">
        <f aca="false">SUMPRODUCT((FC_Clase="Administración")*FC_V*((FC_Mon="PYG")*DZ$138+(FC_Mon&lt;&gt;"PYG"))*(1+FC_g)^(DZ$136-1)*((FC_Desde=0)*(DZ$135+DZ$134)+(FC_Desde&gt;=1)*(DZ$133&gt;=FC_Desde)*DZ$134))</f>
        <v>0</v>
      </c>
      <c r="EA180" s="34" t="n">
        <f aca="false">SUMPRODUCT((FC_Clase="Administración")*FC_V*((FC_Mon="PYG")*EA$138+(FC_Mon&lt;&gt;"PYG"))*(1+FC_g)^(EA$136-1)*((FC_Desde=0)*(EA$135+EA$134)+(FC_Desde&gt;=1)*(EA$133&gt;=FC_Desde)*EA$134))</f>
        <v>0</v>
      </c>
      <c r="EB180" s="34" t="n">
        <f aca="false">SUMPRODUCT((FC_Clase="Administración")*FC_V*((FC_Mon="PYG")*EB$138+(FC_Mon&lt;&gt;"PYG"))*(1+FC_g)^(EB$136-1)*((FC_Desde=0)*(EB$135+EB$134)+(FC_Desde&gt;=1)*(EB$133&gt;=FC_Desde)*EB$134))</f>
        <v>0</v>
      </c>
      <c r="EC180" s="34" t="n">
        <f aca="false">SUMPRODUCT((FC_Clase="Administración")*FC_V*((FC_Mon="PYG")*EC$138+(FC_Mon&lt;&gt;"PYG"))*(1+FC_g)^(EC$136-1)*((FC_Desde=0)*(EC$135+EC$134)+(FC_Desde&gt;=1)*(EC$133&gt;=FC_Desde)*EC$134))</f>
        <v>0</v>
      </c>
      <c r="ED180" s="34" t="n">
        <f aca="false">SUMPRODUCT((FC_Clase="Administración")*FC_V*((FC_Mon="PYG")*ED$138+(FC_Mon&lt;&gt;"PYG"))*(1+FC_g)^(ED$136-1)*((FC_Desde=0)*(ED$135+ED$134)+(FC_Desde&gt;=1)*(ED$133&gt;=FC_Desde)*ED$134))</f>
        <v>0</v>
      </c>
      <c r="EE180" s="34" t="n">
        <f aca="false">SUMPRODUCT((FC_Clase="Administración")*FC_V*((FC_Mon="PYG")*EE$138+(FC_Mon&lt;&gt;"PYG"))*(1+FC_g)^(EE$136-1)*((FC_Desde=0)*(EE$135+EE$134)+(FC_Desde&gt;=1)*(EE$133&gt;=FC_Desde)*EE$134))</f>
        <v>0</v>
      </c>
      <c r="EF180" s="34" t="n">
        <f aca="false">SUMPRODUCT((FC_Clase="Administración")*FC_V*((FC_Mon="PYG")*EF$138+(FC_Mon&lt;&gt;"PYG"))*(1+FC_g)^(EF$136-1)*((FC_Desde=0)*(EF$135+EF$134)+(FC_Desde&gt;=1)*(EF$133&gt;=FC_Desde)*EF$134))</f>
        <v>0</v>
      </c>
      <c r="EG180" s="34" t="n">
        <f aca="false">SUMPRODUCT((FC_Clase="Administración")*FC_V*((FC_Mon="PYG")*EG$138+(FC_Mon&lt;&gt;"PYG"))*(1+FC_g)^(EG$136-1)*((FC_Desde=0)*(EG$135+EG$134)+(FC_Desde&gt;=1)*(EG$133&gt;=FC_Desde)*EG$134))</f>
        <v>0</v>
      </c>
      <c r="EH180" s="34" t="n">
        <f aca="false">SUMPRODUCT((FC_Clase="Administración")*FC_V*((FC_Mon="PYG")*EH$138+(FC_Mon&lt;&gt;"PYG"))*(1+FC_g)^(EH$136-1)*((FC_Desde=0)*(EH$135+EH$134)+(FC_Desde&gt;=1)*(EH$133&gt;=FC_Desde)*EH$134))</f>
        <v>0</v>
      </c>
      <c r="EI180" s="34" t="n">
        <f aca="false">SUMPRODUCT((FC_Clase="Administración")*FC_V*((FC_Mon="PYG")*EI$138+(FC_Mon&lt;&gt;"PYG"))*(1+FC_g)^(EI$136-1)*((FC_Desde=0)*(EI$135+EI$134)+(FC_Desde&gt;=1)*(EI$133&gt;=FC_Desde)*EI$134))</f>
        <v>0</v>
      </c>
      <c r="EJ180" s="34" t="n">
        <f aca="false">SUMPRODUCT((FC_Clase="Administración")*FC_V*((FC_Mon="PYG")*EJ$138+(FC_Mon&lt;&gt;"PYG"))*(1+FC_g)^(EJ$136-1)*((FC_Desde=0)*(EJ$135+EJ$134)+(FC_Desde&gt;=1)*(EJ$133&gt;=FC_Desde)*EJ$134))</f>
        <v>0</v>
      </c>
      <c r="EK180" s="34" t="n">
        <f aca="false">SUMPRODUCT((FC_Clase="Administración")*FC_V*((FC_Mon="PYG")*EK$138+(FC_Mon&lt;&gt;"PYG"))*(1+FC_g)^(EK$136-1)*((FC_Desde=0)*(EK$135+EK$134)+(FC_Desde&gt;=1)*(EK$133&gt;=FC_Desde)*EK$134))</f>
        <v>0</v>
      </c>
      <c r="EL180" s="34" t="n">
        <f aca="false">SUMPRODUCT((FC_Clase="Administración")*FC_V*((FC_Mon="PYG")*EL$138+(FC_Mon&lt;&gt;"PYG"))*(1+FC_g)^(EL$136-1)*((FC_Desde=0)*(EL$135+EL$134)+(FC_Desde&gt;=1)*(EL$133&gt;=FC_Desde)*EL$134))</f>
        <v>0</v>
      </c>
      <c r="EM180" s="34" t="n">
        <f aca="false">SUMPRODUCT((FC_Clase="Administración")*FC_V*((FC_Mon="PYG")*EM$138+(FC_Mon&lt;&gt;"PYG"))*(1+FC_g)^(EM$136-1)*((FC_Desde=0)*(EM$135+EM$134)+(FC_Desde&gt;=1)*(EM$133&gt;=FC_Desde)*EM$134))</f>
        <v>0</v>
      </c>
      <c r="EN180" s="34" t="n">
        <f aca="false">SUMPRODUCT((FC_Clase="Administración")*FC_V*((FC_Mon="PYG")*EN$138+(FC_Mon&lt;&gt;"PYG"))*(1+FC_g)^(EN$136-1)*((FC_Desde=0)*(EN$135+EN$134)+(FC_Desde&gt;=1)*(EN$133&gt;=FC_Desde)*EN$134))</f>
        <v>0</v>
      </c>
      <c r="EO180" s="34" t="n">
        <f aca="false">SUMPRODUCT((FC_Clase="Administración")*FC_V*((FC_Mon="PYG")*EO$138+(FC_Mon&lt;&gt;"PYG"))*(1+FC_g)^(EO$136-1)*((FC_Desde=0)*(EO$135+EO$134)+(FC_Desde&gt;=1)*(EO$133&gt;=FC_Desde)*EO$134))</f>
        <v>0</v>
      </c>
      <c r="EP180" s="34" t="n">
        <f aca="false">SUMPRODUCT((FC_Clase="Administración")*FC_V*((FC_Mon="PYG")*EP$138+(FC_Mon&lt;&gt;"PYG"))*(1+FC_g)^(EP$136-1)*((FC_Desde=0)*(EP$135+EP$134)+(FC_Desde&gt;=1)*(EP$133&gt;=FC_Desde)*EP$134))</f>
        <v>0</v>
      </c>
      <c r="EQ180" s="34" t="n">
        <f aca="false">SUMPRODUCT((FC_Clase="Administración")*FC_V*((FC_Mon="PYG")*EQ$138+(FC_Mon&lt;&gt;"PYG"))*(1+FC_g)^(EQ$136-1)*((FC_Desde=0)*(EQ$135+EQ$134)+(FC_Desde&gt;=1)*(EQ$133&gt;=FC_Desde)*EQ$134))</f>
        <v>0</v>
      </c>
      <c r="ER180" s="34" t="n">
        <f aca="false">SUMPRODUCT((FC_Clase="Administración")*FC_V*((FC_Mon="PYG")*ER$138+(FC_Mon&lt;&gt;"PYG"))*(1+FC_g)^(ER$136-1)*((FC_Desde=0)*(ER$135+ER$134)+(FC_Desde&gt;=1)*(ER$133&gt;=FC_Desde)*ER$134))</f>
        <v>0</v>
      </c>
      <c r="ES180" s="34" t="n">
        <f aca="false">SUMPRODUCT((FC_Clase="Administración")*FC_V*((FC_Mon="PYG")*ES$138+(FC_Mon&lt;&gt;"PYG"))*(1+FC_g)^(ES$136-1)*((FC_Desde=0)*(ES$135+ES$134)+(FC_Desde&gt;=1)*(ES$133&gt;=FC_Desde)*ES$134))</f>
        <v>0</v>
      </c>
    </row>
    <row r="181" customFormat="false" ht="15" hidden="false" customHeight="false" outlineLevel="0" collapsed="false">
      <c r="A181" s="2" t="s">
        <v>659</v>
      </c>
      <c r="B181" s="6" t="s">
        <v>490</v>
      </c>
      <c r="C181" s="6" t="s">
        <v>212</v>
      </c>
      <c r="E181" s="40" t="n">
        <f aca="false">SUM(F181:ES181)</f>
        <v>0</v>
      </c>
      <c r="F181" s="34" t="n">
        <f aca="false">SUMPRODUCT((FC_Clase="Administración")*FC_Base*FC_V*((FC_Mon="PYG")*F$138+(FC_Mon&lt;&gt;"PYG"))*(1+FC_g)^(F$136-1)*((FC_Desde=0)*(F$135+F$134)+(FC_Desde&gt;=1)*(F$133&gt;=FC_Desde)*F$134))</f>
        <v>0</v>
      </c>
      <c r="G181" s="34" t="n">
        <f aca="false">SUMPRODUCT((FC_Clase="Administración")*FC_Base*FC_V*((FC_Mon="PYG")*G$138+(FC_Mon&lt;&gt;"PYG"))*(1+FC_g)^(G$136-1)*((FC_Desde=0)*(G$135+G$134)+(FC_Desde&gt;=1)*(G$133&gt;=FC_Desde)*G$134))</f>
        <v>0</v>
      </c>
      <c r="H181" s="34" t="n">
        <f aca="false">SUMPRODUCT((FC_Clase="Administración")*FC_Base*FC_V*((FC_Mon="PYG")*H$138+(FC_Mon&lt;&gt;"PYG"))*(1+FC_g)^(H$136-1)*((FC_Desde=0)*(H$135+H$134)+(FC_Desde&gt;=1)*(H$133&gt;=FC_Desde)*H$134))</f>
        <v>0</v>
      </c>
      <c r="I181" s="34" t="n">
        <f aca="false">SUMPRODUCT((FC_Clase="Administración")*FC_Base*FC_V*((FC_Mon="PYG")*I$138+(FC_Mon&lt;&gt;"PYG"))*(1+FC_g)^(I$136-1)*((FC_Desde=0)*(I$135+I$134)+(FC_Desde&gt;=1)*(I$133&gt;=FC_Desde)*I$134))</f>
        <v>0</v>
      </c>
      <c r="J181" s="34" t="n">
        <f aca="false">SUMPRODUCT((FC_Clase="Administración")*FC_Base*FC_V*((FC_Mon="PYG")*J$138+(FC_Mon&lt;&gt;"PYG"))*(1+FC_g)^(J$136-1)*((FC_Desde=0)*(J$135+J$134)+(FC_Desde&gt;=1)*(J$133&gt;=FC_Desde)*J$134))</f>
        <v>0</v>
      </c>
      <c r="K181" s="34" t="n">
        <f aca="false">SUMPRODUCT((FC_Clase="Administración")*FC_Base*FC_V*((FC_Mon="PYG")*K$138+(FC_Mon&lt;&gt;"PYG"))*(1+FC_g)^(K$136-1)*((FC_Desde=0)*(K$135+K$134)+(FC_Desde&gt;=1)*(K$133&gt;=FC_Desde)*K$134))</f>
        <v>0</v>
      </c>
      <c r="L181" s="34" t="n">
        <f aca="false">SUMPRODUCT((FC_Clase="Administración")*FC_Base*FC_V*((FC_Mon="PYG")*L$138+(FC_Mon&lt;&gt;"PYG"))*(1+FC_g)^(L$136-1)*((FC_Desde=0)*(L$135+L$134)+(FC_Desde&gt;=1)*(L$133&gt;=FC_Desde)*L$134))</f>
        <v>0</v>
      </c>
      <c r="M181" s="34" t="n">
        <f aca="false">SUMPRODUCT((FC_Clase="Administración")*FC_Base*FC_V*((FC_Mon="PYG")*M$138+(FC_Mon&lt;&gt;"PYG"))*(1+FC_g)^(M$136-1)*((FC_Desde=0)*(M$135+M$134)+(FC_Desde&gt;=1)*(M$133&gt;=FC_Desde)*M$134))</f>
        <v>0</v>
      </c>
      <c r="N181" s="34" t="n">
        <f aca="false">SUMPRODUCT((FC_Clase="Administración")*FC_Base*FC_V*((FC_Mon="PYG")*N$138+(FC_Mon&lt;&gt;"PYG"))*(1+FC_g)^(N$136-1)*((FC_Desde=0)*(N$135+N$134)+(FC_Desde&gt;=1)*(N$133&gt;=FC_Desde)*N$134))</f>
        <v>0</v>
      </c>
      <c r="O181" s="34" t="n">
        <f aca="false">SUMPRODUCT((FC_Clase="Administración")*FC_Base*FC_V*((FC_Mon="PYG")*O$138+(FC_Mon&lt;&gt;"PYG"))*(1+FC_g)^(O$136-1)*((FC_Desde=0)*(O$135+O$134)+(FC_Desde&gt;=1)*(O$133&gt;=FC_Desde)*O$134))</f>
        <v>0</v>
      </c>
      <c r="P181" s="34" t="n">
        <f aca="false">SUMPRODUCT((FC_Clase="Administración")*FC_Base*FC_V*((FC_Mon="PYG")*P$138+(FC_Mon&lt;&gt;"PYG"))*(1+FC_g)^(P$136-1)*((FC_Desde=0)*(P$135+P$134)+(FC_Desde&gt;=1)*(P$133&gt;=FC_Desde)*P$134))</f>
        <v>0</v>
      </c>
      <c r="Q181" s="34" t="n">
        <f aca="false">SUMPRODUCT((FC_Clase="Administración")*FC_Base*FC_V*((FC_Mon="PYG")*Q$138+(FC_Mon&lt;&gt;"PYG"))*(1+FC_g)^(Q$136-1)*((FC_Desde=0)*(Q$135+Q$134)+(FC_Desde&gt;=1)*(Q$133&gt;=FC_Desde)*Q$134))</f>
        <v>0</v>
      </c>
      <c r="R181" s="34" t="n">
        <f aca="false">SUMPRODUCT((FC_Clase="Administración")*FC_Base*FC_V*((FC_Mon="PYG")*R$138+(FC_Mon&lt;&gt;"PYG"))*(1+FC_g)^(R$136-1)*((FC_Desde=0)*(R$135+R$134)+(FC_Desde&gt;=1)*(R$133&gt;=FC_Desde)*R$134))</f>
        <v>0</v>
      </c>
      <c r="S181" s="34" t="n">
        <f aca="false">SUMPRODUCT((FC_Clase="Administración")*FC_Base*FC_V*((FC_Mon="PYG")*S$138+(FC_Mon&lt;&gt;"PYG"))*(1+FC_g)^(S$136-1)*((FC_Desde=0)*(S$135+S$134)+(FC_Desde&gt;=1)*(S$133&gt;=FC_Desde)*S$134))</f>
        <v>0</v>
      </c>
      <c r="T181" s="34" t="n">
        <f aca="false">SUMPRODUCT((FC_Clase="Administración")*FC_Base*FC_V*((FC_Mon="PYG")*T$138+(FC_Mon&lt;&gt;"PYG"))*(1+FC_g)^(T$136-1)*((FC_Desde=0)*(T$135+T$134)+(FC_Desde&gt;=1)*(T$133&gt;=FC_Desde)*T$134))</f>
        <v>0</v>
      </c>
      <c r="U181" s="34" t="n">
        <f aca="false">SUMPRODUCT((FC_Clase="Administración")*FC_Base*FC_V*((FC_Mon="PYG")*U$138+(FC_Mon&lt;&gt;"PYG"))*(1+FC_g)^(U$136-1)*((FC_Desde=0)*(U$135+U$134)+(FC_Desde&gt;=1)*(U$133&gt;=FC_Desde)*U$134))</f>
        <v>0</v>
      </c>
      <c r="V181" s="34" t="n">
        <f aca="false">SUMPRODUCT((FC_Clase="Administración")*FC_Base*FC_V*((FC_Mon="PYG")*V$138+(FC_Mon&lt;&gt;"PYG"))*(1+FC_g)^(V$136-1)*((FC_Desde=0)*(V$135+V$134)+(FC_Desde&gt;=1)*(V$133&gt;=FC_Desde)*V$134))</f>
        <v>0</v>
      </c>
      <c r="W181" s="34" t="n">
        <f aca="false">SUMPRODUCT((FC_Clase="Administración")*FC_Base*FC_V*((FC_Mon="PYG")*W$138+(FC_Mon&lt;&gt;"PYG"))*(1+FC_g)^(W$136-1)*((FC_Desde=0)*(W$135+W$134)+(FC_Desde&gt;=1)*(W$133&gt;=FC_Desde)*W$134))</f>
        <v>0</v>
      </c>
      <c r="X181" s="34" t="n">
        <f aca="false">SUMPRODUCT((FC_Clase="Administración")*FC_Base*FC_V*((FC_Mon="PYG")*X$138+(FC_Mon&lt;&gt;"PYG"))*(1+FC_g)^(X$136-1)*((FC_Desde=0)*(X$135+X$134)+(FC_Desde&gt;=1)*(X$133&gt;=FC_Desde)*X$134))</f>
        <v>0</v>
      </c>
      <c r="Y181" s="34" t="n">
        <f aca="false">SUMPRODUCT((FC_Clase="Administración")*FC_Base*FC_V*((FC_Mon="PYG")*Y$138+(FC_Mon&lt;&gt;"PYG"))*(1+FC_g)^(Y$136-1)*((FC_Desde=0)*(Y$135+Y$134)+(FC_Desde&gt;=1)*(Y$133&gt;=FC_Desde)*Y$134))</f>
        <v>0</v>
      </c>
      <c r="Z181" s="34" t="n">
        <f aca="false">SUMPRODUCT((FC_Clase="Administración")*FC_Base*FC_V*((FC_Mon="PYG")*Z$138+(FC_Mon&lt;&gt;"PYG"))*(1+FC_g)^(Z$136-1)*((FC_Desde=0)*(Z$135+Z$134)+(FC_Desde&gt;=1)*(Z$133&gt;=FC_Desde)*Z$134))</f>
        <v>0</v>
      </c>
      <c r="AA181" s="34" t="n">
        <f aca="false">SUMPRODUCT((FC_Clase="Administración")*FC_Base*FC_V*((FC_Mon="PYG")*AA$138+(FC_Mon&lt;&gt;"PYG"))*(1+FC_g)^(AA$136-1)*((FC_Desde=0)*(AA$135+AA$134)+(FC_Desde&gt;=1)*(AA$133&gt;=FC_Desde)*AA$134))</f>
        <v>0</v>
      </c>
      <c r="AB181" s="34" t="n">
        <f aca="false">SUMPRODUCT((FC_Clase="Administración")*FC_Base*FC_V*((FC_Mon="PYG")*AB$138+(FC_Mon&lt;&gt;"PYG"))*(1+FC_g)^(AB$136-1)*((FC_Desde=0)*(AB$135+AB$134)+(FC_Desde&gt;=1)*(AB$133&gt;=FC_Desde)*AB$134))</f>
        <v>0</v>
      </c>
      <c r="AC181" s="34" t="n">
        <f aca="false">SUMPRODUCT((FC_Clase="Administración")*FC_Base*FC_V*((FC_Mon="PYG")*AC$138+(FC_Mon&lt;&gt;"PYG"))*(1+FC_g)^(AC$136-1)*((FC_Desde=0)*(AC$135+AC$134)+(FC_Desde&gt;=1)*(AC$133&gt;=FC_Desde)*AC$134))</f>
        <v>0</v>
      </c>
      <c r="AD181" s="34" t="n">
        <f aca="false">SUMPRODUCT((FC_Clase="Administración")*FC_Base*FC_V*((FC_Mon="PYG")*AD$138+(FC_Mon&lt;&gt;"PYG"))*(1+FC_g)^(AD$136-1)*((FC_Desde=0)*(AD$135+AD$134)+(FC_Desde&gt;=1)*(AD$133&gt;=FC_Desde)*AD$134))</f>
        <v>0</v>
      </c>
      <c r="AE181" s="34" t="n">
        <f aca="false">SUMPRODUCT((FC_Clase="Administración")*FC_Base*FC_V*((FC_Mon="PYG")*AE$138+(FC_Mon&lt;&gt;"PYG"))*(1+FC_g)^(AE$136-1)*((FC_Desde=0)*(AE$135+AE$134)+(FC_Desde&gt;=1)*(AE$133&gt;=FC_Desde)*AE$134))</f>
        <v>0</v>
      </c>
      <c r="AF181" s="34" t="n">
        <f aca="false">SUMPRODUCT((FC_Clase="Administración")*FC_Base*FC_V*((FC_Mon="PYG")*AF$138+(FC_Mon&lt;&gt;"PYG"))*(1+FC_g)^(AF$136-1)*((FC_Desde=0)*(AF$135+AF$134)+(FC_Desde&gt;=1)*(AF$133&gt;=FC_Desde)*AF$134))</f>
        <v>0</v>
      </c>
      <c r="AG181" s="34" t="n">
        <f aca="false">SUMPRODUCT((FC_Clase="Administración")*FC_Base*FC_V*((FC_Mon="PYG")*AG$138+(FC_Mon&lt;&gt;"PYG"))*(1+FC_g)^(AG$136-1)*((FC_Desde=0)*(AG$135+AG$134)+(FC_Desde&gt;=1)*(AG$133&gt;=FC_Desde)*AG$134))</f>
        <v>0</v>
      </c>
      <c r="AH181" s="34" t="n">
        <f aca="false">SUMPRODUCT((FC_Clase="Administración")*FC_Base*FC_V*((FC_Mon="PYG")*AH$138+(FC_Mon&lt;&gt;"PYG"))*(1+FC_g)^(AH$136-1)*((FC_Desde=0)*(AH$135+AH$134)+(FC_Desde&gt;=1)*(AH$133&gt;=FC_Desde)*AH$134))</f>
        <v>0</v>
      </c>
      <c r="AI181" s="34" t="n">
        <f aca="false">SUMPRODUCT((FC_Clase="Administración")*FC_Base*FC_V*((FC_Mon="PYG")*AI$138+(FC_Mon&lt;&gt;"PYG"))*(1+FC_g)^(AI$136-1)*((FC_Desde=0)*(AI$135+AI$134)+(FC_Desde&gt;=1)*(AI$133&gt;=FC_Desde)*AI$134))</f>
        <v>0</v>
      </c>
      <c r="AJ181" s="34" t="n">
        <f aca="false">SUMPRODUCT((FC_Clase="Administración")*FC_Base*FC_V*((FC_Mon="PYG")*AJ$138+(FC_Mon&lt;&gt;"PYG"))*(1+FC_g)^(AJ$136-1)*((FC_Desde=0)*(AJ$135+AJ$134)+(FC_Desde&gt;=1)*(AJ$133&gt;=FC_Desde)*AJ$134))</f>
        <v>0</v>
      </c>
      <c r="AK181" s="34" t="n">
        <f aca="false">SUMPRODUCT((FC_Clase="Administración")*FC_Base*FC_V*((FC_Mon="PYG")*AK$138+(FC_Mon&lt;&gt;"PYG"))*(1+FC_g)^(AK$136-1)*((FC_Desde=0)*(AK$135+AK$134)+(FC_Desde&gt;=1)*(AK$133&gt;=FC_Desde)*AK$134))</f>
        <v>0</v>
      </c>
      <c r="AL181" s="34" t="n">
        <f aca="false">SUMPRODUCT((FC_Clase="Administración")*FC_Base*FC_V*((FC_Mon="PYG")*AL$138+(FC_Mon&lt;&gt;"PYG"))*(1+FC_g)^(AL$136-1)*((FC_Desde=0)*(AL$135+AL$134)+(FC_Desde&gt;=1)*(AL$133&gt;=FC_Desde)*AL$134))</f>
        <v>0</v>
      </c>
      <c r="AM181" s="34" t="n">
        <f aca="false">SUMPRODUCT((FC_Clase="Administración")*FC_Base*FC_V*((FC_Mon="PYG")*AM$138+(FC_Mon&lt;&gt;"PYG"))*(1+FC_g)^(AM$136-1)*((FC_Desde=0)*(AM$135+AM$134)+(FC_Desde&gt;=1)*(AM$133&gt;=FC_Desde)*AM$134))</f>
        <v>0</v>
      </c>
      <c r="AN181" s="34" t="n">
        <f aca="false">SUMPRODUCT((FC_Clase="Administración")*FC_Base*FC_V*((FC_Mon="PYG")*AN$138+(FC_Mon&lt;&gt;"PYG"))*(1+FC_g)^(AN$136-1)*((FC_Desde=0)*(AN$135+AN$134)+(FC_Desde&gt;=1)*(AN$133&gt;=FC_Desde)*AN$134))</f>
        <v>0</v>
      </c>
      <c r="AO181" s="34" t="n">
        <f aca="false">SUMPRODUCT((FC_Clase="Administración")*FC_Base*FC_V*((FC_Mon="PYG")*AO$138+(FC_Mon&lt;&gt;"PYG"))*(1+FC_g)^(AO$136-1)*((FC_Desde=0)*(AO$135+AO$134)+(FC_Desde&gt;=1)*(AO$133&gt;=FC_Desde)*AO$134))</f>
        <v>0</v>
      </c>
      <c r="AP181" s="34" t="n">
        <f aca="false">SUMPRODUCT((FC_Clase="Administración")*FC_Base*FC_V*((FC_Mon="PYG")*AP$138+(FC_Mon&lt;&gt;"PYG"))*(1+FC_g)^(AP$136-1)*((FC_Desde=0)*(AP$135+AP$134)+(FC_Desde&gt;=1)*(AP$133&gt;=FC_Desde)*AP$134))</f>
        <v>0</v>
      </c>
      <c r="AQ181" s="34" t="n">
        <f aca="false">SUMPRODUCT((FC_Clase="Administración")*FC_Base*FC_V*((FC_Mon="PYG")*AQ$138+(FC_Mon&lt;&gt;"PYG"))*(1+FC_g)^(AQ$136-1)*((FC_Desde=0)*(AQ$135+AQ$134)+(FC_Desde&gt;=1)*(AQ$133&gt;=FC_Desde)*AQ$134))</f>
        <v>0</v>
      </c>
      <c r="AR181" s="34" t="n">
        <f aca="false">SUMPRODUCT((FC_Clase="Administración")*FC_Base*FC_V*((FC_Mon="PYG")*AR$138+(FC_Mon&lt;&gt;"PYG"))*(1+FC_g)^(AR$136-1)*((FC_Desde=0)*(AR$135+AR$134)+(FC_Desde&gt;=1)*(AR$133&gt;=FC_Desde)*AR$134))</f>
        <v>0</v>
      </c>
      <c r="AS181" s="34" t="n">
        <f aca="false">SUMPRODUCT((FC_Clase="Administración")*FC_Base*FC_V*((FC_Mon="PYG")*AS$138+(FC_Mon&lt;&gt;"PYG"))*(1+FC_g)^(AS$136-1)*((FC_Desde=0)*(AS$135+AS$134)+(FC_Desde&gt;=1)*(AS$133&gt;=FC_Desde)*AS$134))</f>
        <v>0</v>
      </c>
      <c r="AT181" s="34" t="n">
        <f aca="false">SUMPRODUCT((FC_Clase="Administración")*FC_Base*FC_V*((FC_Mon="PYG")*AT$138+(FC_Mon&lt;&gt;"PYG"))*(1+FC_g)^(AT$136-1)*((FC_Desde=0)*(AT$135+AT$134)+(FC_Desde&gt;=1)*(AT$133&gt;=FC_Desde)*AT$134))</f>
        <v>0</v>
      </c>
      <c r="AU181" s="34" t="n">
        <f aca="false">SUMPRODUCT((FC_Clase="Administración")*FC_Base*FC_V*((FC_Mon="PYG")*AU$138+(FC_Mon&lt;&gt;"PYG"))*(1+FC_g)^(AU$136-1)*((FC_Desde=0)*(AU$135+AU$134)+(FC_Desde&gt;=1)*(AU$133&gt;=FC_Desde)*AU$134))</f>
        <v>0</v>
      </c>
      <c r="AV181" s="34" t="n">
        <f aca="false">SUMPRODUCT((FC_Clase="Administración")*FC_Base*FC_V*((FC_Mon="PYG")*AV$138+(FC_Mon&lt;&gt;"PYG"))*(1+FC_g)^(AV$136-1)*((FC_Desde=0)*(AV$135+AV$134)+(FC_Desde&gt;=1)*(AV$133&gt;=FC_Desde)*AV$134))</f>
        <v>0</v>
      </c>
      <c r="AW181" s="34" t="n">
        <f aca="false">SUMPRODUCT((FC_Clase="Administración")*FC_Base*FC_V*((FC_Mon="PYG")*AW$138+(FC_Mon&lt;&gt;"PYG"))*(1+FC_g)^(AW$136-1)*((FC_Desde=0)*(AW$135+AW$134)+(FC_Desde&gt;=1)*(AW$133&gt;=FC_Desde)*AW$134))</f>
        <v>0</v>
      </c>
      <c r="AX181" s="34" t="n">
        <f aca="false">SUMPRODUCT((FC_Clase="Administración")*FC_Base*FC_V*((FC_Mon="PYG")*AX$138+(FC_Mon&lt;&gt;"PYG"))*(1+FC_g)^(AX$136-1)*((FC_Desde=0)*(AX$135+AX$134)+(FC_Desde&gt;=1)*(AX$133&gt;=FC_Desde)*AX$134))</f>
        <v>0</v>
      </c>
      <c r="AY181" s="34" t="n">
        <f aca="false">SUMPRODUCT((FC_Clase="Administración")*FC_Base*FC_V*((FC_Mon="PYG")*AY$138+(FC_Mon&lt;&gt;"PYG"))*(1+FC_g)^(AY$136-1)*((FC_Desde=0)*(AY$135+AY$134)+(FC_Desde&gt;=1)*(AY$133&gt;=FC_Desde)*AY$134))</f>
        <v>0</v>
      </c>
      <c r="AZ181" s="34" t="n">
        <f aca="false">SUMPRODUCT((FC_Clase="Administración")*FC_Base*FC_V*((FC_Mon="PYG")*AZ$138+(FC_Mon&lt;&gt;"PYG"))*(1+FC_g)^(AZ$136-1)*((FC_Desde=0)*(AZ$135+AZ$134)+(FC_Desde&gt;=1)*(AZ$133&gt;=FC_Desde)*AZ$134))</f>
        <v>0</v>
      </c>
      <c r="BA181" s="34" t="n">
        <f aca="false">SUMPRODUCT((FC_Clase="Administración")*FC_Base*FC_V*((FC_Mon="PYG")*BA$138+(FC_Mon&lt;&gt;"PYG"))*(1+FC_g)^(BA$136-1)*((FC_Desde=0)*(BA$135+BA$134)+(FC_Desde&gt;=1)*(BA$133&gt;=FC_Desde)*BA$134))</f>
        <v>0</v>
      </c>
      <c r="BB181" s="34" t="n">
        <f aca="false">SUMPRODUCT((FC_Clase="Administración")*FC_Base*FC_V*((FC_Mon="PYG")*BB$138+(FC_Mon&lt;&gt;"PYG"))*(1+FC_g)^(BB$136-1)*((FC_Desde=0)*(BB$135+BB$134)+(FC_Desde&gt;=1)*(BB$133&gt;=FC_Desde)*BB$134))</f>
        <v>0</v>
      </c>
      <c r="BC181" s="34" t="n">
        <f aca="false">SUMPRODUCT((FC_Clase="Administración")*FC_Base*FC_V*((FC_Mon="PYG")*BC$138+(FC_Mon&lt;&gt;"PYG"))*(1+FC_g)^(BC$136-1)*((FC_Desde=0)*(BC$135+BC$134)+(FC_Desde&gt;=1)*(BC$133&gt;=FC_Desde)*BC$134))</f>
        <v>0</v>
      </c>
      <c r="BD181" s="34" t="n">
        <f aca="false">SUMPRODUCT((FC_Clase="Administración")*FC_Base*FC_V*((FC_Mon="PYG")*BD$138+(FC_Mon&lt;&gt;"PYG"))*(1+FC_g)^(BD$136-1)*((FC_Desde=0)*(BD$135+BD$134)+(FC_Desde&gt;=1)*(BD$133&gt;=FC_Desde)*BD$134))</f>
        <v>0</v>
      </c>
      <c r="BE181" s="34" t="n">
        <f aca="false">SUMPRODUCT((FC_Clase="Administración")*FC_Base*FC_V*((FC_Mon="PYG")*BE$138+(FC_Mon&lt;&gt;"PYG"))*(1+FC_g)^(BE$136-1)*((FC_Desde=0)*(BE$135+BE$134)+(FC_Desde&gt;=1)*(BE$133&gt;=FC_Desde)*BE$134))</f>
        <v>0</v>
      </c>
      <c r="BF181" s="34" t="n">
        <f aca="false">SUMPRODUCT((FC_Clase="Administración")*FC_Base*FC_V*((FC_Mon="PYG")*BF$138+(FC_Mon&lt;&gt;"PYG"))*(1+FC_g)^(BF$136-1)*((FC_Desde=0)*(BF$135+BF$134)+(FC_Desde&gt;=1)*(BF$133&gt;=FC_Desde)*BF$134))</f>
        <v>0</v>
      </c>
      <c r="BG181" s="34" t="n">
        <f aca="false">SUMPRODUCT((FC_Clase="Administración")*FC_Base*FC_V*((FC_Mon="PYG")*BG$138+(FC_Mon&lt;&gt;"PYG"))*(1+FC_g)^(BG$136-1)*((FC_Desde=0)*(BG$135+BG$134)+(FC_Desde&gt;=1)*(BG$133&gt;=FC_Desde)*BG$134))</f>
        <v>0</v>
      </c>
      <c r="BH181" s="34" t="n">
        <f aca="false">SUMPRODUCT((FC_Clase="Administración")*FC_Base*FC_V*((FC_Mon="PYG")*BH$138+(FC_Mon&lt;&gt;"PYG"))*(1+FC_g)^(BH$136-1)*((FC_Desde=0)*(BH$135+BH$134)+(FC_Desde&gt;=1)*(BH$133&gt;=FC_Desde)*BH$134))</f>
        <v>0</v>
      </c>
      <c r="BI181" s="34" t="n">
        <f aca="false">SUMPRODUCT((FC_Clase="Administración")*FC_Base*FC_V*((FC_Mon="PYG")*BI$138+(FC_Mon&lt;&gt;"PYG"))*(1+FC_g)^(BI$136-1)*((FC_Desde=0)*(BI$135+BI$134)+(FC_Desde&gt;=1)*(BI$133&gt;=FC_Desde)*BI$134))</f>
        <v>0</v>
      </c>
      <c r="BJ181" s="34" t="n">
        <f aca="false">SUMPRODUCT((FC_Clase="Administración")*FC_Base*FC_V*((FC_Mon="PYG")*BJ$138+(FC_Mon&lt;&gt;"PYG"))*(1+FC_g)^(BJ$136-1)*((FC_Desde=0)*(BJ$135+BJ$134)+(FC_Desde&gt;=1)*(BJ$133&gt;=FC_Desde)*BJ$134))</f>
        <v>0</v>
      </c>
      <c r="BK181" s="34" t="n">
        <f aca="false">SUMPRODUCT((FC_Clase="Administración")*FC_Base*FC_V*((FC_Mon="PYG")*BK$138+(FC_Mon&lt;&gt;"PYG"))*(1+FC_g)^(BK$136-1)*((FC_Desde=0)*(BK$135+BK$134)+(FC_Desde&gt;=1)*(BK$133&gt;=FC_Desde)*BK$134))</f>
        <v>0</v>
      </c>
      <c r="BL181" s="34" t="n">
        <f aca="false">SUMPRODUCT((FC_Clase="Administración")*FC_Base*FC_V*((FC_Mon="PYG")*BL$138+(FC_Mon&lt;&gt;"PYG"))*(1+FC_g)^(BL$136-1)*((FC_Desde=0)*(BL$135+BL$134)+(FC_Desde&gt;=1)*(BL$133&gt;=FC_Desde)*BL$134))</f>
        <v>0</v>
      </c>
      <c r="BM181" s="34" t="n">
        <f aca="false">SUMPRODUCT((FC_Clase="Administración")*FC_Base*FC_V*((FC_Mon="PYG")*BM$138+(FC_Mon&lt;&gt;"PYG"))*(1+FC_g)^(BM$136-1)*((FC_Desde=0)*(BM$135+BM$134)+(FC_Desde&gt;=1)*(BM$133&gt;=FC_Desde)*BM$134))</f>
        <v>0</v>
      </c>
      <c r="BN181" s="34" t="n">
        <f aca="false">SUMPRODUCT((FC_Clase="Administración")*FC_Base*FC_V*((FC_Mon="PYG")*BN$138+(FC_Mon&lt;&gt;"PYG"))*(1+FC_g)^(BN$136-1)*((FC_Desde=0)*(BN$135+BN$134)+(FC_Desde&gt;=1)*(BN$133&gt;=FC_Desde)*BN$134))</f>
        <v>0</v>
      </c>
      <c r="BO181" s="34" t="n">
        <f aca="false">SUMPRODUCT((FC_Clase="Administración")*FC_Base*FC_V*((FC_Mon="PYG")*BO$138+(FC_Mon&lt;&gt;"PYG"))*(1+FC_g)^(BO$136-1)*((FC_Desde=0)*(BO$135+BO$134)+(FC_Desde&gt;=1)*(BO$133&gt;=FC_Desde)*BO$134))</f>
        <v>0</v>
      </c>
      <c r="BP181" s="34" t="n">
        <f aca="false">SUMPRODUCT((FC_Clase="Administración")*FC_Base*FC_V*((FC_Mon="PYG")*BP$138+(FC_Mon&lt;&gt;"PYG"))*(1+FC_g)^(BP$136-1)*((FC_Desde=0)*(BP$135+BP$134)+(FC_Desde&gt;=1)*(BP$133&gt;=FC_Desde)*BP$134))</f>
        <v>0</v>
      </c>
      <c r="BQ181" s="34" t="n">
        <f aca="false">SUMPRODUCT((FC_Clase="Administración")*FC_Base*FC_V*((FC_Mon="PYG")*BQ$138+(FC_Mon&lt;&gt;"PYG"))*(1+FC_g)^(BQ$136-1)*((FC_Desde=0)*(BQ$135+BQ$134)+(FC_Desde&gt;=1)*(BQ$133&gt;=FC_Desde)*BQ$134))</f>
        <v>0</v>
      </c>
      <c r="BR181" s="34" t="n">
        <f aca="false">SUMPRODUCT((FC_Clase="Administración")*FC_Base*FC_V*((FC_Mon="PYG")*BR$138+(FC_Mon&lt;&gt;"PYG"))*(1+FC_g)^(BR$136-1)*((FC_Desde=0)*(BR$135+BR$134)+(FC_Desde&gt;=1)*(BR$133&gt;=FC_Desde)*BR$134))</f>
        <v>0</v>
      </c>
      <c r="BS181" s="34" t="n">
        <f aca="false">SUMPRODUCT((FC_Clase="Administración")*FC_Base*FC_V*((FC_Mon="PYG")*BS$138+(FC_Mon&lt;&gt;"PYG"))*(1+FC_g)^(BS$136-1)*((FC_Desde=0)*(BS$135+BS$134)+(FC_Desde&gt;=1)*(BS$133&gt;=FC_Desde)*BS$134))</f>
        <v>0</v>
      </c>
      <c r="BT181" s="34" t="n">
        <f aca="false">SUMPRODUCT((FC_Clase="Administración")*FC_Base*FC_V*((FC_Mon="PYG")*BT$138+(FC_Mon&lt;&gt;"PYG"))*(1+FC_g)^(BT$136-1)*((FC_Desde=0)*(BT$135+BT$134)+(FC_Desde&gt;=1)*(BT$133&gt;=FC_Desde)*BT$134))</f>
        <v>0</v>
      </c>
      <c r="BU181" s="34" t="n">
        <f aca="false">SUMPRODUCT((FC_Clase="Administración")*FC_Base*FC_V*((FC_Mon="PYG")*BU$138+(FC_Mon&lt;&gt;"PYG"))*(1+FC_g)^(BU$136-1)*((FC_Desde=0)*(BU$135+BU$134)+(FC_Desde&gt;=1)*(BU$133&gt;=FC_Desde)*BU$134))</f>
        <v>0</v>
      </c>
      <c r="BV181" s="34" t="n">
        <f aca="false">SUMPRODUCT((FC_Clase="Administración")*FC_Base*FC_V*((FC_Mon="PYG")*BV$138+(FC_Mon&lt;&gt;"PYG"))*(1+FC_g)^(BV$136-1)*((FC_Desde=0)*(BV$135+BV$134)+(FC_Desde&gt;=1)*(BV$133&gt;=FC_Desde)*BV$134))</f>
        <v>0</v>
      </c>
      <c r="BW181" s="34" t="n">
        <f aca="false">SUMPRODUCT((FC_Clase="Administración")*FC_Base*FC_V*((FC_Mon="PYG")*BW$138+(FC_Mon&lt;&gt;"PYG"))*(1+FC_g)^(BW$136-1)*((FC_Desde=0)*(BW$135+BW$134)+(FC_Desde&gt;=1)*(BW$133&gt;=FC_Desde)*BW$134))</f>
        <v>0</v>
      </c>
      <c r="BX181" s="34" t="n">
        <f aca="false">SUMPRODUCT((FC_Clase="Administración")*FC_Base*FC_V*((FC_Mon="PYG")*BX$138+(FC_Mon&lt;&gt;"PYG"))*(1+FC_g)^(BX$136-1)*((FC_Desde=0)*(BX$135+BX$134)+(FC_Desde&gt;=1)*(BX$133&gt;=FC_Desde)*BX$134))</f>
        <v>0</v>
      </c>
      <c r="BY181" s="34" t="n">
        <f aca="false">SUMPRODUCT((FC_Clase="Administración")*FC_Base*FC_V*((FC_Mon="PYG")*BY$138+(FC_Mon&lt;&gt;"PYG"))*(1+FC_g)^(BY$136-1)*((FC_Desde=0)*(BY$135+BY$134)+(FC_Desde&gt;=1)*(BY$133&gt;=FC_Desde)*BY$134))</f>
        <v>0</v>
      </c>
      <c r="BZ181" s="34" t="n">
        <f aca="false">SUMPRODUCT((FC_Clase="Administración")*FC_Base*FC_V*((FC_Mon="PYG")*BZ$138+(FC_Mon&lt;&gt;"PYG"))*(1+FC_g)^(BZ$136-1)*((FC_Desde=0)*(BZ$135+BZ$134)+(FC_Desde&gt;=1)*(BZ$133&gt;=FC_Desde)*BZ$134))</f>
        <v>0</v>
      </c>
      <c r="CA181" s="34" t="n">
        <f aca="false">SUMPRODUCT((FC_Clase="Administración")*FC_Base*FC_V*((FC_Mon="PYG")*CA$138+(FC_Mon&lt;&gt;"PYG"))*(1+FC_g)^(CA$136-1)*((FC_Desde=0)*(CA$135+CA$134)+(FC_Desde&gt;=1)*(CA$133&gt;=FC_Desde)*CA$134))</f>
        <v>0</v>
      </c>
      <c r="CB181" s="34" t="n">
        <f aca="false">SUMPRODUCT((FC_Clase="Administración")*FC_Base*FC_V*((FC_Mon="PYG")*CB$138+(FC_Mon&lt;&gt;"PYG"))*(1+FC_g)^(CB$136-1)*((FC_Desde=0)*(CB$135+CB$134)+(FC_Desde&gt;=1)*(CB$133&gt;=FC_Desde)*CB$134))</f>
        <v>0</v>
      </c>
      <c r="CC181" s="34" t="n">
        <f aca="false">SUMPRODUCT((FC_Clase="Administración")*FC_Base*FC_V*((FC_Mon="PYG")*CC$138+(FC_Mon&lt;&gt;"PYG"))*(1+FC_g)^(CC$136-1)*((FC_Desde=0)*(CC$135+CC$134)+(FC_Desde&gt;=1)*(CC$133&gt;=FC_Desde)*CC$134))</f>
        <v>0</v>
      </c>
      <c r="CD181" s="34" t="n">
        <f aca="false">SUMPRODUCT((FC_Clase="Administración")*FC_Base*FC_V*((FC_Mon="PYG")*CD$138+(FC_Mon&lt;&gt;"PYG"))*(1+FC_g)^(CD$136-1)*((FC_Desde=0)*(CD$135+CD$134)+(FC_Desde&gt;=1)*(CD$133&gt;=FC_Desde)*CD$134))</f>
        <v>0</v>
      </c>
      <c r="CE181" s="34" t="n">
        <f aca="false">SUMPRODUCT((FC_Clase="Administración")*FC_Base*FC_V*((FC_Mon="PYG")*CE$138+(FC_Mon&lt;&gt;"PYG"))*(1+FC_g)^(CE$136-1)*((FC_Desde=0)*(CE$135+CE$134)+(FC_Desde&gt;=1)*(CE$133&gt;=FC_Desde)*CE$134))</f>
        <v>0</v>
      </c>
      <c r="CF181" s="34" t="n">
        <f aca="false">SUMPRODUCT((FC_Clase="Administración")*FC_Base*FC_V*((FC_Mon="PYG")*CF$138+(FC_Mon&lt;&gt;"PYG"))*(1+FC_g)^(CF$136-1)*((FC_Desde=0)*(CF$135+CF$134)+(FC_Desde&gt;=1)*(CF$133&gt;=FC_Desde)*CF$134))</f>
        <v>0</v>
      </c>
      <c r="CG181" s="34" t="n">
        <f aca="false">SUMPRODUCT((FC_Clase="Administración")*FC_Base*FC_V*((FC_Mon="PYG")*CG$138+(FC_Mon&lt;&gt;"PYG"))*(1+FC_g)^(CG$136-1)*((FC_Desde=0)*(CG$135+CG$134)+(FC_Desde&gt;=1)*(CG$133&gt;=FC_Desde)*CG$134))</f>
        <v>0</v>
      </c>
      <c r="CH181" s="34" t="n">
        <f aca="false">SUMPRODUCT((FC_Clase="Administración")*FC_Base*FC_V*((FC_Mon="PYG")*CH$138+(FC_Mon&lt;&gt;"PYG"))*(1+FC_g)^(CH$136-1)*((FC_Desde=0)*(CH$135+CH$134)+(FC_Desde&gt;=1)*(CH$133&gt;=FC_Desde)*CH$134))</f>
        <v>0</v>
      </c>
      <c r="CI181" s="34" t="n">
        <f aca="false">SUMPRODUCT((FC_Clase="Administración")*FC_Base*FC_V*((FC_Mon="PYG")*CI$138+(FC_Mon&lt;&gt;"PYG"))*(1+FC_g)^(CI$136-1)*((FC_Desde=0)*(CI$135+CI$134)+(FC_Desde&gt;=1)*(CI$133&gt;=FC_Desde)*CI$134))</f>
        <v>0</v>
      </c>
      <c r="CJ181" s="34" t="n">
        <f aca="false">SUMPRODUCT((FC_Clase="Administración")*FC_Base*FC_V*((FC_Mon="PYG")*CJ$138+(FC_Mon&lt;&gt;"PYG"))*(1+FC_g)^(CJ$136-1)*((FC_Desde=0)*(CJ$135+CJ$134)+(FC_Desde&gt;=1)*(CJ$133&gt;=FC_Desde)*CJ$134))</f>
        <v>0</v>
      </c>
      <c r="CK181" s="34" t="n">
        <f aca="false">SUMPRODUCT((FC_Clase="Administración")*FC_Base*FC_V*((FC_Mon="PYG")*CK$138+(FC_Mon&lt;&gt;"PYG"))*(1+FC_g)^(CK$136-1)*((FC_Desde=0)*(CK$135+CK$134)+(FC_Desde&gt;=1)*(CK$133&gt;=FC_Desde)*CK$134))</f>
        <v>0</v>
      </c>
      <c r="CL181" s="34" t="n">
        <f aca="false">SUMPRODUCT((FC_Clase="Administración")*FC_Base*FC_V*((FC_Mon="PYG")*CL$138+(FC_Mon&lt;&gt;"PYG"))*(1+FC_g)^(CL$136-1)*((FC_Desde=0)*(CL$135+CL$134)+(FC_Desde&gt;=1)*(CL$133&gt;=FC_Desde)*CL$134))</f>
        <v>0</v>
      </c>
      <c r="CM181" s="34" t="n">
        <f aca="false">SUMPRODUCT((FC_Clase="Administración")*FC_Base*FC_V*((FC_Mon="PYG")*CM$138+(FC_Mon&lt;&gt;"PYG"))*(1+FC_g)^(CM$136-1)*((FC_Desde=0)*(CM$135+CM$134)+(FC_Desde&gt;=1)*(CM$133&gt;=FC_Desde)*CM$134))</f>
        <v>0</v>
      </c>
      <c r="CN181" s="34" t="n">
        <f aca="false">SUMPRODUCT((FC_Clase="Administración")*FC_Base*FC_V*((FC_Mon="PYG")*CN$138+(FC_Mon&lt;&gt;"PYG"))*(1+FC_g)^(CN$136-1)*((FC_Desde=0)*(CN$135+CN$134)+(FC_Desde&gt;=1)*(CN$133&gt;=FC_Desde)*CN$134))</f>
        <v>0</v>
      </c>
      <c r="CO181" s="34" t="n">
        <f aca="false">SUMPRODUCT((FC_Clase="Administración")*FC_Base*FC_V*((FC_Mon="PYG")*CO$138+(FC_Mon&lt;&gt;"PYG"))*(1+FC_g)^(CO$136-1)*((FC_Desde=0)*(CO$135+CO$134)+(FC_Desde&gt;=1)*(CO$133&gt;=FC_Desde)*CO$134))</f>
        <v>0</v>
      </c>
      <c r="CP181" s="34" t="n">
        <f aca="false">SUMPRODUCT((FC_Clase="Administración")*FC_Base*FC_V*((FC_Mon="PYG")*CP$138+(FC_Mon&lt;&gt;"PYG"))*(1+FC_g)^(CP$136-1)*((FC_Desde=0)*(CP$135+CP$134)+(FC_Desde&gt;=1)*(CP$133&gt;=FC_Desde)*CP$134))</f>
        <v>0</v>
      </c>
      <c r="CQ181" s="34" t="n">
        <f aca="false">SUMPRODUCT((FC_Clase="Administración")*FC_Base*FC_V*((FC_Mon="PYG")*CQ$138+(FC_Mon&lt;&gt;"PYG"))*(1+FC_g)^(CQ$136-1)*((FC_Desde=0)*(CQ$135+CQ$134)+(FC_Desde&gt;=1)*(CQ$133&gt;=FC_Desde)*CQ$134))</f>
        <v>0</v>
      </c>
      <c r="CR181" s="34" t="n">
        <f aca="false">SUMPRODUCT((FC_Clase="Administración")*FC_Base*FC_V*((FC_Mon="PYG")*CR$138+(FC_Mon&lt;&gt;"PYG"))*(1+FC_g)^(CR$136-1)*((FC_Desde=0)*(CR$135+CR$134)+(FC_Desde&gt;=1)*(CR$133&gt;=FC_Desde)*CR$134))</f>
        <v>0</v>
      </c>
      <c r="CS181" s="34" t="n">
        <f aca="false">SUMPRODUCT((FC_Clase="Administración")*FC_Base*FC_V*((FC_Mon="PYG")*CS$138+(FC_Mon&lt;&gt;"PYG"))*(1+FC_g)^(CS$136-1)*((FC_Desde=0)*(CS$135+CS$134)+(FC_Desde&gt;=1)*(CS$133&gt;=FC_Desde)*CS$134))</f>
        <v>0</v>
      </c>
      <c r="CT181" s="34" t="n">
        <f aca="false">SUMPRODUCT((FC_Clase="Administración")*FC_Base*FC_V*((FC_Mon="PYG")*CT$138+(FC_Mon&lt;&gt;"PYG"))*(1+FC_g)^(CT$136-1)*((FC_Desde=0)*(CT$135+CT$134)+(FC_Desde&gt;=1)*(CT$133&gt;=FC_Desde)*CT$134))</f>
        <v>0</v>
      </c>
      <c r="CU181" s="34" t="n">
        <f aca="false">SUMPRODUCT((FC_Clase="Administración")*FC_Base*FC_V*((FC_Mon="PYG")*CU$138+(FC_Mon&lt;&gt;"PYG"))*(1+FC_g)^(CU$136-1)*((FC_Desde=0)*(CU$135+CU$134)+(FC_Desde&gt;=1)*(CU$133&gt;=FC_Desde)*CU$134))</f>
        <v>0</v>
      </c>
      <c r="CV181" s="34" t="n">
        <f aca="false">SUMPRODUCT((FC_Clase="Administración")*FC_Base*FC_V*((FC_Mon="PYG")*CV$138+(FC_Mon&lt;&gt;"PYG"))*(1+FC_g)^(CV$136-1)*((FC_Desde=0)*(CV$135+CV$134)+(FC_Desde&gt;=1)*(CV$133&gt;=FC_Desde)*CV$134))</f>
        <v>0</v>
      </c>
      <c r="CW181" s="34" t="n">
        <f aca="false">SUMPRODUCT((FC_Clase="Administración")*FC_Base*FC_V*((FC_Mon="PYG")*CW$138+(FC_Mon&lt;&gt;"PYG"))*(1+FC_g)^(CW$136-1)*((FC_Desde=0)*(CW$135+CW$134)+(FC_Desde&gt;=1)*(CW$133&gt;=FC_Desde)*CW$134))</f>
        <v>0</v>
      </c>
      <c r="CX181" s="34" t="n">
        <f aca="false">SUMPRODUCT((FC_Clase="Administración")*FC_Base*FC_V*((FC_Mon="PYG")*CX$138+(FC_Mon&lt;&gt;"PYG"))*(1+FC_g)^(CX$136-1)*((FC_Desde=0)*(CX$135+CX$134)+(FC_Desde&gt;=1)*(CX$133&gt;=FC_Desde)*CX$134))</f>
        <v>0</v>
      </c>
      <c r="CY181" s="34" t="n">
        <f aca="false">SUMPRODUCT((FC_Clase="Administración")*FC_Base*FC_V*((FC_Mon="PYG")*CY$138+(FC_Mon&lt;&gt;"PYG"))*(1+FC_g)^(CY$136-1)*((FC_Desde=0)*(CY$135+CY$134)+(FC_Desde&gt;=1)*(CY$133&gt;=FC_Desde)*CY$134))</f>
        <v>0</v>
      </c>
      <c r="CZ181" s="34" t="n">
        <f aca="false">SUMPRODUCT((FC_Clase="Administración")*FC_Base*FC_V*((FC_Mon="PYG")*CZ$138+(FC_Mon&lt;&gt;"PYG"))*(1+FC_g)^(CZ$136-1)*((FC_Desde=0)*(CZ$135+CZ$134)+(FC_Desde&gt;=1)*(CZ$133&gt;=FC_Desde)*CZ$134))</f>
        <v>0</v>
      </c>
      <c r="DA181" s="34" t="n">
        <f aca="false">SUMPRODUCT((FC_Clase="Administración")*FC_Base*FC_V*((FC_Mon="PYG")*DA$138+(FC_Mon&lt;&gt;"PYG"))*(1+FC_g)^(DA$136-1)*((FC_Desde=0)*(DA$135+DA$134)+(FC_Desde&gt;=1)*(DA$133&gt;=FC_Desde)*DA$134))</f>
        <v>0</v>
      </c>
      <c r="DB181" s="34" t="n">
        <f aca="false">SUMPRODUCT((FC_Clase="Administración")*FC_Base*FC_V*((FC_Mon="PYG")*DB$138+(FC_Mon&lt;&gt;"PYG"))*(1+FC_g)^(DB$136-1)*((FC_Desde=0)*(DB$135+DB$134)+(FC_Desde&gt;=1)*(DB$133&gt;=FC_Desde)*DB$134))</f>
        <v>0</v>
      </c>
      <c r="DC181" s="34" t="n">
        <f aca="false">SUMPRODUCT((FC_Clase="Administración")*FC_Base*FC_V*((FC_Mon="PYG")*DC$138+(FC_Mon&lt;&gt;"PYG"))*(1+FC_g)^(DC$136-1)*((FC_Desde=0)*(DC$135+DC$134)+(FC_Desde&gt;=1)*(DC$133&gt;=FC_Desde)*DC$134))</f>
        <v>0</v>
      </c>
      <c r="DD181" s="34" t="n">
        <f aca="false">SUMPRODUCT((FC_Clase="Administración")*FC_Base*FC_V*((FC_Mon="PYG")*DD$138+(FC_Mon&lt;&gt;"PYG"))*(1+FC_g)^(DD$136-1)*((FC_Desde=0)*(DD$135+DD$134)+(FC_Desde&gt;=1)*(DD$133&gt;=FC_Desde)*DD$134))</f>
        <v>0</v>
      </c>
      <c r="DE181" s="34" t="n">
        <f aca="false">SUMPRODUCT((FC_Clase="Administración")*FC_Base*FC_V*((FC_Mon="PYG")*DE$138+(FC_Mon&lt;&gt;"PYG"))*(1+FC_g)^(DE$136-1)*((FC_Desde=0)*(DE$135+DE$134)+(FC_Desde&gt;=1)*(DE$133&gt;=FC_Desde)*DE$134))</f>
        <v>0</v>
      </c>
      <c r="DF181" s="34" t="n">
        <f aca="false">SUMPRODUCT((FC_Clase="Administración")*FC_Base*FC_V*((FC_Mon="PYG")*DF$138+(FC_Mon&lt;&gt;"PYG"))*(1+FC_g)^(DF$136-1)*((FC_Desde=0)*(DF$135+DF$134)+(FC_Desde&gt;=1)*(DF$133&gt;=FC_Desde)*DF$134))</f>
        <v>0</v>
      </c>
      <c r="DG181" s="34" t="n">
        <f aca="false">SUMPRODUCT((FC_Clase="Administración")*FC_Base*FC_V*((FC_Mon="PYG")*DG$138+(FC_Mon&lt;&gt;"PYG"))*(1+FC_g)^(DG$136-1)*((FC_Desde=0)*(DG$135+DG$134)+(FC_Desde&gt;=1)*(DG$133&gt;=FC_Desde)*DG$134))</f>
        <v>0</v>
      </c>
      <c r="DH181" s="34" t="n">
        <f aca="false">SUMPRODUCT((FC_Clase="Administración")*FC_Base*FC_V*((FC_Mon="PYG")*DH$138+(FC_Mon&lt;&gt;"PYG"))*(1+FC_g)^(DH$136-1)*((FC_Desde=0)*(DH$135+DH$134)+(FC_Desde&gt;=1)*(DH$133&gt;=FC_Desde)*DH$134))</f>
        <v>0</v>
      </c>
      <c r="DI181" s="34" t="n">
        <f aca="false">SUMPRODUCT((FC_Clase="Administración")*FC_Base*FC_V*((FC_Mon="PYG")*DI$138+(FC_Mon&lt;&gt;"PYG"))*(1+FC_g)^(DI$136-1)*((FC_Desde=0)*(DI$135+DI$134)+(FC_Desde&gt;=1)*(DI$133&gt;=FC_Desde)*DI$134))</f>
        <v>0</v>
      </c>
      <c r="DJ181" s="34" t="n">
        <f aca="false">SUMPRODUCT((FC_Clase="Administración")*FC_Base*FC_V*((FC_Mon="PYG")*DJ$138+(FC_Mon&lt;&gt;"PYG"))*(1+FC_g)^(DJ$136-1)*((FC_Desde=0)*(DJ$135+DJ$134)+(FC_Desde&gt;=1)*(DJ$133&gt;=FC_Desde)*DJ$134))</f>
        <v>0</v>
      </c>
      <c r="DK181" s="34" t="n">
        <f aca="false">SUMPRODUCT((FC_Clase="Administración")*FC_Base*FC_V*((FC_Mon="PYG")*DK$138+(FC_Mon&lt;&gt;"PYG"))*(1+FC_g)^(DK$136-1)*((FC_Desde=0)*(DK$135+DK$134)+(FC_Desde&gt;=1)*(DK$133&gt;=FC_Desde)*DK$134))</f>
        <v>0</v>
      </c>
      <c r="DL181" s="34" t="n">
        <f aca="false">SUMPRODUCT((FC_Clase="Administración")*FC_Base*FC_V*((FC_Mon="PYG")*DL$138+(FC_Mon&lt;&gt;"PYG"))*(1+FC_g)^(DL$136-1)*((FC_Desde=0)*(DL$135+DL$134)+(FC_Desde&gt;=1)*(DL$133&gt;=FC_Desde)*DL$134))</f>
        <v>0</v>
      </c>
      <c r="DM181" s="34" t="n">
        <f aca="false">SUMPRODUCT((FC_Clase="Administración")*FC_Base*FC_V*((FC_Mon="PYG")*DM$138+(FC_Mon&lt;&gt;"PYG"))*(1+FC_g)^(DM$136-1)*((FC_Desde=0)*(DM$135+DM$134)+(FC_Desde&gt;=1)*(DM$133&gt;=FC_Desde)*DM$134))</f>
        <v>0</v>
      </c>
      <c r="DN181" s="34" t="n">
        <f aca="false">SUMPRODUCT((FC_Clase="Administración")*FC_Base*FC_V*((FC_Mon="PYG")*DN$138+(FC_Mon&lt;&gt;"PYG"))*(1+FC_g)^(DN$136-1)*((FC_Desde=0)*(DN$135+DN$134)+(FC_Desde&gt;=1)*(DN$133&gt;=FC_Desde)*DN$134))</f>
        <v>0</v>
      </c>
      <c r="DO181" s="34" t="n">
        <f aca="false">SUMPRODUCT((FC_Clase="Administración")*FC_Base*FC_V*((FC_Mon="PYG")*DO$138+(FC_Mon&lt;&gt;"PYG"))*(1+FC_g)^(DO$136-1)*((FC_Desde=0)*(DO$135+DO$134)+(FC_Desde&gt;=1)*(DO$133&gt;=FC_Desde)*DO$134))</f>
        <v>0</v>
      </c>
      <c r="DP181" s="34" t="n">
        <f aca="false">SUMPRODUCT((FC_Clase="Administración")*FC_Base*FC_V*((FC_Mon="PYG")*DP$138+(FC_Mon&lt;&gt;"PYG"))*(1+FC_g)^(DP$136-1)*((FC_Desde=0)*(DP$135+DP$134)+(FC_Desde&gt;=1)*(DP$133&gt;=FC_Desde)*DP$134))</f>
        <v>0</v>
      </c>
      <c r="DQ181" s="34" t="n">
        <f aca="false">SUMPRODUCT((FC_Clase="Administración")*FC_Base*FC_V*((FC_Mon="PYG")*DQ$138+(FC_Mon&lt;&gt;"PYG"))*(1+FC_g)^(DQ$136-1)*((FC_Desde=0)*(DQ$135+DQ$134)+(FC_Desde&gt;=1)*(DQ$133&gt;=FC_Desde)*DQ$134))</f>
        <v>0</v>
      </c>
      <c r="DR181" s="34" t="n">
        <f aca="false">SUMPRODUCT((FC_Clase="Administración")*FC_Base*FC_V*((FC_Mon="PYG")*DR$138+(FC_Mon&lt;&gt;"PYG"))*(1+FC_g)^(DR$136-1)*((FC_Desde=0)*(DR$135+DR$134)+(FC_Desde&gt;=1)*(DR$133&gt;=FC_Desde)*DR$134))</f>
        <v>0</v>
      </c>
      <c r="DS181" s="34" t="n">
        <f aca="false">SUMPRODUCT((FC_Clase="Administración")*FC_Base*FC_V*((FC_Mon="PYG")*DS$138+(FC_Mon&lt;&gt;"PYG"))*(1+FC_g)^(DS$136-1)*((FC_Desde=0)*(DS$135+DS$134)+(FC_Desde&gt;=1)*(DS$133&gt;=FC_Desde)*DS$134))</f>
        <v>0</v>
      </c>
      <c r="DT181" s="34" t="n">
        <f aca="false">SUMPRODUCT((FC_Clase="Administración")*FC_Base*FC_V*((FC_Mon="PYG")*DT$138+(FC_Mon&lt;&gt;"PYG"))*(1+FC_g)^(DT$136-1)*((FC_Desde=0)*(DT$135+DT$134)+(FC_Desde&gt;=1)*(DT$133&gt;=FC_Desde)*DT$134))</f>
        <v>0</v>
      </c>
      <c r="DU181" s="34" t="n">
        <f aca="false">SUMPRODUCT((FC_Clase="Administración")*FC_Base*FC_V*((FC_Mon="PYG")*DU$138+(FC_Mon&lt;&gt;"PYG"))*(1+FC_g)^(DU$136-1)*((FC_Desde=0)*(DU$135+DU$134)+(FC_Desde&gt;=1)*(DU$133&gt;=FC_Desde)*DU$134))</f>
        <v>0</v>
      </c>
      <c r="DV181" s="34" t="n">
        <f aca="false">SUMPRODUCT((FC_Clase="Administración")*FC_Base*FC_V*((FC_Mon="PYG")*DV$138+(FC_Mon&lt;&gt;"PYG"))*(1+FC_g)^(DV$136-1)*((FC_Desde=0)*(DV$135+DV$134)+(FC_Desde&gt;=1)*(DV$133&gt;=FC_Desde)*DV$134))</f>
        <v>0</v>
      </c>
      <c r="DW181" s="34" t="n">
        <f aca="false">SUMPRODUCT((FC_Clase="Administración")*FC_Base*FC_V*((FC_Mon="PYG")*DW$138+(FC_Mon&lt;&gt;"PYG"))*(1+FC_g)^(DW$136-1)*((FC_Desde=0)*(DW$135+DW$134)+(FC_Desde&gt;=1)*(DW$133&gt;=FC_Desde)*DW$134))</f>
        <v>0</v>
      </c>
      <c r="DX181" s="34" t="n">
        <f aca="false">SUMPRODUCT((FC_Clase="Administración")*FC_Base*FC_V*((FC_Mon="PYG")*DX$138+(FC_Mon&lt;&gt;"PYG"))*(1+FC_g)^(DX$136-1)*((FC_Desde=0)*(DX$135+DX$134)+(FC_Desde&gt;=1)*(DX$133&gt;=FC_Desde)*DX$134))</f>
        <v>0</v>
      </c>
      <c r="DY181" s="34" t="n">
        <f aca="false">SUMPRODUCT((FC_Clase="Administración")*FC_Base*FC_V*((FC_Mon="PYG")*DY$138+(FC_Mon&lt;&gt;"PYG"))*(1+FC_g)^(DY$136-1)*((FC_Desde=0)*(DY$135+DY$134)+(FC_Desde&gt;=1)*(DY$133&gt;=FC_Desde)*DY$134))</f>
        <v>0</v>
      </c>
      <c r="DZ181" s="34" t="n">
        <f aca="false">SUMPRODUCT((FC_Clase="Administración")*FC_Base*FC_V*((FC_Mon="PYG")*DZ$138+(FC_Mon&lt;&gt;"PYG"))*(1+FC_g)^(DZ$136-1)*((FC_Desde=0)*(DZ$135+DZ$134)+(FC_Desde&gt;=1)*(DZ$133&gt;=FC_Desde)*DZ$134))</f>
        <v>0</v>
      </c>
      <c r="EA181" s="34" t="n">
        <f aca="false">SUMPRODUCT((FC_Clase="Administración")*FC_Base*FC_V*((FC_Mon="PYG")*EA$138+(FC_Mon&lt;&gt;"PYG"))*(1+FC_g)^(EA$136-1)*((FC_Desde=0)*(EA$135+EA$134)+(FC_Desde&gt;=1)*(EA$133&gt;=FC_Desde)*EA$134))</f>
        <v>0</v>
      </c>
      <c r="EB181" s="34" t="n">
        <f aca="false">SUMPRODUCT((FC_Clase="Administración")*FC_Base*FC_V*((FC_Mon="PYG")*EB$138+(FC_Mon&lt;&gt;"PYG"))*(1+FC_g)^(EB$136-1)*((FC_Desde=0)*(EB$135+EB$134)+(FC_Desde&gt;=1)*(EB$133&gt;=FC_Desde)*EB$134))</f>
        <v>0</v>
      </c>
      <c r="EC181" s="34" t="n">
        <f aca="false">SUMPRODUCT((FC_Clase="Administración")*FC_Base*FC_V*((FC_Mon="PYG")*EC$138+(FC_Mon&lt;&gt;"PYG"))*(1+FC_g)^(EC$136-1)*((FC_Desde=0)*(EC$135+EC$134)+(FC_Desde&gt;=1)*(EC$133&gt;=FC_Desde)*EC$134))</f>
        <v>0</v>
      </c>
      <c r="ED181" s="34" t="n">
        <f aca="false">SUMPRODUCT((FC_Clase="Administración")*FC_Base*FC_V*((FC_Mon="PYG")*ED$138+(FC_Mon&lt;&gt;"PYG"))*(1+FC_g)^(ED$136-1)*((FC_Desde=0)*(ED$135+ED$134)+(FC_Desde&gt;=1)*(ED$133&gt;=FC_Desde)*ED$134))</f>
        <v>0</v>
      </c>
      <c r="EE181" s="34" t="n">
        <f aca="false">SUMPRODUCT((FC_Clase="Administración")*FC_Base*FC_V*((FC_Mon="PYG")*EE$138+(FC_Mon&lt;&gt;"PYG"))*(1+FC_g)^(EE$136-1)*((FC_Desde=0)*(EE$135+EE$134)+(FC_Desde&gt;=1)*(EE$133&gt;=FC_Desde)*EE$134))</f>
        <v>0</v>
      </c>
      <c r="EF181" s="34" t="n">
        <f aca="false">SUMPRODUCT((FC_Clase="Administración")*FC_Base*FC_V*((FC_Mon="PYG")*EF$138+(FC_Mon&lt;&gt;"PYG"))*(1+FC_g)^(EF$136-1)*((FC_Desde=0)*(EF$135+EF$134)+(FC_Desde&gt;=1)*(EF$133&gt;=FC_Desde)*EF$134))</f>
        <v>0</v>
      </c>
      <c r="EG181" s="34" t="n">
        <f aca="false">SUMPRODUCT((FC_Clase="Administración")*FC_Base*FC_V*((FC_Mon="PYG")*EG$138+(FC_Mon&lt;&gt;"PYG"))*(1+FC_g)^(EG$136-1)*((FC_Desde=0)*(EG$135+EG$134)+(FC_Desde&gt;=1)*(EG$133&gt;=FC_Desde)*EG$134))</f>
        <v>0</v>
      </c>
      <c r="EH181" s="34" t="n">
        <f aca="false">SUMPRODUCT((FC_Clase="Administración")*FC_Base*FC_V*((FC_Mon="PYG")*EH$138+(FC_Mon&lt;&gt;"PYG"))*(1+FC_g)^(EH$136-1)*((FC_Desde=0)*(EH$135+EH$134)+(FC_Desde&gt;=1)*(EH$133&gt;=FC_Desde)*EH$134))</f>
        <v>0</v>
      </c>
      <c r="EI181" s="34" t="n">
        <f aca="false">SUMPRODUCT((FC_Clase="Administración")*FC_Base*FC_V*((FC_Mon="PYG")*EI$138+(FC_Mon&lt;&gt;"PYG"))*(1+FC_g)^(EI$136-1)*((FC_Desde=0)*(EI$135+EI$134)+(FC_Desde&gt;=1)*(EI$133&gt;=FC_Desde)*EI$134))</f>
        <v>0</v>
      </c>
      <c r="EJ181" s="34" t="n">
        <f aca="false">SUMPRODUCT((FC_Clase="Administración")*FC_Base*FC_V*((FC_Mon="PYG")*EJ$138+(FC_Mon&lt;&gt;"PYG"))*(1+FC_g)^(EJ$136-1)*((FC_Desde=0)*(EJ$135+EJ$134)+(FC_Desde&gt;=1)*(EJ$133&gt;=FC_Desde)*EJ$134))</f>
        <v>0</v>
      </c>
      <c r="EK181" s="34" t="n">
        <f aca="false">SUMPRODUCT((FC_Clase="Administración")*FC_Base*FC_V*((FC_Mon="PYG")*EK$138+(FC_Mon&lt;&gt;"PYG"))*(1+FC_g)^(EK$136-1)*((FC_Desde=0)*(EK$135+EK$134)+(FC_Desde&gt;=1)*(EK$133&gt;=FC_Desde)*EK$134))</f>
        <v>0</v>
      </c>
      <c r="EL181" s="34" t="n">
        <f aca="false">SUMPRODUCT((FC_Clase="Administración")*FC_Base*FC_V*((FC_Mon="PYG")*EL$138+(FC_Mon&lt;&gt;"PYG"))*(1+FC_g)^(EL$136-1)*((FC_Desde=0)*(EL$135+EL$134)+(FC_Desde&gt;=1)*(EL$133&gt;=FC_Desde)*EL$134))</f>
        <v>0</v>
      </c>
      <c r="EM181" s="34" t="n">
        <f aca="false">SUMPRODUCT((FC_Clase="Administración")*FC_Base*FC_V*((FC_Mon="PYG")*EM$138+(FC_Mon&lt;&gt;"PYG"))*(1+FC_g)^(EM$136-1)*((FC_Desde=0)*(EM$135+EM$134)+(FC_Desde&gt;=1)*(EM$133&gt;=FC_Desde)*EM$134))</f>
        <v>0</v>
      </c>
      <c r="EN181" s="34" t="n">
        <f aca="false">SUMPRODUCT((FC_Clase="Administración")*FC_Base*FC_V*((FC_Mon="PYG")*EN$138+(FC_Mon&lt;&gt;"PYG"))*(1+FC_g)^(EN$136-1)*((FC_Desde=0)*(EN$135+EN$134)+(FC_Desde&gt;=1)*(EN$133&gt;=FC_Desde)*EN$134))</f>
        <v>0</v>
      </c>
      <c r="EO181" s="34" t="n">
        <f aca="false">SUMPRODUCT((FC_Clase="Administración")*FC_Base*FC_V*((FC_Mon="PYG")*EO$138+(FC_Mon&lt;&gt;"PYG"))*(1+FC_g)^(EO$136-1)*((FC_Desde=0)*(EO$135+EO$134)+(FC_Desde&gt;=1)*(EO$133&gt;=FC_Desde)*EO$134))</f>
        <v>0</v>
      </c>
      <c r="EP181" s="34" t="n">
        <f aca="false">SUMPRODUCT((FC_Clase="Administración")*FC_Base*FC_V*((FC_Mon="PYG")*EP$138+(FC_Mon&lt;&gt;"PYG"))*(1+FC_g)^(EP$136-1)*((FC_Desde=0)*(EP$135+EP$134)+(FC_Desde&gt;=1)*(EP$133&gt;=FC_Desde)*EP$134))</f>
        <v>0</v>
      </c>
      <c r="EQ181" s="34" t="n">
        <f aca="false">SUMPRODUCT((FC_Clase="Administración")*FC_Base*FC_V*((FC_Mon="PYG")*EQ$138+(FC_Mon&lt;&gt;"PYG"))*(1+FC_g)^(EQ$136-1)*((FC_Desde=0)*(EQ$135+EQ$134)+(FC_Desde&gt;=1)*(EQ$133&gt;=FC_Desde)*EQ$134))</f>
        <v>0</v>
      </c>
      <c r="ER181" s="34" t="n">
        <f aca="false">SUMPRODUCT((FC_Clase="Administración")*FC_Base*FC_V*((FC_Mon="PYG")*ER$138+(FC_Mon&lt;&gt;"PYG"))*(1+FC_g)^(ER$136-1)*((FC_Desde=0)*(ER$135+ER$134)+(FC_Desde&gt;=1)*(ER$133&gt;=FC_Desde)*ER$134))</f>
        <v>0</v>
      </c>
      <c r="ES181" s="34" t="n">
        <f aca="false">SUMPRODUCT((FC_Clase="Administración")*FC_Base*FC_V*((FC_Mon="PYG")*ES$138+(FC_Mon&lt;&gt;"PYG"))*(1+FC_g)^(ES$136-1)*((FC_Desde=0)*(ES$135+ES$134)+(FC_Desde&gt;=1)*(ES$133&gt;=FC_Desde)*ES$134))</f>
        <v>0</v>
      </c>
    </row>
    <row r="182" customFormat="false" ht="15" hidden="false" customHeight="false" outlineLevel="0" collapsed="false">
      <c r="A182" s="2" t="s">
        <v>660</v>
      </c>
      <c r="B182" s="6" t="s">
        <v>492</v>
      </c>
      <c r="C182" s="6" t="s">
        <v>212</v>
      </c>
      <c r="E182" s="40" t="n">
        <f aca="false">SUM(F182:ES182)</f>
        <v>0</v>
      </c>
      <c r="F182" s="34" t="n">
        <f aca="false">V_ImpP*(F$166+F$167+F$168+F$169+F$176+F$177+F$171+F$173+F$179)</f>
        <v>0</v>
      </c>
      <c r="G182" s="34" t="n">
        <f aca="false">V_ImpP*(G$166+G$167+G$168+G$169+G$176+G$177+G$171+G$173+G$179)</f>
        <v>0</v>
      </c>
      <c r="H182" s="34" t="n">
        <f aca="false">V_ImpP*(H$166+H$167+H$168+H$169+H$176+H$177+H$171+H$173+H$179)</f>
        <v>0</v>
      </c>
      <c r="I182" s="34" t="n">
        <f aca="false">V_ImpP*(I$166+I$167+I$168+I$169+I$176+I$177+I$171+I$173+I$179)</f>
        <v>0</v>
      </c>
      <c r="J182" s="34" t="n">
        <f aca="false">V_ImpP*(J$166+J$167+J$168+J$169+J$176+J$177+J$171+J$173+J$179)</f>
        <v>0</v>
      </c>
      <c r="K182" s="34" t="n">
        <f aca="false">V_ImpP*(K$166+K$167+K$168+K$169+K$176+K$177+K$171+K$173+K$179)</f>
        <v>0</v>
      </c>
      <c r="L182" s="34" t="n">
        <f aca="false">V_ImpP*(L$166+L$167+L$168+L$169+L$176+L$177+L$171+L$173+L$179)</f>
        <v>0</v>
      </c>
      <c r="M182" s="34" t="n">
        <f aca="false">V_ImpP*(M$166+M$167+M$168+M$169+M$176+M$177+M$171+M$173+M$179)</f>
        <v>0</v>
      </c>
      <c r="N182" s="34" t="n">
        <f aca="false">V_ImpP*(N$166+N$167+N$168+N$169+N$176+N$177+N$171+N$173+N$179)</f>
        <v>0</v>
      </c>
      <c r="O182" s="34" t="n">
        <f aca="false">V_ImpP*(O$166+O$167+O$168+O$169+O$176+O$177+O$171+O$173+O$179)</f>
        <v>0</v>
      </c>
      <c r="P182" s="34" t="n">
        <f aca="false">V_ImpP*(P$166+P$167+P$168+P$169+P$176+P$177+P$171+P$173+P$179)</f>
        <v>0</v>
      </c>
      <c r="Q182" s="34" t="n">
        <f aca="false">V_ImpP*(Q$166+Q$167+Q$168+Q$169+Q$176+Q$177+Q$171+Q$173+Q$179)</f>
        <v>0</v>
      </c>
      <c r="R182" s="34" t="n">
        <f aca="false">V_ImpP*(R$166+R$167+R$168+R$169+R$176+R$177+R$171+R$173+R$179)</f>
        <v>0</v>
      </c>
      <c r="S182" s="34" t="n">
        <f aca="false">V_ImpP*(S$166+S$167+S$168+S$169+S$176+S$177+S$171+S$173+S$179)</f>
        <v>0</v>
      </c>
      <c r="T182" s="34" t="n">
        <f aca="false">V_ImpP*(T$166+T$167+T$168+T$169+T$176+T$177+T$171+T$173+T$179)</f>
        <v>0</v>
      </c>
      <c r="U182" s="34" t="n">
        <f aca="false">V_ImpP*(U$166+U$167+U$168+U$169+U$176+U$177+U$171+U$173+U$179)</f>
        <v>0</v>
      </c>
      <c r="V182" s="34" t="n">
        <f aca="false">V_ImpP*(V$166+V$167+V$168+V$169+V$176+V$177+V$171+V$173+V$179)</f>
        <v>0</v>
      </c>
      <c r="W182" s="34" t="n">
        <f aca="false">V_ImpP*(W$166+W$167+W$168+W$169+W$176+W$177+W$171+W$173+W$179)</f>
        <v>0</v>
      </c>
      <c r="X182" s="34" t="n">
        <f aca="false">V_ImpP*(X$166+X$167+X$168+X$169+X$176+X$177+X$171+X$173+X$179)</f>
        <v>0</v>
      </c>
      <c r="Y182" s="34" t="n">
        <f aca="false">V_ImpP*(Y$166+Y$167+Y$168+Y$169+Y$176+Y$177+Y$171+Y$173+Y$179)</f>
        <v>0</v>
      </c>
      <c r="Z182" s="34" t="n">
        <f aca="false">V_ImpP*(Z$166+Z$167+Z$168+Z$169+Z$176+Z$177+Z$171+Z$173+Z$179)</f>
        <v>0</v>
      </c>
      <c r="AA182" s="34" t="n">
        <f aca="false">V_ImpP*(AA$166+AA$167+AA$168+AA$169+AA$176+AA$177+AA$171+AA$173+AA$179)</f>
        <v>0</v>
      </c>
      <c r="AB182" s="34" t="n">
        <f aca="false">V_ImpP*(AB$166+AB$167+AB$168+AB$169+AB$176+AB$177+AB$171+AB$173+AB$179)</f>
        <v>0</v>
      </c>
      <c r="AC182" s="34" t="n">
        <f aca="false">V_ImpP*(AC$166+AC$167+AC$168+AC$169+AC$176+AC$177+AC$171+AC$173+AC$179)</f>
        <v>0</v>
      </c>
      <c r="AD182" s="34" t="n">
        <f aca="false">V_ImpP*(AD$166+AD$167+AD$168+AD$169+AD$176+AD$177+AD$171+AD$173+AD$179)</f>
        <v>0</v>
      </c>
      <c r="AE182" s="34" t="n">
        <f aca="false">V_ImpP*(AE$166+AE$167+AE$168+AE$169+AE$176+AE$177+AE$171+AE$173+AE$179)</f>
        <v>0</v>
      </c>
      <c r="AF182" s="34" t="n">
        <f aca="false">V_ImpP*(AF$166+AF$167+AF$168+AF$169+AF$176+AF$177+AF$171+AF$173+AF$179)</f>
        <v>0</v>
      </c>
      <c r="AG182" s="34" t="n">
        <f aca="false">V_ImpP*(AG$166+AG$167+AG$168+AG$169+AG$176+AG$177+AG$171+AG$173+AG$179)</f>
        <v>0</v>
      </c>
      <c r="AH182" s="34" t="n">
        <f aca="false">V_ImpP*(AH$166+AH$167+AH$168+AH$169+AH$176+AH$177+AH$171+AH$173+AH$179)</f>
        <v>0</v>
      </c>
      <c r="AI182" s="34" t="n">
        <f aca="false">V_ImpP*(AI$166+AI$167+AI$168+AI$169+AI$176+AI$177+AI$171+AI$173+AI$179)</f>
        <v>0</v>
      </c>
      <c r="AJ182" s="34" t="n">
        <f aca="false">V_ImpP*(AJ$166+AJ$167+AJ$168+AJ$169+AJ$176+AJ$177+AJ$171+AJ$173+AJ$179)</f>
        <v>0</v>
      </c>
      <c r="AK182" s="34" t="n">
        <f aca="false">V_ImpP*(AK$166+AK$167+AK$168+AK$169+AK$176+AK$177+AK$171+AK$173+AK$179)</f>
        <v>0</v>
      </c>
      <c r="AL182" s="34" t="n">
        <f aca="false">V_ImpP*(AL$166+AL$167+AL$168+AL$169+AL$176+AL$177+AL$171+AL$173+AL$179)</f>
        <v>0</v>
      </c>
      <c r="AM182" s="34" t="n">
        <f aca="false">V_ImpP*(AM$166+AM$167+AM$168+AM$169+AM$176+AM$177+AM$171+AM$173+AM$179)</f>
        <v>0</v>
      </c>
      <c r="AN182" s="34" t="n">
        <f aca="false">V_ImpP*(AN$166+AN$167+AN$168+AN$169+AN$176+AN$177+AN$171+AN$173+AN$179)</f>
        <v>0</v>
      </c>
      <c r="AO182" s="34" t="n">
        <f aca="false">V_ImpP*(AO$166+AO$167+AO$168+AO$169+AO$176+AO$177+AO$171+AO$173+AO$179)</f>
        <v>0</v>
      </c>
      <c r="AP182" s="34" t="n">
        <f aca="false">V_ImpP*(AP$166+AP$167+AP$168+AP$169+AP$176+AP$177+AP$171+AP$173+AP$179)</f>
        <v>0</v>
      </c>
      <c r="AQ182" s="34" t="n">
        <f aca="false">V_ImpP*(AQ$166+AQ$167+AQ$168+AQ$169+AQ$176+AQ$177+AQ$171+AQ$173+AQ$179)</f>
        <v>0</v>
      </c>
      <c r="AR182" s="34" t="n">
        <f aca="false">V_ImpP*(AR$166+AR$167+AR$168+AR$169+AR$176+AR$177+AR$171+AR$173+AR$179)</f>
        <v>0</v>
      </c>
      <c r="AS182" s="34" t="n">
        <f aca="false">V_ImpP*(AS$166+AS$167+AS$168+AS$169+AS$176+AS$177+AS$171+AS$173+AS$179)</f>
        <v>0</v>
      </c>
      <c r="AT182" s="34" t="n">
        <f aca="false">V_ImpP*(AT$166+AT$167+AT$168+AT$169+AT$176+AT$177+AT$171+AT$173+AT$179)</f>
        <v>0</v>
      </c>
      <c r="AU182" s="34" t="n">
        <f aca="false">V_ImpP*(AU$166+AU$167+AU$168+AU$169+AU$176+AU$177+AU$171+AU$173+AU$179)</f>
        <v>0</v>
      </c>
      <c r="AV182" s="34" t="n">
        <f aca="false">V_ImpP*(AV$166+AV$167+AV$168+AV$169+AV$176+AV$177+AV$171+AV$173+AV$179)</f>
        <v>0</v>
      </c>
      <c r="AW182" s="34" t="n">
        <f aca="false">V_ImpP*(AW$166+AW$167+AW$168+AW$169+AW$176+AW$177+AW$171+AW$173+AW$179)</f>
        <v>0</v>
      </c>
      <c r="AX182" s="34" t="n">
        <f aca="false">V_ImpP*(AX$166+AX$167+AX$168+AX$169+AX$176+AX$177+AX$171+AX$173+AX$179)</f>
        <v>0</v>
      </c>
      <c r="AY182" s="34" t="n">
        <f aca="false">V_ImpP*(AY$166+AY$167+AY$168+AY$169+AY$176+AY$177+AY$171+AY$173+AY$179)</f>
        <v>0</v>
      </c>
      <c r="AZ182" s="34" t="n">
        <f aca="false">V_ImpP*(AZ$166+AZ$167+AZ$168+AZ$169+AZ$176+AZ$177+AZ$171+AZ$173+AZ$179)</f>
        <v>0</v>
      </c>
      <c r="BA182" s="34" t="n">
        <f aca="false">V_ImpP*(BA$166+BA$167+BA$168+BA$169+BA$176+BA$177+BA$171+BA$173+BA$179)</f>
        <v>0</v>
      </c>
      <c r="BB182" s="34" t="n">
        <f aca="false">V_ImpP*(BB$166+BB$167+BB$168+BB$169+BB$176+BB$177+BB$171+BB$173+BB$179)</f>
        <v>0</v>
      </c>
      <c r="BC182" s="34" t="n">
        <f aca="false">V_ImpP*(BC$166+BC$167+BC$168+BC$169+BC$176+BC$177+BC$171+BC$173+BC$179)</f>
        <v>0</v>
      </c>
      <c r="BD182" s="34" t="n">
        <f aca="false">V_ImpP*(BD$166+BD$167+BD$168+BD$169+BD$176+BD$177+BD$171+BD$173+BD$179)</f>
        <v>0</v>
      </c>
      <c r="BE182" s="34" t="n">
        <f aca="false">V_ImpP*(BE$166+BE$167+BE$168+BE$169+BE$176+BE$177+BE$171+BE$173+BE$179)</f>
        <v>0</v>
      </c>
      <c r="BF182" s="34" t="n">
        <f aca="false">V_ImpP*(BF$166+BF$167+BF$168+BF$169+BF$176+BF$177+BF$171+BF$173+BF$179)</f>
        <v>0</v>
      </c>
      <c r="BG182" s="34" t="n">
        <f aca="false">V_ImpP*(BG$166+BG$167+BG$168+BG$169+BG$176+BG$177+BG$171+BG$173+BG$179)</f>
        <v>0</v>
      </c>
      <c r="BH182" s="34" t="n">
        <f aca="false">V_ImpP*(BH$166+BH$167+BH$168+BH$169+BH$176+BH$177+BH$171+BH$173+BH$179)</f>
        <v>0</v>
      </c>
      <c r="BI182" s="34" t="n">
        <f aca="false">V_ImpP*(BI$166+BI$167+BI$168+BI$169+BI$176+BI$177+BI$171+BI$173+BI$179)</f>
        <v>0</v>
      </c>
      <c r="BJ182" s="34" t="n">
        <f aca="false">V_ImpP*(BJ$166+BJ$167+BJ$168+BJ$169+BJ$176+BJ$177+BJ$171+BJ$173+BJ$179)</f>
        <v>0</v>
      </c>
      <c r="BK182" s="34" t="n">
        <f aca="false">V_ImpP*(BK$166+BK$167+BK$168+BK$169+BK$176+BK$177+BK$171+BK$173+BK$179)</f>
        <v>0</v>
      </c>
      <c r="BL182" s="34" t="n">
        <f aca="false">V_ImpP*(BL$166+BL$167+BL$168+BL$169+BL$176+BL$177+BL$171+BL$173+BL$179)</f>
        <v>0</v>
      </c>
      <c r="BM182" s="34" t="n">
        <f aca="false">V_ImpP*(BM$166+BM$167+BM$168+BM$169+BM$176+BM$177+BM$171+BM$173+BM$179)</f>
        <v>0</v>
      </c>
      <c r="BN182" s="34" t="n">
        <f aca="false">V_ImpP*(BN$166+BN$167+BN$168+BN$169+BN$176+BN$177+BN$171+BN$173+BN$179)</f>
        <v>0</v>
      </c>
      <c r="BO182" s="34" t="n">
        <f aca="false">V_ImpP*(BO$166+BO$167+BO$168+BO$169+BO$176+BO$177+BO$171+BO$173+BO$179)</f>
        <v>0</v>
      </c>
      <c r="BP182" s="34" t="n">
        <f aca="false">V_ImpP*(BP$166+BP$167+BP$168+BP$169+BP$176+BP$177+BP$171+BP$173+BP$179)</f>
        <v>0</v>
      </c>
      <c r="BQ182" s="34" t="n">
        <f aca="false">V_ImpP*(BQ$166+BQ$167+BQ$168+BQ$169+BQ$176+BQ$177+BQ$171+BQ$173+BQ$179)</f>
        <v>0</v>
      </c>
      <c r="BR182" s="34" t="n">
        <f aca="false">V_ImpP*(BR$166+BR$167+BR$168+BR$169+BR$176+BR$177+BR$171+BR$173+BR$179)</f>
        <v>0</v>
      </c>
      <c r="BS182" s="34" t="n">
        <f aca="false">V_ImpP*(BS$166+BS$167+BS$168+BS$169+BS$176+BS$177+BS$171+BS$173+BS$179)</f>
        <v>0</v>
      </c>
      <c r="BT182" s="34" t="n">
        <f aca="false">V_ImpP*(BT$166+BT$167+BT$168+BT$169+BT$176+BT$177+BT$171+BT$173+BT$179)</f>
        <v>0</v>
      </c>
      <c r="BU182" s="34" t="n">
        <f aca="false">V_ImpP*(BU$166+BU$167+BU$168+BU$169+BU$176+BU$177+BU$171+BU$173+BU$179)</f>
        <v>0</v>
      </c>
      <c r="BV182" s="34" t="n">
        <f aca="false">V_ImpP*(BV$166+BV$167+BV$168+BV$169+BV$176+BV$177+BV$171+BV$173+BV$179)</f>
        <v>0</v>
      </c>
      <c r="BW182" s="34" t="n">
        <f aca="false">V_ImpP*(BW$166+BW$167+BW$168+BW$169+BW$176+BW$177+BW$171+BW$173+BW$179)</f>
        <v>0</v>
      </c>
      <c r="BX182" s="34" t="n">
        <f aca="false">V_ImpP*(BX$166+BX$167+BX$168+BX$169+BX$176+BX$177+BX$171+BX$173+BX$179)</f>
        <v>0</v>
      </c>
      <c r="BY182" s="34" t="n">
        <f aca="false">V_ImpP*(BY$166+BY$167+BY$168+BY$169+BY$176+BY$177+BY$171+BY$173+BY$179)</f>
        <v>0</v>
      </c>
      <c r="BZ182" s="34" t="n">
        <f aca="false">V_ImpP*(BZ$166+BZ$167+BZ$168+BZ$169+BZ$176+BZ$177+BZ$171+BZ$173+BZ$179)</f>
        <v>0</v>
      </c>
      <c r="CA182" s="34" t="n">
        <f aca="false">V_ImpP*(CA$166+CA$167+CA$168+CA$169+CA$176+CA$177+CA$171+CA$173+CA$179)</f>
        <v>0</v>
      </c>
      <c r="CB182" s="34" t="n">
        <f aca="false">V_ImpP*(CB$166+CB$167+CB$168+CB$169+CB$176+CB$177+CB$171+CB$173+CB$179)</f>
        <v>0</v>
      </c>
      <c r="CC182" s="34" t="n">
        <f aca="false">V_ImpP*(CC$166+CC$167+CC$168+CC$169+CC$176+CC$177+CC$171+CC$173+CC$179)</f>
        <v>0</v>
      </c>
      <c r="CD182" s="34" t="n">
        <f aca="false">V_ImpP*(CD$166+CD$167+CD$168+CD$169+CD$176+CD$177+CD$171+CD$173+CD$179)</f>
        <v>0</v>
      </c>
      <c r="CE182" s="34" t="n">
        <f aca="false">V_ImpP*(CE$166+CE$167+CE$168+CE$169+CE$176+CE$177+CE$171+CE$173+CE$179)</f>
        <v>0</v>
      </c>
      <c r="CF182" s="34" t="n">
        <f aca="false">V_ImpP*(CF$166+CF$167+CF$168+CF$169+CF$176+CF$177+CF$171+CF$173+CF$179)</f>
        <v>0</v>
      </c>
      <c r="CG182" s="34" t="n">
        <f aca="false">V_ImpP*(CG$166+CG$167+CG$168+CG$169+CG$176+CG$177+CG$171+CG$173+CG$179)</f>
        <v>0</v>
      </c>
      <c r="CH182" s="34" t="n">
        <f aca="false">V_ImpP*(CH$166+CH$167+CH$168+CH$169+CH$176+CH$177+CH$171+CH$173+CH$179)</f>
        <v>0</v>
      </c>
      <c r="CI182" s="34" t="n">
        <f aca="false">V_ImpP*(CI$166+CI$167+CI$168+CI$169+CI$176+CI$177+CI$171+CI$173+CI$179)</f>
        <v>0</v>
      </c>
      <c r="CJ182" s="34" t="n">
        <f aca="false">V_ImpP*(CJ$166+CJ$167+CJ$168+CJ$169+CJ$176+CJ$177+CJ$171+CJ$173+CJ$179)</f>
        <v>0</v>
      </c>
      <c r="CK182" s="34" t="n">
        <f aca="false">V_ImpP*(CK$166+CK$167+CK$168+CK$169+CK$176+CK$177+CK$171+CK$173+CK$179)</f>
        <v>0</v>
      </c>
      <c r="CL182" s="34" t="n">
        <f aca="false">V_ImpP*(CL$166+CL$167+CL$168+CL$169+CL$176+CL$177+CL$171+CL$173+CL$179)</f>
        <v>0</v>
      </c>
      <c r="CM182" s="34" t="n">
        <f aca="false">V_ImpP*(CM$166+CM$167+CM$168+CM$169+CM$176+CM$177+CM$171+CM$173+CM$179)</f>
        <v>0</v>
      </c>
      <c r="CN182" s="34" t="n">
        <f aca="false">V_ImpP*(CN$166+CN$167+CN$168+CN$169+CN$176+CN$177+CN$171+CN$173+CN$179)</f>
        <v>0</v>
      </c>
      <c r="CO182" s="34" t="n">
        <f aca="false">V_ImpP*(CO$166+CO$167+CO$168+CO$169+CO$176+CO$177+CO$171+CO$173+CO$179)</f>
        <v>0</v>
      </c>
      <c r="CP182" s="34" t="n">
        <f aca="false">V_ImpP*(CP$166+CP$167+CP$168+CP$169+CP$176+CP$177+CP$171+CP$173+CP$179)</f>
        <v>0</v>
      </c>
      <c r="CQ182" s="34" t="n">
        <f aca="false">V_ImpP*(CQ$166+CQ$167+CQ$168+CQ$169+CQ$176+CQ$177+CQ$171+CQ$173+CQ$179)</f>
        <v>0</v>
      </c>
      <c r="CR182" s="34" t="n">
        <f aca="false">V_ImpP*(CR$166+CR$167+CR$168+CR$169+CR$176+CR$177+CR$171+CR$173+CR$179)</f>
        <v>0</v>
      </c>
      <c r="CS182" s="34" t="n">
        <f aca="false">V_ImpP*(CS$166+CS$167+CS$168+CS$169+CS$176+CS$177+CS$171+CS$173+CS$179)</f>
        <v>0</v>
      </c>
      <c r="CT182" s="34" t="n">
        <f aca="false">V_ImpP*(CT$166+CT$167+CT$168+CT$169+CT$176+CT$177+CT$171+CT$173+CT$179)</f>
        <v>0</v>
      </c>
      <c r="CU182" s="34" t="n">
        <f aca="false">V_ImpP*(CU$166+CU$167+CU$168+CU$169+CU$176+CU$177+CU$171+CU$173+CU$179)</f>
        <v>0</v>
      </c>
      <c r="CV182" s="34" t="n">
        <f aca="false">V_ImpP*(CV$166+CV$167+CV$168+CV$169+CV$176+CV$177+CV$171+CV$173+CV$179)</f>
        <v>0</v>
      </c>
      <c r="CW182" s="34" t="n">
        <f aca="false">V_ImpP*(CW$166+CW$167+CW$168+CW$169+CW$176+CW$177+CW$171+CW$173+CW$179)</f>
        <v>0</v>
      </c>
      <c r="CX182" s="34" t="n">
        <f aca="false">V_ImpP*(CX$166+CX$167+CX$168+CX$169+CX$176+CX$177+CX$171+CX$173+CX$179)</f>
        <v>0</v>
      </c>
      <c r="CY182" s="34" t="n">
        <f aca="false">V_ImpP*(CY$166+CY$167+CY$168+CY$169+CY$176+CY$177+CY$171+CY$173+CY$179)</f>
        <v>0</v>
      </c>
      <c r="CZ182" s="34" t="n">
        <f aca="false">V_ImpP*(CZ$166+CZ$167+CZ$168+CZ$169+CZ$176+CZ$177+CZ$171+CZ$173+CZ$179)</f>
        <v>0</v>
      </c>
      <c r="DA182" s="34" t="n">
        <f aca="false">V_ImpP*(DA$166+DA$167+DA$168+DA$169+DA$176+DA$177+DA$171+DA$173+DA$179)</f>
        <v>0</v>
      </c>
      <c r="DB182" s="34" t="n">
        <f aca="false">V_ImpP*(DB$166+DB$167+DB$168+DB$169+DB$176+DB$177+DB$171+DB$173+DB$179)</f>
        <v>0</v>
      </c>
      <c r="DC182" s="34" t="n">
        <f aca="false">V_ImpP*(DC$166+DC$167+DC$168+DC$169+DC$176+DC$177+DC$171+DC$173+DC$179)</f>
        <v>0</v>
      </c>
      <c r="DD182" s="34" t="n">
        <f aca="false">V_ImpP*(DD$166+DD$167+DD$168+DD$169+DD$176+DD$177+DD$171+DD$173+DD$179)</f>
        <v>0</v>
      </c>
      <c r="DE182" s="34" t="n">
        <f aca="false">V_ImpP*(DE$166+DE$167+DE$168+DE$169+DE$176+DE$177+DE$171+DE$173+DE$179)</f>
        <v>0</v>
      </c>
      <c r="DF182" s="34" t="n">
        <f aca="false">V_ImpP*(DF$166+DF$167+DF$168+DF$169+DF$176+DF$177+DF$171+DF$173+DF$179)</f>
        <v>0</v>
      </c>
      <c r="DG182" s="34" t="n">
        <f aca="false">V_ImpP*(DG$166+DG$167+DG$168+DG$169+DG$176+DG$177+DG$171+DG$173+DG$179)</f>
        <v>0</v>
      </c>
      <c r="DH182" s="34" t="n">
        <f aca="false">V_ImpP*(DH$166+DH$167+DH$168+DH$169+DH$176+DH$177+DH$171+DH$173+DH$179)</f>
        <v>0</v>
      </c>
      <c r="DI182" s="34" t="n">
        <f aca="false">V_ImpP*(DI$166+DI$167+DI$168+DI$169+DI$176+DI$177+DI$171+DI$173+DI$179)</f>
        <v>0</v>
      </c>
      <c r="DJ182" s="34" t="n">
        <f aca="false">V_ImpP*(DJ$166+DJ$167+DJ$168+DJ$169+DJ$176+DJ$177+DJ$171+DJ$173+DJ$179)</f>
        <v>0</v>
      </c>
      <c r="DK182" s="34" t="n">
        <f aca="false">V_ImpP*(DK$166+DK$167+DK$168+DK$169+DK$176+DK$177+DK$171+DK$173+DK$179)</f>
        <v>0</v>
      </c>
      <c r="DL182" s="34" t="n">
        <f aca="false">V_ImpP*(DL$166+DL$167+DL$168+DL$169+DL$176+DL$177+DL$171+DL$173+DL$179)</f>
        <v>0</v>
      </c>
      <c r="DM182" s="34" t="n">
        <f aca="false">V_ImpP*(DM$166+DM$167+DM$168+DM$169+DM$176+DM$177+DM$171+DM$173+DM$179)</f>
        <v>0</v>
      </c>
      <c r="DN182" s="34" t="n">
        <f aca="false">V_ImpP*(DN$166+DN$167+DN$168+DN$169+DN$176+DN$177+DN$171+DN$173+DN$179)</f>
        <v>0</v>
      </c>
      <c r="DO182" s="34" t="n">
        <f aca="false">V_ImpP*(DO$166+DO$167+DO$168+DO$169+DO$176+DO$177+DO$171+DO$173+DO$179)</f>
        <v>0</v>
      </c>
      <c r="DP182" s="34" t="n">
        <f aca="false">V_ImpP*(DP$166+DP$167+DP$168+DP$169+DP$176+DP$177+DP$171+DP$173+DP$179)</f>
        <v>0</v>
      </c>
      <c r="DQ182" s="34" t="n">
        <f aca="false">V_ImpP*(DQ$166+DQ$167+DQ$168+DQ$169+DQ$176+DQ$177+DQ$171+DQ$173+DQ$179)</f>
        <v>0</v>
      </c>
      <c r="DR182" s="34" t="n">
        <f aca="false">V_ImpP*(DR$166+DR$167+DR$168+DR$169+DR$176+DR$177+DR$171+DR$173+DR$179)</f>
        <v>0</v>
      </c>
      <c r="DS182" s="34" t="n">
        <f aca="false">V_ImpP*(DS$166+DS$167+DS$168+DS$169+DS$176+DS$177+DS$171+DS$173+DS$179)</f>
        <v>0</v>
      </c>
      <c r="DT182" s="34" t="n">
        <f aca="false">V_ImpP*(DT$166+DT$167+DT$168+DT$169+DT$176+DT$177+DT$171+DT$173+DT$179)</f>
        <v>0</v>
      </c>
      <c r="DU182" s="34" t="n">
        <f aca="false">V_ImpP*(DU$166+DU$167+DU$168+DU$169+DU$176+DU$177+DU$171+DU$173+DU$179)</f>
        <v>0</v>
      </c>
      <c r="DV182" s="34" t="n">
        <f aca="false">V_ImpP*(DV$166+DV$167+DV$168+DV$169+DV$176+DV$177+DV$171+DV$173+DV$179)</f>
        <v>0</v>
      </c>
      <c r="DW182" s="34" t="n">
        <f aca="false">V_ImpP*(DW$166+DW$167+DW$168+DW$169+DW$176+DW$177+DW$171+DW$173+DW$179)</f>
        <v>0</v>
      </c>
      <c r="DX182" s="34" t="n">
        <f aca="false">V_ImpP*(DX$166+DX$167+DX$168+DX$169+DX$176+DX$177+DX$171+DX$173+DX$179)</f>
        <v>0</v>
      </c>
      <c r="DY182" s="34" t="n">
        <f aca="false">V_ImpP*(DY$166+DY$167+DY$168+DY$169+DY$176+DY$177+DY$171+DY$173+DY$179)</f>
        <v>0</v>
      </c>
      <c r="DZ182" s="34" t="n">
        <f aca="false">V_ImpP*(DZ$166+DZ$167+DZ$168+DZ$169+DZ$176+DZ$177+DZ$171+DZ$173+DZ$179)</f>
        <v>0</v>
      </c>
      <c r="EA182" s="34" t="n">
        <f aca="false">V_ImpP*(EA$166+EA$167+EA$168+EA$169+EA$176+EA$177+EA$171+EA$173+EA$179)</f>
        <v>0</v>
      </c>
      <c r="EB182" s="34" t="n">
        <f aca="false">V_ImpP*(EB$166+EB$167+EB$168+EB$169+EB$176+EB$177+EB$171+EB$173+EB$179)</f>
        <v>0</v>
      </c>
      <c r="EC182" s="34" t="n">
        <f aca="false">V_ImpP*(EC$166+EC$167+EC$168+EC$169+EC$176+EC$177+EC$171+EC$173+EC$179)</f>
        <v>0</v>
      </c>
      <c r="ED182" s="34" t="n">
        <f aca="false">V_ImpP*(ED$166+ED$167+ED$168+ED$169+ED$176+ED$177+ED$171+ED$173+ED$179)</f>
        <v>0</v>
      </c>
      <c r="EE182" s="34" t="n">
        <f aca="false">V_ImpP*(EE$166+EE$167+EE$168+EE$169+EE$176+EE$177+EE$171+EE$173+EE$179)</f>
        <v>0</v>
      </c>
      <c r="EF182" s="34" t="n">
        <f aca="false">V_ImpP*(EF$166+EF$167+EF$168+EF$169+EF$176+EF$177+EF$171+EF$173+EF$179)</f>
        <v>0</v>
      </c>
      <c r="EG182" s="34" t="n">
        <f aca="false">V_ImpP*(EG$166+EG$167+EG$168+EG$169+EG$176+EG$177+EG$171+EG$173+EG$179)</f>
        <v>0</v>
      </c>
      <c r="EH182" s="34" t="n">
        <f aca="false">V_ImpP*(EH$166+EH$167+EH$168+EH$169+EH$176+EH$177+EH$171+EH$173+EH$179)</f>
        <v>0</v>
      </c>
      <c r="EI182" s="34" t="n">
        <f aca="false">V_ImpP*(EI$166+EI$167+EI$168+EI$169+EI$176+EI$177+EI$171+EI$173+EI$179)</f>
        <v>0</v>
      </c>
      <c r="EJ182" s="34" t="n">
        <f aca="false">V_ImpP*(EJ$166+EJ$167+EJ$168+EJ$169+EJ$176+EJ$177+EJ$171+EJ$173+EJ$179)</f>
        <v>0</v>
      </c>
      <c r="EK182" s="34" t="n">
        <f aca="false">V_ImpP*(EK$166+EK$167+EK$168+EK$169+EK$176+EK$177+EK$171+EK$173+EK$179)</f>
        <v>0</v>
      </c>
      <c r="EL182" s="34" t="n">
        <f aca="false">V_ImpP*(EL$166+EL$167+EL$168+EL$169+EL$176+EL$177+EL$171+EL$173+EL$179)</f>
        <v>0</v>
      </c>
      <c r="EM182" s="34" t="n">
        <f aca="false">V_ImpP*(EM$166+EM$167+EM$168+EM$169+EM$176+EM$177+EM$171+EM$173+EM$179)</f>
        <v>0</v>
      </c>
      <c r="EN182" s="34" t="n">
        <f aca="false">V_ImpP*(EN$166+EN$167+EN$168+EN$169+EN$176+EN$177+EN$171+EN$173+EN$179)</f>
        <v>0</v>
      </c>
      <c r="EO182" s="34" t="n">
        <f aca="false">V_ImpP*(EO$166+EO$167+EO$168+EO$169+EO$176+EO$177+EO$171+EO$173+EO$179)</f>
        <v>0</v>
      </c>
      <c r="EP182" s="34" t="n">
        <f aca="false">V_ImpP*(EP$166+EP$167+EP$168+EP$169+EP$176+EP$177+EP$171+EP$173+EP$179)</f>
        <v>0</v>
      </c>
      <c r="EQ182" s="34" t="n">
        <f aca="false">V_ImpP*(EQ$166+EQ$167+EQ$168+EQ$169+EQ$176+EQ$177+EQ$171+EQ$173+EQ$179)</f>
        <v>0</v>
      </c>
      <c r="ER182" s="34" t="n">
        <f aca="false">V_ImpP*(ER$166+ER$167+ER$168+ER$169+ER$176+ER$177+ER$171+ER$173+ER$179)</f>
        <v>0</v>
      </c>
      <c r="ES182" s="34" t="n">
        <f aca="false">V_ImpP*(ES$166+ES$167+ES$168+ES$169+ES$176+ES$177+ES$171+ES$173+ES$179)</f>
        <v>0</v>
      </c>
    </row>
    <row r="183" customFormat="false" ht="15" hidden="false" customHeight="false" outlineLevel="0" collapsed="false">
      <c r="A183" s="2" t="s">
        <v>661</v>
      </c>
      <c r="B183" s="6" t="s">
        <v>494</v>
      </c>
      <c r="C183" s="6" t="s">
        <v>212</v>
      </c>
      <c r="E183" s="40" t="n">
        <f aca="false">SUM(F183:ES183)</f>
        <v>0</v>
      </c>
      <c r="F183" s="34" t="n">
        <f aca="false">V_ImpA*(F$175+F$181)</f>
        <v>0</v>
      </c>
      <c r="G183" s="34" t="n">
        <f aca="false">V_ImpA*(G$175+G$181)</f>
        <v>0</v>
      </c>
      <c r="H183" s="34" t="n">
        <f aca="false">V_ImpA*(H$175+H$181)</f>
        <v>0</v>
      </c>
      <c r="I183" s="34" t="n">
        <f aca="false">V_ImpA*(I$175+I$181)</f>
        <v>0</v>
      </c>
      <c r="J183" s="34" t="n">
        <f aca="false">V_ImpA*(J$175+J$181)</f>
        <v>0</v>
      </c>
      <c r="K183" s="34" t="n">
        <f aca="false">V_ImpA*(K$175+K$181)</f>
        <v>0</v>
      </c>
      <c r="L183" s="34" t="n">
        <f aca="false">V_ImpA*(L$175+L$181)</f>
        <v>0</v>
      </c>
      <c r="M183" s="34" t="n">
        <f aca="false">V_ImpA*(M$175+M$181)</f>
        <v>0</v>
      </c>
      <c r="N183" s="34" t="n">
        <f aca="false">V_ImpA*(N$175+N$181)</f>
        <v>0</v>
      </c>
      <c r="O183" s="34" t="n">
        <f aca="false">V_ImpA*(O$175+O$181)</f>
        <v>0</v>
      </c>
      <c r="P183" s="34" t="n">
        <f aca="false">V_ImpA*(P$175+P$181)</f>
        <v>0</v>
      </c>
      <c r="Q183" s="34" t="n">
        <f aca="false">V_ImpA*(Q$175+Q$181)</f>
        <v>0</v>
      </c>
      <c r="R183" s="34" t="n">
        <f aca="false">V_ImpA*(R$175+R$181)</f>
        <v>0</v>
      </c>
      <c r="S183" s="34" t="n">
        <f aca="false">V_ImpA*(S$175+S$181)</f>
        <v>0</v>
      </c>
      <c r="T183" s="34" t="n">
        <f aca="false">V_ImpA*(T$175+T$181)</f>
        <v>0</v>
      </c>
      <c r="U183" s="34" t="n">
        <f aca="false">V_ImpA*(U$175+U$181)</f>
        <v>0</v>
      </c>
      <c r="V183" s="34" t="n">
        <f aca="false">V_ImpA*(V$175+V$181)</f>
        <v>0</v>
      </c>
      <c r="W183" s="34" t="n">
        <f aca="false">V_ImpA*(W$175+W$181)</f>
        <v>0</v>
      </c>
      <c r="X183" s="34" t="n">
        <f aca="false">V_ImpA*(X$175+X$181)</f>
        <v>0</v>
      </c>
      <c r="Y183" s="34" t="n">
        <f aca="false">V_ImpA*(Y$175+Y$181)</f>
        <v>0</v>
      </c>
      <c r="Z183" s="34" t="n">
        <f aca="false">V_ImpA*(Z$175+Z$181)</f>
        <v>0</v>
      </c>
      <c r="AA183" s="34" t="n">
        <f aca="false">V_ImpA*(AA$175+AA$181)</f>
        <v>0</v>
      </c>
      <c r="AB183" s="34" t="n">
        <f aca="false">V_ImpA*(AB$175+AB$181)</f>
        <v>0</v>
      </c>
      <c r="AC183" s="34" t="n">
        <f aca="false">V_ImpA*(AC$175+AC$181)</f>
        <v>0</v>
      </c>
      <c r="AD183" s="34" t="n">
        <f aca="false">V_ImpA*(AD$175+AD$181)</f>
        <v>0</v>
      </c>
      <c r="AE183" s="34" t="n">
        <f aca="false">V_ImpA*(AE$175+AE$181)</f>
        <v>0</v>
      </c>
      <c r="AF183" s="34" t="n">
        <f aca="false">V_ImpA*(AF$175+AF$181)</f>
        <v>0</v>
      </c>
      <c r="AG183" s="34" t="n">
        <f aca="false">V_ImpA*(AG$175+AG$181)</f>
        <v>0</v>
      </c>
      <c r="AH183" s="34" t="n">
        <f aca="false">V_ImpA*(AH$175+AH$181)</f>
        <v>0</v>
      </c>
      <c r="AI183" s="34" t="n">
        <f aca="false">V_ImpA*(AI$175+AI$181)</f>
        <v>0</v>
      </c>
      <c r="AJ183" s="34" t="n">
        <f aca="false">V_ImpA*(AJ$175+AJ$181)</f>
        <v>0</v>
      </c>
      <c r="AK183" s="34" t="n">
        <f aca="false">V_ImpA*(AK$175+AK$181)</f>
        <v>0</v>
      </c>
      <c r="AL183" s="34" t="n">
        <f aca="false">V_ImpA*(AL$175+AL$181)</f>
        <v>0</v>
      </c>
      <c r="AM183" s="34" t="n">
        <f aca="false">V_ImpA*(AM$175+AM$181)</f>
        <v>0</v>
      </c>
      <c r="AN183" s="34" t="n">
        <f aca="false">V_ImpA*(AN$175+AN$181)</f>
        <v>0</v>
      </c>
      <c r="AO183" s="34" t="n">
        <f aca="false">V_ImpA*(AO$175+AO$181)</f>
        <v>0</v>
      </c>
      <c r="AP183" s="34" t="n">
        <f aca="false">V_ImpA*(AP$175+AP$181)</f>
        <v>0</v>
      </c>
      <c r="AQ183" s="34" t="n">
        <f aca="false">V_ImpA*(AQ$175+AQ$181)</f>
        <v>0</v>
      </c>
      <c r="AR183" s="34" t="n">
        <f aca="false">V_ImpA*(AR$175+AR$181)</f>
        <v>0</v>
      </c>
      <c r="AS183" s="34" t="n">
        <f aca="false">V_ImpA*(AS$175+AS$181)</f>
        <v>0</v>
      </c>
      <c r="AT183" s="34" t="n">
        <f aca="false">V_ImpA*(AT$175+AT$181)</f>
        <v>0</v>
      </c>
      <c r="AU183" s="34" t="n">
        <f aca="false">V_ImpA*(AU$175+AU$181)</f>
        <v>0</v>
      </c>
      <c r="AV183" s="34" t="n">
        <f aca="false">V_ImpA*(AV$175+AV$181)</f>
        <v>0</v>
      </c>
      <c r="AW183" s="34" t="n">
        <f aca="false">V_ImpA*(AW$175+AW$181)</f>
        <v>0</v>
      </c>
      <c r="AX183" s="34" t="n">
        <f aca="false">V_ImpA*(AX$175+AX$181)</f>
        <v>0</v>
      </c>
      <c r="AY183" s="34" t="n">
        <f aca="false">V_ImpA*(AY$175+AY$181)</f>
        <v>0</v>
      </c>
      <c r="AZ183" s="34" t="n">
        <f aca="false">V_ImpA*(AZ$175+AZ$181)</f>
        <v>0</v>
      </c>
      <c r="BA183" s="34" t="n">
        <f aca="false">V_ImpA*(BA$175+BA$181)</f>
        <v>0</v>
      </c>
      <c r="BB183" s="34" t="n">
        <f aca="false">V_ImpA*(BB$175+BB$181)</f>
        <v>0</v>
      </c>
      <c r="BC183" s="34" t="n">
        <f aca="false">V_ImpA*(BC$175+BC$181)</f>
        <v>0</v>
      </c>
      <c r="BD183" s="34" t="n">
        <f aca="false">V_ImpA*(BD$175+BD$181)</f>
        <v>0</v>
      </c>
      <c r="BE183" s="34" t="n">
        <f aca="false">V_ImpA*(BE$175+BE$181)</f>
        <v>0</v>
      </c>
      <c r="BF183" s="34" t="n">
        <f aca="false">V_ImpA*(BF$175+BF$181)</f>
        <v>0</v>
      </c>
      <c r="BG183" s="34" t="n">
        <f aca="false">V_ImpA*(BG$175+BG$181)</f>
        <v>0</v>
      </c>
      <c r="BH183" s="34" t="n">
        <f aca="false">V_ImpA*(BH$175+BH$181)</f>
        <v>0</v>
      </c>
      <c r="BI183" s="34" t="n">
        <f aca="false">V_ImpA*(BI$175+BI$181)</f>
        <v>0</v>
      </c>
      <c r="BJ183" s="34" t="n">
        <f aca="false">V_ImpA*(BJ$175+BJ$181)</f>
        <v>0</v>
      </c>
      <c r="BK183" s="34" t="n">
        <f aca="false">V_ImpA*(BK$175+BK$181)</f>
        <v>0</v>
      </c>
      <c r="BL183" s="34" t="n">
        <f aca="false">V_ImpA*(BL$175+BL$181)</f>
        <v>0</v>
      </c>
      <c r="BM183" s="34" t="n">
        <f aca="false">V_ImpA*(BM$175+BM$181)</f>
        <v>0</v>
      </c>
      <c r="BN183" s="34" t="n">
        <f aca="false">V_ImpA*(BN$175+BN$181)</f>
        <v>0</v>
      </c>
      <c r="BO183" s="34" t="n">
        <f aca="false">V_ImpA*(BO$175+BO$181)</f>
        <v>0</v>
      </c>
      <c r="BP183" s="34" t="n">
        <f aca="false">V_ImpA*(BP$175+BP$181)</f>
        <v>0</v>
      </c>
      <c r="BQ183" s="34" t="n">
        <f aca="false">V_ImpA*(BQ$175+BQ$181)</f>
        <v>0</v>
      </c>
      <c r="BR183" s="34" t="n">
        <f aca="false">V_ImpA*(BR$175+BR$181)</f>
        <v>0</v>
      </c>
      <c r="BS183" s="34" t="n">
        <f aca="false">V_ImpA*(BS$175+BS$181)</f>
        <v>0</v>
      </c>
      <c r="BT183" s="34" t="n">
        <f aca="false">V_ImpA*(BT$175+BT$181)</f>
        <v>0</v>
      </c>
      <c r="BU183" s="34" t="n">
        <f aca="false">V_ImpA*(BU$175+BU$181)</f>
        <v>0</v>
      </c>
      <c r="BV183" s="34" t="n">
        <f aca="false">V_ImpA*(BV$175+BV$181)</f>
        <v>0</v>
      </c>
      <c r="BW183" s="34" t="n">
        <f aca="false">V_ImpA*(BW$175+BW$181)</f>
        <v>0</v>
      </c>
      <c r="BX183" s="34" t="n">
        <f aca="false">V_ImpA*(BX$175+BX$181)</f>
        <v>0</v>
      </c>
      <c r="BY183" s="34" t="n">
        <f aca="false">V_ImpA*(BY$175+BY$181)</f>
        <v>0</v>
      </c>
      <c r="BZ183" s="34" t="n">
        <f aca="false">V_ImpA*(BZ$175+BZ$181)</f>
        <v>0</v>
      </c>
      <c r="CA183" s="34" t="n">
        <f aca="false">V_ImpA*(CA$175+CA$181)</f>
        <v>0</v>
      </c>
      <c r="CB183" s="34" t="n">
        <f aca="false">V_ImpA*(CB$175+CB$181)</f>
        <v>0</v>
      </c>
      <c r="CC183" s="34" t="n">
        <f aca="false">V_ImpA*(CC$175+CC$181)</f>
        <v>0</v>
      </c>
      <c r="CD183" s="34" t="n">
        <f aca="false">V_ImpA*(CD$175+CD$181)</f>
        <v>0</v>
      </c>
      <c r="CE183" s="34" t="n">
        <f aca="false">V_ImpA*(CE$175+CE$181)</f>
        <v>0</v>
      </c>
      <c r="CF183" s="34" t="n">
        <f aca="false">V_ImpA*(CF$175+CF$181)</f>
        <v>0</v>
      </c>
      <c r="CG183" s="34" t="n">
        <f aca="false">V_ImpA*(CG$175+CG$181)</f>
        <v>0</v>
      </c>
      <c r="CH183" s="34" t="n">
        <f aca="false">V_ImpA*(CH$175+CH$181)</f>
        <v>0</v>
      </c>
      <c r="CI183" s="34" t="n">
        <f aca="false">V_ImpA*(CI$175+CI$181)</f>
        <v>0</v>
      </c>
      <c r="CJ183" s="34" t="n">
        <f aca="false">V_ImpA*(CJ$175+CJ$181)</f>
        <v>0</v>
      </c>
      <c r="CK183" s="34" t="n">
        <f aca="false">V_ImpA*(CK$175+CK$181)</f>
        <v>0</v>
      </c>
      <c r="CL183" s="34" t="n">
        <f aca="false">V_ImpA*(CL$175+CL$181)</f>
        <v>0</v>
      </c>
      <c r="CM183" s="34" t="n">
        <f aca="false">V_ImpA*(CM$175+CM$181)</f>
        <v>0</v>
      </c>
      <c r="CN183" s="34" t="n">
        <f aca="false">V_ImpA*(CN$175+CN$181)</f>
        <v>0</v>
      </c>
      <c r="CO183" s="34" t="n">
        <f aca="false">V_ImpA*(CO$175+CO$181)</f>
        <v>0</v>
      </c>
      <c r="CP183" s="34" t="n">
        <f aca="false">V_ImpA*(CP$175+CP$181)</f>
        <v>0</v>
      </c>
      <c r="CQ183" s="34" t="n">
        <f aca="false">V_ImpA*(CQ$175+CQ$181)</f>
        <v>0</v>
      </c>
      <c r="CR183" s="34" t="n">
        <f aca="false">V_ImpA*(CR$175+CR$181)</f>
        <v>0</v>
      </c>
      <c r="CS183" s="34" t="n">
        <f aca="false">V_ImpA*(CS$175+CS$181)</f>
        <v>0</v>
      </c>
      <c r="CT183" s="34" t="n">
        <f aca="false">V_ImpA*(CT$175+CT$181)</f>
        <v>0</v>
      </c>
      <c r="CU183" s="34" t="n">
        <f aca="false">V_ImpA*(CU$175+CU$181)</f>
        <v>0</v>
      </c>
      <c r="CV183" s="34" t="n">
        <f aca="false">V_ImpA*(CV$175+CV$181)</f>
        <v>0</v>
      </c>
      <c r="CW183" s="34" t="n">
        <f aca="false">V_ImpA*(CW$175+CW$181)</f>
        <v>0</v>
      </c>
      <c r="CX183" s="34" t="n">
        <f aca="false">V_ImpA*(CX$175+CX$181)</f>
        <v>0</v>
      </c>
      <c r="CY183" s="34" t="n">
        <f aca="false">V_ImpA*(CY$175+CY$181)</f>
        <v>0</v>
      </c>
      <c r="CZ183" s="34" t="n">
        <f aca="false">V_ImpA*(CZ$175+CZ$181)</f>
        <v>0</v>
      </c>
      <c r="DA183" s="34" t="n">
        <f aca="false">V_ImpA*(DA$175+DA$181)</f>
        <v>0</v>
      </c>
      <c r="DB183" s="34" t="n">
        <f aca="false">V_ImpA*(DB$175+DB$181)</f>
        <v>0</v>
      </c>
      <c r="DC183" s="34" t="n">
        <f aca="false">V_ImpA*(DC$175+DC$181)</f>
        <v>0</v>
      </c>
      <c r="DD183" s="34" t="n">
        <f aca="false">V_ImpA*(DD$175+DD$181)</f>
        <v>0</v>
      </c>
      <c r="DE183" s="34" t="n">
        <f aca="false">V_ImpA*(DE$175+DE$181)</f>
        <v>0</v>
      </c>
      <c r="DF183" s="34" t="n">
        <f aca="false">V_ImpA*(DF$175+DF$181)</f>
        <v>0</v>
      </c>
      <c r="DG183" s="34" t="n">
        <f aca="false">V_ImpA*(DG$175+DG$181)</f>
        <v>0</v>
      </c>
      <c r="DH183" s="34" t="n">
        <f aca="false">V_ImpA*(DH$175+DH$181)</f>
        <v>0</v>
      </c>
      <c r="DI183" s="34" t="n">
        <f aca="false">V_ImpA*(DI$175+DI$181)</f>
        <v>0</v>
      </c>
      <c r="DJ183" s="34" t="n">
        <f aca="false">V_ImpA*(DJ$175+DJ$181)</f>
        <v>0</v>
      </c>
      <c r="DK183" s="34" t="n">
        <f aca="false">V_ImpA*(DK$175+DK$181)</f>
        <v>0</v>
      </c>
      <c r="DL183" s="34" t="n">
        <f aca="false">V_ImpA*(DL$175+DL$181)</f>
        <v>0</v>
      </c>
      <c r="DM183" s="34" t="n">
        <f aca="false">V_ImpA*(DM$175+DM$181)</f>
        <v>0</v>
      </c>
      <c r="DN183" s="34" t="n">
        <f aca="false">V_ImpA*(DN$175+DN$181)</f>
        <v>0</v>
      </c>
      <c r="DO183" s="34" t="n">
        <f aca="false">V_ImpA*(DO$175+DO$181)</f>
        <v>0</v>
      </c>
      <c r="DP183" s="34" t="n">
        <f aca="false">V_ImpA*(DP$175+DP$181)</f>
        <v>0</v>
      </c>
      <c r="DQ183" s="34" t="n">
        <f aca="false">V_ImpA*(DQ$175+DQ$181)</f>
        <v>0</v>
      </c>
      <c r="DR183" s="34" t="n">
        <f aca="false">V_ImpA*(DR$175+DR$181)</f>
        <v>0</v>
      </c>
      <c r="DS183" s="34" t="n">
        <f aca="false">V_ImpA*(DS$175+DS$181)</f>
        <v>0</v>
      </c>
      <c r="DT183" s="34" t="n">
        <f aca="false">V_ImpA*(DT$175+DT$181)</f>
        <v>0</v>
      </c>
      <c r="DU183" s="34" t="n">
        <f aca="false">V_ImpA*(DU$175+DU$181)</f>
        <v>0</v>
      </c>
      <c r="DV183" s="34" t="n">
        <f aca="false">V_ImpA*(DV$175+DV$181)</f>
        <v>0</v>
      </c>
      <c r="DW183" s="34" t="n">
        <f aca="false">V_ImpA*(DW$175+DW$181)</f>
        <v>0</v>
      </c>
      <c r="DX183" s="34" t="n">
        <f aca="false">V_ImpA*(DX$175+DX$181)</f>
        <v>0</v>
      </c>
      <c r="DY183" s="34" t="n">
        <f aca="false">V_ImpA*(DY$175+DY$181)</f>
        <v>0</v>
      </c>
      <c r="DZ183" s="34" t="n">
        <f aca="false">V_ImpA*(DZ$175+DZ$181)</f>
        <v>0</v>
      </c>
      <c r="EA183" s="34" t="n">
        <f aca="false">V_ImpA*(EA$175+EA$181)</f>
        <v>0</v>
      </c>
      <c r="EB183" s="34" t="n">
        <f aca="false">V_ImpA*(EB$175+EB$181)</f>
        <v>0</v>
      </c>
      <c r="EC183" s="34" t="n">
        <f aca="false">V_ImpA*(EC$175+EC$181)</f>
        <v>0</v>
      </c>
      <c r="ED183" s="34" t="n">
        <f aca="false">V_ImpA*(ED$175+ED$181)</f>
        <v>0</v>
      </c>
      <c r="EE183" s="34" t="n">
        <f aca="false">V_ImpA*(EE$175+EE$181)</f>
        <v>0</v>
      </c>
      <c r="EF183" s="34" t="n">
        <f aca="false">V_ImpA*(EF$175+EF$181)</f>
        <v>0</v>
      </c>
      <c r="EG183" s="34" t="n">
        <f aca="false">V_ImpA*(EG$175+EG$181)</f>
        <v>0</v>
      </c>
      <c r="EH183" s="34" t="n">
        <f aca="false">V_ImpA*(EH$175+EH$181)</f>
        <v>0</v>
      </c>
      <c r="EI183" s="34" t="n">
        <f aca="false">V_ImpA*(EI$175+EI$181)</f>
        <v>0</v>
      </c>
      <c r="EJ183" s="34" t="n">
        <f aca="false">V_ImpA*(EJ$175+EJ$181)</f>
        <v>0</v>
      </c>
      <c r="EK183" s="34" t="n">
        <f aca="false">V_ImpA*(EK$175+EK$181)</f>
        <v>0</v>
      </c>
      <c r="EL183" s="34" t="n">
        <f aca="false">V_ImpA*(EL$175+EL$181)</f>
        <v>0</v>
      </c>
      <c r="EM183" s="34" t="n">
        <f aca="false">V_ImpA*(EM$175+EM$181)</f>
        <v>0</v>
      </c>
      <c r="EN183" s="34" t="n">
        <f aca="false">V_ImpA*(EN$175+EN$181)</f>
        <v>0</v>
      </c>
      <c r="EO183" s="34" t="n">
        <f aca="false">V_ImpA*(EO$175+EO$181)</f>
        <v>0</v>
      </c>
      <c r="EP183" s="34" t="n">
        <f aca="false">V_ImpA*(EP$175+EP$181)</f>
        <v>0</v>
      </c>
      <c r="EQ183" s="34" t="n">
        <f aca="false">V_ImpA*(EQ$175+EQ$181)</f>
        <v>0</v>
      </c>
      <c r="ER183" s="34" t="n">
        <f aca="false">V_ImpA*(ER$175+ER$181)</f>
        <v>0</v>
      </c>
      <c r="ES183" s="34" t="n">
        <f aca="false">V_ImpA*(ES$175+ES$181)</f>
        <v>0</v>
      </c>
    </row>
    <row r="184" customFormat="false" ht="15" hidden="false" customHeight="false" outlineLevel="0" collapsed="false">
      <c r="A184" s="2" t="s">
        <v>662</v>
      </c>
      <c r="B184" s="6" t="s">
        <v>496</v>
      </c>
      <c r="C184" s="6" t="s">
        <v>212</v>
      </c>
      <c r="E184" s="40" t="n">
        <f aca="false">SUM(F184:ES184)</f>
        <v>0</v>
      </c>
      <c r="F184" s="34" t="n">
        <f aca="false">SUMPRODUCT(FC_V*((FC_Mon="PYG")*F$138+(FC_Mon&lt;&gt;"PYG"))*(1+FC_g)^(F$136-1)*((FC_Desde=0)*(F$135+F$134)+(FC_Desde&gt;=1)*(F$133&gt;=FC_Desde)*F$134)*FC_IVA/(1+FC_IVA))</f>
        <v>0</v>
      </c>
      <c r="G184" s="34" t="n">
        <f aca="false">SUMPRODUCT(FC_V*((FC_Mon="PYG")*G$138+(FC_Mon&lt;&gt;"PYG"))*(1+FC_g)^(G$136-1)*((FC_Desde=0)*(G$135+G$134)+(FC_Desde&gt;=1)*(G$133&gt;=FC_Desde)*G$134)*FC_IVA/(1+FC_IVA))</f>
        <v>0</v>
      </c>
      <c r="H184" s="34" t="n">
        <f aca="false">SUMPRODUCT(FC_V*((FC_Mon="PYG")*H$138+(FC_Mon&lt;&gt;"PYG"))*(1+FC_g)^(H$136-1)*((FC_Desde=0)*(H$135+H$134)+(FC_Desde&gt;=1)*(H$133&gt;=FC_Desde)*H$134)*FC_IVA/(1+FC_IVA))</f>
        <v>0</v>
      </c>
      <c r="I184" s="34" t="n">
        <f aca="false">SUMPRODUCT(FC_V*((FC_Mon="PYG")*I$138+(FC_Mon&lt;&gt;"PYG"))*(1+FC_g)^(I$136-1)*((FC_Desde=0)*(I$135+I$134)+(FC_Desde&gt;=1)*(I$133&gt;=FC_Desde)*I$134)*FC_IVA/(1+FC_IVA))</f>
        <v>0</v>
      </c>
      <c r="J184" s="34" t="n">
        <f aca="false">SUMPRODUCT(FC_V*((FC_Mon="PYG")*J$138+(FC_Mon&lt;&gt;"PYG"))*(1+FC_g)^(J$136-1)*((FC_Desde=0)*(J$135+J$134)+(FC_Desde&gt;=1)*(J$133&gt;=FC_Desde)*J$134)*FC_IVA/(1+FC_IVA))</f>
        <v>0</v>
      </c>
      <c r="K184" s="34" t="n">
        <f aca="false">SUMPRODUCT(FC_V*((FC_Mon="PYG")*K$138+(FC_Mon&lt;&gt;"PYG"))*(1+FC_g)^(K$136-1)*((FC_Desde=0)*(K$135+K$134)+(FC_Desde&gt;=1)*(K$133&gt;=FC_Desde)*K$134)*FC_IVA/(1+FC_IVA))</f>
        <v>0</v>
      </c>
      <c r="L184" s="34" t="n">
        <f aca="false">SUMPRODUCT(FC_V*((FC_Mon="PYG")*L$138+(FC_Mon&lt;&gt;"PYG"))*(1+FC_g)^(L$136-1)*((FC_Desde=0)*(L$135+L$134)+(FC_Desde&gt;=1)*(L$133&gt;=FC_Desde)*L$134)*FC_IVA/(1+FC_IVA))</f>
        <v>0</v>
      </c>
      <c r="M184" s="34" t="n">
        <f aca="false">SUMPRODUCT(FC_V*((FC_Mon="PYG")*M$138+(FC_Mon&lt;&gt;"PYG"))*(1+FC_g)^(M$136-1)*((FC_Desde=0)*(M$135+M$134)+(FC_Desde&gt;=1)*(M$133&gt;=FC_Desde)*M$134)*FC_IVA/(1+FC_IVA))</f>
        <v>0</v>
      </c>
      <c r="N184" s="34" t="n">
        <f aca="false">SUMPRODUCT(FC_V*((FC_Mon="PYG")*N$138+(FC_Mon&lt;&gt;"PYG"))*(1+FC_g)^(N$136-1)*((FC_Desde=0)*(N$135+N$134)+(FC_Desde&gt;=1)*(N$133&gt;=FC_Desde)*N$134)*FC_IVA/(1+FC_IVA))</f>
        <v>0</v>
      </c>
      <c r="O184" s="34" t="n">
        <f aca="false">SUMPRODUCT(FC_V*((FC_Mon="PYG")*O$138+(FC_Mon&lt;&gt;"PYG"))*(1+FC_g)^(O$136-1)*((FC_Desde=0)*(O$135+O$134)+(FC_Desde&gt;=1)*(O$133&gt;=FC_Desde)*O$134)*FC_IVA/(1+FC_IVA))</f>
        <v>0</v>
      </c>
      <c r="P184" s="34" t="n">
        <f aca="false">SUMPRODUCT(FC_V*((FC_Mon="PYG")*P$138+(FC_Mon&lt;&gt;"PYG"))*(1+FC_g)^(P$136-1)*((FC_Desde=0)*(P$135+P$134)+(FC_Desde&gt;=1)*(P$133&gt;=FC_Desde)*P$134)*FC_IVA/(1+FC_IVA))</f>
        <v>0</v>
      </c>
      <c r="Q184" s="34" t="n">
        <f aca="false">SUMPRODUCT(FC_V*((FC_Mon="PYG")*Q$138+(FC_Mon&lt;&gt;"PYG"))*(1+FC_g)^(Q$136-1)*((FC_Desde=0)*(Q$135+Q$134)+(FC_Desde&gt;=1)*(Q$133&gt;=FC_Desde)*Q$134)*FC_IVA/(1+FC_IVA))</f>
        <v>0</v>
      </c>
      <c r="R184" s="34" t="n">
        <f aca="false">SUMPRODUCT(FC_V*((FC_Mon="PYG")*R$138+(FC_Mon&lt;&gt;"PYG"))*(1+FC_g)^(R$136-1)*((FC_Desde=0)*(R$135+R$134)+(FC_Desde&gt;=1)*(R$133&gt;=FC_Desde)*R$134)*FC_IVA/(1+FC_IVA))</f>
        <v>0</v>
      </c>
      <c r="S184" s="34" t="n">
        <f aca="false">SUMPRODUCT(FC_V*((FC_Mon="PYG")*S$138+(FC_Mon&lt;&gt;"PYG"))*(1+FC_g)^(S$136-1)*((FC_Desde=0)*(S$135+S$134)+(FC_Desde&gt;=1)*(S$133&gt;=FC_Desde)*S$134)*FC_IVA/(1+FC_IVA))</f>
        <v>0</v>
      </c>
      <c r="T184" s="34" t="n">
        <f aca="false">SUMPRODUCT(FC_V*((FC_Mon="PYG")*T$138+(FC_Mon&lt;&gt;"PYG"))*(1+FC_g)^(T$136-1)*((FC_Desde=0)*(T$135+T$134)+(FC_Desde&gt;=1)*(T$133&gt;=FC_Desde)*T$134)*FC_IVA/(1+FC_IVA))</f>
        <v>0</v>
      </c>
      <c r="U184" s="34" t="n">
        <f aca="false">SUMPRODUCT(FC_V*((FC_Mon="PYG")*U$138+(FC_Mon&lt;&gt;"PYG"))*(1+FC_g)^(U$136-1)*((FC_Desde=0)*(U$135+U$134)+(FC_Desde&gt;=1)*(U$133&gt;=FC_Desde)*U$134)*FC_IVA/(1+FC_IVA))</f>
        <v>0</v>
      </c>
      <c r="V184" s="34" t="n">
        <f aca="false">SUMPRODUCT(FC_V*((FC_Mon="PYG")*V$138+(FC_Mon&lt;&gt;"PYG"))*(1+FC_g)^(V$136-1)*((FC_Desde=0)*(V$135+V$134)+(FC_Desde&gt;=1)*(V$133&gt;=FC_Desde)*V$134)*FC_IVA/(1+FC_IVA))</f>
        <v>0</v>
      </c>
      <c r="W184" s="34" t="n">
        <f aca="false">SUMPRODUCT(FC_V*((FC_Mon="PYG")*W$138+(FC_Mon&lt;&gt;"PYG"))*(1+FC_g)^(W$136-1)*((FC_Desde=0)*(W$135+W$134)+(FC_Desde&gt;=1)*(W$133&gt;=FC_Desde)*W$134)*FC_IVA/(1+FC_IVA))</f>
        <v>0</v>
      </c>
      <c r="X184" s="34" t="n">
        <f aca="false">SUMPRODUCT(FC_V*((FC_Mon="PYG")*X$138+(FC_Mon&lt;&gt;"PYG"))*(1+FC_g)^(X$136-1)*((FC_Desde=0)*(X$135+X$134)+(FC_Desde&gt;=1)*(X$133&gt;=FC_Desde)*X$134)*FC_IVA/(1+FC_IVA))</f>
        <v>0</v>
      </c>
      <c r="Y184" s="34" t="n">
        <f aca="false">SUMPRODUCT(FC_V*((FC_Mon="PYG")*Y$138+(FC_Mon&lt;&gt;"PYG"))*(1+FC_g)^(Y$136-1)*((FC_Desde=0)*(Y$135+Y$134)+(FC_Desde&gt;=1)*(Y$133&gt;=FC_Desde)*Y$134)*FC_IVA/(1+FC_IVA))</f>
        <v>0</v>
      </c>
      <c r="Z184" s="34" t="n">
        <f aca="false">SUMPRODUCT(FC_V*((FC_Mon="PYG")*Z$138+(FC_Mon&lt;&gt;"PYG"))*(1+FC_g)^(Z$136-1)*((FC_Desde=0)*(Z$135+Z$134)+(FC_Desde&gt;=1)*(Z$133&gt;=FC_Desde)*Z$134)*FC_IVA/(1+FC_IVA))</f>
        <v>0</v>
      </c>
      <c r="AA184" s="34" t="n">
        <f aca="false">SUMPRODUCT(FC_V*((FC_Mon="PYG")*AA$138+(FC_Mon&lt;&gt;"PYG"))*(1+FC_g)^(AA$136-1)*((FC_Desde=0)*(AA$135+AA$134)+(FC_Desde&gt;=1)*(AA$133&gt;=FC_Desde)*AA$134)*FC_IVA/(1+FC_IVA))</f>
        <v>0</v>
      </c>
      <c r="AB184" s="34" t="n">
        <f aca="false">SUMPRODUCT(FC_V*((FC_Mon="PYG")*AB$138+(FC_Mon&lt;&gt;"PYG"))*(1+FC_g)^(AB$136-1)*((FC_Desde=0)*(AB$135+AB$134)+(FC_Desde&gt;=1)*(AB$133&gt;=FC_Desde)*AB$134)*FC_IVA/(1+FC_IVA))</f>
        <v>0</v>
      </c>
      <c r="AC184" s="34" t="n">
        <f aca="false">SUMPRODUCT(FC_V*((FC_Mon="PYG")*AC$138+(FC_Mon&lt;&gt;"PYG"))*(1+FC_g)^(AC$136-1)*((FC_Desde=0)*(AC$135+AC$134)+(FC_Desde&gt;=1)*(AC$133&gt;=FC_Desde)*AC$134)*FC_IVA/(1+FC_IVA))</f>
        <v>0</v>
      </c>
      <c r="AD184" s="34" t="n">
        <f aca="false">SUMPRODUCT(FC_V*((FC_Mon="PYG")*AD$138+(FC_Mon&lt;&gt;"PYG"))*(1+FC_g)^(AD$136-1)*((FC_Desde=0)*(AD$135+AD$134)+(FC_Desde&gt;=1)*(AD$133&gt;=FC_Desde)*AD$134)*FC_IVA/(1+FC_IVA))</f>
        <v>0</v>
      </c>
      <c r="AE184" s="34" t="n">
        <f aca="false">SUMPRODUCT(FC_V*((FC_Mon="PYG")*AE$138+(FC_Mon&lt;&gt;"PYG"))*(1+FC_g)^(AE$136-1)*((FC_Desde=0)*(AE$135+AE$134)+(FC_Desde&gt;=1)*(AE$133&gt;=FC_Desde)*AE$134)*FC_IVA/(1+FC_IVA))</f>
        <v>0</v>
      </c>
      <c r="AF184" s="34" t="n">
        <f aca="false">SUMPRODUCT(FC_V*((FC_Mon="PYG")*AF$138+(FC_Mon&lt;&gt;"PYG"))*(1+FC_g)^(AF$136-1)*((FC_Desde=0)*(AF$135+AF$134)+(FC_Desde&gt;=1)*(AF$133&gt;=FC_Desde)*AF$134)*FC_IVA/(1+FC_IVA))</f>
        <v>0</v>
      </c>
      <c r="AG184" s="34" t="n">
        <f aca="false">SUMPRODUCT(FC_V*((FC_Mon="PYG")*AG$138+(FC_Mon&lt;&gt;"PYG"))*(1+FC_g)^(AG$136-1)*((FC_Desde=0)*(AG$135+AG$134)+(FC_Desde&gt;=1)*(AG$133&gt;=FC_Desde)*AG$134)*FC_IVA/(1+FC_IVA))</f>
        <v>0</v>
      </c>
      <c r="AH184" s="34" t="n">
        <f aca="false">SUMPRODUCT(FC_V*((FC_Mon="PYG")*AH$138+(FC_Mon&lt;&gt;"PYG"))*(1+FC_g)^(AH$136-1)*((FC_Desde=0)*(AH$135+AH$134)+(FC_Desde&gt;=1)*(AH$133&gt;=FC_Desde)*AH$134)*FC_IVA/(1+FC_IVA))</f>
        <v>0</v>
      </c>
      <c r="AI184" s="34" t="n">
        <f aca="false">SUMPRODUCT(FC_V*((FC_Mon="PYG")*AI$138+(FC_Mon&lt;&gt;"PYG"))*(1+FC_g)^(AI$136-1)*((FC_Desde=0)*(AI$135+AI$134)+(FC_Desde&gt;=1)*(AI$133&gt;=FC_Desde)*AI$134)*FC_IVA/(1+FC_IVA))</f>
        <v>0</v>
      </c>
      <c r="AJ184" s="34" t="n">
        <f aca="false">SUMPRODUCT(FC_V*((FC_Mon="PYG")*AJ$138+(FC_Mon&lt;&gt;"PYG"))*(1+FC_g)^(AJ$136-1)*((FC_Desde=0)*(AJ$135+AJ$134)+(FC_Desde&gt;=1)*(AJ$133&gt;=FC_Desde)*AJ$134)*FC_IVA/(1+FC_IVA))</f>
        <v>0</v>
      </c>
      <c r="AK184" s="34" t="n">
        <f aca="false">SUMPRODUCT(FC_V*((FC_Mon="PYG")*AK$138+(FC_Mon&lt;&gt;"PYG"))*(1+FC_g)^(AK$136-1)*((FC_Desde=0)*(AK$135+AK$134)+(FC_Desde&gt;=1)*(AK$133&gt;=FC_Desde)*AK$134)*FC_IVA/(1+FC_IVA))</f>
        <v>0</v>
      </c>
      <c r="AL184" s="34" t="n">
        <f aca="false">SUMPRODUCT(FC_V*((FC_Mon="PYG")*AL$138+(FC_Mon&lt;&gt;"PYG"))*(1+FC_g)^(AL$136-1)*((FC_Desde=0)*(AL$135+AL$134)+(FC_Desde&gt;=1)*(AL$133&gt;=FC_Desde)*AL$134)*FC_IVA/(1+FC_IVA))</f>
        <v>0</v>
      </c>
      <c r="AM184" s="34" t="n">
        <f aca="false">SUMPRODUCT(FC_V*((FC_Mon="PYG")*AM$138+(FC_Mon&lt;&gt;"PYG"))*(1+FC_g)^(AM$136-1)*((FC_Desde=0)*(AM$135+AM$134)+(FC_Desde&gt;=1)*(AM$133&gt;=FC_Desde)*AM$134)*FC_IVA/(1+FC_IVA))</f>
        <v>0</v>
      </c>
      <c r="AN184" s="34" t="n">
        <f aca="false">SUMPRODUCT(FC_V*((FC_Mon="PYG")*AN$138+(FC_Mon&lt;&gt;"PYG"))*(1+FC_g)^(AN$136-1)*((FC_Desde=0)*(AN$135+AN$134)+(FC_Desde&gt;=1)*(AN$133&gt;=FC_Desde)*AN$134)*FC_IVA/(1+FC_IVA))</f>
        <v>0</v>
      </c>
      <c r="AO184" s="34" t="n">
        <f aca="false">SUMPRODUCT(FC_V*((FC_Mon="PYG")*AO$138+(FC_Mon&lt;&gt;"PYG"))*(1+FC_g)^(AO$136-1)*((FC_Desde=0)*(AO$135+AO$134)+(FC_Desde&gt;=1)*(AO$133&gt;=FC_Desde)*AO$134)*FC_IVA/(1+FC_IVA))</f>
        <v>0</v>
      </c>
      <c r="AP184" s="34" t="n">
        <f aca="false">SUMPRODUCT(FC_V*((FC_Mon="PYG")*AP$138+(FC_Mon&lt;&gt;"PYG"))*(1+FC_g)^(AP$136-1)*((FC_Desde=0)*(AP$135+AP$134)+(FC_Desde&gt;=1)*(AP$133&gt;=FC_Desde)*AP$134)*FC_IVA/(1+FC_IVA))</f>
        <v>0</v>
      </c>
      <c r="AQ184" s="34" t="n">
        <f aca="false">SUMPRODUCT(FC_V*((FC_Mon="PYG")*AQ$138+(FC_Mon&lt;&gt;"PYG"))*(1+FC_g)^(AQ$136-1)*((FC_Desde=0)*(AQ$135+AQ$134)+(FC_Desde&gt;=1)*(AQ$133&gt;=FC_Desde)*AQ$134)*FC_IVA/(1+FC_IVA))</f>
        <v>0</v>
      </c>
      <c r="AR184" s="34" t="n">
        <f aca="false">SUMPRODUCT(FC_V*((FC_Mon="PYG")*AR$138+(FC_Mon&lt;&gt;"PYG"))*(1+FC_g)^(AR$136-1)*((FC_Desde=0)*(AR$135+AR$134)+(FC_Desde&gt;=1)*(AR$133&gt;=FC_Desde)*AR$134)*FC_IVA/(1+FC_IVA))</f>
        <v>0</v>
      </c>
      <c r="AS184" s="34" t="n">
        <f aca="false">SUMPRODUCT(FC_V*((FC_Mon="PYG")*AS$138+(FC_Mon&lt;&gt;"PYG"))*(1+FC_g)^(AS$136-1)*((FC_Desde=0)*(AS$135+AS$134)+(FC_Desde&gt;=1)*(AS$133&gt;=FC_Desde)*AS$134)*FC_IVA/(1+FC_IVA))</f>
        <v>0</v>
      </c>
      <c r="AT184" s="34" t="n">
        <f aca="false">SUMPRODUCT(FC_V*((FC_Mon="PYG")*AT$138+(FC_Mon&lt;&gt;"PYG"))*(1+FC_g)^(AT$136-1)*((FC_Desde=0)*(AT$135+AT$134)+(FC_Desde&gt;=1)*(AT$133&gt;=FC_Desde)*AT$134)*FC_IVA/(1+FC_IVA))</f>
        <v>0</v>
      </c>
      <c r="AU184" s="34" t="n">
        <f aca="false">SUMPRODUCT(FC_V*((FC_Mon="PYG")*AU$138+(FC_Mon&lt;&gt;"PYG"))*(1+FC_g)^(AU$136-1)*((FC_Desde=0)*(AU$135+AU$134)+(FC_Desde&gt;=1)*(AU$133&gt;=FC_Desde)*AU$134)*FC_IVA/(1+FC_IVA))</f>
        <v>0</v>
      </c>
      <c r="AV184" s="34" t="n">
        <f aca="false">SUMPRODUCT(FC_V*((FC_Mon="PYG")*AV$138+(FC_Mon&lt;&gt;"PYG"))*(1+FC_g)^(AV$136-1)*((FC_Desde=0)*(AV$135+AV$134)+(FC_Desde&gt;=1)*(AV$133&gt;=FC_Desde)*AV$134)*FC_IVA/(1+FC_IVA))</f>
        <v>0</v>
      </c>
      <c r="AW184" s="34" t="n">
        <f aca="false">SUMPRODUCT(FC_V*((FC_Mon="PYG")*AW$138+(FC_Mon&lt;&gt;"PYG"))*(1+FC_g)^(AW$136-1)*((FC_Desde=0)*(AW$135+AW$134)+(FC_Desde&gt;=1)*(AW$133&gt;=FC_Desde)*AW$134)*FC_IVA/(1+FC_IVA))</f>
        <v>0</v>
      </c>
      <c r="AX184" s="34" t="n">
        <f aca="false">SUMPRODUCT(FC_V*((FC_Mon="PYG")*AX$138+(FC_Mon&lt;&gt;"PYG"))*(1+FC_g)^(AX$136-1)*((FC_Desde=0)*(AX$135+AX$134)+(FC_Desde&gt;=1)*(AX$133&gt;=FC_Desde)*AX$134)*FC_IVA/(1+FC_IVA))</f>
        <v>0</v>
      </c>
      <c r="AY184" s="34" t="n">
        <f aca="false">SUMPRODUCT(FC_V*((FC_Mon="PYG")*AY$138+(FC_Mon&lt;&gt;"PYG"))*(1+FC_g)^(AY$136-1)*((FC_Desde=0)*(AY$135+AY$134)+(FC_Desde&gt;=1)*(AY$133&gt;=FC_Desde)*AY$134)*FC_IVA/(1+FC_IVA))</f>
        <v>0</v>
      </c>
      <c r="AZ184" s="34" t="n">
        <f aca="false">SUMPRODUCT(FC_V*((FC_Mon="PYG")*AZ$138+(FC_Mon&lt;&gt;"PYG"))*(1+FC_g)^(AZ$136-1)*((FC_Desde=0)*(AZ$135+AZ$134)+(FC_Desde&gt;=1)*(AZ$133&gt;=FC_Desde)*AZ$134)*FC_IVA/(1+FC_IVA))</f>
        <v>0</v>
      </c>
      <c r="BA184" s="34" t="n">
        <f aca="false">SUMPRODUCT(FC_V*((FC_Mon="PYG")*BA$138+(FC_Mon&lt;&gt;"PYG"))*(1+FC_g)^(BA$136-1)*((FC_Desde=0)*(BA$135+BA$134)+(FC_Desde&gt;=1)*(BA$133&gt;=FC_Desde)*BA$134)*FC_IVA/(1+FC_IVA))</f>
        <v>0</v>
      </c>
      <c r="BB184" s="34" t="n">
        <f aca="false">SUMPRODUCT(FC_V*((FC_Mon="PYG")*BB$138+(FC_Mon&lt;&gt;"PYG"))*(1+FC_g)^(BB$136-1)*((FC_Desde=0)*(BB$135+BB$134)+(FC_Desde&gt;=1)*(BB$133&gt;=FC_Desde)*BB$134)*FC_IVA/(1+FC_IVA))</f>
        <v>0</v>
      </c>
      <c r="BC184" s="34" t="n">
        <f aca="false">SUMPRODUCT(FC_V*((FC_Mon="PYG")*BC$138+(FC_Mon&lt;&gt;"PYG"))*(1+FC_g)^(BC$136-1)*((FC_Desde=0)*(BC$135+BC$134)+(FC_Desde&gt;=1)*(BC$133&gt;=FC_Desde)*BC$134)*FC_IVA/(1+FC_IVA))</f>
        <v>0</v>
      </c>
      <c r="BD184" s="34" t="n">
        <f aca="false">SUMPRODUCT(FC_V*((FC_Mon="PYG")*BD$138+(FC_Mon&lt;&gt;"PYG"))*(1+FC_g)^(BD$136-1)*((FC_Desde=0)*(BD$135+BD$134)+(FC_Desde&gt;=1)*(BD$133&gt;=FC_Desde)*BD$134)*FC_IVA/(1+FC_IVA))</f>
        <v>0</v>
      </c>
      <c r="BE184" s="34" t="n">
        <f aca="false">SUMPRODUCT(FC_V*((FC_Mon="PYG")*BE$138+(FC_Mon&lt;&gt;"PYG"))*(1+FC_g)^(BE$136-1)*((FC_Desde=0)*(BE$135+BE$134)+(FC_Desde&gt;=1)*(BE$133&gt;=FC_Desde)*BE$134)*FC_IVA/(1+FC_IVA))</f>
        <v>0</v>
      </c>
      <c r="BF184" s="34" t="n">
        <f aca="false">SUMPRODUCT(FC_V*((FC_Mon="PYG")*BF$138+(FC_Mon&lt;&gt;"PYG"))*(1+FC_g)^(BF$136-1)*((FC_Desde=0)*(BF$135+BF$134)+(FC_Desde&gt;=1)*(BF$133&gt;=FC_Desde)*BF$134)*FC_IVA/(1+FC_IVA))</f>
        <v>0</v>
      </c>
      <c r="BG184" s="34" t="n">
        <f aca="false">SUMPRODUCT(FC_V*((FC_Mon="PYG")*BG$138+(FC_Mon&lt;&gt;"PYG"))*(1+FC_g)^(BG$136-1)*((FC_Desde=0)*(BG$135+BG$134)+(FC_Desde&gt;=1)*(BG$133&gt;=FC_Desde)*BG$134)*FC_IVA/(1+FC_IVA))</f>
        <v>0</v>
      </c>
      <c r="BH184" s="34" t="n">
        <f aca="false">SUMPRODUCT(FC_V*((FC_Mon="PYG")*BH$138+(FC_Mon&lt;&gt;"PYG"))*(1+FC_g)^(BH$136-1)*((FC_Desde=0)*(BH$135+BH$134)+(FC_Desde&gt;=1)*(BH$133&gt;=FC_Desde)*BH$134)*FC_IVA/(1+FC_IVA))</f>
        <v>0</v>
      </c>
      <c r="BI184" s="34" t="n">
        <f aca="false">SUMPRODUCT(FC_V*((FC_Mon="PYG")*BI$138+(FC_Mon&lt;&gt;"PYG"))*(1+FC_g)^(BI$136-1)*((FC_Desde=0)*(BI$135+BI$134)+(FC_Desde&gt;=1)*(BI$133&gt;=FC_Desde)*BI$134)*FC_IVA/(1+FC_IVA))</f>
        <v>0</v>
      </c>
      <c r="BJ184" s="34" t="n">
        <f aca="false">SUMPRODUCT(FC_V*((FC_Mon="PYG")*BJ$138+(FC_Mon&lt;&gt;"PYG"))*(1+FC_g)^(BJ$136-1)*((FC_Desde=0)*(BJ$135+BJ$134)+(FC_Desde&gt;=1)*(BJ$133&gt;=FC_Desde)*BJ$134)*FC_IVA/(1+FC_IVA))</f>
        <v>0</v>
      </c>
      <c r="BK184" s="34" t="n">
        <f aca="false">SUMPRODUCT(FC_V*((FC_Mon="PYG")*BK$138+(FC_Mon&lt;&gt;"PYG"))*(1+FC_g)^(BK$136-1)*((FC_Desde=0)*(BK$135+BK$134)+(FC_Desde&gt;=1)*(BK$133&gt;=FC_Desde)*BK$134)*FC_IVA/(1+FC_IVA))</f>
        <v>0</v>
      </c>
      <c r="BL184" s="34" t="n">
        <f aca="false">SUMPRODUCT(FC_V*((FC_Mon="PYG")*BL$138+(FC_Mon&lt;&gt;"PYG"))*(1+FC_g)^(BL$136-1)*((FC_Desde=0)*(BL$135+BL$134)+(FC_Desde&gt;=1)*(BL$133&gt;=FC_Desde)*BL$134)*FC_IVA/(1+FC_IVA))</f>
        <v>0</v>
      </c>
      <c r="BM184" s="34" t="n">
        <f aca="false">SUMPRODUCT(FC_V*((FC_Mon="PYG")*BM$138+(FC_Mon&lt;&gt;"PYG"))*(1+FC_g)^(BM$136-1)*((FC_Desde=0)*(BM$135+BM$134)+(FC_Desde&gt;=1)*(BM$133&gt;=FC_Desde)*BM$134)*FC_IVA/(1+FC_IVA))</f>
        <v>0</v>
      </c>
      <c r="BN184" s="34" t="n">
        <f aca="false">SUMPRODUCT(FC_V*((FC_Mon="PYG")*BN$138+(FC_Mon&lt;&gt;"PYG"))*(1+FC_g)^(BN$136-1)*((FC_Desde=0)*(BN$135+BN$134)+(FC_Desde&gt;=1)*(BN$133&gt;=FC_Desde)*BN$134)*FC_IVA/(1+FC_IVA))</f>
        <v>0</v>
      </c>
      <c r="BO184" s="34" t="n">
        <f aca="false">SUMPRODUCT(FC_V*((FC_Mon="PYG")*BO$138+(FC_Mon&lt;&gt;"PYG"))*(1+FC_g)^(BO$136-1)*((FC_Desde=0)*(BO$135+BO$134)+(FC_Desde&gt;=1)*(BO$133&gt;=FC_Desde)*BO$134)*FC_IVA/(1+FC_IVA))</f>
        <v>0</v>
      </c>
      <c r="BP184" s="34" t="n">
        <f aca="false">SUMPRODUCT(FC_V*((FC_Mon="PYG")*BP$138+(FC_Mon&lt;&gt;"PYG"))*(1+FC_g)^(BP$136-1)*((FC_Desde=0)*(BP$135+BP$134)+(FC_Desde&gt;=1)*(BP$133&gt;=FC_Desde)*BP$134)*FC_IVA/(1+FC_IVA))</f>
        <v>0</v>
      </c>
      <c r="BQ184" s="34" t="n">
        <f aca="false">SUMPRODUCT(FC_V*((FC_Mon="PYG")*BQ$138+(FC_Mon&lt;&gt;"PYG"))*(1+FC_g)^(BQ$136-1)*((FC_Desde=0)*(BQ$135+BQ$134)+(FC_Desde&gt;=1)*(BQ$133&gt;=FC_Desde)*BQ$134)*FC_IVA/(1+FC_IVA))</f>
        <v>0</v>
      </c>
      <c r="BR184" s="34" t="n">
        <f aca="false">SUMPRODUCT(FC_V*((FC_Mon="PYG")*BR$138+(FC_Mon&lt;&gt;"PYG"))*(1+FC_g)^(BR$136-1)*((FC_Desde=0)*(BR$135+BR$134)+(FC_Desde&gt;=1)*(BR$133&gt;=FC_Desde)*BR$134)*FC_IVA/(1+FC_IVA))</f>
        <v>0</v>
      </c>
      <c r="BS184" s="34" t="n">
        <f aca="false">SUMPRODUCT(FC_V*((FC_Mon="PYG")*BS$138+(FC_Mon&lt;&gt;"PYG"))*(1+FC_g)^(BS$136-1)*((FC_Desde=0)*(BS$135+BS$134)+(FC_Desde&gt;=1)*(BS$133&gt;=FC_Desde)*BS$134)*FC_IVA/(1+FC_IVA))</f>
        <v>0</v>
      </c>
      <c r="BT184" s="34" t="n">
        <f aca="false">SUMPRODUCT(FC_V*((FC_Mon="PYG")*BT$138+(FC_Mon&lt;&gt;"PYG"))*(1+FC_g)^(BT$136-1)*((FC_Desde=0)*(BT$135+BT$134)+(FC_Desde&gt;=1)*(BT$133&gt;=FC_Desde)*BT$134)*FC_IVA/(1+FC_IVA))</f>
        <v>0</v>
      </c>
      <c r="BU184" s="34" t="n">
        <f aca="false">SUMPRODUCT(FC_V*((FC_Mon="PYG")*BU$138+(FC_Mon&lt;&gt;"PYG"))*(1+FC_g)^(BU$136-1)*((FC_Desde=0)*(BU$135+BU$134)+(FC_Desde&gt;=1)*(BU$133&gt;=FC_Desde)*BU$134)*FC_IVA/(1+FC_IVA))</f>
        <v>0</v>
      </c>
      <c r="BV184" s="34" t="n">
        <f aca="false">SUMPRODUCT(FC_V*((FC_Mon="PYG")*BV$138+(FC_Mon&lt;&gt;"PYG"))*(1+FC_g)^(BV$136-1)*((FC_Desde=0)*(BV$135+BV$134)+(FC_Desde&gt;=1)*(BV$133&gt;=FC_Desde)*BV$134)*FC_IVA/(1+FC_IVA))</f>
        <v>0</v>
      </c>
      <c r="BW184" s="34" t="n">
        <f aca="false">SUMPRODUCT(FC_V*((FC_Mon="PYG")*BW$138+(FC_Mon&lt;&gt;"PYG"))*(1+FC_g)^(BW$136-1)*((FC_Desde=0)*(BW$135+BW$134)+(FC_Desde&gt;=1)*(BW$133&gt;=FC_Desde)*BW$134)*FC_IVA/(1+FC_IVA))</f>
        <v>0</v>
      </c>
      <c r="BX184" s="34" t="n">
        <f aca="false">SUMPRODUCT(FC_V*((FC_Mon="PYG")*BX$138+(FC_Mon&lt;&gt;"PYG"))*(1+FC_g)^(BX$136-1)*((FC_Desde=0)*(BX$135+BX$134)+(FC_Desde&gt;=1)*(BX$133&gt;=FC_Desde)*BX$134)*FC_IVA/(1+FC_IVA))</f>
        <v>0</v>
      </c>
      <c r="BY184" s="34" t="n">
        <f aca="false">SUMPRODUCT(FC_V*((FC_Mon="PYG")*BY$138+(FC_Mon&lt;&gt;"PYG"))*(1+FC_g)^(BY$136-1)*((FC_Desde=0)*(BY$135+BY$134)+(FC_Desde&gt;=1)*(BY$133&gt;=FC_Desde)*BY$134)*FC_IVA/(1+FC_IVA))</f>
        <v>0</v>
      </c>
      <c r="BZ184" s="34" t="n">
        <f aca="false">SUMPRODUCT(FC_V*((FC_Mon="PYG")*BZ$138+(FC_Mon&lt;&gt;"PYG"))*(1+FC_g)^(BZ$136-1)*((FC_Desde=0)*(BZ$135+BZ$134)+(FC_Desde&gt;=1)*(BZ$133&gt;=FC_Desde)*BZ$134)*FC_IVA/(1+FC_IVA))</f>
        <v>0</v>
      </c>
      <c r="CA184" s="34" t="n">
        <f aca="false">SUMPRODUCT(FC_V*((FC_Mon="PYG")*CA$138+(FC_Mon&lt;&gt;"PYG"))*(1+FC_g)^(CA$136-1)*((FC_Desde=0)*(CA$135+CA$134)+(FC_Desde&gt;=1)*(CA$133&gt;=FC_Desde)*CA$134)*FC_IVA/(1+FC_IVA))</f>
        <v>0</v>
      </c>
      <c r="CB184" s="34" t="n">
        <f aca="false">SUMPRODUCT(FC_V*((FC_Mon="PYG")*CB$138+(FC_Mon&lt;&gt;"PYG"))*(1+FC_g)^(CB$136-1)*((FC_Desde=0)*(CB$135+CB$134)+(FC_Desde&gt;=1)*(CB$133&gt;=FC_Desde)*CB$134)*FC_IVA/(1+FC_IVA))</f>
        <v>0</v>
      </c>
      <c r="CC184" s="34" t="n">
        <f aca="false">SUMPRODUCT(FC_V*((FC_Mon="PYG")*CC$138+(FC_Mon&lt;&gt;"PYG"))*(1+FC_g)^(CC$136-1)*((FC_Desde=0)*(CC$135+CC$134)+(FC_Desde&gt;=1)*(CC$133&gt;=FC_Desde)*CC$134)*FC_IVA/(1+FC_IVA))</f>
        <v>0</v>
      </c>
      <c r="CD184" s="34" t="n">
        <f aca="false">SUMPRODUCT(FC_V*((FC_Mon="PYG")*CD$138+(FC_Mon&lt;&gt;"PYG"))*(1+FC_g)^(CD$136-1)*((FC_Desde=0)*(CD$135+CD$134)+(FC_Desde&gt;=1)*(CD$133&gt;=FC_Desde)*CD$134)*FC_IVA/(1+FC_IVA))</f>
        <v>0</v>
      </c>
      <c r="CE184" s="34" t="n">
        <f aca="false">SUMPRODUCT(FC_V*((FC_Mon="PYG")*CE$138+(FC_Mon&lt;&gt;"PYG"))*(1+FC_g)^(CE$136-1)*((FC_Desde=0)*(CE$135+CE$134)+(FC_Desde&gt;=1)*(CE$133&gt;=FC_Desde)*CE$134)*FC_IVA/(1+FC_IVA))</f>
        <v>0</v>
      </c>
      <c r="CF184" s="34" t="n">
        <f aca="false">SUMPRODUCT(FC_V*((FC_Mon="PYG")*CF$138+(FC_Mon&lt;&gt;"PYG"))*(1+FC_g)^(CF$136-1)*((FC_Desde=0)*(CF$135+CF$134)+(FC_Desde&gt;=1)*(CF$133&gt;=FC_Desde)*CF$134)*FC_IVA/(1+FC_IVA))</f>
        <v>0</v>
      </c>
      <c r="CG184" s="34" t="n">
        <f aca="false">SUMPRODUCT(FC_V*((FC_Mon="PYG")*CG$138+(FC_Mon&lt;&gt;"PYG"))*(1+FC_g)^(CG$136-1)*((FC_Desde=0)*(CG$135+CG$134)+(FC_Desde&gt;=1)*(CG$133&gt;=FC_Desde)*CG$134)*FC_IVA/(1+FC_IVA))</f>
        <v>0</v>
      </c>
      <c r="CH184" s="34" t="n">
        <f aca="false">SUMPRODUCT(FC_V*((FC_Mon="PYG")*CH$138+(FC_Mon&lt;&gt;"PYG"))*(1+FC_g)^(CH$136-1)*((FC_Desde=0)*(CH$135+CH$134)+(FC_Desde&gt;=1)*(CH$133&gt;=FC_Desde)*CH$134)*FC_IVA/(1+FC_IVA))</f>
        <v>0</v>
      </c>
      <c r="CI184" s="34" t="n">
        <f aca="false">SUMPRODUCT(FC_V*((FC_Mon="PYG")*CI$138+(FC_Mon&lt;&gt;"PYG"))*(1+FC_g)^(CI$136-1)*((FC_Desde=0)*(CI$135+CI$134)+(FC_Desde&gt;=1)*(CI$133&gt;=FC_Desde)*CI$134)*FC_IVA/(1+FC_IVA))</f>
        <v>0</v>
      </c>
      <c r="CJ184" s="34" t="n">
        <f aca="false">SUMPRODUCT(FC_V*((FC_Mon="PYG")*CJ$138+(FC_Mon&lt;&gt;"PYG"))*(1+FC_g)^(CJ$136-1)*((FC_Desde=0)*(CJ$135+CJ$134)+(FC_Desde&gt;=1)*(CJ$133&gt;=FC_Desde)*CJ$134)*FC_IVA/(1+FC_IVA))</f>
        <v>0</v>
      </c>
      <c r="CK184" s="34" t="n">
        <f aca="false">SUMPRODUCT(FC_V*((FC_Mon="PYG")*CK$138+(FC_Mon&lt;&gt;"PYG"))*(1+FC_g)^(CK$136-1)*((FC_Desde=0)*(CK$135+CK$134)+(FC_Desde&gt;=1)*(CK$133&gt;=FC_Desde)*CK$134)*FC_IVA/(1+FC_IVA))</f>
        <v>0</v>
      </c>
      <c r="CL184" s="34" t="n">
        <f aca="false">SUMPRODUCT(FC_V*((FC_Mon="PYG")*CL$138+(FC_Mon&lt;&gt;"PYG"))*(1+FC_g)^(CL$136-1)*((FC_Desde=0)*(CL$135+CL$134)+(FC_Desde&gt;=1)*(CL$133&gt;=FC_Desde)*CL$134)*FC_IVA/(1+FC_IVA))</f>
        <v>0</v>
      </c>
      <c r="CM184" s="34" t="n">
        <f aca="false">SUMPRODUCT(FC_V*((FC_Mon="PYG")*CM$138+(FC_Mon&lt;&gt;"PYG"))*(1+FC_g)^(CM$136-1)*((FC_Desde=0)*(CM$135+CM$134)+(FC_Desde&gt;=1)*(CM$133&gt;=FC_Desde)*CM$134)*FC_IVA/(1+FC_IVA))</f>
        <v>0</v>
      </c>
      <c r="CN184" s="34" t="n">
        <f aca="false">SUMPRODUCT(FC_V*((FC_Mon="PYG")*CN$138+(FC_Mon&lt;&gt;"PYG"))*(1+FC_g)^(CN$136-1)*((FC_Desde=0)*(CN$135+CN$134)+(FC_Desde&gt;=1)*(CN$133&gt;=FC_Desde)*CN$134)*FC_IVA/(1+FC_IVA))</f>
        <v>0</v>
      </c>
      <c r="CO184" s="34" t="n">
        <f aca="false">SUMPRODUCT(FC_V*((FC_Mon="PYG")*CO$138+(FC_Mon&lt;&gt;"PYG"))*(1+FC_g)^(CO$136-1)*((FC_Desde=0)*(CO$135+CO$134)+(FC_Desde&gt;=1)*(CO$133&gt;=FC_Desde)*CO$134)*FC_IVA/(1+FC_IVA))</f>
        <v>0</v>
      </c>
      <c r="CP184" s="34" t="n">
        <f aca="false">SUMPRODUCT(FC_V*((FC_Mon="PYG")*CP$138+(FC_Mon&lt;&gt;"PYG"))*(1+FC_g)^(CP$136-1)*((FC_Desde=0)*(CP$135+CP$134)+(FC_Desde&gt;=1)*(CP$133&gt;=FC_Desde)*CP$134)*FC_IVA/(1+FC_IVA))</f>
        <v>0</v>
      </c>
      <c r="CQ184" s="34" t="n">
        <f aca="false">SUMPRODUCT(FC_V*((FC_Mon="PYG")*CQ$138+(FC_Mon&lt;&gt;"PYG"))*(1+FC_g)^(CQ$136-1)*((FC_Desde=0)*(CQ$135+CQ$134)+(FC_Desde&gt;=1)*(CQ$133&gt;=FC_Desde)*CQ$134)*FC_IVA/(1+FC_IVA))</f>
        <v>0</v>
      </c>
      <c r="CR184" s="34" t="n">
        <f aca="false">SUMPRODUCT(FC_V*((FC_Mon="PYG")*CR$138+(FC_Mon&lt;&gt;"PYG"))*(1+FC_g)^(CR$136-1)*((FC_Desde=0)*(CR$135+CR$134)+(FC_Desde&gt;=1)*(CR$133&gt;=FC_Desde)*CR$134)*FC_IVA/(1+FC_IVA))</f>
        <v>0</v>
      </c>
      <c r="CS184" s="34" t="n">
        <f aca="false">SUMPRODUCT(FC_V*((FC_Mon="PYG")*CS$138+(FC_Mon&lt;&gt;"PYG"))*(1+FC_g)^(CS$136-1)*((FC_Desde=0)*(CS$135+CS$134)+(FC_Desde&gt;=1)*(CS$133&gt;=FC_Desde)*CS$134)*FC_IVA/(1+FC_IVA))</f>
        <v>0</v>
      </c>
      <c r="CT184" s="34" t="n">
        <f aca="false">SUMPRODUCT(FC_V*((FC_Mon="PYG")*CT$138+(FC_Mon&lt;&gt;"PYG"))*(1+FC_g)^(CT$136-1)*((FC_Desde=0)*(CT$135+CT$134)+(FC_Desde&gt;=1)*(CT$133&gt;=FC_Desde)*CT$134)*FC_IVA/(1+FC_IVA))</f>
        <v>0</v>
      </c>
      <c r="CU184" s="34" t="n">
        <f aca="false">SUMPRODUCT(FC_V*((FC_Mon="PYG")*CU$138+(FC_Mon&lt;&gt;"PYG"))*(1+FC_g)^(CU$136-1)*((FC_Desde=0)*(CU$135+CU$134)+(FC_Desde&gt;=1)*(CU$133&gt;=FC_Desde)*CU$134)*FC_IVA/(1+FC_IVA))</f>
        <v>0</v>
      </c>
      <c r="CV184" s="34" t="n">
        <f aca="false">SUMPRODUCT(FC_V*((FC_Mon="PYG")*CV$138+(FC_Mon&lt;&gt;"PYG"))*(1+FC_g)^(CV$136-1)*((FC_Desde=0)*(CV$135+CV$134)+(FC_Desde&gt;=1)*(CV$133&gt;=FC_Desde)*CV$134)*FC_IVA/(1+FC_IVA))</f>
        <v>0</v>
      </c>
      <c r="CW184" s="34" t="n">
        <f aca="false">SUMPRODUCT(FC_V*((FC_Mon="PYG")*CW$138+(FC_Mon&lt;&gt;"PYG"))*(1+FC_g)^(CW$136-1)*((FC_Desde=0)*(CW$135+CW$134)+(FC_Desde&gt;=1)*(CW$133&gt;=FC_Desde)*CW$134)*FC_IVA/(1+FC_IVA))</f>
        <v>0</v>
      </c>
      <c r="CX184" s="34" t="n">
        <f aca="false">SUMPRODUCT(FC_V*((FC_Mon="PYG")*CX$138+(FC_Mon&lt;&gt;"PYG"))*(1+FC_g)^(CX$136-1)*((FC_Desde=0)*(CX$135+CX$134)+(FC_Desde&gt;=1)*(CX$133&gt;=FC_Desde)*CX$134)*FC_IVA/(1+FC_IVA))</f>
        <v>0</v>
      </c>
      <c r="CY184" s="34" t="n">
        <f aca="false">SUMPRODUCT(FC_V*((FC_Mon="PYG")*CY$138+(FC_Mon&lt;&gt;"PYG"))*(1+FC_g)^(CY$136-1)*((FC_Desde=0)*(CY$135+CY$134)+(FC_Desde&gt;=1)*(CY$133&gt;=FC_Desde)*CY$134)*FC_IVA/(1+FC_IVA))</f>
        <v>0</v>
      </c>
      <c r="CZ184" s="34" t="n">
        <f aca="false">SUMPRODUCT(FC_V*((FC_Mon="PYG")*CZ$138+(FC_Mon&lt;&gt;"PYG"))*(1+FC_g)^(CZ$136-1)*((FC_Desde=0)*(CZ$135+CZ$134)+(FC_Desde&gt;=1)*(CZ$133&gt;=FC_Desde)*CZ$134)*FC_IVA/(1+FC_IVA))</f>
        <v>0</v>
      </c>
      <c r="DA184" s="34" t="n">
        <f aca="false">SUMPRODUCT(FC_V*((FC_Mon="PYG")*DA$138+(FC_Mon&lt;&gt;"PYG"))*(1+FC_g)^(DA$136-1)*((FC_Desde=0)*(DA$135+DA$134)+(FC_Desde&gt;=1)*(DA$133&gt;=FC_Desde)*DA$134)*FC_IVA/(1+FC_IVA))</f>
        <v>0</v>
      </c>
      <c r="DB184" s="34" t="n">
        <f aca="false">SUMPRODUCT(FC_V*((FC_Mon="PYG")*DB$138+(FC_Mon&lt;&gt;"PYG"))*(1+FC_g)^(DB$136-1)*((FC_Desde=0)*(DB$135+DB$134)+(FC_Desde&gt;=1)*(DB$133&gt;=FC_Desde)*DB$134)*FC_IVA/(1+FC_IVA))</f>
        <v>0</v>
      </c>
      <c r="DC184" s="34" t="n">
        <f aca="false">SUMPRODUCT(FC_V*((FC_Mon="PYG")*DC$138+(FC_Mon&lt;&gt;"PYG"))*(1+FC_g)^(DC$136-1)*((FC_Desde=0)*(DC$135+DC$134)+(FC_Desde&gt;=1)*(DC$133&gt;=FC_Desde)*DC$134)*FC_IVA/(1+FC_IVA))</f>
        <v>0</v>
      </c>
      <c r="DD184" s="34" t="n">
        <f aca="false">SUMPRODUCT(FC_V*((FC_Mon="PYG")*DD$138+(FC_Mon&lt;&gt;"PYG"))*(1+FC_g)^(DD$136-1)*((FC_Desde=0)*(DD$135+DD$134)+(FC_Desde&gt;=1)*(DD$133&gt;=FC_Desde)*DD$134)*FC_IVA/(1+FC_IVA))</f>
        <v>0</v>
      </c>
      <c r="DE184" s="34" t="n">
        <f aca="false">SUMPRODUCT(FC_V*((FC_Mon="PYG")*DE$138+(FC_Mon&lt;&gt;"PYG"))*(1+FC_g)^(DE$136-1)*((FC_Desde=0)*(DE$135+DE$134)+(FC_Desde&gt;=1)*(DE$133&gt;=FC_Desde)*DE$134)*FC_IVA/(1+FC_IVA))</f>
        <v>0</v>
      </c>
      <c r="DF184" s="34" t="n">
        <f aca="false">SUMPRODUCT(FC_V*((FC_Mon="PYG")*DF$138+(FC_Mon&lt;&gt;"PYG"))*(1+FC_g)^(DF$136-1)*((FC_Desde=0)*(DF$135+DF$134)+(FC_Desde&gt;=1)*(DF$133&gt;=FC_Desde)*DF$134)*FC_IVA/(1+FC_IVA))</f>
        <v>0</v>
      </c>
      <c r="DG184" s="34" t="n">
        <f aca="false">SUMPRODUCT(FC_V*((FC_Mon="PYG")*DG$138+(FC_Mon&lt;&gt;"PYG"))*(1+FC_g)^(DG$136-1)*((FC_Desde=0)*(DG$135+DG$134)+(FC_Desde&gt;=1)*(DG$133&gt;=FC_Desde)*DG$134)*FC_IVA/(1+FC_IVA))</f>
        <v>0</v>
      </c>
      <c r="DH184" s="34" t="n">
        <f aca="false">SUMPRODUCT(FC_V*((FC_Mon="PYG")*DH$138+(FC_Mon&lt;&gt;"PYG"))*(1+FC_g)^(DH$136-1)*((FC_Desde=0)*(DH$135+DH$134)+(FC_Desde&gt;=1)*(DH$133&gt;=FC_Desde)*DH$134)*FC_IVA/(1+FC_IVA))</f>
        <v>0</v>
      </c>
      <c r="DI184" s="34" t="n">
        <f aca="false">SUMPRODUCT(FC_V*((FC_Mon="PYG")*DI$138+(FC_Mon&lt;&gt;"PYG"))*(1+FC_g)^(DI$136-1)*((FC_Desde=0)*(DI$135+DI$134)+(FC_Desde&gt;=1)*(DI$133&gt;=FC_Desde)*DI$134)*FC_IVA/(1+FC_IVA))</f>
        <v>0</v>
      </c>
      <c r="DJ184" s="34" t="n">
        <f aca="false">SUMPRODUCT(FC_V*((FC_Mon="PYG")*DJ$138+(FC_Mon&lt;&gt;"PYG"))*(1+FC_g)^(DJ$136-1)*((FC_Desde=0)*(DJ$135+DJ$134)+(FC_Desde&gt;=1)*(DJ$133&gt;=FC_Desde)*DJ$134)*FC_IVA/(1+FC_IVA))</f>
        <v>0</v>
      </c>
      <c r="DK184" s="34" t="n">
        <f aca="false">SUMPRODUCT(FC_V*((FC_Mon="PYG")*DK$138+(FC_Mon&lt;&gt;"PYG"))*(1+FC_g)^(DK$136-1)*((FC_Desde=0)*(DK$135+DK$134)+(FC_Desde&gt;=1)*(DK$133&gt;=FC_Desde)*DK$134)*FC_IVA/(1+FC_IVA))</f>
        <v>0</v>
      </c>
      <c r="DL184" s="34" t="n">
        <f aca="false">SUMPRODUCT(FC_V*((FC_Mon="PYG")*DL$138+(FC_Mon&lt;&gt;"PYG"))*(1+FC_g)^(DL$136-1)*((FC_Desde=0)*(DL$135+DL$134)+(FC_Desde&gt;=1)*(DL$133&gt;=FC_Desde)*DL$134)*FC_IVA/(1+FC_IVA))</f>
        <v>0</v>
      </c>
      <c r="DM184" s="34" t="n">
        <f aca="false">SUMPRODUCT(FC_V*((FC_Mon="PYG")*DM$138+(FC_Mon&lt;&gt;"PYG"))*(1+FC_g)^(DM$136-1)*((FC_Desde=0)*(DM$135+DM$134)+(FC_Desde&gt;=1)*(DM$133&gt;=FC_Desde)*DM$134)*FC_IVA/(1+FC_IVA))</f>
        <v>0</v>
      </c>
      <c r="DN184" s="34" t="n">
        <f aca="false">SUMPRODUCT(FC_V*((FC_Mon="PYG")*DN$138+(FC_Mon&lt;&gt;"PYG"))*(1+FC_g)^(DN$136-1)*((FC_Desde=0)*(DN$135+DN$134)+(FC_Desde&gt;=1)*(DN$133&gt;=FC_Desde)*DN$134)*FC_IVA/(1+FC_IVA))</f>
        <v>0</v>
      </c>
      <c r="DO184" s="34" t="n">
        <f aca="false">SUMPRODUCT(FC_V*((FC_Mon="PYG")*DO$138+(FC_Mon&lt;&gt;"PYG"))*(1+FC_g)^(DO$136-1)*((FC_Desde=0)*(DO$135+DO$134)+(FC_Desde&gt;=1)*(DO$133&gt;=FC_Desde)*DO$134)*FC_IVA/(1+FC_IVA))</f>
        <v>0</v>
      </c>
      <c r="DP184" s="34" t="n">
        <f aca="false">SUMPRODUCT(FC_V*((FC_Mon="PYG")*DP$138+(FC_Mon&lt;&gt;"PYG"))*(1+FC_g)^(DP$136-1)*((FC_Desde=0)*(DP$135+DP$134)+(FC_Desde&gt;=1)*(DP$133&gt;=FC_Desde)*DP$134)*FC_IVA/(1+FC_IVA))</f>
        <v>0</v>
      </c>
      <c r="DQ184" s="34" t="n">
        <f aca="false">SUMPRODUCT(FC_V*((FC_Mon="PYG")*DQ$138+(FC_Mon&lt;&gt;"PYG"))*(1+FC_g)^(DQ$136-1)*((FC_Desde=0)*(DQ$135+DQ$134)+(FC_Desde&gt;=1)*(DQ$133&gt;=FC_Desde)*DQ$134)*FC_IVA/(1+FC_IVA))</f>
        <v>0</v>
      </c>
      <c r="DR184" s="34" t="n">
        <f aca="false">SUMPRODUCT(FC_V*((FC_Mon="PYG")*DR$138+(FC_Mon&lt;&gt;"PYG"))*(1+FC_g)^(DR$136-1)*((FC_Desde=0)*(DR$135+DR$134)+(FC_Desde&gt;=1)*(DR$133&gt;=FC_Desde)*DR$134)*FC_IVA/(1+FC_IVA))</f>
        <v>0</v>
      </c>
      <c r="DS184" s="34" t="n">
        <f aca="false">SUMPRODUCT(FC_V*((FC_Mon="PYG")*DS$138+(FC_Mon&lt;&gt;"PYG"))*(1+FC_g)^(DS$136-1)*((FC_Desde=0)*(DS$135+DS$134)+(FC_Desde&gt;=1)*(DS$133&gt;=FC_Desde)*DS$134)*FC_IVA/(1+FC_IVA))</f>
        <v>0</v>
      </c>
      <c r="DT184" s="34" t="n">
        <f aca="false">SUMPRODUCT(FC_V*((FC_Mon="PYG")*DT$138+(FC_Mon&lt;&gt;"PYG"))*(1+FC_g)^(DT$136-1)*((FC_Desde=0)*(DT$135+DT$134)+(FC_Desde&gt;=1)*(DT$133&gt;=FC_Desde)*DT$134)*FC_IVA/(1+FC_IVA))</f>
        <v>0</v>
      </c>
      <c r="DU184" s="34" t="n">
        <f aca="false">SUMPRODUCT(FC_V*((FC_Mon="PYG")*DU$138+(FC_Mon&lt;&gt;"PYG"))*(1+FC_g)^(DU$136-1)*((FC_Desde=0)*(DU$135+DU$134)+(FC_Desde&gt;=1)*(DU$133&gt;=FC_Desde)*DU$134)*FC_IVA/(1+FC_IVA))</f>
        <v>0</v>
      </c>
      <c r="DV184" s="34" t="n">
        <f aca="false">SUMPRODUCT(FC_V*((FC_Mon="PYG")*DV$138+(FC_Mon&lt;&gt;"PYG"))*(1+FC_g)^(DV$136-1)*((FC_Desde=0)*(DV$135+DV$134)+(FC_Desde&gt;=1)*(DV$133&gt;=FC_Desde)*DV$134)*FC_IVA/(1+FC_IVA))</f>
        <v>0</v>
      </c>
      <c r="DW184" s="34" t="n">
        <f aca="false">SUMPRODUCT(FC_V*((FC_Mon="PYG")*DW$138+(FC_Mon&lt;&gt;"PYG"))*(1+FC_g)^(DW$136-1)*((FC_Desde=0)*(DW$135+DW$134)+(FC_Desde&gt;=1)*(DW$133&gt;=FC_Desde)*DW$134)*FC_IVA/(1+FC_IVA))</f>
        <v>0</v>
      </c>
      <c r="DX184" s="34" t="n">
        <f aca="false">SUMPRODUCT(FC_V*((FC_Mon="PYG")*DX$138+(FC_Mon&lt;&gt;"PYG"))*(1+FC_g)^(DX$136-1)*((FC_Desde=0)*(DX$135+DX$134)+(FC_Desde&gt;=1)*(DX$133&gt;=FC_Desde)*DX$134)*FC_IVA/(1+FC_IVA))</f>
        <v>0</v>
      </c>
      <c r="DY184" s="34" t="n">
        <f aca="false">SUMPRODUCT(FC_V*((FC_Mon="PYG")*DY$138+(FC_Mon&lt;&gt;"PYG"))*(1+FC_g)^(DY$136-1)*((FC_Desde=0)*(DY$135+DY$134)+(FC_Desde&gt;=1)*(DY$133&gt;=FC_Desde)*DY$134)*FC_IVA/(1+FC_IVA))</f>
        <v>0</v>
      </c>
      <c r="DZ184" s="34" t="n">
        <f aca="false">SUMPRODUCT(FC_V*((FC_Mon="PYG")*DZ$138+(FC_Mon&lt;&gt;"PYG"))*(1+FC_g)^(DZ$136-1)*((FC_Desde=0)*(DZ$135+DZ$134)+(FC_Desde&gt;=1)*(DZ$133&gt;=FC_Desde)*DZ$134)*FC_IVA/(1+FC_IVA))</f>
        <v>0</v>
      </c>
      <c r="EA184" s="34" t="n">
        <f aca="false">SUMPRODUCT(FC_V*((FC_Mon="PYG")*EA$138+(FC_Mon&lt;&gt;"PYG"))*(1+FC_g)^(EA$136-1)*((FC_Desde=0)*(EA$135+EA$134)+(FC_Desde&gt;=1)*(EA$133&gt;=FC_Desde)*EA$134)*FC_IVA/(1+FC_IVA))</f>
        <v>0</v>
      </c>
      <c r="EB184" s="34" t="n">
        <f aca="false">SUMPRODUCT(FC_V*((FC_Mon="PYG")*EB$138+(FC_Mon&lt;&gt;"PYG"))*(1+FC_g)^(EB$136-1)*((FC_Desde=0)*(EB$135+EB$134)+(FC_Desde&gt;=1)*(EB$133&gt;=FC_Desde)*EB$134)*FC_IVA/(1+FC_IVA))</f>
        <v>0</v>
      </c>
      <c r="EC184" s="34" t="n">
        <f aca="false">SUMPRODUCT(FC_V*((FC_Mon="PYG")*EC$138+(FC_Mon&lt;&gt;"PYG"))*(1+FC_g)^(EC$136-1)*((FC_Desde=0)*(EC$135+EC$134)+(FC_Desde&gt;=1)*(EC$133&gt;=FC_Desde)*EC$134)*FC_IVA/(1+FC_IVA))</f>
        <v>0</v>
      </c>
      <c r="ED184" s="34" t="n">
        <f aca="false">SUMPRODUCT(FC_V*((FC_Mon="PYG")*ED$138+(FC_Mon&lt;&gt;"PYG"))*(1+FC_g)^(ED$136-1)*((FC_Desde=0)*(ED$135+ED$134)+(FC_Desde&gt;=1)*(ED$133&gt;=FC_Desde)*ED$134)*FC_IVA/(1+FC_IVA))</f>
        <v>0</v>
      </c>
      <c r="EE184" s="34" t="n">
        <f aca="false">SUMPRODUCT(FC_V*((FC_Mon="PYG")*EE$138+(FC_Mon&lt;&gt;"PYG"))*(1+FC_g)^(EE$136-1)*((FC_Desde=0)*(EE$135+EE$134)+(FC_Desde&gt;=1)*(EE$133&gt;=FC_Desde)*EE$134)*FC_IVA/(1+FC_IVA))</f>
        <v>0</v>
      </c>
      <c r="EF184" s="34" t="n">
        <f aca="false">SUMPRODUCT(FC_V*((FC_Mon="PYG")*EF$138+(FC_Mon&lt;&gt;"PYG"))*(1+FC_g)^(EF$136-1)*((FC_Desde=0)*(EF$135+EF$134)+(FC_Desde&gt;=1)*(EF$133&gt;=FC_Desde)*EF$134)*FC_IVA/(1+FC_IVA))</f>
        <v>0</v>
      </c>
      <c r="EG184" s="34" t="n">
        <f aca="false">SUMPRODUCT(FC_V*((FC_Mon="PYG")*EG$138+(FC_Mon&lt;&gt;"PYG"))*(1+FC_g)^(EG$136-1)*((FC_Desde=0)*(EG$135+EG$134)+(FC_Desde&gt;=1)*(EG$133&gt;=FC_Desde)*EG$134)*FC_IVA/(1+FC_IVA))</f>
        <v>0</v>
      </c>
      <c r="EH184" s="34" t="n">
        <f aca="false">SUMPRODUCT(FC_V*((FC_Mon="PYG")*EH$138+(FC_Mon&lt;&gt;"PYG"))*(1+FC_g)^(EH$136-1)*((FC_Desde=0)*(EH$135+EH$134)+(FC_Desde&gt;=1)*(EH$133&gt;=FC_Desde)*EH$134)*FC_IVA/(1+FC_IVA))</f>
        <v>0</v>
      </c>
      <c r="EI184" s="34" t="n">
        <f aca="false">SUMPRODUCT(FC_V*((FC_Mon="PYG")*EI$138+(FC_Mon&lt;&gt;"PYG"))*(1+FC_g)^(EI$136-1)*((FC_Desde=0)*(EI$135+EI$134)+(FC_Desde&gt;=1)*(EI$133&gt;=FC_Desde)*EI$134)*FC_IVA/(1+FC_IVA))</f>
        <v>0</v>
      </c>
      <c r="EJ184" s="34" t="n">
        <f aca="false">SUMPRODUCT(FC_V*((FC_Mon="PYG")*EJ$138+(FC_Mon&lt;&gt;"PYG"))*(1+FC_g)^(EJ$136-1)*((FC_Desde=0)*(EJ$135+EJ$134)+(FC_Desde&gt;=1)*(EJ$133&gt;=FC_Desde)*EJ$134)*FC_IVA/(1+FC_IVA))</f>
        <v>0</v>
      </c>
      <c r="EK184" s="34" t="n">
        <f aca="false">SUMPRODUCT(FC_V*((FC_Mon="PYG")*EK$138+(FC_Mon&lt;&gt;"PYG"))*(1+FC_g)^(EK$136-1)*((FC_Desde=0)*(EK$135+EK$134)+(FC_Desde&gt;=1)*(EK$133&gt;=FC_Desde)*EK$134)*FC_IVA/(1+FC_IVA))</f>
        <v>0</v>
      </c>
      <c r="EL184" s="34" t="n">
        <f aca="false">SUMPRODUCT(FC_V*((FC_Mon="PYG")*EL$138+(FC_Mon&lt;&gt;"PYG"))*(1+FC_g)^(EL$136-1)*((FC_Desde=0)*(EL$135+EL$134)+(FC_Desde&gt;=1)*(EL$133&gt;=FC_Desde)*EL$134)*FC_IVA/(1+FC_IVA))</f>
        <v>0</v>
      </c>
      <c r="EM184" s="34" t="n">
        <f aca="false">SUMPRODUCT(FC_V*((FC_Mon="PYG")*EM$138+(FC_Mon&lt;&gt;"PYG"))*(1+FC_g)^(EM$136-1)*((FC_Desde=0)*(EM$135+EM$134)+(FC_Desde&gt;=1)*(EM$133&gt;=FC_Desde)*EM$134)*FC_IVA/(1+FC_IVA))</f>
        <v>0</v>
      </c>
      <c r="EN184" s="34" t="n">
        <f aca="false">SUMPRODUCT(FC_V*((FC_Mon="PYG")*EN$138+(FC_Mon&lt;&gt;"PYG"))*(1+FC_g)^(EN$136-1)*((FC_Desde=0)*(EN$135+EN$134)+(FC_Desde&gt;=1)*(EN$133&gt;=FC_Desde)*EN$134)*FC_IVA/(1+FC_IVA))</f>
        <v>0</v>
      </c>
      <c r="EO184" s="34" t="n">
        <f aca="false">SUMPRODUCT(FC_V*((FC_Mon="PYG")*EO$138+(FC_Mon&lt;&gt;"PYG"))*(1+FC_g)^(EO$136-1)*((FC_Desde=0)*(EO$135+EO$134)+(FC_Desde&gt;=1)*(EO$133&gt;=FC_Desde)*EO$134)*FC_IVA/(1+FC_IVA))</f>
        <v>0</v>
      </c>
      <c r="EP184" s="34" t="n">
        <f aca="false">SUMPRODUCT(FC_V*((FC_Mon="PYG")*EP$138+(FC_Mon&lt;&gt;"PYG"))*(1+FC_g)^(EP$136-1)*((FC_Desde=0)*(EP$135+EP$134)+(FC_Desde&gt;=1)*(EP$133&gt;=FC_Desde)*EP$134)*FC_IVA/(1+FC_IVA))</f>
        <v>0</v>
      </c>
      <c r="EQ184" s="34" t="n">
        <f aca="false">SUMPRODUCT(FC_V*((FC_Mon="PYG")*EQ$138+(FC_Mon&lt;&gt;"PYG"))*(1+FC_g)^(EQ$136-1)*((FC_Desde=0)*(EQ$135+EQ$134)+(FC_Desde&gt;=1)*(EQ$133&gt;=FC_Desde)*EQ$134)*FC_IVA/(1+FC_IVA))</f>
        <v>0</v>
      </c>
      <c r="ER184" s="34" t="n">
        <f aca="false">SUMPRODUCT(FC_V*((FC_Mon="PYG")*ER$138+(FC_Mon&lt;&gt;"PYG"))*(1+FC_g)^(ER$136-1)*((FC_Desde=0)*(ER$135+ER$134)+(FC_Desde&gt;=1)*(ER$133&gt;=FC_Desde)*ER$134)*FC_IVA/(1+FC_IVA))</f>
        <v>0</v>
      </c>
      <c r="ES184" s="34" t="n">
        <f aca="false">SUMPRODUCT(FC_V*((FC_Mon="PYG")*ES$138+(FC_Mon&lt;&gt;"PYG"))*(1+FC_g)^(ES$136-1)*((FC_Desde=0)*(ES$135+ES$134)+(FC_Desde&gt;=1)*(ES$133&gt;=FC_Desde)*ES$134)*FC_IVA/(1+FC_IVA))</f>
        <v>0</v>
      </c>
    </row>
    <row r="185" customFormat="false" ht="15" hidden="false" customHeight="false" outlineLevel="0" collapsed="false">
      <c r="A185" s="4"/>
      <c r="B185" s="3" t="s">
        <v>497</v>
      </c>
      <c r="C185" s="4"/>
      <c r="D185" s="4"/>
      <c r="E185" s="4"/>
    </row>
    <row r="186" customFormat="false" ht="15" hidden="false" customHeight="false" outlineLevel="0" collapsed="false">
      <c r="A186" s="2" t="s">
        <v>663</v>
      </c>
      <c r="B186" s="6" t="s">
        <v>499</v>
      </c>
      <c r="C186" s="6" t="s">
        <v>212</v>
      </c>
      <c r="E186" s="40" t="n">
        <f aca="false">SUM(F186:ES186)</f>
        <v>0</v>
      </c>
      <c r="F186" s="34" t="n">
        <f aca="false">IF(F$8=1,IF(Reales!$C$38="PYG",IF(F$10&gt;0,N(Reales!F38)/F$10,0),N(Reales!F38)),F$166+F$167)</f>
        <v>0</v>
      </c>
      <c r="G186" s="34" t="n">
        <f aca="false">IF(G$8=1,IF(Reales!$C$38="PYG",IF(G$10&gt;0,N(Reales!G38)/G$10,0),N(Reales!G38)),G$166+G$167)</f>
        <v>0</v>
      </c>
      <c r="H186" s="34" t="n">
        <f aca="false">IF(H$8=1,IF(Reales!$C$38="PYG",IF(H$10&gt;0,N(Reales!H38)/H$10,0),N(Reales!H38)),H$166+H$167)</f>
        <v>0</v>
      </c>
      <c r="I186" s="34" t="n">
        <f aca="false">IF(I$8=1,IF(Reales!$C$38="PYG",IF(I$10&gt;0,N(Reales!I38)/I$10,0),N(Reales!I38)),I$166+I$167)</f>
        <v>0</v>
      </c>
      <c r="J186" s="34" t="n">
        <f aca="false">IF(J$8=1,IF(Reales!$C$38="PYG",IF(J$10&gt;0,N(Reales!J38)/J$10,0),N(Reales!J38)),J$166+J$167)</f>
        <v>0</v>
      </c>
      <c r="K186" s="34" t="n">
        <f aca="false">IF(K$8=1,IF(Reales!$C$38="PYG",IF(K$10&gt;0,N(Reales!K38)/K$10,0),N(Reales!K38)),K$166+K$167)</f>
        <v>0</v>
      </c>
      <c r="L186" s="34" t="n">
        <f aca="false">IF(L$8=1,IF(Reales!$C$38="PYG",IF(L$10&gt;0,N(Reales!L38)/L$10,0),N(Reales!L38)),L$166+L$167)</f>
        <v>0</v>
      </c>
      <c r="M186" s="34" t="n">
        <f aca="false">IF(M$8=1,IF(Reales!$C$38="PYG",IF(M$10&gt;0,N(Reales!M38)/M$10,0),N(Reales!M38)),M$166+M$167)</f>
        <v>0</v>
      </c>
      <c r="N186" s="34" t="n">
        <f aca="false">IF(N$8=1,IF(Reales!$C$38="PYG",IF(N$10&gt;0,N(Reales!N38)/N$10,0),N(Reales!N38)),N$166+N$167)</f>
        <v>0</v>
      </c>
      <c r="O186" s="34" t="n">
        <f aca="false">IF(O$8=1,IF(Reales!$C$38="PYG",IF(O$10&gt;0,N(Reales!O38)/O$10,0),N(Reales!O38)),O$166+O$167)</f>
        <v>0</v>
      </c>
      <c r="P186" s="34" t="n">
        <f aca="false">IF(P$8=1,IF(Reales!$C$38="PYG",IF(P$10&gt;0,N(Reales!P38)/P$10,0),N(Reales!P38)),P$166+P$167)</f>
        <v>0</v>
      </c>
      <c r="Q186" s="34" t="n">
        <f aca="false">IF(Q$8=1,IF(Reales!$C$38="PYG",IF(Q$10&gt;0,N(Reales!Q38)/Q$10,0),N(Reales!Q38)),Q$166+Q$167)</f>
        <v>0</v>
      </c>
      <c r="R186" s="34" t="n">
        <f aca="false">IF(R$8=1,IF(Reales!$C$38="PYG",IF(R$10&gt;0,N(Reales!R38)/R$10,0),N(Reales!R38)),R$166+R$167)</f>
        <v>0</v>
      </c>
      <c r="S186" s="34" t="n">
        <f aca="false">IF(S$8=1,IF(Reales!$C$38="PYG",IF(S$10&gt;0,N(Reales!S38)/S$10,0),N(Reales!S38)),S$166+S$167)</f>
        <v>0</v>
      </c>
      <c r="T186" s="34" t="n">
        <f aca="false">IF(T$8=1,IF(Reales!$C$38="PYG",IF(T$10&gt;0,N(Reales!T38)/T$10,0),N(Reales!T38)),T$166+T$167)</f>
        <v>0</v>
      </c>
      <c r="U186" s="34" t="n">
        <f aca="false">IF(U$8=1,IF(Reales!$C$38="PYG",IF(U$10&gt;0,N(Reales!U38)/U$10,0),N(Reales!U38)),U$166+U$167)</f>
        <v>0</v>
      </c>
      <c r="V186" s="34" t="n">
        <f aca="false">IF(V$8=1,IF(Reales!$C$38="PYG",IF(V$10&gt;0,N(Reales!V38)/V$10,0),N(Reales!V38)),V$166+V$167)</f>
        <v>0</v>
      </c>
      <c r="W186" s="34" t="n">
        <f aca="false">IF(W$8=1,IF(Reales!$C$38="PYG",IF(W$10&gt;0,N(Reales!W38)/W$10,0),N(Reales!W38)),W$166+W$167)</f>
        <v>0</v>
      </c>
      <c r="X186" s="34" t="n">
        <f aca="false">IF(X$8=1,IF(Reales!$C$38="PYG",IF(X$10&gt;0,N(Reales!X38)/X$10,0),N(Reales!X38)),X$166+X$167)</f>
        <v>0</v>
      </c>
      <c r="Y186" s="34" t="n">
        <f aca="false">IF(Y$8=1,IF(Reales!$C$38="PYG",IF(Y$10&gt;0,N(Reales!Y38)/Y$10,0),N(Reales!Y38)),Y$166+Y$167)</f>
        <v>0</v>
      </c>
      <c r="Z186" s="34" t="n">
        <f aca="false">IF(Z$8=1,IF(Reales!$C$38="PYG",IF(Z$10&gt;0,N(Reales!Z38)/Z$10,0),N(Reales!Z38)),Z$166+Z$167)</f>
        <v>0</v>
      </c>
      <c r="AA186" s="34" t="n">
        <f aca="false">IF(AA$8=1,IF(Reales!$C$38="PYG",IF(AA$10&gt;0,N(Reales!AA38)/AA$10,0),N(Reales!AA38)),AA$166+AA$167)</f>
        <v>0</v>
      </c>
      <c r="AB186" s="34" t="n">
        <f aca="false">IF(AB$8=1,IF(Reales!$C$38="PYG",IF(AB$10&gt;0,N(Reales!AB38)/AB$10,0),N(Reales!AB38)),AB$166+AB$167)</f>
        <v>0</v>
      </c>
      <c r="AC186" s="34" t="n">
        <f aca="false">IF(AC$8=1,IF(Reales!$C$38="PYG",IF(AC$10&gt;0,N(Reales!AC38)/AC$10,0),N(Reales!AC38)),AC$166+AC$167)</f>
        <v>0</v>
      </c>
      <c r="AD186" s="34" t="n">
        <f aca="false">IF(AD$8=1,IF(Reales!$C$38="PYG",IF(AD$10&gt;0,N(Reales!AD38)/AD$10,0),N(Reales!AD38)),AD$166+AD$167)</f>
        <v>0</v>
      </c>
      <c r="AE186" s="34" t="n">
        <f aca="false">IF(AE$8=1,IF(Reales!$C$38="PYG",IF(AE$10&gt;0,N(Reales!AE38)/AE$10,0),N(Reales!AE38)),AE$166+AE$167)</f>
        <v>0</v>
      </c>
      <c r="AF186" s="34" t="n">
        <f aca="false">IF(AF$8=1,IF(Reales!$C$38="PYG",IF(AF$10&gt;0,N(Reales!AF38)/AF$10,0),N(Reales!AF38)),AF$166+AF$167)</f>
        <v>0</v>
      </c>
      <c r="AG186" s="34" t="n">
        <f aca="false">IF(AG$8=1,IF(Reales!$C$38="PYG",IF(AG$10&gt;0,N(Reales!AG38)/AG$10,0),N(Reales!AG38)),AG$166+AG$167)</f>
        <v>0</v>
      </c>
      <c r="AH186" s="34" t="n">
        <f aca="false">IF(AH$8=1,IF(Reales!$C$38="PYG",IF(AH$10&gt;0,N(Reales!AH38)/AH$10,0),N(Reales!AH38)),AH$166+AH$167)</f>
        <v>0</v>
      </c>
      <c r="AI186" s="34" t="n">
        <f aca="false">IF(AI$8=1,IF(Reales!$C$38="PYG",IF(AI$10&gt;0,N(Reales!AI38)/AI$10,0),N(Reales!AI38)),AI$166+AI$167)</f>
        <v>0</v>
      </c>
      <c r="AJ186" s="34" t="n">
        <f aca="false">IF(AJ$8=1,IF(Reales!$C$38="PYG",IF(AJ$10&gt;0,N(Reales!AJ38)/AJ$10,0),N(Reales!AJ38)),AJ$166+AJ$167)</f>
        <v>0</v>
      </c>
      <c r="AK186" s="34" t="n">
        <f aca="false">IF(AK$8=1,IF(Reales!$C$38="PYG",IF(AK$10&gt;0,N(Reales!AK38)/AK$10,0),N(Reales!AK38)),AK$166+AK$167)</f>
        <v>0</v>
      </c>
      <c r="AL186" s="34" t="n">
        <f aca="false">IF(AL$8=1,IF(Reales!$C$38="PYG",IF(AL$10&gt;0,N(Reales!AL38)/AL$10,0),N(Reales!AL38)),AL$166+AL$167)</f>
        <v>0</v>
      </c>
      <c r="AM186" s="34" t="n">
        <f aca="false">IF(AM$8=1,IF(Reales!$C$38="PYG",IF(AM$10&gt;0,N(Reales!AM38)/AM$10,0),N(Reales!AM38)),AM$166+AM$167)</f>
        <v>0</v>
      </c>
      <c r="AN186" s="34" t="n">
        <f aca="false">IF(AN$8=1,IF(Reales!$C$38="PYG",IF(AN$10&gt;0,N(Reales!AN38)/AN$10,0),N(Reales!AN38)),AN$166+AN$167)</f>
        <v>0</v>
      </c>
      <c r="AO186" s="34" t="n">
        <f aca="false">IF(AO$8=1,IF(Reales!$C$38="PYG",IF(AO$10&gt;0,N(Reales!AO38)/AO$10,0),N(Reales!AO38)),AO$166+AO$167)</f>
        <v>0</v>
      </c>
      <c r="AP186" s="34" t="n">
        <f aca="false">IF(AP$8=1,IF(Reales!$C$38="PYG",IF(AP$10&gt;0,N(Reales!AP38)/AP$10,0),N(Reales!AP38)),AP$166+AP$167)</f>
        <v>0</v>
      </c>
      <c r="AQ186" s="34" t="n">
        <f aca="false">IF(AQ$8=1,IF(Reales!$C$38="PYG",IF(AQ$10&gt;0,N(Reales!AQ38)/AQ$10,0),N(Reales!AQ38)),AQ$166+AQ$167)</f>
        <v>0</v>
      </c>
      <c r="AR186" s="34" t="n">
        <f aca="false">IF(AR$8=1,IF(Reales!$C$38="PYG",IF(AR$10&gt;0,N(Reales!AR38)/AR$10,0),N(Reales!AR38)),AR$166+AR$167)</f>
        <v>0</v>
      </c>
      <c r="AS186" s="34" t="n">
        <f aca="false">IF(AS$8=1,IF(Reales!$C$38="PYG",IF(AS$10&gt;0,N(Reales!AS38)/AS$10,0),N(Reales!AS38)),AS$166+AS$167)</f>
        <v>0</v>
      </c>
      <c r="AT186" s="34" t="n">
        <f aca="false">IF(AT$8=1,IF(Reales!$C$38="PYG",IF(AT$10&gt;0,N(Reales!AT38)/AT$10,0),N(Reales!AT38)),AT$166+AT$167)</f>
        <v>0</v>
      </c>
      <c r="AU186" s="34" t="n">
        <f aca="false">IF(AU$8=1,IF(Reales!$C$38="PYG",IF(AU$10&gt;0,N(Reales!AU38)/AU$10,0),N(Reales!AU38)),AU$166+AU$167)</f>
        <v>0</v>
      </c>
      <c r="AV186" s="34" t="n">
        <f aca="false">IF(AV$8=1,IF(Reales!$C$38="PYG",IF(AV$10&gt;0,N(Reales!AV38)/AV$10,0),N(Reales!AV38)),AV$166+AV$167)</f>
        <v>0</v>
      </c>
      <c r="AW186" s="34" t="n">
        <f aca="false">IF(AW$8=1,IF(Reales!$C$38="PYG",IF(AW$10&gt;0,N(Reales!AW38)/AW$10,0),N(Reales!AW38)),AW$166+AW$167)</f>
        <v>0</v>
      </c>
      <c r="AX186" s="34" t="n">
        <f aca="false">IF(AX$8=1,IF(Reales!$C$38="PYG",IF(AX$10&gt;0,N(Reales!AX38)/AX$10,0),N(Reales!AX38)),AX$166+AX$167)</f>
        <v>0</v>
      </c>
      <c r="AY186" s="34" t="n">
        <f aca="false">IF(AY$8=1,IF(Reales!$C$38="PYG",IF(AY$10&gt;0,N(Reales!AY38)/AY$10,0),N(Reales!AY38)),AY$166+AY$167)</f>
        <v>0</v>
      </c>
      <c r="AZ186" s="34" t="n">
        <f aca="false">IF(AZ$8=1,IF(Reales!$C$38="PYG",IF(AZ$10&gt;0,N(Reales!AZ38)/AZ$10,0),N(Reales!AZ38)),AZ$166+AZ$167)</f>
        <v>0</v>
      </c>
      <c r="BA186" s="34" t="n">
        <f aca="false">IF(BA$8=1,IF(Reales!$C$38="PYG",IF(BA$10&gt;0,N(Reales!BA38)/BA$10,0),N(Reales!BA38)),BA$166+BA$167)</f>
        <v>0</v>
      </c>
      <c r="BB186" s="34" t="n">
        <f aca="false">IF(BB$8=1,IF(Reales!$C$38="PYG",IF(BB$10&gt;0,N(Reales!BB38)/BB$10,0),N(Reales!BB38)),BB$166+BB$167)</f>
        <v>0</v>
      </c>
      <c r="BC186" s="34" t="n">
        <f aca="false">IF(BC$8=1,IF(Reales!$C$38="PYG",IF(BC$10&gt;0,N(Reales!BC38)/BC$10,0),N(Reales!BC38)),BC$166+BC$167)</f>
        <v>0</v>
      </c>
      <c r="BD186" s="34" t="n">
        <f aca="false">IF(BD$8=1,IF(Reales!$C$38="PYG",IF(BD$10&gt;0,N(Reales!BD38)/BD$10,0),N(Reales!BD38)),BD$166+BD$167)</f>
        <v>0</v>
      </c>
      <c r="BE186" s="34" t="n">
        <f aca="false">IF(BE$8=1,IF(Reales!$C$38="PYG",IF(BE$10&gt;0,N(Reales!BE38)/BE$10,0),N(Reales!BE38)),BE$166+BE$167)</f>
        <v>0</v>
      </c>
      <c r="BF186" s="34" t="n">
        <f aca="false">IF(BF$8=1,IF(Reales!$C$38="PYG",IF(BF$10&gt;0,N(Reales!BF38)/BF$10,0),N(Reales!BF38)),BF$166+BF$167)</f>
        <v>0</v>
      </c>
      <c r="BG186" s="34" t="n">
        <f aca="false">IF(BG$8=1,IF(Reales!$C$38="PYG",IF(BG$10&gt;0,N(Reales!BG38)/BG$10,0),N(Reales!BG38)),BG$166+BG$167)</f>
        <v>0</v>
      </c>
      <c r="BH186" s="34" t="n">
        <f aca="false">IF(BH$8=1,IF(Reales!$C$38="PYG",IF(BH$10&gt;0,N(Reales!BH38)/BH$10,0),N(Reales!BH38)),BH$166+BH$167)</f>
        <v>0</v>
      </c>
      <c r="BI186" s="34" t="n">
        <f aca="false">IF(BI$8=1,IF(Reales!$C$38="PYG",IF(BI$10&gt;0,N(Reales!BI38)/BI$10,0),N(Reales!BI38)),BI$166+BI$167)</f>
        <v>0</v>
      </c>
      <c r="BJ186" s="34" t="n">
        <f aca="false">IF(BJ$8=1,IF(Reales!$C$38="PYG",IF(BJ$10&gt;0,N(Reales!BJ38)/BJ$10,0),N(Reales!BJ38)),BJ$166+BJ$167)</f>
        <v>0</v>
      </c>
      <c r="BK186" s="34" t="n">
        <f aca="false">IF(BK$8=1,IF(Reales!$C$38="PYG",IF(BK$10&gt;0,N(Reales!BK38)/BK$10,0),N(Reales!BK38)),BK$166+BK$167)</f>
        <v>0</v>
      </c>
      <c r="BL186" s="34" t="n">
        <f aca="false">IF(BL$8=1,IF(Reales!$C$38="PYG",IF(BL$10&gt;0,N(Reales!BL38)/BL$10,0),N(Reales!BL38)),BL$166+BL$167)</f>
        <v>0</v>
      </c>
      <c r="BM186" s="34" t="n">
        <f aca="false">IF(BM$8=1,IF(Reales!$C$38="PYG",IF(BM$10&gt;0,N(Reales!BM38)/BM$10,0),N(Reales!BM38)),BM$166+BM$167)</f>
        <v>0</v>
      </c>
      <c r="BN186" s="34" t="n">
        <f aca="false">IF(BN$8=1,IF(Reales!$C$38="PYG",IF(BN$10&gt;0,N(Reales!BN38)/BN$10,0),N(Reales!BN38)),BN$166+BN$167)</f>
        <v>0</v>
      </c>
      <c r="BO186" s="34" t="n">
        <f aca="false">IF(BO$8=1,IF(Reales!$C$38="PYG",IF(BO$10&gt;0,N(Reales!BO38)/BO$10,0),N(Reales!BO38)),BO$166+BO$167)</f>
        <v>0</v>
      </c>
      <c r="BP186" s="34" t="n">
        <f aca="false">IF(BP$8=1,IF(Reales!$C$38="PYG",IF(BP$10&gt;0,N(Reales!BP38)/BP$10,0),N(Reales!BP38)),BP$166+BP$167)</f>
        <v>0</v>
      </c>
      <c r="BQ186" s="34" t="n">
        <f aca="false">IF(BQ$8=1,IF(Reales!$C$38="PYG",IF(BQ$10&gt;0,N(Reales!BQ38)/BQ$10,0),N(Reales!BQ38)),BQ$166+BQ$167)</f>
        <v>0</v>
      </c>
      <c r="BR186" s="34" t="n">
        <f aca="false">IF(BR$8=1,IF(Reales!$C$38="PYG",IF(BR$10&gt;0,N(Reales!BR38)/BR$10,0),N(Reales!BR38)),BR$166+BR$167)</f>
        <v>0</v>
      </c>
      <c r="BS186" s="34" t="n">
        <f aca="false">IF(BS$8=1,IF(Reales!$C$38="PYG",IF(BS$10&gt;0,N(Reales!BS38)/BS$10,0),N(Reales!BS38)),BS$166+BS$167)</f>
        <v>0</v>
      </c>
      <c r="BT186" s="34" t="n">
        <f aca="false">IF(BT$8=1,IF(Reales!$C$38="PYG",IF(BT$10&gt;0,N(Reales!BT38)/BT$10,0),N(Reales!BT38)),BT$166+BT$167)</f>
        <v>0</v>
      </c>
      <c r="BU186" s="34" t="n">
        <f aca="false">IF(BU$8=1,IF(Reales!$C$38="PYG",IF(BU$10&gt;0,N(Reales!BU38)/BU$10,0),N(Reales!BU38)),BU$166+BU$167)</f>
        <v>0</v>
      </c>
      <c r="BV186" s="34" t="n">
        <f aca="false">IF(BV$8=1,IF(Reales!$C$38="PYG",IF(BV$10&gt;0,N(Reales!BV38)/BV$10,0),N(Reales!BV38)),BV$166+BV$167)</f>
        <v>0</v>
      </c>
      <c r="BW186" s="34" t="n">
        <f aca="false">IF(BW$8=1,IF(Reales!$C$38="PYG",IF(BW$10&gt;0,N(Reales!BW38)/BW$10,0),N(Reales!BW38)),BW$166+BW$167)</f>
        <v>0</v>
      </c>
      <c r="BX186" s="34" t="n">
        <f aca="false">IF(BX$8=1,IF(Reales!$C$38="PYG",IF(BX$10&gt;0,N(Reales!BX38)/BX$10,0),N(Reales!BX38)),BX$166+BX$167)</f>
        <v>0</v>
      </c>
      <c r="BY186" s="34" t="n">
        <f aca="false">IF(BY$8=1,IF(Reales!$C$38="PYG",IF(BY$10&gt;0,N(Reales!BY38)/BY$10,0),N(Reales!BY38)),BY$166+BY$167)</f>
        <v>0</v>
      </c>
      <c r="BZ186" s="34" t="n">
        <f aca="false">IF(BZ$8=1,IF(Reales!$C$38="PYG",IF(BZ$10&gt;0,N(Reales!BZ38)/BZ$10,0),N(Reales!BZ38)),BZ$166+BZ$167)</f>
        <v>0</v>
      </c>
      <c r="CA186" s="34" t="n">
        <f aca="false">IF(CA$8=1,IF(Reales!$C$38="PYG",IF(CA$10&gt;0,N(Reales!CA38)/CA$10,0),N(Reales!CA38)),CA$166+CA$167)</f>
        <v>0</v>
      </c>
      <c r="CB186" s="34" t="n">
        <f aca="false">IF(CB$8=1,IF(Reales!$C$38="PYG",IF(CB$10&gt;0,N(Reales!CB38)/CB$10,0),N(Reales!CB38)),CB$166+CB$167)</f>
        <v>0</v>
      </c>
      <c r="CC186" s="34" t="n">
        <f aca="false">IF(CC$8=1,IF(Reales!$C$38="PYG",IF(CC$10&gt;0,N(Reales!CC38)/CC$10,0),N(Reales!CC38)),CC$166+CC$167)</f>
        <v>0</v>
      </c>
      <c r="CD186" s="34" t="n">
        <f aca="false">IF(CD$8=1,IF(Reales!$C$38="PYG",IF(CD$10&gt;0,N(Reales!CD38)/CD$10,0),N(Reales!CD38)),CD$166+CD$167)</f>
        <v>0</v>
      </c>
      <c r="CE186" s="34" t="n">
        <f aca="false">IF(CE$8=1,IF(Reales!$C$38="PYG",IF(CE$10&gt;0,N(Reales!CE38)/CE$10,0),N(Reales!CE38)),CE$166+CE$167)</f>
        <v>0</v>
      </c>
      <c r="CF186" s="34" t="n">
        <f aca="false">IF(CF$8=1,IF(Reales!$C$38="PYG",IF(CF$10&gt;0,N(Reales!CF38)/CF$10,0),N(Reales!CF38)),CF$166+CF$167)</f>
        <v>0</v>
      </c>
      <c r="CG186" s="34" t="n">
        <f aca="false">IF(CG$8=1,IF(Reales!$C$38="PYG",IF(CG$10&gt;0,N(Reales!CG38)/CG$10,0),N(Reales!CG38)),CG$166+CG$167)</f>
        <v>0</v>
      </c>
      <c r="CH186" s="34" t="n">
        <f aca="false">IF(CH$8=1,IF(Reales!$C$38="PYG",IF(CH$10&gt;0,N(Reales!CH38)/CH$10,0),N(Reales!CH38)),CH$166+CH$167)</f>
        <v>0</v>
      </c>
      <c r="CI186" s="34" t="n">
        <f aca="false">IF(CI$8=1,IF(Reales!$C$38="PYG",IF(CI$10&gt;0,N(Reales!CI38)/CI$10,0),N(Reales!CI38)),CI$166+CI$167)</f>
        <v>0</v>
      </c>
      <c r="CJ186" s="34" t="n">
        <f aca="false">IF(CJ$8=1,IF(Reales!$C$38="PYG",IF(CJ$10&gt;0,N(Reales!CJ38)/CJ$10,0),N(Reales!CJ38)),CJ$166+CJ$167)</f>
        <v>0</v>
      </c>
      <c r="CK186" s="34" t="n">
        <f aca="false">IF(CK$8=1,IF(Reales!$C$38="PYG",IF(CK$10&gt;0,N(Reales!CK38)/CK$10,0),N(Reales!CK38)),CK$166+CK$167)</f>
        <v>0</v>
      </c>
      <c r="CL186" s="34" t="n">
        <f aca="false">IF(CL$8=1,IF(Reales!$C$38="PYG",IF(CL$10&gt;0,N(Reales!CL38)/CL$10,0),N(Reales!CL38)),CL$166+CL$167)</f>
        <v>0</v>
      </c>
      <c r="CM186" s="34" t="n">
        <f aca="false">IF(CM$8=1,IF(Reales!$C$38="PYG",IF(CM$10&gt;0,N(Reales!CM38)/CM$10,0),N(Reales!CM38)),CM$166+CM$167)</f>
        <v>0</v>
      </c>
      <c r="CN186" s="34" t="n">
        <f aca="false">IF(CN$8=1,IF(Reales!$C$38="PYG",IF(CN$10&gt;0,N(Reales!CN38)/CN$10,0),N(Reales!CN38)),CN$166+CN$167)</f>
        <v>0</v>
      </c>
      <c r="CO186" s="34" t="n">
        <f aca="false">IF(CO$8=1,IF(Reales!$C$38="PYG",IF(CO$10&gt;0,N(Reales!CO38)/CO$10,0),N(Reales!CO38)),CO$166+CO$167)</f>
        <v>0</v>
      </c>
      <c r="CP186" s="34" t="n">
        <f aca="false">IF(CP$8=1,IF(Reales!$C$38="PYG",IF(CP$10&gt;0,N(Reales!CP38)/CP$10,0),N(Reales!CP38)),CP$166+CP$167)</f>
        <v>0</v>
      </c>
      <c r="CQ186" s="34" t="n">
        <f aca="false">IF(CQ$8=1,IF(Reales!$C$38="PYG",IF(CQ$10&gt;0,N(Reales!CQ38)/CQ$10,0),N(Reales!CQ38)),CQ$166+CQ$167)</f>
        <v>0</v>
      </c>
      <c r="CR186" s="34" t="n">
        <f aca="false">IF(CR$8=1,IF(Reales!$C$38="PYG",IF(CR$10&gt;0,N(Reales!CR38)/CR$10,0),N(Reales!CR38)),CR$166+CR$167)</f>
        <v>0</v>
      </c>
      <c r="CS186" s="34" t="n">
        <f aca="false">IF(CS$8=1,IF(Reales!$C$38="PYG",IF(CS$10&gt;0,N(Reales!CS38)/CS$10,0),N(Reales!CS38)),CS$166+CS$167)</f>
        <v>0</v>
      </c>
      <c r="CT186" s="34" t="n">
        <f aca="false">IF(CT$8=1,IF(Reales!$C$38="PYG",IF(CT$10&gt;0,N(Reales!CT38)/CT$10,0),N(Reales!CT38)),CT$166+CT$167)</f>
        <v>0</v>
      </c>
      <c r="CU186" s="34" t="n">
        <f aca="false">IF(CU$8=1,IF(Reales!$C$38="PYG",IF(CU$10&gt;0,N(Reales!CU38)/CU$10,0),N(Reales!CU38)),CU$166+CU$167)</f>
        <v>0</v>
      </c>
      <c r="CV186" s="34" t="n">
        <f aca="false">IF(CV$8=1,IF(Reales!$C$38="PYG",IF(CV$10&gt;0,N(Reales!CV38)/CV$10,0),N(Reales!CV38)),CV$166+CV$167)</f>
        <v>0</v>
      </c>
      <c r="CW186" s="34" t="n">
        <f aca="false">IF(CW$8=1,IF(Reales!$C$38="PYG",IF(CW$10&gt;0,N(Reales!CW38)/CW$10,0),N(Reales!CW38)),CW$166+CW$167)</f>
        <v>0</v>
      </c>
      <c r="CX186" s="34" t="n">
        <f aca="false">IF(CX$8=1,IF(Reales!$C$38="PYG",IF(CX$10&gt;0,N(Reales!CX38)/CX$10,0),N(Reales!CX38)),CX$166+CX$167)</f>
        <v>0</v>
      </c>
      <c r="CY186" s="34" t="n">
        <f aca="false">IF(CY$8=1,IF(Reales!$C$38="PYG",IF(CY$10&gt;0,N(Reales!CY38)/CY$10,0),N(Reales!CY38)),CY$166+CY$167)</f>
        <v>0</v>
      </c>
      <c r="CZ186" s="34" t="n">
        <f aca="false">IF(CZ$8=1,IF(Reales!$C$38="PYG",IF(CZ$10&gt;0,N(Reales!CZ38)/CZ$10,0),N(Reales!CZ38)),CZ$166+CZ$167)</f>
        <v>0</v>
      </c>
      <c r="DA186" s="34" t="n">
        <f aca="false">IF(DA$8=1,IF(Reales!$C$38="PYG",IF(DA$10&gt;0,N(Reales!DA38)/DA$10,0),N(Reales!DA38)),DA$166+DA$167)</f>
        <v>0</v>
      </c>
      <c r="DB186" s="34" t="n">
        <f aca="false">IF(DB$8=1,IF(Reales!$C$38="PYG",IF(DB$10&gt;0,N(Reales!DB38)/DB$10,0),N(Reales!DB38)),DB$166+DB$167)</f>
        <v>0</v>
      </c>
      <c r="DC186" s="34" t="n">
        <f aca="false">IF(DC$8=1,IF(Reales!$C$38="PYG",IF(DC$10&gt;0,N(Reales!DC38)/DC$10,0),N(Reales!DC38)),DC$166+DC$167)</f>
        <v>0</v>
      </c>
      <c r="DD186" s="34" t="n">
        <f aca="false">IF(DD$8=1,IF(Reales!$C$38="PYG",IF(DD$10&gt;0,N(Reales!DD38)/DD$10,0),N(Reales!DD38)),DD$166+DD$167)</f>
        <v>0</v>
      </c>
      <c r="DE186" s="34" t="n">
        <f aca="false">IF(DE$8=1,IF(Reales!$C$38="PYG",IF(DE$10&gt;0,N(Reales!DE38)/DE$10,0),N(Reales!DE38)),DE$166+DE$167)</f>
        <v>0</v>
      </c>
      <c r="DF186" s="34" t="n">
        <f aca="false">IF(DF$8=1,IF(Reales!$C$38="PYG",IF(DF$10&gt;0,N(Reales!DF38)/DF$10,0),N(Reales!DF38)),DF$166+DF$167)</f>
        <v>0</v>
      </c>
      <c r="DG186" s="34" t="n">
        <f aca="false">IF(DG$8=1,IF(Reales!$C$38="PYG",IF(DG$10&gt;0,N(Reales!DG38)/DG$10,0),N(Reales!DG38)),DG$166+DG$167)</f>
        <v>0</v>
      </c>
      <c r="DH186" s="34" t="n">
        <f aca="false">IF(DH$8=1,IF(Reales!$C$38="PYG",IF(DH$10&gt;0,N(Reales!DH38)/DH$10,0),N(Reales!DH38)),DH$166+DH$167)</f>
        <v>0</v>
      </c>
      <c r="DI186" s="34" t="n">
        <f aca="false">IF(DI$8=1,IF(Reales!$C$38="PYG",IF(DI$10&gt;0,N(Reales!DI38)/DI$10,0),N(Reales!DI38)),DI$166+DI$167)</f>
        <v>0</v>
      </c>
      <c r="DJ186" s="34" t="n">
        <f aca="false">IF(DJ$8=1,IF(Reales!$C$38="PYG",IF(DJ$10&gt;0,N(Reales!DJ38)/DJ$10,0),N(Reales!DJ38)),DJ$166+DJ$167)</f>
        <v>0</v>
      </c>
      <c r="DK186" s="34" t="n">
        <f aca="false">IF(DK$8=1,IF(Reales!$C$38="PYG",IF(DK$10&gt;0,N(Reales!DK38)/DK$10,0),N(Reales!DK38)),DK$166+DK$167)</f>
        <v>0</v>
      </c>
      <c r="DL186" s="34" t="n">
        <f aca="false">IF(DL$8=1,IF(Reales!$C$38="PYG",IF(DL$10&gt;0,N(Reales!DL38)/DL$10,0),N(Reales!DL38)),DL$166+DL$167)</f>
        <v>0</v>
      </c>
      <c r="DM186" s="34" t="n">
        <f aca="false">IF(DM$8=1,IF(Reales!$C$38="PYG",IF(DM$10&gt;0,N(Reales!DM38)/DM$10,0),N(Reales!DM38)),DM$166+DM$167)</f>
        <v>0</v>
      </c>
      <c r="DN186" s="34" t="n">
        <f aca="false">IF(DN$8=1,IF(Reales!$C$38="PYG",IF(DN$10&gt;0,N(Reales!DN38)/DN$10,0),N(Reales!DN38)),DN$166+DN$167)</f>
        <v>0</v>
      </c>
      <c r="DO186" s="34" t="n">
        <f aca="false">IF(DO$8=1,IF(Reales!$C$38="PYG",IF(DO$10&gt;0,N(Reales!DO38)/DO$10,0),N(Reales!DO38)),DO$166+DO$167)</f>
        <v>0</v>
      </c>
      <c r="DP186" s="34" t="n">
        <f aca="false">IF(DP$8=1,IF(Reales!$C$38="PYG",IF(DP$10&gt;0,N(Reales!DP38)/DP$10,0),N(Reales!DP38)),DP$166+DP$167)</f>
        <v>0</v>
      </c>
      <c r="DQ186" s="34" t="n">
        <f aca="false">IF(DQ$8=1,IF(Reales!$C$38="PYG",IF(DQ$10&gt;0,N(Reales!DQ38)/DQ$10,0),N(Reales!DQ38)),DQ$166+DQ$167)</f>
        <v>0</v>
      </c>
      <c r="DR186" s="34" t="n">
        <f aca="false">IF(DR$8=1,IF(Reales!$C$38="PYG",IF(DR$10&gt;0,N(Reales!DR38)/DR$10,0),N(Reales!DR38)),DR$166+DR$167)</f>
        <v>0</v>
      </c>
      <c r="DS186" s="34" t="n">
        <f aca="false">IF(DS$8=1,IF(Reales!$C$38="PYG",IF(DS$10&gt;0,N(Reales!DS38)/DS$10,0),N(Reales!DS38)),DS$166+DS$167)</f>
        <v>0</v>
      </c>
      <c r="DT186" s="34" t="n">
        <f aca="false">IF(DT$8=1,IF(Reales!$C$38="PYG",IF(DT$10&gt;0,N(Reales!DT38)/DT$10,0),N(Reales!DT38)),DT$166+DT$167)</f>
        <v>0</v>
      </c>
      <c r="DU186" s="34" t="n">
        <f aca="false">IF(DU$8=1,IF(Reales!$C$38="PYG",IF(DU$10&gt;0,N(Reales!DU38)/DU$10,0),N(Reales!DU38)),DU$166+DU$167)</f>
        <v>0</v>
      </c>
      <c r="DV186" s="34" t="n">
        <f aca="false">IF(DV$8=1,IF(Reales!$C$38="PYG",IF(DV$10&gt;0,N(Reales!DV38)/DV$10,0),N(Reales!DV38)),DV$166+DV$167)</f>
        <v>0</v>
      </c>
      <c r="DW186" s="34" t="n">
        <f aca="false">IF(DW$8=1,IF(Reales!$C$38="PYG",IF(DW$10&gt;0,N(Reales!DW38)/DW$10,0),N(Reales!DW38)),DW$166+DW$167)</f>
        <v>0</v>
      </c>
      <c r="DX186" s="34" t="n">
        <f aca="false">IF(DX$8=1,IF(Reales!$C$38="PYG",IF(DX$10&gt;0,N(Reales!DX38)/DX$10,0),N(Reales!DX38)),DX$166+DX$167)</f>
        <v>0</v>
      </c>
      <c r="DY186" s="34" t="n">
        <f aca="false">IF(DY$8=1,IF(Reales!$C$38="PYG",IF(DY$10&gt;0,N(Reales!DY38)/DY$10,0),N(Reales!DY38)),DY$166+DY$167)</f>
        <v>0</v>
      </c>
      <c r="DZ186" s="34" t="n">
        <f aca="false">IF(DZ$8=1,IF(Reales!$C$38="PYG",IF(DZ$10&gt;0,N(Reales!DZ38)/DZ$10,0),N(Reales!DZ38)),DZ$166+DZ$167)</f>
        <v>0</v>
      </c>
      <c r="EA186" s="34" t="n">
        <f aca="false">IF(EA$8=1,IF(Reales!$C$38="PYG",IF(EA$10&gt;0,N(Reales!EA38)/EA$10,0),N(Reales!EA38)),EA$166+EA$167)</f>
        <v>0</v>
      </c>
      <c r="EB186" s="34" t="n">
        <f aca="false">IF(EB$8=1,IF(Reales!$C$38="PYG",IF(EB$10&gt;0,N(Reales!EB38)/EB$10,0),N(Reales!EB38)),EB$166+EB$167)</f>
        <v>0</v>
      </c>
      <c r="EC186" s="34" t="n">
        <f aca="false">IF(EC$8=1,IF(Reales!$C$38="PYG",IF(EC$10&gt;0,N(Reales!EC38)/EC$10,0),N(Reales!EC38)),EC$166+EC$167)</f>
        <v>0</v>
      </c>
      <c r="ED186" s="34" t="n">
        <f aca="false">IF(ED$8=1,IF(Reales!$C$38="PYG",IF(ED$10&gt;0,N(Reales!ED38)/ED$10,0),N(Reales!ED38)),ED$166+ED$167)</f>
        <v>0</v>
      </c>
      <c r="EE186" s="34" t="n">
        <f aca="false">IF(EE$8=1,IF(Reales!$C$38="PYG",IF(EE$10&gt;0,N(Reales!EE38)/EE$10,0),N(Reales!EE38)),EE$166+EE$167)</f>
        <v>0</v>
      </c>
      <c r="EF186" s="34" t="n">
        <f aca="false">IF(EF$8=1,IF(Reales!$C$38="PYG",IF(EF$10&gt;0,N(Reales!EF38)/EF$10,0),N(Reales!EF38)),EF$166+EF$167)</f>
        <v>0</v>
      </c>
      <c r="EG186" s="34" t="n">
        <f aca="false">IF(EG$8=1,IF(Reales!$C$38="PYG",IF(EG$10&gt;0,N(Reales!EG38)/EG$10,0),N(Reales!EG38)),EG$166+EG$167)</f>
        <v>0</v>
      </c>
      <c r="EH186" s="34" t="n">
        <f aca="false">IF(EH$8=1,IF(Reales!$C$38="PYG",IF(EH$10&gt;0,N(Reales!EH38)/EH$10,0),N(Reales!EH38)),EH$166+EH$167)</f>
        <v>0</v>
      </c>
      <c r="EI186" s="34" t="n">
        <f aca="false">IF(EI$8=1,IF(Reales!$C$38="PYG",IF(EI$10&gt;0,N(Reales!EI38)/EI$10,0),N(Reales!EI38)),EI$166+EI$167)</f>
        <v>0</v>
      </c>
      <c r="EJ186" s="34" t="n">
        <f aca="false">IF(EJ$8=1,IF(Reales!$C$38="PYG",IF(EJ$10&gt;0,N(Reales!EJ38)/EJ$10,0),N(Reales!EJ38)),EJ$166+EJ$167)</f>
        <v>0</v>
      </c>
      <c r="EK186" s="34" t="n">
        <f aca="false">IF(EK$8=1,IF(Reales!$C$38="PYG",IF(EK$10&gt;0,N(Reales!EK38)/EK$10,0),N(Reales!EK38)),EK$166+EK$167)</f>
        <v>0</v>
      </c>
      <c r="EL186" s="34" t="n">
        <f aca="false">IF(EL$8=1,IF(Reales!$C$38="PYG",IF(EL$10&gt;0,N(Reales!EL38)/EL$10,0),N(Reales!EL38)),EL$166+EL$167)</f>
        <v>0</v>
      </c>
      <c r="EM186" s="34" t="n">
        <f aca="false">IF(EM$8=1,IF(Reales!$C$38="PYG",IF(EM$10&gt;0,N(Reales!EM38)/EM$10,0),N(Reales!EM38)),EM$166+EM$167)</f>
        <v>0</v>
      </c>
      <c r="EN186" s="34" t="n">
        <f aca="false">IF(EN$8=1,IF(Reales!$C$38="PYG",IF(EN$10&gt;0,N(Reales!EN38)/EN$10,0),N(Reales!EN38)),EN$166+EN$167)</f>
        <v>0</v>
      </c>
      <c r="EO186" s="34" t="n">
        <f aca="false">IF(EO$8=1,IF(Reales!$C$38="PYG",IF(EO$10&gt;0,N(Reales!EO38)/EO$10,0),N(Reales!EO38)),EO$166+EO$167)</f>
        <v>0</v>
      </c>
      <c r="EP186" s="34" t="n">
        <f aca="false">IF(EP$8=1,IF(Reales!$C$38="PYG",IF(EP$10&gt;0,N(Reales!EP38)/EP$10,0),N(Reales!EP38)),EP$166+EP$167)</f>
        <v>0</v>
      </c>
      <c r="EQ186" s="34" t="n">
        <f aca="false">IF(EQ$8=1,IF(Reales!$C$38="PYG",IF(EQ$10&gt;0,N(Reales!EQ38)/EQ$10,0),N(Reales!EQ38)),EQ$166+EQ$167)</f>
        <v>0</v>
      </c>
      <c r="ER186" s="34" t="n">
        <f aca="false">IF(ER$8=1,IF(Reales!$C$38="PYG",IF(ER$10&gt;0,N(Reales!ER38)/ER$10,0),N(Reales!ER38)),ER$166+ER$167)</f>
        <v>0</v>
      </c>
      <c r="ES186" s="34" t="n">
        <f aca="false">IF(ES$8=1,IF(Reales!$C$38="PYG",IF(ES$10&gt;0,N(Reales!ES38)/ES$10,0),N(Reales!ES38)),ES$166+ES$167)</f>
        <v>0</v>
      </c>
    </row>
    <row r="187" customFormat="false" ht="15" hidden="false" customHeight="false" outlineLevel="0" collapsed="false">
      <c r="A187" s="2" t="s">
        <v>664</v>
      </c>
      <c r="B187" s="6" t="s">
        <v>501</v>
      </c>
      <c r="C187" s="6" t="s">
        <v>212</v>
      </c>
      <c r="E187" s="40" t="n">
        <f aca="false">SUM(F187:ES187)</f>
        <v>0</v>
      </c>
      <c r="F187" s="34" t="n">
        <f aca="false">IF(F$8=1,IF(Reales!$C$39="PYG",IF(F$10&gt;0,N(Reales!F39)/F$10,0),N(Reales!F39)),F$168+F$169+F$176+F$177)</f>
        <v>0</v>
      </c>
      <c r="G187" s="34" t="n">
        <f aca="false">IF(G$8=1,IF(Reales!$C$39="PYG",IF(G$10&gt;0,N(Reales!G39)/G$10,0),N(Reales!G39)),G$168+G$169+G$176+G$177)</f>
        <v>0</v>
      </c>
      <c r="H187" s="34" t="n">
        <f aca="false">IF(H$8=1,IF(Reales!$C$39="PYG",IF(H$10&gt;0,N(Reales!H39)/H$10,0),N(Reales!H39)),H$168+H$169+H$176+H$177)</f>
        <v>0</v>
      </c>
      <c r="I187" s="34" t="n">
        <f aca="false">IF(I$8=1,IF(Reales!$C$39="PYG",IF(I$10&gt;0,N(Reales!I39)/I$10,0),N(Reales!I39)),I$168+I$169+I$176+I$177)</f>
        <v>0</v>
      </c>
      <c r="J187" s="34" t="n">
        <f aca="false">IF(J$8=1,IF(Reales!$C$39="PYG",IF(J$10&gt;0,N(Reales!J39)/J$10,0),N(Reales!J39)),J$168+J$169+J$176+J$177)</f>
        <v>0</v>
      </c>
      <c r="K187" s="34" t="n">
        <f aca="false">IF(K$8=1,IF(Reales!$C$39="PYG",IF(K$10&gt;0,N(Reales!K39)/K$10,0),N(Reales!K39)),K$168+K$169+K$176+K$177)</f>
        <v>0</v>
      </c>
      <c r="L187" s="34" t="n">
        <f aca="false">IF(L$8=1,IF(Reales!$C$39="PYG",IF(L$10&gt;0,N(Reales!L39)/L$10,0),N(Reales!L39)),L$168+L$169+L$176+L$177)</f>
        <v>0</v>
      </c>
      <c r="M187" s="34" t="n">
        <f aca="false">IF(M$8=1,IF(Reales!$C$39="PYG",IF(M$10&gt;0,N(Reales!M39)/M$10,0),N(Reales!M39)),M$168+M$169+M$176+M$177)</f>
        <v>0</v>
      </c>
      <c r="N187" s="34" t="n">
        <f aca="false">IF(N$8=1,IF(Reales!$C$39="PYG",IF(N$10&gt;0,N(Reales!N39)/N$10,0),N(Reales!N39)),N$168+N$169+N$176+N$177)</f>
        <v>0</v>
      </c>
      <c r="O187" s="34" t="n">
        <f aca="false">IF(O$8=1,IF(Reales!$C$39="PYG",IF(O$10&gt;0,N(Reales!O39)/O$10,0),N(Reales!O39)),O$168+O$169+O$176+O$177)</f>
        <v>0</v>
      </c>
      <c r="P187" s="34" t="n">
        <f aca="false">IF(P$8=1,IF(Reales!$C$39="PYG",IF(P$10&gt;0,N(Reales!P39)/P$10,0),N(Reales!P39)),P$168+P$169+P$176+P$177)</f>
        <v>0</v>
      </c>
      <c r="Q187" s="34" t="n">
        <f aca="false">IF(Q$8=1,IF(Reales!$C$39="PYG",IF(Q$10&gt;0,N(Reales!Q39)/Q$10,0),N(Reales!Q39)),Q$168+Q$169+Q$176+Q$177)</f>
        <v>0</v>
      </c>
      <c r="R187" s="34" t="n">
        <f aca="false">IF(R$8=1,IF(Reales!$C$39="PYG",IF(R$10&gt;0,N(Reales!R39)/R$10,0),N(Reales!R39)),R$168+R$169+R$176+R$177)</f>
        <v>0</v>
      </c>
      <c r="S187" s="34" t="n">
        <f aca="false">IF(S$8=1,IF(Reales!$C$39="PYG",IF(S$10&gt;0,N(Reales!S39)/S$10,0),N(Reales!S39)),S$168+S$169+S$176+S$177)</f>
        <v>0</v>
      </c>
      <c r="T187" s="34" t="n">
        <f aca="false">IF(T$8=1,IF(Reales!$C$39="PYG",IF(T$10&gt;0,N(Reales!T39)/T$10,0),N(Reales!T39)),T$168+T$169+T$176+T$177)</f>
        <v>0</v>
      </c>
      <c r="U187" s="34" t="n">
        <f aca="false">IF(U$8=1,IF(Reales!$C$39="PYG",IF(U$10&gt;0,N(Reales!U39)/U$10,0),N(Reales!U39)),U$168+U$169+U$176+U$177)</f>
        <v>0</v>
      </c>
      <c r="V187" s="34" t="n">
        <f aca="false">IF(V$8=1,IF(Reales!$C$39="PYG",IF(V$10&gt;0,N(Reales!V39)/V$10,0),N(Reales!V39)),V$168+V$169+V$176+V$177)</f>
        <v>0</v>
      </c>
      <c r="W187" s="34" t="n">
        <f aca="false">IF(W$8=1,IF(Reales!$C$39="PYG",IF(W$10&gt;0,N(Reales!W39)/W$10,0),N(Reales!W39)),W$168+W$169+W$176+W$177)</f>
        <v>0</v>
      </c>
      <c r="X187" s="34" t="n">
        <f aca="false">IF(X$8=1,IF(Reales!$C$39="PYG",IF(X$10&gt;0,N(Reales!X39)/X$10,0),N(Reales!X39)),X$168+X$169+X$176+X$177)</f>
        <v>0</v>
      </c>
      <c r="Y187" s="34" t="n">
        <f aca="false">IF(Y$8=1,IF(Reales!$C$39="PYG",IF(Y$10&gt;0,N(Reales!Y39)/Y$10,0),N(Reales!Y39)),Y$168+Y$169+Y$176+Y$177)</f>
        <v>0</v>
      </c>
      <c r="Z187" s="34" t="n">
        <f aca="false">IF(Z$8=1,IF(Reales!$C$39="PYG",IF(Z$10&gt;0,N(Reales!Z39)/Z$10,0),N(Reales!Z39)),Z$168+Z$169+Z$176+Z$177)</f>
        <v>0</v>
      </c>
      <c r="AA187" s="34" t="n">
        <f aca="false">IF(AA$8=1,IF(Reales!$C$39="PYG",IF(AA$10&gt;0,N(Reales!AA39)/AA$10,0),N(Reales!AA39)),AA$168+AA$169+AA$176+AA$177)</f>
        <v>0</v>
      </c>
      <c r="AB187" s="34" t="n">
        <f aca="false">IF(AB$8=1,IF(Reales!$C$39="PYG",IF(AB$10&gt;0,N(Reales!AB39)/AB$10,0),N(Reales!AB39)),AB$168+AB$169+AB$176+AB$177)</f>
        <v>0</v>
      </c>
      <c r="AC187" s="34" t="n">
        <f aca="false">IF(AC$8=1,IF(Reales!$C$39="PYG",IF(AC$10&gt;0,N(Reales!AC39)/AC$10,0),N(Reales!AC39)),AC$168+AC$169+AC$176+AC$177)</f>
        <v>0</v>
      </c>
      <c r="AD187" s="34" t="n">
        <f aca="false">IF(AD$8=1,IF(Reales!$C$39="PYG",IF(AD$10&gt;0,N(Reales!AD39)/AD$10,0),N(Reales!AD39)),AD$168+AD$169+AD$176+AD$177)</f>
        <v>0</v>
      </c>
      <c r="AE187" s="34" t="n">
        <f aca="false">IF(AE$8=1,IF(Reales!$C$39="PYG",IF(AE$10&gt;0,N(Reales!AE39)/AE$10,0),N(Reales!AE39)),AE$168+AE$169+AE$176+AE$177)</f>
        <v>0</v>
      </c>
      <c r="AF187" s="34" t="n">
        <f aca="false">IF(AF$8=1,IF(Reales!$C$39="PYG",IF(AF$10&gt;0,N(Reales!AF39)/AF$10,0),N(Reales!AF39)),AF$168+AF$169+AF$176+AF$177)</f>
        <v>0</v>
      </c>
      <c r="AG187" s="34" t="n">
        <f aca="false">IF(AG$8=1,IF(Reales!$C$39="PYG",IF(AG$10&gt;0,N(Reales!AG39)/AG$10,0),N(Reales!AG39)),AG$168+AG$169+AG$176+AG$177)</f>
        <v>0</v>
      </c>
      <c r="AH187" s="34" t="n">
        <f aca="false">IF(AH$8=1,IF(Reales!$C$39="PYG",IF(AH$10&gt;0,N(Reales!AH39)/AH$10,0),N(Reales!AH39)),AH$168+AH$169+AH$176+AH$177)</f>
        <v>0</v>
      </c>
      <c r="AI187" s="34" t="n">
        <f aca="false">IF(AI$8=1,IF(Reales!$C$39="PYG",IF(AI$10&gt;0,N(Reales!AI39)/AI$10,0),N(Reales!AI39)),AI$168+AI$169+AI$176+AI$177)</f>
        <v>0</v>
      </c>
      <c r="AJ187" s="34" t="n">
        <f aca="false">IF(AJ$8=1,IF(Reales!$C$39="PYG",IF(AJ$10&gt;0,N(Reales!AJ39)/AJ$10,0),N(Reales!AJ39)),AJ$168+AJ$169+AJ$176+AJ$177)</f>
        <v>0</v>
      </c>
      <c r="AK187" s="34" t="n">
        <f aca="false">IF(AK$8=1,IF(Reales!$C$39="PYG",IF(AK$10&gt;0,N(Reales!AK39)/AK$10,0),N(Reales!AK39)),AK$168+AK$169+AK$176+AK$177)</f>
        <v>0</v>
      </c>
      <c r="AL187" s="34" t="n">
        <f aca="false">IF(AL$8=1,IF(Reales!$C$39="PYG",IF(AL$10&gt;0,N(Reales!AL39)/AL$10,0),N(Reales!AL39)),AL$168+AL$169+AL$176+AL$177)</f>
        <v>0</v>
      </c>
      <c r="AM187" s="34" t="n">
        <f aca="false">IF(AM$8=1,IF(Reales!$C$39="PYG",IF(AM$10&gt;0,N(Reales!AM39)/AM$10,0),N(Reales!AM39)),AM$168+AM$169+AM$176+AM$177)</f>
        <v>0</v>
      </c>
      <c r="AN187" s="34" t="n">
        <f aca="false">IF(AN$8=1,IF(Reales!$C$39="PYG",IF(AN$10&gt;0,N(Reales!AN39)/AN$10,0),N(Reales!AN39)),AN$168+AN$169+AN$176+AN$177)</f>
        <v>0</v>
      </c>
      <c r="AO187" s="34" t="n">
        <f aca="false">IF(AO$8=1,IF(Reales!$C$39="PYG",IF(AO$10&gt;0,N(Reales!AO39)/AO$10,0),N(Reales!AO39)),AO$168+AO$169+AO$176+AO$177)</f>
        <v>0</v>
      </c>
      <c r="AP187" s="34" t="n">
        <f aca="false">IF(AP$8=1,IF(Reales!$C$39="PYG",IF(AP$10&gt;0,N(Reales!AP39)/AP$10,0),N(Reales!AP39)),AP$168+AP$169+AP$176+AP$177)</f>
        <v>0</v>
      </c>
      <c r="AQ187" s="34" t="n">
        <f aca="false">IF(AQ$8=1,IF(Reales!$C$39="PYG",IF(AQ$10&gt;0,N(Reales!AQ39)/AQ$10,0),N(Reales!AQ39)),AQ$168+AQ$169+AQ$176+AQ$177)</f>
        <v>0</v>
      </c>
      <c r="AR187" s="34" t="n">
        <f aca="false">IF(AR$8=1,IF(Reales!$C$39="PYG",IF(AR$10&gt;0,N(Reales!AR39)/AR$10,0),N(Reales!AR39)),AR$168+AR$169+AR$176+AR$177)</f>
        <v>0</v>
      </c>
      <c r="AS187" s="34" t="n">
        <f aca="false">IF(AS$8=1,IF(Reales!$C$39="PYG",IF(AS$10&gt;0,N(Reales!AS39)/AS$10,0),N(Reales!AS39)),AS$168+AS$169+AS$176+AS$177)</f>
        <v>0</v>
      </c>
      <c r="AT187" s="34" t="n">
        <f aca="false">IF(AT$8=1,IF(Reales!$C$39="PYG",IF(AT$10&gt;0,N(Reales!AT39)/AT$10,0),N(Reales!AT39)),AT$168+AT$169+AT$176+AT$177)</f>
        <v>0</v>
      </c>
      <c r="AU187" s="34" t="n">
        <f aca="false">IF(AU$8=1,IF(Reales!$C$39="PYG",IF(AU$10&gt;0,N(Reales!AU39)/AU$10,0),N(Reales!AU39)),AU$168+AU$169+AU$176+AU$177)</f>
        <v>0</v>
      </c>
      <c r="AV187" s="34" t="n">
        <f aca="false">IF(AV$8=1,IF(Reales!$C$39="PYG",IF(AV$10&gt;0,N(Reales!AV39)/AV$10,0),N(Reales!AV39)),AV$168+AV$169+AV$176+AV$177)</f>
        <v>0</v>
      </c>
      <c r="AW187" s="34" t="n">
        <f aca="false">IF(AW$8=1,IF(Reales!$C$39="PYG",IF(AW$10&gt;0,N(Reales!AW39)/AW$10,0),N(Reales!AW39)),AW$168+AW$169+AW$176+AW$177)</f>
        <v>0</v>
      </c>
      <c r="AX187" s="34" t="n">
        <f aca="false">IF(AX$8=1,IF(Reales!$C$39="PYG",IF(AX$10&gt;0,N(Reales!AX39)/AX$10,0),N(Reales!AX39)),AX$168+AX$169+AX$176+AX$177)</f>
        <v>0</v>
      </c>
      <c r="AY187" s="34" t="n">
        <f aca="false">IF(AY$8=1,IF(Reales!$C$39="PYG",IF(AY$10&gt;0,N(Reales!AY39)/AY$10,0),N(Reales!AY39)),AY$168+AY$169+AY$176+AY$177)</f>
        <v>0</v>
      </c>
      <c r="AZ187" s="34" t="n">
        <f aca="false">IF(AZ$8=1,IF(Reales!$C$39="PYG",IF(AZ$10&gt;0,N(Reales!AZ39)/AZ$10,0),N(Reales!AZ39)),AZ$168+AZ$169+AZ$176+AZ$177)</f>
        <v>0</v>
      </c>
      <c r="BA187" s="34" t="n">
        <f aca="false">IF(BA$8=1,IF(Reales!$C$39="PYG",IF(BA$10&gt;0,N(Reales!BA39)/BA$10,0),N(Reales!BA39)),BA$168+BA$169+BA$176+BA$177)</f>
        <v>0</v>
      </c>
      <c r="BB187" s="34" t="n">
        <f aca="false">IF(BB$8=1,IF(Reales!$C$39="PYG",IF(BB$10&gt;0,N(Reales!BB39)/BB$10,0),N(Reales!BB39)),BB$168+BB$169+BB$176+BB$177)</f>
        <v>0</v>
      </c>
      <c r="BC187" s="34" t="n">
        <f aca="false">IF(BC$8=1,IF(Reales!$C$39="PYG",IF(BC$10&gt;0,N(Reales!BC39)/BC$10,0),N(Reales!BC39)),BC$168+BC$169+BC$176+BC$177)</f>
        <v>0</v>
      </c>
      <c r="BD187" s="34" t="n">
        <f aca="false">IF(BD$8=1,IF(Reales!$C$39="PYG",IF(BD$10&gt;0,N(Reales!BD39)/BD$10,0),N(Reales!BD39)),BD$168+BD$169+BD$176+BD$177)</f>
        <v>0</v>
      </c>
      <c r="BE187" s="34" t="n">
        <f aca="false">IF(BE$8=1,IF(Reales!$C$39="PYG",IF(BE$10&gt;0,N(Reales!BE39)/BE$10,0),N(Reales!BE39)),BE$168+BE$169+BE$176+BE$177)</f>
        <v>0</v>
      </c>
      <c r="BF187" s="34" t="n">
        <f aca="false">IF(BF$8=1,IF(Reales!$C$39="PYG",IF(BF$10&gt;0,N(Reales!BF39)/BF$10,0),N(Reales!BF39)),BF$168+BF$169+BF$176+BF$177)</f>
        <v>0</v>
      </c>
      <c r="BG187" s="34" t="n">
        <f aca="false">IF(BG$8=1,IF(Reales!$C$39="PYG",IF(BG$10&gt;0,N(Reales!BG39)/BG$10,0),N(Reales!BG39)),BG$168+BG$169+BG$176+BG$177)</f>
        <v>0</v>
      </c>
      <c r="BH187" s="34" t="n">
        <f aca="false">IF(BH$8=1,IF(Reales!$C$39="PYG",IF(BH$10&gt;0,N(Reales!BH39)/BH$10,0),N(Reales!BH39)),BH$168+BH$169+BH$176+BH$177)</f>
        <v>0</v>
      </c>
      <c r="BI187" s="34" t="n">
        <f aca="false">IF(BI$8=1,IF(Reales!$C$39="PYG",IF(BI$10&gt;0,N(Reales!BI39)/BI$10,0),N(Reales!BI39)),BI$168+BI$169+BI$176+BI$177)</f>
        <v>0</v>
      </c>
      <c r="BJ187" s="34" t="n">
        <f aca="false">IF(BJ$8=1,IF(Reales!$C$39="PYG",IF(BJ$10&gt;0,N(Reales!BJ39)/BJ$10,0),N(Reales!BJ39)),BJ$168+BJ$169+BJ$176+BJ$177)</f>
        <v>0</v>
      </c>
      <c r="BK187" s="34" t="n">
        <f aca="false">IF(BK$8=1,IF(Reales!$C$39="PYG",IF(BK$10&gt;0,N(Reales!BK39)/BK$10,0),N(Reales!BK39)),BK$168+BK$169+BK$176+BK$177)</f>
        <v>0</v>
      </c>
      <c r="BL187" s="34" t="n">
        <f aca="false">IF(BL$8=1,IF(Reales!$C$39="PYG",IF(BL$10&gt;0,N(Reales!BL39)/BL$10,0),N(Reales!BL39)),BL$168+BL$169+BL$176+BL$177)</f>
        <v>0</v>
      </c>
      <c r="BM187" s="34" t="n">
        <f aca="false">IF(BM$8=1,IF(Reales!$C$39="PYG",IF(BM$10&gt;0,N(Reales!BM39)/BM$10,0),N(Reales!BM39)),BM$168+BM$169+BM$176+BM$177)</f>
        <v>0</v>
      </c>
      <c r="BN187" s="34" t="n">
        <f aca="false">IF(BN$8=1,IF(Reales!$C$39="PYG",IF(BN$10&gt;0,N(Reales!BN39)/BN$10,0),N(Reales!BN39)),BN$168+BN$169+BN$176+BN$177)</f>
        <v>0</v>
      </c>
      <c r="BO187" s="34" t="n">
        <f aca="false">IF(BO$8=1,IF(Reales!$C$39="PYG",IF(BO$10&gt;0,N(Reales!BO39)/BO$10,0),N(Reales!BO39)),BO$168+BO$169+BO$176+BO$177)</f>
        <v>0</v>
      </c>
      <c r="BP187" s="34" t="n">
        <f aca="false">IF(BP$8=1,IF(Reales!$C$39="PYG",IF(BP$10&gt;0,N(Reales!BP39)/BP$10,0),N(Reales!BP39)),BP$168+BP$169+BP$176+BP$177)</f>
        <v>0</v>
      </c>
      <c r="BQ187" s="34" t="n">
        <f aca="false">IF(BQ$8=1,IF(Reales!$C$39="PYG",IF(BQ$10&gt;0,N(Reales!BQ39)/BQ$10,0),N(Reales!BQ39)),BQ$168+BQ$169+BQ$176+BQ$177)</f>
        <v>0</v>
      </c>
      <c r="BR187" s="34" t="n">
        <f aca="false">IF(BR$8=1,IF(Reales!$C$39="PYG",IF(BR$10&gt;0,N(Reales!BR39)/BR$10,0),N(Reales!BR39)),BR$168+BR$169+BR$176+BR$177)</f>
        <v>0</v>
      </c>
      <c r="BS187" s="34" t="n">
        <f aca="false">IF(BS$8=1,IF(Reales!$C$39="PYG",IF(BS$10&gt;0,N(Reales!BS39)/BS$10,0),N(Reales!BS39)),BS$168+BS$169+BS$176+BS$177)</f>
        <v>0</v>
      </c>
      <c r="BT187" s="34" t="n">
        <f aca="false">IF(BT$8=1,IF(Reales!$C$39="PYG",IF(BT$10&gt;0,N(Reales!BT39)/BT$10,0),N(Reales!BT39)),BT$168+BT$169+BT$176+BT$177)</f>
        <v>0</v>
      </c>
      <c r="BU187" s="34" t="n">
        <f aca="false">IF(BU$8=1,IF(Reales!$C$39="PYG",IF(BU$10&gt;0,N(Reales!BU39)/BU$10,0),N(Reales!BU39)),BU$168+BU$169+BU$176+BU$177)</f>
        <v>0</v>
      </c>
      <c r="BV187" s="34" t="n">
        <f aca="false">IF(BV$8=1,IF(Reales!$C$39="PYG",IF(BV$10&gt;0,N(Reales!BV39)/BV$10,0),N(Reales!BV39)),BV$168+BV$169+BV$176+BV$177)</f>
        <v>0</v>
      </c>
      <c r="BW187" s="34" t="n">
        <f aca="false">IF(BW$8=1,IF(Reales!$C$39="PYG",IF(BW$10&gt;0,N(Reales!BW39)/BW$10,0),N(Reales!BW39)),BW$168+BW$169+BW$176+BW$177)</f>
        <v>0</v>
      </c>
      <c r="BX187" s="34" t="n">
        <f aca="false">IF(BX$8=1,IF(Reales!$C$39="PYG",IF(BX$10&gt;0,N(Reales!BX39)/BX$10,0),N(Reales!BX39)),BX$168+BX$169+BX$176+BX$177)</f>
        <v>0</v>
      </c>
      <c r="BY187" s="34" t="n">
        <f aca="false">IF(BY$8=1,IF(Reales!$C$39="PYG",IF(BY$10&gt;0,N(Reales!BY39)/BY$10,0),N(Reales!BY39)),BY$168+BY$169+BY$176+BY$177)</f>
        <v>0</v>
      </c>
      <c r="BZ187" s="34" t="n">
        <f aca="false">IF(BZ$8=1,IF(Reales!$C$39="PYG",IF(BZ$10&gt;0,N(Reales!BZ39)/BZ$10,0),N(Reales!BZ39)),BZ$168+BZ$169+BZ$176+BZ$177)</f>
        <v>0</v>
      </c>
      <c r="CA187" s="34" t="n">
        <f aca="false">IF(CA$8=1,IF(Reales!$C$39="PYG",IF(CA$10&gt;0,N(Reales!CA39)/CA$10,0),N(Reales!CA39)),CA$168+CA$169+CA$176+CA$177)</f>
        <v>0</v>
      </c>
      <c r="CB187" s="34" t="n">
        <f aca="false">IF(CB$8=1,IF(Reales!$C$39="PYG",IF(CB$10&gt;0,N(Reales!CB39)/CB$10,0),N(Reales!CB39)),CB$168+CB$169+CB$176+CB$177)</f>
        <v>0</v>
      </c>
      <c r="CC187" s="34" t="n">
        <f aca="false">IF(CC$8=1,IF(Reales!$C$39="PYG",IF(CC$10&gt;0,N(Reales!CC39)/CC$10,0),N(Reales!CC39)),CC$168+CC$169+CC$176+CC$177)</f>
        <v>0</v>
      </c>
      <c r="CD187" s="34" t="n">
        <f aca="false">IF(CD$8=1,IF(Reales!$C$39="PYG",IF(CD$10&gt;0,N(Reales!CD39)/CD$10,0),N(Reales!CD39)),CD$168+CD$169+CD$176+CD$177)</f>
        <v>0</v>
      </c>
      <c r="CE187" s="34" t="n">
        <f aca="false">IF(CE$8=1,IF(Reales!$C$39="PYG",IF(CE$10&gt;0,N(Reales!CE39)/CE$10,0),N(Reales!CE39)),CE$168+CE$169+CE$176+CE$177)</f>
        <v>0</v>
      </c>
      <c r="CF187" s="34" t="n">
        <f aca="false">IF(CF$8=1,IF(Reales!$C$39="PYG",IF(CF$10&gt;0,N(Reales!CF39)/CF$10,0),N(Reales!CF39)),CF$168+CF$169+CF$176+CF$177)</f>
        <v>0</v>
      </c>
      <c r="CG187" s="34" t="n">
        <f aca="false">IF(CG$8=1,IF(Reales!$C$39="PYG",IF(CG$10&gt;0,N(Reales!CG39)/CG$10,0),N(Reales!CG39)),CG$168+CG$169+CG$176+CG$177)</f>
        <v>0</v>
      </c>
      <c r="CH187" s="34" t="n">
        <f aca="false">IF(CH$8=1,IF(Reales!$C$39="PYG",IF(CH$10&gt;0,N(Reales!CH39)/CH$10,0),N(Reales!CH39)),CH$168+CH$169+CH$176+CH$177)</f>
        <v>0</v>
      </c>
      <c r="CI187" s="34" t="n">
        <f aca="false">IF(CI$8=1,IF(Reales!$C$39="PYG",IF(CI$10&gt;0,N(Reales!CI39)/CI$10,0),N(Reales!CI39)),CI$168+CI$169+CI$176+CI$177)</f>
        <v>0</v>
      </c>
      <c r="CJ187" s="34" t="n">
        <f aca="false">IF(CJ$8=1,IF(Reales!$C$39="PYG",IF(CJ$10&gt;0,N(Reales!CJ39)/CJ$10,0),N(Reales!CJ39)),CJ$168+CJ$169+CJ$176+CJ$177)</f>
        <v>0</v>
      </c>
      <c r="CK187" s="34" t="n">
        <f aca="false">IF(CK$8=1,IF(Reales!$C$39="PYG",IF(CK$10&gt;0,N(Reales!CK39)/CK$10,0),N(Reales!CK39)),CK$168+CK$169+CK$176+CK$177)</f>
        <v>0</v>
      </c>
      <c r="CL187" s="34" t="n">
        <f aca="false">IF(CL$8=1,IF(Reales!$C$39="PYG",IF(CL$10&gt;0,N(Reales!CL39)/CL$10,0),N(Reales!CL39)),CL$168+CL$169+CL$176+CL$177)</f>
        <v>0</v>
      </c>
      <c r="CM187" s="34" t="n">
        <f aca="false">IF(CM$8=1,IF(Reales!$C$39="PYG",IF(CM$10&gt;0,N(Reales!CM39)/CM$10,0),N(Reales!CM39)),CM$168+CM$169+CM$176+CM$177)</f>
        <v>0</v>
      </c>
      <c r="CN187" s="34" t="n">
        <f aca="false">IF(CN$8=1,IF(Reales!$C$39="PYG",IF(CN$10&gt;0,N(Reales!CN39)/CN$10,0),N(Reales!CN39)),CN$168+CN$169+CN$176+CN$177)</f>
        <v>0</v>
      </c>
      <c r="CO187" s="34" t="n">
        <f aca="false">IF(CO$8=1,IF(Reales!$C$39="PYG",IF(CO$10&gt;0,N(Reales!CO39)/CO$10,0),N(Reales!CO39)),CO$168+CO$169+CO$176+CO$177)</f>
        <v>0</v>
      </c>
      <c r="CP187" s="34" t="n">
        <f aca="false">IF(CP$8=1,IF(Reales!$C$39="PYG",IF(CP$10&gt;0,N(Reales!CP39)/CP$10,0),N(Reales!CP39)),CP$168+CP$169+CP$176+CP$177)</f>
        <v>0</v>
      </c>
      <c r="CQ187" s="34" t="n">
        <f aca="false">IF(CQ$8=1,IF(Reales!$C$39="PYG",IF(CQ$10&gt;0,N(Reales!CQ39)/CQ$10,0),N(Reales!CQ39)),CQ$168+CQ$169+CQ$176+CQ$177)</f>
        <v>0</v>
      </c>
      <c r="CR187" s="34" t="n">
        <f aca="false">IF(CR$8=1,IF(Reales!$C$39="PYG",IF(CR$10&gt;0,N(Reales!CR39)/CR$10,0),N(Reales!CR39)),CR$168+CR$169+CR$176+CR$177)</f>
        <v>0</v>
      </c>
      <c r="CS187" s="34" t="n">
        <f aca="false">IF(CS$8=1,IF(Reales!$C$39="PYG",IF(CS$10&gt;0,N(Reales!CS39)/CS$10,0),N(Reales!CS39)),CS$168+CS$169+CS$176+CS$177)</f>
        <v>0</v>
      </c>
      <c r="CT187" s="34" t="n">
        <f aca="false">IF(CT$8=1,IF(Reales!$C$39="PYG",IF(CT$10&gt;0,N(Reales!CT39)/CT$10,0),N(Reales!CT39)),CT$168+CT$169+CT$176+CT$177)</f>
        <v>0</v>
      </c>
      <c r="CU187" s="34" t="n">
        <f aca="false">IF(CU$8=1,IF(Reales!$C$39="PYG",IF(CU$10&gt;0,N(Reales!CU39)/CU$10,0),N(Reales!CU39)),CU$168+CU$169+CU$176+CU$177)</f>
        <v>0</v>
      </c>
      <c r="CV187" s="34" t="n">
        <f aca="false">IF(CV$8=1,IF(Reales!$C$39="PYG",IF(CV$10&gt;0,N(Reales!CV39)/CV$10,0),N(Reales!CV39)),CV$168+CV$169+CV$176+CV$177)</f>
        <v>0</v>
      </c>
      <c r="CW187" s="34" t="n">
        <f aca="false">IF(CW$8=1,IF(Reales!$C$39="PYG",IF(CW$10&gt;0,N(Reales!CW39)/CW$10,0),N(Reales!CW39)),CW$168+CW$169+CW$176+CW$177)</f>
        <v>0</v>
      </c>
      <c r="CX187" s="34" t="n">
        <f aca="false">IF(CX$8=1,IF(Reales!$C$39="PYG",IF(CX$10&gt;0,N(Reales!CX39)/CX$10,0),N(Reales!CX39)),CX$168+CX$169+CX$176+CX$177)</f>
        <v>0</v>
      </c>
      <c r="CY187" s="34" t="n">
        <f aca="false">IF(CY$8=1,IF(Reales!$C$39="PYG",IF(CY$10&gt;0,N(Reales!CY39)/CY$10,0),N(Reales!CY39)),CY$168+CY$169+CY$176+CY$177)</f>
        <v>0</v>
      </c>
      <c r="CZ187" s="34" t="n">
        <f aca="false">IF(CZ$8=1,IF(Reales!$C$39="PYG",IF(CZ$10&gt;0,N(Reales!CZ39)/CZ$10,0),N(Reales!CZ39)),CZ$168+CZ$169+CZ$176+CZ$177)</f>
        <v>0</v>
      </c>
      <c r="DA187" s="34" t="n">
        <f aca="false">IF(DA$8=1,IF(Reales!$C$39="PYG",IF(DA$10&gt;0,N(Reales!DA39)/DA$10,0),N(Reales!DA39)),DA$168+DA$169+DA$176+DA$177)</f>
        <v>0</v>
      </c>
      <c r="DB187" s="34" t="n">
        <f aca="false">IF(DB$8=1,IF(Reales!$C$39="PYG",IF(DB$10&gt;0,N(Reales!DB39)/DB$10,0),N(Reales!DB39)),DB$168+DB$169+DB$176+DB$177)</f>
        <v>0</v>
      </c>
      <c r="DC187" s="34" t="n">
        <f aca="false">IF(DC$8=1,IF(Reales!$C$39="PYG",IF(DC$10&gt;0,N(Reales!DC39)/DC$10,0),N(Reales!DC39)),DC$168+DC$169+DC$176+DC$177)</f>
        <v>0</v>
      </c>
      <c r="DD187" s="34" t="n">
        <f aca="false">IF(DD$8=1,IF(Reales!$C$39="PYG",IF(DD$10&gt;0,N(Reales!DD39)/DD$10,0),N(Reales!DD39)),DD$168+DD$169+DD$176+DD$177)</f>
        <v>0</v>
      </c>
      <c r="DE187" s="34" t="n">
        <f aca="false">IF(DE$8=1,IF(Reales!$C$39="PYG",IF(DE$10&gt;0,N(Reales!DE39)/DE$10,0),N(Reales!DE39)),DE$168+DE$169+DE$176+DE$177)</f>
        <v>0</v>
      </c>
      <c r="DF187" s="34" t="n">
        <f aca="false">IF(DF$8=1,IF(Reales!$C$39="PYG",IF(DF$10&gt;0,N(Reales!DF39)/DF$10,0),N(Reales!DF39)),DF$168+DF$169+DF$176+DF$177)</f>
        <v>0</v>
      </c>
      <c r="DG187" s="34" t="n">
        <f aca="false">IF(DG$8=1,IF(Reales!$C$39="PYG",IF(DG$10&gt;0,N(Reales!DG39)/DG$10,0),N(Reales!DG39)),DG$168+DG$169+DG$176+DG$177)</f>
        <v>0</v>
      </c>
      <c r="DH187" s="34" t="n">
        <f aca="false">IF(DH$8=1,IF(Reales!$C$39="PYG",IF(DH$10&gt;0,N(Reales!DH39)/DH$10,0),N(Reales!DH39)),DH$168+DH$169+DH$176+DH$177)</f>
        <v>0</v>
      </c>
      <c r="DI187" s="34" t="n">
        <f aca="false">IF(DI$8=1,IF(Reales!$C$39="PYG",IF(DI$10&gt;0,N(Reales!DI39)/DI$10,0),N(Reales!DI39)),DI$168+DI$169+DI$176+DI$177)</f>
        <v>0</v>
      </c>
      <c r="DJ187" s="34" t="n">
        <f aca="false">IF(DJ$8=1,IF(Reales!$C$39="PYG",IF(DJ$10&gt;0,N(Reales!DJ39)/DJ$10,0),N(Reales!DJ39)),DJ$168+DJ$169+DJ$176+DJ$177)</f>
        <v>0</v>
      </c>
      <c r="DK187" s="34" t="n">
        <f aca="false">IF(DK$8=1,IF(Reales!$C$39="PYG",IF(DK$10&gt;0,N(Reales!DK39)/DK$10,0),N(Reales!DK39)),DK$168+DK$169+DK$176+DK$177)</f>
        <v>0</v>
      </c>
      <c r="DL187" s="34" t="n">
        <f aca="false">IF(DL$8=1,IF(Reales!$C$39="PYG",IF(DL$10&gt;0,N(Reales!DL39)/DL$10,0),N(Reales!DL39)),DL$168+DL$169+DL$176+DL$177)</f>
        <v>0</v>
      </c>
      <c r="DM187" s="34" t="n">
        <f aca="false">IF(DM$8=1,IF(Reales!$C$39="PYG",IF(DM$10&gt;0,N(Reales!DM39)/DM$10,0),N(Reales!DM39)),DM$168+DM$169+DM$176+DM$177)</f>
        <v>0</v>
      </c>
      <c r="DN187" s="34" t="n">
        <f aca="false">IF(DN$8=1,IF(Reales!$C$39="PYG",IF(DN$10&gt;0,N(Reales!DN39)/DN$10,0),N(Reales!DN39)),DN$168+DN$169+DN$176+DN$177)</f>
        <v>0</v>
      </c>
      <c r="DO187" s="34" t="n">
        <f aca="false">IF(DO$8=1,IF(Reales!$C$39="PYG",IF(DO$10&gt;0,N(Reales!DO39)/DO$10,0),N(Reales!DO39)),DO$168+DO$169+DO$176+DO$177)</f>
        <v>0</v>
      </c>
      <c r="DP187" s="34" t="n">
        <f aca="false">IF(DP$8=1,IF(Reales!$C$39="PYG",IF(DP$10&gt;0,N(Reales!DP39)/DP$10,0),N(Reales!DP39)),DP$168+DP$169+DP$176+DP$177)</f>
        <v>0</v>
      </c>
      <c r="DQ187" s="34" t="n">
        <f aca="false">IF(DQ$8=1,IF(Reales!$C$39="PYG",IF(DQ$10&gt;0,N(Reales!DQ39)/DQ$10,0),N(Reales!DQ39)),DQ$168+DQ$169+DQ$176+DQ$177)</f>
        <v>0</v>
      </c>
      <c r="DR187" s="34" t="n">
        <f aca="false">IF(DR$8=1,IF(Reales!$C$39="PYG",IF(DR$10&gt;0,N(Reales!DR39)/DR$10,0),N(Reales!DR39)),DR$168+DR$169+DR$176+DR$177)</f>
        <v>0</v>
      </c>
      <c r="DS187" s="34" t="n">
        <f aca="false">IF(DS$8=1,IF(Reales!$C$39="PYG",IF(DS$10&gt;0,N(Reales!DS39)/DS$10,0),N(Reales!DS39)),DS$168+DS$169+DS$176+DS$177)</f>
        <v>0</v>
      </c>
      <c r="DT187" s="34" t="n">
        <f aca="false">IF(DT$8=1,IF(Reales!$C$39="PYG",IF(DT$10&gt;0,N(Reales!DT39)/DT$10,0),N(Reales!DT39)),DT$168+DT$169+DT$176+DT$177)</f>
        <v>0</v>
      </c>
      <c r="DU187" s="34" t="n">
        <f aca="false">IF(DU$8=1,IF(Reales!$C$39="PYG",IF(DU$10&gt;0,N(Reales!DU39)/DU$10,0),N(Reales!DU39)),DU$168+DU$169+DU$176+DU$177)</f>
        <v>0</v>
      </c>
      <c r="DV187" s="34" t="n">
        <f aca="false">IF(DV$8=1,IF(Reales!$C$39="PYG",IF(DV$10&gt;0,N(Reales!DV39)/DV$10,0),N(Reales!DV39)),DV$168+DV$169+DV$176+DV$177)</f>
        <v>0</v>
      </c>
      <c r="DW187" s="34" t="n">
        <f aca="false">IF(DW$8=1,IF(Reales!$C$39="PYG",IF(DW$10&gt;0,N(Reales!DW39)/DW$10,0),N(Reales!DW39)),DW$168+DW$169+DW$176+DW$177)</f>
        <v>0</v>
      </c>
      <c r="DX187" s="34" t="n">
        <f aca="false">IF(DX$8=1,IF(Reales!$C$39="PYG",IF(DX$10&gt;0,N(Reales!DX39)/DX$10,0),N(Reales!DX39)),DX$168+DX$169+DX$176+DX$177)</f>
        <v>0</v>
      </c>
      <c r="DY187" s="34" t="n">
        <f aca="false">IF(DY$8=1,IF(Reales!$C$39="PYG",IF(DY$10&gt;0,N(Reales!DY39)/DY$10,0),N(Reales!DY39)),DY$168+DY$169+DY$176+DY$177)</f>
        <v>0</v>
      </c>
      <c r="DZ187" s="34" t="n">
        <f aca="false">IF(DZ$8=1,IF(Reales!$C$39="PYG",IF(DZ$10&gt;0,N(Reales!DZ39)/DZ$10,0),N(Reales!DZ39)),DZ$168+DZ$169+DZ$176+DZ$177)</f>
        <v>0</v>
      </c>
      <c r="EA187" s="34" t="n">
        <f aca="false">IF(EA$8=1,IF(Reales!$C$39="PYG",IF(EA$10&gt;0,N(Reales!EA39)/EA$10,0),N(Reales!EA39)),EA$168+EA$169+EA$176+EA$177)</f>
        <v>0</v>
      </c>
      <c r="EB187" s="34" t="n">
        <f aca="false">IF(EB$8=1,IF(Reales!$C$39="PYG",IF(EB$10&gt;0,N(Reales!EB39)/EB$10,0),N(Reales!EB39)),EB$168+EB$169+EB$176+EB$177)</f>
        <v>0</v>
      </c>
      <c r="EC187" s="34" t="n">
        <f aca="false">IF(EC$8=1,IF(Reales!$C$39="PYG",IF(EC$10&gt;0,N(Reales!EC39)/EC$10,0),N(Reales!EC39)),EC$168+EC$169+EC$176+EC$177)</f>
        <v>0</v>
      </c>
      <c r="ED187" s="34" t="n">
        <f aca="false">IF(ED$8=1,IF(Reales!$C$39="PYG",IF(ED$10&gt;0,N(Reales!ED39)/ED$10,0),N(Reales!ED39)),ED$168+ED$169+ED$176+ED$177)</f>
        <v>0</v>
      </c>
      <c r="EE187" s="34" t="n">
        <f aca="false">IF(EE$8=1,IF(Reales!$C$39="PYG",IF(EE$10&gt;0,N(Reales!EE39)/EE$10,0),N(Reales!EE39)),EE$168+EE$169+EE$176+EE$177)</f>
        <v>0</v>
      </c>
      <c r="EF187" s="34" t="n">
        <f aca="false">IF(EF$8=1,IF(Reales!$C$39="PYG",IF(EF$10&gt;0,N(Reales!EF39)/EF$10,0),N(Reales!EF39)),EF$168+EF$169+EF$176+EF$177)</f>
        <v>0</v>
      </c>
      <c r="EG187" s="34" t="n">
        <f aca="false">IF(EG$8=1,IF(Reales!$C$39="PYG",IF(EG$10&gt;0,N(Reales!EG39)/EG$10,0),N(Reales!EG39)),EG$168+EG$169+EG$176+EG$177)</f>
        <v>0</v>
      </c>
      <c r="EH187" s="34" t="n">
        <f aca="false">IF(EH$8=1,IF(Reales!$C$39="PYG",IF(EH$10&gt;0,N(Reales!EH39)/EH$10,0),N(Reales!EH39)),EH$168+EH$169+EH$176+EH$177)</f>
        <v>0</v>
      </c>
      <c r="EI187" s="34" t="n">
        <f aca="false">IF(EI$8=1,IF(Reales!$C$39="PYG",IF(EI$10&gt;0,N(Reales!EI39)/EI$10,0),N(Reales!EI39)),EI$168+EI$169+EI$176+EI$177)</f>
        <v>0</v>
      </c>
      <c r="EJ187" s="34" t="n">
        <f aca="false">IF(EJ$8=1,IF(Reales!$C$39="PYG",IF(EJ$10&gt;0,N(Reales!EJ39)/EJ$10,0),N(Reales!EJ39)),EJ$168+EJ$169+EJ$176+EJ$177)</f>
        <v>0</v>
      </c>
      <c r="EK187" s="34" t="n">
        <f aca="false">IF(EK$8=1,IF(Reales!$C$39="PYG",IF(EK$10&gt;0,N(Reales!EK39)/EK$10,0),N(Reales!EK39)),EK$168+EK$169+EK$176+EK$177)</f>
        <v>0</v>
      </c>
      <c r="EL187" s="34" t="n">
        <f aca="false">IF(EL$8=1,IF(Reales!$C$39="PYG",IF(EL$10&gt;0,N(Reales!EL39)/EL$10,0),N(Reales!EL39)),EL$168+EL$169+EL$176+EL$177)</f>
        <v>0</v>
      </c>
      <c r="EM187" s="34" t="n">
        <f aca="false">IF(EM$8=1,IF(Reales!$C$39="PYG",IF(EM$10&gt;0,N(Reales!EM39)/EM$10,0),N(Reales!EM39)),EM$168+EM$169+EM$176+EM$177)</f>
        <v>0</v>
      </c>
      <c r="EN187" s="34" t="n">
        <f aca="false">IF(EN$8=1,IF(Reales!$C$39="PYG",IF(EN$10&gt;0,N(Reales!EN39)/EN$10,0),N(Reales!EN39)),EN$168+EN$169+EN$176+EN$177)</f>
        <v>0</v>
      </c>
      <c r="EO187" s="34" t="n">
        <f aca="false">IF(EO$8=1,IF(Reales!$C$39="PYG",IF(EO$10&gt;0,N(Reales!EO39)/EO$10,0),N(Reales!EO39)),EO$168+EO$169+EO$176+EO$177)</f>
        <v>0</v>
      </c>
      <c r="EP187" s="34" t="n">
        <f aca="false">IF(EP$8=1,IF(Reales!$C$39="PYG",IF(EP$10&gt;0,N(Reales!EP39)/EP$10,0),N(Reales!EP39)),EP$168+EP$169+EP$176+EP$177)</f>
        <v>0</v>
      </c>
      <c r="EQ187" s="34" t="n">
        <f aca="false">IF(EQ$8=1,IF(Reales!$C$39="PYG",IF(EQ$10&gt;0,N(Reales!EQ39)/EQ$10,0),N(Reales!EQ39)),EQ$168+EQ$169+EQ$176+EQ$177)</f>
        <v>0</v>
      </c>
      <c r="ER187" s="34" t="n">
        <f aca="false">IF(ER$8=1,IF(Reales!$C$39="PYG",IF(ER$10&gt;0,N(Reales!ER39)/ER$10,0),N(Reales!ER39)),ER$168+ER$169+ER$176+ER$177)</f>
        <v>0</v>
      </c>
      <c r="ES187" s="34" t="n">
        <f aca="false">IF(ES$8=1,IF(Reales!$C$39="PYG",IF(ES$10&gt;0,N(Reales!ES39)/ES$10,0),N(Reales!ES39)),ES$168+ES$169+ES$176+ES$177)</f>
        <v>0</v>
      </c>
    </row>
    <row r="188" customFormat="false" ht="15" hidden="false" customHeight="false" outlineLevel="0" collapsed="false">
      <c r="A188" s="2" t="s">
        <v>665</v>
      </c>
      <c r="B188" s="6" t="s">
        <v>503</v>
      </c>
      <c r="C188" s="6" t="s">
        <v>212</v>
      </c>
      <c r="E188" s="40" t="n">
        <f aca="false">SUM(F188:ES188)</f>
        <v>0</v>
      </c>
      <c r="F188" s="34" t="n">
        <f aca="false">IF(F$8=1,IF(Reales!$C$40="PYG",IF(F$10&gt;0,N(Reales!F40)/F$10,0),N(Reales!F40)),F$171+F$173)</f>
        <v>0</v>
      </c>
      <c r="G188" s="34" t="n">
        <f aca="false">IF(G$8=1,IF(Reales!$C$40="PYG",IF(G$10&gt;0,N(Reales!G40)/G$10,0),N(Reales!G40)),G$171+G$173)</f>
        <v>0</v>
      </c>
      <c r="H188" s="34" t="n">
        <f aca="false">IF(H$8=1,IF(Reales!$C$40="PYG",IF(H$10&gt;0,N(Reales!H40)/H$10,0),N(Reales!H40)),H$171+H$173)</f>
        <v>0</v>
      </c>
      <c r="I188" s="34" t="n">
        <f aca="false">IF(I$8=1,IF(Reales!$C$40="PYG",IF(I$10&gt;0,N(Reales!I40)/I$10,0),N(Reales!I40)),I$171+I$173)</f>
        <v>0</v>
      </c>
      <c r="J188" s="34" t="n">
        <f aca="false">IF(J$8=1,IF(Reales!$C$40="PYG",IF(J$10&gt;0,N(Reales!J40)/J$10,0),N(Reales!J40)),J$171+J$173)</f>
        <v>0</v>
      </c>
      <c r="K188" s="34" t="n">
        <f aca="false">IF(K$8=1,IF(Reales!$C$40="PYG",IF(K$10&gt;0,N(Reales!K40)/K$10,0),N(Reales!K40)),K$171+K$173)</f>
        <v>0</v>
      </c>
      <c r="L188" s="34" t="n">
        <f aca="false">IF(L$8=1,IF(Reales!$C$40="PYG",IF(L$10&gt;0,N(Reales!L40)/L$10,0),N(Reales!L40)),L$171+L$173)</f>
        <v>0</v>
      </c>
      <c r="M188" s="34" t="n">
        <f aca="false">IF(M$8=1,IF(Reales!$C$40="PYG",IF(M$10&gt;0,N(Reales!M40)/M$10,0),N(Reales!M40)),M$171+M$173)</f>
        <v>0</v>
      </c>
      <c r="N188" s="34" t="n">
        <f aca="false">IF(N$8=1,IF(Reales!$C$40="PYG",IF(N$10&gt;0,N(Reales!N40)/N$10,0),N(Reales!N40)),N$171+N$173)</f>
        <v>0</v>
      </c>
      <c r="O188" s="34" t="n">
        <f aca="false">IF(O$8=1,IF(Reales!$C$40="PYG",IF(O$10&gt;0,N(Reales!O40)/O$10,0),N(Reales!O40)),O$171+O$173)</f>
        <v>0</v>
      </c>
      <c r="P188" s="34" t="n">
        <f aca="false">IF(P$8=1,IF(Reales!$C$40="PYG",IF(P$10&gt;0,N(Reales!P40)/P$10,0),N(Reales!P40)),P$171+P$173)</f>
        <v>0</v>
      </c>
      <c r="Q188" s="34" t="n">
        <f aca="false">IF(Q$8=1,IF(Reales!$C$40="PYG",IF(Q$10&gt;0,N(Reales!Q40)/Q$10,0),N(Reales!Q40)),Q$171+Q$173)</f>
        <v>0</v>
      </c>
      <c r="R188" s="34" t="n">
        <f aca="false">IF(R$8=1,IF(Reales!$C$40="PYG",IF(R$10&gt;0,N(Reales!R40)/R$10,0),N(Reales!R40)),R$171+R$173)</f>
        <v>0</v>
      </c>
      <c r="S188" s="34" t="n">
        <f aca="false">IF(S$8=1,IF(Reales!$C$40="PYG",IF(S$10&gt;0,N(Reales!S40)/S$10,0),N(Reales!S40)),S$171+S$173)</f>
        <v>0</v>
      </c>
      <c r="T188" s="34" t="n">
        <f aca="false">IF(T$8=1,IF(Reales!$C$40="PYG",IF(T$10&gt;0,N(Reales!T40)/T$10,0),N(Reales!T40)),T$171+T$173)</f>
        <v>0</v>
      </c>
      <c r="U188" s="34" t="n">
        <f aca="false">IF(U$8=1,IF(Reales!$C$40="PYG",IF(U$10&gt;0,N(Reales!U40)/U$10,0),N(Reales!U40)),U$171+U$173)</f>
        <v>0</v>
      </c>
      <c r="V188" s="34" t="n">
        <f aca="false">IF(V$8=1,IF(Reales!$C$40="PYG",IF(V$10&gt;0,N(Reales!V40)/V$10,0),N(Reales!V40)),V$171+V$173)</f>
        <v>0</v>
      </c>
      <c r="W188" s="34" t="n">
        <f aca="false">IF(W$8=1,IF(Reales!$C$40="PYG",IF(W$10&gt;0,N(Reales!W40)/W$10,0),N(Reales!W40)),W$171+W$173)</f>
        <v>0</v>
      </c>
      <c r="X188" s="34" t="n">
        <f aca="false">IF(X$8=1,IF(Reales!$C$40="PYG",IF(X$10&gt;0,N(Reales!X40)/X$10,0),N(Reales!X40)),X$171+X$173)</f>
        <v>0</v>
      </c>
      <c r="Y188" s="34" t="n">
        <f aca="false">IF(Y$8=1,IF(Reales!$C$40="PYG",IF(Y$10&gt;0,N(Reales!Y40)/Y$10,0),N(Reales!Y40)),Y$171+Y$173)</f>
        <v>0</v>
      </c>
      <c r="Z188" s="34" t="n">
        <f aca="false">IF(Z$8=1,IF(Reales!$C$40="PYG",IF(Z$10&gt;0,N(Reales!Z40)/Z$10,0),N(Reales!Z40)),Z$171+Z$173)</f>
        <v>0</v>
      </c>
      <c r="AA188" s="34" t="n">
        <f aca="false">IF(AA$8=1,IF(Reales!$C$40="PYG",IF(AA$10&gt;0,N(Reales!AA40)/AA$10,0),N(Reales!AA40)),AA$171+AA$173)</f>
        <v>0</v>
      </c>
      <c r="AB188" s="34" t="n">
        <f aca="false">IF(AB$8=1,IF(Reales!$C$40="PYG",IF(AB$10&gt;0,N(Reales!AB40)/AB$10,0),N(Reales!AB40)),AB$171+AB$173)</f>
        <v>0</v>
      </c>
      <c r="AC188" s="34" t="n">
        <f aca="false">IF(AC$8=1,IF(Reales!$C$40="PYG",IF(AC$10&gt;0,N(Reales!AC40)/AC$10,0),N(Reales!AC40)),AC$171+AC$173)</f>
        <v>0</v>
      </c>
      <c r="AD188" s="34" t="n">
        <f aca="false">IF(AD$8=1,IF(Reales!$C$40="PYG",IF(AD$10&gt;0,N(Reales!AD40)/AD$10,0),N(Reales!AD40)),AD$171+AD$173)</f>
        <v>0</v>
      </c>
      <c r="AE188" s="34" t="n">
        <f aca="false">IF(AE$8=1,IF(Reales!$C$40="PYG",IF(AE$10&gt;0,N(Reales!AE40)/AE$10,0),N(Reales!AE40)),AE$171+AE$173)</f>
        <v>0</v>
      </c>
      <c r="AF188" s="34" t="n">
        <f aca="false">IF(AF$8=1,IF(Reales!$C$40="PYG",IF(AF$10&gt;0,N(Reales!AF40)/AF$10,0),N(Reales!AF40)),AF$171+AF$173)</f>
        <v>0</v>
      </c>
      <c r="AG188" s="34" t="n">
        <f aca="false">IF(AG$8=1,IF(Reales!$C$40="PYG",IF(AG$10&gt;0,N(Reales!AG40)/AG$10,0),N(Reales!AG40)),AG$171+AG$173)</f>
        <v>0</v>
      </c>
      <c r="AH188" s="34" t="n">
        <f aca="false">IF(AH$8=1,IF(Reales!$C$40="PYG",IF(AH$10&gt;0,N(Reales!AH40)/AH$10,0),N(Reales!AH40)),AH$171+AH$173)</f>
        <v>0</v>
      </c>
      <c r="AI188" s="34" t="n">
        <f aca="false">IF(AI$8=1,IF(Reales!$C$40="PYG",IF(AI$10&gt;0,N(Reales!AI40)/AI$10,0),N(Reales!AI40)),AI$171+AI$173)</f>
        <v>0</v>
      </c>
      <c r="AJ188" s="34" t="n">
        <f aca="false">IF(AJ$8=1,IF(Reales!$C$40="PYG",IF(AJ$10&gt;0,N(Reales!AJ40)/AJ$10,0),N(Reales!AJ40)),AJ$171+AJ$173)</f>
        <v>0</v>
      </c>
      <c r="AK188" s="34" t="n">
        <f aca="false">IF(AK$8=1,IF(Reales!$C$40="PYG",IF(AK$10&gt;0,N(Reales!AK40)/AK$10,0),N(Reales!AK40)),AK$171+AK$173)</f>
        <v>0</v>
      </c>
      <c r="AL188" s="34" t="n">
        <f aca="false">IF(AL$8=1,IF(Reales!$C$40="PYG",IF(AL$10&gt;0,N(Reales!AL40)/AL$10,0),N(Reales!AL40)),AL$171+AL$173)</f>
        <v>0</v>
      </c>
      <c r="AM188" s="34" t="n">
        <f aca="false">IF(AM$8=1,IF(Reales!$C$40="PYG",IF(AM$10&gt;0,N(Reales!AM40)/AM$10,0),N(Reales!AM40)),AM$171+AM$173)</f>
        <v>0</v>
      </c>
      <c r="AN188" s="34" t="n">
        <f aca="false">IF(AN$8=1,IF(Reales!$C$40="PYG",IF(AN$10&gt;0,N(Reales!AN40)/AN$10,0),N(Reales!AN40)),AN$171+AN$173)</f>
        <v>0</v>
      </c>
      <c r="AO188" s="34" t="n">
        <f aca="false">IF(AO$8=1,IF(Reales!$C$40="PYG",IF(AO$10&gt;0,N(Reales!AO40)/AO$10,0),N(Reales!AO40)),AO$171+AO$173)</f>
        <v>0</v>
      </c>
      <c r="AP188" s="34" t="n">
        <f aca="false">IF(AP$8=1,IF(Reales!$C$40="PYG",IF(AP$10&gt;0,N(Reales!AP40)/AP$10,0),N(Reales!AP40)),AP$171+AP$173)</f>
        <v>0</v>
      </c>
      <c r="AQ188" s="34" t="n">
        <f aca="false">IF(AQ$8=1,IF(Reales!$C$40="PYG",IF(AQ$10&gt;0,N(Reales!AQ40)/AQ$10,0),N(Reales!AQ40)),AQ$171+AQ$173)</f>
        <v>0</v>
      </c>
      <c r="AR188" s="34" t="n">
        <f aca="false">IF(AR$8=1,IF(Reales!$C$40="PYG",IF(AR$10&gt;0,N(Reales!AR40)/AR$10,0),N(Reales!AR40)),AR$171+AR$173)</f>
        <v>0</v>
      </c>
      <c r="AS188" s="34" t="n">
        <f aca="false">IF(AS$8=1,IF(Reales!$C$40="PYG",IF(AS$10&gt;0,N(Reales!AS40)/AS$10,0),N(Reales!AS40)),AS$171+AS$173)</f>
        <v>0</v>
      </c>
      <c r="AT188" s="34" t="n">
        <f aca="false">IF(AT$8=1,IF(Reales!$C$40="PYG",IF(AT$10&gt;0,N(Reales!AT40)/AT$10,0),N(Reales!AT40)),AT$171+AT$173)</f>
        <v>0</v>
      </c>
      <c r="AU188" s="34" t="n">
        <f aca="false">IF(AU$8=1,IF(Reales!$C$40="PYG",IF(AU$10&gt;0,N(Reales!AU40)/AU$10,0),N(Reales!AU40)),AU$171+AU$173)</f>
        <v>0</v>
      </c>
      <c r="AV188" s="34" t="n">
        <f aca="false">IF(AV$8=1,IF(Reales!$C$40="PYG",IF(AV$10&gt;0,N(Reales!AV40)/AV$10,0),N(Reales!AV40)),AV$171+AV$173)</f>
        <v>0</v>
      </c>
      <c r="AW188" s="34" t="n">
        <f aca="false">IF(AW$8=1,IF(Reales!$C$40="PYG",IF(AW$10&gt;0,N(Reales!AW40)/AW$10,0),N(Reales!AW40)),AW$171+AW$173)</f>
        <v>0</v>
      </c>
      <c r="AX188" s="34" t="n">
        <f aca="false">IF(AX$8=1,IF(Reales!$C$40="PYG",IF(AX$10&gt;0,N(Reales!AX40)/AX$10,0),N(Reales!AX40)),AX$171+AX$173)</f>
        <v>0</v>
      </c>
      <c r="AY188" s="34" t="n">
        <f aca="false">IF(AY$8=1,IF(Reales!$C$40="PYG",IF(AY$10&gt;0,N(Reales!AY40)/AY$10,0),N(Reales!AY40)),AY$171+AY$173)</f>
        <v>0</v>
      </c>
      <c r="AZ188" s="34" t="n">
        <f aca="false">IF(AZ$8=1,IF(Reales!$C$40="PYG",IF(AZ$10&gt;0,N(Reales!AZ40)/AZ$10,0),N(Reales!AZ40)),AZ$171+AZ$173)</f>
        <v>0</v>
      </c>
      <c r="BA188" s="34" t="n">
        <f aca="false">IF(BA$8=1,IF(Reales!$C$40="PYG",IF(BA$10&gt;0,N(Reales!BA40)/BA$10,0),N(Reales!BA40)),BA$171+BA$173)</f>
        <v>0</v>
      </c>
      <c r="BB188" s="34" t="n">
        <f aca="false">IF(BB$8=1,IF(Reales!$C$40="PYG",IF(BB$10&gt;0,N(Reales!BB40)/BB$10,0),N(Reales!BB40)),BB$171+BB$173)</f>
        <v>0</v>
      </c>
      <c r="BC188" s="34" t="n">
        <f aca="false">IF(BC$8=1,IF(Reales!$C$40="PYG",IF(BC$10&gt;0,N(Reales!BC40)/BC$10,0),N(Reales!BC40)),BC$171+BC$173)</f>
        <v>0</v>
      </c>
      <c r="BD188" s="34" t="n">
        <f aca="false">IF(BD$8=1,IF(Reales!$C$40="PYG",IF(BD$10&gt;0,N(Reales!BD40)/BD$10,0),N(Reales!BD40)),BD$171+BD$173)</f>
        <v>0</v>
      </c>
      <c r="BE188" s="34" t="n">
        <f aca="false">IF(BE$8=1,IF(Reales!$C$40="PYG",IF(BE$10&gt;0,N(Reales!BE40)/BE$10,0),N(Reales!BE40)),BE$171+BE$173)</f>
        <v>0</v>
      </c>
      <c r="BF188" s="34" t="n">
        <f aca="false">IF(BF$8=1,IF(Reales!$C$40="PYG",IF(BF$10&gt;0,N(Reales!BF40)/BF$10,0),N(Reales!BF40)),BF$171+BF$173)</f>
        <v>0</v>
      </c>
      <c r="BG188" s="34" t="n">
        <f aca="false">IF(BG$8=1,IF(Reales!$C$40="PYG",IF(BG$10&gt;0,N(Reales!BG40)/BG$10,0),N(Reales!BG40)),BG$171+BG$173)</f>
        <v>0</v>
      </c>
      <c r="BH188" s="34" t="n">
        <f aca="false">IF(BH$8=1,IF(Reales!$C$40="PYG",IF(BH$10&gt;0,N(Reales!BH40)/BH$10,0),N(Reales!BH40)),BH$171+BH$173)</f>
        <v>0</v>
      </c>
      <c r="BI188" s="34" t="n">
        <f aca="false">IF(BI$8=1,IF(Reales!$C$40="PYG",IF(BI$10&gt;0,N(Reales!BI40)/BI$10,0),N(Reales!BI40)),BI$171+BI$173)</f>
        <v>0</v>
      </c>
      <c r="BJ188" s="34" t="n">
        <f aca="false">IF(BJ$8=1,IF(Reales!$C$40="PYG",IF(BJ$10&gt;0,N(Reales!BJ40)/BJ$10,0),N(Reales!BJ40)),BJ$171+BJ$173)</f>
        <v>0</v>
      </c>
      <c r="BK188" s="34" t="n">
        <f aca="false">IF(BK$8=1,IF(Reales!$C$40="PYG",IF(BK$10&gt;0,N(Reales!BK40)/BK$10,0),N(Reales!BK40)),BK$171+BK$173)</f>
        <v>0</v>
      </c>
      <c r="BL188" s="34" t="n">
        <f aca="false">IF(BL$8=1,IF(Reales!$C$40="PYG",IF(BL$10&gt;0,N(Reales!BL40)/BL$10,0),N(Reales!BL40)),BL$171+BL$173)</f>
        <v>0</v>
      </c>
      <c r="BM188" s="34" t="n">
        <f aca="false">IF(BM$8=1,IF(Reales!$C$40="PYG",IF(BM$10&gt;0,N(Reales!BM40)/BM$10,0),N(Reales!BM40)),BM$171+BM$173)</f>
        <v>0</v>
      </c>
      <c r="BN188" s="34" t="n">
        <f aca="false">IF(BN$8=1,IF(Reales!$C$40="PYG",IF(BN$10&gt;0,N(Reales!BN40)/BN$10,0),N(Reales!BN40)),BN$171+BN$173)</f>
        <v>0</v>
      </c>
      <c r="BO188" s="34" t="n">
        <f aca="false">IF(BO$8=1,IF(Reales!$C$40="PYG",IF(BO$10&gt;0,N(Reales!BO40)/BO$10,0),N(Reales!BO40)),BO$171+BO$173)</f>
        <v>0</v>
      </c>
      <c r="BP188" s="34" t="n">
        <f aca="false">IF(BP$8=1,IF(Reales!$C$40="PYG",IF(BP$10&gt;0,N(Reales!BP40)/BP$10,0),N(Reales!BP40)),BP$171+BP$173)</f>
        <v>0</v>
      </c>
      <c r="BQ188" s="34" t="n">
        <f aca="false">IF(BQ$8=1,IF(Reales!$C$40="PYG",IF(BQ$10&gt;0,N(Reales!BQ40)/BQ$10,0),N(Reales!BQ40)),BQ$171+BQ$173)</f>
        <v>0</v>
      </c>
      <c r="BR188" s="34" t="n">
        <f aca="false">IF(BR$8=1,IF(Reales!$C$40="PYG",IF(BR$10&gt;0,N(Reales!BR40)/BR$10,0),N(Reales!BR40)),BR$171+BR$173)</f>
        <v>0</v>
      </c>
      <c r="BS188" s="34" t="n">
        <f aca="false">IF(BS$8=1,IF(Reales!$C$40="PYG",IF(BS$10&gt;0,N(Reales!BS40)/BS$10,0),N(Reales!BS40)),BS$171+BS$173)</f>
        <v>0</v>
      </c>
      <c r="BT188" s="34" t="n">
        <f aca="false">IF(BT$8=1,IF(Reales!$C$40="PYG",IF(BT$10&gt;0,N(Reales!BT40)/BT$10,0),N(Reales!BT40)),BT$171+BT$173)</f>
        <v>0</v>
      </c>
      <c r="BU188" s="34" t="n">
        <f aca="false">IF(BU$8=1,IF(Reales!$C$40="PYG",IF(BU$10&gt;0,N(Reales!BU40)/BU$10,0),N(Reales!BU40)),BU$171+BU$173)</f>
        <v>0</v>
      </c>
      <c r="BV188" s="34" t="n">
        <f aca="false">IF(BV$8=1,IF(Reales!$C$40="PYG",IF(BV$10&gt;0,N(Reales!BV40)/BV$10,0),N(Reales!BV40)),BV$171+BV$173)</f>
        <v>0</v>
      </c>
      <c r="BW188" s="34" t="n">
        <f aca="false">IF(BW$8=1,IF(Reales!$C$40="PYG",IF(BW$10&gt;0,N(Reales!BW40)/BW$10,0),N(Reales!BW40)),BW$171+BW$173)</f>
        <v>0</v>
      </c>
      <c r="BX188" s="34" t="n">
        <f aca="false">IF(BX$8=1,IF(Reales!$C$40="PYG",IF(BX$10&gt;0,N(Reales!BX40)/BX$10,0),N(Reales!BX40)),BX$171+BX$173)</f>
        <v>0</v>
      </c>
      <c r="BY188" s="34" t="n">
        <f aca="false">IF(BY$8=1,IF(Reales!$C$40="PYG",IF(BY$10&gt;0,N(Reales!BY40)/BY$10,0),N(Reales!BY40)),BY$171+BY$173)</f>
        <v>0</v>
      </c>
      <c r="BZ188" s="34" t="n">
        <f aca="false">IF(BZ$8=1,IF(Reales!$C$40="PYG",IF(BZ$10&gt;0,N(Reales!BZ40)/BZ$10,0),N(Reales!BZ40)),BZ$171+BZ$173)</f>
        <v>0</v>
      </c>
      <c r="CA188" s="34" t="n">
        <f aca="false">IF(CA$8=1,IF(Reales!$C$40="PYG",IF(CA$10&gt;0,N(Reales!CA40)/CA$10,0),N(Reales!CA40)),CA$171+CA$173)</f>
        <v>0</v>
      </c>
      <c r="CB188" s="34" t="n">
        <f aca="false">IF(CB$8=1,IF(Reales!$C$40="PYG",IF(CB$10&gt;0,N(Reales!CB40)/CB$10,0),N(Reales!CB40)),CB$171+CB$173)</f>
        <v>0</v>
      </c>
      <c r="CC188" s="34" t="n">
        <f aca="false">IF(CC$8=1,IF(Reales!$C$40="PYG",IF(CC$10&gt;0,N(Reales!CC40)/CC$10,0),N(Reales!CC40)),CC$171+CC$173)</f>
        <v>0</v>
      </c>
      <c r="CD188" s="34" t="n">
        <f aca="false">IF(CD$8=1,IF(Reales!$C$40="PYG",IF(CD$10&gt;0,N(Reales!CD40)/CD$10,0),N(Reales!CD40)),CD$171+CD$173)</f>
        <v>0</v>
      </c>
      <c r="CE188" s="34" t="n">
        <f aca="false">IF(CE$8=1,IF(Reales!$C$40="PYG",IF(CE$10&gt;0,N(Reales!CE40)/CE$10,0),N(Reales!CE40)),CE$171+CE$173)</f>
        <v>0</v>
      </c>
      <c r="CF188" s="34" t="n">
        <f aca="false">IF(CF$8=1,IF(Reales!$C$40="PYG",IF(CF$10&gt;0,N(Reales!CF40)/CF$10,0),N(Reales!CF40)),CF$171+CF$173)</f>
        <v>0</v>
      </c>
      <c r="CG188" s="34" t="n">
        <f aca="false">IF(CG$8=1,IF(Reales!$C$40="PYG",IF(CG$10&gt;0,N(Reales!CG40)/CG$10,0),N(Reales!CG40)),CG$171+CG$173)</f>
        <v>0</v>
      </c>
      <c r="CH188" s="34" t="n">
        <f aca="false">IF(CH$8=1,IF(Reales!$C$40="PYG",IF(CH$10&gt;0,N(Reales!CH40)/CH$10,0),N(Reales!CH40)),CH$171+CH$173)</f>
        <v>0</v>
      </c>
      <c r="CI188" s="34" t="n">
        <f aca="false">IF(CI$8=1,IF(Reales!$C$40="PYG",IF(CI$10&gt;0,N(Reales!CI40)/CI$10,0),N(Reales!CI40)),CI$171+CI$173)</f>
        <v>0</v>
      </c>
      <c r="CJ188" s="34" t="n">
        <f aca="false">IF(CJ$8=1,IF(Reales!$C$40="PYG",IF(CJ$10&gt;0,N(Reales!CJ40)/CJ$10,0),N(Reales!CJ40)),CJ$171+CJ$173)</f>
        <v>0</v>
      </c>
      <c r="CK188" s="34" t="n">
        <f aca="false">IF(CK$8=1,IF(Reales!$C$40="PYG",IF(CK$10&gt;0,N(Reales!CK40)/CK$10,0),N(Reales!CK40)),CK$171+CK$173)</f>
        <v>0</v>
      </c>
      <c r="CL188" s="34" t="n">
        <f aca="false">IF(CL$8=1,IF(Reales!$C$40="PYG",IF(CL$10&gt;0,N(Reales!CL40)/CL$10,0),N(Reales!CL40)),CL$171+CL$173)</f>
        <v>0</v>
      </c>
      <c r="CM188" s="34" t="n">
        <f aca="false">IF(CM$8=1,IF(Reales!$C$40="PYG",IF(CM$10&gt;0,N(Reales!CM40)/CM$10,0),N(Reales!CM40)),CM$171+CM$173)</f>
        <v>0</v>
      </c>
      <c r="CN188" s="34" t="n">
        <f aca="false">IF(CN$8=1,IF(Reales!$C$40="PYG",IF(CN$10&gt;0,N(Reales!CN40)/CN$10,0),N(Reales!CN40)),CN$171+CN$173)</f>
        <v>0</v>
      </c>
      <c r="CO188" s="34" t="n">
        <f aca="false">IF(CO$8=1,IF(Reales!$C$40="PYG",IF(CO$10&gt;0,N(Reales!CO40)/CO$10,0),N(Reales!CO40)),CO$171+CO$173)</f>
        <v>0</v>
      </c>
      <c r="CP188" s="34" t="n">
        <f aca="false">IF(CP$8=1,IF(Reales!$C$40="PYG",IF(CP$10&gt;0,N(Reales!CP40)/CP$10,0),N(Reales!CP40)),CP$171+CP$173)</f>
        <v>0</v>
      </c>
      <c r="CQ188" s="34" t="n">
        <f aca="false">IF(CQ$8=1,IF(Reales!$C$40="PYG",IF(CQ$10&gt;0,N(Reales!CQ40)/CQ$10,0),N(Reales!CQ40)),CQ$171+CQ$173)</f>
        <v>0</v>
      </c>
      <c r="CR188" s="34" t="n">
        <f aca="false">IF(CR$8=1,IF(Reales!$C$40="PYG",IF(CR$10&gt;0,N(Reales!CR40)/CR$10,0),N(Reales!CR40)),CR$171+CR$173)</f>
        <v>0</v>
      </c>
      <c r="CS188" s="34" t="n">
        <f aca="false">IF(CS$8=1,IF(Reales!$C$40="PYG",IF(CS$10&gt;0,N(Reales!CS40)/CS$10,0),N(Reales!CS40)),CS$171+CS$173)</f>
        <v>0</v>
      </c>
      <c r="CT188" s="34" t="n">
        <f aca="false">IF(CT$8=1,IF(Reales!$C$40="PYG",IF(CT$10&gt;0,N(Reales!CT40)/CT$10,0),N(Reales!CT40)),CT$171+CT$173)</f>
        <v>0</v>
      </c>
      <c r="CU188" s="34" t="n">
        <f aca="false">IF(CU$8=1,IF(Reales!$C$40="PYG",IF(CU$10&gt;0,N(Reales!CU40)/CU$10,0),N(Reales!CU40)),CU$171+CU$173)</f>
        <v>0</v>
      </c>
      <c r="CV188" s="34" t="n">
        <f aca="false">IF(CV$8=1,IF(Reales!$C$40="PYG",IF(CV$10&gt;0,N(Reales!CV40)/CV$10,0),N(Reales!CV40)),CV$171+CV$173)</f>
        <v>0</v>
      </c>
      <c r="CW188" s="34" t="n">
        <f aca="false">IF(CW$8=1,IF(Reales!$C$40="PYG",IF(CW$10&gt;0,N(Reales!CW40)/CW$10,0),N(Reales!CW40)),CW$171+CW$173)</f>
        <v>0</v>
      </c>
      <c r="CX188" s="34" t="n">
        <f aca="false">IF(CX$8=1,IF(Reales!$C$40="PYG",IF(CX$10&gt;0,N(Reales!CX40)/CX$10,0),N(Reales!CX40)),CX$171+CX$173)</f>
        <v>0</v>
      </c>
      <c r="CY188" s="34" t="n">
        <f aca="false">IF(CY$8=1,IF(Reales!$C$40="PYG",IF(CY$10&gt;0,N(Reales!CY40)/CY$10,0),N(Reales!CY40)),CY$171+CY$173)</f>
        <v>0</v>
      </c>
      <c r="CZ188" s="34" t="n">
        <f aca="false">IF(CZ$8=1,IF(Reales!$C$40="PYG",IF(CZ$10&gt;0,N(Reales!CZ40)/CZ$10,0),N(Reales!CZ40)),CZ$171+CZ$173)</f>
        <v>0</v>
      </c>
      <c r="DA188" s="34" t="n">
        <f aca="false">IF(DA$8=1,IF(Reales!$C$40="PYG",IF(DA$10&gt;0,N(Reales!DA40)/DA$10,0),N(Reales!DA40)),DA$171+DA$173)</f>
        <v>0</v>
      </c>
      <c r="DB188" s="34" t="n">
        <f aca="false">IF(DB$8=1,IF(Reales!$C$40="PYG",IF(DB$10&gt;0,N(Reales!DB40)/DB$10,0),N(Reales!DB40)),DB$171+DB$173)</f>
        <v>0</v>
      </c>
      <c r="DC188" s="34" t="n">
        <f aca="false">IF(DC$8=1,IF(Reales!$C$40="PYG",IF(DC$10&gt;0,N(Reales!DC40)/DC$10,0),N(Reales!DC40)),DC$171+DC$173)</f>
        <v>0</v>
      </c>
      <c r="DD188" s="34" t="n">
        <f aca="false">IF(DD$8=1,IF(Reales!$C$40="PYG",IF(DD$10&gt;0,N(Reales!DD40)/DD$10,0),N(Reales!DD40)),DD$171+DD$173)</f>
        <v>0</v>
      </c>
      <c r="DE188" s="34" t="n">
        <f aca="false">IF(DE$8=1,IF(Reales!$C$40="PYG",IF(DE$10&gt;0,N(Reales!DE40)/DE$10,0),N(Reales!DE40)),DE$171+DE$173)</f>
        <v>0</v>
      </c>
      <c r="DF188" s="34" t="n">
        <f aca="false">IF(DF$8=1,IF(Reales!$C$40="PYG",IF(DF$10&gt;0,N(Reales!DF40)/DF$10,0),N(Reales!DF40)),DF$171+DF$173)</f>
        <v>0</v>
      </c>
      <c r="DG188" s="34" t="n">
        <f aca="false">IF(DG$8=1,IF(Reales!$C$40="PYG",IF(DG$10&gt;0,N(Reales!DG40)/DG$10,0),N(Reales!DG40)),DG$171+DG$173)</f>
        <v>0</v>
      </c>
      <c r="DH188" s="34" t="n">
        <f aca="false">IF(DH$8=1,IF(Reales!$C$40="PYG",IF(DH$10&gt;0,N(Reales!DH40)/DH$10,0),N(Reales!DH40)),DH$171+DH$173)</f>
        <v>0</v>
      </c>
      <c r="DI188" s="34" t="n">
        <f aca="false">IF(DI$8=1,IF(Reales!$C$40="PYG",IF(DI$10&gt;0,N(Reales!DI40)/DI$10,0),N(Reales!DI40)),DI$171+DI$173)</f>
        <v>0</v>
      </c>
      <c r="DJ188" s="34" t="n">
        <f aca="false">IF(DJ$8=1,IF(Reales!$C$40="PYG",IF(DJ$10&gt;0,N(Reales!DJ40)/DJ$10,0),N(Reales!DJ40)),DJ$171+DJ$173)</f>
        <v>0</v>
      </c>
      <c r="DK188" s="34" t="n">
        <f aca="false">IF(DK$8=1,IF(Reales!$C$40="PYG",IF(DK$10&gt;0,N(Reales!DK40)/DK$10,0),N(Reales!DK40)),DK$171+DK$173)</f>
        <v>0</v>
      </c>
      <c r="DL188" s="34" t="n">
        <f aca="false">IF(DL$8=1,IF(Reales!$C$40="PYG",IF(DL$10&gt;0,N(Reales!DL40)/DL$10,0),N(Reales!DL40)),DL$171+DL$173)</f>
        <v>0</v>
      </c>
      <c r="DM188" s="34" t="n">
        <f aca="false">IF(DM$8=1,IF(Reales!$C$40="PYG",IF(DM$10&gt;0,N(Reales!DM40)/DM$10,0),N(Reales!DM40)),DM$171+DM$173)</f>
        <v>0</v>
      </c>
      <c r="DN188" s="34" t="n">
        <f aca="false">IF(DN$8=1,IF(Reales!$C$40="PYG",IF(DN$10&gt;0,N(Reales!DN40)/DN$10,0),N(Reales!DN40)),DN$171+DN$173)</f>
        <v>0</v>
      </c>
      <c r="DO188" s="34" t="n">
        <f aca="false">IF(DO$8=1,IF(Reales!$C$40="PYG",IF(DO$10&gt;0,N(Reales!DO40)/DO$10,0),N(Reales!DO40)),DO$171+DO$173)</f>
        <v>0</v>
      </c>
      <c r="DP188" s="34" t="n">
        <f aca="false">IF(DP$8=1,IF(Reales!$C$40="PYG",IF(DP$10&gt;0,N(Reales!DP40)/DP$10,0),N(Reales!DP40)),DP$171+DP$173)</f>
        <v>0</v>
      </c>
      <c r="DQ188" s="34" t="n">
        <f aca="false">IF(DQ$8=1,IF(Reales!$C$40="PYG",IF(DQ$10&gt;0,N(Reales!DQ40)/DQ$10,0),N(Reales!DQ40)),DQ$171+DQ$173)</f>
        <v>0</v>
      </c>
      <c r="DR188" s="34" t="n">
        <f aca="false">IF(DR$8=1,IF(Reales!$C$40="PYG",IF(DR$10&gt;0,N(Reales!DR40)/DR$10,0),N(Reales!DR40)),DR$171+DR$173)</f>
        <v>0</v>
      </c>
      <c r="DS188" s="34" t="n">
        <f aca="false">IF(DS$8=1,IF(Reales!$C$40="PYG",IF(DS$10&gt;0,N(Reales!DS40)/DS$10,0),N(Reales!DS40)),DS$171+DS$173)</f>
        <v>0</v>
      </c>
      <c r="DT188" s="34" t="n">
        <f aca="false">IF(DT$8=1,IF(Reales!$C$40="PYG",IF(DT$10&gt;0,N(Reales!DT40)/DT$10,0),N(Reales!DT40)),DT$171+DT$173)</f>
        <v>0</v>
      </c>
      <c r="DU188" s="34" t="n">
        <f aca="false">IF(DU$8=1,IF(Reales!$C$40="PYG",IF(DU$10&gt;0,N(Reales!DU40)/DU$10,0),N(Reales!DU40)),DU$171+DU$173)</f>
        <v>0</v>
      </c>
      <c r="DV188" s="34" t="n">
        <f aca="false">IF(DV$8=1,IF(Reales!$C$40="PYG",IF(DV$10&gt;0,N(Reales!DV40)/DV$10,0),N(Reales!DV40)),DV$171+DV$173)</f>
        <v>0</v>
      </c>
      <c r="DW188" s="34" t="n">
        <f aca="false">IF(DW$8=1,IF(Reales!$C$40="PYG",IF(DW$10&gt;0,N(Reales!DW40)/DW$10,0),N(Reales!DW40)),DW$171+DW$173)</f>
        <v>0</v>
      </c>
      <c r="DX188" s="34" t="n">
        <f aca="false">IF(DX$8=1,IF(Reales!$C$40="PYG",IF(DX$10&gt;0,N(Reales!DX40)/DX$10,0),N(Reales!DX40)),DX$171+DX$173)</f>
        <v>0</v>
      </c>
      <c r="DY188" s="34" t="n">
        <f aca="false">IF(DY$8=1,IF(Reales!$C$40="PYG",IF(DY$10&gt;0,N(Reales!DY40)/DY$10,0),N(Reales!DY40)),DY$171+DY$173)</f>
        <v>0</v>
      </c>
      <c r="DZ188" s="34" t="n">
        <f aca="false">IF(DZ$8=1,IF(Reales!$C$40="PYG",IF(DZ$10&gt;0,N(Reales!DZ40)/DZ$10,0),N(Reales!DZ40)),DZ$171+DZ$173)</f>
        <v>0</v>
      </c>
      <c r="EA188" s="34" t="n">
        <f aca="false">IF(EA$8=1,IF(Reales!$C$40="PYG",IF(EA$10&gt;0,N(Reales!EA40)/EA$10,0),N(Reales!EA40)),EA$171+EA$173)</f>
        <v>0</v>
      </c>
      <c r="EB188" s="34" t="n">
        <f aca="false">IF(EB$8=1,IF(Reales!$C$40="PYG",IF(EB$10&gt;0,N(Reales!EB40)/EB$10,0),N(Reales!EB40)),EB$171+EB$173)</f>
        <v>0</v>
      </c>
      <c r="EC188" s="34" t="n">
        <f aca="false">IF(EC$8=1,IF(Reales!$C$40="PYG",IF(EC$10&gt;0,N(Reales!EC40)/EC$10,0),N(Reales!EC40)),EC$171+EC$173)</f>
        <v>0</v>
      </c>
      <c r="ED188" s="34" t="n">
        <f aca="false">IF(ED$8=1,IF(Reales!$C$40="PYG",IF(ED$10&gt;0,N(Reales!ED40)/ED$10,0),N(Reales!ED40)),ED$171+ED$173)</f>
        <v>0</v>
      </c>
      <c r="EE188" s="34" t="n">
        <f aca="false">IF(EE$8=1,IF(Reales!$C$40="PYG",IF(EE$10&gt;0,N(Reales!EE40)/EE$10,0),N(Reales!EE40)),EE$171+EE$173)</f>
        <v>0</v>
      </c>
      <c r="EF188" s="34" t="n">
        <f aca="false">IF(EF$8=1,IF(Reales!$C$40="PYG",IF(EF$10&gt;0,N(Reales!EF40)/EF$10,0),N(Reales!EF40)),EF$171+EF$173)</f>
        <v>0</v>
      </c>
      <c r="EG188" s="34" t="n">
        <f aca="false">IF(EG$8=1,IF(Reales!$C$40="PYG",IF(EG$10&gt;0,N(Reales!EG40)/EG$10,0),N(Reales!EG40)),EG$171+EG$173)</f>
        <v>0</v>
      </c>
      <c r="EH188" s="34" t="n">
        <f aca="false">IF(EH$8=1,IF(Reales!$C$40="PYG",IF(EH$10&gt;0,N(Reales!EH40)/EH$10,0),N(Reales!EH40)),EH$171+EH$173)</f>
        <v>0</v>
      </c>
      <c r="EI188" s="34" t="n">
        <f aca="false">IF(EI$8=1,IF(Reales!$C$40="PYG",IF(EI$10&gt;0,N(Reales!EI40)/EI$10,0),N(Reales!EI40)),EI$171+EI$173)</f>
        <v>0</v>
      </c>
      <c r="EJ188" s="34" t="n">
        <f aca="false">IF(EJ$8=1,IF(Reales!$C$40="PYG",IF(EJ$10&gt;0,N(Reales!EJ40)/EJ$10,0),N(Reales!EJ40)),EJ$171+EJ$173)</f>
        <v>0</v>
      </c>
      <c r="EK188" s="34" t="n">
        <f aca="false">IF(EK$8=1,IF(Reales!$C$40="PYG",IF(EK$10&gt;0,N(Reales!EK40)/EK$10,0),N(Reales!EK40)),EK$171+EK$173)</f>
        <v>0</v>
      </c>
      <c r="EL188" s="34" t="n">
        <f aca="false">IF(EL$8=1,IF(Reales!$C$40="PYG",IF(EL$10&gt;0,N(Reales!EL40)/EL$10,0),N(Reales!EL40)),EL$171+EL$173)</f>
        <v>0</v>
      </c>
      <c r="EM188" s="34" t="n">
        <f aca="false">IF(EM$8=1,IF(Reales!$C$40="PYG",IF(EM$10&gt;0,N(Reales!EM40)/EM$10,0),N(Reales!EM40)),EM$171+EM$173)</f>
        <v>0</v>
      </c>
      <c r="EN188" s="34" t="n">
        <f aca="false">IF(EN$8=1,IF(Reales!$C$40="PYG",IF(EN$10&gt;0,N(Reales!EN40)/EN$10,0),N(Reales!EN40)),EN$171+EN$173)</f>
        <v>0</v>
      </c>
      <c r="EO188" s="34" t="n">
        <f aca="false">IF(EO$8=1,IF(Reales!$C$40="PYG",IF(EO$10&gt;0,N(Reales!EO40)/EO$10,0),N(Reales!EO40)),EO$171+EO$173)</f>
        <v>0</v>
      </c>
      <c r="EP188" s="34" t="n">
        <f aca="false">IF(EP$8=1,IF(Reales!$C$40="PYG",IF(EP$10&gt;0,N(Reales!EP40)/EP$10,0),N(Reales!EP40)),EP$171+EP$173)</f>
        <v>0</v>
      </c>
      <c r="EQ188" s="34" t="n">
        <f aca="false">IF(EQ$8=1,IF(Reales!$C$40="PYG",IF(EQ$10&gt;0,N(Reales!EQ40)/EQ$10,0),N(Reales!EQ40)),EQ$171+EQ$173)</f>
        <v>0</v>
      </c>
      <c r="ER188" s="34" t="n">
        <f aca="false">IF(ER$8=1,IF(Reales!$C$40="PYG",IF(ER$10&gt;0,N(Reales!ER40)/ER$10,0),N(Reales!ER40)),ER$171+ER$173)</f>
        <v>0</v>
      </c>
      <c r="ES188" s="34" t="n">
        <f aca="false">IF(ES$8=1,IF(Reales!$C$40="PYG",IF(ES$10&gt;0,N(Reales!ES40)/ES$10,0),N(Reales!ES40)),ES$171+ES$173)</f>
        <v>0</v>
      </c>
    </row>
    <row r="189" customFormat="false" ht="15" hidden="false" customHeight="false" outlineLevel="0" collapsed="false">
      <c r="A189" s="2" t="s">
        <v>666</v>
      </c>
      <c r="B189" s="6" t="s">
        <v>505</v>
      </c>
      <c r="C189" s="6" t="s">
        <v>212</v>
      </c>
      <c r="E189" s="40" t="n">
        <f aca="false">SUM(F189:ES189)</f>
        <v>0</v>
      </c>
      <c r="F189" s="34" t="n">
        <f aca="false">IF(F$8=1,IF(Reales!$C$42="PYG",IF(F$10&gt;0,N(Reales!F42)/F$10,0),N(Reales!F42)),F$179+F$182)</f>
        <v>0</v>
      </c>
      <c r="G189" s="34" t="n">
        <f aca="false">IF(G$8=1,IF(Reales!$C$42="PYG",IF(G$10&gt;0,N(Reales!G42)/G$10,0),N(Reales!G42)),G$179+G$182)</f>
        <v>0</v>
      </c>
      <c r="H189" s="34" t="n">
        <f aca="false">IF(H$8=1,IF(Reales!$C$42="PYG",IF(H$10&gt;0,N(Reales!H42)/H$10,0),N(Reales!H42)),H$179+H$182)</f>
        <v>0</v>
      </c>
      <c r="I189" s="34" t="n">
        <f aca="false">IF(I$8=1,IF(Reales!$C$42="PYG",IF(I$10&gt;0,N(Reales!I42)/I$10,0),N(Reales!I42)),I$179+I$182)</f>
        <v>0</v>
      </c>
      <c r="J189" s="34" t="n">
        <f aca="false">IF(J$8=1,IF(Reales!$C$42="PYG",IF(J$10&gt;0,N(Reales!J42)/J$10,0),N(Reales!J42)),J$179+J$182)</f>
        <v>0</v>
      </c>
      <c r="K189" s="34" t="n">
        <f aca="false">IF(K$8=1,IF(Reales!$C$42="PYG",IF(K$10&gt;0,N(Reales!K42)/K$10,0),N(Reales!K42)),K$179+K$182)</f>
        <v>0</v>
      </c>
      <c r="L189" s="34" t="n">
        <f aca="false">IF(L$8=1,IF(Reales!$C$42="PYG",IF(L$10&gt;0,N(Reales!L42)/L$10,0),N(Reales!L42)),L$179+L$182)</f>
        <v>0</v>
      </c>
      <c r="M189" s="34" t="n">
        <f aca="false">IF(M$8=1,IF(Reales!$C$42="PYG",IF(M$10&gt;0,N(Reales!M42)/M$10,0),N(Reales!M42)),M$179+M$182)</f>
        <v>0</v>
      </c>
      <c r="N189" s="34" t="n">
        <f aca="false">IF(N$8=1,IF(Reales!$C$42="PYG",IF(N$10&gt;0,N(Reales!N42)/N$10,0),N(Reales!N42)),N$179+N$182)</f>
        <v>0</v>
      </c>
      <c r="O189" s="34" t="n">
        <f aca="false">IF(O$8=1,IF(Reales!$C$42="PYG",IF(O$10&gt;0,N(Reales!O42)/O$10,0),N(Reales!O42)),O$179+O$182)</f>
        <v>0</v>
      </c>
      <c r="P189" s="34" t="n">
        <f aca="false">IF(P$8=1,IF(Reales!$C$42="PYG",IF(P$10&gt;0,N(Reales!P42)/P$10,0),N(Reales!P42)),P$179+P$182)</f>
        <v>0</v>
      </c>
      <c r="Q189" s="34" t="n">
        <f aca="false">IF(Q$8=1,IF(Reales!$C$42="PYG",IF(Q$10&gt;0,N(Reales!Q42)/Q$10,0),N(Reales!Q42)),Q$179+Q$182)</f>
        <v>0</v>
      </c>
      <c r="R189" s="34" t="n">
        <f aca="false">IF(R$8=1,IF(Reales!$C$42="PYG",IF(R$10&gt;0,N(Reales!R42)/R$10,0),N(Reales!R42)),R$179+R$182)</f>
        <v>0</v>
      </c>
      <c r="S189" s="34" t="n">
        <f aca="false">IF(S$8=1,IF(Reales!$C$42="PYG",IF(S$10&gt;0,N(Reales!S42)/S$10,0),N(Reales!S42)),S$179+S$182)</f>
        <v>0</v>
      </c>
      <c r="T189" s="34" t="n">
        <f aca="false">IF(T$8=1,IF(Reales!$C$42="PYG",IF(T$10&gt;0,N(Reales!T42)/T$10,0),N(Reales!T42)),T$179+T$182)</f>
        <v>0</v>
      </c>
      <c r="U189" s="34" t="n">
        <f aca="false">IF(U$8=1,IF(Reales!$C$42="PYG",IF(U$10&gt;0,N(Reales!U42)/U$10,0),N(Reales!U42)),U$179+U$182)</f>
        <v>0</v>
      </c>
      <c r="V189" s="34" t="n">
        <f aca="false">IF(V$8=1,IF(Reales!$C$42="PYG",IF(V$10&gt;0,N(Reales!V42)/V$10,0),N(Reales!V42)),V$179+V$182)</f>
        <v>0</v>
      </c>
      <c r="W189" s="34" t="n">
        <f aca="false">IF(W$8=1,IF(Reales!$C$42="PYG",IF(W$10&gt;0,N(Reales!W42)/W$10,0),N(Reales!W42)),W$179+W$182)</f>
        <v>0</v>
      </c>
      <c r="X189" s="34" t="n">
        <f aca="false">IF(X$8=1,IF(Reales!$C$42="PYG",IF(X$10&gt;0,N(Reales!X42)/X$10,0),N(Reales!X42)),X$179+X$182)</f>
        <v>0</v>
      </c>
      <c r="Y189" s="34" t="n">
        <f aca="false">IF(Y$8=1,IF(Reales!$C$42="PYG",IF(Y$10&gt;0,N(Reales!Y42)/Y$10,0),N(Reales!Y42)),Y$179+Y$182)</f>
        <v>0</v>
      </c>
      <c r="Z189" s="34" t="n">
        <f aca="false">IF(Z$8=1,IF(Reales!$C$42="PYG",IF(Z$10&gt;0,N(Reales!Z42)/Z$10,0),N(Reales!Z42)),Z$179+Z$182)</f>
        <v>0</v>
      </c>
      <c r="AA189" s="34" t="n">
        <f aca="false">IF(AA$8=1,IF(Reales!$C$42="PYG",IF(AA$10&gt;0,N(Reales!AA42)/AA$10,0),N(Reales!AA42)),AA$179+AA$182)</f>
        <v>0</v>
      </c>
      <c r="AB189" s="34" t="n">
        <f aca="false">IF(AB$8=1,IF(Reales!$C$42="PYG",IF(AB$10&gt;0,N(Reales!AB42)/AB$10,0),N(Reales!AB42)),AB$179+AB$182)</f>
        <v>0</v>
      </c>
      <c r="AC189" s="34" t="n">
        <f aca="false">IF(AC$8=1,IF(Reales!$C$42="PYG",IF(AC$10&gt;0,N(Reales!AC42)/AC$10,0),N(Reales!AC42)),AC$179+AC$182)</f>
        <v>0</v>
      </c>
      <c r="AD189" s="34" t="n">
        <f aca="false">IF(AD$8=1,IF(Reales!$C$42="PYG",IF(AD$10&gt;0,N(Reales!AD42)/AD$10,0),N(Reales!AD42)),AD$179+AD$182)</f>
        <v>0</v>
      </c>
      <c r="AE189" s="34" t="n">
        <f aca="false">IF(AE$8=1,IF(Reales!$C$42="PYG",IF(AE$10&gt;0,N(Reales!AE42)/AE$10,0),N(Reales!AE42)),AE$179+AE$182)</f>
        <v>0</v>
      </c>
      <c r="AF189" s="34" t="n">
        <f aca="false">IF(AF$8=1,IF(Reales!$C$42="PYG",IF(AF$10&gt;0,N(Reales!AF42)/AF$10,0),N(Reales!AF42)),AF$179+AF$182)</f>
        <v>0</v>
      </c>
      <c r="AG189" s="34" t="n">
        <f aca="false">IF(AG$8=1,IF(Reales!$C$42="PYG",IF(AG$10&gt;0,N(Reales!AG42)/AG$10,0),N(Reales!AG42)),AG$179+AG$182)</f>
        <v>0</v>
      </c>
      <c r="AH189" s="34" t="n">
        <f aca="false">IF(AH$8=1,IF(Reales!$C$42="PYG",IF(AH$10&gt;0,N(Reales!AH42)/AH$10,0),N(Reales!AH42)),AH$179+AH$182)</f>
        <v>0</v>
      </c>
      <c r="AI189" s="34" t="n">
        <f aca="false">IF(AI$8=1,IF(Reales!$C$42="PYG",IF(AI$10&gt;0,N(Reales!AI42)/AI$10,0),N(Reales!AI42)),AI$179+AI$182)</f>
        <v>0</v>
      </c>
      <c r="AJ189" s="34" t="n">
        <f aca="false">IF(AJ$8=1,IF(Reales!$C$42="PYG",IF(AJ$10&gt;0,N(Reales!AJ42)/AJ$10,0),N(Reales!AJ42)),AJ$179+AJ$182)</f>
        <v>0</v>
      </c>
      <c r="AK189" s="34" t="n">
        <f aca="false">IF(AK$8=1,IF(Reales!$C$42="PYG",IF(AK$10&gt;0,N(Reales!AK42)/AK$10,0),N(Reales!AK42)),AK$179+AK$182)</f>
        <v>0</v>
      </c>
      <c r="AL189" s="34" t="n">
        <f aca="false">IF(AL$8=1,IF(Reales!$C$42="PYG",IF(AL$10&gt;0,N(Reales!AL42)/AL$10,0),N(Reales!AL42)),AL$179+AL$182)</f>
        <v>0</v>
      </c>
      <c r="AM189" s="34" t="n">
        <f aca="false">IF(AM$8=1,IF(Reales!$C$42="PYG",IF(AM$10&gt;0,N(Reales!AM42)/AM$10,0),N(Reales!AM42)),AM$179+AM$182)</f>
        <v>0</v>
      </c>
      <c r="AN189" s="34" t="n">
        <f aca="false">IF(AN$8=1,IF(Reales!$C$42="PYG",IF(AN$10&gt;0,N(Reales!AN42)/AN$10,0),N(Reales!AN42)),AN$179+AN$182)</f>
        <v>0</v>
      </c>
      <c r="AO189" s="34" t="n">
        <f aca="false">IF(AO$8=1,IF(Reales!$C$42="PYG",IF(AO$10&gt;0,N(Reales!AO42)/AO$10,0),N(Reales!AO42)),AO$179+AO$182)</f>
        <v>0</v>
      </c>
      <c r="AP189" s="34" t="n">
        <f aca="false">IF(AP$8=1,IF(Reales!$C$42="PYG",IF(AP$10&gt;0,N(Reales!AP42)/AP$10,0),N(Reales!AP42)),AP$179+AP$182)</f>
        <v>0</v>
      </c>
      <c r="AQ189" s="34" t="n">
        <f aca="false">IF(AQ$8=1,IF(Reales!$C$42="PYG",IF(AQ$10&gt;0,N(Reales!AQ42)/AQ$10,0),N(Reales!AQ42)),AQ$179+AQ$182)</f>
        <v>0</v>
      </c>
      <c r="AR189" s="34" t="n">
        <f aca="false">IF(AR$8=1,IF(Reales!$C$42="PYG",IF(AR$10&gt;0,N(Reales!AR42)/AR$10,0),N(Reales!AR42)),AR$179+AR$182)</f>
        <v>0</v>
      </c>
      <c r="AS189" s="34" t="n">
        <f aca="false">IF(AS$8=1,IF(Reales!$C$42="PYG",IF(AS$10&gt;0,N(Reales!AS42)/AS$10,0),N(Reales!AS42)),AS$179+AS$182)</f>
        <v>0</v>
      </c>
      <c r="AT189" s="34" t="n">
        <f aca="false">IF(AT$8=1,IF(Reales!$C$42="PYG",IF(AT$10&gt;0,N(Reales!AT42)/AT$10,0),N(Reales!AT42)),AT$179+AT$182)</f>
        <v>0</v>
      </c>
      <c r="AU189" s="34" t="n">
        <f aca="false">IF(AU$8=1,IF(Reales!$C$42="PYG",IF(AU$10&gt;0,N(Reales!AU42)/AU$10,0),N(Reales!AU42)),AU$179+AU$182)</f>
        <v>0</v>
      </c>
      <c r="AV189" s="34" t="n">
        <f aca="false">IF(AV$8=1,IF(Reales!$C$42="PYG",IF(AV$10&gt;0,N(Reales!AV42)/AV$10,0),N(Reales!AV42)),AV$179+AV$182)</f>
        <v>0</v>
      </c>
      <c r="AW189" s="34" t="n">
        <f aca="false">IF(AW$8=1,IF(Reales!$C$42="PYG",IF(AW$10&gt;0,N(Reales!AW42)/AW$10,0),N(Reales!AW42)),AW$179+AW$182)</f>
        <v>0</v>
      </c>
      <c r="AX189" s="34" t="n">
        <f aca="false">IF(AX$8=1,IF(Reales!$C$42="PYG",IF(AX$10&gt;0,N(Reales!AX42)/AX$10,0),N(Reales!AX42)),AX$179+AX$182)</f>
        <v>0</v>
      </c>
      <c r="AY189" s="34" t="n">
        <f aca="false">IF(AY$8=1,IF(Reales!$C$42="PYG",IF(AY$10&gt;0,N(Reales!AY42)/AY$10,0),N(Reales!AY42)),AY$179+AY$182)</f>
        <v>0</v>
      </c>
      <c r="AZ189" s="34" t="n">
        <f aca="false">IF(AZ$8=1,IF(Reales!$C$42="PYG",IF(AZ$10&gt;0,N(Reales!AZ42)/AZ$10,0),N(Reales!AZ42)),AZ$179+AZ$182)</f>
        <v>0</v>
      </c>
      <c r="BA189" s="34" t="n">
        <f aca="false">IF(BA$8=1,IF(Reales!$C$42="PYG",IF(BA$10&gt;0,N(Reales!BA42)/BA$10,0),N(Reales!BA42)),BA$179+BA$182)</f>
        <v>0</v>
      </c>
      <c r="BB189" s="34" t="n">
        <f aca="false">IF(BB$8=1,IF(Reales!$C$42="PYG",IF(BB$10&gt;0,N(Reales!BB42)/BB$10,0),N(Reales!BB42)),BB$179+BB$182)</f>
        <v>0</v>
      </c>
      <c r="BC189" s="34" t="n">
        <f aca="false">IF(BC$8=1,IF(Reales!$C$42="PYG",IF(BC$10&gt;0,N(Reales!BC42)/BC$10,0),N(Reales!BC42)),BC$179+BC$182)</f>
        <v>0</v>
      </c>
      <c r="BD189" s="34" t="n">
        <f aca="false">IF(BD$8=1,IF(Reales!$C$42="PYG",IF(BD$10&gt;0,N(Reales!BD42)/BD$10,0),N(Reales!BD42)),BD$179+BD$182)</f>
        <v>0</v>
      </c>
      <c r="BE189" s="34" t="n">
        <f aca="false">IF(BE$8=1,IF(Reales!$C$42="PYG",IF(BE$10&gt;0,N(Reales!BE42)/BE$10,0),N(Reales!BE42)),BE$179+BE$182)</f>
        <v>0</v>
      </c>
      <c r="BF189" s="34" t="n">
        <f aca="false">IF(BF$8=1,IF(Reales!$C$42="PYG",IF(BF$10&gt;0,N(Reales!BF42)/BF$10,0),N(Reales!BF42)),BF$179+BF$182)</f>
        <v>0</v>
      </c>
      <c r="BG189" s="34" t="n">
        <f aca="false">IF(BG$8=1,IF(Reales!$C$42="PYG",IF(BG$10&gt;0,N(Reales!BG42)/BG$10,0),N(Reales!BG42)),BG$179+BG$182)</f>
        <v>0</v>
      </c>
      <c r="BH189" s="34" t="n">
        <f aca="false">IF(BH$8=1,IF(Reales!$C$42="PYG",IF(BH$10&gt;0,N(Reales!BH42)/BH$10,0),N(Reales!BH42)),BH$179+BH$182)</f>
        <v>0</v>
      </c>
      <c r="BI189" s="34" t="n">
        <f aca="false">IF(BI$8=1,IF(Reales!$C$42="PYG",IF(BI$10&gt;0,N(Reales!BI42)/BI$10,0),N(Reales!BI42)),BI$179+BI$182)</f>
        <v>0</v>
      </c>
      <c r="BJ189" s="34" t="n">
        <f aca="false">IF(BJ$8=1,IF(Reales!$C$42="PYG",IF(BJ$10&gt;0,N(Reales!BJ42)/BJ$10,0),N(Reales!BJ42)),BJ$179+BJ$182)</f>
        <v>0</v>
      </c>
      <c r="BK189" s="34" t="n">
        <f aca="false">IF(BK$8=1,IF(Reales!$C$42="PYG",IF(BK$10&gt;0,N(Reales!BK42)/BK$10,0),N(Reales!BK42)),BK$179+BK$182)</f>
        <v>0</v>
      </c>
      <c r="BL189" s="34" t="n">
        <f aca="false">IF(BL$8=1,IF(Reales!$C$42="PYG",IF(BL$10&gt;0,N(Reales!BL42)/BL$10,0),N(Reales!BL42)),BL$179+BL$182)</f>
        <v>0</v>
      </c>
      <c r="BM189" s="34" t="n">
        <f aca="false">IF(BM$8=1,IF(Reales!$C$42="PYG",IF(BM$10&gt;0,N(Reales!BM42)/BM$10,0),N(Reales!BM42)),BM$179+BM$182)</f>
        <v>0</v>
      </c>
      <c r="BN189" s="34" t="n">
        <f aca="false">IF(BN$8=1,IF(Reales!$C$42="PYG",IF(BN$10&gt;0,N(Reales!BN42)/BN$10,0),N(Reales!BN42)),BN$179+BN$182)</f>
        <v>0</v>
      </c>
      <c r="BO189" s="34" t="n">
        <f aca="false">IF(BO$8=1,IF(Reales!$C$42="PYG",IF(BO$10&gt;0,N(Reales!BO42)/BO$10,0),N(Reales!BO42)),BO$179+BO$182)</f>
        <v>0</v>
      </c>
      <c r="BP189" s="34" t="n">
        <f aca="false">IF(BP$8=1,IF(Reales!$C$42="PYG",IF(BP$10&gt;0,N(Reales!BP42)/BP$10,0),N(Reales!BP42)),BP$179+BP$182)</f>
        <v>0</v>
      </c>
      <c r="BQ189" s="34" t="n">
        <f aca="false">IF(BQ$8=1,IF(Reales!$C$42="PYG",IF(BQ$10&gt;0,N(Reales!BQ42)/BQ$10,0),N(Reales!BQ42)),BQ$179+BQ$182)</f>
        <v>0</v>
      </c>
      <c r="BR189" s="34" t="n">
        <f aca="false">IF(BR$8=1,IF(Reales!$C$42="PYG",IF(BR$10&gt;0,N(Reales!BR42)/BR$10,0),N(Reales!BR42)),BR$179+BR$182)</f>
        <v>0</v>
      </c>
      <c r="BS189" s="34" t="n">
        <f aca="false">IF(BS$8=1,IF(Reales!$C$42="PYG",IF(BS$10&gt;0,N(Reales!BS42)/BS$10,0),N(Reales!BS42)),BS$179+BS$182)</f>
        <v>0</v>
      </c>
      <c r="BT189" s="34" t="n">
        <f aca="false">IF(BT$8=1,IF(Reales!$C$42="PYG",IF(BT$10&gt;0,N(Reales!BT42)/BT$10,0),N(Reales!BT42)),BT$179+BT$182)</f>
        <v>0</v>
      </c>
      <c r="BU189" s="34" t="n">
        <f aca="false">IF(BU$8=1,IF(Reales!$C$42="PYG",IF(BU$10&gt;0,N(Reales!BU42)/BU$10,0),N(Reales!BU42)),BU$179+BU$182)</f>
        <v>0</v>
      </c>
      <c r="BV189" s="34" t="n">
        <f aca="false">IF(BV$8=1,IF(Reales!$C$42="PYG",IF(BV$10&gt;0,N(Reales!BV42)/BV$10,0),N(Reales!BV42)),BV$179+BV$182)</f>
        <v>0</v>
      </c>
      <c r="BW189" s="34" t="n">
        <f aca="false">IF(BW$8=1,IF(Reales!$C$42="PYG",IF(BW$10&gt;0,N(Reales!BW42)/BW$10,0),N(Reales!BW42)),BW$179+BW$182)</f>
        <v>0</v>
      </c>
      <c r="BX189" s="34" t="n">
        <f aca="false">IF(BX$8=1,IF(Reales!$C$42="PYG",IF(BX$10&gt;0,N(Reales!BX42)/BX$10,0),N(Reales!BX42)),BX$179+BX$182)</f>
        <v>0</v>
      </c>
      <c r="BY189" s="34" t="n">
        <f aca="false">IF(BY$8=1,IF(Reales!$C$42="PYG",IF(BY$10&gt;0,N(Reales!BY42)/BY$10,0),N(Reales!BY42)),BY$179+BY$182)</f>
        <v>0</v>
      </c>
      <c r="BZ189" s="34" t="n">
        <f aca="false">IF(BZ$8=1,IF(Reales!$C$42="PYG",IF(BZ$10&gt;0,N(Reales!BZ42)/BZ$10,0),N(Reales!BZ42)),BZ$179+BZ$182)</f>
        <v>0</v>
      </c>
      <c r="CA189" s="34" t="n">
        <f aca="false">IF(CA$8=1,IF(Reales!$C$42="PYG",IF(CA$10&gt;0,N(Reales!CA42)/CA$10,0),N(Reales!CA42)),CA$179+CA$182)</f>
        <v>0</v>
      </c>
      <c r="CB189" s="34" t="n">
        <f aca="false">IF(CB$8=1,IF(Reales!$C$42="PYG",IF(CB$10&gt;0,N(Reales!CB42)/CB$10,0),N(Reales!CB42)),CB$179+CB$182)</f>
        <v>0</v>
      </c>
      <c r="CC189" s="34" t="n">
        <f aca="false">IF(CC$8=1,IF(Reales!$C$42="PYG",IF(CC$10&gt;0,N(Reales!CC42)/CC$10,0),N(Reales!CC42)),CC$179+CC$182)</f>
        <v>0</v>
      </c>
      <c r="CD189" s="34" t="n">
        <f aca="false">IF(CD$8=1,IF(Reales!$C$42="PYG",IF(CD$10&gt;0,N(Reales!CD42)/CD$10,0),N(Reales!CD42)),CD$179+CD$182)</f>
        <v>0</v>
      </c>
      <c r="CE189" s="34" t="n">
        <f aca="false">IF(CE$8=1,IF(Reales!$C$42="PYG",IF(CE$10&gt;0,N(Reales!CE42)/CE$10,0),N(Reales!CE42)),CE$179+CE$182)</f>
        <v>0</v>
      </c>
      <c r="CF189" s="34" t="n">
        <f aca="false">IF(CF$8=1,IF(Reales!$C$42="PYG",IF(CF$10&gt;0,N(Reales!CF42)/CF$10,0),N(Reales!CF42)),CF$179+CF$182)</f>
        <v>0</v>
      </c>
      <c r="CG189" s="34" t="n">
        <f aca="false">IF(CG$8=1,IF(Reales!$C$42="PYG",IF(CG$10&gt;0,N(Reales!CG42)/CG$10,0),N(Reales!CG42)),CG$179+CG$182)</f>
        <v>0</v>
      </c>
      <c r="CH189" s="34" t="n">
        <f aca="false">IF(CH$8=1,IF(Reales!$C$42="PYG",IF(CH$10&gt;0,N(Reales!CH42)/CH$10,0),N(Reales!CH42)),CH$179+CH$182)</f>
        <v>0</v>
      </c>
      <c r="CI189" s="34" t="n">
        <f aca="false">IF(CI$8=1,IF(Reales!$C$42="PYG",IF(CI$10&gt;0,N(Reales!CI42)/CI$10,0),N(Reales!CI42)),CI$179+CI$182)</f>
        <v>0</v>
      </c>
      <c r="CJ189" s="34" t="n">
        <f aca="false">IF(CJ$8=1,IF(Reales!$C$42="PYG",IF(CJ$10&gt;0,N(Reales!CJ42)/CJ$10,0),N(Reales!CJ42)),CJ$179+CJ$182)</f>
        <v>0</v>
      </c>
      <c r="CK189" s="34" t="n">
        <f aca="false">IF(CK$8=1,IF(Reales!$C$42="PYG",IF(CK$10&gt;0,N(Reales!CK42)/CK$10,0),N(Reales!CK42)),CK$179+CK$182)</f>
        <v>0</v>
      </c>
      <c r="CL189" s="34" t="n">
        <f aca="false">IF(CL$8=1,IF(Reales!$C$42="PYG",IF(CL$10&gt;0,N(Reales!CL42)/CL$10,0),N(Reales!CL42)),CL$179+CL$182)</f>
        <v>0</v>
      </c>
      <c r="CM189" s="34" t="n">
        <f aca="false">IF(CM$8=1,IF(Reales!$C$42="PYG",IF(CM$10&gt;0,N(Reales!CM42)/CM$10,0),N(Reales!CM42)),CM$179+CM$182)</f>
        <v>0</v>
      </c>
      <c r="CN189" s="34" t="n">
        <f aca="false">IF(CN$8=1,IF(Reales!$C$42="PYG",IF(CN$10&gt;0,N(Reales!CN42)/CN$10,0),N(Reales!CN42)),CN$179+CN$182)</f>
        <v>0</v>
      </c>
      <c r="CO189" s="34" t="n">
        <f aca="false">IF(CO$8=1,IF(Reales!$C$42="PYG",IF(CO$10&gt;0,N(Reales!CO42)/CO$10,0),N(Reales!CO42)),CO$179+CO$182)</f>
        <v>0</v>
      </c>
      <c r="CP189" s="34" t="n">
        <f aca="false">IF(CP$8=1,IF(Reales!$C$42="PYG",IF(CP$10&gt;0,N(Reales!CP42)/CP$10,0),N(Reales!CP42)),CP$179+CP$182)</f>
        <v>0</v>
      </c>
      <c r="CQ189" s="34" t="n">
        <f aca="false">IF(CQ$8=1,IF(Reales!$C$42="PYG",IF(CQ$10&gt;0,N(Reales!CQ42)/CQ$10,0),N(Reales!CQ42)),CQ$179+CQ$182)</f>
        <v>0</v>
      </c>
      <c r="CR189" s="34" t="n">
        <f aca="false">IF(CR$8=1,IF(Reales!$C$42="PYG",IF(CR$10&gt;0,N(Reales!CR42)/CR$10,0),N(Reales!CR42)),CR$179+CR$182)</f>
        <v>0</v>
      </c>
      <c r="CS189" s="34" t="n">
        <f aca="false">IF(CS$8=1,IF(Reales!$C$42="PYG",IF(CS$10&gt;0,N(Reales!CS42)/CS$10,0),N(Reales!CS42)),CS$179+CS$182)</f>
        <v>0</v>
      </c>
      <c r="CT189" s="34" t="n">
        <f aca="false">IF(CT$8=1,IF(Reales!$C$42="PYG",IF(CT$10&gt;0,N(Reales!CT42)/CT$10,0),N(Reales!CT42)),CT$179+CT$182)</f>
        <v>0</v>
      </c>
      <c r="CU189" s="34" t="n">
        <f aca="false">IF(CU$8=1,IF(Reales!$C$42="PYG",IF(CU$10&gt;0,N(Reales!CU42)/CU$10,0),N(Reales!CU42)),CU$179+CU$182)</f>
        <v>0</v>
      </c>
      <c r="CV189" s="34" t="n">
        <f aca="false">IF(CV$8=1,IF(Reales!$C$42="PYG",IF(CV$10&gt;0,N(Reales!CV42)/CV$10,0),N(Reales!CV42)),CV$179+CV$182)</f>
        <v>0</v>
      </c>
      <c r="CW189" s="34" t="n">
        <f aca="false">IF(CW$8=1,IF(Reales!$C$42="PYG",IF(CW$10&gt;0,N(Reales!CW42)/CW$10,0),N(Reales!CW42)),CW$179+CW$182)</f>
        <v>0</v>
      </c>
      <c r="CX189" s="34" t="n">
        <f aca="false">IF(CX$8=1,IF(Reales!$C$42="PYG",IF(CX$10&gt;0,N(Reales!CX42)/CX$10,0),N(Reales!CX42)),CX$179+CX$182)</f>
        <v>0</v>
      </c>
      <c r="CY189" s="34" t="n">
        <f aca="false">IF(CY$8=1,IF(Reales!$C$42="PYG",IF(CY$10&gt;0,N(Reales!CY42)/CY$10,0),N(Reales!CY42)),CY$179+CY$182)</f>
        <v>0</v>
      </c>
      <c r="CZ189" s="34" t="n">
        <f aca="false">IF(CZ$8=1,IF(Reales!$C$42="PYG",IF(CZ$10&gt;0,N(Reales!CZ42)/CZ$10,0),N(Reales!CZ42)),CZ$179+CZ$182)</f>
        <v>0</v>
      </c>
      <c r="DA189" s="34" t="n">
        <f aca="false">IF(DA$8=1,IF(Reales!$C$42="PYG",IF(DA$10&gt;0,N(Reales!DA42)/DA$10,0),N(Reales!DA42)),DA$179+DA$182)</f>
        <v>0</v>
      </c>
      <c r="DB189" s="34" t="n">
        <f aca="false">IF(DB$8=1,IF(Reales!$C$42="PYG",IF(DB$10&gt;0,N(Reales!DB42)/DB$10,0),N(Reales!DB42)),DB$179+DB$182)</f>
        <v>0</v>
      </c>
      <c r="DC189" s="34" t="n">
        <f aca="false">IF(DC$8=1,IF(Reales!$C$42="PYG",IF(DC$10&gt;0,N(Reales!DC42)/DC$10,0),N(Reales!DC42)),DC$179+DC$182)</f>
        <v>0</v>
      </c>
      <c r="DD189" s="34" t="n">
        <f aca="false">IF(DD$8=1,IF(Reales!$C$42="PYG",IF(DD$10&gt;0,N(Reales!DD42)/DD$10,0),N(Reales!DD42)),DD$179+DD$182)</f>
        <v>0</v>
      </c>
      <c r="DE189" s="34" t="n">
        <f aca="false">IF(DE$8=1,IF(Reales!$C$42="PYG",IF(DE$10&gt;0,N(Reales!DE42)/DE$10,0),N(Reales!DE42)),DE$179+DE$182)</f>
        <v>0</v>
      </c>
      <c r="DF189" s="34" t="n">
        <f aca="false">IF(DF$8=1,IF(Reales!$C$42="PYG",IF(DF$10&gt;0,N(Reales!DF42)/DF$10,0),N(Reales!DF42)),DF$179+DF$182)</f>
        <v>0</v>
      </c>
      <c r="DG189" s="34" t="n">
        <f aca="false">IF(DG$8=1,IF(Reales!$C$42="PYG",IF(DG$10&gt;0,N(Reales!DG42)/DG$10,0),N(Reales!DG42)),DG$179+DG$182)</f>
        <v>0</v>
      </c>
      <c r="DH189" s="34" t="n">
        <f aca="false">IF(DH$8=1,IF(Reales!$C$42="PYG",IF(DH$10&gt;0,N(Reales!DH42)/DH$10,0),N(Reales!DH42)),DH$179+DH$182)</f>
        <v>0</v>
      </c>
      <c r="DI189" s="34" t="n">
        <f aca="false">IF(DI$8=1,IF(Reales!$C$42="PYG",IF(DI$10&gt;0,N(Reales!DI42)/DI$10,0),N(Reales!DI42)),DI$179+DI$182)</f>
        <v>0</v>
      </c>
      <c r="DJ189" s="34" t="n">
        <f aca="false">IF(DJ$8=1,IF(Reales!$C$42="PYG",IF(DJ$10&gt;0,N(Reales!DJ42)/DJ$10,0),N(Reales!DJ42)),DJ$179+DJ$182)</f>
        <v>0</v>
      </c>
      <c r="DK189" s="34" t="n">
        <f aca="false">IF(DK$8=1,IF(Reales!$C$42="PYG",IF(DK$10&gt;0,N(Reales!DK42)/DK$10,0),N(Reales!DK42)),DK$179+DK$182)</f>
        <v>0</v>
      </c>
      <c r="DL189" s="34" t="n">
        <f aca="false">IF(DL$8=1,IF(Reales!$C$42="PYG",IF(DL$10&gt;0,N(Reales!DL42)/DL$10,0),N(Reales!DL42)),DL$179+DL$182)</f>
        <v>0</v>
      </c>
      <c r="DM189" s="34" t="n">
        <f aca="false">IF(DM$8=1,IF(Reales!$C$42="PYG",IF(DM$10&gt;0,N(Reales!DM42)/DM$10,0),N(Reales!DM42)),DM$179+DM$182)</f>
        <v>0</v>
      </c>
      <c r="DN189" s="34" t="n">
        <f aca="false">IF(DN$8=1,IF(Reales!$C$42="PYG",IF(DN$10&gt;0,N(Reales!DN42)/DN$10,0),N(Reales!DN42)),DN$179+DN$182)</f>
        <v>0</v>
      </c>
      <c r="DO189" s="34" t="n">
        <f aca="false">IF(DO$8=1,IF(Reales!$C$42="PYG",IF(DO$10&gt;0,N(Reales!DO42)/DO$10,0),N(Reales!DO42)),DO$179+DO$182)</f>
        <v>0</v>
      </c>
      <c r="DP189" s="34" t="n">
        <f aca="false">IF(DP$8=1,IF(Reales!$C$42="PYG",IF(DP$10&gt;0,N(Reales!DP42)/DP$10,0),N(Reales!DP42)),DP$179+DP$182)</f>
        <v>0</v>
      </c>
      <c r="DQ189" s="34" t="n">
        <f aca="false">IF(DQ$8=1,IF(Reales!$C$42="PYG",IF(DQ$10&gt;0,N(Reales!DQ42)/DQ$10,0),N(Reales!DQ42)),DQ$179+DQ$182)</f>
        <v>0</v>
      </c>
      <c r="DR189" s="34" t="n">
        <f aca="false">IF(DR$8=1,IF(Reales!$C$42="PYG",IF(DR$10&gt;0,N(Reales!DR42)/DR$10,0),N(Reales!DR42)),DR$179+DR$182)</f>
        <v>0</v>
      </c>
      <c r="DS189" s="34" t="n">
        <f aca="false">IF(DS$8=1,IF(Reales!$C$42="PYG",IF(DS$10&gt;0,N(Reales!DS42)/DS$10,0),N(Reales!DS42)),DS$179+DS$182)</f>
        <v>0</v>
      </c>
      <c r="DT189" s="34" t="n">
        <f aca="false">IF(DT$8=1,IF(Reales!$C$42="PYG",IF(DT$10&gt;0,N(Reales!DT42)/DT$10,0),N(Reales!DT42)),DT$179+DT$182)</f>
        <v>0</v>
      </c>
      <c r="DU189" s="34" t="n">
        <f aca="false">IF(DU$8=1,IF(Reales!$C$42="PYG",IF(DU$10&gt;0,N(Reales!DU42)/DU$10,0),N(Reales!DU42)),DU$179+DU$182)</f>
        <v>0</v>
      </c>
      <c r="DV189" s="34" t="n">
        <f aca="false">IF(DV$8=1,IF(Reales!$C$42="PYG",IF(DV$10&gt;0,N(Reales!DV42)/DV$10,0),N(Reales!DV42)),DV$179+DV$182)</f>
        <v>0</v>
      </c>
      <c r="DW189" s="34" t="n">
        <f aca="false">IF(DW$8=1,IF(Reales!$C$42="PYG",IF(DW$10&gt;0,N(Reales!DW42)/DW$10,0),N(Reales!DW42)),DW$179+DW$182)</f>
        <v>0</v>
      </c>
      <c r="DX189" s="34" t="n">
        <f aca="false">IF(DX$8=1,IF(Reales!$C$42="PYG",IF(DX$10&gt;0,N(Reales!DX42)/DX$10,0),N(Reales!DX42)),DX$179+DX$182)</f>
        <v>0</v>
      </c>
      <c r="DY189" s="34" t="n">
        <f aca="false">IF(DY$8=1,IF(Reales!$C$42="PYG",IF(DY$10&gt;0,N(Reales!DY42)/DY$10,0),N(Reales!DY42)),DY$179+DY$182)</f>
        <v>0</v>
      </c>
      <c r="DZ189" s="34" t="n">
        <f aca="false">IF(DZ$8=1,IF(Reales!$C$42="PYG",IF(DZ$10&gt;0,N(Reales!DZ42)/DZ$10,0),N(Reales!DZ42)),DZ$179+DZ$182)</f>
        <v>0</v>
      </c>
      <c r="EA189" s="34" t="n">
        <f aca="false">IF(EA$8=1,IF(Reales!$C$42="PYG",IF(EA$10&gt;0,N(Reales!EA42)/EA$10,0),N(Reales!EA42)),EA$179+EA$182)</f>
        <v>0</v>
      </c>
      <c r="EB189" s="34" t="n">
        <f aca="false">IF(EB$8=1,IF(Reales!$C$42="PYG",IF(EB$10&gt;0,N(Reales!EB42)/EB$10,0),N(Reales!EB42)),EB$179+EB$182)</f>
        <v>0</v>
      </c>
      <c r="EC189" s="34" t="n">
        <f aca="false">IF(EC$8=1,IF(Reales!$C$42="PYG",IF(EC$10&gt;0,N(Reales!EC42)/EC$10,0),N(Reales!EC42)),EC$179+EC$182)</f>
        <v>0</v>
      </c>
      <c r="ED189" s="34" t="n">
        <f aca="false">IF(ED$8=1,IF(Reales!$C$42="PYG",IF(ED$10&gt;0,N(Reales!ED42)/ED$10,0),N(Reales!ED42)),ED$179+ED$182)</f>
        <v>0</v>
      </c>
      <c r="EE189" s="34" t="n">
        <f aca="false">IF(EE$8=1,IF(Reales!$C$42="PYG",IF(EE$10&gt;0,N(Reales!EE42)/EE$10,0),N(Reales!EE42)),EE$179+EE$182)</f>
        <v>0</v>
      </c>
      <c r="EF189" s="34" t="n">
        <f aca="false">IF(EF$8=1,IF(Reales!$C$42="PYG",IF(EF$10&gt;0,N(Reales!EF42)/EF$10,0),N(Reales!EF42)),EF$179+EF$182)</f>
        <v>0</v>
      </c>
      <c r="EG189" s="34" t="n">
        <f aca="false">IF(EG$8=1,IF(Reales!$C$42="PYG",IF(EG$10&gt;0,N(Reales!EG42)/EG$10,0),N(Reales!EG42)),EG$179+EG$182)</f>
        <v>0</v>
      </c>
      <c r="EH189" s="34" t="n">
        <f aca="false">IF(EH$8=1,IF(Reales!$C$42="PYG",IF(EH$10&gt;0,N(Reales!EH42)/EH$10,0),N(Reales!EH42)),EH$179+EH$182)</f>
        <v>0</v>
      </c>
      <c r="EI189" s="34" t="n">
        <f aca="false">IF(EI$8=1,IF(Reales!$C$42="PYG",IF(EI$10&gt;0,N(Reales!EI42)/EI$10,0),N(Reales!EI42)),EI$179+EI$182)</f>
        <v>0</v>
      </c>
      <c r="EJ189" s="34" t="n">
        <f aca="false">IF(EJ$8=1,IF(Reales!$C$42="PYG",IF(EJ$10&gt;0,N(Reales!EJ42)/EJ$10,0),N(Reales!EJ42)),EJ$179+EJ$182)</f>
        <v>0</v>
      </c>
      <c r="EK189" s="34" t="n">
        <f aca="false">IF(EK$8=1,IF(Reales!$C$42="PYG",IF(EK$10&gt;0,N(Reales!EK42)/EK$10,0),N(Reales!EK42)),EK$179+EK$182)</f>
        <v>0</v>
      </c>
      <c r="EL189" s="34" t="n">
        <f aca="false">IF(EL$8=1,IF(Reales!$C$42="PYG",IF(EL$10&gt;0,N(Reales!EL42)/EL$10,0),N(Reales!EL42)),EL$179+EL$182)</f>
        <v>0</v>
      </c>
      <c r="EM189" s="34" t="n">
        <f aca="false">IF(EM$8=1,IF(Reales!$C$42="PYG",IF(EM$10&gt;0,N(Reales!EM42)/EM$10,0),N(Reales!EM42)),EM$179+EM$182)</f>
        <v>0</v>
      </c>
      <c r="EN189" s="34" t="n">
        <f aca="false">IF(EN$8=1,IF(Reales!$C$42="PYG",IF(EN$10&gt;0,N(Reales!EN42)/EN$10,0),N(Reales!EN42)),EN$179+EN$182)</f>
        <v>0</v>
      </c>
      <c r="EO189" s="34" t="n">
        <f aca="false">IF(EO$8=1,IF(Reales!$C$42="PYG",IF(EO$10&gt;0,N(Reales!EO42)/EO$10,0),N(Reales!EO42)),EO$179+EO$182)</f>
        <v>0</v>
      </c>
      <c r="EP189" s="34" t="n">
        <f aca="false">IF(EP$8=1,IF(Reales!$C$42="PYG",IF(EP$10&gt;0,N(Reales!EP42)/EP$10,0),N(Reales!EP42)),EP$179+EP$182)</f>
        <v>0</v>
      </c>
      <c r="EQ189" s="34" t="n">
        <f aca="false">IF(EQ$8=1,IF(Reales!$C$42="PYG",IF(EQ$10&gt;0,N(Reales!EQ42)/EQ$10,0),N(Reales!EQ42)),EQ$179+EQ$182)</f>
        <v>0</v>
      </c>
      <c r="ER189" s="34" t="n">
        <f aca="false">IF(ER$8=1,IF(Reales!$C$42="PYG",IF(ER$10&gt;0,N(Reales!ER42)/ER$10,0),N(Reales!ER42)),ER$179+ER$182)</f>
        <v>0</v>
      </c>
      <c r="ES189" s="34" t="n">
        <f aca="false">IF(ES$8=1,IF(Reales!$C$42="PYG",IF(ES$10&gt;0,N(Reales!ES42)/ES$10,0),N(Reales!ES42)),ES$179+ES$182)</f>
        <v>0</v>
      </c>
    </row>
    <row r="190" customFormat="false" ht="15" hidden="false" customHeight="false" outlineLevel="0" collapsed="false">
      <c r="A190" s="2" t="s">
        <v>667</v>
      </c>
      <c r="B190" s="52" t="s">
        <v>507</v>
      </c>
      <c r="C190" s="6" t="s">
        <v>212</v>
      </c>
      <c r="E190" s="40" t="n">
        <f aca="false">SUM(F190:ES190)</f>
        <v>0</v>
      </c>
      <c r="F190" s="10" t="n">
        <f aca="false">F$164-F$186-F$187-F$188-F$189</f>
        <v>0</v>
      </c>
      <c r="G190" s="10" t="n">
        <f aca="false">G$164-G$186-G$187-G$188-G$189</f>
        <v>0</v>
      </c>
      <c r="H190" s="10" t="n">
        <f aca="false">H$164-H$186-H$187-H$188-H$189</f>
        <v>0</v>
      </c>
      <c r="I190" s="10" t="n">
        <f aca="false">I$164-I$186-I$187-I$188-I$189</f>
        <v>0</v>
      </c>
      <c r="J190" s="10" t="n">
        <f aca="false">J$164-J$186-J$187-J$188-J$189</f>
        <v>0</v>
      </c>
      <c r="K190" s="10" t="n">
        <f aca="false">K$164-K$186-K$187-K$188-K$189</f>
        <v>0</v>
      </c>
      <c r="L190" s="10" t="n">
        <f aca="false">L$164-L$186-L$187-L$188-L$189</f>
        <v>0</v>
      </c>
      <c r="M190" s="10" t="n">
        <f aca="false">M$164-M$186-M$187-M$188-M$189</f>
        <v>0</v>
      </c>
      <c r="N190" s="10" t="n">
        <f aca="false">N$164-N$186-N$187-N$188-N$189</f>
        <v>0</v>
      </c>
      <c r="O190" s="10" t="n">
        <f aca="false">O$164-O$186-O$187-O$188-O$189</f>
        <v>0</v>
      </c>
      <c r="P190" s="10" t="n">
        <f aca="false">P$164-P$186-P$187-P$188-P$189</f>
        <v>0</v>
      </c>
      <c r="Q190" s="10" t="n">
        <f aca="false">Q$164-Q$186-Q$187-Q$188-Q$189</f>
        <v>0</v>
      </c>
      <c r="R190" s="10" t="n">
        <f aca="false">R$164-R$186-R$187-R$188-R$189</f>
        <v>0</v>
      </c>
      <c r="S190" s="10" t="n">
        <f aca="false">S$164-S$186-S$187-S$188-S$189</f>
        <v>0</v>
      </c>
      <c r="T190" s="10" t="n">
        <f aca="false">T$164-T$186-T$187-T$188-T$189</f>
        <v>0</v>
      </c>
      <c r="U190" s="10" t="n">
        <f aca="false">U$164-U$186-U$187-U$188-U$189</f>
        <v>0</v>
      </c>
      <c r="V190" s="10" t="n">
        <f aca="false">V$164-V$186-V$187-V$188-V$189</f>
        <v>0</v>
      </c>
      <c r="W190" s="10" t="n">
        <f aca="false">W$164-W$186-W$187-W$188-W$189</f>
        <v>0</v>
      </c>
      <c r="X190" s="10" t="n">
        <f aca="false">X$164-X$186-X$187-X$188-X$189</f>
        <v>0</v>
      </c>
      <c r="Y190" s="10" t="n">
        <f aca="false">Y$164-Y$186-Y$187-Y$188-Y$189</f>
        <v>0</v>
      </c>
      <c r="Z190" s="10" t="n">
        <f aca="false">Z$164-Z$186-Z$187-Z$188-Z$189</f>
        <v>0</v>
      </c>
      <c r="AA190" s="10" t="n">
        <f aca="false">AA$164-AA$186-AA$187-AA$188-AA$189</f>
        <v>0</v>
      </c>
      <c r="AB190" s="10" t="n">
        <f aca="false">AB$164-AB$186-AB$187-AB$188-AB$189</f>
        <v>0</v>
      </c>
      <c r="AC190" s="10" t="n">
        <f aca="false">AC$164-AC$186-AC$187-AC$188-AC$189</f>
        <v>0</v>
      </c>
      <c r="AD190" s="10" t="n">
        <f aca="false">AD$164-AD$186-AD$187-AD$188-AD$189</f>
        <v>0</v>
      </c>
      <c r="AE190" s="10" t="n">
        <f aca="false">AE$164-AE$186-AE$187-AE$188-AE$189</f>
        <v>0</v>
      </c>
      <c r="AF190" s="10" t="n">
        <f aca="false">AF$164-AF$186-AF$187-AF$188-AF$189</f>
        <v>0</v>
      </c>
      <c r="AG190" s="10" t="n">
        <f aca="false">AG$164-AG$186-AG$187-AG$188-AG$189</f>
        <v>0</v>
      </c>
      <c r="AH190" s="10" t="n">
        <f aca="false">AH$164-AH$186-AH$187-AH$188-AH$189</f>
        <v>0</v>
      </c>
      <c r="AI190" s="10" t="n">
        <f aca="false">AI$164-AI$186-AI$187-AI$188-AI$189</f>
        <v>0</v>
      </c>
      <c r="AJ190" s="10" t="n">
        <f aca="false">AJ$164-AJ$186-AJ$187-AJ$188-AJ$189</f>
        <v>0</v>
      </c>
      <c r="AK190" s="10" t="n">
        <f aca="false">AK$164-AK$186-AK$187-AK$188-AK$189</f>
        <v>0</v>
      </c>
      <c r="AL190" s="10" t="n">
        <f aca="false">AL$164-AL$186-AL$187-AL$188-AL$189</f>
        <v>0</v>
      </c>
      <c r="AM190" s="10" t="n">
        <f aca="false">AM$164-AM$186-AM$187-AM$188-AM$189</f>
        <v>0</v>
      </c>
      <c r="AN190" s="10" t="n">
        <f aca="false">AN$164-AN$186-AN$187-AN$188-AN$189</f>
        <v>0</v>
      </c>
      <c r="AO190" s="10" t="n">
        <f aca="false">AO$164-AO$186-AO$187-AO$188-AO$189</f>
        <v>0</v>
      </c>
      <c r="AP190" s="10" t="n">
        <f aca="false">AP$164-AP$186-AP$187-AP$188-AP$189</f>
        <v>0</v>
      </c>
      <c r="AQ190" s="10" t="n">
        <f aca="false">AQ$164-AQ$186-AQ$187-AQ$188-AQ$189</f>
        <v>0</v>
      </c>
      <c r="AR190" s="10" t="n">
        <f aca="false">AR$164-AR$186-AR$187-AR$188-AR$189</f>
        <v>0</v>
      </c>
      <c r="AS190" s="10" t="n">
        <f aca="false">AS$164-AS$186-AS$187-AS$188-AS$189</f>
        <v>0</v>
      </c>
      <c r="AT190" s="10" t="n">
        <f aca="false">AT$164-AT$186-AT$187-AT$188-AT$189</f>
        <v>0</v>
      </c>
      <c r="AU190" s="10" t="n">
        <f aca="false">AU$164-AU$186-AU$187-AU$188-AU$189</f>
        <v>0</v>
      </c>
      <c r="AV190" s="10" t="n">
        <f aca="false">AV$164-AV$186-AV$187-AV$188-AV$189</f>
        <v>0</v>
      </c>
      <c r="AW190" s="10" t="n">
        <f aca="false">AW$164-AW$186-AW$187-AW$188-AW$189</f>
        <v>0</v>
      </c>
      <c r="AX190" s="10" t="n">
        <f aca="false">AX$164-AX$186-AX$187-AX$188-AX$189</f>
        <v>0</v>
      </c>
      <c r="AY190" s="10" t="n">
        <f aca="false">AY$164-AY$186-AY$187-AY$188-AY$189</f>
        <v>0</v>
      </c>
      <c r="AZ190" s="10" t="n">
        <f aca="false">AZ$164-AZ$186-AZ$187-AZ$188-AZ$189</f>
        <v>0</v>
      </c>
      <c r="BA190" s="10" t="n">
        <f aca="false">BA$164-BA$186-BA$187-BA$188-BA$189</f>
        <v>0</v>
      </c>
      <c r="BB190" s="10" t="n">
        <f aca="false">BB$164-BB$186-BB$187-BB$188-BB$189</f>
        <v>0</v>
      </c>
      <c r="BC190" s="10" t="n">
        <f aca="false">BC$164-BC$186-BC$187-BC$188-BC$189</f>
        <v>0</v>
      </c>
      <c r="BD190" s="10" t="n">
        <f aca="false">BD$164-BD$186-BD$187-BD$188-BD$189</f>
        <v>0</v>
      </c>
      <c r="BE190" s="10" t="n">
        <f aca="false">BE$164-BE$186-BE$187-BE$188-BE$189</f>
        <v>0</v>
      </c>
      <c r="BF190" s="10" t="n">
        <f aca="false">BF$164-BF$186-BF$187-BF$188-BF$189</f>
        <v>0</v>
      </c>
      <c r="BG190" s="10" t="n">
        <f aca="false">BG$164-BG$186-BG$187-BG$188-BG$189</f>
        <v>0</v>
      </c>
      <c r="BH190" s="10" t="n">
        <f aca="false">BH$164-BH$186-BH$187-BH$188-BH$189</f>
        <v>0</v>
      </c>
      <c r="BI190" s="10" t="n">
        <f aca="false">BI$164-BI$186-BI$187-BI$188-BI$189</f>
        <v>0</v>
      </c>
      <c r="BJ190" s="10" t="n">
        <f aca="false">BJ$164-BJ$186-BJ$187-BJ$188-BJ$189</f>
        <v>0</v>
      </c>
      <c r="BK190" s="10" t="n">
        <f aca="false">BK$164-BK$186-BK$187-BK$188-BK$189</f>
        <v>0</v>
      </c>
      <c r="BL190" s="10" t="n">
        <f aca="false">BL$164-BL$186-BL$187-BL$188-BL$189</f>
        <v>0</v>
      </c>
      <c r="BM190" s="10" t="n">
        <f aca="false">BM$164-BM$186-BM$187-BM$188-BM$189</f>
        <v>0</v>
      </c>
      <c r="BN190" s="10" t="n">
        <f aca="false">BN$164-BN$186-BN$187-BN$188-BN$189</f>
        <v>0</v>
      </c>
      <c r="BO190" s="10" t="n">
        <f aca="false">BO$164-BO$186-BO$187-BO$188-BO$189</f>
        <v>0</v>
      </c>
      <c r="BP190" s="10" t="n">
        <f aca="false">BP$164-BP$186-BP$187-BP$188-BP$189</f>
        <v>0</v>
      </c>
      <c r="BQ190" s="10" t="n">
        <f aca="false">BQ$164-BQ$186-BQ$187-BQ$188-BQ$189</f>
        <v>0</v>
      </c>
      <c r="BR190" s="10" t="n">
        <f aca="false">BR$164-BR$186-BR$187-BR$188-BR$189</f>
        <v>0</v>
      </c>
      <c r="BS190" s="10" t="n">
        <f aca="false">BS$164-BS$186-BS$187-BS$188-BS$189</f>
        <v>0</v>
      </c>
      <c r="BT190" s="10" t="n">
        <f aca="false">BT$164-BT$186-BT$187-BT$188-BT$189</f>
        <v>0</v>
      </c>
      <c r="BU190" s="10" t="n">
        <f aca="false">BU$164-BU$186-BU$187-BU$188-BU$189</f>
        <v>0</v>
      </c>
      <c r="BV190" s="10" t="n">
        <f aca="false">BV$164-BV$186-BV$187-BV$188-BV$189</f>
        <v>0</v>
      </c>
      <c r="BW190" s="10" t="n">
        <f aca="false">BW$164-BW$186-BW$187-BW$188-BW$189</f>
        <v>0</v>
      </c>
      <c r="BX190" s="10" t="n">
        <f aca="false">BX$164-BX$186-BX$187-BX$188-BX$189</f>
        <v>0</v>
      </c>
      <c r="BY190" s="10" t="n">
        <f aca="false">BY$164-BY$186-BY$187-BY$188-BY$189</f>
        <v>0</v>
      </c>
      <c r="BZ190" s="10" t="n">
        <f aca="false">BZ$164-BZ$186-BZ$187-BZ$188-BZ$189</f>
        <v>0</v>
      </c>
      <c r="CA190" s="10" t="n">
        <f aca="false">CA$164-CA$186-CA$187-CA$188-CA$189</f>
        <v>0</v>
      </c>
      <c r="CB190" s="10" t="n">
        <f aca="false">CB$164-CB$186-CB$187-CB$188-CB$189</f>
        <v>0</v>
      </c>
      <c r="CC190" s="10" t="n">
        <f aca="false">CC$164-CC$186-CC$187-CC$188-CC$189</f>
        <v>0</v>
      </c>
      <c r="CD190" s="10" t="n">
        <f aca="false">CD$164-CD$186-CD$187-CD$188-CD$189</f>
        <v>0</v>
      </c>
      <c r="CE190" s="10" t="n">
        <f aca="false">CE$164-CE$186-CE$187-CE$188-CE$189</f>
        <v>0</v>
      </c>
      <c r="CF190" s="10" t="n">
        <f aca="false">CF$164-CF$186-CF$187-CF$188-CF$189</f>
        <v>0</v>
      </c>
      <c r="CG190" s="10" t="n">
        <f aca="false">CG$164-CG$186-CG$187-CG$188-CG$189</f>
        <v>0</v>
      </c>
      <c r="CH190" s="10" t="n">
        <f aca="false">CH$164-CH$186-CH$187-CH$188-CH$189</f>
        <v>0</v>
      </c>
      <c r="CI190" s="10" t="n">
        <f aca="false">CI$164-CI$186-CI$187-CI$188-CI$189</f>
        <v>0</v>
      </c>
      <c r="CJ190" s="10" t="n">
        <f aca="false">CJ$164-CJ$186-CJ$187-CJ$188-CJ$189</f>
        <v>0</v>
      </c>
      <c r="CK190" s="10" t="n">
        <f aca="false">CK$164-CK$186-CK$187-CK$188-CK$189</f>
        <v>0</v>
      </c>
      <c r="CL190" s="10" t="n">
        <f aca="false">CL$164-CL$186-CL$187-CL$188-CL$189</f>
        <v>0</v>
      </c>
      <c r="CM190" s="10" t="n">
        <f aca="false">CM$164-CM$186-CM$187-CM$188-CM$189</f>
        <v>0</v>
      </c>
      <c r="CN190" s="10" t="n">
        <f aca="false">CN$164-CN$186-CN$187-CN$188-CN$189</f>
        <v>0</v>
      </c>
      <c r="CO190" s="10" t="n">
        <f aca="false">CO$164-CO$186-CO$187-CO$188-CO$189</f>
        <v>0</v>
      </c>
      <c r="CP190" s="10" t="n">
        <f aca="false">CP$164-CP$186-CP$187-CP$188-CP$189</f>
        <v>0</v>
      </c>
      <c r="CQ190" s="10" t="n">
        <f aca="false">CQ$164-CQ$186-CQ$187-CQ$188-CQ$189</f>
        <v>0</v>
      </c>
      <c r="CR190" s="10" t="n">
        <f aca="false">CR$164-CR$186-CR$187-CR$188-CR$189</f>
        <v>0</v>
      </c>
      <c r="CS190" s="10" t="n">
        <f aca="false">CS$164-CS$186-CS$187-CS$188-CS$189</f>
        <v>0</v>
      </c>
      <c r="CT190" s="10" t="n">
        <f aca="false">CT$164-CT$186-CT$187-CT$188-CT$189</f>
        <v>0</v>
      </c>
      <c r="CU190" s="10" t="n">
        <f aca="false">CU$164-CU$186-CU$187-CU$188-CU$189</f>
        <v>0</v>
      </c>
      <c r="CV190" s="10" t="n">
        <f aca="false">CV$164-CV$186-CV$187-CV$188-CV$189</f>
        <v>0</v>
      </c>
      <c r="CW190" s="10" t="n">
        <f aca="false">CW$164-CW$186-CW$187-CW$188-CW$189</f>
        <v>0</v>
      </c>
      <c r="CX190" s="10" t="n">
        <f aca="false">CX$164-CX$186-CX$187-CX$188-CX$189</f>
        <v>0</v>
      </c>
      <c r="CY190" s="10" t="n">
        <f aca="false">CY$164-CY$186-CY$187-CY$188-CY$189</f>
        <v>0</v>
      </c>
      <c r="CZ190" s="10" t="n">
        <f aca="false">CZ$164-CZ$186-CZ$187-CZ$188-CZ$189</f>
        <v>0</v>
      </c>
      <c r="DA190" s="10" t="n">
        <f aca="false">DA$164-DA$186-DA$187-DA$188-DA$189</f>
        <v>0</v>
      </c>
      <c r="DB190" s="10" t="n">
        <f aca="false">DB$164-DB$186-DB$187-DB$188-DB$189</f>
        <v>0</v>
      </c>
      <c r="DC190" s="10" t="n">
        <f aca="false">DC$164-DC$186-DC$187-DC$188-DC$189</f>
        <v>0</v>
      </c>
      <c r="DD190" s="10" t="n">
        <f aca="false">DD$164-DD$186-DD$187-DD$188-DD$189</f>
        <v>0</v>
      </c>
      <c r="DE190" s="10" t="n">
        <f aca="false">DE$164-DE$186-DE$187-DE$188-DE$189</f>
        <v>0</v>
      </c>
      <c r="DF190" s="10" t="n">
        <f aca="false">DF$164-DF$186-DF$187-DF$188-DF$189</f>
        <v>0</v>
      </c>
      <c r="DG190" s="10" t="n">
        <f aca="false">DG$164-DG$186-DG$187-DG$188-DG$189</f>
        <v>0</v>
      </c>
      <c r="DH190" s="10" t="n">
        <f aca="false">DH$164-DH$186-DH$187-DH$188-DH$189</f>
        <v>0</v>
      </c>
      <c r="DI190" s="10" t="n">
        <f aca="false">DI$164-DI$186-DI$187-DI$188-DI$189</f>
        <v>0</v>
      </c>
      <c r="DJ190" s="10" t="n">
        <f aca="false">DJ$164-DJ$186-DJ$187-DJ$188-DJ$189</f>
        <v>0</v>
      </c>
      <c r="DK190" s="10" t="n">
        <f aca="false">DK$164-DK$186-DK$187-DK$188-DK$189</f>
        <v>0</v>
      </c>
      <c r="DL190" s="10" t="n">
        <f aca="false">DL$164-DL$186-DL$187-DL$188-DL$189</f>
        <v>0</v>
      </c>
      <c r="DM190" s="10" t="n">
        <f aca="false">DM$164-DM$186-DM$187-DM$188-DM$189</f>
        <v>0</v>
      </c>
      <c r="DN190" s="10" t="n">
        <f aca="false">DN$164-DN$186-DN$187-DN$188-DN$189</f>
        <v>0</v>
      </c>
      <c r="DO190" s="10" t="n">
        <f aca="false">DO$164-DO$186-DO$187-DO$188-DO$189</f>
        <v>0</v>
      </c>
      <c r="DP190" s="10" t="n">
        <f aca="false">DP$164-DP$186-DP$187-DP$188-DP$189</f>
        <v>0</v>
      </c>
      <c r="DQ190" s="10" t="n">
        <f aca="false">DQ$164-DQ$186-DQ$187-DQ$188-DQ$189</f>
        <v>0</v>
      </c>
      <c r="DR190" s="10" t="n">
        <f aca="false">DR$164-DR$186-DR$187-DR$188-DR$189</f>
        <v>0</v>
      </c>
      <c r="DS190" s="10" t="n">
        <f aca="false">DS$164-DS$186-DS$187-DS$188-DS$189</f>
        <v>0</v>
      </c>
      <c r="DT190" s="10" t="n">
        <f aca="false">DT$164-DT$186-DT$187-DT$188-DT$189</f>
        <v>0</v>
      </c>
      <c r="DU190" s="10" t="n">
        <f aca="false">DU$164-DU$186-DU$187-DU$188-DU$189</f>
        <v>0</v>
      </c>
      <c r="DV190" s="10" t="n">
        <f aca="false">DV$164-DV$186-DV$187-DV$188-DV$189</f>
        <v>0</v>
      </c>
      <c r="DW190" s="10" t="n">
        <f aca="false">DW$164-DW$186-DW$187-DW$188-DW$189</f>
        <v>0</v>
      </c>
      <c r="DX190" s="10" t="n">
        <f aca="false">DX$164-DX$186-DX$187-DX$188-DX$189</f>
        <v>0</v>
      </c>
      <c r="DY190" s="10" t="n">
        <f aca="false">DY$164-DY$186-DY$187-DY$188-DY$189</f>
        <v>0</v>
      </c>
      <c r="DZ190" s="10" t="n">
        <f aca="false">DZ$164-DZ$186-DZ$187-DZ$188-DZ$189</f>
        <v>0</v>
      </c>
      <c r="EA190" s="10" t="n">
        <f aca="false">EA$164-EA$186-EA$187-EA$188-EA$189</f>
        <v>0</v>
      </c>
      <c r="EB190" s="10" t="n">
        <f aca="false">EB$164-EB$186-EB$187-EB$188-EB$189</f>
        <v>0</v>
      </c>
      <c r="EC190" s="10" t="n">
        <f aca="false">EC$164-EC$186-EC$187-EC$188-EC$189</f>
        <v>0</v>
      </c>
      <c r="ED190" s="10" t="n">
        <f aca="false">ED$164-ED$186-ED$187-ED$188-ED$189</f>
        <v>0</v>
      </c>
      <c r="EE190" s="10" t="n">
        <f aca="false">EE$164-EE$186-EE$187-EE$188-EE$189</f>
        <v>0</v>
      </c>
      <c r="EF190" s="10" t="n">
        <f aca="false">EF$164-EF$186-EF$187-EF$188-EF$189</f>
        <v>0</v>
      </c>
      <c r="EG190" s="10" t="n">
        <f aca="false">EG$164-EG$186-EG$187-EG$188-EG$189</f>
        <v>0</v>
      </c>
      <c r="EH190" s="10" t="n">
        <f aca="false">EH$164-EH$186-EH$187-EH$188-EH$189</f>
        <v>0</v>
      </c>
      <c r="EI190" s="10" t="n">
        <f aca="false">EI$164-EI$186-EI$187-EI$188-EI$189</f>
        <v>0</v>
      </c>
      <c r="EJ190" s="10" t="n">
        <f aca="false">EJ$164-EJ$186-EJ$187-EJ$188-EJ$189</f>
        <v>0</v>
      </c>
      <c r="EK190" s="10" t="n">
        <f aca="false">EK$164-EK$186-EK$187-EK$188-EK$189</f>
        <v>0</v>
      </c>
      <c r="EL190" s="10" t="n">
        <f aca="false">EL$164-EL$186-EL$187-EL$188-EL$189</f>
        <v>0</v>
      </c>
      <c r="EM190" s="10" t="n">
        <f aca="false">EM$164-EM$186-EM$187-EM$188-EM$189</f>
        <v>0</v>
      </c>
      <c r="EN190" s="10" t="n">
        <f aca="false">EN$164-EN$186-EN$187-EN$188-EN$189</f>
        <v>0</v>
      </c>
      <c r="EO190" s="10" t="n">
        <f aca="false">EO$164-EO$186-EO$187-EO$188-EO$189</f>
        <v>0</v>
      </c>
      <c r="EP190" s="10" t="n">
        <f aca="false">EP$164-EP$186-EP$187-EP$188-EP$189</f>
        <v>0</v>
      </c>
      <c r="EQ190" s="10" t="n">
        <f aca="false">EQ$164-EQ$186-EQ$187-EQ$188-EQ$189</f>
        <v>0</v>
      </c>
      <c r="ER190" s="10" t="n">
        <f aca="false">ER$164-ER$186-ER$187-ER$188-ER$189</f>
        <v>0</v>
      </c>
      <c r="ES190" s="10" t="n">
        <f aca="false">ES$164-ES$186-ES$187-ES$188-ES$189</f>
        <v>0</v>
      </c>
    </row>
    <row r="191" customFormat="false" ht="15" hidden="false" customHeight="false" outlineLevel="0" collapsed="false">
      <c r="A191" s="2" t="s">
        <v>668</v>
      </c>
      <c r="B191" s="6" t="s">
        <v>509</v>
      </c>
      <c r="C191" s="6" t="s">
        <v>212</v>
      </c>
      <c r="E191" s="40" t="n">
        <f aca="false">SUM(F191:ES191)</f>
        <v>0</v>
      </c>
      <c r="F191" s="34" t="n">
        <f aca="false">IF(F$8=1,IF(Reales!$C$41="PYG",IF(F$10&gt;0,N(Reales!F41)/F$10,0),N(Reales!F41)),F$175)</f>
        <v>0</v>
      </c>
      <c r="G191" s="34" t="n">
        <f aca="false">IF(G$8=1,IF(Reales!$C$41="PYG",IF(G$10&gt;0,N(Reales!G41)/G$10,0),N(Reales!G41)),G$175)</f>
        <v>0</v>
      </c>
      <c r="H191" s="34" t="n">
        <f aca="false">IF(H$8=1,IF(Reales!$C$41="PYG",IF(H$10&gt;0,N(Reales!H41)/H$10,0),N(Reales!H41)),H$175)</f>
        <v>0</v>
      </c>
      <c r="I191" s="34" t="n">
        <f aca="false">IF(I$8=1,IF(Reales!$C$41="PYG",IF(I$10&gt;0,N(Reales!I41)/I$10,0),N(Reales!I41)),I$175)</f>
        <v>0</v>
      </c>
      <c r="J191" s="34" t="n">
        <f aca="false">IF(J$8=1,IF(Reales!$C$41="PYG",IF(J$10&gt;0,N(Reales!J41)/J$10,0),N(Reales!J41)),J$175)</f>
        <v>0</v>
      </c>
      <c r="K191" s="34" t="n">
        <f aca="false">IF(K$8=1,IF(Reales!$C$41="PYG",IF(K$10&gt;0,N(Reales!K41)/K$10,0),N(Reales!K41)),K$175)</f>
        <v>0</v>
      </c>
      <c r="L191" s="34" t="n">
        <f aca="false">IF(L$8=1,IF(Reales!$C$41="PYG",IF(L$10&gt;0,N(Reales!L41)/L$10,0),N(Reales!L41)),L$175)</f>
        <v>0</v>
      </c>
      <c r="M191" s="34" t="n">
        <f aca="false">IF(M$8=1,IF(Reales!$C$41="PYG",IF(M$10&gt;0,N(Reales!M41)/M$10,0),N(Reales!M41)),M$175)</f>
        <v>0</v>
      </c>
      <c r="N191" s="34" t="n">
        <f aca="false">IF(N$8=1,IF(Reales!$C$41="PYG",IF(N$10&gt;0,N(Reales!N41)/N$10,0),N(Reales!N41)),N$175)</f>
        <v>0</v>
      </c>
      <c r="O191" s="34" t="n">
        <f aca="false">IF(O$8=1,IF(Reales!$C$41="PYG",IF(O$10&gt;0,N(Reales!O41)/O$10,0),N(Reales!O41)),O$175)</f>
        <v>0</v>
      </c>
      <c r="P191" s="34" t="n">
        <f aca="false">IF(P$8=1,IF(Reales!$C$41="PYG",IF(P$10&gt;0,N(Reales!P41)/P$10,0),N(Reales!P41)),P$175)</f>
        <v>0</v>
      </c>
      <c r="Q191" s="34" t="n">
        <f aca="false">IF(Q$8=1,IF(Reales!$C$41="PYG",IF(Q$10&gt;0,N(Reales!Q41)/Q$10,0),N(Reales!Q41)),Q$175)</f>
        <v>0</v>
      </c>
      <c r="R191" s="34" t="n">
        <f aca="false">IF(R$8=1,IF(Reales!$C$41="PYG",IF(R$10&gt;0,N(Reales!R41)/R$10,0),N(Reales!R41)),R$175)</f>
        <v>0</v>
      </c>
      <c r="S191" s="34" t="n">
        <f aca="false">IF(S$8=1,IF(Reales!$C$41="PYG",IF(S$10&gt;0,N(Reales!S41)/S$10,0),N(Reales!S41)),S$175)</f>
        <v>0</v>
      </c>
      <c r="T191" s="34" t="n">
        <f aca="false">IF(T$8=1,IF(Reales!$C$41="PYG",IF(T$10&gt;0,N(Reales!T41)/T$10,0),N(Reales!T41)),T$175)</f>
        <v>0</v>
      </c>
      <c r="U191" s="34" t="n">
        <f aca="false">IF(U$8=1,IF(Reales!$C$41="PYG",IF(U$10&gt;0,N(Reales!U41)/U$10,0),N(Reales!U41)),U$175)</f>
        <v>0</v>
      </c>
      <c r="V191" s="34" t="n">
        <f aca="false">IF(V$8=1,IF(Reales!$C$41="PYG",IF(V$10&gt;0,N(Reales!V41)/V$10,0),N(Reales!V41)),V$175)</f>
        <v>0</v>
      </c>
      <c r="W191" s="34" t="n">
        <f aca="false">IF(W$8=1,IF(Reales!$C$41="PYG",IF(W$10&gt;0,N(Reales!W41)/W$10,0),N(Reales!W41)),W$175)</f>
        <v>0</v>
      </c>
      <c r="X191" s="34" t="n">
        <f aca="false">IF(X$8=1,IF(Reales!$C$41="PYG",IF(X$10&gt;0,N(Reales!X41)/X$10,0),N(Reales!X41)),X$175)</f>
        <v>0</v>
      </c>
      <c r="Y191" s="34" t="n">
        <f aca="false">IF(Y$8=1,IF(Reales!$C$41="PYG",IF(Y$10&gt;0,N(Reales!Y41)/Y$10,0),N(Reales!Y41)),Y$175)</f>
        <v>0</v>
      </c>
      <c r="Z191" s="34" t="n">
        <f aca="false">IF(Z$8=1,IF(Reales!$C$41="PYG",IF(Z$10&gt;0,N(Reales!Z41)/Z$10,0),N(Reales!Z41)),Z$175)</f>
        <v>0</v>
      </c>
      <c r="AA191" s="34" t="n">
        <f aca="false">IF(AA$8=1,IF(Reales!$C$41="PYG",IF(AA$10&gt;0,N(Reales!AA41)/AA$10,0),N(Reales!AA41)),AA$175)</f>
        <v>0</v>
      </c>
      <c r="AB191" s="34" t="n">
        <f aca="false">IF(AB$8=1,IF(Reales!$C$41="PYG",IF(AB$10&gt;0,N(Reales!AB41)/AB$10,0),N(Reales!AB41)),AB$175)</f>
        <v>0</v>
      </c>
      <c r="AC191" s="34" t="n">
        <f aca="false">IF(AC$8=1,IF(Reales!$C$41="PYG",IF(AC$10&gt;0,N(Reales!AC41)/AC$10,0),N(Reales!AC41)),AC$175)</f>
        <v>0</v>
      </c>
      <c r="AD191" s="34" t="n">
        <f aca="false">IF(AD$8=1,IF(Reales!$C$41="PYG",IF(AD$10&gt;0,N(Reales!AD41)/AD$10,0),N(Reales!AD41)),AD$175)</f>
        <v>0</v>
      </c>
      <c r="AE191" s="34" t="n">
        <f aca="false">IF(AE$8=1,IF(Reales!$C$41="PYG",IF(AE$10&gt;0,N(Reales!AE41)/AE$10,0),N(Reales!AE41)),AE$175)</f>
        <v>0</v>
      </c>
      <c r="AF191" s="34" t="n">
        <f aca="false">IF(AF$8=1,IF(Reales!$C$41="PYG",IF(AF$10&gt;0,N(Reales!AF41)/AF$10,0),N(Reales!AF41)),AF$175)</f>
        <v>0</v>
      </c>
      <c r="AG191" s="34" t="n">
        <f aca="false">IF(AG$8=1,IF(Reales!$C$41="PYG",IF(AG$10&gt;0,N(Reales!AG41)/AG$10,0),N(Reales!AG41)),AG$175)</f>
        <v>0</v>
      </c>
      <c r="AH191" s="34" t="n">
        <f aca="false">IF(AH$8=1,IF(Reales!$C$41="PYG",IF(AH$10&gt;0,N(Reales!AH41)/AH$10,0),N(Reales!AH41)),AH$175)</f>
        <v>0</v>
      </c>
      <c r="AI191" s="34" t="n">
        <f aca="false">IF(AI$8=1,IF(Reales!$C$41="PYG",IF(AI$10&gt;0,N(Reales!AI41)/AI$10,0),N(Reales!AI41)),AI$175)</f>
        <v>0</v>
      </c>
      <c r="AJ191" s="34" t="n">
        <f aca="false">IF(AJ$8=1,IF(Reales!$C$41="PYG",IF(AJ$10&gt;0,N(Reales!AJ41)/AJ$10,0),N(Reales!AJ41)),AJ$175)</f>
        <v>0</v>
      </c>
      <c r="AK191" s="34" t="n">
        <f aca="false">IF(AK$8=1,IF(Reales!$C$41="PYG",IF(AK$10&gt;0,N(Reales!AK41)/AK$10,0),N(Reales!AK41)),AK$175)</f>
        <v>0</v>
      </c>
      <c r="AL191" s="34" t="n">
        <f aca="false">IF(AL$8=1,IF(Reales!$C$41="PYG",IF(AL$10&gt;0,N(Reales!AL41)/AL$10,0),N(Reales!AL41)),AL$175)</f>
        <v>0</v>
      </c>
      <c r="AM191" s="34" t="n">
        <f aca="false">IF(AM$8=1,IF(Reales!$C$41="PYG",IF(AM$10&gt;0,N(Reales!AM41)/AM$10,0),N(Reales!AM41)),AM$175)</f>
        <v>0</v>
      </c>
      <c r="AN191" s="34" t="n">
        <f aca="false">IF(AN$8=1,IF(Reales!$C$41="PYG",IF(AN$10&gt;0,N(Reales!AN41)/AN$10,0),N(Reales!AN41)),AN$175)</f>
        <v>0</v>
      </c>
      <c r="AO191" s="34" t="n">
        <f aca="false">IF(AO$8=1,IF(Reales!$C$41="PYG",IF(AO$10&gt;0,N(Reales!AO41)/AO$10,0),N(Reales!AO41)),AO$175)</f>
        <v>0</v>
      </c>
      <c r="AP191" s="34" t="n">
        <f aca="false">IF(AP$8=1,IF(Reales!$C$41="PYG",IF(AP$10&gt;0,N(Reales!AP41)/AP$10,0),N(Reales!AP41)),AP$175)</f>
        <v>0</v>
      </c>
      <c r="AQ191" s="34" t="n">
        <f aca="false">IF(AQ$8=1,IF(Reales!$C$41="PYG",IF(AQ$10&gt;0,N(Reales!AQ41)/AQ$10,0),N(Reales!AQ41)),AQ$175)</f>
        <v>0</v>
      </c>
      <c r="AR191" s="34" t="n">
        <f aca="false">IF(AR$8=1,IF(Reales!$C$41="PYG",IF(AR$10&gt;0,N(Reales!AR41)/AR$10,0),N(Reales!AR41)),AR$175)</f>
        <v>0</v>
      </c>
      <c r="AS191" s="34" t="n">
        <f aca="false">IF(AS$8=1,IF(Reales!$C$41="PYG",IF(AS$10&gt;0,N(Reales!AS41)/AS$10,0),N(Reales!AS41)),AS$175)</f>
        <v>0</v>
      </c>
      <c r="AT191" s="34" t="n">
        <f aca="false">IF(AT$8=1,IF(Reales!$C$41="PYG",IF(AT$10&gt;0,N(Reales!AT41)/AT$10,0),N(Reales!AT41)),AT$175)</f>
        <v>0</v>
      </c>
      <c r="AU191" s="34" t="n">
        <f aca="false">IF(AU$8=1,IF(Reales!$C$41="PYG",IF(AU$10&gt;0,N(Reales!AU41)/AU$10,0),N(Reales!AU41)),AU$175)</f>
        <v>0</v>
      </c>
      <c r="AV191" s="34" t="n">
        <f aca="false">IF(AV$8=1,IF(Reales!$C$41="PYG",IF(AV$10&gt;0,N(Reales!AV41)/AV$10,0),N(Reales!AV41)),AV$175)</f>
        <v>0</v>
      </c>
      <c r="AW191" s="34" t="n">
        <f aca="false">IF(AW$8=1,IF(Reales!$C$41="PYG",IF(AW$10&gt;0,N(Reales!AW41)/AW$10,0),N(Reales!AW41)),AW$175)</f>
        <v>0</v>
      </c>
      <c r="AX191" s="34" t="n">
        <f aca="false">IF(AX$8=1,IF(Reales!$C$41="PYG",IF(AX$10&gt;0,N(Reales!AX41)/AX$10,0),N(Reales!AX41)),AX$175)</f>
        <v>0</v>
      </c>
      <c r="AY191" s="34" t="n">
        <f aca="false">IF(AY$8=1,IF(Reales!$C$41="PYG",IF(AY$10&gt;0,N(Reales!AY41)/AY$10,0),N(Reales!AY41)),AY$175)</f>
        <v>0</v>
      </c>
      <c r="AZ191" s="34" t="n">
        <f aca="false">IF(AZ$8=1,IF(Reales!$C$41="PYG",IF(AZ$10&gt;0,N(Reales!AZ41)/AZ$10,0),N(Reales!AZ41)),AZ$175)</f>
        <v>0</v>
      </c>
      <c r="BA191" s="34" t="n">
        <f aca="false">IF(BA$8=1,IF(Reales!$C$41="PYG",IF(BA$10&gt;0,N(Reales!BA41)/BA$10,0),N(Reales!BA41)),BA$175)</f>
        <v>0</v>
      </c>
      <c r="BB191" s="34" t="n">
        <f aca="false">IF(BB$8=1,IF(Reales!$C$41="PYG",IF(BB$10&gt;0,N(Reales!BB41)/BB$10,0),N(Reales!BB41)),BB$175)</f>
        <v>0</v>
      </c>
      <c r="BC191" s="34" t="n">
        <f aca="false">IF(BC$8=1,IF(Reales!$C$41="PYG",IF(BC$10&gt;0,N(Reales!BC41)/BC$10,0),N(Reales!BC41)),BC$175)</f>
        <v>0</v>
      </c>
      <c r="BD191" s="34" t="n">
        <f aca="false">IF(BD$8=1,IF(Reales!$C$41="PYG",IF(BD$10&gt;0,N(Reales!BD41)/BD$10,0),N(Reales!BD41)),BD$175)</f>
        <v>0</v>
      </c>
      <c r="BE191" s="34" t="n">
        <f aca="false">IF(BE$8=1,IF(Reales!$C$41="PYG",IF(BE$10&gt;0,N(Reales!BE41)/BE$10,0),N(Reales!BE41)),BE$175)</f>
        <v>0</v>
      </c>
      <c r="BF191" s="34" t="n">
        <f aca="false">IF(BF$8=1,IF(Reales!$C$41="PYG",IF(BF$10&gt;0,N(Reales!BF41)/BF$10,0),N(Reales!BF41)),BF$175)</f>
        <v>0</v>
      </c>
      <c r="BG191" s="34" t="n">
        <f aca="false">IF(BG$8=1,IF(Reales!$C$41="PYG",IF(BG$10&gt;0,N(Reales!BG41)/BG$10,0),N(Reales!BG41)),BG$175)</f>
        <v>0</v>
      </c>
      <c r="BH191" s="34" t="n">
        <f aca="false">IF(BH$8=1,IF(Reales!$C$41="PYG",IF(BH$10&gt;0,N(Reales!BH41)/BH$10,0),N(Reales!BH41)),BH$175)</f>
        <v>0</v>
      </c>
      <c r="BI191" s="34" t="n">
        <f aca="false">IF(BI$8=1,IF(Reales!$C$41="PYG",IF(BI$10&gt;0,N(Reales!BI41)/BI$10,0),N(Reales!BI41)),BI$175)</f>
        <v>0</v>
      </c>
      <c r="BJ191" s="34" t="n">
        <f aca="false">IF(BJ$8=1,IF(Reales!$C$41="PYG",IF(BJ$10&gt;0,N(Reales!BJ41)/BJ$10,0),N(Reales!BJ41)),BJ$175)</f>
        <v>0</v>
      </c>
      <c r="BK191" s="34" t="n">
        <f aca="false">IF(BK$8=1,IF(Reales!$C$41="PYG",IF(BK$10&gt;0,N(Reales!BK41)/BK$10,0),N(Reales!BK41)),BK$175)</f>
        <v>0</v>
      </c>
      <c r="BL191" s="34" t="n">
        <f aca="false">IF(BL$8=1,IF(Reales!$C$41="PYG",IF(BL$10&gt;0,N(Reales!BL41)/BL$10,0),N(Reales!BL41)),BL$175)</f>
        <v>0</v>
      </c>
      <c r="BM191" s="34" t="n">
        <f aca="false">IF(BM$8=1,IF(Reales!$C$41="PYG",IF(BM$10&gt;0,N(Reales!BM41)/BM$10,0),N(Reales!BM41)),BM$175)</f>
        <v>0</v>
      </c>
      <c r="BN191" s="34" t="n">
        <f aca="false">IF(BN$8=1,IF(Reales!$C$41="PYG",IF(BN$10&gt;0,N(Reales!BN41)/BN$10,0),N(Reales!BN41)),BN$175)</f>
        <v>0</v>
      </c>
      <c r="BO191" s="34" t="n">
        <f aca="false">IF(BO$8=1,IF(Reales!$C$41="PYG",IF(BO$10&gt;0,N(Reales!BO41)/BO$10,0),N(Reales!BO41)),BO$175)</f>
        <v>0</v>
      </c>
      <c r="BP191" s="34" t="n">
        <f aca="false">IF(BP$8=1,IF(Reales!$C$41="PYG",IF(BP$10&gt;0,N(Reales!BP41)/BP$10,0),N(Reales!BP41)),BP$175)</f>
        <v>0</v>
      </c>
      <c r="BQ191" s="34" t="n">
        <f aca="false">IF(BQ$8=1,IF(Reales!$C$41="PYG",IF(BQ$10&gt;0,N(Reales!BQ41)/BQ$10,0),N(Reales!BQ41)),BQ$175)</f>
        <v>0</v>
      </c>
      <c r="BR191" s="34" t="n">
        <f aca="false">IF(BR$8=1,IF(Reales!$C$41="PYG",IF(BR$10&gt;0,N(Reales!BR41)/BR$10,0),N(Reales!BR41)),BR$175)</f>
        <v>0</v>
      </c>
      <c r="BS191" s="34" t="n">
        <f aca="false">IF(BS$8=1,IF(Reales!$C$41="PYG",IF(BS$10&gt;0,N(Reales!BS41)/BS$10,0),N(Reales!BS41)),BS$175)</f>
        <v>0</v>
      </c>
      <c r="BT191" s="34" t="n">
        <f aca="false">IF(BT$8=1,IF(Reales!$C$41="PYG",IF(BT$10&gt;0,N(Reales!BT41)/BT$10,0),N(Reales!BT41)),BT$175)</f>
        <v>0</v>
      </c>
      <c r="BU191" s="34" t="n">
        <f aca="false">IF(BU$8=1,IF(Reales!$C$41="PYG",IF(BU$10&gt;0,N(Reales!BU41)/BU$10,0),N(Reales!BU41)),BU$175)</f>
        <v>0</v>
      </c>
      <c r="BV191" s="34" t="n">
        <f aca="false">IF(BV$8=1,IF(Reales!$C$41="PYG",IF(BV$10&gt;0,N(Reales!BV41)/BV$10,0),N(Reales!BV41)),BV$175)</f>
        <v>0</v>
      </c>
      <c r="BW191" s="34" t="n">
        <f aca="false">IF(BW$8=1,IF(Reales!$C$41="PYG",IF(BW$10&gt;0,N(Reales!BW41)/BW$10,0),N(Reales!BW41)),BW$175)</f>
        <v>0</v>
      </c>
      <c r="BX191" s="34" t="n">
        <f aca="false">IF(BX$8=1,IF(Reales!$C$41="PYG",IF(BX$10&gt;0,N(Reales!BX41)/BX$10,0),N(Reales!BX41)),BX$175)</f>
        <v>0</v>
      </c>
      <c r="BY191" s="34" t="n">
        <f aca="false">IF(BY$8=1,IF(Reales!$C$41="PYG",IF(BY$10&gt;0,N(Reales!BY41)/BY$10,0),N(Reales!BY41)),BY$175)</f>
        <v>0</v>
      </c>
      <c r="BZ191" s="34" t="n">
        <f aca="false">IF(BZ$8=1,IF(Reales!$C$41="PYG",IF(BZ$10&gt;0,N(Reales!BZ41)/BZ$10,0),N(Reales!BZ41)),BZ$175)</f>
        <v>0</v>
      </c>
      <c r="CA191" s="34" t="n">
        <f aca="false">IF(CA$8=1,IF(Reales!$C$41="PYG",IF(CA$10&gt;0,N(Reales!CA41)/CA$10,0),N(Reales!CA41)),CA$175)</f>
        <v>0</v>
      </c>
      <c r="CB191" s="34" t="n">
        <f aca="false">IF(CB$8=1,IF(Reales!$C$41="PYG",IF(CB$10&gt;0,N(Reales!CB41)/CB$10,0),N(Reales!CB41)),CB$175)</f>
        <v>0</v>
      </c>
      <c r="CC191" s="34" t="n">
        <f aca="false">IF(CC$8=1,IF(Reales!$C$41="PYG",IF(CC$10&gt;0,N(Reales!CC41)/CC$10,0),N(Reales!CC41)),CC$175)</f>
        <v>0</v>
      </c>
      <c r="CD191" s="34" t="n">
        <f aca="false">IF(CD$8=1,IF(Reales!$C$41="PYG",IF(CD$10&gt;0,N(Reales!CD41)/CD$10,0),N(Reales!CD41)),CD$175)</f>
        <v>0</v>
      </c>
      <c r="CE191" s="34" t="n">
        <f aca="false">IF(CE$8=1,IF(Reales!$C$41="PYG",IF(CE$10&gt;0,N(Reales!CE41)/CE$10,0),N(Reales!CE41)),CE$175)</f>
        <v>0</v>
      </c>
      <c r="CF191" s="34" t="n">
        <f aca="false">IF(CF$8=1,IF(Reales!$C$41="PYG",IF(CF$10&gt;0,N(Reales!CF41)/CF$10,0),N(Reales!CF41)),CF$175)</f>
        <v>0</v>
      </c>
      <c r="CG191" s="34" t="n">
        <f aca="false">IF(CG$8=1,IF(Reales!$C$41="PYG",IF(CG$10&gt;0,N(Reales!CG41)/CG$10,0),N(Reales!CG41)),CG$175)</f>
        <v>0</v>
      </c>
      <c r="CH191" s="34" t="n">
        <f aca="false">IF(CH$8=1,IF(Reales!$C$41="PYG",IF(CH$10&gt;0,N(Reales!CH41)/CH$10,0),N(Reales!CH41)),CH$175)</f>
        <v>0</v>
      </c>
      <c r="CI191" s="34" t="n">
        <f aca="false">IF(CI$8=1,IF(Reales!$C$41="PYG",IF(CI$10&gt;0,N(Reales!CI41)/CI$10,0),N(Reales!CI41)),CI$175)</f>
        <v>0</v>
      </c>
      <c r="CJ191" s="34" t="n">
        <f aca="false">IF(CJ$8=1,IF(Reales!$C$41="PYG",IF(CJ$10&gt;0,N(Reales!CJ41)/CJ$10,0),N(Reales!CJ41)),CJ$175)</f>
        <v>0</v>
      </c>
      <c r="CK191" s="34" t="n">
        <f aca="false">IF(CK$8=1,IF(Reales!$C$41="PYG",IF(CK$10&gt;0,N(Reales!CK41)/CK$10,0),N(Reales!CK41)),CK$175)</f>
        <v>0</v>
      </c>
      <c r="CL191" s="34" t="n">
        <f aca="false">IF(CL$8=1,IF(Reales!$C$41="PYG",IF(CL$10&gt;0,N(Reales!CL41)/CL$10,0),N(Reales!CL41)),CL$175)</f>
        <v>0</v>
      </c>
      <c r="CM191" s="34" t="n">
        <f aca="false">IF(CM$8=1,IF(Reales!$C$41="PYG",IF(CM$10&gt;0,N(Reales!CM41)/CM$10,0),N(Reales!CM41)),CM$175)</f>
        <v>0</v>
      </c>
      <c r="CN191" s="34" t="n">
        <f aca="false">IF(CN$8=1,IF(Reales!$C$41="PYG",IF(CN$10&gt;0,N(Reales!CN41)/CN$10,0),N(Reales!CN41)),CN$175)</f>
        <v>0</v>
      </c>
      <c r="CO191" s="34" t="n">
        <f aca="false">IF(CO$8=1,IF(Reales!$C$41="PYG",IF(CO$10&gt;0,N(Reales!CO41)/CO$10,0),N(Reales!CO41)),CO$175)</f>
        <v>0</v>
      </c>
      <c r="CP191" s="34" t="n">
        <f aca="false">IF(CP$8=1,IF(Reales!$C$41="PYG",IF(CP$10&gt;0,N(Reales!CP41)/CP$10,0),N(Reales!CP41)),CP$175)</f>
        <v>0</v>
      </c>
      <c r="CQ191" s="34" t="n">
        <f aca="false">IF(CQ$8=1,IF(Reales!$C$41="PYG",IF(CQ$10&gt;0,N(Reales!CQ41)/CQ$10,0),N(Reales!CQ41)),CQ$175)</f>
        <v>0</v>
      </c>
      <c r="CR191" s="34" t="n">
        <f aca="false">IF(CR$8=1,IF(Reales!$C$41="PYG",IF(CR$10&gt;0,N(Reales!CR41)/CR$10,0),N(Reales!CR41)),CR$175)</f>
        <v>0</v>
      </c>
      <c r="CS191" s="34" t="n">
        <f aca="false">IF(CS$8=1,IF(Reales!$C$41="PYG",IF(CS$10&gt;0,N(Reales!CS41)/CS$10,0),N(Reales!CS41)),CS$175)</f>
        <v>0</v>
      </c>
      <c r="CT191" s="34" t="n">
        <f aca="false">IF(CT$8=1,IF(Reales!$C$41="PYG",IF(CT$10&gt;0,N(Reales!CT41)/CT$10,0),N(Reales!CT41)),CT$175)</f>
        <v>0</v>
      </c>
      <c r="CU191" s="34" t="n">
        <f aca="false">IF(CU$8=1,IF(Reales!$C$41="PYG",IF(CU$10&gt;0,N(Reales!CU41)/CU$10,0),N(Reales!CU41)),CU$175)</f>
        <v>0</v>
      </c>
      <c r="CV191" s="34" t="n">
        <f aca="false">IF(CV$8=1,IF(Reales!$C$41="PYG",IF(CV$10&gt;0,N(Reales!CV41)/CV$10,0),N(Reales!CV41)),CV$175)</f>
        <v>0</v>
      </c>
      <c r="CW191" s="34" t="n">
        <f aca="false">IF(CW$8=1,IF(Reales!$C$41="PYG",IF(CW$10&gt;0,N(Reales!CW41)/CW$10,0),N(Reales!CW41)),CW$175)</f>
        <v>0</v>
      </c>
      <c r="CX191" s="34" t="n">
        <f aca="false">IF(CX$8=1,IF(Reales!$C$41="PYG",IF(CX$10&gt;0,N(Reales!CX41)/CX$10,0),N(Reales!CX41)),CX$175)</f>
        <v>0</v>
      </c>
      <c r="CY191" s="34" t="n">
        <f aca="false">IF(CY$8=1,IF(Reales!$C$41="PYG",IF(CY$10&gt;0,N(Reales!CY41)/CY$10,0),N(Reales!CY41)),CY$175)</f>
        <v>0</v>
      </c>
      <c r="CZ191" s="34" t="n">
        <f aca="false">IF(CZ$8=1,IF(Reales!$C$41="PYG",IF(CZ$10&gt;0,N(Reales!CZ41)/CZ$10,0),N(Reales!CZ41)),CZ$175)</f>
        <v>0</v>
      </c>
      <c r="DA191" s="34" t="n">
        <f aca="false">IF(DA$8=1,IF(Reales!$C$41="PYG",IF(DA$10&gt;0,N(Reales!DA41)/DA$10,0),N(Reales!DA41)),DA$175)</f>
        <v>0</v>
      </c>
      <c r="DB191" s="34" t="n">
        <f aca="false">IF(DB$8=1,IF(Reales!$C$41="PYG",IF(DB$10&gt;0,N(Reales!DB41)/DB$10,0),N(Reales!DB41)),DB$175)</f>
        <v>0</v>
      </c>
      <c r="DC191" s="34" t="n">
        <f aca="false">IF(DC$8=1,IF(Reales!$C$41="PYG",IF(DC$10&gt;0,N(Reales!DC41)/DC$10,0),N(Reales!DC41)),DC$175)</f>
        <v>0</v>
      </c>
      <c r="DD191" s="34" t="n">
        <f aca="false">IF(DD$8=1,IF(Reales!$C$41="PYG",IF(DD$10&gt;0,N(Reales!DD41)/DD$10,0),N(Reales!DD41)),DD$175)</f>
        <v>0</v>
      </c>
      <c r="DE191" s="34" t="n">
        <f aca="false">IF(DE$8=1,IF(Reales!$C$41="PYG",IF(DE$10&gt;0,N(Reales!DE41)/DE$10,0),N(Reales!DE41)),DE$175)</f>
        <v>0</v>
      </c>
      <c r="DF191" s="34" t="n">
        <f aca="false">IF(DF$8=1,IF(Reales!$C$41="PYG",IF(DF$10&gt;0,N(Reales!DF41)/DF$10,0),N(Reales!DF41)),DF$175)</f>
        <v>0</v>
      </c>
      <c r="DG191" s="34" t="n">
        <f aca="false">IF(DG$8=1,IF(Reales!$C$41="PYG",IF(DG$10&gt;0,N(Reales!DG41)/DG$10,0),N(Reales!DG41)),DG$175)</f>
        <v>0</v>
      </c>
      <c r="DH191" s="34" t="n">
        <f aca="false">IF(DH$8=1,IF(Reales!$C$41="PYG",IF(DH$10&gt;0,N(Reales!DH41)/DH$10,0),N(Reales!DH41)),DH$175)</f>
        <v>0</v>
      </c>
      <c r="DI191" s="34" t="n">
        <f aca="false">IF(DI$8=1,IF(Reales!$C$41="PYG",IF(DI$10&gt;0,N(Reales!DI41)/DI$10,0),N(Reales!DI41)),DI$175)</f>
        <v>0</v>
      </c>
      <c r="DJ191" s="34" t="n">
        <f aca="false">IF(DJ$8=1,IF(Reales!$C$41="PYG",IF(DJ$10&gt;0,N(Reales!DJ41)/DJ$10,0),N(Reales!DJ41)),DJ$175)</f>
        <v>0</v>
      </c>
      <c r="DK191" s="34" t="n">
        <f aca="false">IF(DK$8=1,IF(Reales!$C$41="PYG",IF(DK$10&gt;0,N(Reales!DK41)/DK$10,0),N(Reales!DK41)),DK$175)</f>
        <v>0</v>
      </c>
      <c r="DL191" s="34" t="n">
        <f aca="false">IF(DL$8=1,IF(Reales!$C$41="PYG",IF(DL$10&gt;0,N(Reales!DL41)/DL$10,0),N(Reales!DL41)),DL$175)</f>
        <v>0</v>
      </c>
      <c r="DM191" s="34" t="n">
        <f aca="false">IF(DM$8=1,IF(Reales!$C$41="PYG",IF(DM$10&gt;0,N(Reales!DM41)/DM$10,0),N(Reales!DM41)),DM$175)</f>
        <v>0</v>
      </c>
      <c r="DN191" s="34" t="n">
        <f aca="false">IF(DN$8=1,IF(Reales!$C$41="PYG",IF(DN$10&gt;0,N(Reales!DN41)/DN$10,0),N(Reales!DN41)),DN$175)</f>
        <v>0</v>
      </c>
      <c r="DO191" s="34" t="n">
        <f aca="false">IF(DO$8=1,IF(Reales!$C$41="PYG",IF(DO$10&gt;0,N(Reales!DO41)/DO$10,0),N(Reales!DO41)),DO$175)</f>
        <v>0</v>
      </c>
      <c r="DP191" s="34" t="n">
        <f aca="false">IF(DP$8=1,IF(Reales!$C$41="PYG",IF(DP$10&gt;0,N(Reales!DP41)/DP$10,0),N(Reales!DP41)),DP$175)</f>
        <v>0</v>
      </c>
      <c r="DQ191" s="34" t="n">
        <f aca="false">IF(DQ$8=1,IF(Reales!$C$41="PYG",IF(DQ$10&gt;0,N(Reales!DQ41)/DQ$10,0),N(Reales!DQ41)),DQ$175)</f>
        <v>0</v>
      </c>
      <c r="DR191" s="34" t="n">
        <f aca="false">IF(DR$8=1,IF(Reales!$C$41="PYG",IF(DR$10&gt;0,N(Reales!DR41)/DR$10,0),N(Reales!DR41)),DR$175)</f>
        <v>0</v>
      </c>
      <c r="DS191" s="34" t="n">
        <f aca="false">IF(DS$8=1,IF(Reales!$C$41="PYG",IF(DS$10&gt;0,N(Reales!DS41)/DS$10,0),N(Reales!DS41)),DS$175)</f>
        <v>0</v>
      </c>
      <c r="DT191" s="34" t="n">
        <f aca="false">IF(DT$8=1,IF(Reales!$C$41="PYG",IF(DT$10&gt;0,N(Reales!DT41)/DT$10,0),N(Reales!DT41)),DT$175)</f>
        <v>0</v>
      </c>
      <c r="DU191" s="34" t="n">
        <f aca="false">IF(DU$8=1,IF(Reales!$C$41="PYG",IF(DU$10&gt;0,N(Reales!DU41)/DU$10,0),N(Reales!DU41)),DU$175)</f>
        <v>0</v>
      </c>
      <c r="DV191" s="34" t="n">
        <f aca="false">IF(DV$8=1,IF(Reales!$C$41="PYG",IF(DV$10&gt;0,N(Reales!DV41)/DV$10,0),N(Reales!DV41)),DV$175)</f>
        <v>0</v>
      </c>
      <c r="DW191" s="34" t="n">
        <f aca="false">IF(DW$8=1,IF(Reales!$C$41="PYG",IF(DW$10&gt;0,N(Reales!DW41)/DW$10,0),N(Reales!DW41)),DW$175)</f>
        <v>0</v>
      </c>
      <c r="DX191" s="34" t="n">
        <f aca="false">IF(DX$8=1,IF(Reales!$C$41="PYG",IF(DX$10&gt;0,N(Reales!DX41)/DX$10,0),N(Reales!DX41)),DX$175)</f>
        <v>0</v>
      </c>
      <c r="DY191" s="34" t="n">
        <f aca="false">IF(DY$8=1,IF(Reales!$C$41="PYG",IF(DY$10&gt;0,N(Reales!DY41)/DY$10,0),N(Reales!DY41)),DY$175)</f>
        <v>0</v>
      </c>
      <c r="DZ191" s="34" t="n">
        <f aca="false">IF(DZ$8=1,IF(Reales!$C$41="PYG",IF(DZ$10&gt;0,N(Reales!DZ41)/DZ$10,0),N(Reales!DZ41)),DZ$175)</f>
        <v>0</v>
      </c>
      <c r="EA191" s="34" t="n">
        <f aca="false">IF(EA$8=1,IF(Reales!$C$41="PYG",IF(EA$10&gt;0,N(Reales!EA41)/EA$10,0),N(Reales!EA41)),EA$175)</f>
        <v>0</v>
      </c>
      <c r="EB191" s="34" t="n">
        <f aca="false">IF(EB$8=1,IF(Reales!$C$41="PYG",IF(EB$10&gt;0,N(Reales!EB41)/EB$10,0),N(Reales!EB41)),EB$175)</f>
        <v>0</v>
      </c>
      <c r="EC191" s="34" t="n">
        <f aca="false">IF(EC$8=1,IF(Reales!$C$41="PYG",IF(EC$10&gt;0,N(Reales!EC41)/EC$10,0),N(Reales!EC41)),EC$175)</f>
        <v>0</v>
      </c>
      <c r="ED191" s="34" t="n">
        <f aca="false">IF(ED$8=1,IF(Reales!$C$41="PYG",IF(ED$10&gt;0,N(Reales!ED41)/ED$10,0),N(Reales!ED41)),ED$175)</f>
        <v>0</v>
      </c>
      <c r="EE191" s="34" t="n">
        <f aca="false">IF(EE$8=1,IF(Reales!$C$41="PYG",IF(EE$10&gt;0,N(Reales!EE41)/EE$10,0),N(Reales!EE41)),EE$175)</f>
        <v>0</v>
      </c>
      <c r="EF191" s="34" t="n">
        <f aca="false">IF(EF$8=1,IF(Reales!$C$41="PYG",IF(EF$10&gt;0,N(Reales!EF41)/EF$10,0),N(Reales!EF41)),EF$175)</f>
        <v>0</v>
      </c>
      <c r="EG191" s="34" t="n">
        <f aca="false">IF(EG$8=1,IF(Reales!$C$41="PYG",IF(EG$10&gt;0,N(Reales!EG41)/EG$10,0),N(Reales!EG41)),EG$175)</f>
        <v>0</v>
      </c>
      <c r="EH191" s="34" t="n">
        <f aca="false">IF(EH$8=1,IF(Reales!$C$41="PYG",IF(EH$10&gt;0,N(Reales!EH41)/EH$10,0),N(Reales!EH41)),EH$175)</f>
        <v>0</v>
      </c>
      <c r="EI191" s="34" t="n">
        <f aca="false">IF(EI$8=1,IF(Reales!$C$41="PYG",IF(EI$10&gt;0,N(Reales!EI41)/EI$10,0),N(Reales!EI41)),EI$175)</f>
        <v>0</v>
      </c>
      <c r="EJ191" s="34" t="n">
        <f aca="false">IF(EJ$8=1,IF(Reales!$C$41="PYG",IF(EJ$10&gt;0,N(Reales!EJ41)/EJ$10,0),N(Reales!EJ41)),EJ$175)</f>
        <v>0</v>
      </c>
      <c r="EK191" s="34" t="n">
        <f aca="false">IF(EK$8=1,IF(Reales!$C$41="PYG",IF(EK$10&gt;0,N(Reales!EK41)/EK$10,0),N(Reales!EK41)),EK$175)</f>
        <v>0</v>
      </c>
      <c r="EL191" s="34" t="n">
        <f aca="false">IF(EL$8=1,IF(Reales!$C$41="PYG",IF(EL$10&gt;0,N(Reales!EL41)/EL$10,0),N(Reales!EL41)),EL$175)</f>
        <v>0</v>
      </c>
      <c r="EM191" s="34" t="n">
        <f aca="false">IF(EM$8=1,IF(Reales!$C$41="PYG",IF(EM$10&gt;0,N(Reales!EM41)/EM$10,0),N(Reales!EM41)),EM$175)</f>
        <v>0</v>
      </c>
      <c r="EN191" s="34" t="n">
        <f aca="false">IF(EN$8=1,IF(Reales!$C$41="PYG",IF(EN$10&gt;0,N(Reales!EN41)/EN$10,0),N(Reales!EN41)),EN$175)</f>
        <v>0</v>
      </c>
      <c r="EO191" s="34" t="n">
        <f aca="false">IF(EO$8=1,IF(Reales!$C$41="PYG",IF(EO$10&gt;0,N(Reales!EO41)/EO$10,0),N(Reales!EO41)),EO$175)</f>
        <v>0</v>
      </c>
      <c r="EP191" s="34" t="n">
        <f aca="false">IF(EP$8=1,IF(Reales!$C$41="PYG",IF(EP$10&gt;0,N(Reales!EP41)/EP$10,0),N(Reales!EP41)),EP$175)</f>
        <v>0</v>
      </c>
      <c r="EQ191" s="34" t="n">
        <f aca="false">IF(EQ$8=1,IF(Reales!$C$41="PYG",IF(EQ$10&gt;0,N(Reales!EQ41)/EQ$10,0),N(Reales!EQ41)),EQ$175)</f>
        <v>0</v>
      </c>
      <c r="ER191" s="34" t="n">
        <f aca="false">IF(ER$8=1,IF(Reales!$C$41="PYG",IF(ER$10&gt;0,N(Reales!ER41)/ER$10,0),N(Reales!ER41)),ER$175)</f>
        <v>0</v>
      </c>
      <c r="ES191" s="34" t="n">
        <f aca="false">IF(ES$8=1,IF(Reales!$C$41="PYG",IF(ES$10&gt;0,N(Reales!ES41)/ES$10,0),N(Reales!ES41)),ES$175)</f>
        <v>0</v>
      </c>
    </row>
    <row r="192" customFormat="false" ht="15" hidden="false" customHeight="false" outlineLevel="0" collapsed="false">
      <c r="A192" s="2" t="s">
        <v>669</v>
      </c>
      <c r="B192" s="6" t="s">
        <v>511</v>
      </c>
      <c r="C192" s="6" t="s">
        <v>212</v>
      </c>
      <c r="E192" s="40" t="n">
        <f aca="false">SUM(F192:ES192)</f>
        <v>0</v>
      </c>
      <c r="F192" s="34" t="n">
        <f aca="false">IF(F$8=1,IF(Reales!$C$43="PYG",IF(F$10&gt;0,N(Reales!F43)/F$10,0),N(Reales!F43)),F$180+F$183)</f>
        <v>0</v>
      </c>
      <c r="G192" s="34" t="n">
        <f aca="false">IF(G$8=1,IF(Reales!$C$43="PYG",IF(G$10&gt;0,N(Reales!G43)/G$10,0),N(Reales!G43)),G$180+G$183)</f>
        <v>0</v>
      </c>
      <c r="H192" s="34" t="n">
        <f aca="false">IF(H$8=1,IF(Reales!$C$43="PYG",IF(H$10&gt;0,N(Reales!H43)/H$10,0),N(Reales!H43)),H$180+H$183)</f>
        <v>0</v>
      </c>
      <c r="I192" s="34" t="n">
        <f aca="false">IF(I$8=1,IF(Reales!$C$43="PYG",IF(I$10&gt;0,N(Reales!I43)/I$10,0),N(Reales!I43)),I$180+I$183)</f>
        <v>0</v>
      </c>
      <c r="J192" s="34" t="n">
        <f aca="false">IF(J$8=1,IF(Reales!$C$43="PYG",IF(J$10&gt;0,N(Reales!J43)/J$10,0),N(Reales!J43)),J$180+J$183)</f>
        <v>0</v>
      </c>
      <c r="K192" s="34" t="n">
        <f aca="false">IF(K$8=1,IF(Reales!$C$43="PYG",IF(K$10&gt;0,N(Reales!K43)/K$10,0),N(Reales!K43)),K$180+K$183)</f>
        <v>0</v>
      </c>
      <c r="L192" s="34" t="n">
        <f aca="false">IF(L$8=1,IF(Reales!$C$43="PYG",IF(L$10&gt;0,N(Reales!L43)/L$10,0),N(Reales!L43)),L$180+L$183)</f>
        <v>0</v>
      </c>
      <c r="M192" s="34" t="n">
        <f aca="false">IF(M$8=1,IF(Reales!$C$43="PYG",IF(M$10&gt;0,N(Reales!M43)/M$10,0),N(Reales!M43)),M$180+M$183)</f>
        <v>0</v>
      </c>
      <c r="N192" s="34" t="n">
        <f aca="false">IF(N$8=1,IF(Reales!$C$43="PYG",IF(N$10&gt;0,N(Reales!N43)/N$10,0),N(Reales!N43)),N$180+N$183)</f>
        <v>0</v>
      </c>
      <c r="O192" s="34" t="n">
        <f aca="false">IF(O$8=1,IF(Reales!$C$43="PYG",IF(O$10&gt;0,N(Reales!O43)/O$10,0),N(Reales!O43)),O$180+O$183)</f>
        <v>0</v>
      </c>
      <c r="P192" s="34" t="n">
        <f aca="false">IF(P$8=1,IF(Reales!$C$43="PYG",IF(P$10&gt;0,N(Reales!P43)/P$10,0),N(Reales!P43)),P$180+P$183)</f>
        <v>0</v>
      </c>
      <c r="Q192" s="34" t="n">
        <f aca="false">IF(Q$8=1,IF(Reales!$C$43="PYG",IF(Q$10&gt;0,N(Reales!Q43)/Q$10,0),N(Reales!Q43)),Q$180+Q$183)</f>
        <v>0</v>
      </c>
      <c r="R192" s="34" t="n">
        <f aca="false">IF(R$8=1,IF(Reales!$C$43="PYG",IF(R$10&gt;0,N(Reales!R43)/R$10,0),N(Reales!R43)),R$180+R$183)</f>
        <v>0</v>
      </c>
      <c r="S192" s="34" t="n">
        <f aca="false">IF(S$8=1,IF(Reales!$C$43="PYG",IF(S$10&gt;0,N(Reales!S43)/S$10,0),N(Reales!S43)),S$180+S$183)</f>
        <v>0</v>
      </c>
      <c r="T192" s="34" t="n">
        <f aca="false">IF(T$8=1,IF(Reales!$C$43="PYG",IF(T$10&gt;0,N(Reales!T43)/T$10,0),N(Reales!T43)),T$180+T$183)</f>
        <v>0</v>
      </c>
      <c r="U192" s="34" t="n">
        <f aca="false">IF(U$8=1,IF(Reales!$C$43="PYG",IF(U$10&gt;0,N(Reales!U43)/U$10,0),N(Reales!U43)),U$180+U$183)</f>
        <v>0</v>
      </c>
      <c r="V192" s="34" t="n">
        <f aca="false">IF(V$8=1,IF(Reales!$C$43="PYG",IF(V$10&gt;0,N(Reales!V43)/V$10,0),N(Reales!V43)),V$180+V$183)</f>
        <v>0</v>
      </c>
      <c r="W192" s="34" t="n">
        <f aca="false">IF(W$8=1,IF(Reales!$C$43="PYG",IF(W$10&gt;0,N(Reales!W43)/W$10,0),N(Reales!W43)),W$180+W$183)</f>
        <v>0</v>
      </c>
      <c r="X192" s="34" t="n">
        <f aca="false">IF(X$8=1,IF(Reales!$C$43="PYG",IF(X$10&gt;0,N(Reales!X43)/X$10,0),N(Reales!X43)),X$180+X$183)</f>
        <v>0</v>
      </c>
      <c r="Y192" s="34" t="n">
        <f aca="false">IF(Y$8=1,IF(Reales!$C$43="PYG",IF(Y$10&gt;0,N(Reales!Y43)/Y$10,0),N(Reales!Y43)),Y$180+Y$183)</f>
        <v>0</v>
      </c>
      <c r="Z192" s="34" t="n">
        <f aca="false">IF(Z$8=1,IF(Reales!$C$43="PYG",IF(Z$10&gt;0,N(Reales!Z43)/Z$10,0),N(Reales!Z43)),Z$180+Z$183)</f>
        <v>0</v>
      </c>
      <c r="AA192" s="34" t="n">
        <f aca="false">IF(AA$8=1,IF(Reales!$C$43="PYG",IF(AA$10&gt;0,N(Reales!AA43)/AA$10,0),N(Reales!AA43)),AA$180+AA$183)</f>
        <v>0</v>
      </c>
      <c r="AB192" s="34" t="n">
        <f aca="false">IF(AB$8=1,IF(Reales!$C$43="PYG",IF(AB$10&gt;0,N(Reales!AB43)/AB$10,0),N(Reales!AB43)),AB$180+AB$183)</f>
        <v>0</v>
      </c>
      <c r="AC192" s="34" t="n">
        <f aca="false">IF(AC$8=1,IF(Reales!$C$43="PYG",IF(AC$10&gt;0,N(Reales!AC43)/AC$10,0),N(Reales!AC43)),AC$180+AC$183)</f>
        <v>0</v>
      </c>
      <c r="AD192" s="34" t="n">
        <f aca="false">IF(AD$8=1,IF(Reales!$C$43="PYG",IF(AD$10&gt;0,N(Reales!AD43)/AD$10,0),N(Reales!AD43)),AD$180+AD$183)</f>
        <v>0</v>
      </c>
      <c r="AE192" s="34" t="n">
        <f aca="false">IF(AE$8=1,IF(Reales!$C$43="PYG",IF(AE$10&gt;0,N(Reales!AE43)/AE$10,0),N(Reales!AE43)),AE$180+AE$183)</f>
        <v>0</v>
      </c>
      <c r="AF192" s="34" t="n">
        <f aca="false">IF(AF$8=1,IF(Reales!$C$43="PYG",IF(AF$10&gt;0,N(Reales!AF43)/AF$10,0),N(Reales!AF43)),AF$180+AF$183)</f>
        <v>0</v>
      </c>
      <c r="AG192" s="34" t="n">
        <f aca="false">IF(AG$8=1,IF(Reales!$C$43="PYG",IF(AG$10&gt;0,N(Reales!AG43)/AG$10,0),N(Reales!AG43)),AG$180+AG$183)</f>
        <v>0</v>
      </c>
      <c r="AH192" s="34" t="n">
        <f aca="false">IF(AH$8=1,IF(Reales!$C$43="PYG",IF(AH$10&gt;0,N(Reales!AH43)/AH$10,0),N(Reales!AH43)),AH$180+AH$183)</f>
        <v>0</v>
      </c>
      <c r="AI192" s="34" t="n">
        <f aca="false">IF(AI$8=1,IF(Reales!$C$43="PYG",IF(AI$10&gt;0,N(Reales!AI43)/AI$10,0),N(Reales!AI43)),AI$180+AI$183)</f>
        <v>0</v>
      </c>
      <c r="AJ192" s="34" t="n">
        <f aca="false">IF(AJ$8=1,IF(Reales!$C$43="PYG",IF(AJ$10&gt;0,N(Reales!AJ43)/AJ$10,0),N(Reales!AJ43)),AJ$180+AJ$183)</f>
        <v>0</v>
      </c>
      <c r="AK192" s="34" t="n">
        <f aca="false">IF(AK$8=1,IF(Reales!$C$43="PYG",IF(AK$10&gt;0,N(Reales!AK43)/AK$10,0),N(Reales!AK43)),AK$180+AK$183)</f>
        <v>0</v>
      </c>
      <c r="AL192" s="34" t="n">
        <f aca="false">IF(AL$8=1,IF(Reales!$C$43="PYG",IF(AL$10&gt;0,N(Reales!AL43)/AL$10,0),N(Reales!AL43)),AL$180+AL$183)</f>
        <v>0</v>
      </c>
      <c r="AM192" s="34" t="n">
        <f aca="false">IF(AM$8=1,IF(Reales!$C$43="PYG",IF(AM$10&gt;0,N(Reales!AM43)/AM$10,0),N(Reales!AM43)),AM$180+AM$183)</f>
        <v>0</v>
      </c>
      <c r="AN192" s="34" t="n">
        <f aca="false">IF(AN$8=1,IF(Reales!$C$43="PYG",IF(AN$10&gt;0,N(Reales!AN43)/AN$10,0),N(Reales!AN43)),AN$180+AN$183)</f>
        <v>0</v>
      </c>
      <c r="AO192" s="34" t="n">
        <f aca="false">IF(AO$8=1,IF(Reales!$C$43="PYG",IF(AO$10&gt;0,N(Reales!AO43)/AO$10,0),N(Reales!AO43)),AO$180+AO$183)</f>
        <v>0</v>
      </c>
      <c r="AP192" s="34" t="n">
        <f aca="false">IF(AP$8=1,IF(Reales!$C$43="PYG",IF(AP$10&gt;0,N(Reales!AP43)/AP$10,0),N(Reales!AP43)),AP$180+AP$183)</f>
        <v>0</v>
      </c>
      <c r="AQ192" s="34" t="n">
        <f aca="false">IF(AQ$8=1,IF(Reales!$C$43="PYG",IF(AQ$10&gt;0,N(Reales!AQ43)/AQ$10,0),N(Reales!AQ43)),AQ$180+AQ$183)</f>
        <v>0</v>
      </c>
      <c r="AR192" s="34" t="n">
        <f aca="false">IF(AR$8=1,IF(Reales!$C$43="PYG",IF(AR$10&gt;0,N(Reales!AR43)/AR$10,0),N(Reales!AR43)),AR$180+AR$183)</f>
        <v>0</v>
      </c>
      <c r="AS192" s="34" t="n">
        <f aca="false">IF(AS$8=1,IF(Reales!$C$43="PYG",IF(AS$10&gt;0,N(Reales!AS43)/AS$10,0),N(Reales!AS43)),AS$180+AS$183)</f>
        <v>0</v>
      </c>
      <c r="AT192" s="34" t="n">
        <f aca="false">IF(AT$8=1,IF(Reales!$C$43="PYG",IF(AT$10&gt;0,N(Reales!AT43)/AT$10,0),N(Reales!AT43)),AT$180+AT$183)</f>
        <v>0</v>
      </c>
      <c r="AU192" s="34" t="n">
        <f aca="false">IF(AU$8=1,IF(Reales!$C$43="PYG",IF(AU$10&gt;0,N(Reales!AU43)/AU$10,0),N(Reales!AU43)),AU$180+AU$183)</f>
        <v>0</v>
      </c>
      <c r="AV192" s="34" t="n">
        <f aca="false">IF(AV$8=1,IF(Reales!$C$43="PYG",IF(AV$10&gt;0,N(Reales!AV43)/AV$10,0),N(Reales!AV43)),AV$180+AV$183)</f>
        <v>0</v>
      </c>
      <c r="AW192" s="34" t="n">
        <f aca="false">IF(AW$8=1,IF(Reales!$C$43="PYG",IF(AW$10&gt;0,N(Reales!AW43)/AW$10,0),N(Reales!AW43)),AW$180+AW$183)</f>
        <v>0</v>
      </c>
      <c r="AX192" s="34" t="n">
        <f aca="false">IF(AX$8=1,IF(Reales!$C$43="PYG",IF(AX$10&gt;0,N(Reales!AX43)/AX$10,0),N(Reales!AX43)),AX$180+AX$183)</f>
        <v>0</v>
      </c>
      <c r="AY192" s="34" t="n">
        <f aca="false">IF(AY$8=1,IF(Reales!$C$43="PYG",IF(AY$10&gt;0,N(Reales!AY43)/AY$10,0),N(Reales!AY43)),AY$180+AY$183)</f>
        <v>0</v>
      </c>
      <c r="AZ192" s="34" t="n">
        <f aca="false">IF(AZ$8=1,IF(Reales!$C$43="PYG",IF(AZ$10&gt;0,N(Reales!AZ43)/AZ$10,0),N(Reales!AZ43)),AZ$180+AZ$183)</f>
        <v>0</v>
      </c>
      <c r="BA192" s="34" t="n">
        <f aca="false">IF(BA$8=1,IF(Reales!$C$43="PYG",IF(BA$10&gt;0,N(Reales!BA43)/BA$10,0),N(Reales!BA43)),BA$180+BA$183)</f>
        <v>0</v>
      </c>
      <c r="BB192" s="34" t="n">
        <f aca="false">IF(BB$8=1,IF(Reales!$C$43="PYG",IF(BB$10&gt;0,N(Reales!BB43)/BB$10,0),N(Reales!BB43)),BB$180+BB$183)</f>
        <v>0</v>
      </c>
      <c r="BC192" s="34" t="n">
        <f aca="false">IF(BC$8=1,IF(Reales!$C$43="PYG",IF(BC$10&gt;0,N(Reales!BC43)/BC$10,0),N(Reales!BC43)),BC$180+BC$183)</f>
        <v>0</v>
      </c>
      <c r="BD192" s="34" t="n">
        <f aca="false">IF(BD$8=1,IF(Reales!$C$43="PYG",IF(BD$10&gt;0,N(Reales!BD43)/BD$10,0),N(Reales!BD43)),BD$180+BD$183)</f>
        <v>0</v>
      </c>
      <c r="BE192" s="34" t="n">
        <f aca="false">IF(BE$8=1,IF(Reales!$C$43="PYG",IF(BE$10&gt;0,N(Reales!BE43)/BE$10,0),N(Reales!BE43)),BE$180+BE$183)</f>
        <v>0</v>
      </c>
      <c r="BF192" s="34" t="n">
        <f aca="false">IF(BF$8=1,IF(Reales!$C$43="PYG",IF(BF$10&gt;0,N(Reales!BF43)/BF$10,0),N(Reales!BF43)),BF$180+BF$183)</f>
        <v>0</v>
      </c>
      <c r="BG192" s="34" t="n">
        <f aca="false">IF(BG$8=1,IF(Reales!$C$43="PYG",IF(BG$10&gt;0,N(Reales!BG43)/BG$10,0),N(Reales!BG43)),BG$180+BG$183)</f>
        <v>0</v>
      </c>
      <c r="BH192" s="34" t="n">
        <f aca="false">IF(BH$8=1,IF(Reales!$C$43="PYG",IF(BH$10&gt;0,N(Reales!BH43)/BH$10,0),N(Reales!BH43)),BH$180+BH$183)</f>
        <v>0</v>
      </c>
      <c r="BI192" s="34" t="n">
        <f aca="false">IF(BI$8=1,IF(Reales!$C$43="PYG",IF(BI$10&gt;0,N(Reales!BI43)/BI$10,0),N(Reales!BI43)),BI$180+BI$183)</f>
        <v>0</v>
      </c>
      <c r="BJ192" s="34" t="n">
        <f aca="false">IF(BJ$8=1,IF(Reales!$C$43="PYG",IF(BJ$10&gt;0,N(Reales!BJ43)/BJ$10,0),N(Reales!BJ43)),BJ$180+BJ$183)</f>
        <v>0</v>
      </c>
      <c r="BK192" s="34" t="n">
        <f aca="false">IF(BK$8=1,IF(Reales!$C$43="PYG",IF(BK$10&gt;0,N(Reales!BK43)/BK$10,0),N(Reales!BK43)),BK$180+BK$183)</f>
        <v>0</v>
      </c>
      <c r="BL192" s="34" t="n">
        <f aca="false">IF(BL$8=1,IF(Reales!$C$43="PYG",IF(BL$10&gt;0,N(Reales!BL43)/BL$10,0),N(Reales!BL43)),BL$180+BL$183)</f>
        <v>0</v>
      </c>
      <c r="BM192" s="34" t="n">
        <f aca="false">IF(BM$8=1,IF(Reales!$C$43="PYG",IF(BM$10&gt;0,N(Reales!BM43)/BM$10,0),N(Reales!BM43)),BM$180+BM$183)</f>
        <v>0</v>
      </c>
      <c r="BN192" s="34" t="n">
        <f aca="false">IF(BN$8=1,IF(Reales!$C$43="PYG",IF(BN$10&gt;0,N(Reales!BN43)/BN$10,0),N(Reales!BN43)),BN$180+BN$183)</f>
        <v>0</v>
      </c>
      <c r="BO192" s="34" t="n">
        <f aca="false">IF(BO$8=1,IF(Reales!$C$43="PYG",IF(BO$10&gt;0,N(Reales!BO43)/BO$10,0),N(Reales!BO43)),BO$180+BO$183)</f>
        <v>0</v>
      </c>
      <c r="BP192" s="34" t="n">
        <f aca="false">IF(BP$8=1,IF(Reales!$C$43="PYG",IF(BP$10&gt;0,N(Reales!BP43)/BP$10,0),N(Reales!BP43)),BP$180+BP$183)</f>
        <v>0</v>
      </c>
      <c r="BQ192" s="34" t="n">
        <f aca="false">IF(BQ$8=1,IF(Reales!$C$43="PYG",IF(BQ$10&gt;0,N(Reales!BQ43)/BQ$10,0),N(Reales!BQ43)),BQ$180+BQ$183)</f>
        <v>0</v>
      </c>
      <c r="BR192" s="34" t="n">
        <f aca="false">IF(BR$8=1,IF(Reales!$C$43="PYG",IF(BR$10&gt;0,N(Reales!BR43)/BR$10,0),N(Reales!BR43)),BR$180+BR$183)</f>
        <v>0</v>
      </c>
      <c r="BS192" s="34" t="n">
        <f aca="false">IF(BS$8=1,IF(Reales!$C$43="PYG",IF(BS$10&gt;0,N(Reales!BS43)/BS$10,0),N(Reales!BS43)),BS$180+BS$183)</f>
        <v>0</v>
      </c>
      <c r="BT192" s="34" t="n">
        <f aca="false">IF(BT$8=1,IF(Reales!$C$43="PYG",IF(BT$10&gt;0,N(Reales!BT43)/BT$10,0),N(Reales!BT43)),BT$180+BT$183)</f>
        <v>0</v>
      </c>
      <c r="BU192" s="34" t="n">
        <f aca="false">IF(BU$8=1,IF(Reales!$C$43="PYG",IF(BU$10&gt;0,N(Reales!BU43)/BU$10,0),N(Reales!BU43)),BU$180+BU$183)</f>
        <v>0</v>
      </c>
      <c r="BV192" s="34" t="n">
        <f aca="false">IF(BV$8=1,IF(Reales!$C$43="PYG",IF(BV$10&gt;0,N(Reales!BV43)/BV$10,0),N(Reales!BV43)),BV$180+BV$183)</f>
        <v>0</v>
      </c>
      <c r="BW192" s="34" t="n">
        <f aca="false">IF(BW$8=1,IF(Reales!$C$43="PYG",IF(BW$10&gt;0,N(Reales!BW43)/BW$10,0),N(Reales!BW43)),BW$180+BW$183)</f>
        <v>0</v>
      </c>
      <c r="BX192" s="34" t="n">
        <f aca="false">IF(BX$8=1,IF(Reales!$C$43="PYG",IF(BX$10&gt;0,N(Reales!BX43)/BX$10,0),N(Reales!BX43)),BX$180+BX$183)</f>
        <v>0</v>
      </c>
      <c r="BY192" s="34" t="n">
        <f aca="false">IF(BY$8=1,IF(Reales!$C$43="PYG",IF(BY$10&gt;0,N(Reales!BY43)/BY$10,0),N(Reales!BY43)),BY$180+BY$183)</f>
        <v>0</v>
      </c>
      <c r="BZ192" s="34" t="n">
        <f aca="false">IF(BZ$8=1,IF(Reales!$C$43="PYG",IF(BZ$10&gt;0,N(Reales!BZ43)/BZ$10,0),N(Reales!BZ43)),BZ$180+BZ$183)</f>
        <v>0</v>
      </c>
      <c r="CA192" s="34" t="n">
        <f aca="false">IF(CA$8=1,IF(Reales!$C$43="PYG",IF(CA$10&gt;0,N(Reales!CA43)/CA$10,0),N(Reales!CA43)),CA$180+CA$183)</f>
        <v>0</v>
      </c>
      <c r="CB192" s="34" t="n">
        <f aca="false">IF(CB$8=1,IF(Reales!$C$43="PYG",IF(CB$10&gt;0,N(Reales!CB43)/CB$10,0),N(Reales!CB43)),CB$180+CB$183)</f>
        <v>0</v>
      </c>
      <c r="CC192" s="34" t="n">
        <f aca="false">IF(CC$8=1,IF(Reales!$C$43="PYG",IF(CC$10&gt;0,N(Reales!CC43)/CC$10,0),N(Reales!CC43)),CC$180+CC$183)</f>
        <v>0</v>
      </c>
      <c r="CD192" s="34" t="n">
        <f aca="false">IF(CD$8=1,IF(Reales!$C$43="PYG",IF(CD$10&gt;0,N(Reales!CD43)/CD$10,0),N(Reales!CD43)),CD$180+CD$183)</f>
        <v>0</v>
      </c>
      <c r="CE192" s="34" t="n">
        <f aca="false">IF(CE$8=1,IF(Reales!$C$43="PYG",IF(CE$10&gt;0,N(Reales!CE43)/CE$10,0),N(Reales!CE43)),CE$180+CE$183)</f>
        <v>0</v>
      </c>
      <c r="CF192" s="34" t="n">
        <f aca="false">IF(CF$8=1,IF(Reales!$C$43="PYG",IF(CF$10&gt;0,N(Reales!CF43)/CF$10,0),N(Reales!CF43)),CF$180+CF$183)</f>
        <v>0</v>
      </c>
      <c r="CG192" s="34" t="n">
        <f aca="false">IF(CG$8=1,IF(Reales!$C$43="PYG",IF(CG$10&gt;0,N(Reales!CG43)/CG$10,0),N(Reales!CG43)),CG$180+CG$183)</f>
        <v>0</v>
      </c>
      <c r="CH192" s="34" t="n">
        <f aca="false">IF(CH$8=1,IF(Reales!$C$43="PYG",IF(CH$10&gt;0,N(Reales!CH43)/CH$10,0),N(Reales!CH43)),CH$180+CH$183)</f>
        <v>0</v>
      </c>
      <c r="CI192" s="34" t="n">
        <f aca="false">IF(CI$8=1,IF(Reales!$C$43="PYG",IF(CI$10&gt;0,N(Reales!CI43)/CI$10,0),N(Reales!CI43)),CI$180+CI$183)</f>
        <v>0</v>
      </c>
      <c r="CJ192" s="34" t="n">
        <f aca="false">IF(CJ$8=1,IF(Reales!$C$43="PYG",IF(CJ$10&gt;0,N(Reales!CJ43)/CJ$10,0),N(Reales!CJ43)),CJ$180+CJ$183)</f>
        <v>0</v>
      </c>
      <c r="CK192" s="34" t="n">
        <f aca="false">IF(CK$8=1,IF(Reales!$C$43="PYG",IF(CK$10&gt;0,N(Reales!CK43)/CK$10,0),N(Reales!CK43)),CK$180+CK$183)</f>
        <v>0</v>
      </c>
      <c r="CL192" s="34" t="n">
        <f aca="false">IF(CL$8=1,IF(Reales!$C$43="PYG",IF(CL$10&gt;0,N(Reales!CL43)/CL$10,0),N(Reales!CL43)),CL$180+CL$183)</f>
        <v>0</v>
      </c>
      <c r="CM192" s="34" t="n">
        <f aca="false">IF(CM$8=1,IF(Reales!$C$43="PYG",IF(CM$10&gt;0,N(Reales!CM43)/CM$10,0),N(Reales!CM43)),CM$180+CM$183)</f>
        <v>0</v>
      </c>
      <c r="CN192" s="34" t="n">
        <f aca="false">IF(CN$8=1,IF(Reales!$C$43="PYG",IF(CN$10&gt;0,N(Reales!CN43)/CN$10,0),N(Reales!CN43)),CN$180+CN$183)</f>
        <v>0</v>
      </c>
      <c r="CO192" s="34" t="n">
        <f aca="false">IF(CO$8=1,IF(Reales!$C$43="PYG",IF(CO$10&gt;0,N(Reales!CO43)/CO$10,0),N(Reales!CO43)),CO$180+CO$183)</f>
        <v>0</v>
      </c>
      <c r="CP192" s="34" t="n">
        <f aca="false">IF(CP$8=1,IF(Reales!$C$43="PYG",IF(CP$10&gt;0,N(Reales!CP43)/CP$10,0),N(Reales!CP43)),CP$180+CP$183)</f>
        <v>0</v>
      </c>
      <c r="CQ192" s="34" t="n">
        <f aca="false">IF(CQ$8=1,IF(Reales!$C$43="PYG",IF(CQ$10&gt;0,N(Reales!CQ43)/CQ$10,0),N(Reales!CQ43)),CQ$180+CQ$183)</f>
        <v>0</v>
      </c>
      <c r="CR192" s="34" t="n">
        <f aca="false">IF(CR$8=1,IF(Reales!$C$43="PYG",IF(CR$10&gt;0,N(Reales!CR43)/CR$10,0),N(Reales!CR43)),CR$180+CR$183)</f>
        <v>0</v>
      </c>
      <c r="CS192" s="34" t="n">
        <f aca="false">IF(CS$8=1,IF(Reales!$C$43="PYG",IF(CS$10&gt;0,N(Reales!CS43)/CS$10,0),N(Reales!CS43)),CS$180+CS$183)</f>
        <v>0</v>
      </c>
      <c r="CT192" s="34" t="n">
        <f aca="false">IF(CT$8=1,IF(Reales!$C$43="PYG",IF(CT$10&gt;0,N(Reales!CT43)/CT$10,0),N(Reales!CT43)),CT$180+CT$183)</f>
        <v>0</v>
      </c>
      <c r="CU192" s="34" t="n">
        <f aca="false">IF(CU$8=1,IF(Reales!$C$43="PYG",IF(CU$10&gt;0,N(Reales!CU43)/CU$10,0),N(Reales!CU43)),CU$180+CU$183)</f>
        <v>0</v>
      </c>
      <c r="CV192" s="34" t="n">
        <f aca="false">IF(CV$8=1,IF(Reales!$C$43="PYG",IF(CV$10&gt;0,N(Reales!CV43)/CV$10,0),N(Reales!CV43)),CV$180+CV$183)</f>
        <v>0</v>
      </c>
      <c r="CW192" s="34" t="n">
        <f aca="false">IF(CW$8=1,IF(Reales!$C$43="PYG",IF(CW$10&gt;0,N(Reales!CW43)/CW$10,0),N(Reales!CW43)),CW$180+CW$183)</f>
        <v>0</v>
      </c>
      <c r="CX192" s="34" t="n">
        <f aca="false">IF(CX$8=1,IF(Reales!$C$43="PYG",IF(CX$10&gt;0,N(Reales!CX43)/CX$10,0),N(Reales!CX43)),CX$180+CX$183)</f>
        <v>0</v>
      </c>
      <c r="CY192" s="34" t="n">
        <f aca="false">IF(CY$8=1,IF(Reales!$C$43="PYG",IF(CY$10&gt;0,N(Reales!CY43)/CY$10,0),N(Reales!CY43)),CY$180+CY$183)</f>
        <v>0</v>
      </c>
      <c r="CZ192" s="34" t="n">
        <f aca="false">IF(CZ$8=1,IF(Reales!$C$43="PYG",IF(CZ$10&gt;0,N(Reales!CZ43)/CZ$10,0),N(Reales!CZ43)),CZ$180+CZ$183)</f>
        <v>0</v>
      </c>
      <c r="DA192" s="34" t="n">
        <f aca="false">IF(DA$8=1,IF(Reales!$C$43="PYG",IF(DA$10&gt;0,N(Reales!DA43)/DA$10,0),N(Reales!DA43)),DA$180+DA$183)</f>
        <v>0</v>
      </c>
      <c r="DB192" s="34" t="n">
        <f aca="false">IF(DB$8=1,IF(Reales!$C$43="PYG",IF(DB$10&gt;0,N(Reales!DB43)/DB$10,0),N(Reales!DB43)),DB$180+DB$183)</f>
        <v>0</v>
      </c>
      <c r="DC192" s="34" t="n">
        <f aca="false">IF(DC$8=1,IF(Reales!$C$43="PYG",IF(DC$10&gt;0,N(Reales!DC43)/DC$10,0),N(Reales!DC43)),DC$180+DC$183)</f>
        <v>0</v>
      </c>
      <c r="DD192" s="34" t="n">
        <f aca="false">IF(DD$8=1,IF(Reales!$C$43="PYG",IF(DD$10&gt;0,N(Reales!DD43)/DD$10,0),N(Reales!DD43)),DD$180+DD$183)</f>
        <v>0</v>
      </c>
      <c r="DE192" s="34" t="n">
        <f aca="false">IF(DE$8=1,IF(Reales!$C$43="PYG",IF(DE$10&gt;0,N(Reales!DE43)/DE$10,0),N(Reales!DE43)),DE$180+DE$183)</f>
        <v>0</v>
      </c>
      <c r="DF192" s="34" t="n">
        <f aca="false">IF(DF$8=1,IF(Reales!$C$43="PYG",IF(DF$10&gt;0,N(Reales!DF43)/DF$10,0),N(Reales!DF43)),DF$180+DF$183)</f>
        <v>0</v>
      </c>
      <c r="DG192" s="34" t="n">
        <f aca="false">IF(DG$8=1,IF(Reales!$C$43="PYG",IF(DG$10&gt;0,N(Reales!DG43)/DG$10,0),N(Reales!DG43)),DG$180+DG$183)</f>
        <v>0</v>
      </c>
      <c r="DH192" s="34" t="n">
        <f aca="false">IF(DH$8=1,IF(Reales!$C$43="PYG",IF(DH$10&gt;0,N(Reales!DH43)/DH$10,0),N(Reales!DH43)),DH$180+DH$183)</f>
        <v>0</v>
      </c>
      <c r="DI192" s="34" t="n">
        <f aca="false">IF(DI$8=1,IF(Reales!$C$43="PYG",IF(DI$10&gt;0,N(Reales!DI43)/DI$10,0),N(Reales!DI43)),DI$180+DI$183)</f>
        <v>0</v>
      </c>
      <c r="DJ192" s="34" t="n">
        <f aca="false">IF(DJ$8=1,IF(Reales!$C$43="PYG",IF(DJ$10&gt;0,N(Reales!DJ43)/DJ$10,0),N(Reales!DJ43)),DJ$180+DJ$183)</f>
        <v>0</v>
      </c>
      <c r="DK192" s="34" t="n">
        <f aca="false">IF(DK$8=1,IF(Reales!$C$43="PYG",IF(DK$10&gt;0,N(Reales!DK43)/DK$10,0),N(Reales!DK43)),DK$180+DK$183)</f>
        <v>0</v>
      </c>
      <c r="DL192" s="34" t="n">
        <f aca="false">IF(DL$8=1,IF(Reales!$C$43="PYG",IF(DL$10&gt;0,N(Reales!DL43)/DL$10,0),N(Reales!DL43)),DL$180+DL$183)</f>
        <v>0</v>
      </c>
      <c r="DM192" s="34" t="n">
        <f aca="false">IF(DM$8=1,IF(Reales!$C$43="PYG",IF(DM$10&gt;0,N(Reales!DM43)/DM$10,0),N(Reales!DM43)),DM$180+DM$183)</f>
        <v>0</v>
      </c>
      <c r="DN192" s="34" t="n">
        <f aca="false">IF(DN$8=1,IF(Reales!$C$43="PYG",IF(DN$10&gt;0,N(Reales!DN43)/DN$10,0),N(Reales!DN43)),DN$180+DN$183)</f>
        <v>0</v>
      </c>
      <c r="DO192" s="34" t="n">
        <f aca="false">IF(DO$8=1,IF(Reales!$C$43="PYG",IF(DO$10&gt;0,N(Reales!DO43)/DO$10,0),N(Reales!DO43)),DO$180+DO$183)</f>
        <v>0</v>
      </c>
      <c r="DP192" s="34" t="n">
        <f aca="false">IF(DP$8=1,IF(Reales!$C$43="PYG",IF(DP$10&gt;0,N(Reales!DP43)/DP$10,0),N(Reales!DP43)),DP$180+DP$183)</f>
        <v>0</v>
      </c>
      <c r="DQ192" s="34" t="n">
        <f aca="false">IF(DQ$8=1,IF(Reales!$C$43="PYG",IF(DQ$10&gt;0,N(Reales!DQ43)/DQ$10,0),N(Reales!DQ43)),DQ$180+DQ$183)</f>
        <v>0</v>
      </c>
      <c r="DR192" s="34" t="n">
        <f aca="false">IF(DR$8=1,IF(Reales!$C$43="PYG",IF(DR$10&gt;0,N(Reales!DR43)/DR$10,0),N(Reales!DR43)),DR$180+DR$183)</f>
        <v>0</v>
      </c>
      <c r="DS192" s="34" t="n">
        <f aca="false">IF(DS$8=1,IF(Reales!$C$43="PYG",IF(DS$10&gt;0,N(Reales!DS43)/DS$10,0),N(Reales!DS43)),DS$180+DS$183)</f>
        <v>0</v>
      </c>
      <c r="DT192" s="34" t="n">
        <f aca="false">IF(DT$8=1,IF(Reales!$C$43="PYG",IF(DT$10&gt;0,N(Reales!DT43)/DT$10,0),N(Reales!DT43)),DT$180+DT$183)</f>
        <v>0</v>
      </c>
      <c r="DU192" s="34" t="n">
        <f aca="false">IF(DU$8=1,IF(Reales!$C$43="PYG",IF(DU$10&gt;0,N(Reales!DU43)/DU$10,0),N(Reales!DU43)),DU$180+DU$183)</f>
        <v>0</v>
      </c>
      <c r="DV192" s="34" t="n">
        <f aca="false">IF(DV$8=1,IF(Reales!$C$43="PYG",IF(DV$10&gt;0,N(Reales!DV43)/DV$10,0),N(Reales!DV43)),DV$180+DV$183)</f>
        <v>0</v>
      </c>
      <c r="DW192" s="34" t="n">
        <f aca="false">IF(DW$8=1,IF(Reales!$C$43="PYG",IF(DW$10&gt;0,N(Reales!DW43)/DW$10,0),N(Reales!DW43)),DW$180+DW$183)</f>
        <v>0</v>
      </c>
      <c r="DX192" s="34" t="n">
        <f aca="false">IF(DX$8=1,IF(Reales!$C$43="PYG",IF(DX$10&gt;0,N(Reales!DX43)/DX$10,0),N(Reales!DX43)),DX$180+DX$183)</f>
        <v>0</v>
      </c>
      <c r="DY192" s="34" t="n">
        <f aca="false">IF(DY$8=1,IF(Reales!$C$43="PYG",IF(DY$10&gt;0,N(Reales!DY43)/DY$10,0),N(Reales!DY43)),DY$180+DY$183)</f>
        <v>0</v>
      </c>
      <c r="DZ192" s="34" t="n">
        <f aca="false">IF(DZ$8=1,IF(Reales!$C$43="PYG",IF(DZ$10&gt;0,N(Reales!DZ43)/DZ$10,0),N(Reales!DZ43)),DZ$180+DZ$183)</f>
        <v>0</v>
      </c>
      <c r="EA192" s="34" t="n">
        <f aca="false">IF(EA$8=1,IF(Reales!$C$43="PYG",IF(EA$10&gt;0,N(Reales!EA43)/EA$10,0),N(Reales!EA43)),EA$180+EA$183)</f>
        <v>0</v>
      </c>
      <c r="EB192" s="34" t="n">
        <f aca="false">IF(EB$8=1,IF(Reales!$C$43="PYG",IF(EB$10&gt;0,N(Reales!EB43)/EB$10,0),N(Reales!EB43)),EB$180+EB$183)</f>
        <v>0</v>
      </c>
      <c r="EC192" s="34" t="n">
        <f aca="false">IF(EC$8=1,IF(Reales!$C$43="PYG",IF(EC$10&gt;0,N(Reales!EC43)/EC$10,0),N(Reales!EC43)),EC$180+EC$183)</f>
        <v>0</v>
      </c>
      <c r="ED192" s="34" t="n">
        <f aca="false">IF(ED$8=1,IF(Reales!$C$43="PYG",IF(ED$10&gt;0,N(Reales!ED43)/ED$10,0),N(Reales!ED43)),ED$180+ED$183)</f>
        <v>0</v>
      </c>
      <c r="EE192" s="34" t="n">
        <f aca="false">IF(EE$8=1,IF(Reales!$C$43="PYG",IF(EE$10&gt;0,N(Reales!EE43)/EE$10,0),N(Reales!EE43)),EE$180+EE$183)</f>
        <v>0</v>
      </c>
      <c r="EF192" s="34" t="n">
        <f aca="false">IF(EF$8=1,IF(Reales!$C$43="PYG",IF(EF$10&gt;0,N(Reales!EF43)/EF$10,0),N(Reales!EF43)),EF$180+EF$183)</f>
        <v>0</v>
      </c>
      <c r="EG192" s="34" t="n">
        <f aca="false">IF(EG$8=1,IF(Reales!$C$43="PYG",IF(EG$10&gt;0,N(Reales!EG43)/EG$10,0),N(Reales!EG43)),EG$180+EG$183)</f>
        <v>0</v>
      </c>
      <c r="EH192" s="34" t="n">
        <f aca="false">IF(EH$8=1,IF(Reales!$C$43="PYG",IF(EH$10&gt;0,N(Reales!EH43)/EH$10,0),N(Reales!EH43)),EH$180+EH$183)</f>
        <v>0</v>
      </c>
      <c r="EI192" s="34" t="n">
        <f aca="false">IF(EI$8=1,IF(Reales!$C$43="PYG",IF(EI$10&gt;0,N(Reales!EI43)/EI$10,0),N(Reales!EI43)),EI$180+EI$183)</f>
        <v>0</v>
      </c>
      <c r="EJ192" s="34" t="n">
        <f aca="false">IF(EJ$8=1,IF(Reales!$C$43="PYG",IF(EJ$10&gt;0,N(Reales!EJ43)/EJ$10,0),N(Reales!EJ43)),EJ$180+EJ$183)</f>
        <v>0</v>
      </c>
      <c r="EK192" s="34" t="n">
        <f aca="false">IF(EK$8=1,IF(Reales!$C$43="PYG",IF(EK$10&gt;0,N(Reales!EK43)/EK$10,0),N(Reales!EK43)),EK$180+EK$183)</f>
        <v>0</v>
      </c>
      <c r="EL192" s="34" t="n">
        <f aca="false">IF(EL$8=1,IF(Reales!$C$43="PYG",IF(EL$10&gt;0,N(Reales!EL43)/EL$10,0),N(Reales!EL43)),EL$180+EL$183)</f>
        <v>0</v>
      </c>
      <c r="EM192" s="34" t="n">
        <f aca="false">IF(EM$8=1,IF(Reales!$C$43="PYG",IF(EM$10&gt;0,N(Reales!EM43)/EM$10,0),N(Reales!EM43)),EM$180+EM$183)</f>
        <v>0</v>
      </c>
      <c r="EN192" s="34" t="n">
        <f aca="false">IF(EN$8=1,IF(Reales!$C$43="PYG",IF(EN$10&gt;0,N(Reales!EN43)/EN$10,0),N(Reales!EN43)),EN$180+EN$183)</f>
        <v>0</v>
      </c>
      <c r="EO192" s="34" t="n">
        <f aca="false">IF(EO$8=1,IF(Reales!$C$43="PYG",IF(EO$10&gt;0,N(Reales!EO43)/EO$10,0),N(Reales!EO43)),EO$180+EO$183)</f>
        <v>0</v>
      </c>
      <c r="EP192" s="34" t="n">
        <f aca="false">IF(EP$8=1,IF(Reales!$C$43="PYG",IF(EP$10&gt;0,N(Reales!EP43)/EP$10,0),N(Reales!EP43)),EP$180+EP$183)</f>
        <v>0</v>
      </c>
      <c r="EQ192" s="34" t="n">
        <f aca="false">IF(EQ$8=1,IF(Reales!$C$43="PYG",IF(EQ$10&gt;0,N(Reales!EQ43)/EQ$10,0),N(Reales!EQ43)),EQ$180+EQ$183)</f>
        <v>0</v>
      </c>
      <c r="ER192" s="34" t="n">
        <f aca="false">IF(ER$8=1,IF(Reales!$C$43="PYG",IF(ER$10&gt;0,N(Reales!ER43)/ER$10,0),N(Reales!ER43)),ER$180+ER$183)</f>
        <v>0</v>
      </c>
      <c r="ES192" s="34" t="n">
        <f aca="false">IF(ES$8=1,IF(Reales!$C$43="PYG",IF(ES$10&gt;0,N(Reales!ES43)/ES$10,0),N(Reales!ES43)),ES$180+ES$183)</f>
        <v>0</v>
      </c>
    </row>
    <row r="193" customFormat="false" ht="15" hidden="false" customHeight="false" outlineLevel="0" collapsed="false">
      <c r="A193" s="2" t="s">
        <v>670</v>
      </c>
      <c r="B193" s="6" t="s">
        <v>377</v>
      </c>
      <c r="C193" s="6" t="s">
        <v>212</v>
      </c>
      <c r="E193" s="40" t="n">
        <f aca="false">SUM(F193:ES193)</f>
        <v>0</v>
      </c>
      <c r="F193" s="34" t="n">
        <f aca="false">IF(F$8=1,IF(Reales!$C$44="PYG",IF(F$10&gt;0,N(Reales!F44)/F$10,0),N(Reales!F44)),F$178)</f>
        <v>0</v>
      </c>
      <c r="G193" s="34" t="n">
        <f aca="false">IF(G$8=1,IF(Reales!$C$44="PYG",IF(G$10&gt;0,N(Reales!G44)/G$10,0),N(Reales!G44)),G$178)</f>
        <v>0</v>
      </c>
      <c r="H193" s="34" t="n">
        <f aca="false">IF(H$8=1,IF(Reales!$C$44="PYG",IF(H$10&gt;0,N(Reales!H44)/H$10,0),N(Reales!H44)),H$178)</f>
        <v>0</v>
      </c>
      <c r="I193" s="34" t="n">
        <f aca="false">IF(I$8=1,IF(Reales!$C$44="PYG",IF(I$10&gt;0,N(Reales!I44)/I$10,0),N(Reales!I44)),I$178)</f>
        <v>0</v>
      </c>
      <c r="J193" s="34" t="n">
        <f aca="false">IF(J$8=1,IF(Reales!$C$44="PYG",IF(J$10&gt;0,N(Reales!J44)/J$10,0),N(Reales!J44)),J$178)</f>
        <v>0</v>
      </c>
      <c r="K193" s="34" t="n">
        <f aca="false">IF(K$8=1,IF(Reales!$C$44="PYG",IF(K$10&gt;0,N(Reales!K44)/K$10,0),N(Reales!K44)),K$178)</f>
        <v>0</v>
      </c>
      <c r="L193" s="34" t="n">
        <f aca="false">IF(L$8=1,IF(Reales!$C$44="PYG",IF(L$10&gt;0,N(Reales!L44)/L$10,0),N(Reales!L44)),L$178)</f>
        <v>0</v>
      </c>
      <c r="M193" s="34" t="n">
        <f aca="false">IF(M$8=1,IF(Reales!$C$44="PYG",IF(M$10&gt;0,N(Reales!M44)/M$10,0),N(Reales!M44)),M$178)</f>
        <v>0</v>
      </c>
      <c r="N193" s="34" t="n">
        <f aca="false">IF(N$8=1,IF(Reales!$C$44="PYG",IF(N$10&gt;0,N(Reales!N44)/N$10,0),N(Reales!N44)),N$178)</f>
        <v>0</v>
      </c>
      <c r="O193" s="34" t="n">
        <f aca="false">IF(O$8=1,IF(Reales!$C$44="PYG",IF(O$10&gt;0,N(Reales!O44)/O$10,0),N(Reales!O44)),O$178)</f>
        <v>0</v>
      </c>
      <c r="P193" s="34" t="n">
        <f aca="false">IF(P$8=1,IF(Reales!$C$44="PYG",IF(P$10&gt;0,N(Reales!P44)/P$10,0),N(Reales!P44)),P$178)</f>
        <v>0</v>
      </c>
      <c r="Q193" s="34" t="n">
        <f aca="false">IF(Q$8=1,IF(Reales!$C$44="PYG",IF(Q$10&gt;0,N(Reales!Q44)/Q$10,0),N(Reales!Q44)),Q$178)</f>
        <v>0</v>
      </c>
      <c r="R193" s="34" t="n">
        <f aca="false">IF(R$8=1,IF(Reales!$C$44="PYG",IF(R$10&gt;0,N(Reales!R44)/R$10,0),N(Reales!R44)),R$178)</f>
        <v>0</v>
      </c>
      <c r="S193" s="34" t="n">
        <f aca="false">IF(S$8=1,IF(Reales!$C$44="PYG",IF(S$10&gt;0,N(Reales!S44)/S$10,0),N(Reales!S44)),S$178)</f>
        <v>0</v>
      </c>
      <c r="T193" s="34" t="n">
        <f aca="false">IF(T$8=1,IF(Reales!$C$44="PYG",IF(T$10&gt;0,N(Reales!T44)/T$10,0),N(Reales!T44)),T$178)</f>
        <v>0</v>
      </c>
      <c r="U193" s="34" t="n">
        <f aca="false">IF(U$8=1,IF(Reales!$C$44="PYG",IF(U$10&gt;0,N(Reales!U44)/U$10,0),N(Reales!U44)),U$178)</f>
        <v>0</v>
      </c>
      <c r="V193" s="34" t="n">
        <f aca="false">IF(V$8=1,IF(Reales!$C$44="PYG",IF(V$10&gt;0,N(Reales!V44)/V$10,0),N(Reales!V44)),V$178)</f>
        <v>0</v>
      </c>
      <c r="W193" s="34" t="n">
        <f aca="false">IF(W$8=1,IF(Reales!$C$44="PYG",IF(W$10&gt;0,N(Reales!W44)/W$10,0),N(Reales!W44)),W$178)</f>
        <v>0</v>
      </c>
      <c r="X193" s="34" t="n">
        <f aca="false">IF(X$8=1,IF(Reales!$C$44="PYG",IF(X$10&gt;0,N(Reales!X44)/X$10,0),N(Reales!X44)),X$178)</f>
        <v>0</v>
      </c>
      <c r="Y193" s="34" t="n">
        <f aca="false">IF(Y$8=1,IF(Reales!$C$44="PYG",IF(Y$10&gt;0,N(Reales!Y44)/Y$10,0),N(Reales!Y44)),Y$178)</f>
        <v>0</v>
      </c>
      <c r="Z193" s="34" t="n">
        <f aca="false">IF(Z$8=1,IF(Reales!$C$44="PYG",IF(Z$10&gt;0,N(Reales!Z44)/Z$10,0),N(Reales!Z44)),Z$178)</f>
        <v>0</v>
      </c>
      <c r="AA193" s="34" t="n">
        <f aca="false">IF(AA$8=1,IF(Reales!$C$44="PYG",IF(AA$10&gt;0,N(Reales!AA44)/AA$10,0),N(Reales!AA44)),AA$178)</f>
        <v>0</v>
      </c>
      <c r="AB193" s="34" t="n">
        <f aca="false">IF(AB$8=1,IF(Reales!$C$44="PYG",IF(AB$10&gt;0,N(Reales!AB44)/AB$10,0),N(Reales!AB44)),AB$178)</f>
        <v>0</v>
      </c>
      <c r="AC193" s="34" t="n">
        <f aca="false">IF(AC$8=1,IF(Reales!$C$44="PYG",IF(AC$10&gt;0,N(Reales!AC44)/AC$10,0),N(Reales!AC44)),AC$178)</f>
        <v>0</v>
      </c>
      <c r="AD193" s="34" t="n">
        <f aca="false">IF(AD$8=1,IF(Reales!$C$44="PYG",IF(AD$10&gt;0,N(Reales!AD44)/AD$10,0),N(Reales!AD44)),AD$178)</f>
        <v>0</v>
      </c>
      <c r="AE193" s="34" t="n">
        <f aca="false">IF(AE$8=1,IF(Reales!$C$44="PYG",IF(AE$10&gt;0,N(Reales!AE44)/AE$10,0),N(Reales!AE44)),AE$178)</f>
        <v>0</v>
      </c>
      <c r="AF193" s="34" t="n">
        <f aca="false">IF(AF$8=1,IF(Reales!$C$44="PYG",IF(AF$10&gt;0,N(Reales!AF44)/AF$10,0),N(Reales!AF44)),AF$178)</f>
        <v>0</v>
      </c>
      <c r="AG193" s="34" t="n">
        <f aca="false">IF(AG$8=1,IF(Reales!$C$44="PYG",IF(AG$10&gt;0,N(Reales!AG44)/AG$10,0),N(Reales!AG44)),AG$178)</f>
        <v>0</v>
      </c>
      <c r="AH193" s="34" t="n">
        <f aca="false">IF(AH$8=1,IF(Reales!$C$44="PYG",IF(AH$10&gt;0,N(Reales!AH44)/AH$10,0),N(Reales!AH44)),AH$178)</f>
        <v>0</v>
      </c>
      <c r="AI193" s="34" t="n">
        <f aca="false">IF(AI$8=1,IF(Reales!$C$44="PYG",IF(AI$10&gt;0,N(Reales!AI44)/AI$10,0),N(Reales!AI44)),AI$178)</f>
        <v>0</v>
      </c>
      <c r="AJ193" s="34" t="n">
        <f aca="false">IF(AJ$8=1,IF(Reales!$C$44="PYG",IF(AJ$10&gt;0,N(Reales!AJ44)/AJ$10,0),N(Reales!AJ44)),AJ$178)</f>
        <v>0</v>
      </c>
      <c r="AK193" s="34" t="n">
        <f aca="false">IF(AK$8=1,IF(Reales!$C$44="PYG",IF(AK$10&gt;0,N(Reales!AK44)/AK$10,0),N(Reales!AK44)),AK$178)</f>
        <v>0</v>
      </c>
      <c r="AL193" s="34" t="n">
        <f aca="false">IF(AL$8=1,IF(Reales!$C$44="PYG",IF(AL$10&gt;0,N(Reales!AL44)/AL$10,0),N(Reales!AL44)),AL$178)</f>
        <v>0</v>
      </c>
      <c r="AM193" s="34" t="n">
        <f aca="false">IF(AM$8=1,IF(Reales!$C$44="PYG",IF(AM$10&gt;0,N(Reales!AM44)/AM$10,0),N(Reales!AM44)),AM$178)</f>
        <v>0</v>
      </c>
      <c r="AN193" s="34" t="n">
        <f aca="false">IF(AN$8=1,IF(Reales!$C$44="PYG",IF(AN$10&gt;0,N(Reales!AN44)/AN$10,0),N(Reales!AN44)),AN$178)</f>
        <v>0</v>
      </c>
      <c r="AO193" s="34" t="n">
        <f aca="false">IF(AO$8=1,IF(Reales!$C$44="PYG",IF(AO$10&gt;0,N(Reales!AO44)/AO$10,0),N(Reales!AO44)),AO$178)</f>
        <v>0</v>
      </c>
      <c r="AP193" s="34" t="n">
        <f aca="false">IF(AP$8=1,IF(Reales!$C$44="PYG",IF(AP$10&gt;0,N(Reales!AP44)/AP$10,0),N(Reales!AP44)),AP$178)</f>
        <v>0</v>
      </c>
      <c r="AQ193" s="34" t="n">
        <f aca="false">IF(AQ$8=1,IF(Reales!$C$44="PYG",IF(AQ$10&gt;0,N(Reales!AQ44)/AQ$10,0),N(Reales!AQ44)),AQ$178)</f>
        <v>0</v>
      </c>
      <c r="AR193" s="34" t="n">
        <f aca="false">IF(AR$8=1,IF(Reales!$C$44="PYG",IF(AR$10&gt;0,N(Reales!AR44)/AR$10,0),N(Reales!AR44)),AR$178)</f>
        <v>0</v>
      </c>
      <c r="AS193" s="34" t="n">
        <f aca="false">IF(AS$8=1,IF(Reales!$C$44="PYG",IF(AS$10&gt;0,N(Reales!AS44)/AS$10,0),N(Reales!AS44)),AS$178)</f>
        <v>0</v>
      </c>
      <c r="AT193" s="34" t="n">
        <f aca="false">IF(AT$8=1,IF(Reales!$C$44="PYG",IF(AT$10&gt;0,N(Reales!AT44)/AT$10,0),N(Reales!AT44)),AT$178)</f>
        <v>0</v>
      </c>
      <c r="AU193" s="34" t="n">
        <f aca="false">IF(AU$8=1,IF(Reales!$C$44="PYG",IF(AU$10&gt;0,N(Reales!AU44)/AU$10,0),N(Reales!AU44)),AU$178)</f>
        <v>0</v>
      </c>
      <c r="AV193" s="34" t="n">
        <f aca="false">IF(AV$8=1,IF(Reales!$C$44="PYG",IF(AV$10&gt;0,N(Reales!AV44)/AV$10,0),N(Reales!AV44)),AV$178)</f>
        <v>0</v>
      </c>
      <c r="AW193" s="34" t="n">
        <f aca="false">IF(AW$8=1,IF(Reales!$C$44="PYG",IF(AW$10&gt;0,N(Reales!AW44)/AW$10,0),N(Reales!AW44)),AW$178)</f>
        <v>0</v>
      </c>
      <c r="AX193" s="34" t="n">
        <f aca="false">IF(AX$8=1,IF(Reales!$C$44="PYG",IF(AX$10&gt;0,N(Reales!AX44)/AX$10,0),N(Reales!AX44)),AX$178)</f>
        <v>0</v>
      </c>
      <c r="AY193" s="34" t="n">
        <f aca="false">IF(AY$8=1,IF(Reales!$C$44="PYG",IF(AY$10&gt;0,N(Reales!AY44)/AY$10,0),N(Reales!AY44)),AY$178)</f>
        <v>0</v>
      </c>
      <c r="AZ193" s="34" t="n">
        <f aca="false">IF(AZ$8=1,IF(Reales!$C$44="PYG",IF(AZ$10&gt;0,N(Reales!AZ44)/AZ$10,0),N(Reales!AZ44)),AZ$178)</f>
        <v>0</v>
      </c>
      <c r="BA193" s="34" t="n">
        <f aca="false">IF(BA$8=1,IF(Reales!$C$44="PYG",IF(BA$10&gt;0,N(Reales!BA44)/BA$10,0),N(Reales!BA44)),BA$178)</f>
        <v>0</v>
      </c>
      <c r="BB193" s="34" t="n">
        <f aca="false">IF(BB$8=1,IF(Reales!$C$44="PYG",IF(BB$10&gt;0,N(Reales!BB44)/BB$10,0),N(Reales!BB44)),BB$178)</f>
        <v>0</v>
      </c>
      <c r="BC193" s="34" t="n">
        <f aca="false">IF(BC$8=1,IF(Reales!$C$44="PYG",IF(BC$10&gt;0,N(Reales!BC44)/BC$10,0),N(Reales!BC44)),BC$178)</f>
        <v>0</v>
      </c>
      <c r="BD193" s="34" t="n">
        <f aca="false">IF(BD$8=1,IF(Reales!$C$44="PYG",IF(BD$10&gt;0,N(Reales!BD44)/BD$10,0),N(Reales!BD44)),BD$178)</f>
        <v>0</v>
      </c>
      <c r="BE193" s="34" t="n">
        <f aca="false">IF(BE$8=1,IF(Reales!$C$44="PYG",IF(BE$10&gt;0,N(Reales!BE44)/BE$10,0),N(Reales!BE44)),BE$178)</f>
        <v>0</v>
      </c>
      <c r="BF193" s="34" t="n">
        <f aca="false">IF(BF$8=1,IF(Reales!$C$44="PYG",IF(BF$10&gt;0,N(Reales!BF44)/BF$10,0),N(Reales!BF44)),BF$178)</f>
        <v>0</v>
      </c>
      <c r="BG193" s="34" t="n">
        <f aca="false">IF(BG$8=1,IF(Reales!$C$44="PYG",IF(BG$10&gt;0,N(Reales!BG44)/BG$10,0),N(Reales!BG44)),BG$178)</f>
        <v>0</v>
      </c>
      <c r="BH193" s="34" t="n">
        <f aca="false">IF(BH$8=1,IF(Reales!$C$44="PYG",IF(BH$10&gt;0,N(Reales!BH44)/BH$10,0),N(Reales!BH44)),BH$178)</f>
        <v>0</v>
      </c>
      <c r="BI193" s="34" t="n">
        <f aca="false">IF(BI$8=1,IF(Reales!$C$44="PYG",IF(BI$10&gt;0,N(Reales!BI44)/BI$10,0),N(Reales!BI44)),BI$178)</f>
        <v>0</v>
      </c>
      <c r="BJ193" s="34" t="n">
        <f aca="false">IF(BJ$8=1,IF(Reales!$C$44="PYG",IF(BJ$10&gt;0,N(Reales!BJ44)/BJ$10,0),N(Reales!BJ44)),BJ$178)</f>
        <v>0</v>
      </c>
      <c r="BK193" s="34" t="n">
        <f aca="false">IF(BK$8=1,IF(Reales!$C$44="PYG",IF(BK$10&gt;0,N(Reales!BK44)/BK$10,0),N(Reales!BK44)),BK$178)</f>
        <v>0</v>
      </c>
      <c r="BL193" s="34" t="n">
        <f aca="false">IF(BL$8=1,IF(Reales!$C$44="PYG",IF(BL$10&gt;0,N(Reales!BL44)/BL$10,0),N(Reales!BL44)),BL$178)</f>
        <v>0</v>
      </c>
      <c r="BM193" s="34" t="n">
        <f aca="false">IF(BM$8=1,IF(Reales!$C$44="PYG",IF(BM$10&gt;0,N(Reales!BM44)/BM$10,0),N(Reales!BM44)),BM$178)</f>
        <v>0</v>
      </c>
      <c r="BN193" s="34" t="n">
        <f aca="false">IF(BN$8=1,IF(Reales!$C$44="PYG",IF(BN$10&gt;0,N(Reales!BN44)/BN$10,0),N(Reales!BN44)),BN$178)</f>
        <v>0</v>
      </c>
      <c r="BO193" s="34" t="n">
        <f aca="false">IF(BO$8=1,IF(Reales!$C$44="PYG",IF(BO$10&gt;0,N(Reales!BO44)/BO$10,0),N(Reales!BO44)),BO$178)</f>
        <v>0</v>
      </c>
      <c r="BP193" s="34" t="n">
        <f aca="false">IF(BP$8=1,IF(Reales!$C$44="PYG",IF(BP$10&gt;0,N(Reales!BP44)/BP$10,0),N(Reales!BP44)),BP$178)</f>
        <v>0</v>
      </c>
      <c r="BQ193" s="34" t="n">
        <f aca="false">IF(BQ$8=1,IF(Reales!$C$44="PYG",IF(BQ$10&gt;0,N(Reales!BQ44)/BQ$10,0),N(Reales!BQ44)),BQ$178)</f>
        <v>0</v>
      </c>
      <c r="BR193" s="34" t="n">
        <f aca="false">IF(BR$8=1,IF(Reales!$C$44="PYG",IF(BR$10&gt;0,N(Reales!BR44)/BR$10,0),N(Reales!BR44)),BR$178)</f>
        <v>0</v>
      </c>
      <c r="BS193" s="34" t="n">
        <f aca="false">IF(BS$8=1,IF(Reales!$C$44="PYG",IF(BS$10&gt;0,N(Reales!BS44)/BS$10,0),N(Reales!BS44)),BS$178)</f>
        <v>0</v>
      </c>
      <c r="BT193" s="34" t="n">
        <f aca="false">IF(BT$8=1,IF(Reales!$C$44="PYG",IF(BT$10&gt;0,N(Reales!BT44)/BT$10,0),N(Reales!BT44)),BT$178)</f>
        <v>0</v>
      </c>
      <c r="BU193" s="34" t="n">
        <f aca="false">IF(BU$8=1,IF(Reales!$C$44="PYG",IF(BU$10&gt;0,N(Reales!BU44)/BU$10,0),N(Reales!BU44)),BU$178)</f>
        <v>0</v>
      </c>
      <c r="BV193" s="34" t="n">
        <f aca="false">IF(BV$8=1,IF(Reales!$C$44="PYG",IF(BV$10&gt;0,N(Reales!BV44)/BV$10,0),N(Reales!BV44)),BV$178)</f>
        <v>0</v>
      </c>
      <c r="BW193" s="34" t="n">
        <f aca="false">IF(BW$8=1,IF(Reales!$C$44="PYG",IF(BW$10&gt;0,N(Reales!BW44)/BW$10,0),N(Reales!BW44)),BW$178)</f>
        <v>0</v>
      </c>
      <c r="BX193" s="34" t="n">
        <f aca="false">IF(BX$8=1,IF(Reales!$C$44="PYG",IF(BX$10&gt;0,N(Reales!BX44)/BX$10,0),N(Reales!BX44)),BX$178)</f>
        <v>0</v>
      </c>
      <c r="BY193" s="34" t="n">
        <f aca="false">IF(BY$8=1,IF(Reales!$C$44="PYG",IF(BY$10&gt;0,N(Reales!BY44)/BY$10,0),N(Reales!BY44)),BY$178)</f>
        <v>0</v>
      </c>
      <c r="BZ193" s="34" t="n">
        <f aca="false">IF(BZ$8=1,IF(Reales!$C$44="PYG",IF(BZ$10&gt;0,N(Reales!BZ44)/BZ$10,0),N(Reales!BZ44)),BZ$178)</f>
        <v>0</v>
      </c>
      <c r="CA193" s="34" t="n">
        <f aca="false">IF(CA$8=1,IF(Reales!$C$44="PYG",IF(CA$10&gt;0,N(Reales!CA44)/CA$10,0),N(Reales!CA44)),CA$178)</f>
        <v>0</v>
      </c>
      <c r="CB193" s="34" t="n">
        <f aca="false">IF(CB$8=1,IF(Reales!$C$44="PYG",IF(CB$10&gt;0,N(Reales!CB44)/CB$10,0),N(Reales!CB44)),CB$178)</f>
        <v>0</v>
      </c>
      <c r="CC193" s="34" t="n">
        <f aca="false">IF(CC$8=1,IF(Reales!$C$44="PYG",IF(CC$10&gt;0,N(Reales!CC44)/CC$10,0),N(Reales!CC44)),CC$178)</f>
        <v>0</v>
      </c>
      <c r="CD193" s="34" t="n">
        <f aca="false">IF(CD$8=1,IF(Reales!$C$44="PYG",IF(CD$10&gt;0,N(Reales!CD44)/CD$10,0),N(Reales!CD44)),CD$178)</f>
        <v>0</v>
      </c>
      <c r="CE193" s="34" t="n">
        <f aca="false">IF(CE$8=1,IF(Reales!$C$44="PYG",IF(CE$10&gt;0,N(Reales!CE44)/CE$10,0),N(Reales!CE44)),CE$178)</f>
        <v>0</v>
      </c>
      <c r="CF193" s="34" t="n">
        <f aca="false">IF(CF$8=1,IF(Reales!$C$44="PYG",IF(CF$10&gt;0,N(Reales!CF44)/CF$10,0),N(Reales!CF44)),CF$178)</f>
        <v>0</v>
      </c>
      <c r="CG193" s="34" t="n">
        <f aca="false">IF(CG$8=1,IF(Reales!$C$44="PYG",IF(CG$10&gt;0,N(Reales!CG44)/CG$10,0),N(Reales!CG44)),CG$178)</f>
        <v>0</v>
      </c>
      <c r="CH193" s="34" t="n">
        <f aca="false">IF(CH$8=1,IF(Reales!$C$44="PYG",IF(CH$10&gt;0,N(Reales!CH44)/CH$10,0),N(Reales!CH44)),CH$178)</f>
        <v>0</v>
      </c>
      <c r="CI193" s="34" t="n">
        <f aca="false">IF(CI$8=1,IF(Reales!$C$44="PYG",IF(CI$10&gt;0,N(Reales!CI44)/CI$10,0),N(Reales!CI44)),CI$178)</f>
        <v>0</v>
      </c>
      <c r="CJ193" s="34" t="n">
        <f aca="false">IF(CJ$8=1,IF(Reales!$C$44="PYG",IF(CJ$10&gt;0,N(Reales!CJ44)/CJ$10,0),N(Reales!CJ44)),CJ$178)</f>
        <v>0</v>
      </c>
      <c r="CK193" s="34" t="n">
        <f aca="false">IF(CK$8=1,IF(Reales!$C$44="PYG",IF(CK$10&gt;0,N(Reales!CK44)/CK$10,0),N(Reales!CK44)),CK$178)</f>
        <v>0</v>
      </c>
      <c r="CL193" s="34" t="n">
        <f aca="false">IF(CL$8=1,IF(Reales!$C$44="PYG",IF(CL$10&gt;0,N(Reales!CL44)/CL$10,0),N(Reales!CL44)),CL$178)</f>
        <v>0</v>
      </c>
      <c r="CM193" s="34" t="n">
        <f aca="false">IF(CM$8=1,IF(Reales!$C$44="PYG",IF(CM$10&gt;0,N(Reales!CM44)/CM$10,0),N(Reales!CM44)),CM$178)</f>
        <v>0</v>
      </c>
      <c r="CN193" s="34" t="n">
        <f aca="false">IF(CN$8=1,IF(Reales!$C$44="PYG",IF(CN$10&gt;0,N(Reales!CN44)/CN$10,0),N(Reales!CN44)),CN$178)</f>
        <v>0</v>
      </c>
      <c r="CO193" s="34" t="n">
        <f aca="false">IF(CO$8=1,IF(Reales!$C$44="PYG",IF(CO$10&gt;0,N(Reales!CO44)/CO$10,0),N(Reales!CO44)),CO$178)</f>
        <v>0</v>
      </c>
      <c r="CP193" s="34" t="n">
        <f aca="false">IF(CP$8=1,IF(Reales!$C$44="PYG",IF(CP$10&gt;0,N(Reales!CP44)/CP$10,0),N(Reales!CP44)),CP$178)</f>
        <v>0</v>
      </c>
      <c r="CQ193" s="34" t="n">
        <f aca="false">IF(CQ$8=1,IF(Reales!$C$44="PYG",IF(CQ$10&gt;0,N(Reales!CQ44)/CQ$10,0),N(Reales!CQ44)),CQ$178)</f>
        <v>0</v>
      </c>
      <c r="CR193" s="34" t="n">
        <f aca="false">IF(CR$8=1,IF(Reales!$C$44="PYG",IF(CR$10&gt;0,N(Reales!CR44)/CR$10,0),N(Reales!CR44)),CR$178)</f>
        <v>0</v>
      </c>
      <c r="CS193" s="34" t="n">
        <f aca="false">IF(CS$8=1,IF(Reales!$C$44="PYG",IF(CS$10&gt;0,N(Reales!CS44)/CS$10,0),N(Reales!CS44)),CS$178)</f>
        <v>0</v>
      </c>
      <c r="CT193" s="34" t="n">
        <f aca="false">IF(CT$8=1,IF(Reales!$C$44="PYG",IF(CT$10&gt;0,N(Reales!CT44)/CT$10,0),N(Reales!CT44)),CT$178)</f>
        <v>0</v>
      </c>
      <c r="CU193" s="34" t="n">
        <f aca="false">IF(CU$8=1,IF(Reales!$C$44="PYG",IF(CU$10&gt;0,N(Reales!CU44)/CU$10,0),N(Reales!CU44)),CU$178)</f>
        <v>0</v>
      </c>
      <c r="CV193" s="34" t="n">
        <f aca="false">IF(CV$8=1,IF(Reales!$C$44="PYG",IF(CV$10&gt;0,N(Reales!CV44)/CV$10,0),N(Reales!CV44)),CV$178)</f>
        <v>0</v>
      </c>
      <c r="CW193" s="34" t="n">
        <f aca="false">IF(CW$8=1,IF(Reales!$C$44="PYG",IF(CW$10&gt;0,N(Reales!CW44)/CW$10,0),N(Reales!CW44)),CW$178)</f>
        <v>0</v>
      </c>
      <c r="CX193" s="34" t="n">
        <f aca="false">IF(CX$8=1,IF(Reales!$C$44="PYG",IF(CX$10&gt;0,N(Reales!CX44)/CX$10,0),N(Reales!CX44)),CX$178)</f>
        <v>0</v>
      </c>
      <c r="CY193" s="34" t="n">
        <f aca="false">IF(CY$8=1,IF(Reales!$C$44="PYG",IF(CY$10&gt;0,N(Reales!CY44)/CY$10,0),N(Reales!CY44)),CY$178)</f>
        <v>0</v>
      </c>
      <c r="CZ193" s="34" t="n">
        <f aca="false">IF(CZ$8=1,IF(Reales!$C$44="PYG",IF(CZ$10&gt;0,N(Reales!CZ44)/CZ$10,0),N(Reales!CZ44)),CZ$178)</f>
        <v>0</v>
      </c>
      <c r="DA193" s="34" t="n">
        <f aca="false">IF(DA$8=1,IF(Reales!$C$44="PYG",IF(DA$10&gt;0,N(Reales!DA44)/DA$10,0),N(Reales!DA44)),DA$178)</f>
        <v>0</v>
      </c>
      <c r="DB193" s="34" t="n">
        <f aca="false">IF(DB$8=1,IF(Reales!$C$44="PYG",IF(DB$10&gt;0,N(Reales!DB44)/DB$10,0),N(Reales!DB44)),DB$178)</f>
        <v>0</v>
      </c>
      <c r="DC193" s="34" t="n">
        <f aca="false">IF(DC$8=1,IF(Reales!$C$44="PYG",IF(DC$10&gt;0,N(Reales!DC44)/DC$10,0),N(Reales!DC44)),DC$178)</f>
        <v>0</v>
      </c>
      <c r="DD193" s="34" t="n">
        <f aca="false">IF(DD$8=1,IF(Reales!$C$44="PYG",IF(DD$10&gt;0,N(Reales!DD44)/DD$10,0),N(Reales!DD44)),DD$178)</f>
        <v>0</v>
      </c>
      <c r="DE193" s="34" t="n">
        <f aca="false">IF(DE$8=1,IF(Reales!$C$44="PYG",IF(DE$10&gt;0,N(Reales!DE44)/DE$10,0),N(Reales!DE44)),DE$178)</f>
        <v>0</v>
      </c>
      <c r="DF193" s="34" t="n">
        <f aca="false">IF(DF$8=1,IF(Reales!$C$44="PYG",IF(DF$10&gt;0,N(Reales!DF44)/DF$10,0),N(Reales!DF44)),DF$178)</f>
        <v>0</v>
      </c>
      <c r="DG193" s="34" t="n">
        <f aca="false">IF(DG$8=1,IF(Reales!$C$44="PYG",IF(DG$10&gt;0,N(Reales!DG44)/DG$10,0),N(Reales!DG44)),DG$178)</f>
        <v>0</v>
      </c>
      <c r="DH193" s="34" t="n">
        <f aca="false">IF(DH$8=1,IF(Reales!$C$44="PYG",IF(DH$10&gt;0,N(Reales!DH44)/DH$10,0),N(Reales!DH44)),DH$178)</f>
        <v>0</v>
      </c>
      <c r="DI193" s="34" t="n">
        <f aca="false">IF(DI$8=1,IF(Reales!$C$44="PYG",IF(DI$10&gt;0,N(Reales!DI44)/DI$10,0),N(Reales!DI44)),DI$178)</f>
        <v>0</v>
      </c>
      <c r="DJ193" s="34" t="n">
        <f aca="false">IF(DJ$8=1,IF(Reales!$C$44="PYG",IF(DJ$10&gt;0,N(Reales!DJ44)/DJ$10,0),N(Reales!DJ44)),DJ$178)</f>
        <v>0</v>
      </c>
      <c r="DK193" s="34" t="n">
        <f aca="false">IF(DK$8=1,IF(Reales!$C$44="PYG",IF(DK$10&gt;0,N(Reales!DK44)/DK$10,0),N(Reales!DK44)),DK$178)</f>
        <v>0</v>
      </c>
      <c r="DL193" s="34" t="n">
        <f aca="false">IF(DL$8=1,IF(Reales!$C$44="PYG",IF(DL$10&gt;0,N(Reales!DL44)/DL$10,0),N(Reales!DL44)),DL$178)</f>
        <v>0</v>
      </c>
      <c r="DM193" s="34" t="n">
        <f aca="false">IF(DM$8=1,IF(Reales!$C$44="PYG",IF(DM$10&gt;0,N(Reales!DM44)/DM$10,0),N(Reales!DM44)),DM$178)</f>
        <v>0</v>
      </c>
      <c r="DN193" s="34" t="n">
        <f aca="false">IF(DN$8=1,IF(Reales!$C$44="PYG",IF(DN$10&gt;0,N(Reales!DN44)/DN$10,0),N(Reales!DN44)),DN$178)</f>
        <v>0</v>
      </c>
      <c r="DO193" s="34" t="n">
        <f aca="false">IF(DO$8=1,IF(Reales!$C$44="PYG",IF(DO$10&gt;0,N(Reales!DO44)/DO$10,0),N(Reales!DO44)),DO$178)</f>
        <v>0</v>
      </c>
      <c r="DP193" s="34" t="n">
        <f aca="false">IF(DP$8=1,IF(Reales!$C$44="PYG",IF(DP$10&gt;0,N(Reales!DP44)/DP$10,0),N(Reales!DP44)),DP$178)</f>
        <v>0</v>
      </c>
      <c r="DQ193" s="34" t="n">
        <f aca="false">IF(DQ$8=1,IF(Reales!$C$44="PYG",IF(DQ$10&gt;0,N(Reales!DQ44)/DQ$10,0),N(Reales!DQ44)),DQ$178)</f>
        <v>0</v>
      </c>
      <c r="DR193" s="34" t="n">
        <f aca="false">IF(DR$8=1,IF(Reales!$C$44="PYG",IF(DR$10&gt;0,N(Reales!DR44)/DR$10,0),N(Reales!DR44)),DR$178)</f>
        <v>0</v>
      </c>
      <c r="DS193" s="34" t="n">
        <f aca="false">IF(DS$8=1,IF(Reales!$C$44="PYG",IF(DS$10&gt;0,N(Reales!DS44)/DS$10,0),N(Reales!DS44)),DS$178)</f>
        <v>0</v>
      </c>
      <c r="DT193" s="34" t="n">
        <f aca="false">IF(DT$8=1,IF(Reales!$C$44="PYG",IF(DT$10&gt;0,N(Reales!DT44)/DT$10,0),N(Reales!DT44)),DT$178)</f>
        <v>0</v>
      </c>
      <c r="DU193" s="34" t="n">
        <f aca="false">IF(DU$8=1,IF(Reales!$C$44="PYG",IF(DU$10&gt;0,N(Reales!DU44)/DU$10,0),N(Reales!DU44)),DU$178)</f>
        <v>0</v>
      </c>
      <c r="DV193" s="34" t="n">
        <f aca="false">IF(DV$8=1,IF(Reales!$C$44="PYG",IF(DV$10&gt;0,N(Reales!DV44)/DV$10,0),N(Reales!DV44)),DV$178)</f>
        <v>0</v>
      </c>
      <c r="DW193" s="34" t="n">
        <f aca="false">IF(DW$8=1,IF(Reales!$C$44="PYG",IF(DW$10&gt;0,N(Reales!DW44)/DW$10,0),N(Reales!DW44)),DW$178)</f>
        <v>0</v>
      </c>
      <c r="DX193" s="34" t="n">
        <f aca="false">IF(DX$8=1,IF(Reales!$C$44="PYG",IF(DX$10&gt;0,N(Reales!DX44)/DX$10,0),N(Reales!DX44)),DX$178)</f>
        <v>0</v>
      </c>
      <c r="DY193" s="34" t="n">
        <f aca="false">IF(DY$8=1,IF(Reales!$C$44="PYG",IF(DY$10&gt;0,N(Reales!DY44)/DY$10,0),N(Reales!DY44)),DY$178)</f>
        <v>0</v>
      </c>
      <c r="DZ193" s="34" t="n">
        <f aca="false">IF(DZ$8=1,IF(Reales!$C$44="PYG",IF(DZ$10&gt;0,N(Reales!DZ44)/DZ$10,0),N(Reales!DZ44)),DZ$178)</f>
        <v>0</v>
      </c>
      <c r="EA193" s="34" t="n">
        <f aca="false">IF(EA$8=1,IF(Reales!$C$44="PYG",IF(EA$10&gt;0,N(Reales!EA44)/EA$10,0),N(Reales!EA44)),EA$178)</f>
        <v>0</v>
      </c>
      <c r="EB193" s="34" t="n">
        <f aca="false">IF(EB$8=1,IF(Reales!$C$44="PYG",IF(EB$10&gt;0,N(Reales!EB44)/EB$10,0),N(Reales!EB44)),EB$178)</f>
        <v>0</v>
      </c>
      <c r="EC193" s="34" t="n">
        <f aca="false">IF(EC$8=1,IF(Reales!$C$44="PYG",IF(EC$10&gt;0,N(Reales!EC44)/EC$10,0),N(Reales!EC44)),EC$178)</f>
        <v>0</v>
      </c>
      <c r="ED193" s="34" t="n">
        <f aca="false">IF(ED$8=1,IF(Reales!$C$44="PYG",IF(ED$10&gt;0,N(Reales!ED44)/ED$10,0),N(Reales!ED44)),ED$178)</f>
        <v>0</v>
      </c>
      <c r="EE193" s="34" t="n">
        <f aca="false">IF(EE$8=1,IF(Reales!$C$44="PYG",IF(EE$10&gt;0,N(Reales!EE44)/EE$10,0),N(Reales!EE44)),EE$178)</f>
        <v>0</v>
      </c>
      <c r="EF193" s="34" t="n">
        <f aca="false">IF(EF$8=1,IF(Reales!$C$44="PYG",IF(EF$10&gt;0,N(Reales!EF44)/EF$10,0),N(Reales!EF44)),EF$178)</f>
        <v>0</v>
      </c>
      <c r="EG193" s="34" t="n">
        <f aca="false">IF(EG$8=1,IF(Reales!$C$44="PYG",IF(EG$10&gt;0,N(Reales!EG44)/EG$10,0),N(Reales!EG44)),EG$178)</f>
        <v>0</v>
      </c>
      <c r="EH193" s="34" t="n">
        <f aca="false">IF(EH$8=1,IF(Reales!$C$44="PYG",IF(EH$10&gt;0,N(Reales!EH44)/EH$10,0),N(Reales!EH44)),EH$178)</f>
        <v>0</v>
      </c>
      <c r="EI193" s="34" t="n">
        <f aca="false">IF(EI$8=1,IF(Reales!$C$44="PYG",IF(EI$10&gt;0,N(Reales!EI44)/EI$10,0),N(Reales!EI44)),EI$178)</f>
        <v>0</v>
      </c>
      <c r="EJ193" s="34" t="n">
        <f aca="false">IF(EJ$8=1,IF(Reales!$C$44="PYG",IF(EJ$10&gt;0,N(Reales!EJ44)/EJ$10,0),N(Reales!EJ44)),EJ$178)</f>
        <v>0</v>
      </c>
      <c r="EK193" s="34" t="n">
        <f aca="false">IF(EK$8=1,IF(Reales!$C$44="PYG",IF(EK$10&gt;0,N(Reales!EK44)/EK$10,0),N(Reales!EK44)),EK$178)</f>
        <v>0</v>
      </c>
      <c r="EL193" s="34" t="n">
        <f aca="false">IF(EL$8=1,IF(Reales!$C$44="PYG",IF(EL$10&gt;0,N(Reales!EL44)/EL$10,0),N(Reales!EL44)),EL$178)</f>
        <v>0</v>
      </c>
      <c r="EM193" s="34" t="n">
        <f aca="false">IF(EM$8=1,IF(Reales!$C$44="PYG",IF(EM$10&gt;0,N(Reales!EM44)/EM$10,0),N(Reales!EM44)),EM$178)</f>
        <v>0</v>
      </c>
      <c r="EN193" s="34" t="n">
        <f aca="false">IF(EN$8=1,IF(Reales!$C$44="PYG",IF(EN$10&gt;0,N(Reales!EN44)/EN$10,0),N(Reales!EN44)),EN$178)</f>
        <v>0</v>
      </c>
      <c r="EO193" s="34" t="n">
        <f aca="false">IF(EO$8=1,IF(Reales!$C$44="PYG",IF(EO$10&gt;0,N(Reales!EO44)/EO$10,0),N(Reales!EO44)),EO$178)</f>
        <v>0</v>
      </c>
      <c r="EP193" s="34" t="n">
        <f aca="false">IF(EP$8=1,IF(Reales!$C$44="PYG",IF(EP$10&gt;0,N(Reales!EP44)/EP$10,0),N(Reales!EP44)),EP$178)</f>
        <v>0</v>
      </c>
      <c r="EQ193" s="34" t="n">
        <f aca="false">IF(EQ$8=1,IF(Reales!$C$44="PYG",IF(EQ$10&gt;0,N(Reales!EQ44)/EQ$10,0),N(Reales!EQ44)),EQ$178)</f>
        <v>0</v>
      </c>
      <c r="ER193" s="34" t="n">
        <f aca="false">IF(ER$8=1,IF(Reales!$C$44="PYG",IF(ER$10&gt;0,N(Reales!ER44)/ER$10,0),N(Reales!ER44)),ER$178)</f>
        <v>0</v>
      </c>
      <c r="ES193" s="34" t="n">
        <f aca="false">IF(ES$8=1,IF(Reales!$C$44="PYG",IF(ES$10&gt;0,N(Reales!ES44)/ES$10,0),N(Reales!ES44)),ES$178)</f>
        <v>0</v>
      </c>
    </row>
    <row r="194" customFormat="false" ht="15" hidden="false" customHeight="false" outlineLevel="0" collapsed="false">
      <c r="A194" s="2" t="s">
        <v>671</v>
      </c>
      <c r="B194" s="6" t="s">
        <v>514</v>
      </c>
      <c r="C194" s="6" t="s">
        <v>212</v>
      </c>
      <c r="E194" s="40" t="n">
        <f aca="false">SUM(F194:ES194)</f>
        <v>0</v>
      </c>
      <c r="F194" s="34" t="n">
        <f aca="false">IF(F$8=1,0,F$184*V_IVArec)</f>
        <v>0</v>
      </c>
      <c r="G194" s="34" t="n">
        <f aca="false">IF(G$8=1,0,G$184*V_IVArec)</f>
        <v>0</v>
      </c>
      <c r="H194" s="34" t="n">
        <f aca="false">IF(H$8=1,0,H$184*V_IVArec)</f>
        <v>0</v>
      </c>
      <c r="I194" s="34" t="n">
        <f aca="false">IF(I$8=1,0,I$184*V_IVArec)</f>
        <v>0</v>
      </c>
      <c r="J194" s="34" t="n">
        <f aca="false">IF(J$8=1,0,J$184*V_IVArec)</f>
        <v>0</v>
      </c>
      <c r="K194" s="34" t="n">
        <f aca="false">IF(K$8=1,0,K$184*V_IVArec)</f>
        <v>0</v>
      </c>
      <c r="L194" s="34" t="n">
        <f aca="false">IF(L$8=1,0,L$184*V_IVArec)</f>
        <v>0</v>
      </c>
      <c r="M194" s="34" t="n">
        <f aca="false">IF(M$8=1,0,M$184*V_IVArec)</f>
        <v>0</v>
      </c>
      <c r="N194" s="34" t="n">
        <f aca="false">IF(N$8=1,0,N$184*V_IVArec)</f>
        <v>0</v>
      </c>
      <c r="O194" s="34" t="n">
        <f aca="false">IF(O$8=1,0,O$184*V_IVArec)</f>
        <v>0</v>
      </c>
      <c r="P194" s="34" t="n">
        <f aca="false">IF(P$8=1,0,P$184*V_IVArec)</f>
        <v>0</v>
      </c>
      <c r="Q194" s="34" t="n">
        <f aca="false">IF(Q$8=1,0,Q$184*V_IVArec)</f>
        <v>0</v>
      </c>
      <c r="R194" s="34" t="n">
        <f aca="false">IF(R$8=1,0,R$184*V_IVArec)</f>
        <v>0</v>
      </c>
      <c r="S194" s="34" t="n">
        <f aca="false">IF(S$8=1,0,S$184*V_IVArec)</f>
        <v>0</v>
      </c>
      <c r="T194" s="34" t="n">
        <f aca="false">IF(T$8=1,0,T$184*V_IVArec)</f>
        <v>0</v>
      </c>
      <c r="U194" s="34" t="n">
        <f aca="false">IF(U$8=1,0,U$184*V_IVArec)</f>
        <v>0</v>
      </c>
      <c r="V194" s="34" t="n">
        <f aca="false">IF(V$8=1,0,V$184*V_IVArec)</f>
        <v>0</v>
      </c>
      <c r="W194" s="34" t="n">
        <f aca="false">IF(W$8=1,0,W$184*V_IVArec)</f>
        <v>0</v>
      </c>
      <c r="X194" s="34" t="n">
        <f aca="false">IF(X$8=1,0,X$184*V_IVArec)</f>
        <v>0</v>
      </c>
      <c r="Y194" s="34" t="n">
        <f aca="false">IF(Y$8=1,0,Y$184*V_IVArec)</f>
        <v>0</v>
      </c>
      <c r="Z194" s="34" t="n">
        <f aca="false">IF(Z$8=1,0,Z$184*V_IVArec)</f>
        <v>0</v>
      </c>
      <c r="AA194" s="34" t="n">
        <f aca="false">IF(AA$8=1,0,AA$184*V_IVArec)</f>
        <v>0</v>
      </c>
      <c r="AB194" s="34" t="n">
        <f aca="false">IF(AB$8=1,0,AB$184*V_IVArec)</f>
        <v>0</v>
      </c>
      <c r="AC194" s="34" t="n">
        <f aca="false">IF(AC$8=1,0,AC$184*V_IVArec)</f>
        <v>0</v>
      </c>
      <c r="AD194" s="34" t="n">
        <f aca="false">IF(AD$8=1,0,AD$184*V_IVArec)</f>
        <v>0</v>
      </c>
      <c r="AE194" s="34" t="n">
        <f aca="false">IF(AE$8=1,0,AE$184*V_IVArec)</f>
        <v>0</v>
      </c>
      <c r="AF194" s="34" t="n">
        <f aca="false">IF(AF$8=1,0,AF$184*V_IVArec)</f>
        <v>0</v>
      </c>
      <c r="AG194" s="34" t="n">
        <f aca="false">IF(AG$8=1,0,AG$184*V_IVArec)</f>
        <v>0</v>
      </c>
      <c r="AH194" s="34" t="n">
        <f aca="false">IF(AH$8=1,0,AH$184*V_IVArec)</f>
        <v>0</v>
      </c>
      <c r="AI194" s="34" t="n">
        <f aca="false">IF(AI$8=1,0,AI$184*V_IVArec)</f>
        <v>0</v>
      </c>
      <c r="AJ194" s="34" t="n">
        <f aca="false">IF(AJ$8=1,0,AJ$184*V_IVArec)</f>
        <v>0</v>
      </c>
      <c r="AK194" s="34" t="n">
        <f aca="false">IF(AK$8=1,0,AK$184*V_IVArec)</f>
        <v>0</v>
      </c>
      <c r="AL194" s="34" t="n">
        <f aca="false">IF(AL$8=1,0,AL$184*V_IVArec)</f>
        <v>0</v>
      </c>
      <c r="AM194" s="34" t="n">
        <f aca="false">IF(AM$8=1,0,AM$184*V_IVArec)</f>
        <v>0</v>
      </c>
      <c r="AN194" s="34" t="n">
        <f aca="false">IF(AN$8=1,0,AN$184*V_IVArec)</f>
        <v>0</v>
      </c>
      <c r="AO194" s="34" t="n">
        <f aca="false">IF(AO$8=1,0,AO$184*V_IVArec)</f>
        <v>0</v>
      </c>
      <c r="AP194" s="34" t="n">
        <f aca="false">IF(AP$8=1,0,AP$184*V_IVArec)</f>
        <v>0</v>
      </c>
      <c r="AQ194" s="34" t="n">
        <f aca="false">IF(AQ$8=1,0,AQ$184*V_IVArec)</f>
        <v>0</v>
      </c>
      <c r="AR194" s="34" t="n">
        <f aca="false">IF(AR$8=1,0,AR$184*V_IVArec)</f>
        <v>0</v>
      </c>
      <c r="AS194" s="34" t="n">
        <f aca="false">IF(AS$8=1,0,AS$184*V_IVArec)</f>
        <v>0</v>
      </c>
      <c r="AT194" s="34" t="n">
        <f aca="false">IF(AT$8=1,0,AT$184*V_IVArec)</f>
        <v>0</v>
      </c>
      <c r="AU194" s="34" t="n">
        <f aca="false">IF(AU$8=1,0,AU$184*V_IVArec)</f>
        <v>0</v>
      </c>
      <c r="AV194" s="34" t="n">
        <f aca="false">IF(AV$8=1,0,AV$184*V_IVArec)</f>
        <v>0</v>
      </c>
      <c r="AW194" s="34" t="n">
        <f aca="false">IF(AW$8=1,0,AW$184*V_IVArec)</f>
        <v>0</v>
      </c>
      <c r="AX194" s="34" t="n">
        <f aca="false">IF(AX$8=1,0,AX$184*V_IVArec)</f>
        <v>0</v>
      </c>
      <c r="AY194" s="34" t="n">
        <f aca="false">IF(AY$8=1,0,AY$184*V_IVArec)</f>
        <v>0</v>
      </c>
      <c r="AZ194" s="34" t="n">
        <f aca="false">IF(AZ$8=1,0,AZ$184*V_IVArec)</f>
        <v>0</v>
      </c>
      <c r="BA194" s="34" t="n">
        <f aca="false">IF(BA$8=1,0,BA$184*V_IVArec)</f>
        <v>0</v>
      </c>
      <c r="BB194" s="34" t="n">
        <f aca="false">IF(BB$8=1,0,BB$184*V_IVArec)</f>
        <v>0</v>
      </c>
      <c r="BC194" s="34" t="n">
        <f aca="false">IF(BC$8=1,0,BC$184*V_IVArec)</f>
        <v>0</v>
      </c>
      <c r="BD194" s="34" t="n">
        <f aca="false">IF(BD$8=1,0,BD$184*V_IVArec)</f>
        <v>0</v>
      </c>
      <c r="BE194" s="34" t="n">
        <f aca="false">IF(BE$8=1,0,BE$184*V_IVArec)</f>
        <v>0</v>
      </c>
      <c r="BF194" s="34" t="n">
        <f aca="false">IF(BF$8=1,0,BF$184*V_IVArec)</f>
        <v>0</v>
      </c>
      <c r="BG194" s="34" t="n">
        <f aca="false">IF(BG$8=1,0,BG$184*V_IVArec)</f>
        <v>0</v>
      </c>
      <c r="BH194" s="34" t="n">
        <f aca="false">IF(BH$8=1,0,BH$184*V_IVArec)</f>
        <v>0</v>
      </c>
      <c r="BI194" s="34" t="n">
        <f aca="false">IF(BI$8=1,0,BI$184*V_IVArec)</f>
        <v>0</v>
      </c>
      <c r="BJ194" s="34" t="n">
        <f aca="false">IF(BJ$8=1,0,BJ$184*V_IVArec)</f>
        <v>0</v>
      </c>
      <c r="BK194" s="34" t="n">
        <f aca="false">IF(BK$8=1,0,BK$184*V_IVArec)</f>
        <v>0</v>
      </c>
      <c r="BL194" s="34" t="n">
        <f aca="false">IF(BL$8=1,0,BL$184*V_IVArec)</f>
        <v>0</v>
      </c>
      <c r="BM194" s="34" t="n">
        <f aca="false">IF(BM$8=1,0,BM$184*V_IVArec)</f>
        <v>0</v>
      </c>
      <c r="BN194" s="34" t="n">
        <f aca="false">IF(BN$8=1,0,BN$184*V_IVArec)</f>
        <v>0</v>
      </c>
      <c r="BO194" s="34" t="n">
        <f aca="false">IF(BO$8=1,0,BO$184*V_IVArec)</f>
        <v>0</v>
      </c>
      <c r="BP194" s="34" t="n">
        <f aca="false">IF(BP$8=1,0,BP$184*V_IVArec)</f>
        <v>0</v>
      </c>
      <c r="BQ194" s="34" t="n">
        <f aca="false">IF(BQ$8=1,0,BQ$184*V_IVArec)</f>
        <v>0</v>
      </c>
      <c r="BR194" s="34" t="n">
        <f aca="false">IF(BR$8=1,0,BR$184*V_IVArec)</f>
        <v>0</v>
      </c>
      <c r="BS194" s="34" t="n">
        <f aca="false">IF(BS$8=1,0,BS$184*V_IVArec)</f>
        <v>0</v>
      </c>
      <c r="BT194" s="34" t="n">
        <f aca="false">IF(BT$8=1,0,BT$184*V_IVArec)</f>
        <v>0</v>
      </c>
      <c r="BU194" s="34" t="n">
        <f aca="false">IF(BU$8=1,0,BU$184*V_IVArec)</f>
        <v>0</v>
      </c>
      <c r="BV194" s="34" t="n">
        <f aca="false">IF(BV$8=1,0,BV$184*V_IVArec)</f>
        <v>0</v>
      </c>
      <c r="BW194" s="34" t="n">
        <f aca="false">IF(BW$8=1,0,BW$184*V_IVArec)</f>
        <v>0</v>
      </c>
      <c r="BX194" s="34" t="n">
        <f aca="false">IF(BX$8=1,0,BX$184*V_IVArec)</f>
        <v>0</v>
      </c>
      <c r="BY194" s="34" t="n">
        <f aca="false">IF(BY$8=1,0,BY$184*V_IVArec)</f>
        <v>0</v>
      </c>
      <c r="BZ194" s="34" t="n">
        <f aca="false">IF(BZ$8=1,0,BZ$184*V_IVArec)</f>
        <v>0</v>
      </c>
      <c r="CA194" s="34" t="n">
        <f aca="false">IF(CA$8=1,0,CA$184*V_IVArec)</f>
        <v>0</v>
      </c>
      <c r="CB194" s="34" t="n">
        <f aca="false">IF(CB$8=1,0,CB$184*V_IVArec)</f>
        <v>0</v>
      </c>
      <c r="CC194" s="34" t="n">
        <f aca="false">IF(CC$8=1,0,CC$184*V_IVArec)</f>
        <v>0</v>
      </c>
      <c r="CD194" s="34" t="n">
        <f aca="false">IF(CD$8=1,0,CD$184*V_IVArec)</f>
        <v>0</v>
      </c>
      <c r="CE194" s="34" t="n">
        <f aca="false">IF(CE$8=1,0,CE$184*V_IVArec)</f>
        <v>0</v>
      </c>
      <c r="CF194" s="34" t="n">
        <f aca="false">IF(CF$8=1,0,CF$184*V_IVArec)</f>
        <v>0</v>
      </c>
      <c r="CG194" s="34" t="n">
        <f aca="false">IF(CG$8=1,0,CG$184*V_IVArec)</f>
        <v>0</v>
      </c>
      <c r="CH194" s="34" t="n">
        <f aca="false">IF(CH$8=1,0,CH$184*V_IVArec)</f>
        <v>0</v>
      </c>
      <c r="CI194" s="34" t="n">
        <f aca="false">IF(CI$8=1,0,CI$184*V_IVArec)</f>
        <v>0</v>
      </c>
      <c r="CJ194" s="34" t="n">
        <f aca="false">IF(CJ$8=1,0,CJ$184*V_IVArec)</f>
        <v>0</v>
      </c>
      <c r="CK194" s="34" t="n">
        <f aca="false">IF(CK$8=1,0,CK$184*V_IVArec)</f>
        <v>0</v>
      </c>
      <c r="CL194" s="34" t="n">
        <f aca="false">IF(CL$8=1,0,CL$184*V_IVArec)</f>
        <v>0</v>
      </c>
      <c r="CM194" s="34" t="n">
        <f aca="false">IF(CM$8=1,0,CM$184*V_IVArec)</f>
        <v>0</v>
      </c>
      <c r="CN194" s="34" t="n">
        <f aca="false">IF(CN$8=1,0,CN$184*V_IVArec)</f>
        <v>0</v>
      </c>
      <c r="CO194" s="34" t="n">
        <f aca="false">IF(CO$8=1,0,CO$184*V_IVArec)</f>
        <v>0</v>
      </c>
      <c r="CP194" s="34" t="n">
        <f aca="false">IF(CP$8=1,0,CP$184*V_IVArec)</f>
        <v>0</v>
      </c>
      <c r="CQ194" s="34" t="n">
        <f aca="false">IF(CQ$8=1,0,CQ$184*V_IVArec)</f>
        <v>0</v>
      </c>
      <c r="CR194" s="34" t="n">
        <f aca="false">IF(CR$8=1,0,CR$184*V_IVArec)</f>
        <v>0</v>
      </c>
      <c r="CS194" s="34" t="n">
        <f aca="false">IF(CS$8=1,0,CS$184*V_IVArec)</f>
        <v>0</v>
      </c>
      <c r="CT194" s="34" t="n">
        <f aca="false">IF(CT$8=1,0,CT$184*V_IVArec)</f>
        <v>0</v>
      </c>
      <c r="CU194" s="34" t="n">
        <f aca="false">IF(CU$8=1,0,CU$184*V_IVArec)</f>
        <v>0</v>
      </c>
      <c r="CV194" s="34" t="n">
        <f aca="false">IF(CV$8=1,0,CV$184*V_IVArec)</f>
        <v>0</v>
      </c>
      <c r="CW194" s="34" t="n">
        <f aca="false">IF(CW$8=1,0,CW$184*V_IVArec)</f>
        <v>0</v>
      </c>
      <c r="CX194" s="34" t="n">
        <f aca="false">IF(CX$8=1,0,CX$184*V_IVArec)</f>
        <v>0</v>
      </c>
      <c r="CY194" s="34" t="n">
        <f aca="false">IF(CY$8=1,0,CY$184*V_IVArec)</f>
        <v>0</v>
      </c>
      <c r="CZ194" s="34" t="n">
        <f aca="false">IF(CZ$8=1,0,CZ$184*V_IVArec)</f>
        <v>0</v>
      </c>
      <c r="DA194" s="34" t="n">
        <f aca="false">IF(DA$8=1,0,DA$184*V_IVArec)</f>
        <v>0</v>
      </c>
      <c r="DB194" s="34" t="n">
        <f aca="false">IF(DB$8=1,0,DB$184*V_IVArec)</f>
        <v>0</v>
      </c>
      <c r="DC194" s="34" t="n">
        <f aca="false">IF(DC$8=1,0,DC$184*V_IVArec)</f>
        <v>0</v>
      </c>
      <c r="DD194" s="34" t="n">
        <f aca="false">IF(DD$8=1,0,DD$184*V_IVArec)</f>
        <v>0</v>
      </c>
      <c r="DE194" s="34" t="n">
        <f aca="false">IF(DE$8=1,0,DE$184*V_IVArec)</f>
        <v>0</v>
      </c>
      <c r="DF194" s="34" t="n">
        <f aca="false">IF(DF$8=1,0,DF$184*V_IVArec)</f>
        <v>0</v>
      </c>
      <c r="DG194" s="34" t="n">
        <f aca="false">IF(DG$8=1,0,DG$184*V_IVArec)</f>
        <v>0</v>
      </c>
      <c r="DH194" s="34" t="n">
        <f aca="false">IF(DH$8=1,0,DH$184*V_IVArec)</f>
        <v>0</v>
      </c>
      <c r="DI194" s="34" t="n">
        <f aca="false">IF(DI$8=1,0,DI$184*V_IVArec)</f>
        <v>0</v>
      </c>
      <c r="DJ194" s="34" t="n">
        <f aca="false">IF(DJ$8=1,0,DJ$184*V_IVArec)</f>
        <v>0</v>
      </c>
      <c r="DK194" s="34" t="n">
        <f aca="false">IF(DK$8=1,0,DK$184*V_IVArec)</f>
        <v>0</v>
      </c>
      <c r="DL194" s="34" t="n">
        <f aca="false">IF(DL$8=1,0,DL$184*V_IVArec)</f>
        <v>0</v>
      </c>
      <c r="DM194" s="34" t="n">
        <f aca="false">IF(DM$8=1,0,DM$184*V_IVArec)</f>
        <v>0</v>
      </c>
      <c r="DN194" s="34" t="n">
        <f aca="false">IF(DN$8=1,0,DN$184*V_IVArec)</f>
        <v>0</v>
      </c>
      <c r="DO194" s="34" t="n">
        <f aca="false">IF(DO$8=1,0,DO$184*V_IVArec)</f>
        <v>0</v>
      </c>
      <c r="DP194" s="34" t="n">
        <f aca="false">IF(DP$8=1,0,DP$184*V_IVArec)</f>
        <v>0</v>
      </c>
      <c r="DQ194" s="34" t="n">
        <f aca="false">IF(DQ$8=1,0,DQ$184*V_IVArec)</f>
        <v>0</v>
      </c>
      <c r="DR194" s="34" t="n">
        <f aca="false">IF(DR$8=1,0,DR$184*V_IVArec)</f>
        <v>0</v>
      </c>
      <c r="DS194" s="34" t="n">
        <f aca="false">IF(DS$8=1,0,DS$184*V_IVArec)</f>
        <v>0</v>
      </c>
      <c r="DT194" s="34" t="n">
        <f aca="false">IF(DT$8=1,0,DT$184*V_IVArec)</f>
        <v>0</v>
      </c>
      <c r="DU194" s="34" t="n">
        <f aca="false">IF(DU$8=1,0,DU$184*V_IVArec)</f>
        <v>0</v>
      </c>
      <c r="DV194" s="34" t="n">
        <f aca="false">IF(DV$8=1,0,DV$184*V_IVArec)</f>
        <v>0</v>
      </c>
      <c r="DW194" s="34" t="n">
        <f aca="false">IF(DW$8=1,0,DW$184*V_IVArec)</f>
        <v>0</v>
      </c>
      <c r="DX194" s="34" t="n">
        <f aca="false">IF(DX$8=1,0,DX$184*V_IVArec)</f>
        <v>0</v>
      </c>
      <c r="DY194" s="34" t="n">
        <f aca="false">IF(DY$8=1,0,DY$184*V_IVArec)</f>
        <v>0</v>
      </c>
      <c r="DZ194" s="34" t="n">
        <f aca="false">IF(DZ$8=1,0,DZ$184*V_IVArec)</f>
        <v>0</v>
      </c>
      <c r="EA194" s="34" t="n">
        <f aca="false">IF(EA$8=1,0,EA$184*V_IVArec)</f>
        <v>0</v>
      </c>
      <c r="EB194" s="34" t="n">
        <f aca="false">IF(EB$8=1,0,EB$184*V_IVArec)</f>
        <v>0</v>
      </c>
      <c r="EC194" s="34" t="n">
        <f aca="false">IF(EC$8=1,0,EC$184*V_IVArec)</f>
        <v>0</v>
      </c>
      <c r="ED194" s="34" t="n">
        <f aca="false">IF(ED$8=1,0,ED$184*V_IVArec)</f>
        <v>0</v>
      </c>
      <c r="EE194" s="34" t="n">
        <f aca="false">IF(EE$8=1,0,EE$184*V_IVArec)</f>
        <v>0</v>
      </c>
      <c r="EF194" s="34" t="n">
        <f aca="false">IF(EF$8=1,0,EF$184*V_IVArec)</f>
        <v>0</v>
      </c>
      <c r="EG194" s="34" t="n">
        <f aca="false">IF(EG$8=1,0,EG$184*V_IVArec)</f>
        <v>0</v>
      </c>
      <c r="EH194" s="34" t="n">
        <f aca="false">IF(EH$8=1,0,EH$184*V_IVArec)</f>
        <v>0</v>
      </c>
      <c r="EI194" s="34" t="n">
        <f aca="false">IF(EI$8=1,0,EI$184*V_IVArec)</f>
        <v>0</v>
      </c>
      <c r="EJ194" s="34" t="n">
        <f aca="false">IF(EJ$8=1,0,EJ$184*V_IVArec)</f>
        <v>0</v>
      </c>
      <c r="EK194" s="34" t="n">
        <f aca="false">IF(EK$8=1,0,EK$184*V_IVArec)</f>
        <v>0</v>
      </c>
      <c r="EL194" s="34" t="n">
        <f aca="false">IF(EL$8=1,0,EL$184*V_IVArec)</f>
        <v>0</v>
      </c>
      <c r="EM194" s="34" t="n">
        <f aca="false">IF(EM$8=1,0,EM$184*V_IVArec)</f>
        <v>0</v>
      </c>
      <c r="EN194" s="34" t="n">
        <f aca="false">IF(EN$8=1,0,EN$184*V_IVArec)</f>
        <v>0</v>
      </c>
      <c r="EO194" s="34" t="n">
        <f aca="false">IF(EO$8=1,0,EO$184*V_IVArec)</f>
        <v>0</v>
      </c>
      <c r="EP194" s="34" t="n">
        <f aca="false">IF(EP$8=1,0,EP$184*V_IVArec)</f>
        <v>0</v>
      </c>
      <c r="EQ194" s="34" t="n">
        <f aca="false">IF(EQ$8=1,0,EQ$184*V_IVArec)</f>
        <v>0</v>
      </c>
      <c r="ER194" s="34" t="n">
        <f aca="false">IF(ER$8=1,0,ER$184*V_IVArec)</f>
        <v>0</v>
      </c>
      <c r="ES194" s="34" t="n">
        <f aca="false">IF(ES$8=1,0,ES$184*V_IVArec)</f>
        <v>0</v>
      </c>
    </row>
    <row r="195" customFormat="false" ht="15" hidden="false" customHeight="false" outlineLevel="0" collapsed="false">
      <c r="A195" s="2" t="s">
        <v>672</v>
      </c>
      <c r="B195" s="52" t="s">
        <v>213</v>
      </c>
      <c r="C195" s="6" t="s">
        <v>212</v>
      </c>
      <c r="E195" s="40" t="n">
        <f aca="false">SUM(F195:ES195)</f>
        <v>0</v>
      </c>
      <c r="F195" s="10" t="n">
        <f aca="false">F$190-F$191-F$192-F$193+F$194</f>
        <v>0</v>
      </c>
      <c r="G195" s="10" t="n">
        <f aca="false">G$190-G$191-G$192-G$193+G$194</f>
        <v>0</v>
      </c>
      <c r="H195" s="10" t="n">
        <f aca="false">H$190-H$191-H$192-H$193+H$194</f>
        <v>0</v>
      </c>
      <c r="I195" s="10" t="n">
        <f aca="false">I$190-I$191-I$192-I$193+I$194</f>
        <v>0</v>
      </c>
      <c r="J195" s="10" t="n">
        <f aca="false">J$190-J$191-J$192-J$193+J$194</f>
        <v>0</v>
      </c>
      <c r="K195" s="10" t="n">
        <f aca="false">K$190-K$191-K$192-K$193+K$194</f>
        <v>0</v>
      </c>
      <c r="L195" s="10" t="n">
        <f aca="false">L$190-L$191-L$192-L$193+L$194</f>
        <v>0</v>
      </c>
      <c r="M195" s="10" t="n">
        <f aca="false">M$190-M$191-M$192-M$193+M$194</f>
        <v>0</v>
      </c>
      <c r="N195" s="10" t="n">
        <f aca="false">N$190-N$191-N$192-N$193+N$194</f>
        <v>0</v>
      </c>
      <c r="O195" s="10" t="n">
        <f aca="false">O$190-O$191-O$192-O$193+O$194</f>
        <v>0</v>
      </c>
      <c r="P195" s="10" t="n">
        <f aca="false">P$190-P$191-P$192-P$193+P$194</f>
        <v>0</v>
      </c>
      <c r="Q195" s="10" t="n">
        <f aca="false">Q$190-Q$191-Q$192-Q$193+Q$194</f>
        <v>0</v>
      </c>
      <c r="R195" s="10" t="n">
        <f aca="false">R$190-R$191-R$192-R$193+R$194</f>
        <v>0</v>
      </c>
      <c r="S195" s="10" t="n">
        <f aca="false">S$190-S$191-S$192-S$193+S$194</f>
        <v>0</v>
      </c>
      <c r="T195" s="10" t="n">
        <f aca="false">T$190-T$191-T$192-T$193+T$194</f>
        <v>0</v>
      </c>
      <c r="U195" s="10" t="n">
        <f aca="false">U$190-U$191-U$192-U$193+U$194</f>
        <v>0</v>
      </c>
      <c r="V195" s="10" t="n">
        <f aca="false">V$190-V$191-V$192-V$193+V$194</f>
        <v>0</v>
      </c>
      <c r="W195" s="10" t="n">
        <f aca="false">W$190-W$191-W$192-W$193+W$194</f>
        <v>0</v>
      </c>
      <c r="X195" s="10" t="n">
        <f aca="false">X$190-X$191-X$192-X$193+X$194</f>
        <v>0</v>
      </c>
      <c r="Y195" s="10" t="n">
        <f aca="false">Y$190-Y$191-Y$192-Y$193+Y$194</f>
        <v>0</v>
      </c>
      <c r="Z195" s="10" t="n">
        <f aca="false">Z$190-Z$191-Z$192-Z$193+Z$194</f>
        <v>0</v>
      </c>
      <c r="AA195" s="10" t="n">
        <f aca="false">AA$190-AA$191-AA$192-AA$193+AA$194</f>
        <v>0</v>
      </c>
      <c r="AB195" s="10" t="n">
        <f aca="false">AB$190-AB$191-AB$192-AB$193+AB$194</f>
        <v>0</v>
      </c>
      <c r="AC195" s="10" t="n">
        <f aca="false">AC$190-AC$191-AC$192-AC$193+AC$194</f>
        <v>0</v>
      </c>
      <c r="AD195" s="10" t="n">
        <f aca="false">AD$190-AD$191-AD$192-AD$193+AD$194</f>
        <v>0</v>
      </c>
      <c r="AE195" s="10" t="n">
        <f aca="false">AE$190-AE$191-AE$192-AE$193+AE$194</f>
        <v>0</v>
      </c>
      <c r="AF195" s="10" t="n">
        <f aca="false">AF$190-AF$191-AF$192-AF$193+AF$194</f>
        <v>0</v>
      </c>
      <c r="AG195" s="10" t="n">
        <f aca="false">AG$190-AG$191-AG$192-AG$193+AG$194</f>
        <v>0</v>
      </c>
      <c r="AH195" s="10" t="n">
        <f aca="false">AH$190-AH$191-AH$192-AH$193+AH$194</f>
        <v>0</v>
      </c>
      <c r="AI195" s="10" t="n">
        <f aca="false">AI$190-AI$191-AI$192-AI$193+AI$194</f>
        <v>0</v>
      </c>
      <c r="AJ195" s="10" t="n">
        <f aca="false">AJ$190-AJ$191-AJ$192-AJ$193+AJ$194</f>
        <v>0</v>
      </c>
      <c r="AK195" s="10" t="n">
        <f aca="false">AK$190-AK$191-AK$192-AK$193+AK$194</f>
        <v>0</v>
      </c>
      <c r="AL195" s="10" t="n">
        <f aca="false">AL$190-AL$191-AL$192-AL$193+AL$194</f>
        <v>0</v>
      </c>
      <c r="AM195" s="10" t="n">
        <f aca="false">AM$190-AM$191-AM$192-AM$193+AM$194</f>
        <v>0</v>
      </c>
      <c r="AN195" s="10" t="n">
        <f aca="false">AN$190-AN$191-AN$192-AN$193+AN$194</f>
        <v>0</v>
      </c>
      <c r="AO195" s="10" t="n">
        <f aca="false">AO$190-AO$191-AO$192-AO$193+AO$194</f>
        <v>0</v>
      </c>
      <c r="AP195" s="10" t="n">
        <f aca="false">AP$190-AP$191-AP$192-AP$193+AP$194</f>
        <v>0</v>
      </c>
      <c r="AQ195" s="10" t="n">
        <f aca="false">AQ$190-AQ$191-AQ$192-AQ$193+AQ$194</f>
        <v>0</v>
      </c>
      <c r="AR195" s="10" t="n">
        <f aca="false">AR$190-AR$191-AR$192-AR$193+AR$194</f>
        <v>0</v>
      </c>
      <c r="AS195" s="10" t="n">
        <f aca="false">AS$190-AS$191-AS$192-AS$193+AS$194</f>
        <v>0</v>
      </c>
      <c r="AT195" s="10" t="n">
        <f aca="false">AT$190-AT$191-AT$192-AT$193+AT$194</f>
        <v>0</v>
      </c>
      <c r="AU195" s="10" t="n">
        <f aca="false">AU$190-AU$191-AU$192-AU$193+AU$194</f>
        <v>0</v>
      </c>
      <c r="AV195" s="10" t="n">
        <f aca="false">AV$190-AV$191-AV$192-AV$193+AV$194</f>
        <v>0</v>
      </c>
      <c r="AW195" s="10" t="n">
        <f aca="false">AW$190-AW$191-AW$192-AW$193+AW$194</f>
        <v>0</v>
      </c>
      <c r="AX195" s="10" t="n">
        <f aca="false">AX$190-AX$191-AX$192-AX$193+AX$194</f>
        <v>0</v>
      </c>
      <c r="AY195" s="10" t="n">
        <f aca="false">AY$190-AY$191-AY$192-AY$193+AY$194</f>
        <v>0</v>
      </c>
      <c r="AZ195" s="10" t="n">
        <f aca="false">AZ$190-AZ$191-AZ$192-AZ$193+AZ$194</f>
        <v>0</v>
      </c>
      <c r="BA195" s="10" t="n">
        <f aca="false">BA$190-BA$191-BA$192-BA$193+BA$194</f>
        <v>0</v>
      </c>
      <c r="BB195" s="10" t="n">
        <f aca="false">BB$190-BB$191-BB$192-BB$193+BB$194</f>
        <v>0</v>
      </c>
      <c r="BC195" s="10" t="n">
        <f aca="false">BC$190-BC$191-BC$192-BC$193+BC$194</f>
        <v>0</v>
      </c>
      <c r="BD195" s="10" t="n">
        <f aca="false">BD$190-BD$191-BD$192-BD$193+BD$194</f>
        <v>0</v>
      </c>
      <c r="BE195" s="10" t="n">
        <f aca="false">BE$190-BE$191-BE$192-BE$193+BE$194</f>
        <v>0</v>
      </c>
      <c r="BF195" s="10" t="n">
        <f aca="false">BF$190-BF$191-BF$192-BF$193+BF$194</f>
        <v>0</v>
      </c>
      <c r="BG195" s="10" t="n">
        <f aca="false">BG$190-BG$191-BG$192-BG$193+BG$194</f>
        <v>0</v>
      </c>
      <c r="BH195" s="10" t="n">
        <f aca="false">BH$190-BH$191-BH$192-BH$193+BH$194</f>
        <v>0</v>
      </c>
      <c r="BI195" s="10" t="n">
        <f aca="false">BI$190-BI$191-BI$192-BI$193+BI$194</f>
        <v>0</v>
      </c>
      <c r="BJ195" s="10" t="n">
        <f aca="false">BJ$190-BJ$191-BJ$192-BJ$193+BJ$194</f>
        <v>0</v>
      </c>
      <c r="BK195" s="10" t="n">
        <f aca="false">BK$190-BK$191-BK$192-BK$193+BK$194</f>
        <v>0</v>
      </c>
      <c r="BL195" s="10" t="n">
        <f aca="false">BL$190-BL$191-BL$192-BL$193+BL$194</f>
        <v>0</v>
      </c>
      <c r="BM195" s="10" t="n">
        <f aca="false">BM$190-BM$191-BM$192-BM$193+BM$194</f>
        <v>0</v>
      </c>
      <c r="BN195" s="10" t="n">
        <f aca="false">BN$190-BN$191-BN$192-BN$193+BN$194</f>
        <v>0</v>
      </c>
      <c r="BO195" s="10" t="n">
        <f aca="false">BO$190-BO$191-BO$192-BO$193+BO$194</f>
        <v>0</v>
      </c>
      <c r="BP195" s="10" t="n">
        <f aca="false">BP$190-BP$191-BP$192-BP$193+BP$194</f>
        <v>0</v>
      </c>
      <c r="BQ195" s="10" t="n">
        <f aca="false">BQ$190-BQ$191-BQ$192-BQ$193+BQ$194</f>
        <v>0</v>
      </c>
      <c r="BR195" s="10" t="n">
        <f aca="false">BR$190-BR$191-BR$192-BR$193+BR$194</f>
        <v>0</v>
      </c>
      <c r="BS195" s="10" t="n">
        <f aca="false">BS$190-BS$191-BS$192-BS$193+BS$194</f>
        <v>0</v>
      </c>
      <c r="BT195" s="10" t="n">
        <f aca="false">BT$190-BT$191-BT$192-BT$193+BT$194</f>
        <v>0</v>
      </c>
      <c r="BU195" s="10" t="n">
        <f aca="false">BU$190-BU$191-BU$192-BU$193+BU$194</f>
        <v>0</v>
      </c>
      <c r="BV195" s="10" t="n">
        <f aca="false">BV$190-BV$191-BV$192-BV$193+BV$194</f>
        <v>0</v>
      </c>
      <c r="BW195" s="10" t="n">
        <f aca="false">BW$190-BW$191-BW$192-BW$193+BW$194</f>
        <v>0</v>
      </c>
      <c r="BX195" s="10" t="n">
        <f aca="false">BX$190-BX$191-BX$192-BX$193+BX$194</f>
        <v>0</v>
      </c>
      <c r="BY195" s="10" t="n">
        <f aca="false">BY$190-BY$191-BY$192-BY$193+BY$194</f>
        <v>0</v>
      </c>
      <c r="BZ195" s="10" t="n">
        <f aca="false">BZ$190-BZ$191-BZ$192-BZ$193+BZ$194</f>
        <v>0</v>
      </c>
      <c r="CA195" s="10" t="n">
        <f aca="false">CA$190-CA$191-CA$192-CA$193+CA$194</f>
        <v>0</v>
      </c>
      <c r="CB195" s="10" t="n">
        <f aca="false">CB$190-CB$191-CB$192-CB$193+CB$194</f>
        <v>0</v>
      </c>
      <c r="CC195" s="10" t="n">
        <f aca="false">CC$190-CC$191-CC$192-CC$193+CC$194</f>
        <v>0</v>
      </c>
      <c r="CD195" s="10" t="n">
        <f aca="false">CD$190-CD$191-CD$192-CD$193+CD$194</f>
        <v>0</v>
      </c>
      <c r="CE195" s="10" t="n">
        <f aca="false">CE$190-CE$191-CE$192-CE$193+CE$194</f>
        <v>0</v>
      </c>
      <c r="CF195" s="10" t="n">
        <f aca="false">CF$190-CF$191-CF$192-CF$193+CF$194</f>
        <v>0</v>
      </c>
      <c r="CG195" s="10" t="n">
        <f aca="false">CG$190-CG$191-CG$192-CG$193+CG$194</f>
        <v>0</v>
      </c>
      <c r="CH195" s="10" t="n">
        <f aca="false">CH$190-CH$191-CH$192-CH$193+CH$194</f>
        <v>0</v>
      </c>
      <c r="CI195" s="10" t="n">
        <f aca="false">CI$190-CI$191-CI$192-CI$193+CI$194</f>
        <v>0</v>
      </c>
      <c r="CJ195" s="10" t="n">
        <f aca="false">CJ$190-CJ$191-CJ$192-CJ$193+CJ$194</f>
        <v>0</v>
      </c>
      <c r="CK195" s="10" t="n">
        <f aca="false">CK$190-CK$191-CK$192-CK$193+CK$194</f>
        <v>0</v>
      </c>
      <c r="CL195" s="10" t="n">
        <f aca="false">CL$190-CL$191-CL$192-CL$193+CL$194</f>
        <v>0</v>
      </c>
      <c r="CM195" s="10" t="n">
        <f aca="false">CM$190-CM$191-CM$192-CM$193+CM$194</f>
        <v>0</v>
      </c>
      <c r="CN195" s="10" t="n">
        <f aca="false">CN$190-CN$191-CN$192-CN$193+CN$194</f>
        <v>0</v>
      </c>
      <c r="CO195" s="10" t="n">
        <f aca="false">CO$190-CO$191-CO$192-CO$193+CO$194</f>
        <v>0</v>
      </c>
      <c r="CP195" s="10" t="n">
        <f aca="false">CP$190-CP$191-CP$192-CP$193+CP$194</f>
        <v>0</v>
      </c>
      <c r="CQ195" s="10" t="n">
        <f aca="false">CQ$190-CQ$191-CQ$192-CQ$193+CQ$194</f>
        <v>0</v>
      </c>
      <c r="CR195" s="10" t="n">
        <f aca="false">CR$190-CR$191-CR$192-CR$193+CR$194</f>
        <v>0</v>
      </c>
      <c r="CS195" s="10" t="n">
        <f aca="false">CS$190-CS$191-CS$192-CS$193+CS$194</f>
        <v>0</v>
      </c>
      <c r="CT195" s="10" t="n">
        <f aca="false">CT$190-CT$191-CT$192-CT$193+CT$194</f>
        <v>0</v>
      </c>
      <c r="CU195" s="10" t="n">
        <f aca="false">CU$190-CU$191-CU$192-CU$193+CU$194</f>
        <v>0</v>
      </c>
      <c r="CV195" s="10" t="n">
        <f aca="false">CV$190-CV$191-CV$192-CV$193+CV$194</f>
        <v>0</v>
      </c>
      <c r="CW195" s="10" t="n">
        <f aca="false">CW$190-CW$191-CW$192-CW$193+CW$194</f>
        <v>0</v>
      </c>
      <c r="CX195" s="10" t="n">
        <f aca="false">CX$190-CX$191-CX$192-CX$193+CX$194</f>
        <v>0</v>
      </c>
      <c r="CY195" s="10" t="n">
        <f aca="false">CY$190-CY$191-CY$192-CY$193+CY$194</f>
        <v>0</v>
      </c>
      <c r="CZ195" s="10" t="n">
        <f aca="false">CZ$190-CZ$191-CZ$192-CZ$193+CZ$194</f>
        <v>0</v>
      </c>
      <c r="DA195" s="10" t="n">
        <f aca="false">DA$190-DA$191-DA$192-DA$193+DA$194</f>
        <v>0</v>
      </c>
      <c r="DB195" s="10" t="n">
        <f aca="false">DB$190-DB$191-DB$192-DB$193+DB$194</f>
        <v>0</v>
      </c>
      <c r="DC195" s="10" t="n">
        <f aca="false">DC$190-DC$191-DC$192-DC$193+DC$194</f>
        <v>0</v>
      </c>
      <c r="DD195" s="10" t="n">
        <f aca="false">DD$190-DD$191-DD$192-DD$193+DD$194</f>
        <v>0</v>
      </c>
      <c r="DE195" s="10" t="n">
        <f aca="false">DE$190-DE$191-DE$192-DE$193+DE$194</f>
        <v>0</v>
      </c>
      <c r="DF195" s="10" t="n">
        <f aca="false">DF$190-DF$191-DF$192-DF$193+DF$194</f>
        <v>0</v>
      </c>
      <c r="DG195" s="10" t="n">
        <f aca="false">DG$190-DG$191-DG$192-DG$193+DG$194</f>
        <v>0</v>
      </c>
      <c r="DH195" s="10" t="n">
        <f aca="false">DH$190-DH$191-DH$192-DH$193+DH$194</f>
        <v>0</v>
      </c>
      <c r="DI195" s="10" t="n">
        <f aca="false">DI$190-DI$191-DI$192-DI$193+DI$194</f>
        <v>0</v>
      </c>
      <c r="DJ195" s="10" t="n">
        <f aca="false">DJ$190-DJ$191-DJ$192-DJ$193+DJ$194</f>
        <v>0</v>
      </c>
      <c r="DK195" s="10" t="n">
        <f aca="false">DK$190-DK$191-DK$192-DK$193+DK$194</f>
        <v>0</v>
      </c>
      <c r="DL195" s="10" t="n">
        <f aca="false">DL$190-DL$191-DL$192-DL$193+DL$194</f>
        <v>0</v>
      </c>
      <c r="DM195" s="10" t="n">
        <f aca="false">DM$190-DM$191-DM$192-DM$193+DM$194</f>
        <v>0</v>
      </c>
      <c r="DN195" s="10" t="n">
        <f aca="false">DN$190-DN$191-DN$192-DN$193+DN$194</f>
        <v>0</v>
      </c>
      <c r="DO195" s="10" t="n">
        <f aca="false">DO$190-DO$191-DO$192-DO$193+DO$194</f>
        <v>0</v>
      </c>
      <c r="DP195" s="10" t="n">
        <f aca="false">DP$190-DP$191-DP$192-DP$193+DP$194</f>
        <v>0</v>
      </c>
      <c r="DQ195" s="10" t="n">
        <f aca="false">DQ$190-DQ$191-DQ$192-DQ$193+DQ$194</f>
        <v>0</v>
      </c>
      <c r="DR195" s="10" t="n">
        <f aca="false">DR$190-DR$191-DR$192-DR$193+DR$194</f>
        <v>0</v>
      </c>
      <c r="DS195" s="10" t="n">
        <f aca="false">DS$190-DS$191-DS$192-DS$193+DS$194</f>
        <v>0</v>
      </c>
      <c r="DT195" s="10" t="n">
        <f aca="false">DT$190-DT$191-DT$192-DT$193+DT$194</f>
        <v>0</v>
      </c>
      <c r="DU195" s="10" t="n">
        <f aca="false">DU$190-DU$191-DU$192-DU$193+DU$194</f>
        <v>0</v>
      </c>
      <c r="DV195" s="10" t="n">
        <f aca="false">DV$190-DV$191-DV$192-DV$193+DV$194</f>
        <v>0</v>
      </c>
      <c r="DW195" s="10" t="n">
        <f aca="false">DW$190-DW$191-DW$192-DW$193+DW$194</f>
        <v>0</v>
      </c>
      <c r="DX195" s="10" t="n">
        <f aca="false">DX$190-DX$191-DX$192-DX$193+DX$194</f>
        <v>0</v>
      </c>
      <c r="DY195" s="10" t="n">
        <f aca="false">DY$190-DY$191-DY$192-DY$193+DY$194</f>
        <v>0</v>
      </c>
      <c r="DZ195" s="10" t="n">
        <f aca="false">DZ$190-DZ$191-DZ$192-DZ$193+DZ$194</f>
        <v>0</v>
      </c>
      <c r="EA195" s="10" t="n">
        <f aca="false">EA$190-EA$191-EA$192-EA$193+EA$194</f>
        <v>0</v>
      </c>
      <c r="EB195" s="10" t="n">
        <f aca="false">EB$190-EB$191-EB$192-EB$193+EB$194</f>
        <v>0</v>
      </c>
      <c r="EC195" s="10" t="n">
        <f aca="false">EC$190-EC$191-EC$192-EC$193+EC$194</f>
        <v>0</v>
      </c>
      <c r="ED195" s="10" t="n">
        <f aca="false">ED$190-ED$191-ED$192-ED$193+ED$194</f>
        <v>0</v>
      </c>
      <c r="EE195" s="10" t="n">
        <f aca="false">EE$190-EE$191-EE$192-EE$193+EE$194</f>
        <v>0</v>
      </c>
      <c r="EF195" s="10" t="n">
        <f aca="false">EF$190-EF$191-EF$192-EF$193+EF$194</f>
        <v>0</v>
      </c>
      <c r="EG195" s="10" t="n">
        <f aca="false">EG$190-EG$191-EG$192-EG$193+EG$194</f>
        <v>0</v>
      </c>
      <c r="EH195" s="10" t="n">
        <f aca="false">EH$190-EH$191-EH$192-EH$193+EH$194</f>
        <v>0</v>
      </c>
      <c r="EI195" s="10" t="n">
        <f aca="false">EI$190-EI$191-EI$192-EI$193+EI$194</f>
        <v>0</v>
      </c>
      <c r="EJ195" s="10" t="n">
        <f aca="false">EJ$190-EJ$191-EJ$192-EJ$193+EJ$194</f>
        <v>0</v>
      </c>
      <c r="EK195" s="10" t="n">
        <f aca="false">EK$190-EK$191-EK$192-EK$193+EK$194</f>
        <v>0</v>
      </c>
      <c r="EL195" s="10" t="n">
        <f aca="false">EL$190-EL$191-EL$192-EL$193+EL$194</f>
        <v>0</v>
      </c>
      <c r="EM195" s="10" t="n">
        <f aca="false">EM$190-EM$191-EM$192-EM$193+EM$194</f>
        <v>0</v>
      </c>
      <c r="EN195" s="10" t="n">
        <f aca="false">EN$190-EN$191-EN$192-EN$193+EN$194</f>
        <v>0</v>
      </c>
      <c r="EO195" s="10" t="n">
        <f aca="false">EO$190-EO$191-EO$192-EO$193+EO$194</f>
        <v>0</v>
      </c>
      <c r="EP195" s="10" t="n">
        <f aca="false">EP$190-EP$191-EP$192-EP$193+EP$194</f>
        <v>0</v>
      </c>
      <c r="EQ195" s="10" t="n">
        <f aca="false">EQ$190-EQ$191-EQ$192-EQ$193+EQ$194</f>
        <v>0</v>
      </c>
      <c r="ER195" s="10" t="n">
        <f aca="false">ER$190-ER$191-ER$192-ER$193+ER$194</f>
        <v>0</v>
      </c>
      <c r="ES195" s="10" t="n">
        <f aca="false">ES$190-ES$191-ES$192-ES$193+ES$194</f>
        <v>0</v>
      </c>
    </row>
    <row r="196" customFormat="false" ht="15" hidden="false" customHeight="false" outlineLevel="0" collapsed="false">
      <c r="A196" s="2" t="s">
        <v>673</v>
      </c>
      <c r="B196" s="6" t="s">
        <v>517</v>
      </c>
      <c r="C196" s="6" t="s">
        <v>212</v>
      </c>
      <c r="E196" s="40" t="n">
        <f aca="false">SUM(F196:ES196)</f>
        <v>0</v>
      </c>
      <c r="F196" s="34" t="n">
        <f aca="false">SUMPRODUCT((Inv_CF*F$8+Inv_BaseV*(1-F$8))*(Inv_F&gt;0)*(1&gt;=Inv_SvcV)*(1&lt;Inv_SvcV+Inv_F*12)/(Inv_F*12+(Inv_F=0)))*F$9</f>
        <v>0</v>
      </c>
      <c r="G196" s="34" t="n">
        <f aca="false">SUMPRODUCT((Inv_CF*G$8+Inv_BaseV*(1-G$8))*(Inv_F&gt;0)*(2&gt;=Inv_SvcV)*(2&lt;Inv_SvcV+Inv_F*12)/(Inv_F*12+(Inv_F=0)))*G$9</f>
        <v>0</v>
      </c>
      <c r="H196" s="34" t="n">
        <f aca="false">SUMPRODUCT((Inv_CF*H$8+Inv_BaseV*(1-H$8))*(Inv_F&gt;0)*(3&gt;=Inv_SvcV)*(3&lt;Inv_SvcV+Inv_F*12)/(Inv_F*12+(Inv_F=0)))*H$9</f>
        <v>0</v>
      </c>
      <c r="I196" s="34" t="n">
        <f aca="false">SUMPRODUCT((Inv_CF*I$8+Inv_BaseV*(1-I$8))*(Inv_F&gt;0)*(4&gt;=Inv_SvcV)*(4&lt;Inv_SvcV+Inv_F*12)/(Inv_F*12+(Inv_F=0)))*I$9</f>
        <v>0</v>
      </c>
      <c r="J196" s="34" t="n">
        <f aca="false">SUMPRODUCT((Inv_CF*J$8+Inv_BaseV*(1-J$8))*(Inv_F&gt;0)*(5&gt;=Inv_SvcV)*(5&lt;Inv_SvcV+Inv_F*12)/(Inv_F*12+(Inv_F=0)))*J$9</f>
        <v>0</v>
      </c>
      <c r="K196" s="34" t="n">
        <f aca="false">SUMPRODUCT((Inv_CF*K$8+Inv_BaseV*(1-K$8))*(Inv_F&gt;0)*(6&gt;=Inv_SvcV)*(6&lt;Inv_SvcV+Inv_F*12)/(Inv_F*12+(Inv_F=0)))*K$9</f>
        <v>0</v>
      </c>
      <c r="L196" s="34" t="n">
        <f aca="false">SUMPRODUCT((Inv_CF*L$8+Inv_BaseV*(1-L$8))*(Inv_F&gt;0)*(7&gt;=Inv_SvcV)*(7&lt;Inv_SvcV+Inv_F*12)/(Inv_F*12+(Inv_F=0)))*L$9</f>
        <v>0</v>
      </c>
      <c r="M196" s="34" t="n">
        <f aca="false">SUMPRODUCT((Inv_CF*M$8+Inv_BaseV*(1-M$8))*(Inv_F&gt;0)*(8&gt;=Inv_SvcV)*(8&lt;Inv_SvcV+Inv_F*12)/(Inv_F*12+(Inv_F=0)))*M$9</f>
        <v>0</v>
      </c>
      <c r="N196" s="34" t="n">
        <f aca="false">SUMPRODUCT((Inv_CF*N$8+Inv_BaseV*(1-N$8))*(Inv_F&gt;0)*(9&gt;=Inv_SvcV)*(9&lt;Inv_SvcV+Inv_F*12)/(Inv_F*12+(Inv_F=0)))*N$9</f>
        <v>0</v>
      </c>
      <c r="O196" s="34" t="n">
        <f aca="false">SUMPRODUCT((Inv_CF*O$8+Inv_BaseV*(1-O$8))*(Inv_F&gt;0)*(10&gt;=Inv_SvcV)*(10&lt;Inv_SvcV+Inv_F*12)/(Inv_F*12+(Inv_F=0)))*O$9</f>
        <v>0</v>
      </c>
      <c r="P196" s="34" t="n">
        <f aca="false">SUMPRODUCT((Inv_CF*P$8+Inv_BaseV*(1-P$8))*(Inv_F&gt;0)*(11&gt;=Inv_SvcV)*(11&lt;Inv_SvcV+Inv_F*12)/(Inv_F*12+(Inv_F=0)))*P$9</f>
        <v>0</v>
      </c>
      <c r="Q196" s="34" t="n">
        <f aca="false">SUMPRODUCT((Inv_CF*Q$8+Inv_BaseV*(1-Q$8))*(Inv_F&gt;0)*(12&gt;=Inv_SvcV)*(12&lt;Inv_SvcV+Inv_F*12)/(Inv_F*12+(Inv_F=0)))*Q$9</f>
        <v>0</v>
      </c>
      <c r="R196" s="34" t="n">
        <f aca="false">SUMPRODUCT((Inv_CF*R$8+Inv_BaseV*(1-R$8))*(Inv_F&gt;0)*(13&gt;=Inv_SvcV)*(13&lt;Inv_SvcV+Inv_F*12)/(Inv_F*12+(Inv_F=0)))*R$9</f>
        <v>0</v>
      </c>
      <c r="S196" s="34" t="n">
        <f aca="false">SUMPRODUCT((Inv_CF*S$8+Inv_BaseV*(1-S$8))*(Inv_F&gt;0)*(14&gt;=Inv_SvcV)*(14&lt;Inv_SvcV+Inv_F*12)/(Inv_F*12+(Inv_F=0)))*S$9</f>
        <v>0</v>
      </c>
      <c r="T196" s="34" t="n">
        <f aca="false">SUMPRODUCT((Inv_CF*T$8+Inv_BaseV*(1-T$8))*(Inv_F&gt;0)*(15&gt;=Inv_SvcV)*(15&lt;Inv_SvcV+Inv_F*12)/(Inv_F*12+(Inv_F=0)))*T$9</f>
        <v>0</v>
      </c>
      <c r="U196" s="34" t="n">
        <f aca="false">SUMPRODUCT((Inv_CF*U$8+Inv_BaseV*(1-U$8))*(Inv_F&gt;0)*(16&gt;=Inv_SvcV)*(16&lt;Inv_SvcV+Inv_F*12)/(Inv_F*12+(Inv_F=0)))*U$9</f>
        <v>0</v>
      </c>
      <c r="V196" s="34" t="n">
        <f aca="false">SUMPRODUCT((Inv_CF*V$8+Inv_BaseV*(1-V$8))*(Inv_F&gt;0)*(17&gt;=Inv_SvcV)*(17&lt;Inv_SvcV+Inv_F*12)/(Inv_F*12+(Inv_F=0)))*V$9</f>
        <v>0</v>
      </c>
      <c r="W196" s="34" t="n">
        <f aca="false">SUMPRODUCT((Inv_CF*W$8+Inv_BaseV*(1-W$8))*(Inv_F&gt;0)*(18&gt;=Inv_SvcV)*(18&lt;Inv_SvcV+Inv_F*12)/(Inv_F*12+(Inv_F=0)))*W$9</f>
        <v>0</v>
      </c>
      <c r="X196" s="34" t="n">
        <f aca="false">SUMPRODUCT((Inv_CF*X$8+Inv_BaseV*(1-X$8))*(Inv_F&gt;0)*(19&gt;=Inv_SvcV)*(19&lt;Inv_SvcV+Inv_F*12)/(Inv_F*12+(Inv_F=0)))*X$9</f>
        <v>0</v>
      </c>
      <c r="Y196" s="34" t="n">
        <f aca="false">SUMPRODUCT((Inv_CF*Y$8+Inv_BaseV*(1-Y$8))*(Inv_F&gt;0)*(20&gt;=Inv_SvcV)*(20&lt;Inv_SvcV+Inv_F*12)/(Inv_F*12+(Inv_F=0)))*Y$9</f>
        <v>0</v>
      </c>
      <c r="Z196" s="34" t="n">
        <f aca="false">SUMPRODUCT((Inv_CF*Z$8+Inv_BaseV*(1-Z$8))*(Inv_F&gt;0)*(21&gt;=Inv_SvcV)*(21&lt;Inv_SvcV+Inv_F*12)/(Inv_F*12+(Inv_F=0)))*Z$9</f>
        <v>0</v>
      </c>
      <c r="AA196" s="34" t="n">
        <f aca="false">SUMPRODUCT((Inv_CF*AA$8+Inv_BaseV*(1-AA$8))*(Inv_F&gt;0)*(22&gt;=Inv_SvcV)*(22&lt;Inv_SvcV+Inv_F*12)/(Inv_F*12+(Inv_F=0)))*AA$9</f>
        <v>0</v>
      </c>
      <c r="AB196" s="34" t="n">
        <f aca="false">SUMPRODUCT((Inv_CF*AB$8+Inv_BaseV*(1-AB$8))*(Inv_F&gt;0)*(23&gt;=Inv_SvcV)*(23&lt;Inv_SvcV+Inv_F*12)/(Inv_F*12+(Inv_F=0)))*AB$9</f>
        <v>0</v>
      </c>
      <c r="AC196" s="34" t="n">
        <f aca="false">SUMPRODUCT((Inv_CF*AC$8+Inv_BaseV*(1-AC$8))*(Inv_F&gt;0)*(24&gt;=Inv_SvcV)*(24&lt;Inv_SvcV+Inv_F*12)/(Inv_F*12+(Inv_F=0)))*AC$9</f>
        <v>0</v>
      </c>
      <c r="AD196" s="34" t="n">
        <f aca="false">SUMPRODUCT((Inv_CF*AD$8+Inv_BaseV*(1-AD$8))*(Inv_F&gt;0)*(25&gt;=Inv_SvcV)*(25&lt;Inv_SvcV+Inv_F*12)/(Inv_F*12+(Inv_F=0)))*AD$9</f>
        <v>0</v>
      </c>
      <c r="AE196" s="34" t="n">
        <f aca="false">SUMPRODUCT((Inv_CF*AE$8+Inv_BaseV*(1-AE$8))*(Inv_F&gt;0)*(26&gt;=Inv_SvcV)*(26&lt;Inv_SvcV+Inv_F*12)/(Inv_F*12+(Inv_F=0)))*AE$9</f>
        <v>0</v>
      </c>
      <c r="AF196" s="34" t="n">
        <f aca="false">SUMPRODUCT((Inv_CF*AF$8+Inv_BaseV*(1-AF$8))*(Inv_F&gt;0)*(27&gt;=Inv_SvcV)*(27&lt;Inv_SvcV+Inv_F*12)/(Inv_F*12+(Inv_F=0)))*AF$9</f>
        <v>0</v>
      </c>
      <c r="AG196" s="34" t="n">
        <f aca="false">SUMPRODUCT((Inv_CF*AG$8+Inv_BaseV*(1-AG$8))*(Inv_F&gt;0)*(28&gt;=Inv_SvcV)*(28&lt;Inv_SvcV+Inv_F*12)/(Inv_F*12+(Inv_F=0)))*AG$9</f>
        <v>0</v>
      </c>
      <c r="AH196" s="34" t="n">
        <f aca="false">SUMPRODUCT((Inv_CF*AH$8+Inv_BaseV*(1-AH$8))*(Inv_F&gt;0)*(29&gt;=Inv_SvcV)*(29&lt;Inv_SvcV+Inv_F*12)/(Inv_F*12+(Inv_F=0)))*AH$9</f>
        <v>0</v>
      </c>
      <c r="AI196" s="34" t="n">
        <f aca="false">SUMPRODUCT((Inv_CF*AI$8+Inv_BaseV*(1-AI$8))*(Inv_F&gt;0)*(30&gt;=Inv_SvcV)*(30&lt;Inv_SvcV+Inv_F*12)/(Inv_F*12+(Inv_F=0)))*AI$9</f>
        <v>0</v>
      </c>
      <c r="AJ196" s="34" t="n">
        <f aca="false">SUMPRODUCT((Inv_CF*AJ$8+Inv_BaseV*(1-AJ$8))*(Inv_F&gt;0)*(31&gt;=Inv_SvcV)*(31&lt;Inv_SvcV+Inv_F*12)/(Inv_F*12+(Inv_F=0)))*AJ$9</f>
        <v>0</v>
      </c>
      <c r="AK196" s="34" t="n">
        <f aca="false">SUMPRODUCT((Inv_CF*AK$8+Inv_BaseV*(1-AK$8))*(Inv_F&gt;0)*(32&gt;=Inv_SvcV)*(32&lt;Inv_SvcV+Inv_F*12)/(Inv_F*12+(Inv_F=0)))*AK$9</f>
        <v>0</v>
      </c>
      <c r="AL196" s="34" t="n">
        <f aca="false">SUMPRODUCT((Inv_CF*AL$8+Inv_BaseV*(1-AL$8))*(Inv_F&gt;0)*(33&gt;=Inv_SvcV)*(33&lt;Inv_SvcV+Inv_F*12)/(Inv_F*12+(Inv_F=0)))*AL$9</f>
        <v>0</v>
      </c>
      <c r="AM196" s="34" t="n">
        <f aca="false">SUMPRODUCT((Inv_CF*AM$8+Inv_BaseV*(1-AM$8))*(Inv_F&gt;0)*(34&gt;=Inv_SvcV)*(34&lt;Inv_SvcV+Inv_F*12)/(Inv_F*12+(Inv_F=0)))*AM$9</f>
        <v>0</v>
      </c>
      <c r="AN196" s="34" t="n">
        <f aca="false">SUMPRODUCT((Inv_CF*AN$8+Inv_BaseV*(1-AN$8))*(Inv_F&gt;0)*(35&gt;=Inv_SvcV)*(35&lt;Inv_SvcV+Inv_F*12)/(Inv_F*12+(Inv_F=0)))*AN$9</f>
        <v>0</v>
      </c>
      <c r="AO196" s="34" t="n">
        <f aca="false">SUMPRODUCT((Inv_CF*AO$8+Inv_BaseV*(1-AO$8))*(Inv_F&gt;0)*(36&gt;=Inv_SvcV)*(36&lt;Inv_SvcV+Inv_F*12)/(Inv_F*12+(Inv_F=0)))*AO$9</f>
        <v>0</v>
      </c>
      <c r="AP196" s="34" t="n">
        <f aca="false">SUMPRODUCT((Inv_CF*AP$8+Inv_BaseV*(1-AP$8))*(Inv_F&gt;0)*(37&gt;=Inv_SvcV)*(37&lt;Inv_SvcV+Inv_F*12)/(Inv_F*12+(Inv_F=0)))*AP$9</f>
        <v>0</v>
      </c>
      <c r="AQ196" s="34" t="n">
        <f aca="false">SUMPRODUCT((Inv_CF*AQ$8+Inv_BaseV*(1-AQ$8))*(Inv_F&gt;0)*(38&gt;=Inv_SvcV)*(38&lt;Inv_SvcV+Inv_F*12)/(Inv_F*12+(Inv_F=0)))*AQ$9</f>
        <v>0</v>
      </c>
      <c r="AR196" s="34" t="n">
        <f aca="false">SUMPRODUCT((Inv_CF*AR$8+Inv_BaseV*(1-AR$8))*(Inv_F&gt;0)*(39&gt;=Inv_SvcV)*(39&lt;Inv_SvcV+Inv_F*12)/(Inv_F*12+(Inv_F=0)))*AR$9</f>
        <v>0</v>
      </c>
      <c r="AS196" s="34" t="n">
        <f aca="false">SUMPRODUCT((Inv_CF*AS$8+Inv_BaseV*(1-AS$8))*(Inv_F&gt;0)*(40&gt;=Inv_SvcV)*(40&lt;Inv_SvcV+Inv_F*12)/(Inv_F*12+(Inv_F=0)))*AS$9</f>
        <v>0</v>
      </c>
      <c r="AT196" s="34" t="n">
        <f aca="false">SUMPRODUCT((Inv_CF*AT$8+Inv_BaseV*(1-AT$8))*(Inv_F&gt;0)*(41&gt;=Inv_SvcV)*(41&lt;Inv_SvcV+Inv_F*12)/(Inv_F*12+(Inv_F=0)))*AT$9</f>
        <v>0</v>
      </c>
      <c r="AU196" s="34" t="n">
        <f aca="false">SUMPRODUCT((Inv_CF*AU$8+Inv_BaseV*(1-AU$8))*(Inv_F&gt;0)*(42&gt;=Inv_SvcV)*(42&lt;Inv_SvcV+Inv_F*12)/(Inv_F*12+(Inv_F=0)))*AU$9</f>
        <v>0</v>
      </c>
      <c r="AV196" s="34" t="n">
        <f aca="false">SUMPRODUCT((Inv_CF*AV$8+Inv_BaseV*(1-AV$8))*(Inv_F&gt;0)*(43&gt;=Inv_SvcV)*(43&lt;Inv_SvcV+Inv_F*12)/(Inv_F*12+(Inv_F=0)))*AV$9</f>
        <v>0</v>
      </c>
      <c r="AW196" s="34" t="n">
        <f aca="false">SUMPRODUCT((Inv_CF*AW$8+Inv_BaseV*(1-AW$8))*(Inv_F&gt;0)*(44&gt;=Inv_SvcV)*(44&lt;Inv_SvcV+Inv_F*12)/(Inv_F*12+(Inv_F=0)))*AW$9</f>
        <v>0</v>
      </c>
      <c r="AX196" s="34" t="n">
        <f aca="false">SUMPRODUCT((Inv_CF*AX$8+Inv_BaseV*(1-AX$8))*(Inv_F&gt;0)*(45&gt;=Inv_SvcV)*(45&lt;Inv_SvcV+Inv_F*12)/(Inv_F*12+(Inv_F=0)))*AX$9</f>
        <v>0</v>
      </c>
      <c r="AY196" s="34" t="n">
        <f aca="false">SUMPRODUCT((Inv_CF*AY$8+Inv_BaseV*(1-AY$8))*(Inv_F&gt;0)*(46&gt;=Inv_SvcV)*(46&lt;Inv_SvcV+Inv_F*12)/(Inv_F*12+(Inv_F=0)))*AY$9</f>
        <v>0</v>
      </c>
      <c r="AZ196" s="34" t="n">
        <f aca="false">SUMPRODUCT((Inv_CF*AZ$8+Inv_BaseV*(1-AZ$8))*(Inv_F&gt;0)*(47&gt;=Inv_SvcV)*(47&lt;Inv_SvcV+Inv_F*12)/(Inv_F*12+(Inv_F=0)))*AZ$9</f>
        <v>0</v>
      </c>
      <c r="BA196" s="34" t="n">
        <f aca="false">SUMPRODUCT((Inv_CF*BA$8+Inv_BaseV*(1-BA$8))*(Inv_F&gt;0)*(48&gt;=Inv_SvcV)*(48&lt;Inv_SvcV+Inv_F*12)/(Inv_F*12+(Inv_F=0)))*BA$9</f>
        <v>0</v>
      </c>
      <c r="BB196" s="34" t="n">
        <f aca="false">SUMPRODUCT((Inv_CF*BB$8+Inv_BaseV*(1-BB$8))*(Inv_F&gt;0)*(49&gt;=Inv_SvcV)*(49&lt;Inv_SvcV+Inv_F*12)/(Inv_F*12+(Inv_F=0)))*BB$9</f>
        <v>0</v>
      </c>
      <c r="BC196" s="34" t="n">
        <f aca="false">SUMPRODUCT((Inv_CF*BC$8+Inv_BaseV*(1-BC$8))*(Inv_F&gt;0)*(50&gt;=Inv_SvcV)*(50&lt;Inv_SvcV+Inv_F*12)/(Inv_F*12+(Inv_F=0)))*BC$9</f>
        <v>0</v>
      </c>
      <c r="BD196" s="34" t="n">
        <f aca="false">SUMPRODUCT((Inv_CF*BD$8+Inv_BaseV*(1-BD$8))*(Inv_F&gt;0)*(51&gt;=Inv_SvcV)*(51&lt;Inv_SvcV+Inv_F*12)/(Inv_F*12+(Inv_F=0)))*BD$9</f>
        <v>0</v>
      </c>
      <c r="BE196" s="34" t="n">
        <f aca="false">SUMPRODUCT((Inv_CF*BE$8+Inv_BaseV*(1-BE$8))*(Inv_F&gt;0)*(52&gt;=Inv_SvcV)*(52&lt;Inv_SvcV+Inv_F*12)/(Inv_F*12+(Inv_F=0)))*BE$9</f>
        <v>0</v>
      </c>
      <c r="BF196" s="34" t="n">
        <f aca="false">SUMPRODUCT((Inv_CF*BF$8+Inv_BaseV*(1-BF$8))*(Inv_F&gt;0)*(53&gt;=Inv_SvcV)*(53&lt;Inv_SvcV+Inv_F*12)/(Inv_F*12+(Inv_F=0)))*BF$9</f>
        <v>0</v>
      </c>
      <c r="BG196" s="34" t="n">
        <f aca="false">SUMPRODUCT((Inv_CF*BG$8+Inv_BaseV*(1-BG$8))*(Inv_F&gt;0)*(54&gt;=Inv_SvcV)*(54&lt;Inv_SvcV+Inv_F*12)/(Inv_F*12+(Inv_F=0)))*BG$9</f>
        <v>0</v>
      </c>
      <c r="BH196" s="34" t="n">
        <f aca="false">SUMPRODUCT((Inv_CF*BH$8+Inv_BaseV*(1-BH$8))*(Inv_F&gt;0)*(55&gt;=Inv_SvcV)*(55&lt;Inv_SvcV+Inv_F*12)/(Inv_F*12+(Inv_F=0)))*BH$9</f>
        <v>0</v>
      </c>
      <c r="BI196" s="34" t="n">
        <f aca="false">SUMPRODUCT((Inv_CF*BI$8+Inv_BaseV*(1-BI$8))*(Inv_F&gt;0)*(56&gt;=Inv_SvcV)*(56&lt;Inv_SvcV+Inv_F*12)/(Inv_F*12+(Inv_F=0)))*BI$9</f>
        <v>0</v>
      </c>
      <c r="BJ196" s="34" t="n">
        <f aca="false">SUMPRODUCT((Inv_CF*BJ$8+Inv_BaseV*(1-BJ$8))*(Inv_F&gt;0)*(57&gt;=Inv_SvcV)*(57&lt;Inv_SvcV+Inv_F*12)/(Inv_F*12+(Inv_F=0)))*BJ$9</f>
        <v>0</v>
      </c>
      <c r="BK196" s="34" t="n">
        <f aca="false">SUMPRODUCT((Inv_CF*BK$8+Inv_BaseV*(1-BK$8))*(Inv_F&gt;0)*(58&gt;=Inv_SvcV)*(58&lt;Inv_SvcV+Inv_F*12)/(Inv_F*12+(Inv_F=0)))*BK$9</f>
        <v>0</v>
      </c>
      <c r="BL196" s="34" t="n">
        <f aca="false">SUMPRODUCT((Inv_CF*BL$8+Inv_BaseV*(1-BL$8))*(Inv_F&gt;0)*(59&gt;=Inv_SvcV)*(59&lt;Inv_SvcV+Inv_F*12)/(Inv_F*12+(Inv_F=0)))*BL$9</f>
        <v>0</v>
      </c>
      <c r="BM196" s="34" t="n">
        <f aca="false">SUMPRODUCT((Inv_CF*BM$8+Inv_BaseV*(1-BM$8))*(Inv_F&gt;0)*(60&gt;=Inv_SvcV)*(60&lt;Inv_SvcV+Inv_F*12)/(Inv_F*12+(Inv_F=0)))*BM$9</f>
        <v>0</v>
      </c>
      <c r="BN196" s="34" t="n">
        <f aca="false">SUMPRODUCT((Inv_CF*BN$8+Inv_BaseV*(1-BN$8))*(Inv_F&gt;0)*(61&gt;=Inv_SvcV)*(61&lt;Inv_SvcV+Inv_F*12)/(Inv_F*12+(Inv_F=0)))*BN$9</f>
        <v>0</v>
      </c>
      <c r="BO196" s="34" t="n">
        <f aca="false">SUMPRODUCT((Inv_CF*BO$8+Inv_BaseV*(1-BO$8))*(Inv_F&gt;0)*(62&gt;=Inv_SvcV)*(62&lt;Inv_SvcV+Inv_F*12)/(Inv_F*12+(Inv_F=0)))*BO$9</f>
        <v>0</v>
      </c>
      <c r="BP196" s="34" t="n">
        <f aca="false">SUMPRODUCT((Inv_CF*BP$8+Inv_BaseV*(1-BP$8))*(Inv_F&gt;0)*(63&gt;=Inv_SvcV)*(63&lt;Inv_SvcV+Inv_F*12)/(Inv_F*12+(Inv_F=0)))*BP$9</f>
        <v>0</v>
      </c>
      <c r="BQ196" s="34" t="n">
        <f aca="false">SUMPRODUCT((Inv_CF*BQ$8+Inv_BaseV*(1-BQ$8))*(Inv_F&gt;0)*(64&gt;=Inv_SvcV)*(64&lt;Inv_SvcV+Inv_F*12)/(Inv_F*12+(Inv_F=0)))*BQ$9</f>
        <v>0</v>
      </c>
      <c r="BR196" s="34" t="n">
        <f aca="false">SUMPRODUCT((Inv_CF*BR$8+Inv_BaseV*(1-BR$8))*(Inv_F&gt;0)*(65&gt;=Inv_SvcV)*(65&lt;Inv_SvcV+Inv_F*12)/(Inv_F*12+(Inv_F=0)))*BR$9</f>
        <v>0</v>
      </c>
      <c r="BS196" s="34" t="n">
        <f aca="false">SUMPRODUCT((Inv_CF*BS$8+Inv_BaseV*(1-BS$8))*(Inv_F&gt;0)*(66&gt;=Inv_SvcV)*(66&lt;Inv_SvcV+Inv_F*12)/(Inv_F*12+(Inv_F=0)))*BS$9</f>
        <v>0</v>
      </c>
      <c r="BT196" s="34" t="n">
        <f aca="false">SUMPRODUCT((Inv_CF*BT$8+Inv_BaseV*(1-BT$8))*(Inv_F&gt;0)*(67&gt;=Inv_SvcV)*(67&lt;Inv_SvcV+Inv_F*12)/(Inv_F*12+(Inv_F=0)))*BT$9</f>
        <v>0</v>
      </c>
      <c r="BU196" s="34" t="n">
        <f aca="false">SUMPRODUCT((Inv_CF*BU$8+Inv_BaseV*(1-BU$8))*(Inv_F&gt;0)*(68&gt;=Inv_SvcV)*(68&lt;Inv_SvcV+Inv_F*12)/(Inv_F*12+(Inv_F=0)))*BU$9</f>
        <v>0</v>
      </c>
      <c r="BV196" s="34" t="n">
        <f aca="false">SUMPRODUCT((Inv_CF*BV$8+Inv_BaseV*(1-BV$8))*(Inv_F&gt;0)*(69&gt;=Inv_SvcV)*(69&lt;Inv_SvcV+Inv_F*12)/(Inv_F*12+(Inv_F=0)))*BV$9</f>
        <v>0</v>
      </c>
      <c r="BW196" s="34" t="n">
        <f aca="false">SUMPRODUCT((Inv_CF*BW$8+Inv_BaseV*(1-BW$8))*(Inv_F&gt;0)*(70&gt;=Inv_SvcV)*(70&lt;Inv_SvcV+Inv_F*12)/(Inv_F*12+(Inv_F=0)))*BW$9</f>
        <v>0</v>
      </c>
      <c r="BX196" s="34" t="n">
        <f aca="false">SUMPRODUCT((Inv_CF*BX$8+Inv_BaseV*(1-BX$8))*(Inv_F&gt;0)*(71&gt;=Inv_SvcV)*(71&lt;Inv_SvcV+Inv_F*12)/(Inv_F*12+(Inv_F=0)))*BX$9</f>
        <v>0</v>
      </c>
      <c r="BY196" s="34" t="n">
        <f aca="false">SUMPRODUCT((Inv_CF*BY$8+Inv_BaseV*(1-BY$8))*(Inv_F&gt;0)*(72&gt;=Inv_SvcV)*(72&lt;Inv_SvcV+Inv_F*12)/(Inv_F*12+(Inv_F=0)))*BY$9</f>
        <v>0</v>
      </c>
      <c r="BZ196" s="34" t="n">
        <f aca="false">SUMPRODUCT((Inv_CF*BZ$8+Inv_BaseV*(1-BZ$8))*(Inv_F&gt;0)*(73&gt;=Inv_SvcV)*(73&lt;Inv_SvcV+Inv_F*12)/(Inv_F*12+(Inv_F=0)))*BZ$9</f>
        <v>0</v>
      </c>
      <c r="CA196" s="34" t="n">
        <f aca="false">SUMPRODUCT((Inv_CF*CA$8+Inv_BaseV*(1-CA$8))*(Inv_F&gt;0)*(74&gt;=Inv_SvcV)*(74&lt;Inv_SvcV+Inv_F*12)/(Inv_F*12+(Inv_F=0)))*CA$9</f>
        <v>0</v>
      </c>
      <c r="CB196" s="34" t="n">
        <f aca="false">SUMPRODUCT((Inv_CF*CB$8+Inv_BaseV*(1-CB$8))*(Inv_F&gt;0)*(75&gt;=Inv_SvcV)*(75&lt;Inv_SvcV+Inv_F*12)/(Inv_F*12+(Inv_F=0)))*CB$9</f>
        <v>0</v>
      </c>
      <c r="CC196" s="34" t="n">
        <f aca="false">SUMPRODUCT((Inv_CF*CC$8+Inv_BaseV*(1-CC$8))*(Inv_F&gt;0)*(76&gt;=Inv_SvcV)*(76&lt;Inv_SvcV+Inv_F*12)/(Inv_F*12+(Inv_F=0)))*CC$9</f>
        <v>0</v>
      </c>
      <c r="CD196" s="34" t="n">
        <f aca="false">SUMPRODUCT((Inv_CF*CD$8+Inv_BaseV*(1-CD$8))*(Inv_F&gt;0)*(77&gt;=Inv_SvcV)*(77&lt;Inv_SvcV+Inv_F*12)/(Inv_F*12+(Inv_F=0)))*CD$9</f>
        <v>0</v>
      </c>
      <c r="CE196" s="34" t="n">
        <f aca="false">SUMPRODUCT((Inv_CF*CE$8+Inv_BaseV*(1-CE$8))*(Inv_F&gt;0)*(78&gt;=Inv_SvcV)*(78&lt;Inv_SvcV+Inv_F*12)/(Inv_F*12+(Inv_F=0)))*CE$9</f>
        <v>0</v>
      </c>
      <c r="CF196" s="34" t="n">
        <f aca="false">SUMPRODUCT((Inv_CF*CF$8+Inv_BaseV*(1-CF$8))*(Inv_F&gt;0)*(79&gt;=Inv_SvcV)*(79&lt;Inv_SvcV+Inv_F*12)/(Inv_F*12+(Inv_F=0)))*CF$9</f>
        <v>0</v>
      </c>
      <c r="CG196" s="34" t="n">
        <f aca="false">SUMPRODUCT((Inv_CF*CG$8+Inv_BaseV*(1-CG$8))*(Inv_F&gt;0)*(80&gt;=Inv_SvcV)*(80&lt;Inv_SvcV+Inv_F*12)/(Inv_F*12+(Inv_F=0)))*CG$9</f>
        <v>0</v>
      </c>
      <c r="CH196" s="34" t="n">
        <f aca="false">SUMPRODUCT((Inv_CF*CH$8+Inv_BaseV*(1-CH$8))*(Inv_F&gt;0)*(81&gt;=Inv_SvcV)*(81&lt;Inv_SvcV+Inv_F*12)/(Inv_F*12+(Inv_F=0)))*CH$9</f>
        <v>0</v>
      </c>
      <c r="CI196" s="34" t="n">
        <f aca="false">SUMPRODUCT((Inv_CF*CI$8+Inv_BaseV*(1-CI$8))*(Inv_F&gt;0)*(82&gt;=Inv_SvcV)*(82&lt;Inv_SvcV+Inv_F*12)/(Inv_F*12+(Inv_F=0)))*CI$9</f>
        <v>0</v>
      </c>
      <c r="CJ196" s="34" t="n">
        <f aca="false">SUMPRODUCT((Inv_CF*CJ$8+Inv_BaseV*(1-CJ$8))*(Inv_F&gt;0)*(83&gt;=Inv_SvcV)*(83&lt;Inv_SvcV+Inv_F*12)/(Inv_F*12+(Inv_F=0)))*CJ$9</f>
        <v>0</v>
      </c>
      <c r="CK196" s="34" t="n">
        <f aca="false">SUMPRODUCT((Inv_CF*CK$8+Inv_BaseV*(1-CK$8))*(Inv_F&gt;0)*(84&gt;=Inv_SvcV)*(84&lt;Inv_SvcV+Inv_F*12)/(Inv_F*12+(Inv_F=0)))*CK$9</f>
        <v>0</v>
      </c>
      <c r="CL196" s="34" t="n">
        <f aca="false">SUMPRODUCT((Inv_CF*CL$8+Inv_BaseV*(1-CL$8))*(Inv_F&gt;0)*(85&gt;=Inv_SvcV)*(85&lt;Inv_SvcV+Inv_F*12)/(Inv_F*12+(Inv_F=0)))*CL$9</f>
        <v>0</v>
      </c>
      <c r="CM196" s="34" t="n">
        <f aca="false">SUMPRODUCT((Inv_CF*CM$8+Inv_BaseV*(1-CM$8))*(Inv_F&gt;0)*(86&gt;=Inv_SvcV)*(86&lt;Inv_SvcV+Inv_F*12)/(Inv_F*12+(Inv_F=0)))*CM$9</f>
        <v>0</v>
      </c>
      <c r="CN196" s="34" t="n">
        <f aca="false">SUMPRODUCT((Inv_CF*CN$8+Inv_BaseV*(1-CN$8))*(Inv_F&gt;0)*(87&gt;=Inv_SvcV)*(87&lt;Inv_SvcV+Inv_F*12)/(Inv_F*12+(Inv_F=0)))*CN$9</f>
        <v>0</v>
      </c>
      <c r="CO196" s="34" t="n">
        <f aca="false">SUMPRODUCT((Inv_CF*CO$8+Inv_BaseV*(1-CO$8))*(Inv_F&gt;0)*(88&gt;=Inv_SvcV)*(88&lt;Inv_SvcV+Inv_F*12)/(Inv_F*12+(Inv_F=0)))*CO$9</f>
        <v>0</v>
      </c>
      <c r="CP196" s="34" t="n">
        <f aca="false">SUMPRODUCT((Inv_CF*CP$8+Inv_BaseV*(1-CP$8))*(Inv_F&gt;0)*(89&gt;=Inv_SvcV)*(89&lt;Inv_SvcV+Inv_F*12)/(Inv_F*12+(Inv_F=0)))*CP$9</f>
        <v>0</v>
      </c>
      <c r="CQ196" s="34" t="n">
        <f aca="false">SUMPRODUCT((Inv_CF*CQ$8+Inv_BaseV*(1-CQ$8))*(Inv_F&gt;0)*(90&gt;=Inv_SvcV)*(90&lt;Inv_SvcV+Inv_F*12)/(Inv_F*12+(Inv_F=0)))*CQ$9</f>
        <v>0</v>
      </c>
      <c r="CR196" s="34" t="n">
        <f aca="false">SUMPRODUCT((Inv_CF*CR$8+Inv_BaseV*(1-CR$8))*(Inv_F&gt;0)*(91&gt;=Inv_SvcV)*(91&lt;Inv_SvcV+Inv_F*12)/(Inv_F*12+(Inv_F=0)))*CR$9</f>
        <v>0</v>
      </c>
      <c r="CS196" s="34" t="n">
        <f aca="false">SUMPRODUCT((Inv_CF*CS$8+Inv_BaseV*(1-CS$8))*(Inv_F&gt;0)*(92&gt;=Inv_SvcV)*(92&lt;Inv_SvcV+Inv_F*12)/(Inv_F*12+(Inv_F=0)))*CS$9</f>
        <v>0</v>
      </c>
      <c r="CT196" s="34" t="n">
        <f aca="false">SUMPRODUCT((Inv_CF*CT$8+Inv_BaseV*(1-CT$8))*(Inv_F&gt;0)*(93&gt;=Inv_SvcV)*(93&lt;Inv_SvcV+Inv_F*12)/(Inv_F*12+(Inv_F=0)))*CT$9</f>
        <v>0</v>
      </c>
      <c r="CU196" s="34" t="n">
        <f aca="false">SUMPRODUCT((Inv_CF*CU$8+Inv_BaseV*(1-CU$8))*(Inv_F&gt;0)*(94&gt;=Inv_SvcV)*(94&lt;Inv_SvcV+Inv_F*12)/(Inv_F*12+(Inv_F=0)))*CU$9</f>
        <v>0</v>
      </c>
      <c r="CV196" s="34" t="n">
        <f aca="false">SUMPRODUCT((Inv_CF*CV$8+Inv_BaseV*(1-CV$8))*(Inv_F&gt;0)*(95&gt;=Inv_SvcV)*(95&lt;Inv_SvcV+Inv_F*12)/(Inv_F*12+(Inv_F=0)))*CV$9</f>
        <v>0</v>
      </c>
      <c r="CW196" s="34" t="n">
        <f aca="false">SUMPRODUCT((Inv_CF*CW$8+Inv_BaseV*(1-CW$8))*(Inv_F&gt;0)*(96&gt;=Inv_SvcV)*(96&lt;Inv_SvcV+Inv_F*12)/(Inv_F*12+(Inv_F=0)))*CW$9</f>
        <v>0</v>
      </c>
      <c r="CX196" s="34" t="n">
        <f aca="false">SUMPRODUCT((Inv_CF*CX$8+Inv_BaseV*(1-CX$8))*(Inv_F&gt;0)*(97&gt;=Inv_SvcV)*(97&lt;Inv_SvcV+Inv_F*12)/(Inv_F*12+(Inv_F=0)))*CX$9</f>
        <v>0</v>
      </c>
      <c r="CY196" s="34" t="n">
        <f aca="false">SUMPRODUCT((Inv_CF*CY$8+Inv_BaseV*(1-CY$8))*(Inv_F&gt;0)*(98&gt;=Inv_SvcV)*(98&lt;Inv_SvcV+Inv_F*12)/(Inv_F*12+(Inv_F=0)))*CY$9</f>
        <v>0</v>
      </c>
      <c r="CZ196" s="34" t="n">
        <f aca="false">SUMPRODUCT((Inv_CF*CZ$8+Inv_BaseV*(1-CZ$8))*(Inv_F&gt;0)*(99&gt;=Inv_SvcV)*(99&lt;Inv_SvcV+Inv_F*12)/(Inv_F*12+(Inv_F=0)))*CZ$9</f>
        <v>0</v>
      </c>
      <c r="DA196" s="34" t="n">
        <f aca="false">SUMPRODUCT((Inv_CF*DA$8+Inv_BaseV*(1-DA$8))*(Inv_F&gt;0)*(100&gt;=Inv_SvcV)*(100&lt;Inv_SvcV+Inv_F*12)/(Inv_F*12+(Inv_F=0)))*DA$9</f>
        <v>0</v>
      </c>
      <c r="DB196" s="34" t="n">
        <f aca="false">SUMPRODUCT((Inv_CF*DB$8+Inv_BaseV*(1-DB$8))*(Inv_F&gt;0)*(101&gt;=Inv_SvcV)*(101&lt;Inv_SvcV+Inv_F*12)/(Inv_F*12+(Inv_F=0)))*DB$9</f>
        <v>0</v>
      </c>
      <c r="DC196" s="34" t="n">
        <f aca="false">SUMPRODUCT((Inv_CF*DC$8+Inv_BaseV*(1-DC$8))*(Inv_F&gt;0)*(102&gt;=Inv_SvcV)*(102&lt;Inv_SvcV+Inv_F*12)/(Inv_F*12+(Inv_F=0)))*DC$9</f>
        <v>0</v>
      </c>
      <c r="DD196" s="34" t="n">
        <f aca="false">SUMPRODUCT((Inv_CF*DD$8+Inv_BaseV*(1-DD$8))*(Inv_F&gt;0)*(103&gt;=Inv_SvcV)*(103&lt;Inv_SvcV+Inv_F*12)/(Inv_F*12+(Inv_F=0)))*DD$9</f>
        <v>0</v>
      </c>
      <c r="DE196" s="34" t="n">
        <f aca="false">SUMPRODUCT((Inv_CF*DE$8+Inv_BaseV*(1-DE$8))*(Inv_F&gt;0)*(104&gt;=Inv_SvcV)*(104&lt;Inv_SvcV+Inv_F*12)/(Inv_F*12+(Inv_F=0)))*DE$9</f>
        <v>0</v>
      </c>
      <c r="DF196" s="34" t="n">
        <f aca="false">SUMPRODUCT((Inv_CF*DF$8+Inv_BaseV*(1-DF$8))*(Inv_F&gt;0)*(105&gt;=Inv_SvcV)*(105&lt;Inv_SvcV+Inv_F*12)/(Inv_F*12+(Inv_F=0)))*DF$9</f>
        <v>0</v>
      </c>
      <c r="DG196" s="34" t="n">
        <f aca="false">SUMPRODUCT((Inv_CF*DG$8+Inv_BaseV*(1-DG$8))*(Inv_F&gt;0)*(106&gt;=Inv_SvcV)*(106&lt;Inv_SvcV+Inv_F*12)/(Inv_F*12+(Inv_F=0)))*DG$9</f>
        <v>0</v>
      </c>
      <c r="DH196" s="34" t="n">
        <f aca="false">SUMPRODUCT((Inv_CF*DH$8+Inv_BaseV*(1-DH$8))*(Inv_F&gt;0)*(107&gt;=Inv_SvcV)*(107&lt;Inv_SvcV+Inv_F*12)/(Inv_F*12+(Inv_F=0)))*DH$9</f>
        <v>0</v>
      </c>
      <c r="DI196" s="34" t="n">
        <f aca="false">SUMPRODUCT((Inv_CF*DI$8+Inv_BaseV*(1-DI$8))*(Inv_F&gt;0)*(108&gt;=Inv_SvcV)*(108&lt;Inv_SvcV+Inv_F*12)/(Inv_F*12+(Inv_F=0)))*DI$9</f>
        <v>0</v>
      </c>
      <c r="DJ196" s="34" t="n">
        <f aca="false">SUMPRODUCT((Inv_CF*DJ$8+Inv_BaseV*(1-DJ$8))*(Inv_F&gt;0)*(109&gt;=Inv_SvcV)*(109&lt;Inv_SvcV+Inv_F*12)/(Inv_F*12+(Inv_F=0)))*DJ$9</f>
        <v>0</v>
      </c>
      <c r="DK196" s="34" t="n">
        <f aca="false">SUMPRODUCT((Inv_CF*DK$8+Inv_BaseV*(1-DK$8))*(Inv_F&gt;0)*(110&gt;=Inv_SvcV)*(110&lt;Inv_SvcV+Inv_F*12)/(Inv_F*12+(Inv_F=0)))*DK$9</f>
        <v>0</v>
      </c>
      <c r="DL196" s="34" t="n">
        <f aca="false">SUMPRODUCT((Inv_CF*DL$8+Inv_BaseV*(1-DL$8))*(Inv_F&gt;0)*(111&gt;=Inv_SvcV)*(111&lt;Inv_SvcV+Inv_F*12)/(Inv_F*12+(Inv_F=0)))*DL$9</f>
        <v>0</v>
      </c>
      <c r="DM196" s="34" t="n">
        <f aca="false">SUMPRODUCT((Inv_CF*DM$8+Inv_BaseV*(1-DM$8))*(Inv_F&gt;0)*(112&gt;=Inv_SvcV)*(112&lt;Inv_SvcV+Inv_F*12)/(Inv_F*12+(Inv_F=0)))*DM$9</f>
        <v>0</v>
      </c>
      <c r="DN196" s="34" t="n">
        <f aca="false">SUMPRODUCT((Inv_CF*DN$8+Inv_BaseV*(1-DN$8))*(Inv_F&gt;0)*(113&gt;=Inv_SvcV)*(113&lt;Inv_SvcV+Inv_F*12)/(Inv_F*12+(Inv_F=0)))*DN$9</f>
        <v>0</v>
      </c>
      <c r="DO196" s="34" t="n">
        <f aca="false">SUMPRODUCT((Inv_CF*DO$8+Inv_BaseV*(1-DO$8))*(Inv_F&gt;0)*(114&gt;=Inv_SvcV)*(114&lt;Inv_SvcV+Inv_F*12)/(Inv_F*12+(Inv_F=0)))*DO$9</f>
        <v>0</v>
      </c>
      <c r="DP196" s="34" t="n">
        <f aca="false">SUMPRODUCT((Inv_CF*DP$8+Inv_BaseV*(1-DP$8))*(Inv_F&gt;0)*(115&gt;=Inv_SvcV)*(115&lt;Inv_SvcV+Inv_F*12)/(Inv_F*12+(Inv_F=0)))*DP$9</f>
        <v>0</v>
      </c>
      <c r="DQ196" s="34" t="n">
        <f aca="false">SUMPRODUCT((Inv_CF*DQ$8+Inv_BaseV*(1-DQ$8))*(Inv_F&gt;0)*(116&gt;=Inv_SvcV)*(116&lt;Inv_SvcV+Inv_F*12)/(Inv_F*12+(Inv_F=0)))*DQ$9</f>
        <v>0</v>
      </c>
      <c r="DR196" s="34" t="n">
        <f aca="false">SUMPRODUCT((Inv_CF*DR$8+Inv_BaseV*(1-DR$8))*(Inv_F&gt;0)*(117&gt;=Inv_SvcV)*(117&lt;Inv_SvcV+Inv_F*12)/(Inv_F*12+(Inv_F=0)))*DR$9</f>
        <v>0</v>
      </c>
      <c r="DS196" s="34" t="n">
        <f aca="false">SUMPRODUCT((Inv_CF*DS$8+Inv_BaseV*(1-DS$8))*(Inv_F&gt;0)*(118&gt;=Inv_SvcV)*(118&lt;Inv_SvcV+Inv_F*12)/(Inv_F*12+(Inv_F=0)))*DS$9</f>
        <v>0</v>
      </c>
      <c r="DT196" s="34" t="n">
        <f aca="false">SUMPRODUCT((Inv_CF*DT$8+Inv_BaseV*(1-DT$8))*(Inv_F&gt;0)*(119&gt;=Inv_SvcV)*(119&lt;Inv_SvcV+Inv_F*12)/(Inv_F*12+(Inv_F=0)))*DT$9</f>
        <v>0</v>
      </c>
      <c r="DU196" s="34" t="n">
        <f aca="false">SUMPRODUCT((Inv_CF*DU$8+Inv_BaseV*(1-DU$8))*(Inv_F&gt;0)*(120&gt;=Inv_SvcV)*(120&lt;Inv_SvcV+Inv_F*12)/(Inv_F*12+(Inv_F=0)))*DU$9</f>
        <v>0</v>
      </c>
      <c r="DV196" s="34" t="n">
        <f aca="false">SUMPRODUCT((Inv_CF*DV$8+Inv_BaseV*(1-DV$8))*(Inv_F&gt;0)*(121&gt;=Inv_SvcV)*(121&lt;Inv_SvcV+Inv_F*12)/(Inv_F*12+(Inv_F=0)))*DV$9</f>
        <v>0</v>
      </c>
      <c r="DW196" s="34" t="n">
        <f aca="false">SUMPRODUCT((Inv_CF*DW$8+Inv_BaseV*(1-DW$8))*(Inv_F&gt;0)*(122&gt;=Inv_SvcV)*(122&lt;Inv_SvcV+Inv_F*12)/(Inv_F*12+(Inv_F=0)))*DW$9</f>
        <v>0</v>
      </c>
      <c r="DX196" s="34" t="n">
        <f aca="false">SUMPRODUCT((Inv_CF*DX$8+Inv_BaseV*(1-DX$8))*(Inv_F&gt;0)*(123&gt;=Inv_SvcV)*(123&lt;Inv_SvcV+Inv_F*12)/(Inv_F*12+(Inv_F=0)))*DX$9</f>
        <v>0</v>
      </c>
      <c r="DY196" s="34" t="n">
        <f aca="false">SUMPRODUCT((Inv_CF*DY$8+Inv_BaseV*(1-DY$8))*(Inv_F&gt;0)*(124&gt;=Inv_SvcV)*(124&lt;Inv_SvcV+Inv_F*12)/(Inv_F*12+(Inv_F=0)))*DY$9</f>
        <v>0</v>
      </c>
      <c r="DZ196" s="34" t="n">
        <f aca="false">SUMPRODUCT((Inv_CF*DZ$8+Inv_BaseV*(1-DZ$8))*(Inv_F&gt;0)*(125&gt;=Inv_SvcV)*(125&lt;Inv_SvcV+Inv_F*12)/(Inv_F*12+(Inv_F=0)))*DZ$9</f>
        <v>0</v>
      </c>
      <c r="EA196" s="34" t="n">
        <f aca="false">SUMPRODUCT((Inv_CF*EA$8+Inv_BaseV*(1-EA$8))*(Inv_F&gt;0)*(126&gt;=Inv_SvcV)*(126&lt;Inv_SvcV+Inv_F*12)/(Inv_F*12+(Inv_F=0)))*EA$9</f>
        <v>0</v>
      </c>
      <c r="EB196" s="34" t="n">
        <f aca="false">SUMPRODUCT((Inv_CF*EB$8+Inv_BaseV*(1-EB$8))*(Inv_F&gt;0)*(127&gt;=Inv_SvcV)*(127&lt;Inv_SvcV+Inv_F*12)/(Inv_F*12+(Inv_F=0)))*EB$9</f>
        <v>0</v>
      </c>
      <c r="EC196" s="34" t="n">
        <f aca="false">SUMPRODUCT((Inv_CF*EC$8+Inv_BaseV*(1-EC$8))*(Inv_F&gt;0)*(128&gt;=Inv_SvcV)*(128&lt;Inv_SvcV+Inv_F*12)/(Inv_F*12+(Inv_F=0)))*EC$9</f>
        <v>0</v>
      </c>
      <c r="ED196" s="34" t="n">
        <f aca="false">SUMPRODUCT((Inv_CF*ED$8+Inv_BaseV*(1-ED$8))*(Inv_F&gt;0)*(129&gt;=Inv_SvcV)*(129&lt;Inv_SvcV+Inv_F*12)/(Inv_F*12+(Inv_F=0)))*ED$9</f>
        <v>0</v>
      </c>
      <c r="EE196" s="34" t="n">
        <f aca="false">SUMPRODUCT((Inv_CF*EE$8+Inv_BaseV*(1-EE$8))*(Inv_F&gt;0)*(130&gt;=Inv_SvcV)*(130&lt;Inv_SvcV+Inv_F*12)/(Inv_F*12+(Inv_F=0)))*EE$9</f>
        <v>0</v>
      </c>
      <c r="EF196" s="34" t="n">
        <f aca="false">SUMPRODUCT((Inv_CF*EF$8+Inv_BaseV*(1-EF$8))*(Inv_F&gt;0)*(131&gt;=Inv_SvcV)*(131&lt;Inv_SvcV+Inv_F*12)/(Inv_F*12+(Inv_F=0)))*EF$9</f>
        <v>0</v>
      </c>
      <c r="EG196" s="34" t="n">
        <f aca="false">SUMPRODUCT((Inv_CF*EG$8+Inv_BaseV*(1-EG$8))*(Inv_F&gt;0)*(132&gt;=Inv_SvcV)*(132&lt;Inv_SvcV+Inv_F*12)/(Inv_F*12+(Inv_F=0)))*EG$9</f>
        <v>0</v>
      </c>
      <c r="EH196" s="34" t="n">
        <f aca="false">SUMPRODUCT((Inv_CF*EH$8+Inv_BaseV*(1-EH$8))*(Inv_F&gt;0)*(133&gt;=Inv_SvcV)*(133&lt;Inv_SvcV+Inv_F*12)/(Inv_F*12+(Inv_F=0)))*EH$9</f>
        <v>0</v>
      </c>
      <c r="EI196" s="34" t="n">
        <f aca="false">SUMPRODUCT((Inv_CF*EI$8+Inv_BaseV*(1-EI$8))*(Inv_F&gt;0)*(134&gt;=Inv_SvcV)*(134&lt;Inv_SvcV+Inv_F*12)/(Inv_F*12+(Inv_F=0)))*EI$9</f>
        <v>0</v>
      </c>
      <c r="EJ196" s="34" t="n">
        <f aca="false">SUMPRODUCT((Inv_CF*EJ$8+Inv_BaseV*(1-EJ$8))*(Inv_F&gt;0)*(135&gt;=Inv_SvcV)*(135&lt;Inv_SvcV+Inv_F*12)/(Inv_F*12+(Inv_F=0)))*EJ$9</f>
        <v>0</v>
      </c>
      <c r="EK196" s="34" t="n">
        <f aca="false">SUMPRODUCT((Inv_CF*EK$8+Inv_BaseV*(1-EK$8))*(Inv_F&gt;0)*(136&gt;=Inv_SvcV)*(136&lt;Inv_SvcV+Inv_F*12)/(Inv_F*12+(Inv_F=0)))*EK$9</f>
        <v>0</v>
      </c>
      <c r="EL196" s="34" t="n">
        <f aca="false">SUMPRODUCT((Inv_CF*EL$8+Inv_BaseV*(1-EL$8))*(Inv_F&gt;0)*(137&gt;=Inv_SvcV)*(137&lt;Inv_SvcV+Inv_F*12)/(Inv_F*12+(Inv_F=0)))*EL$9</f>
        <v>0</v>
      </c>
      <c r="EM196" s="34" t="n">
        <f aca="false">SUMPRODUCT((Inv_CF*EM$8+Inv_BaseV*(1-EM$8))*(Inv_F&gt;0)*(138&gt;=Inv_SvcV)*(138&lt;Inv_SvcV+Inv_F*12)/(Inv_F*12+(Inv_F=0)))*EM$9</f>
        <v>0</v>
      </c>
      <c r="EN196" s="34" t="n">
        <f aca="false">SUMPRODUCT((Inv_CF*EN$8+Inv_BaseV*(1-EN$8))*(Inv_F&gt;0)*(139&gt;=Inv_SvcV)*(139&lt;Inv_SvcV+Inv_F*12)/(Inv_F*12+(Inv_F=0)))*EN$9</f>
        <v>0</v>
      </c>
      <c r="EO196" s="34" t="n">
        <f aca="false">SUMPRODUCT((Inv_CF*EO$8+Inv_BaseV*(1-EO$8))*(Inv_F&gt;0)*(140&gt;=Inv_SvcV)*(140&lt;Inv_SvcV+Inv_F*12)/(Inv_F*12+(Inv_F=0)))*EO$9</f>
        <v>0</v>
      </c>
      <c r="EP196" s="34" t="n">
        <f aca="false">SUMPRODUCT((Inv_CF*EP$8+Inv_BaseV*(1-EP$8))*(Inv_F&gt;0)*(141&gt;=Inv_SvcV)*(141&lt;Inv_SvcV+Inv_F*12)/(Inv_F*12+(Inv_F=0)))*EP$9</f>
        <v>0</v>
      </c>
      <c r="EQ196" s="34" t="n">
        <f aca="false">SUMPRODUCT((Inv_CF*EQ$8+Inv_BaseV*(1-EQ$8))*(Inv_F&gt;0)*(142&gt;=Inv_SvcV)*(142&lt;Inv_SvcV+Inv_F*12)/(Inv_F*12+(Inv_F=0)))*EQ$9</f>
        <v>0</v>
      </c>
      <c r="ER196" s="34" t="n">
        <f aca="false">SUMPRODUCT((Inv_CF*ER$8+Inv_BaseV*(1-ER$8))*(Inv_F&gt;0)*(143&gt;=Inv_SvcV)*(143&lt;Inv_SvcV+Inv_F*12)/(Inv_F*12+(Inv_F=0)))*ER$9</f>
        <v>0</v>
      </c>
      <c r="ES196" s="34" t="n">
        <f aca="false">SUMPRODUCT((Inv_CF*ES$8+Inv_BaseV*(1-ES$8))*(Inv_F&gt;0)*(144&gt;=Inv_SvcV)*(144&lt;Inv_SvcV+Inv_F*12)/(Inv_F*12+(Inv_F=0)))*ES$9</f>
        <v>0</v>
      </c>
    </row>
    <row r="197" customFormat="false" ht="15" hidden="false" customHeight="false" outlineLevel="0" collapsed="false">
      <c r="A197" s="2" t="s">
        <v>674</v>
      </c>
      <c r="B197" s="6" t="s">
        <v>519</v>
      </c>
      <c r="C197" s="6" t="s">
        <v>212</v>
      </c>
      <c r="E197" s="40" t="n">
        <f aca="false">SUM(F197:ES197)</f>
        <v>0</v>
      </c>
      <c r="F197" s="34" t="n">
        <f aca="false">F$195-F$196</f>
        <v>0</v>
      </c>
      <c r="G197" s="34" t="n">
        <f aca="false">G$195-G$196</f>
        <v>0</v>
      </c>
      <c r="H197" s="34" t="n">
        <f aca="false">H$195-H$196</f>
        <v>0</v>
      </c>
      <c r="I197" s="34" t="n">
        <f aca="false">I$195-I$196</f>
        <v>0</v>
      </c>
      <c r="J197" s="34" t="n">
        <f aca="false">J$195-J$196</f>
        <v>0</v>
      </c>
      <c r="K197" s="34" t="n">
        <f aca="false">K$195-K$196</f>
        <v>0</v>
      </c>
      <c r="L197" s="34" t="n">
        <f aca="false">L$195-L$196</f>
        <v>0</v>
      </c>
      <c r="M197" s="34" t="n">
        <f aca="false">M$195-M$196</f>
        <v>0</v>
      </c>
      <c r="N197" s="34" t="n">
        <f aca="false">N$195-N$196</f>
        <v>0</v>
      </c>
      <c r="O197" s="34" t="n">
        <f aca="false">O$195-O$196</f>
        <v>0</v>
      </c>
      <c r="P197" s="34" t="n">
        <f aca="false">P$195-P$196</f>
        <v>0</v>
      </c>
      <c r="Q197" s="34" t="n">
        <f aca="false">Q$195-Q$196</f>
        <v>0</v>
      </c>
      <c r="R197" s="34" t="n">
        <f aca="false">R$195-R$196</f>
        <v>0</v>
      </c>
      <c r="S197" s="34" t="n">
        <f aca="false">S$195-S$196</f>
        <v>0</v>
      </c>
      <c r="T197" s="34" t="n">
        <f aca="false">T$195-T$196</f>
        <v>0</v>
      </c>
      <c r="U197" s="34" t="n">
        <f aca="false">U$195-U$196</f>
        <v>0</v>
      </c>
      <c r="V197" s="34" t="n">
        <f aca="false">V$195-V$196</f>
        <v>0</v>
      </c>
      <c r="W197" s="34" t="n">
        <f aca="false">W$195-W$196</f>
        <v>0</v>
      </c>
      <c r="X197" s="34" t="n">
        <f aca="false">X$195-X$196</f>
        <v>0</v>
      </c>
      <c r="Y197" s="34" t="n">
        <f aca="false">Y$195-Y$196</f>
        <v>0</v>
      </c>
      <c r="Z197" s="34" t="n">
        <f aca="false">Z$195-Z$196</f>
        <v>0</v>
      </c>
      <c r="AA197" s="34" t="n">
        <f aca="false">AA$195-AA$196</f>
        <v>0</v>
      </c>
      <c r="AB197" s="34" t="n">
        <f aca="false">AB$195-AB$196</f>
        <v>0</v>
      </c>
      <c r="AC197" s="34" t="n">
        <f aca="false">AC$195-AC$196</f>
        <v>0</v>
      </c>
      <c r="AD197" s="34" t="n">
        <f aca="false">AD$195-AD$196</f>
        <v>0</v>
      </c>
      <c r="AE197" s="34" t="n">
        <f aca="false">AE$195-AE$196</f>
        <v>0</v>
      </c>
      <c r="AF197" s="34" t="n">
        <f aca="false">AF$195-AF$196</f>
        <v>0</v>
      </c>
      <c r="AG197" s="34" t="n">
        <f aca="false">AG$195-AG$196</f>
        <v>0</v>
      </c>
      <c r="AH197" s="34" t="n">
        <f aca="false">AH$195-AH$196</f>
        <v>0</v>
      </c>
      <c r="AI197" s="34" t="n">
        <f aca="false">AI$195-AI$196</f>
        <v>0</v>
      </c>
      <c r="AJ197" s="34" t="n">
        <f aca="false">AJ$195-AJ$196</f>
        <v>0</v>
      </c>
      <c r="AK197" s="34" t="n">
        <f aca="false">AK$195-AK$196</f>
        <v>0</v>
      </c>
      <c r="AL197" s="34" t="n">
        <f aca="false">AL$195-AL$196</f>
        <v>0</v>
      </c>
      <c r="AM197" s="34" t="n">
        <f aca="false">AM$195-AM$196</f>
        <v>0</v>
      </c>
      <c r="AN197" s="34" t="n">
        <f aca="false">AN$195-AN$196</f>
        <v>0</v>
      </c>
      <c r="AO197" s="34" t="n">
        <f aca="false">AO$195-AO$196</f>
        <v>0</v>
      </c>
      <c r="AP197" s="34" t="n">
        <f aca="false">AP$195-AP$196</f>
        <v>0</v>
      </c>
      <c r="AQ197" s="34" t="n">
        <f aca="false">AQ$195-AQ$196</f>
        <v>0</v>
      </c>
      <c r="AR197" s="34" t="n">
        <f aca="false">AR$195-AR$196</f>
        <v>0</v>
      </c>
      <c r="AS197" s="34" t="n">
        <f aca="false">AS$195-AS$196</f>
        <v>0</v>
      </c>
      <c r="AT197" s="34" t="n">
        <f aca="false">AT$195-AT$196</f>
        <v>0</v>
      </c>
      <c r="AU197" s="34" t="n">
        <f aca="false">AU$195-AU$196</f>
        <v>0</v>
      </c>
      <c r="AV197" s="34" t="n">
        <f aca="false">AV$195-AV$196</f>
        <v>0</v>
      </c>
      <c r="AW197" s="34" t="n">
        <f aca="false">AW$195-AW$196</f>
        <v>0</v>
      </c>
      <c r="AX197" s="34" t="n">
        <f aca="false">AX$195-AX$196</f>
        <v>0</v>
      </c>
      <c r="AY197" s="34" t="n">
        <f aca="false">AY$195-AY$196</f>
        <v>0</v>
      </c>
      <c r="AZ197" s="34" t="n">
        <f aca="false">AZ$195-AZ$196</f>
        <v>0</v>
      </c>
      <c r="BA197" s="34" t="n">
        <f aca="false">BA$195-BA$196</f>
        <v>0</v>
      </c>
      <c r="BB197" s="34" t="n">
        <f aca="false">BB$195-BB$196</f>
        <v>0</v>
      </c>
      <c r="BC197" s="34" t="n">
        <f aca="false">BC$195-BC$196</f>
        <v>0</v>
      </c>
      <c r="BD197" s="34" t="n">
        <f aca="false">BD$195-BD$196</f>
        <v>0</v>
      </c>
      <c r="BE197" s="34" t="n">
        <f aca="false">BE$195-BE$196</f>
        <v>0</v>
      </c>
      <c r="BF197" s="34" t="n">
        <f aca="false">BF$195-BF$196</f>
        <v>0</v>
      </c>
      <c r="BG197" s="34" t="n">
        <f aca="false">BG$195-BG$196</f>
        <v>0</v>
      </c>
      <c r="BH197" s="34" t="n">
        <f aca="false">BH$195-BH$196</f>
        <v>0</v>
      </c>
      <c r="BI197" s="34" t="n">
        <f aca="false">BI$195-BI$196</f>
        <v>0</v>
      </c>
      <c r="BJ197" s="34" t="n">
        <f aca="false">BJ$195-BJ$196</f>
        <v>0</v>
      </c>
      <c r="BK197" s="34" t="n">
        <f aca="false">BK$195-BK$196</f>
        <v>0</v>
      </c>
      <c r="BL197" s="34" t="n">
        <f aca="false">BL$195-BL$196</f>
        <v>0</v>
      </c>
      <c r="BM197" s="34" t="n">
        <f aca="false">BM$195-BM$196</f>
        <v>0</v>
      </c>
      <c r="BN197" s="34" t="n">
        <f aca="false">BN$195-BN$196</f>
        <v>0</v>
      </c>
      <c r="BO197" s="34" t="n">
        <f aca="false">BO$195-BO$196</f>
        <v>0</v>
      </c>
      <c r="BP197" s="34" t="n">
        <f aca="false">BP$195-BP$196</f>
        <v>0</v>
      </c>
      <c r="BQ197" s="34" t="n">
        <f aca="false">BQ$195-BQ$196</f>
        <v>0</v>
      </c>
      <c r="BR197" s="34" t="n">
        <f aca="false">BR$195-BR$196</f>
        <v>0</v>
      </c>
      <c r="BS197" s="34" t="n">
        <f aca="false">BS$195-BS$196</f>
        <v>0</v>
      </c>
      <c r="BT197" s="34" t="n">
        <f aca="false">BT$195-BT$196</f>
        <v>0</v>
      </c>
      <c r="BU197" s="34" t="n">
        <f aca="false">BU$195-BU$196</f>
        <v>0</v>
      </c>
      <c r="BV197" s="34" t="n">
        <f aca="false">BV$195-BV$196</f>
        <v>0</v>
      </c>
      <c r="BW197" s="34" t="n">
        <f aca="false">BW$195-BW$196</f>
        <v>0</v>
      </c>
      <c r="BX197" s="34" t="n">
        <f aca="false">BX$195-BX$196</f>
        <v>0</v>
      </c>
      <c r="BY197" s="34" t="n">
        <f aca="false">BY$195-BY$196</f>
        <v>0</v>
      </c>
      <c r="BZ197" s="34" t="n">
        <f aca="false">BZ$195-BZ$196</f>
        <v>0</v>
      </c>
      <c r="CA197" s="34" t="n">
        <f aca="false">CA$195-CA$196</f>
        <v>0</v>
      </c>
      <c r="CB197" s="34" t="n">
        <f aca="false">CB$195-CB$196</f>
        <v>0</v>
      </c>
      <c r="CC197" s="34" t="n">
        <f aca="false">CC$195-CC$196</f>
        <v>0</v>
      </c>
      <c r="CD197" s="34" t="n">
        <f aca="false">CD$195-CD$196</f>
        <v>0</v>
      </c>
      <c r="CE197" s="34" t="n">
        <f aca="false">CE$195-CE$196</f>
        <v>0</v>
      </c>
      <c r="CF197" s="34" t="n">
        <f aca="false">CF$195-CF$196</f>
        <v>0</v>
      </c>
      <c r="CG197" s="34" t="n">
        <f aca="false">CG$195-CG$196</f>
        <v>0</v>
      </c>
      <c r="CH197" s="34" t="n">
        <f aca="false">CH$195-CH$196</f>
        <v>0</v>
      </c>
      <c r="CI197" s="34" t="n">
        <f aca="false">CI$195-CI$196</f>
        <v>0</v>
      </c>
      <c r="CJ197" s="34" t="n">
        <f aca="false">CJ$195-CJ$196</f>
        <v>0</v>
      </c>
      <c r="CK197" s="34" t="n">
        <f aca="false">CK$195-CK$196</f>
        <v>0</v>
      </c>
      <c r="CL197" s="34" t="n">
        <f aca="false">CL$195-CL$196</f>
        <v>0</v>
      </c>
      <c r="CM197" s="34" t="n">
        <f aca="false">CM$195-CM$196</f>
        <v>0</v>
      </c>
      <c r="CN197" s="34" t="n">
        <f aca="false">CN$195-CN$196</f>
        <v>0</v>
      </c>
      <c r="CO197" s="34" t="n">
        <f aca="false">CO$195-CO$196</f>
        <v>0</v>
      </c>
      <c r="CP197" s="34" t="n">
        <f aca="false">CP$195-CP$196</f>
        <v>0</v>
      </c>
      <c r="CQ197" s="34" t="n">
        <f aca="false">CQ$195-CQ$196</f>
        <v>0</v>
      </c>
      <c r="CR197" s="34" t="n">
        <f aca="false">CR$195-CR$196</f>
        <v>0</v>
      </c>
      <c r="CS197" s="34" t="n">
        <f aca="false">CS$195-CS$196</f>
        <v>0</v>
      </c>
      <c r="CT197" s="34" t="n">
        <f aca="false">CT$195-CT$196</f>
        <v>0</v>
      </c>
      <c r="CU197" s="34" t="n">
        <f aca="false">CU$195-CU$196</f>
        <v>0</v>
      </c>
      <c r="CV197" s="34" t="n">
        <f aca="false">CV$195-CV$196</f>
        <v>0</v>
      </c>
      <c r="CW197" s="34" t="n">
        <f aca="false">CW$195-CW$196</f>
        <v>0</v>
      </c>
      <c r="CX197" s="34" t="n">
        <f aca="false">CX$195-CX$196</f>
        <v>0</v>
      </c>
      <c r="CY197" s="34" t="n">
        <f aca="false">CY$195-CY$196</f>
        <v>0</v>
      </c>
      <c r="CZ197" s="34" t="n">
        <f aca="false">CZ$195-CZ$196</f>
        <v>0</v>
      </c>
      <c r="DA197" s="34" t="n">
        <f aca="false">DA$195-DA$196</f>
        <v>0</v>
      </c>
      <c r="DB197" s="34" t="n">
        <f aca="false">DB$195-DB$196</f>
        <v>0</v>
      </c>
      <c r="DC197" s="34" t="n">
        <f aca="false">DC$195-DC$196</f>
        <v>0</v>
      </c>
      <c r="DD197" s="34" t="n">
        <f aca="false">DD$195-DD$196</f>
        <v>0</v>
      </c>
      <c r="DE197" s="34" t="n">
        <f aca="false">DE$195-DE$196</f>
        <v>0</v>
      </c>
      <c r="DF197" s="34" t="n">
        <f aca="false">DF$195-DF$196</f>
        <v>0</v>
      </c>
      <c r="DG197" s="34" t="n">
        <f aca="false">DG$195-DG$196</f>
        <v>0</v>
      </c>
      <c r="DH197" s="34" t="n">
        <f aca="false">DH$195-DH$196</f>
        <v>0</v>
      </c>
      <c r="DI197" s="34" t="n">
        <f aca="false">DI$195-DI$196</f>
        <v>0</v>
      </c>
      <c r="DJ197" s="34" t="n">
        <f aca="false">DJ$195-DJ$196</f>
        <v>0</v>
      </c>
      <c r="DK197" s="34" t="n">
        <f aca="false">DK$195-DK$196</f>
        <v>0</v>
      </c>
      <c r="DL197" s="34" t="n">
        <f aca="false">DL$195-DL$196</f>
        <v>0</v>
      </c>
      <c r="DM197" s="34" t="n">
        <f aca="false">DM$195-DM$196</f>
        <v>0</v>
      </c>
      <c r="DN197" s="34" t="n">
        <f aca="false">DN$195-DN$196</f>
        <v>0</v>
      </c>
      <c r="DO197" s="34" t="n">
        <f aca="false">DO$195-DO$196</f>
        <v>0</v>
      </c>
      <c r="DP197" s="34" t="n">
        <f aca="false">DP$195-DP$196</f>
        <v>0</v>
      </c>
      <c r="DQ197" s="34" t="n">
        <f aca="false">DQ$195-DQ$196</f>
        <v>0</v>
      </c>
      <c r="DR197" s="34" t="n">
        <f aca="false">DR$195-DR$196</f>
        <v>0</v>
      </c>
      <c r="DS197" s="34" t="n">
        <f aca="false">DS$195-DS$196</f>
        <v>0</v>
      </c>
      <c r="DT197" s="34" t="n">
        <f aca="false">DT$195-DT$196</f>
        <v>0</v>
      </c>
      <c r="DU197" s="34" t="n">
        <f aca="false">DU$195-DU$196</f>
        <v>0</v>
      </c>
      <c r="DV197" s="34" t="n">
        <f aca="false">DV$195-DV$196</f>
        <v>0</v>
      </c>
      <c r="DW197" s="34" t="n">
        <f aca="false">DW$195-DW$196</f>
        <v>0</v>
      </c>
      <c r="DX197" s="34" t="n">
        <f aca="false">DX$195-DX$196</f>
        <v>0</v>
      </c>
      <c r="DY197" s="34" t="n">
        <f aca="false">DY$195-DY$196</f>
        <v>0</v>
      </c>
      <c r="DZ197" s="34" t="n">
        <f aca="false">DZ$195-DZ$196</f>
        <v>0</v>
      </c>
      <c r="EA197" s="34" t="n">
        <f aca="false">EA$195-EA$196</f>
        <v>0</v>
      </c>
      <c r="EB197" s="34" t="n">
        <f aca="false">EB$195-EB$196</f>
        <v>0</v>
      </c>
      <c r="EC197" s="34" t="n">
        <f aca="false">EC$195-EC$196</f>
        <v>0</v>
      </c>
      <c r="ED197" s="34" t="n">
        <f aca="false">ED$195-ED$196</f>
        <v>0</v>
      </c>
      <c r="EE197" s="34" t="n">
        <f aca="false">EE$195-EE$196</f>
        <v>0</v>
      </c>
      <c r="EF197" s="34" t="n">
        <f aca="false">EF$195-EF$196</f>
        <v>0</v>
      </c>
      <c r="EG197" s="34" t="n">
        <f aca="false">EG$195-EG$196</f>
        <v>0</v>
      </c>
      <c r="EH197" s="34" t="n">
        <f aca="false">EH$195-EH$196</f>
        <v>0</v>
      </c>
      <c r="EI197" s="34" t="n">
        <f aca="false">EI$195-EI$196</f>
        <v>0</v>
      </c>
      <c r="EJ197" s="34" t="n">
        <f aca="false">EJ$195-EJ$196</f>
        <v>0</v>
      </c>
      <c r="EK197" s="34" t="n">
        <f aca="false">EK$195-EK$196</f>
        <v>0</v>
      </c>
      <c r="EL197" s="34" t="n">
        <f aca="false">EL$195-EL$196</f>
        <v>0</v>
      </c>
      <c r="EM197" s="34" t="n">
        <f aca="false">EM$195-EM$196</f>
        <v>0</v>
      </c>
      <c r="EN197" s="34" t="n">
        <f aca="false">EN$195-EN$196</f>
        <v>0</v>
      </c>
      <c r="EO197" s="34" t="n">
        <f aca="false">EO$195-EO$196</f>
        <v>0</v>
      </c>
      <c r="EP197" s="34" t="n">
        <f aca="false">EP$195-EP$196</f>
        <v>0</v>
      </c>
      <c r="EQ197" s="34" t="n">
        <f aca="false">EQ$195-EQ$196</f>
        <v>0</v>
      </c>
      <c r="ER197" s="34" t="n">
        <f aca="false">ER$195-ER$196</f>
        <v>0</v>
      </c>
      <c r="ES197" s="34" t="n">
        <f aca="false">ES$195-ES$196</f>
        <v>0</v>
      </c>
    </row>
    <row r="198" customFormat="false" ht="15" hidden="false" customHeight="false" outlineLevel="0" collapsed="false">
      <c r="A198" s="2" t="s">
        <v>675</v>
      </c>
      <c r="B198" s="6" t="s">
        <v>521</v>
      </c>
      <c r="C198" s="6" t="s">
        <v>212</v>
      </c>
      <c r="E198" s="40" t="n">
        <f aca="false">SUM(F198:ES198)</f>
        <v>0</v>
      </c>
      <c r="F198" s="34" t="n">
        <f aca="false">IF(F$8=1,IF(Reales!$C$48="PYG",IF(F$10&gt;0,N(Reales!F48)/F$10,0),N(Reales!F48)),(F$217+F$221+F$225)*(1+V_IVAint))</f>
        <v>0</v>
      </c>
      <c r="G198" s="34" t="n">
        <f aca="false">IF(G$8=1,IF(Reales!$C$48="PYG",IF(G$10&gt;0,N(Reales!G48)/G$10,0),N(Reales!G48)),(G$217+G$221+G$225)*(1+V_IVAint))</f>
        <v>0</v>
      </c>
      <c r="H198" s="34" t="n">
        <f aca="false">IF(H$8=1,IF(Reales!$C$48="PYG",IF(H$10&gt;0,N(Reales!H48)/H$10,0),N(Reales!H48)),(H$217+H$221+H$225)*(1+V_IVAint))</f>
        <v>0</v>
      </c>
      <c r="I198" s="34" t="n">
        <f aca="false">IF(I$8=1,IF(Reales!$C$48="PYG",IF(I$10&gt;0,N(Reales!I48)/I$10,0),N(Reales!I48)),(I$217+I$221+I$225)*(1+V_IVAint))</f>
        <v>0</v>
      </c>
      <c r="J198" s="34" t="n">
        <f aca="false">IF(J$8=1,IF(Reales!$C$48="PYG",IF(J$10&gt;0,N(Reales!J48)/J$10,0),N(Reales!J48)),(J$217+J$221+J$225)*(1+V_IVAint))</f>
        <v>0</v>
      </c>
      <c r="K198" s="34" t="n">
        <f aca="false">IF(K$8=1,IF(Reales!$C$48="PYG",IF(K$10&gt;0,N(Reales!K48)/K$10,0),N(Reales!K48)),(K$217+K$221+K$225)*(1+V_IVAint))</f>
        <v>0</v>
      </c>
      <c r="L198" s="34" t="n">
        <f aca="false">IF(L$8=1,IF(Reales!$C$48="PYG",IF(L$10&gt;0,N(Reales!L48)/L$10,0),N(Reales!L48)),(L$217+L$221+L$225)*(1+V_IVAint))</f>
        <v>0</v>
      </c>
      <c r="M198" s="34" t="n">
        <f aca="false">IF(M$8=1,IF(Reales!$C$48="PYG",IF(M$10&gt;0,N(Reales!M48)/M$10,0),N(Reales!M48)),(M$217+M$221+M$225)*(1+V_IVAint))</f>
        <v>0</v>
      </c>
      <c r="N198" s="34" t="n">
        <f aca="false">IF(N$8=1,IF(Reales!$C$48="PYG",IF(N$10&gt;0,N(Reales!N48)/N$10,0),N(Reales!N48)),(N$217+N$221+N$225)*(1+V_IVAint))</f>
        <v>0</v>
      </c>
      <c r="O198" s="34" t="n">
        <f aca="false">IF(O$8=1,IF(Reales!$C$48="PYG",IF(O$10&gt;0,N(Reales!O48)/O$10,0),N(Reales!O48)),(O$217+O$221+O$225)*(1+V_IVAint))</f>
        <v>0</v>
      </c>
      <c r="P198" s="34" t="n">
        <f aca="false">IF(P$8=1,IF(Reales!$C$48="PYG",IF(P$10&gt;0,N(Reales!P48)/P$10,0),N(Reales!P48)),(P$217+P$221+P$225)*(1+V_IVAint))</f>
        <v>0</v>
      </c>
      <c r="Q198" s="34" t="n">
        <f aca="false">IF(Q$8=1,IF(Reales!$C$48="PYG",IF(Q$10&gt;0,N(Reales!Q48)/Q$10,0),N(Reales!Q48)),(Q$217+Q$221+Q$225)*(1+V_IVAint))</f>
        <v>0</v>
      </c>
      <c r="R198" s="34" t="n">
        <f aca="false">IF(R$8=1,IF(Reales!$C$48="PYG",IF(R$10&gt;0,N(Reales!R48)/R$10,0),N(Reales!R48)),(R$217+R$221+R$225)*(1+V_IVAint))</f>
        <v>0</v>
      </c>
      <c r="S198" s="34" t="n">
        <f aca="false">IF(S$8=1,IF(Reales!$C$48="PYG",IF(S$10&gt;0,N(Reales!S48)/S$10,0),N(Reales!S48)),(S$217+S$221+S$225)*(1+V_IVAint))</f>
        <v>0</v>
      </c>
      <c r="T198" s="34" t="n">
        <f aca="false">IF(T$8=1,IF(Reales!$C$48="PYG",IF(T$10&gt;0,N(Reales!T48)/T$10,0),N(Reales!T48)),(T$217+T$221+T$225)*(1+V_IVAint))</f>
        <v>0</v>
      </c>
      <c r="U198" s="34" t="n">
        <f aca="false">IF(U$8=1,IF(Reales!$C$48="PYG",IF(U$10&gt;0,N(Reales!U48)/U$10,0),N(Reales!U48)),(U$217+U$221+U$225)*(1+V_IVAint))</f>
        <v>0</v>
      </c>
      <c r="V198" s="34" t="n">
        <f aca="false">IF(V$8=1,IF(Reales!$C$48="PYG",IF(V$10&gt;0,N(Reales!V48)/V$10,0),N(Reales!V48)),(V$217+V$221+V$225)*(1+V_IVAint))</f>
        <v>0</v>
      </c>
      <c r="W198" s="34" t="n">
        <f aca="false">IF(W$8=1,IF(Reales!$C$48="PYG",IF(W$10&gt;0,N(Reales!W48)/W$10,0),N(Reales!W48)),(W$217+W$221+W$225)*(1+V_IVAint))</f>
        <v>0</v>
      </c>
      <c r="X198" s="34" t="n">
        <f aca="false">IF(X$8=1,IF(Reales!$C$48="PYG",IF(X$10&gt;0,N(Reales!X48)/X$10,0),N(Reales!X48)),(X$217+X$221+X$225)*(1+V_IVAint))</f>
        <v>0</v>
      </c>
      <c r="Y198" s="34" t="n">
        <f aca="false">IF(Y$8=1,IF(Reales!$C$48="PYG",IF(Y$10&gt;0,N(Reales!Y48)/Y$10,0),N(Reales!Y48)),(Y$217+Y$221+Y$225)*(1+V_IVAint))</f>
        <v>0</v>
      </c>
      <c r="Z198" s="34" t="n">
        <f aca="false">IF(Z$8=1,IF(Reales!$C$48="PYG",IF(Z$10&gt;0,N(Reales!Z48)/Z$10,0),N(Reales!Z48)),(Z$217+Z$221+Z$225)*(1+V_IVAint))</f>
        <v>0</v>
      </c>
      <c r="AA198" s="34" t="n">
        <f aca="false">IF(AA$8=1,IF(Reales!$C$48="PYG",IF(AA$10&gt;0,N(Reales!AA48)/AA$10,0),N(Reales!AA48)),(AA$217+AA$221+AA$225)*(1+V_IVAint))</f>
        <v>0</v>
      </c>
      <c r="AB198" s="34" t="n">
        <f aca="false">IF(AB$8=1,IF(Reales!$C$48="PYG",IF(AB$10&gt;0,N(Reales!AB48)/AB$10,0),N(Reales!AB48)),(AB$217+AB$221+AB$225)*(1+V_IVAint))</f>
        <v>0</v>
      </c>
      <c r="AC198" s="34" t="n">
        <f aca="false">IF(AC$8=1,IF(Reales!$C$48="PYG",IF(AC$10&gt;0,N(Reales!AC48)/AC$10,0),N(Reales!AC48)),(AC$217+AC$221+AC$225)*(1+V_IVAint))</f>
        <v>0</v>
      </c>
      <c r="AD198" s="34" t="n">
        <f aca="false">IF(AD$8=1,IF(Reales!$C$48="PYG",IF(AD$10&gt;0,N(Reales!AD48)/AD$10,0),N(Reales!AD48)),(AD$217+AD$221+AD$225)*(1+V_IVAint))</f>
        <v>0</v>
      </c>
      <c r="AE198" s="34" t="n">
        <f aca="false">IF(AE$8=1,IF(Reales!$C$48="PYG",IF(AE$10&gt;0,N(Reales!AE48)/AE$10,0),N(Reales!AE48)),(AE$217+AE$221+AE$225)*(1+V_IVAint))</f>
        <v>0</v>
      </c>
      <c r="AF198" s="34" t="n">
        <f aca="false">IF(AF$8=1,IF(Reales!$C$48="PYG",IF(AF$10&gt;0,N(Reales!AF48)/AF$10,0),N(Reales!AF48)),(AF$217+AF$221+AF$225)*(1+V_IVAint))</f>
        <v>0</v>
      </c>
      <c r="AG198" s="34" t="n">
        <f aca="false">IF(AG$8=1,IF(Reales!$C$48="PYG",IF(AG$10&gt;0,N(Reales!AG48)/AG$10,0),N(Reales!AG48)),(AG$217+AG$221+AG$225)*(1+V_IVAint))</f>
        <v>0</v>
      </c>
      <c r="AH198" s="34" t="n">
        <f aca="false">IF(AH$8=1,IF(Reales!$C$48="PYG",IF(AH$10&gt;0,N(Reales!AH48)/AH$10,0),N(Reales!AH48)),(AH$217+AH$221+AH$225)*(1+V_IVAint))</f>
        <v>0</v>
      </c>
      <c r="AI198" s="34" t="n">
        <f aca="false">IF(AI$8=1,IF(Reales!$C$48="PYG",IF(AI$10&gt;0,N(Reales!AI48)/AI$10,0),N(Reales!AI48)),(AI$217+AI$221+AI$225)*(1+V_IVAint))</f>
        <v>0</v>
      </c>
      <c r="AJ198" s="34" t="n">
        <f aca="false">IF(AJ$8=1,IF(Reales!$C$48="PYG",IF(AJ$10&gt;0,N(Reales!AJ48)/AJ$10,0),N(Reales!AJ48)),(AJ$217+AJ$221+AJ$225)*(1+V_IVAint))</f>
        <v>0</v>
      </c>
      <c r="AK198" s="34" t="n">
        <f aca="false">IF(AK$8=1,IF(Reales!$C$48="PYG",IF(AK$10&gt;0,N(Reales!AK48)/AK$10,0),N(Reales!AK48)),(AK$217+AK$221+AK$225)*(1+V_IVAint))</f>
        <v>0</v>
      </c>
      <c r="AL198" s="34" t="n">
        <f aca="false">IF(AL$8=1,IF(Reales!$C$48="PYG",IF(AL$10&gt;0,N(Reales!AL48)/AL$10,0),N(Reales!AL48)),(AL$217+AL$221+AL$225)*(1+V_IVAint))</f>
        <v>0</v>
      </c>
      <c r="AM198" s="34" t="n">
        <f aca="false">IF(AM$8=1,IF(Reales!$C$48="PYG",IF(AM$10&gt;0,N(Reales!AM48)/AM$10,0),N(Reales!AM48)),(AM$217+AM$221+AM$225)*(1+V_IVAint))</f>
        <v>0</v>
      </c>
      <c r="AN198" s="34" t="n">
        <f aca="false">IF(AN$8=1,IF(Reales!$C$48="PYG",IF(AN$10&gt;0,N(Reales!AN48)/AN$10,0),N(Reales!AN48)),(AN$217+AN$221+AN$225)*(1+V_IVAint))</f>
        <v>0</v>
      </c>
      <c r="AO198" s="34" t="n">
        <f aca="false">IF(AO$8=1,IF(Reales!$C$48="PYG",IF(AO$10&gt;0,N(Reales!AO48)/AO$10,0),N(Reales!AO48)),(AO$217+AO$221+AO$225)*(1+V_IVAint))</f>
        <v>0</v>
      </c>
      <c r="AP198" s="34" t="n">
        <f aca="false">IF(AP$8=1,IF(Reales!$C$48="PYG",IF(AP$10&gt;0,N(Reales!AP48)/AP$10,0),N(Reales!AP48)),(AP$217+AP$221+AP$225)*(1+V_IVAint))</f>
        <v>0</v>
      </c>
      <c r="AQ198" s="34" t="n">
        <f aca="false">IF(AQ$8=1,IF(Reales!$C$48="PYG",IF(AQ$10&gt;0,N(Reales!AQ48)/AQ$10,0),N(Reales!AQ48)),(AQ$217+AQ$221+AQ$225)*(1+V_IVAint))</f>
        <v>0</v>
      </c>
      <c r="AR198" s="34" t="n">
        <f aca="false">IF(AR$8=1,IF(Reales!$C$48="PYG",IF(AR$10&gt;0,N(Reales!AR48)/AR$10,0),N(Reales!AR48)),(AR$217+AR$221+AR$225)*(1+V_IVAint))</f>
        <v>0</v>
      </c>
      <c r="AS198" s="34" t="n">
        <f aca="false">IF(AS$8=1,IF(Reales!$C$48="PYG",IF(AS$10&gt;0,N(Reales!AS48)/AS$10,0),N(Reales!AS48)),(AS$217+AS$221+AS$225)*(1+V_IVAint))</f>
        <v>0</v>
      </c>
      <c r="AT198" s="34" t="n">
        <f aca="false">IF(AT$8=1,IF(Reales!$C$48="PYG",IF(AT$10&gt;0,N(Reales!AT48)/AT$10,0),N(Reales!AT48)),(AT$217+AT$221+AT$225)*(1+V_IVAint))</f>
        <v>0</v>
      </c>
      <c r="AU198" s="34" t="n">
        <f aca="false">IF(AU$8=1,IF(Reales!$C$48="PYG",IF(AU$10&gt;0,N(Reales!AU48)/AU$10,0),N(Reales!AU48)),(AU$217+AU$221+AU$225)*(1+V_IVAint))</f>
        <v>0</v>
      </c>
      <c r="AV198" s="34" t="n">
        <f aca="false">IF(AV$8=1,IF(Reales!$C$48="PYG",IF(AV$10&gt;0,N(Reales!AV48)/AV$10,0),N(Reales!AV48)),(AV$217+AV$221+AV$225)*(1+V_IVAint))</f>
        <v>0</v>
      </c>
      <c r="AW198" s="34" t="n">
        <f aca="false">IF(AW$8=1,IF(Reales!$C$48="PYG",IF(AW$10&gt;0,N(Reales!AW48)/AW$10,0),N(Reales!AW48)),(AW$217+AW$221+AW$225)*(1+V_IVAint))</f>
        <v>0</v>
      </c>
      <c r="AX198" s="34" t="n">
        <f aca="false">IF(AX$8=1,IF(Reales!$C$48="PYG",IF(AX$10&gt;0,N(Reales!AX48)/AX$10,0),N(Reales!AX48)),(AX$217+AX$221+AX$225)*(1+V_IVAint))</f>
        <v>0</v>
      </c>
      <c r="AY198" s="34" t="n">
        <f aca="false">IF(AY$8=1,IF(Reales!$C$48="PYG",IF(AY$10&gt;0,N(Reales!AY48)/AY$10,0),N(Reales!AY48)),(AY$217+AY$221+AY$225)*(1+V_IVAint))</f>
        <v>0</v>
      </c>
      <c r="AZ198" s="34" t="n">
        <f aca="false">IF(AZ$8=1,IF(Reales!$C$48="PYG",IF(AZ$10&gt;0,N(Reales!AZ48)/AZ$10,0),N(Reales!AZ48)),(AZ$217+AZ$221+AZ$225)*(1+V_IVAint))</f>
        <v>0</v>
      </c>
      <c r="BA198" s="34" t="n">
        <f aca="false">IF(BA$8=1,IF(Reales!$C$48="PYG",IF(BA$10&gt;0,N(Reales!BA48)/BA$10,0),N(Reales!BA48)),(BA$217+BA$221+BA$225)*(1+V_IVAint))</f>
        <v>0</v>
      </c>
      <c r="BB198" s="34" t="n">
        <f aca="false">IF(BB$8=1,IF(Reales!$C$48="PYG",IF(BB$10&gt;0,N(Reales!BB48)/BB$10,0),N(Reales!BB48)),(BB$217+BB$221+BB$225)*(1+V_IVAint))</f>
        <v>0</v>
      </c>
      <c r="BC198" s="34" t="n">
        <f aca="false">IF(BC$8=1,IF(Reales!$C$48="PYG",IF(BC$10&gt;0,N(Reales!BC48)/BC$10,0),N(Reales!BC48)),(BC$217+BC$221+BC$225)*(1+V_IVAint))</f>
        <v>0</v>
      </c>
      <c r="BD198" s="34" t="n">
        <f aca="false">IF(BD$8=1,IF(Reales!$C$48="PYG",IF(BD$10&gt;0,N(Reales!BD48)/BD$10,0),N(Reales!BD48)),(BD$217+BD$221+BD$225)*(1+V_IVAint))</f>
        <v>0</v>
      </c>
      <c r="BE198" s="34" t="n">
        <f aca="false">IF(BE$8=1,IF(Reales!$C$48="PYG",IF(BE$10&gt;0,N(Reales!BE48)/BE$10,0),N(Reales!BE48)),(BE$217+BE$221+BE$225)*(1+V_IVAint))</f>
        <v>0</v>
      </c>
      <c r="BF198" s="34" t="n">
        <f aca="false">IF(BF$8=1,IF(Reales!$C$48="PYG",IF(BF$10&gt;0,N(Reales!BF48)/BF$10,0),N(Reales!BF48)),(BF$217+BF$221+BF$225)*(1+V_IVAint))</f>
        <v>0</v>
      </c>
      <c r="BG198" s="34" t="n">
        <f aca="false">IF(BG$8=1,IF(Reales!$C$48="PYG",IF(BG$10&gt;0,N(Reales!BG48)/BG$10,0),N(Reales!BG48)),(BG$217+BG$221+BG$225)*(1+V_IVAint))</f>
        <v>0</v>
      </c>
      <c r="BH198" s="34" t="n">
        <f aca="false">IF(BH$8=1,IF(Reales!$C$48="PYG",IF(BH$10&gt;0,N(Reales!BH48)/BH$10,0),N(Reales!BH48)),(BH$217+BH$221+BH$225)*(1+V_IVAint))</f>
        <v>0</v>
      </c>
      <c r="BI198" s="34" t="n">
        <f aca="false">IF(BI$8=1,IF(Reales!$C$48="PYG",IF(BI$10&gt;0,N(Reales!BI48)/BI$10,0),N(Reales!BI48)),(BI$217+BI$221+BI$225)*(1+V_IVAint))</f>
        <v>0</v>
      </c>
      <c r="BJ198" s="34" t="n">
        <f aca="false">IF(BJ$8=1,IF(Reales!$C$48="PYG",IF(BJ$10&gt;0,N(Reales!BJ48)/BJ$10,0),N(Reales!BJ48)),(BJ$217+BJ$221+BJ$225)*(1+V_IVAint))</f>
        <v>0</v>
      </c>
      <c r="BK198" s="34" t="n">
        <f aca="false">IF(BK$8=1,IF(Reales!$C$48="PYG",IF(BK$10&gt;0,N(Reales!BK48)/BK$10,0),N(Reales!BK48)),(BK$217+BK$221+BK$225)*(1+V_IVAint))</f>
        <v>0</v>
      </c>
      <c r="BL198" s="34" t="n">
        <f aca="false">IF(BL$8=1,IF(Reales!$C$48="PYG",IF(BL$10&gt;0,N(Reales!BL48)/BL$10,0),N(Reales!BL48)),(BL$217+BL$221+BL$225)*(1+V_IVAint))</f>
        <v>0</v>
      </c>
      <c r="BM198" s="34" t="n">
        <f aca="false">IF(BM$8=1,IF(Reales!$C$48="PYG",IF(BM$10&gt;0,N(Reales!BM48)/BM$10,0),N(Reales!BM48)),(BM$217+BM$221+BM$225)*(1+V_IVAint))</f>
        <v>0</v>
      </c>
      <c r="BN198" s="34" t="n">
        <f aca="false">IF(BN$8=1,IF(Reales!$C$48="PYG",IF(BN$10&gt;0,N(Reales!BN48)/BN$10,0),N(Reales!BN48)),(BN$217+BN$221+BN$225)*(1+V_IVAint))</f>
        <v>0</v>
      </c>
      <c r="BO198" s="34" t="n">
        <f aca="false">IF(BO$8=1,IF(Reales!$C$48="PYG",IF(BO$10&gt;0,N(Reales!BO48)/BO$10,0),N(Reales!BO48)),(BO$217+BO$221+BO$225)*(1+V_IVAint))</f>
        <v>0</v>
      </c>
      <c r="BP198" s="34" t="n">
        <f aca="false">IF(BP$8=1,IF(Reales!$C$48="PYG",IF(BP$10&gt;0,N(Reales!BP48)/BP$10,0),N(Reales!BP48)),(BP$217+BP$221+BP$225)*(1+V_IVAint))</f>
        <v>0</v>
      </c>
      <c r="BQ198" s="34" t="n">
        <f aca="false">IF(BQ$8=1,IF(Reales!$C$48="PYG",IF(BQ$10&gt;0,N(Reales!BQ48)/BQ$10,0),N(Reales!BQ48)),(BQ$217+BQ$221+BQ$225)*(1+V_IVAint))</f>
        <v>0</v>
      </c>
      <c r="BR198" s="34" t="n">
        <f aca="false">IF(BR$8=1,IF(Reales!$C$48="PYG",IF(BR$10&gt;0,N(Reales!BR48)/BR$10,0),N(Reales!BR48)),(BR$217+BR$221+BR$225)*(1+V_IVAint))</f>
        <v>0</v>
      </c>
      <c r="BS198" s="34" t="n">
        <f aca="false">IF(BS$8=1,IF(Reales!$C$48="PYG",IF(BS$10&gt;0,N(Reales!BS48)/BS$10,0),N(Reales!BS48)),(BS$217+BS$221+BS$225)*(1+V_IVAint))</f>
        <v>0</v>
      </c>
      <c r="BT198" s="34" t="n">
        <f aca="false">IF(BT$8=1,IF(Reales!$C$48="PYG",IF(BT$10&gt;0,N(Reales!BT48)/BT$10,0),N(Reales!BT48)),(BT$217+BT$221+BT$225)*(1+V_IVAint))</f>
        <v>0</v>
      </c>
      <c r="BU198" s="34" t="n">
        <f aca="false">IF(BU$8=1,IF(Reales!$C$48="PYG",IF(BU$10&gt;0,N(Reales!BU48)/BU$10,0),N(Reales!BU48)),(BU$217+BU$221+BU$225)*(1+V_IVAint))</f>
        <v>0</v>
      </c>
      <c r="BV198" s="34" t="n">
        <f aca="false">IF(BV$8=1,IF(Reales!$C$48="PYG",IF(BV$10&gt;0,N(Reales!BV48)/BV$10,0),N(Reales!BV48)),(BV$217+BV$221+BV$225)*(1+V_IVAint))</f>
        <v>0</v>
      </c>
      <c r="BW198" s="34" t="n">
        <f aca="false">IF(BW$8=1,IF(Reales!$C$48="PYG",IF(BW$10&gt;0,N(Reales!BW48)/BW$10,0),N(Reales!BW48)),(BW$217+BW$221+BW$225)*(1+V_IVAint))</f>
        <v>0</v>
      </c>
      <c r="BX198" s="34" t="n">
        <f aca="false">IF(BX$8=1,IF(Reales!$C$48="PYG",IF(BX$10&gt;0,N(Reales!BX48)/BX$10,0),N(Reales!BX48)),(BX$217+BX$221+BX$225)*(1+V_IVAint))</f>
        <v>0</v>
      </c>
      <c r="BY198" s="34" t="n">
        <f aca="false">IF(BY$8=1,IF(Reales!$C$48="PYG",IF(BY$10&gt;0,N(Reales!BY48)/BY$10,0),N(Reales!BY48)),(BY$217+BY$221+BY$225)*(1+V_IVAint))</f>
        <v>0</v>
      </c>
      <c r="BZ198" s="34" t="n">
        <f aca="false">IF(BZ$8=1,IF(Reales!$C$48="PYG",IF(BZ$10&gt;0,N(Reales!BZ48)/BZ$10,0),N(Reales!BZ48)),(BZ$217+BZ$221+BZ$225)*(1+V_IVAint))</f>
        <v>0</v>
      </c>
      <c r="CA198" s="34" t="n">
        <f aca="false">IF(CA$8=1,IF(Reales!$C$48="PYG",IF(CA$10&gt;0,N(Reales!CA48)/CA$10,0),N(Reales!CA48)),(CA$217+CA$221+CA$225)*(1+V_IVAint))</f>
        <v>0</v>
      </c>
      <c r="CB198" s="34" t="n">
        <f aca="false">IF(CB$8=1,IF(Reales!$C$48="PYG",IF(CB$10&gt;0,N(Reales!CB48)/CB$10,0),N(Reales!CB48)),(CB$217+CB$221+CB$225)*(1+V_IVAint))</f>
        <v>0</v>
      </c>
      <c r="CC198" s="34" t="n">
        <f aca="false">IF(CC$8=1,IF(Reales!$C$48="PYG",IF(CC$10&gt;0,N(Reales!CC48)/CC$10,0),N(Reales!CC48)),(CC$217+CC$221+CC$225)*(1+V_IVAint))</f>
        <v>0</v>
      </c>
      <c r="CD198" s="34" t="n">
        <f aca="false">IF(CD$8=1,IF(Reales!$C$48="PYG",IF(CD$10&gt;0,N(Reales!CD48)/CD$10,0),N(Reales!CD48)),(CD$217+CD$221+CD$225)*(1+V_IVAint))</f>
        <v>0</v>
      </c>
      <c r="CE198" s="34" t="n">
        <f aca="false">IF(CE$8=1,IF(Reales!$C$48="PYG",IF(CE$10&gt;0,N(Reales!CE48)/CE$10,0),N(Reales!CE48)),(CE$217+CE$221+CE$225)*(1+V_IVAint))</f>
        <v>0</v>
      </c>
      <c r="CF198" s="34" t="n">
        <f aca="false">IF(CF$8=1,IF(Reales!$C$48="PYG",IF(CF$10&gt;0,N(Reales!CF48)/CF$10,0),N(Reales!CF48)),(CF$217+CF$221+CF$225)*(1+V_IVAint))</f>
        <v>0</v>
      </c>
      <c r="CG198" s="34" t="n">
        <f aca="false">IF(CG$8=1,IF(Reales!$C$48="PYG",IF(CG$10&gt;0,N(Reales!CG48)/CG$10,0),N(Reales!CG48)),(CG$217+CG$221+CG$225)*(1+V_IVAint))</f>
        <v>0</v>
      </c>
      <c r="CH198" s="34" t="n">
        <f aca="false">IF(CH$8=1,IF(Reales!$C$48="PYG",IF(CH$10&gt;0,N(Reales!CH48)/CH$10,0),N(Reales!CH48)),(CH$217+CH$221+CH$225)*(1+V_IVAint))</f>
        <v>0</v>
      </c>
      <c r="CI198" s="34" t="n">
        <f aca="false">IF(CI$8=1,IF(Reales!$C$48="PYG",IF(CI$10&gt;0,N(Reales!CI48)/CI$10,0),N(Reales!CI48)),(CI$217+CI$221+CI$225)*(1+V_IVAint))</f>
        <v>0</v>
      </c>
      <c r="CJ198" s="34" t="n">
        <f aca="false">IF(CJ$8=1,IF(Reales!$C$48="PYG",IF(CJ$10&gt;0,N(Reales!CJ48)/CJ$10,0),N(Reales!CJ48)),(CJ$217+CJ$221+CJ$225)*(1+V_IVAint))</f>
        <v>0</v>
      </c>
      <c r="CK198" s="34" t="n">
        <f aca="false">IF(CK$8=1,IF(Reales!$C$48="PYG",IF(CK$10&gt;0,N(Reales!CK48)/CK$10,0),N(Reales!CK48)),(CK$217+CK$221+CK$225)*(1+V_IVAint))</f>
        <v>0</v>
      </c>
      <c r="CL198" s="34" t="n">
        <f aca="false">IF(CL$8=1,IF(Reales!$C$48="PYG",IF(CL$10&gt;0,N(Reales!CL48)/CL$10,0),N(Reales!CL48)),(CL$217+CL$221+CL$225)*(1+V_IVAint))</f>
        <v>0</v>
      </c>
      <c r="CM198" s="34" t="n">
        <f aca="false">IF(CM$8=1,IF(Reales!$C$48="PYG",IF(CM$10&gt;0,N(Reales!CM48)/CM$10,0),N(Reales!CM48)),(CM$217+CM$221+CM$225)*(1+V_IVAint))</f>
        <v>0</v>
      </c>
      <c r="CN198" s="34" t="n">
        <f aca="false">IF(CN$8=1,IF(Reales!$C$48="PYG",IF(CN$10&gt;0,N(Reales!CN48)/CN$10,0),N(Reales!CN48)),(CN$217+CN$221+CN$225)*(1+V_IVAint))</f>
        <v>0</v>
      </c>
      <c r="CO198" s="34" t="n">
        <f aca="false">IF(CO$8=1,IF(Reales!$C$48="PYG",IF(CO$10&gt;0,N(Reales!CO48)/CO$10,0),N(Reales!CO48)),(CO$217+CO$221+CO$225)*(1+V_IVAint))</f>
        <v>0</v>
      </c>
      <c r="CP198" s="34" t="n">
        <f aca="false">IF(CP$8=1,IF(Reales!$C$48="PYG",IF(CP$10&gt;0,N(Reales!CP48)/CP$10,0),N(Reales!CP48)),(CP$217+CP$221+CP$225)*(1+V_IVAint))</f>
        <v>0</v>
      </c>
      <c r="CQ198" s="34" t="n">
        <f aca="false">IF(CQ$8=1,IF(Reales!$C$48="PYG",IF(CQ$10&gt;0,N(Reales!CQ48)/CQ$10,0),N(Reales!CQ48)),(CQ$217+CQ$221+CQ$225)*(1+V_IVAint))</f>
        <v>0</v>
      </c>
      <c r="CR198" s="34" t="n">
        <f aca="false">IF(CR$8=1,IF(Reales!$C$48="PYG",IF(CR$10&gt;0,N(Reales!CR48)/CR$10,0),N(Reales!CR48)),(CR$217+CR$221+CR$225)*(1+V_IVAint))</f>
        <v>0</v>
      </c>
      <c r="CS198" s="34" t="n">
        <f aca="false">IF(CS$8=1,IF(Reales!$C$48="PYG",IF(CS$10&gt;0,N(Reales!CS48)/CS$10,0),N(Reales!CS48)),(CS$217+CS$221+CS$225)*(1+V_IVAint))</f>
        <v>0</v>
      </c>
      <c r="CT198" s="34" t="n">
        <f aca="false">IF(CT$8=1,IF(Reales!$C$48="PYG",IF(CT$10&gt;0,N(Reales!CT48)/CT$10,0),N(Reales!CT48)),(CT$217+CT$221+CT$225)*(1+V_IVAint))</f>
        <v>0</v>
      </c>
      <c r="CU198" s="34" t="n">
        <f aca="false">IF(CU$8=1,IF(Reales!$C$48="PYG",IF(CU$10&gt;0,N(Reales!CU48)/CU$10,0),N(Reales!CU48)),(CU$217+CU$221+CU$225)*(1+V_IVAint))</f>
        <v>0</v>
      </c>
      <c r="CV198" s="34" t="n">
        <f aca="false">IF(CV$8=1,IF(Reales!$C$48="PYG",IF(CV$10&gt;0,N(Reales!CV48)/CV$10,0),N(Reales!CV48)),(CV$217+CV$221+CV$225)*(1+V_IVAint))</f>
        <v>0</v>
      </c>
      <c r="CW198" s="34" t="n">
        <f aca="false">IF(CW$8=1,IF(Reales!$C$48="PYG",IF(CW$10&gt;0,N(Reales!CW48)/CW$10,0),N(Reales!CW48)),(CW$217+CW$221+CW$225)*(1+V_IVAint))</f>
        <v>0</v>
      </c>
      <c r="CX198" s="34" t="n">
        <f aca="false">IF(CX$8=1,IF(Reales!$C$48="PYG",IF(CX$10&gt;0,N(Reales!CX48)/CX$10,0),N(Reales!CX48)),(CX$217+CX$221+CX$225)*(1+V_IVAint))</f>
        <v>0</v>
      </c>
      <c r="CY198" s="34" t="n">
        <f aca="false">IF(CY$8=1,IF(Reales!$C$48="PYG",IF(CY$10&gt;0,N(Reales!CY48)/CY$10,0),N(Reales!CY48)),(CY$217+CY$221+CY$225)*(1+V_IVAint))</f>
        <v>0</v>
      </c>
      <c r="CZ198" s="34" t="n">
        <f aca="false">IF(CZ$8=1,IF(Reales!$C$48="PYG",IF(CZ$10&gt;0,N(Reales!CZ48)/CZ$10,0),N(Reales!CZ48)),(CZ$217+CZ$221+CZ$225)*(1+V_IVAint))</f>
        <v>0</v>
      </c>
      <c r="DA198" s="34" t="n">
        <f aca="false">IF(DA$8=1,IF(Reales!$C$48="PYG",IF(DA$10&gt;0,N(Reales!DA48)/DA$10,0),N(Reales!DA48)),(DA$217+DA$221+DA$225)*(1+V_IVAint))</f>
        <v>0</v>
      </c>
      <c r="DB198" s="34" t="n">
        <f aca="false">IF(DB$8=1,IF(Reales!$C$48="PYG",IF(DB$10&gt;0,N(Reales!DB48)/DB$10,0),N(Reales!DB48)),(DB$217+DB$221+DB$225)*(1+V_IVAint))</f>
        <v>0</v>
      </c>
      <c r="DC198" s="34" t="n">
        <f aca="false">IF(DC$8=1,IF(Reales!$C$48="PYG",IF(DC$10&gt;0,N(Reales!DC48)/DC$10,0),N(Reales!DC48)),(DC$217+DC$221+DC$225)*(1+V_IVAint))</f>
        <v>0</v>
      </c>
      <c r="DD198" s="34" t="n">
        <f aca="false">IF(DD$8=1,IF(Reales!$C$48="PYG",IF(DD$10&gt;0,N(Reales!DD48)/DD$10,0),N(Reales!DD48)),(DD$217+DD$221+DD$225)*(1+V_IVAint))</f>
        <v>0</v>
      </c>
      <c r="DE198" s="34" t="n">
        <f aca="false">IF(DE$8=1,IF(Reales!$C$48="PYG",IF(DE$10&gt;0,N(Reales!DE48)/DE$10,0),N(Reales!DE48)),(DE$217+DE$221+DE$225)*(1+V_IVAint))</f>
        <v>0</v>
      </c>
      <c r="DF198" s="34" t="n">
        <f aca="false">IF(DF$8=1,IF(Reales!$C$48="PYG",IF(DF$10&gt;0,N(Reales!DF48)/DF$10,0),N(Reales!DF48)),(DF$217+DF$221+DF$225)*(1+V_IVAint))</f>
        <v>0</v>
      </c>
      <c r="DG198" s="34" t="n">
        <f aca="false">IF(DG$8=1,IF(Reales!$C$48="PYG",IF(DG$10&gt;0,N(Reales!DG48)/DG$10,0),N(Reales!DG48)),(DG$217+DG$221+DG$225)*(1+V_IVAint))</f>
        <v>0</v>
      </c>
      <c r="DH198" s="34" t="n">
        <f aca="false">IF(DH$8=1,IF(Reales!$C$48="PYG",IF(DH$10&gt;0,N(Reales!DH48)/DH$10,0),N(Reales!DH48)),(DH$217+DH$221+DH$225)*(1+V_IVAint))</f>
        <v>0</v>
      </c>
      <c r="DI198" s="34" t="n">
        <f aca="false">IF(DI$8=1,IF(Reales!$C$48="PYG",IF(DI$10&gt;0,N(Reales!DI48)/DI$10,0),N(Reales!DI48)),(DI$217+DI$221+DI$225)*(1+V_IVAint))</f>
        <v>0</v>
      </c>
      <c r="DJ198" s="34" t="n">
        <f aca="false">IF(DJ$8=1,IF(Reales!$C$48="PYG",IF(DJ$10&gt;0,N(Reales!DJ48)/DJ$10,0),N(Reales!DJ48)),(DJ$217+DJ$221+DJ$225)*(1+V_IVAint))</f>
        <v>0</v>
      </c>
      <c r="DK198" s="34" t="n">
        <f aca="false">IF(DK$8=1,IF(Reales!$C$48="PYG",IF(DK$10&gt;0,N(Reales!DK48)/DK$10,0),N(Reales!DK48)),(DK$217+DK$221+DK$225)*(1+V_IVAint))</f>
        <v>0</v>
      </c>
      <c r="DL198" s="34" t="n">
        <f aca="false">IF(DL$8=1,IF(Reales!$C$48="PYG",IF(DL$10&gt;0,N(Reales!DL48)/DL$10,0),N(Reales!DL48)),(DL$217+DL$221+DL$225)*(1+V_IVAint))</f>
        <v>0</v>
      </c>
      <c r="DM198" s="34" t="n">
        <f aca="false">IF(DM$8=1,IF(Reales!$C$48="PYG",IF(DM$10&gt;0,N(Reales!DM48)/DM$10,0),N(Reales!DM48)),(DM$217+DM$221+DM$225)*(1+V_IVAint))</f>
        <v>0</v>
      </c>
      <c r="DN198" s="34" t="n">
        <f aca="false">IF(DN$8=1,IF(Reales!$C$48="PYG",IF(DN$10&gt;0,N(Reales!DN48)/DN$10,0),N(Reales!DN48)),(DN$217+DN$221+DN$225)*(1+V_IVAint))</f>
        <v>0</v>
      </c>
      <c r="DO198" s="34" t="n">
        <f aca="false">IF(DO$8=1,IF(Reales!$C$48="PYG",IF(DO$10&gt;0,N(Reales!DO48)/DO$10,0),N(Reales!DO48)),(DO$217+DO$221+DO$225)*(1+V_IVAint))</f>
        <v>0</v>
      </c>
      <c r="DP198" s="34" t="n">
        <f aca="false">IF(DP$8=1,IF(Reales!$C$48="PYG",IF(DP$10&gt;0,N(Reales!DP48)/DP$10,0),N(Reales!DP48)),(DP$217+DP$221+DP$225)*(1+V_IVAint))</f>
        <v>0</v>
      </c>
      <c r="DQ198" s="34" t="n">
        <f aca="false">IF(DQ$8=1,IF(Reales!$C$48="PYG",IF(DQ$10&gt;0,N(Reales!DQ48)/DQ$10,0),N(Reales!DQ48)),(DQ$217+DQ$221+DQ$225)*(1+V_IVAint))</f>
        <v>0</v>
      </c>
      <c r="DR198" s="34" t="n">
        <f aca="false">IF(DR$8=1,IF(Reales!$C$48="PYG",IF(DR$10&gt;0,N(Reales!DR48)/DR$10,0),N(Reales!DR48)),(DR$217+DR$221+DR$225)*(1+V_IVAint))</f>
        <v>0</v>
      </c>
      <c r="DS198" s="34" t="n">
        <f aca="false">IF(DS$8=1,IF(Reales!$C$48="PYG",IF(DS$10&gt;0,N(Reales!DS48)/DS$10,0),N(Reales!DS48)),(DS$217+DS$221+DS$225)*(1+V_IVAint))</f>
        <v>0</v>
      </c>
      <c r="DT198" s="34" t="n">
        <f aca="false">IF(DT$8=1,IF(Reales!$C$48="PYG",IF(DT$10&gt;0,N(Reales!DT48)/DT$10,0),N(Reales!DT48)),(DT$217+DT$221+DT$225)*(1+V_IVAint))</f>
        <v>0</v>
      </c>
      <c r="DU198" s="34" t="n">
        <f aca="false">IF(DU$8=1,IF(Reales!$C$48="PYG",IF(DU$10&gt;0,N(Reales!DU48)/DU$10,0),N(Reales!DU48)),(DU$217+DU$221+DU$225)*(1+V_IVAint))</f>
        <v>0</v>
      </c>
      <c r="DV198" s="34" t="n">
        <f aca="false">IF(DV$8=1,IF(Reales!$C$48="PYG",IF(DV$10&gt;0,N(Reales!DV48)/DV$10,0),N(Reales!DV48)),(DV$217+DV$221+DV$225)*(1+V_IVAint))</f>
        <v>0</v>
      </c>
      <c r="DW198" s="34" t="n">
        <f aca="false">IF(DW$8=1,IF(Reales!$C$48="PYG",IF(DW$10&gt;0,N(Reales!DW48)/DW$10,0),N(Reales!DW48)),(DW$217+DW$221+DW$225)*(1+V_IVAint))</f>
        <v>0</v>
      </c>
      <c r="DX198" s="34" t="n">
        <f aca="false">IF(DX$8=1,IF(Reales!$C$48="PYG",IF(DX$10&gt;0,N(Reales!DX48)/DX$10,0),N(Reales!DX48)),(DX$217+DX$221+DX$225)*(1+V_IVAint))</f>
        <v>0</v>
      </c>
      <c r="DY198" s="34" t="n">
        <f aca="false">IF(DY$8=1,IF(Reales!$C$48="PYG",IF(DY$10&gt;0,N(Reales!DY48)/DY$10,0),N(Reales!DY48)),(DY$217+DY$221+DY$225)*(1+V_IVAint))</f>
        <v>0</v>
      </c>
      <c r="DZ198" s="34" t="n">
        <f aca="false">IF(DZ$8=1,IF(Reales!$C$48="PYG",IF(DZ$10&gt;0,N(Reales!DZ48)/DZ$10,0),N(Reales!DZ48)),(DZ$217+DZ$221+DZ$225)*(1+V_IVAint))</f>
        <v>0</v>
      </c>
      <c r="EA198" s="34" t="n">
        <f aca="false">IF(EA$8=1,IF(Reales!$C$48="PYG",IF(EA$10&gt;0,N(Reales!EA48)/EA$10,0),N(Reales!EA48)),(EA$217+EA$221+EA$225)*(1+V_IVAint))</f>
        <v>0</v>
      </c>
      <c r="EB198" s="34" t="n">
        <f aca="false">IF(EB$8=1,IF(Reales!$C$48="PYG",IF(EB$10&gt;0,N(Reales!EB48)/EB$10,0),N(Reales!EB48)),(EB$217+EB$221+EB$225)*(1+V_IVAint))</f>
        <v>0</v>
      </c>
      <c r="EC198" s="34" t="n">
        <f aca="false">IF(EC$8=1,IF(Reales!$C$48="PYG",IF(EC$10&gt;0,N(Reales!EC48)/EC$10,0),N(Reales!EC48)),(EC$217+EC$221+EC$225)*(1+V_IVAint))</f>
        <v>0</v>
      </c>
      <c r="ED198" s="34" t="n">
        <f aca="false">IF(ED$8=1,IF(Reales!$C$48="PYG",IF(ED$10&gt;0,N(Reales!ED48)/ED$10,0),N(Reales!ED48)),(ED$217+ED$221+ED$225)*(1+V_IVAint))</f>
        <v>0</v>
      </c>
      <c r="EE198" s="34" t="n">
        <f aca="false">IF(EE$8=1,IF(Reales!$C$48="PYG",IF(EE$10&gt;0,N(Reales!EE48)/EE$10,0),N(Reales!EE48)),(EE$217+EE$221+EE$225)*(1+V_IVAint))</f>
        <v>0</v>
      </c>
      <c r="EF198" s="34" t="n">
        <f aca="false">IF(EF$8=1,IF(Reales!$C$48="PYG",IF(EF$10&gt;0,N(Reales!EF48)/EF$10,0),N(Reales!EF48)),(EF$217+EF$221+EF$225)*(1+V_IVAint))</f>
        <v>0</v>
      </c>
      <c r="EG198" s="34" t="n">
        <f aca="false">IF(EG$8=1,IF(Reales!$C$48="PYG",IF(EG$10&gt;0,N(Reales!EG48)/EG$10,0),N(Reales!EG48)),(EG$217+EG$221+EG$225)*(1+V_IVAint))</f>
        <v>0</v>
      </c>
      <c r="EH198" s="34" t="n">
        <f aca="false">IF(EH$8=1,IF(Reales!$C$48="PYG",IF(EH$10&gt;0,N(Reales!EH48)/EH$10,0),N(Reales!EH48)),(EH$217+EH$221+EH$225)*(1+V_IVAint))</f>
        <v>0</v>
      </c>
      <c r="EI198" s="34" t="n">
        <f aca="false">IF(EI$8=1,IF(Reales!$C$48="PYG",IF(EI$10&gt;0,N(Reales!EI48)/EI$10,0),N(Reales!EI48)),(EI$217+EI$221+EI$225)*(1+V_IVAint))</f>
        <v>0</v>
      </c>
      <c r="EJ198" s="34" t="n">
        <f aca="false">IF(EJ$8=1,IF(Reales!$C$48="PYG",IF(EJ$10&gt;0,N(Reales!EJ48)/EJ$10,0),N(Reales!EJ48)),(EJ$217+EJ$221+EJ$225)*(1+V_IVAint))</f>
        <v>0</v>
      </c>
      <c r="EK198" s="34" t="n">
        <f aca="false">IF(EK$8=1,IF(Reales!$C$48="PYG",IF(EK$10&gt;0,N(Reales!EK48)/EK$10,0),N(Reales!EK48)),(EK$217+EK$221+EK$225)*(1+V_IVAint))</f>
        <v>0</v>
      </c>
      <c r="EL198" s="34" t="n">
        <f aca="false">IF(EL$8=1,IF(Reales!$C$48="PYG",IF(EL$10&gt;0,N(Reales!EL48)/EL$10,0),N(Reales!EL48)),(EL$217+EL$221+EL$225)*(1+V_IVAint))</f>
        <v>0</v>
      </c>
      <c r="EM198" s="34" t="n">
        <f aca="false">IF(EM$8=1,IF(Reales!$C$48="PYG",IF(EM$10&gt;0,N(Reales!EM48)/EM$10,0),N(Reales!EM48)),(EM$217+EM$221+EM$225)*(1+V_IVAint))</f>
        <v>0</v>
      </c>
      <c r="EN198" s="34" t="n">
        <f aca="false">IF(EN$8=1,IF(Reales!$C$48="PYG",IF(EN$10&gt;0,N(Reales!EN48)/EN$10,0),N(Reales!EN48)),(EN$217+EN$221+EN$225)*(1+V_IVAint))</f>
        <v>0</v>
      </c>
      <c r="EO198" s="34" t="n">
        <f aca="false">IF(EO$8=1,IF(Reales!$C$48="PYG",IF(EO$10&gt;0,N(Reales!EO48)/EO$10,0),N(Reales!EO48)),(EO$217+EO$221+EO$225)*(1+V_IVAint))</f>
        <v>0</v>
      </c>
      <c r="EP198" s="34" t="n">
        <f aca="false">IF(EP$8=1,IF(Reales!$C$48="PYG",IF(EP$10&gt;0,N(Reales!EP48)/EP$10,0),N(Reales!EP48)),(EP$217+EP$221+EP$225)*(1+V_IVAint))</f>
        <v>0</v>
      </c>
      <c r="EQ198" s="34" t="n">
        <f aca="false">IF(EQ$8=1,IF(Reales!$C$48="PYG",IF(EQ$10&gt;0,N(Reales!EQ48)/EQ$10,0),N(Reales!EQ48)),(EQ$217+EQ$221+EQ$225)*(1+V_IVAint))</f>
        <v>0</v>
      </c>
      <c r="ER198" s="34" t="n">
        <f aca="false">IF(ER$8=1,IF(Reales!$C$48="PYG",IF(ER$10&gt;0,N(Reales!ER48)/ER$10,0),N(Reales!ER48)),(ER$217+ER$221+ER$225)*(1+V_IVAint))</f>
        <v>0</v>
      </c>
      <c r="ES198" s="34" t="n">
        <f aca="false">IF(ES$8=1,IF(Reales!$C$48="PYG",IF(ES$10&gt;0,N(Reales!ES48)/ES$10,0),N(Reales!ES48)),(ES$217+ES$221+ES$225)*(1+V_IVAint))</f>
        <v>0</v>
      </c>
    </row>
    <row r="199" customFormat="false" ht="15" hidden="false" customHeight="false" outlineLevel="0" collapsed="false">
      <c r="A199" s="2" t="s">
        <v>676</v>
      </c>
      <c r="B199" s="6" t="s">
        <v>523</v>
      </c>
      <c r="C199" s="6" t="s">
        <v>212</v>
      </c>
      <c r="E199" s="40" t="n">
        <f aca="false">SUM(F199:ES199)</f>
        <v>0</v>
      </c>
      <c r="F199" s="34" t="n">
        <f aca="false">V_IRE*(F$197-F$198)</f>
        <v>0</v>
      </c>
      <c r="G199" s="34" t="n">
        <f aca="false">V_IRE*(G$197-G$198)</f>
        <v>0</v>
      </c>
      <c r="H199" s="34" t="n">
        <f aca="false">V_IRE*(H$197-H$198)</f>
        <v>0</v>
      </c>
      <c r="I199" s="34" t="n">
        <f aca="false">V_IRE*(I$197-I$198)</f>
        <v>0</v>
      </c>
      <c r="J199" s="34" t="n">
        <f aca="false">V_IRE*(J$197-J$198)</f>
        <v>0</v>
      </c>
      <c r="K199" s="34" t="n">
        <f aca="false">V_IRE*(K$197-K$198)</f>
        <v>0</v>
      </c>
      <c r="L199" s="34" t="n">
        <f aca="false">V_IRE*(L$197-L$198)</f>
        <v>0</v>
      </c>
      <c r="M199" s="34" t="n">
        <f aca="false">V_IRE*(M$197-M$198)</f>
        <v>0</v>
      </c>
      <c r="N199" s="34" t="n">
        <f aca="false">V_IRE*(N$197-N$198)</f>
        <v>0</v>
      </c>
      <c r="O199" s="34" t="n">
        <f aca="false">V_IRE*(O$197-O$198)</f>
        <v>0</v>
      </c>
      <c r="P199" s="34" t="n">
        <f aca="false">V_IRE*(P$197-P$198)</f>
        <v>0</v>
      </c>
      <c r="Q199" s="34" t="n">
        <f aca="false">V_IRE*(Q$197-Q$198)</f>
        <v>0</v>
      </c>
      <c r="R199" s="34" t="n">
        <f aca="false">V_IRE*(R$197-R$198)</f>
        <v>0</v>
      </c>
      <c r="S199" s="34" t="n">
        <f aca="false">V_IRE*(S$197-S$198)</f>
        <v>0</v>
      </c>
      <c r="T199" s="34" t="n">
        <f aca="false">V_IRE*(T$197-T$198)</f>
        <v>0</v>
      </c>
      <c r="U199" s="34" t="n">
        <f aca="false">V_IRE*(U$197-U$198)</f>
        <v>0</v>
      </c>
      <c r="V199" s="34" t="n">
        <f aca="false">V_IRE*(V$197-V$198)</f>
        <v>0</v>
      </c>
      <c r="W199" s="34" t="n">
        <f aca="false">V_IRE*(W$197-W$198)</f>
        <v>0</v>
      </c>
      <c r="X199" s="34" t="n">
        <f aca="false">V_IRE*(X$197-X$198)</f>
        <v>0</v>
      </c>
      <c r="Y199" s="34" t="n">
        <f aca="false">V_IRE*(Y$197-Y$198)</f>
        <v>0</v>
      </c>
      <c r="Z199" s="34" t="n">
        <f aca="false">V_IRE*(Z$197-Z$198)</f>
        <v>0</v>
      </c>
      <c r="AA199" s="34" t="n">
        <f aca="false">V_IRE*(AA$197-AA$198)</f>
        <v>0</v>
      </c>
      <c r="AB199" s="34" t="n">
        <f aca="false">V_IRE*(AB$197-AB$198)</f>
        <v>0</v>
      </c>
      <c r="AC199" s="34" t="n">
        <f aca="false">V_IRE*(AC$197-AC$198)</f>
        <v>0</v>
      </c>
      <c r="AD199" s="34" t="n">
        <f aca="false">V_IRE*(AD$197-AD$198)</f>
        <v>0</v>
      </c>
      <c r="AE199" s="34" t="n">
        <f aca="false">V_IRE*(AE$197-AE$198)</f>
        <v>0</v>
      </c>
      <c r="AF199" s="34" t="n">
        <f aca="false">V_IRE*(AF$197-AF$198)</f>
        <v>0</v>
      </c>
      <c r="AG199" s="34" t="n">
        <f aca="false">V_IRE*(AG$197-AG$198)</f>
        <v>0</v>
      </c>
      <c r="AH199" s="34" t="n">
        <f aca="false">V_IRE*(AH$197-AH$198)</f>
        <v>0</v>
      </c>
      <c r="AI199" s="34" t="n">
        <f aca="false">V_IRE*(AI$197-AI$198)</f>
        <v>0</v>
      </c>
      <c r="AJ199" s="34" t="n">
        <f aca="false">V_IRE*(AJ$197-AJ$198)</f>
        <v>0</v>
      </c>
      <c r="AK199" s="34" t="n">
        <f aca="false">V_IRE*(AK$197-AK$198)</f>
        <v>0</v>
      </c>
      <c r="AL199" s="34" t="n">
        <f aca="false">V_IRE*(AL$197-AL$198)</f>
        <v>0</v>
      </c>
      <c r="AM199" s="34" t="n">
        <f aca="false">V_IRE*(AM$197-AM$198)</f>
        <v>0</v>
      </c>
      <c r="AN199" s="34" t="n">
        <f aca="false">V_IRE*(AN$197-AN$198)</f>
        <v>0</v>
      </c>
      <c r="AO199" s="34" t="n">
        <f aca="false">V_IRE*(AO$197-AO$198)</f>
        <v>0</v>
      </c>
      <c r="AP199" s="34" t="n">
        <f aca="false">V_IRE*(AP$197-AP$198)</f>
        <v>0</v>
      </c>
      <c r="AQ199" s="34" t="n">
        <f aca="false">V_IRE*(AQ$197-AQ$198)</f>
        <v>0</v>
      </c>
      <c r="AR199" s="34" t="n">
        <f aca="false">V_IRE*(AR$197-AR$198)</f>
        <v>0</v>
      </c>
      <c r="AS199" s="34" t="n">
        <f aca="false">V_IRE*(AS$197-AS$198)</f>
        <v>0</v>
      </c>
      <c r="AT199" s="34" t="n">
        <f aca="false">V_IRE*(AT$197-AT$198)</f>
        <v>0</v>
      </c>
      <c r="AU199" s="34" t="n">
        <f aca="false">V_IRE*(AU$197-AU$198)</f>
        <v>0</v>
      </c>
      <c r="AV199" s="34" t="n">
        <f aca="false">V_IRE*(AV$197-AV$198)</f>
        <v>0</v>
      </c>
      <c r="AW199" s="34" t="n">
        <f aca="false">V_IRE*(AW$197-AW$198)</f>
        <v>0</v>
      </c>
      <c r="AX199" s="34" t="n">
        <f aca="false">V_IRE*(AX$197-AX$198)</f>
        <v>0</v>
      </c>
      <c r="AY199" s="34" t="n">
        <f aca="false">V_IRE*(AY$197-AY$198)</f>
        <v>0</v>
      </c>
      <c r="AZ199" s="34" t="n">
        <f aca="false">V_IRE*(AZ$197-AZ$198)</f>
        <v>0</v>
      </c>
      <c r="BA199" s="34" t="n">
        <f aca="false">V_IRE*(BA$197-BA$198)</f>
        <v>0</v>
      </c>
      <c r="BB199" s="34" t="n">
        <f aca="false">V_IRE*(BB$197-BB$198)</f>
        <v>0</v>
      </c>
      <c r="BC199" s="34" t="n">
        <f aca="false">V_IRE*(BC$197-BC$198)</f>
        <v>0</v>
      </c>
      <c r="BD199" s="34" t="n">
        <f aca="false">V_IRE*(BD$197-BD$198)</f>
        <v>0</v>
      </c>
      <c r="BE199" s="34" t="n">
        <f aca="false">V_IRE*(BE$197-BE$198)</f>
        <v>0</v>
      </c>
      <c r="BF199" s="34" t="n">
        <f aca="false">V_IRE*(BF$197-BF$198)</f>
        <v>0</v>
      </c>
      <c r="BG199" s="34" t="n">
        <f aca="false">V_IRE*(BG$197-BG$198)</f>
        <v>0</v>
      </c>
      <c r="BH199" s="34" t="n">
        <f aca="false">V_IRE*(BH$197-BH$198)</f>
        <v>0</v>
      </c>
      <c r="BI199" s="34" t="n">
        <f aca="false">V_IRE*(BI$197-BI$198)</f>
        <v>0</v>
      </c>
      <c r="BJ199" s="34" t="n">
        <f aca="false">V_IRE*(BJ$197-BJ$198)</f>
        <v>0</v>
      </c>
      <c r="BK199" s="34" t="n">
        <f aca="false">V_IRE*(BK$197-BK$198)</f>
        <v>0</v>
      </c>
      <c r="BL199" s="34" t="n">
        <f aca="false">V_IRE*(BL$197-BL$198)</f>
        <v>0</v>
      </c>
      <c r="BM199" s="34" t="n">
        <f aca="false">V_IRE*(BM$197-BM$198)</f>
        <v>0</v>
      </c>
      <c r="BN199" s="34" t="n">
        <f aca="false">V_IRE*(BN$197-BN$198)</f>
        <v>0</v>
      </c>
      <c r="BO199" s="34" t="n">
        <f aca="false">V_IRE*(BO$197-BO$198)</f>
        <v>0</v>
      </c>
      <c r="BP199" s="34" t="n">
        <f aca="false">V_IRE*(BP$197-BP$198)</f>
        <v>0</v>
      </c>
      <c r="BQ199" s="34" t="n">
        <f aca="false">V_IRE*(BQ$197-BQ$198)</f>
        <v>0</v>
      </c>
      <c r="BR199" s="34" t="n">
        <f aca="false">V_IRE*(BR$197-BR$198)</f>
        <v>0</v>
      </c>
      <c r="BS199" s="34" t="n">
        <f aca="false">V_IRE*(BS$197-BS$198)</f>
        <v>0</v>
      </c>
      <c r="BT199" s="34" t="n">
        <f aca="false">V_IRE*(BT$197-BT$198)</f>
        <v>0</v>
      </c>
      <c r="BU199" s="34" t="n">
        <f aca="false">V_IRE*(BU$197-BU$198)</f>
        <v>0</v>
      </c>
      <c r="BV199" s="34" t="n">
        <f aca="false">V_IRE*(BV$197-BV$198)</f>
        <v>0</v>
      </c>
      <c r="BW199" s="34" t="n">
        <f aca="false">V_IRE*(BW$197-BW$198)</f>
        <v>0</v>
      </c>
      <c r="BX199" s="34" t="n">
        <f aca="false">V_IRE*(BX$197-BX$198)</f>
        <v>0</v>
      </c>
      <c r="BY199" s="34" t="n">
        <f aca="false">V_IRE*(BY$197-BY$198)</f>
        <v>0</v>
      </c>
      <c r="BZ199" s="34" t="n">
        <f aca="false">V_IRE*(BZ$197-BZ$198)</f>
        <v>0</v>
      </c>
      <c r="CA199" s="34" t="n">
        <f aca="false">V_IRE*(CA$197-CA$198)</f>
        <v>0</v>
      </c>
      <c r="CB199" s="34" t="n">
        <f aca="false">V_IRE*(CB$197-CB$198)</f>
        <v>0</v>
      </c>
      <c r="CC199" s="34" t="n">
        <f aca="false">V_IRE*(CC$197-CC$198)</f>
        <v>0</v>
      </c>
      <c r="CD199" s="34" t="n">
        <f aca="false">V_IRE*(CD$197-CD$198)</f>
        <v>0</v>
      </c>
      <c r="CE199" s="34" t="n">
        <f aca="false">V_IRE*(CE$197-CE$198)</f>
        <v>0</v>
      </c>
      <c r="CF199" s="34" t="n">
        <f aca="false">V_IRE*(CF$197-CF$198)</f>
        <v>0</v>
      </c>
      <c r="CG199" s="34" t="n">
        <f aca="false">V_IRE*(CG$197-CG$198)</f>
        <v>0</v>
      </c>
      <c r="CH199" s="34" t="n">
        <f aca="false">V_IRE*(CH$197-CH$198)</f>
        <v>0</v>
      </c>
      <c r="CI199" s="34" t="n">
        <f aca="false">V_IRE*(CI$197-CI$198)</f>
        <v>0</v>
      </c>
      <c r="CJ199" s="34" t="n">
        <f aca="false">V_IRE*(CJ$197-CJ$198)</f>
        <v>0</v>
      </c>
      <c r="CK199" s="34" t="n">
        <f aca="false">V_IRE*(CK$197-CK$198)</f>
        <v>0</v>
      </c>
      <c r="CL199" s="34" t="n">
        <f aca="false">V_IRE*(CL$197-CL$198)</f>
        <v>0</v>
      </c>
      <c r="CM199" s="34" t="n">
        <f aca="false">V_IRE*(CM$197-CM$198)</f>
        <v>0</v>
      </c>
      <c r="CN199" s="34" t="n">
        <f aca="false">V_IRE*(CN$197-CN$198)</f>
        <v>0</v>
      </c>
      <c r="CO199" s="34" t="n">
        <f aca="false">V_IRE*(CO$197-CO$198)</f>
        <v>0</v>
      </c>
      <c r="CP199" s="34" t="n">
        <f aca="false">V_IRE*(CP$197-CP$198)</f>
        <v>0</v>
      </c>
      <c r="CQ199" s="34" t="n">
        <f aca="false">V_IRE*(CQ$197-CQ$198)</f>
        <v>0</v>
      </c>
      <c r="CR199" s="34" t="n">
        <f aca="false">V_IRE*(CR$197-CR$198)</f>
        <v>0</v>
      </c>
      <c r="CS199" s="34" t="n">
        <f aca="false">V_IRE*(CS$197-CS$198)</f>
        <v>0</v>
      </c>
      <c r="CT199" s="34" t="n">
        <f aca="false">V_IRE*(CT$197-CT$198)</f>
        <v>0</v>
      </c>
      <c r="CU199" s="34" t="n">
        <f aca="false">V_IRE*(CU$197-CU$198)</f>
        <v>0</v>
      </c>
      <c r="CV199" s="34" t="n">
        <f aca="false">V_IRE*(CV$197-CV$198)</f>
        <v>0</v>
      </c>
      <c r="CW199" s="34" t="n">
        <f aca="false">V_IRE*(CW$197-CW$198)</f>
        <v>0</v>
      </c>
      <c r="CX199" s="34" t="n">
        <f aca="false">V_IRE*(CX$197-CX$198)</f>
        <v>0</v>
      </c>
      <c r="CY199" s="34" t="n">
        <f aca="false">V_IRE*(CY$197-CY$198)</f>
        <v>0</v>
      </c>
      <c r="CZ199" s="34" t="n">
        <f aca="false">V_IRE*(CZ$197-CZ$198)</f>
        <v>0</v>
      </c>
      <c r="DA199" s="34" t="n">
        <f aca="false">V_IRE*(DA$197-DA$198)</f>
        <v>0</v>
      </c>
      <c r="DB199" s="34" t="n">
        <f aca="false">V_IRE*(DB$197-DB$198)</f>
        <v>0</v>
      </c>
      <c r="DC199" s="34" t="n">
        <f aca="false">V_IRE*(DC$197-DC$198)</f>
        <v>0</v>
      </c>
      <c r="DD199" s="34" t="n">
        <f aca="false">V_IRE*(DD$197-DD$198)</f>
        <v>0</v>
      </c>
      <c r="DE199" s="34" t="n">
        <f aca="false">V_IRE*(DE$197-DE$198)</f>
        <v>0</v>
      </c>
      <c r="DF199" s="34" t="n">
        <f aca="false">V_IRE*(DF$197-DF$198)</f>
        <v>0</v>
      </c>
      <c r="DG199" s="34" t="n">
        <f aca="false">V_IRE*(DG$197-DG$198)</f>
        <v>0</v>
      </c>
      <c r="DH199" s="34" t="n">
        <f aca="false">V_IRE*(DH$197-DH$198)</f>
        <v>0</v>
      </c>
      <c r="DI199" s="34" t="n">
        <f aca="false">V_IRE*(DI$197-DI$198)</f>
        <v>0</v>
      </c>
      <c r="DJ199" s="34" t="n">
        <f aca="false">V_IRE*(DJ$197-DJ$198)</f>
        <v>0</v>
      </c>
      <c r="DK199" s="34" t="n">
        <f aca="false">V_IRE*(DK$197-DK$198)</f>
        <v>0</v>
      </c>
      <c r="DL199" s="34" t="n">
        <f aca="false">V_IRE*(DL$197-DL$198)</f>
        <v>0</v>
      </c>
      <c r="DM199" s="34" t="n">
        <f aca="false">V_IRE*(DM$197-DM$198)</f>
        <v>0</v>
      </c>
      <c r="DN199" s="34" t="n">
        <f aca="false">V_IRE*(DN$197-DN$198)</f>
        <v>0</v>
      </c>
      <c r="DO199" s="34" t="n">
        <f aca="false">V_IRE*(DO$197-DO$198)</f>
        <v>0</v>
      </c>
      <c r="DP199" s="34" t="n">
        <f aca="false">V_IRE*(DP$197-DP$198)</f>
        <v>0</v>
      </c>
      <c r="DQ199" s="34" t="n">
        <f aca="false">V_IRE*(DQ$197-DQ$198)</f>
        <v>0</v>
      </c>
      <c r="DR199" s="34" t="n">
        <f aca="false">V_IRE*(DR$197-DR$198)</f>
        <v>0</v>
      </c>
      <c r="DS199" s="34" t="n">
        <f aca="false">V_IRE*(DS$197-DS$198)</f>
        <v>0</v>
      </c>
      <c r="DT199" s="34" t="n">
        <f aca="false">V_IRE*(DT$197-DT$198)</f>
        <v>0</v>
      </c>
      <c r="DU199" s="34" t="n">
        <f aca="false">V_IRE*(DU$197-DU$198)</f>
        <v>0</v>
      </c>
      <c r="DV199" s="34" t="n">
        <f aca="false">V_IRE*(DV$197-DV$198)</f>
        <v>0</v>
      </c>
      <c r="DW199" s="34" t="n">
        <f aca="false">V_IRE*(DW$197-DW$198)</f>
        <v>0</v>
      </c>
      <c r="DX199" s="34" t="n">
        <f aca="false">V_IRE*(DX$197-DX$198)</f>
        <v>0</v>
      </c>
      <c r="DY199" s="34" t="n">
        <f aca="false">V_IRE*(DY$197-DY$198)</f>
        <v>0</v>
      </c>
      <c r="DZ199" s="34" t="n">
        <f aca="false">V_IRE*(DZ$197-DZ$198)</f>
        <v>0</v>
      </c>
      <c r="EA199" s="34" t="n">
        <f aca="false">V_IRE*(EA$197-EA$198)</f>
        <v>0</v>
      </c>
      <c r="EB199" s="34" t="n">
        <f aca="false">V_IRE*(EB$197-EB$198)</f>
        <v>0</v>
      </c>
      <c r="EC199" s="34" t="n">
        <f aca="false">V_IRE*(EC$197-EC$198)</f>
        <v>0</v>
      </c>
      <c r="ED199" s="34" t="n">
        <f aca="false">V_IRE*(ED$197-ED$198)</f>
        <v>0</v>
      </c>
      <c r="EE199" s="34" t="n">
        <f aca="false">V_IRE*(EE$197-EE$198)</f>
        <v>0</v>
      </c>
      <c r="EF199" s="34" t="n">
        <f aca="false">V_IRE*(EF$197-EF$198)</f>
        <v>0</v>
      </c>
      <c r="EG199" s="34" t="n">
        <f aca="false">V_IRE*(EG$197-EG$198)</f>
        <v>0</v>
      </c>
      <c r="EH199" s="34" t="n">
        <f aca="false">V_IRE*(EH$197-EH$198)</f>
        <v>0</v>
      </c>
      <c r="EI199" s="34" t="n">
        <f aca="false">V_IRE*(EI$197-EI$198)</f>
        <v>0</v>
      </c>
      <c r="EJ199" s="34" t="n">
        <f aca="false">V_IRE*(EJ$197-EJ$198)</f>
        <v>0</v>
      </c>
      <c r="EK199" s="34" t="n">
        <f aca="false">V_IRE*(EK$197-EK$198)</f>
        <v>0</v>
      </c>
      <c r="EL199" s="34" t="n">
        <f aca="false">V_IRE*(EL$197-EL$198)</f>
        <v>0</v>
      </c>
      <c r="EM199" s="34" t="n">
        <f aca="false">V_IRE*(EM$197-EM$198)</f>
        <v>0</v>
      </c>
      <c r="EN199" s="34" t="n">
        <f aca="false">V_IRE*(EN$197-EN$198)</f>
        <v>0</v>
      </c>
      <c r="EO199" s="34" t="n">
        <f aca="false">V_IRE*(EO$197-EO$198)</f>
        <v>0</v>
      </c>
      <c r="EP199" s="34" t="n">
        <f aca="false">V_IRE*(EP$197-EP$198)</f>
        <v>0</v>
      </c>
      <c r="EQ199" s="34" t="n">
        <f aca="false">V_IRE*(EQ$197-EQ$198)</f>
        <v>0</v>
      </c>
      <c r="ER199" s="34" t="n">
        <f aca="false">V_IRE*(ER$197-ER$198)</f>
        <v>0</v>
      </c>
      <c r="ES199" s="34" t="n">
        <f aca="false">V_IRE*(ES$197-ES$198)</f>
        <v>0</v>
      </c>
    </row>
    <row r="200" customFormat="false" ht="15" hidden="false" customHeight="false" outlineLevel="0" collapsed="false">
      <c r="A200" s="2" t="s">
        <v>677</v>
      </c>
      <c r="B200" s="52" t="s">
        <v>525</v>
      </c>
      <c r="C200" s="6" t="s">
        <v>212</v>
      </c>
      <c r="E200" s="40" t="n">
        <f aca="false">SUM(F200:ES200)</f>
        <v>0</v>
      </c>
      <c r="F200" s="10" t="n">
        <f aca="false">F$197-F$198-F$199</f>
        <v>0</v>
      </c>
      <c r="G200" s="10" t="n">
        <f aca="false">G$197-G$198-G$199</f>
        <v>0</v>
      </c>
      <c r="H200" s="10" t="n">
        <f aca="false">H$197-H$198-H$199</f>
        <v>0</v>
      </c>
      <c r="I200" s="10" t="n">
        <f aca="false">I$197-I$198-I$199</f>
        <v>0</v>
      </c>
      <c r="J200" s="10" t="n">
        <f aca="false">J$197-J$198-J$199</f>
        <v>0</v>
      </c>
      <c r="K200" s="10" t="n">
        <f aca="false">K$197-K$198-K$199</f>
        <v>0</v>
      </c>
      <c r="L200" s="10" t="n">
        <f aca="false">L$197-L$198-L$199</f>
        <v>0</v>
      </c>
      <c r="M200" s="10" t="n">
        <f aca="false">M$197-M$198-M$199</f>
        <v>0</v>
      </c>
      <c r="N200" s="10" t="n">
        <f aca="false">N$197-N$198-N$199</f>
        <v>0</v>
      </c>
      <c r="O200" s="10" t="n">
        <f aca="false">O$197-O$198-O$199</f>
        <v>0</v>
      </c>
      <c r="P200" s="10" t="n">
        <f aca="false">P$197-P$198-P$199</f>
        <v>0</v>
      </c>
      <c r="Q200" s="10" t="n">
        <f aca="false">Q$197-Q$198-Q$199</f>
        <v>0</v>
      </c>
      <c r="R200" s="10" t="n">
        <f aca="false">R$197-R$198-R$199</f>
        <v>0</v>
      </c>
      <c r="S200" s="10" t="n">
        <f aca="false">S$197-S$198-S$199</f>
        <v>0</v>
      </c>
      <c r="T200" s="10" t="n">
        <f aca="false">T$197-T$198-T$199</f>
        <v>0</v>
      </c>
      <c r="U200" s="10" t="n">
        <f aca="false">U$197-U$198-U$199</f>
        <v>0</v>
      </c>
      <c r="V200" s="10" t="n">
        <f aca="false">V$197-V$198-V$199</f>
        <v>0</v>
      </c>
      <c r="W200" s="10" t="n">
        <f aca="false">W$197-W$198-W$199</f>
        <v>0</v>
      </c>
      <c r="X200" s="10" t="n">
        <f aca="false">X$197-X$198-X$199</f>
        <v>0</v>
      </c>
      <c r="Y200" s="10" t="n">
        <f aca="false">Y$197-Y$198-Y$199</f>
        <v>0</v>
      </c>
      <c r="Z200" s="10" t="n">
        <f aca="false">Z$197-Z$198-Z$199</f>
        <v>0</v>
      </c>
      <c r="AA200" s="10" t="n">
        <f aca="false">AA$197-AA$198-AA$199</f>
        <v>0</v>
      </c>
      <c r="AB200" s="10" t="n">
        <f aca="false">AB$197-AB$198-AB$199</f>
        <v>0</v>
      </c>
      <c r="AC200" s="10" t="n">
        <f aca="false">AC$197-AC$198-AC$199</f>
        <v>0</v>
      </c>
      <c r="AD200" s="10" t="n">
        <f aca="false">AD$197-AD$198-AD$199</f>
        <v>0</v>
      </c>
      <c r="AE200" s="10" t="n">
        <f aca="false">AE$197-AE$198-AE$199</f>
        <v>0</v>
      </c>
      <c r="AF200" s="10" t="n">
        <f aca="false">AF$197-AF$198-AF$199</f>
        <v>0</v>
      </c>
      <c r="AG200" s="10" t="n">
        <f aca="false">AG$197-AG$198-AG$199</f>
        <v>0</v>
      </c>
      <c r="AH200" s="10" t="n">
        <f aca="false">AH$197-AH$198-AH$199</f>
        <v>0</v>
      </c>
      <c r="AI200" s="10" t="n">
        <f aca="false">AI$197-AI$198-AI$199</f>
        <v>0</v>
      </c>
      <c r="AJ200" s="10" t="n">
        <f aca="false">AJ$197-AJ$198-AJ$199</f>
        <v>0</v>
      </c>
      <c r="AK200" s="10" t="n">
        <f aca="false">AK$197-AK$198-AK$199</f>
        <v>0</v>
      </c>
      <c r="AL200" s="10" t="n">
        <f aca="false">AL$197-AL$198-AL$199</f>
        <v>0</v>
      </c>
      <c r="AM200" s="10" t="n">
        <f aca="false">AM$197-AM$198-AM$199</f>
        <v>0</v>
      </c>
      <c r="AN200" s="10" t="n">
        <f aca="false">AN$197-AN$198-AN$199</f>
        <v>0</v>
      </c>
      <c r="AO200" s="10" t="n">
        <f aca="false">AO$197-AO$198-AO$199</f>
        <v>0</v>
      </c>
      <c r="AP200" s="10" t="n">
        <f aca="false">AP$197-AP$198-AP$199</f>
        <v>0</v>
      </c>
      <c r="AQ200" s="10" t="n">
        <f aca="false">AQ$197-AQ$198-AQ$199</f>
        <v>0</v>
      </c>
      <c r="AR200" s="10" t="n">
        <f aca="false">AR$197-AR$198-AR$199</f>
        <v>0</v>
      </c>
      <c r="AS200" s="10" t="n">
        <f aca="false">AS$197-AS$198-AS$199</f>
        <v>0</v>
      </c>
      <c r="AT200" s="10" t="n">
        <f aca="false">AT$197-AT$198-AT$199</f>
        <v>0</v>
      </c>
      <c r="AU200" s="10" t="n">
        <f aca="false">AU$197-AU$198-AU$199</f>
        <v>0</v>
      </c>
      <c r="AV200" s="10" t="n">
        <f aca="false">AV$197-AV$198-AV$199</f>
        <v>0</v>
      </c>
      <c r="AW200" s="10" t="n">
        <f aca="false">AW$197-AW$198-AW$199</f>
        <v>0</v>
      </c>
      <c r="AX200" s="10" t="n">
        <f aca="false">AX$197-AX$198-AX$199</f>
        <v>0</v>
      </c>
      <c r="AY200" s="10" t="n">
        <f aca="false">AY$197-AY$198-AY$199</f>
        <v>0</v>
      </c>
      <c r="AZ200" s="10" t="n">
        <f aca="false">AZ$197-AZ$198-AZ$199</f>
        <v>0</v>
      </c>
      <c r="BA200" s="10" t="n">
        <f aca="false">BA$197-BA$198-BA$199</f>
        <v>0</v>
      </c>
      <c r="BB200" s="10" t="n">
        <f aca="false">BB$197-BB$198-BB$199</f>
        <v>0</v>
      </c>
      <c r="BC200" s="10" t="n">
        <f aca="false">BC$197-BC$198-BC$199</f>
        <v>0</v>
      </c>
      <c r="BD200" s="10" t="n">
        <f aca="false">BD$197-BD$198-BD$199</f>
        <v>0</v>
      </c>
      <c r="BE200" s="10" t="n">
        <f aca="false">BE$197-BE$198-BE$199</f>
        <v>0</v>
      </c>
      <c r="BF200" s="10" t="n">
        <f aca="false">BF$197-BF$198-BF$199</f>
        <v>0</v>
      </c>
      <c r="BG200" s="10" t="n">
        <f aca="false">BG$197-BG$198-BG$199</f>
        <v>0</v>
      </c>
      <c r="BH200" s="10" t="n">
        <f aca="false">BH$197-BH$198-BH$199</f>
        <v>0</v>
      </c>
      <c r="BI200" s="10" t="n">
        <f aca="false">BI$197-BI$198-BI$199</f>
        <v>0</v>
      </c>
      <c r="BJ200" s="10" t="n">
        <f aca="false">BJ$197-BJ$198-BJ$199</f>
        <v>0</v>
      </c>
      <c r="BK200" s="10" t="n">
        <f aca="false">BK$197-BK$198-BK$199</f>
        <v>0</v>
      </c>
      <c r="BL200" s="10" t="n">
        <f aca="false">BL$197-BL$198-BL$199</f>
        <v>0</v>
      </c>
      <c r="BM200" s="10" t="n">
        <f aca="false">BM$197-BM$198-BM$199</f>
        <v>0</v>
      </c>
      <c r="BN200" s="10" t="n">
        <f aca="false">BN$197-BN$198-BN$199</f>
        <v>0</v>
      </c>
      <c r="BO200" s="10" t="n">
        <f aca="false">BO$197-BO$198-BO$199</f>
        <v>0</v>
      </c>
      <c r="BP200" s="10" t="n">
        <f aca="false">BP$197-BP$198-BP$199</f>
        <v>0</v>
      </c>
      <c r="BQ200" s="10" t="n">
        <f aca="false">BQ$197-BQ$198-BQ$199</f>
        <v>0</v>
      </c>
      <c r="BR200" s="10" t="n">
        <f aca="false">BR$197-BR$198-BR$199</f>
        <v>0</v>
      </c>
      <c r="BS200" s="10" t="n">
        <f aca="false">BS$197-BS$198-BS$199</f>
        <v>0</v>
      </c>
      <c r="BT200" s="10" t="n">
        <f aca="false">BT$197-BT$198-BT$199</f>
        <v>0</v>
      </c>
      <c r="BU200" s="10" t="n">
        <f aca="false">BU$197-BU$198-BU$199</f>
        <v>0</v>
      </c>
      <c r="BV200" s="10" t="n">
        <f aca="false">BV$197-BV$198-BV$199</f>
        <v>0</v>
      </c>
      <c r="BW200" s="10" t="n">
        <f aca="false">BW$197-BW$198-BW$199</f>
        <v>0</v>
      </c>
      <c r="BX200" s="10" t="n">
        <f aca="false">BX$197-BX$198-BX$199</f>
        <v>0</v>
      </c>
      <c r="BY200" s="10" t="n">
        <f aca="false">BY$197-BY$198-BY$199</f>
        <v>0</v>
      </c>
      <c r="BZ200" s="10" t="n">
        <f aca="false">BZ$197-BZ$198-BZ$199</f>
        <v>0</v>
      </c>
      <c r="CA200" s="10" t="n">
        <f aca="false">CA$197-CA$198-CA$199</f>
        <v>0</v>
      </c>
      <c r="CB200" s="10" t="n">
        <f aca="false">CB$197-CB$198-CB$199</f>
        <v>0</v>
      </c>
      <c r="CC200" s="10" t="n">
        <f aca="false">CC$197-CC$198-CC$199</f>
        <v>0</v>
      </c>
      <c r="CD200" s="10" t="n">
        <f aca="false">CD$197-CD$198-CD$199</f>
        <v>0</v>
      </c>
      <c r="CE200" s="10" t="n">
        <f aca="false">CE$197-CE$198-CE$199</f>
        <v>0</v>
      </c>
      <c r="CF200" s="10" t="n">
        <f aca="false">CF$197-CF$198-CF$199</f>
        <v>0</v>
      </c>
      <c r="CG200" s="10" t="n">
        <f aca="false">CG$197-CG$198-CG$199</f>
        <v>0</v>
      </c>
      <c r="CH200" s="10" t="n">
        <f aca="false">CH$197-CH$198-CH$199</f>
        <v>0</v>
      </c>
      <c r="CI200" s="10" t="n">
        <f aca="false">CI$197-CI$198-CI$199</f>
        <v>0</v>
      </c>
      <c r="CJ200" s="10" t="n">
        <f aca="false">CJ$197-CJ$198-CJ$199</f>
        <v>0</v>
      </c>
      <c r="CK200" s="10" t="n">
        <f aca="false">CK$197-CK$198-CK$199</f>
        <v>0</v>
      </c>
      <c r="CL200" s="10" t="n">
        <f aca="false">CL$197-CL$198-CL$199</f>
        <v>0</v>
      </c>
      <c r="CM200" s="10" t="n">
        <f aca="false">CM$197-CM$198-CM$199</f>
        <v>0</v>
      </c>
      <c r="CN200" s="10" t="n">
        <f aca="false">CN$197-CN$198-CN$199</f>
        <v>0</v>
      </c>
      <c r="CO200" s="10" t="n">
        <f aca="false">CO$197-CO$198-CO$199</f>
        <v>0</v>
      </c>
      <c r="CP200" s="10" t="n">
        <f aca="false">CP$197-CP$198-CP$199</f>
        <v>0</v>
      </c>
      <c r="CQ200" s="10" t="n">
        <f aca="false">CQ$197-CQ$198-CQ$199</f>
        <v>0</v>
      </c>
      <c r="CR200" s="10" t="n">
        <f aca="false">CR$197-CR$198-CR$199</f>
        <v>0</v>
      </c>
      <c r="CS200" s="10" t="n">
        <f aca="false">CS$197-CS$198-CS$199</f>
        <v>0</v>
      </c>
      <c r="CT200" s="10" t="n">
        <f aca="false">CT$197-CT$198-CT$199</f>
        <v>0</v>
      </c>
      <c r="CU200" s="10" t="n">
        <f aca="false">CU$197-CU$198-CU$199</f>
        <v>0</v>
      </c>
      <c r="CV200" s="10" t="n">
        <f aca="false">CV$197-CV$198-CV$199</f>
        <v>0</v>
      </c>
      <c r="CW200" s="10" t="n">
        <f aca="false">CW$197-CW$198-CW$199</f>
        <v>0</v>
      </c>
      <c r="CX200" s="10" t="n">
        <f aca="false">CX$197-CX$198-CX$199</f>
        <v>0</v>
      </c>
      <c r="CY200" s="10" t="n">
        <f aca="false">CY$197-CY$198-CY$199</f>
        <v>0</v>
      </c>
      <c r="CZ200" s="10" t="n">
        <f aca="false">CZ$197-CZ$198-CZ$199</f>
        <v>0</v>
      </c>
      <c r="DA200" s="10" t="n">
        <f aca="false">DA$197-DA$198-DA$199</f>
        <v>0</v>
      </c>
      <c r="DB200" s="10" t="n">
        <f aca="false">DB$197-DB$198-DB$199</f>
        <v>0</v>
      </c>
      <c r="DC200" s="10" t="n">
        <f aca="false">DC$197-DC$198-DC$199</f>
        <v>0</v>
      </c>
      <c r="DD200" s="10" t="n">
        <f aca="false">DD$197-DD$198-DD$199</f>
        <v>0</v>
      </c>
      <c r="DE200" s="10" t="n">
        <f aca="false">DE$197-DE$198-DE$199</f>
        <v>0</v>
      </c>
      <c r="DF200" s="10" t="n">
        <f aca="false">DF$197-DF$198-DF$199</f>
        <v>0</v>
      </c>
      <c r="DG200" s="10" t="n">
        <f aca="false">DG$197-DG$198-DG$199</f>
        <v>0</v>
      </c>
      <c r="DH200" s="10" t="n">
        <f aca="false">DH$197-DH$198-DH$199</f>
        <v>0</v>
      </c>
      <c r="DI200" s="10" t="n">
        <f aca="false">DI$197-DI$198-DI$199</f>
        <v>0</v>
      </c>
      <c r="DJ200" s="10" t="n">
        <f aca="false">DJ$197-DJ$198-DJ$199</f>
        <v>0</v>
      </c>
      <c r="DK200" s="10" t="n">
        <f aca="false">DK$197-DK$198-DK$199</f>
        <v>0</v>
      </c>
      <c r="DL200" s="10" t="n">
        <f aca="false">DL$197-DL$198-DL$199</f>
        <v>0</v>
      </c>
      <c r="DM200" s="10" t="n">
        <f aca="false">DM$197-DM$198-DM$199</f>
        <v>0</v>
      </c>
      <c r="DN200" s="10" t="n">
        <f aca="false">DN$197-DN$198-DN$199</f>
        <v>0</v>
      </c>
      <c r="DO200" s="10" t="n">
        <f aca="false">DO$197-DO$198-DO$199</f>
        <v>0</v>
      </c>
      <c r="DP200" s="10" t="n">
        <f aca="false">DP$197-DP$198-DP$199</f>
        <v>0</v>
      </c>
      <c r="DQ200" s="10" t="n">
        <f aca="false">DQ$197-DQ$198-DQ$199</f>
        <v>0</v>
      </c>
      <c r="DR200" s="10" t="n">
        <f aca="false">DR$197-DR$198-DR$199</f>
        <v>0</v>
      </c>
      <c r="DS200" s="10" t="n">
        <f aca="false">DS$197-DS$198-DS$199</f>
        <v>0</v>
      </c>
      <c r="DT200" s="10" t="n">
        <f aca="false">DT$197-DT$198-DT$199</f>
        <v>0</v>
      </c>
      <c r="DU200" s="10" t="n">
        <f aca="false">DU$197-DU$198-DU$199</f>
        <v>0</v>
      </c>
      <c r="DV200" s="10" t="n">
        <f aca="false">DV$197-DV$198-DV$199</f>
        <v>0</v>
      </c>
      <c r="DW200" s="10" t="n">
        <f aca="false">DW$197-DW$198-DW$199</f>
        <v>0</v>
      </c>
      <c r="DX200" s="10" t="n">
        <f aca="false">DX$197-DX$198-DX$199</f>
        <v>0</v>
      </c>
      <c r="DY200" s="10" t="n">
        <f aca="false">DY$197-DY$198-DY$199</f>
        <v>0</v>
      </c>
      <c r="DZ200" s="10" t="n">
        <f aca="false">DZ$197-DZ$198-DZ$199</f>
        <v>0</v>
      </c>
      <c r="EA200" s="10" t="n">
        <f aca="false">EA$197-EA$198-EA$199</f>
        <v>0</v>
      </c>
      <c r="EB200" s="10" t="n">
        <f aca="false">EB$197-EB$198-EB$199</f>
        <v>0</v>
      </c>
      <c r="EC200" s="10" t="n">
        <f aca="false">EC$197-EC$198-EC$199</f>
        <v>0</v>
      </c>
      <c r="ED200" s="10" t="n">
        <f aca="false">ED$197-ED$198-ED$199</f>
        <v>0</v>
      </c>
      <c r="EE200" s="10" t="n">
        <f aca="false">EE$197-EE$198-EE$199</f>
        <v>0</v>
      </c>
      <c r="EF200" s="10" t="n">
        <f aca="false">EF$197-EF$198-EF$199</f>
        <v>0</v>
      </c>
      <c r="EG200" s="10" t="n">
        <f aca="false">EG$197-EG$198-EG$199</f>
        <v>0</v>
      </c>
      <c r="EH200" s="10" t="n">
        <f aca="false">EH$197-EH$198-EH$199</f>
        <v>0</v>
      </c>
      <c r="EI200" s="10" t="n">
        <f aca="false">EI$197-EI$198-EI$199</f>
        <v>0</v>
      </c>
      <c r="EJ200" s="10" t="n">
        <f aca="false">EJ$197-EJ$198-EJ$199</f>
        <v>0</v>
      </c>
      <c r="EK200" s="10" t="n">
        <f aca="false">EK$197-EK$198-EK$199</f>
        <v>0</v>
      </c>
      <c r="EL200" s="10" t="n">
        <f aca="false">EL$197-EL$198-EL$199</f>
        <v>0</v>
      </c>
      <c r="EM200" s="10" t="n">
        <f aca="false">EM$197-EM$198-EM$199</f>
        <v>0</v>
      </c>
      <c r="EN200" s="10" t="n">
        <f aca="false">EN$197-EN$198-EN$199</f>
        <v>0</v>
      </c>
      <c r="EO200" s="10" t="n">
        <f aca="false">EO$197-EO$198-EO$199</f>
        <v>0</v>
      </c>
      <c r="EP200" s="10" t="n">
        <f aca="false">EP$197-EP$198-EP$199</f>
        <v>0</v>
      </c>
      <c r="EQ200" s="10" t="n">
        <f aca="false">EQ$197-EQ$198-EQ$199</f>
        <v>0</v>
      </c>
      <c r="ER200" s="10" t="n">
        <f aca="false">ER$197-ER$198-ER$199</f>
        <v>0</v>
      </c>
      <c r="ES200" s="10" t="n">
        <f aca="false">ES$197-ES$198-ES$199</f>
        <v>0</v>
      </c>
    </row>
    <row r="201" customFormat="false" ht="15" hidden="false" customHeight="false" outlineLevel="0" collapsed="false">
      <c r="A201" s="4"/>
      <c r="B201" s="3" t="s">
        <v>526</v>
      </c>
      <c r="C201" s="4"/>
      <c r="D201" s="4"/>
      <c r="E201" s="4"/>
    </row>
    <row r="202" customFormat="false" ht="15" hidden="false" customHeight="false" outlineLevel="0" collapsed="false">
      <c r="A202" s="2" t="s">
        <v>678</v>
      </c>
      <c r="B202" s="6" t="s">
        <v>528</v>
      </c>
      <c r="C202" s="6" t="s">
        <v>212</v>
      </c>
      <c r="E202" s="40" t="n">
        <f aca="false">INDEX(F202:ES202,1,MIN(144,Fin))</f>
        <v>0</v>
      </c>
      <c r="F202" s="34" t="n">
        <f aca="false">IF(1&gt;Fin,0,IF(AND(F$8=1,ISNUMBER(Reales!F54)),IF(Reales!$C$54="PYG",IF(F$10&gt;0,N(Reales!F54)/F$10,0),N(Reales!F54)),F$164*IF(F$8=1,N(vg_DSO),V_DSO)/DiasMes))</f>
        <v>0</v>
      </c>
      <c r="G202" s="34" t="n">
        <f aca="false">IF(2&gt;Fin,F$202,IF(AND(G$8=1,ISNUMBER(Reales!G54)),IF(Reales!$C$54="PYG",IF(G$10&gt;0,N(Reales!G54)/G$10,0),N(Reales!G54)),G$164*IF(G$8=1,N(vg_DSO),V_DSO)/DiasMes))</f>
        <v>0</v>
      </c>
      <c r="H202" s="34" t="n">
        <f aca="false">IF(3&gt;Fin,G$202,IF(AND(H$8=1,ISNUMBER(Reales!H54)),IF(Reales!$C$54="PYG",IF(H$10&gt;0,N(Reales!H54)/H$10,0),N(Reales!H54)),H$164*IF(H$8=1,N(vg_DSO),V_DSO)/DiasMes))</f>
        <v>0</v>
      </c>
      <c r="I202" s="34" t="n">
        <f aca="false">IF(4&gt;Fin,H$202,IF(AND(I$8=1,ISNUMBER(Reales!I54)),IF(Reales!$C$54="PYG",IF(I$10&gt;0,N(Reales!I54)/I$10,0),N(Reales!I54)),I$164*IF(I$8=1,N(vg_DSO),V_DSO)/DiasMes))</f>
        <v>0</v>
      </c>
      <c r="J202" s="34" t="n">
        <f aca="false">IF(5&gt;Fin,I$202,IF(AND(J$8=1,ISNUMBER(Reales!J54)),IF(Reales!$C$54="PYG",IF(J$10&gt;0,N(Reales!J54)/J$10,0),N(Reales!J54)),J$164*IF(J$8=1,N(vg_DSO),V_DSO)/DiasMes))</f>
        <v>0</v>
      </c>
      <c r="K202" s="34" t="n">
        <f aca="false">IF(6&gt;Fin,J$202,IF(AND(K$8=1,ISNUMBER(Reales!K54)),IF(Reales!$C$54="PYG",IF(K$10&gt;0,N(Reales!K54)/K$10,0),N(Reales!K54)),K$164*IF(K$8=1,N(vg_DSO),V_DSO)/DiasMes))</f>
        <v>0</v>
      </c>
      <c r="L202" s="34" t="n">
        <f aca="false">IF(7&gt;Fin,K$202,IF(AND(L$8=1,ISNUMBER(Reales!L54)),IF(Reales!$C$54="PYG",IF(L$10&gt;0,N(Reales!L54)/L$10,0),N(Reales!L54)),L$164*IF(L$8=1,N(vg_DSO),V_DSO)/DiasMes))</f>
        <v>0</v>
      </c>
      <c r="M202" s="34" t="n">
        <f aca="false">IF(8&gt;Fin,L$202,IF(AND(M$8=1,ISNUMBER(Reales!M54)),IF(Reales!$C$54="PYG",IF(M$10&gt;0,N(Reales!M54)/M$10,0),N(Reales!M54)),M$164*IF(M$8=1,N(vg_DSO),V_DSO)/DiasMes))</f>
        <v>0</v>
      </c>
      <c r="N202" s="34" t="n">
        <f aca="false">IF(9&gt;Fin,M$202,IF(AND(N$8=1,ISNUMBER(Reales!N54)),IF(Reales!$C$54="PYG",IF(N$10&gt;0,N(Reales!N54)/N$10,0),N(Reales!N54)),N$164*IF(N$8=1,N(vg_DSO),V_DSO)/DiasMes))</f>
        <v>0</v>
      </c>
      <c r="O202" s="34" t="n">
        <f aca="false">IF(10&gt;Fin,N$202,IF(AND(O$8=1,ISNUMBER(Reales!O54)),IF(Reales!$C$54="PYG",IF(O$10&gt;0,N(Reales!O54)/O$10,0),N(Reales!O54)),O$164*IF(O$8=1,N(vg_DSO),V_DSO)/DiasMes))</f>
        <v>0</v>
      </c>
      <c r="P202" s="34" t="n">
        <f aca="false">IF(11&gt;Fin,O$202,IF(AND(P$8=1,ISNUMBER(Reales!P54)),IF(Reales!$C$54="PYG",IF(P$10&gt;0,N(Reales!P54)/P$10,0),N(Reales!P54)),P$164*IF(P$8=1,N(vg_DSO),V_DSO)/DiasMes))</f>
        <v>0</v>
      </c>
      <c r="Q202" s="34" t="n">
        <f aca="false">IF(12&gt;Fin,P$202,IF(AND(Q$8=1,ISNUMBER(Reales!Q54)),IF(Reales!$C$54="PYG",IF(Q$10&gt;0,N(Reales!Q54)/Q$10,0),N(Reales!Q54)),Q$164*IF(Q$8=1,N(vg_DSO),V_DSO)/DiasMes))</f>
        <v>0</v>
      </c>
      <c r="R202" s="34" t="n">
        <f aca="false">IF(13&gt;Fin,Q$202,IF(AND(R$8=1,ISNUMBER(Reales!R54)),IF(Reales!$C$54="PYG",IF(R$10&gt;0,N(Reales!R54)/R$10,0),N(Reales!R54)),R$164*IF(R$8=1,N(vg_DSO),V_DSO)/DiasMes))</f>
        <v>0</v>
      </c>
      <c r="S202" s="34" t="n">
        <f aca="false">IF(14&gt;Fin,R$202,IF(AND(S$8=1,ISNUMBER(Reales!S54)),IF(Reales!$C$54="PYG",IF(S$10&gt;0,N(Reales!S54)/S$10,0),N(Reales!S54)),S$164*IF(S$8=1,N(vg_DSO),V_DSO)/DiasMes))</f>
        <v>0</v>
      </c>
      <c r="T202" s="34" t="n">
        <f aca="false">IF(15&gt;Fin,S$202,IF(AND(T$8=1,ISNUMBER(Reales!T54)),IF(Reales!$C$54="PYG",IF(T$10&gt;0,N(Reales!T54)/T$10,0),N(Reales!T54)),T$164*IF(T$8=1,N(vg_DSO),V_DSO)/DiasMes))</f>
        <v>0</v>
      </c>
      <c r="U202" s="34" t="n">
        <f aca="false">IF(16&gt;Fin,T$202,IF(AND(U$8=1,ISNUMBER(Reales!U54)),IF(Reales!$C$54="PYG",IF(U$10&gt;0,N(Reales!U54)/U$10,0),N(Reales!U54)),U$164*IF(U$8=1,N(vg_DSO),V_DSO)/DiasMes))</f>
        <v>0</v>
      </c>
      <c r="V202" s="34" t="n">
        <f aca="false">IF(17&gt;Fin,U$202,IF(AND(V$8=1,ISNUMBER(Reales!V54)),IF(Reales!$C$54="PYG",IF(V$10&gt;0,N(Reales!V54)/V$10,0),N(Reales!V54)),V$164*IF(V$8=1,N(vg_DSO),V_DSO)/DiasMes))</f>
        <v>0</v>
      </c>
      <c r="W202" s="34" t="n">
        <f aca="false">IF(18&gt;Fin,V$202,IF(AND(W$8=1,ISNUMBER(Reales!W54)),IF(Reales!$C$54="PYG",IF(W$10&gt;0,N(Reales!W54)/W$10,0),N(Reales!W54)),W$164*IF(W$8=1,N(vg_DSO),V_DSO)/DiasMes))</f>
        <v>0</v>
      </c>
      <c r="X202" s="34" t="n">
        <f aca="false">IF(19&gt;Fin,W$202,IF(AND(X$8=1,ISNUMBER(Reales!X54)),IF(Reales!$C$54="PYG",IF(X$10&gt;0,N(Reales!X54)/X$10,0),N(Reales!X54)),X$164*IF(X$8=1,N(vg_DSO),V_DSO)/DiasMes))</f>
        <v>0</v>
      </c>
      <c r="Y202" s="34" t="n">
        <f aca="false">IF(20&gt;Fin,X$202,IF(AND(Y$8=1,ISNUMBER(Reales!Y54)),IF(Reales!$C$54="PYG",IF(Y$10&gt;0,N(Reales!Y54)/Y$10,0),N(Reales!Y54)),Y$164*IF(Y$8=1,N(vg_DSO),V_DSO)/DiasMes))</f>
        <v>0</v>
      </c>
      <c r="Z202" s="34" t="n">
        <f aca="false">IF(21&gt;Fin,Y$202,IF(AND(Z$8=1,ISNUMBER(Reales!Z54)),IF(Reales!$C$54="PYG",IF(Z$10&gt;0,N(Reales!Z54)/Z$10,0),N(Reales!Z54)),Z$164*IF(Z$8=1,N(vg_DSO),V_DSO)/DiasMes))</f>
        <v>0</v>
      </c>
      <c r="AA202" s="34" t="n">
        <f aca="false">IF(22&gt;Fin,Z$202,IF(AND(AA$8=1,ISNUMBER(Reales!AA54)),IF(Reales!$C$54="PYG",IF(AA$10&gt;0,N(Reales!AA54)/AA$10,0),N(Reales!AA54)),AA$164*IF(AA$8=1,N(vg_DSO),V_DSO)/DiasMes))</f>
        <v>0</v>
      </c>
      <c r="AB202" s="34" t="n">
        <f aca="false">IF(23&gt;Fin,AA$202,IF(AND(AB$8=1,ISNUMBER(Reales!AB54)),IF(Reales!$C$54="PYG",IF(AB$10&gt;0,N(Reales!AB54)/AB$10,0),N(Reales!AB54)),AB$164*IF(AB$8=1,N(vg_DSO),V_DSO)/DiasMes))</f>
        <v>0</v>
      </c>
      <c r="AC202" s="34" t="n">
        <f aca="false">IF(24&gt;Fin,AB$202,IF(AND(AC$8=1,ISNUMBER(Reales!AC54)),IF(Reales!$C$54="PYG",IF(AC$10&gt;0,N(Reales!AC54)/AC$10,0),N(Reales!AC54)),AC$164*IF(AC$8=1,N(vg_DSO),V_DSO)/DiasMes))</f>
        <v>0</v>
      </c>
      <c r="AD202" s="34" t="n">
        <f aca="false">IF(25&gt;Fin,AC$202,IF(AND(AD$8=1,ISNUMBER(Reales!AD54)),IF(Reales!$C$54="PYG",IF(AD$10&gt;0,N(Reales!AD54)/AD$10,0),N(Reales!AD54)),AD$164*IF(AD$8=1,N(vg_DSO),V_DSO)/DiasMes))</f>
        <v>0</v>
      </c>
      <c r="AE202" s="34" t="n">
        <f aca="false">IF(26&gt;Fin,AD$202,IF(AND(AE$8=1,ISNUMBER(Reales!AE54)),IF(Reales!$C$54="PYG",IF(AE$10&gt;0,N(Reales!AE54)/AE$10,0),N(Reales!AE54)),AE$164*IF(AE$8=1,N(vg_DSO),V_DSO)/DiasMes))</f>
        <v>0</v>
      </c>
      <c r="AF202" s="34" t="n">
        <f aca="false">IF(27&gt;Fin,AE$202,IF(AND(AF$8=1,ISNUMBER(Reales!AF54)),IF(Reales!$C$54="PYG",IF(AF$10&gt;0,N(Reales!AF54)/AF$10,0),N(Reales!AF54)),AF$164*IF(AF$8=1,N(vg_DSO),V_DSO)/DiasMes))</f>
        <v>0</v>
      </c>
      <c r="AG202" s="34" t="n">
        <f aca="false">IF(28&gt;Fin,AF$202,IF(AND(AG$8=1,ISNUMBER(Reales!AG54)),IF(Reales!$C$54="PYG",IF(AG$10&gt;0,N(Reales!AG54)/AG$10,0),N(Reales!AG54)),AG$164*IF(AG$8=1,N(vg_DSO),V_DSO)/DiasMes))</f>
        <v>0</v>
      </c>
      <c r="AH202" s="34" t="n">
        <f aca="false">IF(29&gt;Fin,AG$202,IF(AND(AH$8=1,ISNUMBER(Reales!AH54)),IF(Reales!$C$54="PYG",IF(AH$10&gt;0,N(Reales!AH54)/AH$10,0),N(Reales!AH54)),AH$164*IF(AH$8=1,N(vg_DSO),V_DSO)/DiasMes))</f>
        <v>0</v>
      </c>
      <c r="AI202" s="34" t="n">
        <f aca="false">IF(30&gt;Fin,AH$202,IF(AND(AI$8=1,ISNUMBER(Reales!AI54)),IF(Reales!$C$54="PYG",IF(AI$10&gt;0,N(Reales!AI54)/AI$10,0),N(Reales!AI54)),AI$164*IF(AI$8=1,N(vg_DSO),V_DSO)/DiasMes))</f>
        <v>0</v>
      </c>
      <c r="AJ202" s="34" t="n">
        <f aca="false">IF(31&gt;Fin,AI$202,IF(AND(AJ$8=1,ISNUMBER(Reales!AJ54)),IF(Reales!$C$54="PYG",IF(AJ$10&gt;0,N(Reales!AJ54)/AJ$10,0),N(Reales!AJ54)),AJ$164*IF(AJ$8=1,N(vg_DSO),V_DSO)/DiasMes))</f>
        <v>0</v>
      </c>
      <c r="AK202" s="34" t="n">
        <f aca="false">IF(32&gt;Fin,AJ$202,IF(AND(AK$8=1,ISNUMBER(Reales!AK54)),IF(Reales!$C$54="PYG",IF(AK$10&gt;0,N(Reales!AK54)/AK$10,0),N(Reales!AK54)),AK$164*IF(AK$8=1,N(vg_DSO),V_DSO)/DiasMes))</f>
        <v>0</v>
      </c>
      <c r="AL202" s="34" t="n">
        <f aca="false">IF(33&gt;Fin,AK$202,IF(AND(AL$8=1,ISNUMBER(Reales!AL54)),IF(Reales!$C$54="PYG",IF(AL$10&gt;0,N(Reales!AL54)/AL$10,0),N(Reales!AL54)),AL$164*IF(AL$8=1,N(vg_DSO),V_DSO)/DiasMes))</f>
        <v>0</v>
      </c>
      <c r="AM202" s="34" t="n">
        <f aca="false">IF(34&gt;Fin,AL$202,IF(AND(AM$8=1,ISNUMBER(Reales!AM54)),IF(Reales!$C$54="PYG",IF(AM$10&gt;0,N(Reales!AM54)/AM$10,0),N(Reales!AM54)),AM$164*IF(AM$8=1,N(vg_DSO),V_DSO)/DiasMes))</f>
        <v>0</v>
      </c>
      <c r="AN202" s="34" t="n">
        <f aca="false">IF(35&gt;Fin,AM$202,IF(AND(AN$8=1,ISNUMBER(Reales!AN54)),IF(Reales!$C$54="PYG",IF(AN$10&gt;0,N(Reales!AN54)/AN$10,0),N(Reales!AN54)),AN$164*IF(AN$8=1,N(vg_DSO),V_DSO)/DiasMes))</f>
        <v>0</v>
      </c>
      <c r="AO202" s="34" t="n">
        <f aca="false">IF(36&gt;Fin,AN$202,IF(AND(AO$8=1,ISNUMBER(Reales!AO54)),IF(Reales!$C$54="PYG",IF(AO$10&gt;0,N(Reales!AO54)/AO$10,0),N(Reales!AO54)),AO$164*IF(AO$8=1,N(vg_DSO),V_DSO)/DiasMes))</f>
        <v>0</v>
      </c>
      <c r="AP202" s="34" t="n">
        <f aca="false">IF(37&gt;Fin,AO$202,IF(AND(AP$8=1,ISNUMBER(Reales!AP54)),IF(Reales!$C$54="PYG",IF(AP$10&gt;0,N(Reales!AP54)/AP$10,0),N(Reales!AP54)),AP$164*IF(AP$8=1,N(vg_DSO),V_DSO)/DiasMes))</f>
        <v>0</v>
      </c>
      <c r="AQ202" s="34" t="n">
        <f aca="false">IF(38&gt;Fin,AP$202,IF(AND(AQ$8=1,ISNUMBER(Reales!AQ54)),IF(Reales!$C$54="PYG",IF(AQ$10&gt;0,N(Reales!AQ54)/AQ$10,0),N(Reales!AQ54)),AQ$164*IF(AQ$8=1,N(vg_DSO),V_DSO)/DiasMes))</f>
        <v>0</v>
      </c>
      <c r="AR202" s="34" t="n">
        <f aca="false">IF(39&gt;Fin,AQ$202,IF(AND(AR$8=1,ISNUMBER(Reales!AR54)),IF(Reales!$C$54="PYG",IF(AR$10&gt;0,N(Reales!AR54)/AR$10,0),N(Reales!AR54)),AR$164*IF(AR$8=1,N(vg_DSO),V_DSO)/DiasMes))</f>
        <v>0</v>
      </c>
      <c r="AS202" s="34" t="n">
        <f aca="false">IF(40&gt;Fin,AR$202,IF(AND(AS$8=1,ISNUMBER(Reales!AS54)),IF(Reales!$C$54="PYG",IF(AS$10&gt;0,N(Reales!AS54)/AS$10,0),N(Reales!AS54)),AS$164*IF(AS$8=1,N(vg_DSO),V_DSO)/DiasMes))</f>
        <v>0</v>
      </c>
      <c r="AT202" s="34" t="n">
        <f aca="false">IF(41&gt;Fin,AS$202,IF(AND(AT$8=1,ISNUMBER(Reales!AT54)),IF(Reales!$C$54="PYG",IF(AT$10&gt;0,N(Reales!AT54)/AT$10,0),N(Reales!AT54)),AT$164*IF(AT$8=1,N(vg_DSO),V_DSO)/DiasMes))</f>
        <v>0</v>
      </c>
      <c r="AU202" s="34" t="n">
        <f aca="false">IF(42&gt;Fin,AT$202,IF(AND(AU$8=1,ISNUMBER(Reales!AU54)),IF(Reales!$C$54="PYG",IF(AU$10&gt;0,N(Reales!AU54)/AU$10,0),N(Reales!AU54)),AU$164*IF(AU$8=1,N(vg_DSO),V_DSO)/DiasMes))</f>
        <v>0</v>
      </c>
      <c r="AV202" s="34" t="n">
        <f aca="false">IF(43&gt;Fin,AU$202,IF(AND(AV$8=1,ISNUMBER(Reales!AV54)),IF(Reales!$C$54="PYG",IF(AV$10&gt;0,N(Reales!AV54)/AV$10,0),N(Reales!AV54)),AV$164*IF(AV$8=1,N(vg_DSO),V_DSO)/DiasMes))</f>
        <v>0</v>
      </c>
      <c r="AW202" s="34" t="n">
        <f aca="false">IF(44&gt;Fin,AV$202,IF(AND(AW$8=1,ISNUMBER(Reales!AW54)),IF(Reales!$C$54="PYG",IF(AW$10&gt;0,N(Reales!AW54)/AW$10,0),N(Reales!AW54)),AW$164*IF(AW$8=1,N(vg_DSO),V_DSO)/DiasMes))</f>
        <v>0</v>
      </c>
      <c r="AX202" s="34" t="n">
        <f aca="false">IF(45&gt;Fin,AW$202,IF(AND(AX$8=1,ISNUMBER(Reales!AX54)),IF(Reales!$C$54="PYG",IF(AX$10&gt;0,N(Reales!AX54)/AX$10,0),N(Reales!AX54)),AX$164*IF(AX$8=1,N(vg_DSO),V_DSO)/DiasMes))</f>
        <v>0</v>
      </c>
      <c r="AY202" s="34" t="n">
        <f aca="false">IF(46&gt;Fin,AX$202,IF(AND(AY$8=1,ISNUMBER(Reales!AY54)),IF(Reales!$C$54="PYG",IF(AY$10&gt;0,N(Reales!AY54)/AY$10,0),N(Reales!AY54)),AY$164*IF(AY$8=1,N(vg_DSO),V_DSO)/DiasMes))</f>
        <v>0</v>
      </c>
      <c r="AZ202" s="34" t="n">
        <f aca="false">IF(47&gt;Fin,AY$202,IF(AND(AZ$8=1,ISNUMBER(Reales!AZ54)),IF(Reales!$C$54="PYG",IF(AZ$10&gt;0,N(Reales!AZ54)/AZ$10,0),N(Reales!AZ54)),AZ$164*IF(AZ$8=1,N(vg_DSO),V_DSO)/DiasMes))</f>
        <v>0</v>
      </c>
      <c r="BA202" s="34" t="n">
        <f aca="false">IF(48&gt;Fin,AZ$202,IF(AND(BA$8=1,ISNUMBER(Reales!BA54)),IF(Reales!$C$54="PYG",IF(BA$10&gt;0,N(Reales!BA54)/BA$10,0),N(Reales!BA54)),BA$164*IF(BA$8=1,N(vg_DSO),V_DSO)/DiasMes))</f>
        <v>0</v>
      </c>
      <c r="BB202" s="34" t="n">
        <f aca="false">IF(49&gt;Fin,BA$202,IF(AND(BB$8=1,ISNUMBER(Reales!BB54)),IF(Reales!$C$54="PYG",IF(BB$10&gt;0,N(Reales!BB54)/BB$10,0),N(Reales!BB54)),BB$164*IF(BB$8=1,N(vg_DSO),V_DSO)/DiasMes))</f>
        <v>0</v>
      </c>
      <c r="BC202" s="34" t="n">
        <f aca="false">IF(50&gt;Fin,BB$202,IF(AND(BC$8=1,ISNUMBER(Reales!BC54)),IF(Reales!$C$54="PYG",IF(BC$10&gt;0,N(Reales!BC54)/BC$10,0),N(Reales!BC54)),BC$164*IF(BC$8=1,N(vg_DSO),V_DSO)/DiasMes))</f>
        <v>0</v>
      </c>
      <c r="BD202" s="34" t="n">
        <f aca="false">IF(51&gt;Fin,BC$202,IF(AND(BD$8=1,ISNUMBER(Reales!BD54)),IF(Reales!$C$54="PYG",IF(BD$10&gt;0,N(Reales!BD54)/BD$10,0),N(Reales!BD54)),BD$164*IF(BD$8=1,N(vg_DSO),V_DSO)/DiasMes))</f>
        <v>0</v>
      </c>
      <c r="BE202" s="34" t="n">
        <f aca="false">IF(52&gt;Fin,BD$202,IF(AND(BE$8=1,ISNUMBER(Reales!BE54)),IF(Reales!$C$54="PYG",IF(BE$10&gt;0,N(Reales!BE54)/BE$10,0),N(Reales!BE54)),BE$164*IF(BE$8=1,N(vg_DSO),V_DSO)/DiasMes))</f>
        <v>0</v>
      </c>
      <c r="BF202" s="34" t="n">
        <f aca="false">IF(53&gt;Fin,BE$202,IF(AND(BF$8=1,ISNUMBER(Reales!BF54)),IF(Reales!$C$54="PYG",IF(BF$10&gt;0,N(Reales!BF54)/BF$10,0),N(Reales!BF54)),BF$164*IF(BF$8=1,N(vg_DSO),V_DSO)/DiasMes))</f>
        <v>0</v>
      </c>
      <c r="BG202" s="34" t="n">
        <f aca="false">IF(54&gt;Fin,BF$202,IF(AND(BG$8=1,ISNUMBER(Reales!BG54)),IF(Reales!$C$54="PYG",IF(BG$10&gt;0,N(Reales!BG54)/BG$10,0),N(Reales!BG54)),BG$164*IF(BG$8=1,N(vg_DSO),V_DSO)/DiasMes))</f>
        <v>0</v>
      </c>
      <c r="BH202" s="34" t="n">
        <f aca="false">IF(55&gt;Fin,BG$202,IF(AND(BH$8=1,ISNUMBER(Reales!BH54)),IF(Reales!$C$54="PYG",IF(BH$10&gt;0,N(Reales!BH54)/BH$10,0),N(Reales!BH54)),BH$164*IF(BH$8=1,N(vg_DSO),V_DSO)/DiasMes))</f>
        <v>0</v>
      </c>
      <c r="BI202" s="34" t="n">
        <f aca="false">IF(56&gt;Fin,BH$202,IF(AND(BI$8=1,ISNUMBER(Reales!BI54)),IF(Reales!$C$54="PYG",IF(BI$10&gt;0,N(Reales!BI54)/BI$10,0),N(Reales!BI54)),BI$164*IF(BI$8=1,N(vg_DSO),V_DSO)/DiasMes))</f>
        <v>0</v>
      </c>
      <c r="BJ202" s="34" t="n">
        <f aca="false">IF(57&gt;Fin,BI$202,IF(AND(BJ$8=1,ISNUMBER(Reales!BJ54)),IF(Reales!$C$54="PYG",IF(BJ$10&gt;0,N(Reales!BJ54)/BJ$10,0),N(Reales!BJ54)),BJ$164*IF(BJ$8=1,N(vg_DSO),V_DSO)/DiasMes))</f>
        <v>0</v>
      </c>
      <c r="BK202" s="34" t="n">
        <f aca="false">IF(58&gt;Fin,BJ$202,IF(AND(BK$8=1,ISNUMBER(Reales!BK54)),IF(Reales!$C$54="PYG",IF(BK$10&gt;0,N(Reales!BK54)/BK$10,0),N(Reales!BK54)),BK$164*IF(BK$8=1,N(vg_DSO),V_DSO)/DiasMes))</f>
        <v>0</v>
      </c>
      <c r="BL202" s="34" t="n">
        <f aca="false">IF(59&gt;Fin,BK$202,IF(AND(BL$8=1,ISNUMBER(Reales!BL54)),IF(Reales!$C$54="PYG",IF(BL$10&gt;0,N(Reales!BL54)/BL$10,0),N(Reales!BL54)),BL$164*IF(BL$8=1,N(vg_DSO),V_DSO)/DiasMes))</f>
        <v>0</v>
      </c>
      <c r="BM202" s="34" t="n">
        <f aca="false">IF(60&gt;Fin,BL$202,IF(AND(BM$8=1,ISNUMBER(Reales!BM54)),IF(Reales!$C$54="PYG",IF(BM$10&gt;0,N(Reales!BM54)/BM$10,0),N(Reales!BM54)),BM$164*IF(BM$8=1,N(vg_DSO),V_DSO)/DiasMes))</f>
        <v>0</v>
      </c>
      <c r="BN202" s="34" t="n">
        <f aca="false">IF(61&gt;Fin,BM$202,IF(AND(BN$8=1,ISNUMBER(Reales!BN54)),IF(Reales!$C$54="PYG",IF(BN$10&gt;0,N(Reales!BN54)/BN$10,0),N(Reales!BN54)),BN$164*IF(BN$8=1,N(vg_DSO),V_DSO)/DiasMes))</f>
        <v>0</v>
      </c>
      <c r="BO202" s="34" t="n">
        <f aca="false">IF(62&gt;Fin,BN$202,IF(AND(BO$8=1,ISNUMBER(Reales!BO54)),IF(Reales!$C$54="PYG",IF(BO$10&gt;0,N(Reales!BO54)/BO$10,0),N(Reales!BO54)),BO$164*IF(BO$8=1,N(vg_DSO),V_DSO)/DiasMes))</f>
        <v>0</v>
      </c>
      <c r="BP202" s="34" t="n">
        <f aca="false">IF(63&gt;Fin,BO$202,IF(AND(BP$8=1,ISNUMBER(Reales!BP54)),IF(Reales!$C$54="PYG",IF(BP$10&gt;0,N(Reales!BP54)/BP$10,0),N(Reales!BP54)),BP$164*IF(BP$8=1,N(vg_DSO),V_DSO)/DiasMes))</f>
        <v>0</v>
      </c>
      <c r="BQ202" s="34" t="n">
        <f aca="false">IF(64&gt;Fin,BP$202,IF(AND(BQ$8=1,ISNUMBER(Reales!BQ54)),IF(Reales!$C$54="PYG",IF(BQ$10&gt;0,N(Reales!BQ54)/BQ$10,0),N(Reales!BQ54)),BQ$164*IF(BQ$8=1,N(vg_DSO),V_DSO)/DiasMes))</f>
        <v>0</v>
      </c>
      <c r="BR202" s="34" t="n">
        <f aca="false">IF(65&gt;Fin,BQ$202,IF(AND(BR$8=1,ISNUMBER(Reales!BR54)),IF(Reales!$C$54="PYG",IF(BR$10&gt;0,N(Reales!BR54)/BR$10,0),N(Reales!BR54)),BR$164*IF(BR$8=1,N(vg_DSO),V_DSO)/DiasMes))</f>
        <v>0</v>
      </c>
      <c r="BS202" s="34" t="n">
        <f aca="false">IF(66&gt;Fin,BR$202,IF(AND(BS$8=1,ISNUMBER(Reales!BS54)),IF(Reales!$C$54="PYG",IF(BS$10&gt;0,N(Reales!BS54)/BS$10,0),N(Reales!BS54)),BS$164*IF(BS$8=1,N(vg_DSO),V_DSO)/DiasMes))</f>
        <v>0</v>
      </c>
      <c r="BT202" s="34" t="n">
        <f aca="false">IF(67&gt;Fin,BS$202,IF(AND(BT$8=1,ISNUMBER(Reales!BT54)),IF(Reales!$C$54="PYG",IF(BT$10&gt;0,N(Reales!BT54)/BT$10,0),N(Reales!BT54)),BT$164*IF(BT$8=1,N(vg_DSO),V_DSO)/DiasMes))</f>
        <v>0</v>
      </c>
      <c r="BU202" s="34" t="n">
        <f aca="false">IF(68&gt;Fin,BT$202,IF(AND(BU$8=1,ISNUMBER(Reales!BU54)),IF(Reales!$C$54="PYG",IF(BU$10&gt;0,N(Reales!BU54)/BU$10,0),N(Reales!BU54)),BU$164*IF(BU$8=1,N(vg_DSO),V_DSO)/DiasMes))</f>
        <v>0</v>
      </c>
      <c r="BV202" s="34" t="n">
        <f aca="false">IF(69&gt;Fin,BU$202,IF(AND(BV$8=1,ISNUMBER(Reales!BV54)),IF(Reales!$C$54="PYG",IF(BV$10&gt;0,N(Reales!BV54)/BV$10,0),N(Reales!BV54)),BV$164*IF(BV$8=1,N(vg_DSO),V_DSO)/DiasMes))</f>
        <v>0</v>
      </c>
      <c r="BW202" s="34" t="n">
        <f aca="false">IF(70&gt;Fin,BV$202,IF(AND(BW$8=1,ISNUMBER(Reales!BW54)),IF(Reales!$C$54="PYG",IF(BW$10&gt;0,N(Reales!BW54)/BW$10,0),N(Reales!BW54)),BW$164*IF(BW$8=1,N(vg_DSO),V_DSO)/DiasMes))</f>
        <v>0</v>
      </c>
      <c r="BX202" s="34" t="n">
        <f aca="false">IF(71&gt;Fin,BW$202,IF(AND(BX$8=1,ISNUMBER(Reales!BX54)),IF(Reales!$C$54="PYG",IF(BX$10&gt;0,N(Reales!BX54)/BX$10,0),N(Reales!BX54)),BX$164*IF(BX$8=1,N(vg_DSO),V_DSO)/DiasMes))</f>
        <v>0</v>
      </c>
      <c r="BY202" s="34" t="n">
        <f aca="false">IF(72&gt;Fin,BX$202,IF(AND(BY$8=1,ISNUMBER(Reales!BY54)),IF(Reales!$C$54="PYG",IF(BY$10&gt;0,N(Reales!BY54)/BY$10,0),N(Reales!BY54)),BY$164*IF(BY$8=1,N(vg_DSO),V_DSO)/DiasMes))</f>
        <v>0</v>
      </c>
      <c r="BZ202" s="34" t="n">
        <f aca="false">IF(73&gt;Fin,BY$202,IF(AND(BZ$8=1,ISNUMBER(Reales!BZ54)),IF(Reales!$C$54="PYG",IF(BZ$10&gt;0,N(Reales!BZ54)/BZ$10,0),N(Reales!BZ54)),BZ$164*IF(BZ$8=1,N(vg_DSO),V_DSO)/DiasMes))</f>
        <v>0</v>
      </c>
      <c r="CA202" s="34" t="n">
        <f aca="false">IF(74&gt;Fin,BZ$202,IF(AND(CA$8=1,ISNUMBER(Reales!CA54)),IF(Reales!$C$54="PYG",IF(CA$10&gt;0,N(Reales!CA54)/CA$10,0),N(Reales!CA54)),CA$164*IF(CA$8=1,N(vg_DSO),V_DSO)/DiasMes))</f>
        <v>0</v>
      </c>
      <c r="CB202" s="34" t="n">
        <f aca="false">IF(75&gt;Fin,CA$202,IF(AND(CB$8=1,ISNUMBER(Reales!CB54)),IF(Reales!$C$54="PYG",IF(CB$10&gt;0,N(Reales!CB54)/CB$10,0),N(Reales!CB54)),CB$164*IF(CB$8=1,N(vg_DSO),V_DSO)/DiasMes))</f>
        <v>0</v>
      </c>
      <c r="CC202" s="34" t="n">
        <f aca="false">IF(76&gt;Fin,CB$202,IF(AND(CC$8=1,ISNUMBER(Reales!CC54)),IF(Reales!$C$54="PYG",IF(CC$10&gt;0,N(Reales!CC54)/CC$10,0),N(Reales!CC54)),CC$164*IF(CC$8=1,N(vg_DSO),V_DSO)/DiasMes))</f>
        <v>0</v>
      </c>
      <c r="CD202" s="34" t="n">
        <f aca="false">IF(77&gt;Fin,CC$202,IF(AND(CD$8=1,ISNUMBER(Reales!CD54)),IF(Reales!$C$54="PYG",IF(CD$10&gt;0,N(Reales!CD54)/CD$10,0),N(Reales!CD54)),CD$164*IF(CD$8=1,N(vg_DSO),V_DSO)/DiasMes))</f>
        <v>0</v>
      </c>
      <c r="CE202" s="34" t="n">
        <f aca="false">IF(78&gt;Fin,CD$202,IF(AND(CE$8=1,ISNUMBER(Reales!CE54)),IF(Reales!$C$54="PYG",IF(CE$10&gt;0,N(Reales!CE54)/CE$10,0),N(Reales!CE54)),CE$164*IF(CE$8=1,N(vg_DSO),V_DSO)/DiasMes))</f>
        <v>0</v>
      </c>
      <c r="CF202" s="34" t="n">
        <f aca="false">IF(79&gt;Fin,CE$202,IF(AND(CF$8=1,ISNUMBER(Reales!CF54)),IF(Reales!$C$54="PYG",IF(CF$10&gt;0,N(Reales!CF54)/CF$10,0),N(Reales!CF54)),CF$164*IF(CF$8=1,N(vg_DSO),V_DSO)/DiasMes))</f>
        <v>0</v>
      </c>
      <c r="CG202" s="34" t="n">
        <f aca="false">IF(80&gt;Fin,CF$202,IF(AND(CG$8=1,ISNUMBER(Reales!CG54)),IF(Reales!$C$54="PYG",IF(CG$10&gt;0,N(Reales!CG54)/CG$10,0),N(Reales!CG54)),CG$164*IF(CG$8=1,N(vg_DSO),V_DSO)/DiasMes))</f>
        <v>0</v>
      </c>
      <c r="CH202" s="34" t="n">
        <f aca="false">IF(81&gt;Fin,CG$202,IF(AND(CH$8=1,ISNUMBER(Reales!CH54)),IF(Reales!$C$54="PYG",IF(CH$10&gt;0,N(Reales!CH54)/CH$10,0),N(Reales!CH54)),CH$164*IF(CH$8=1,N(vg_DSO),V_DSO)/DiasMes))</f>
        <v>0</v>
      </c>
      <c r="CI202" s="34" t="n">
        <f aca="false">IF(82&gt;Fin,CH$202,IF(AND(CI$8=1,ISNUMBER(Reales!CI54)),IF(Reales!$C$54="PYG",IF(CI$10&gt;0,N(Reales!CI54)/CI$10,0),N(Reales!CI54)),CI$164*IF(CI$8=1,N(vg_DSO),V_DSO)/DiasMes))</f>
        <v>0</v>
      </c>
      <c r="CJ202" s="34" t="n">
        <f aca="false">IF(83&gt;Fin,CI$202,IF(AND(CJ$8=1,ISNUMBER(Reales!CJ54)),IF(Reales!$C$54="PYG",IF(CJ$10&gt;0,N(Reales!CJ54)/CJ$10,0),N(Reales!CJ54)),CJ$164*IF(CJ$8=1,N(vg_DSO),V_DSO)/DiasMes))</f>
        <v>0</v>
      </c>
      <c r="CK202" s="34" t="n">
        <f aca="false">IF(84&gt;Fin,CJ$202,IF(AND(CK$8=1,ISNUMBER(Reales!CK54)),IF(Reales!$C$54="PYG",IF(CK$10&gt;0,N(Reales!CK54)/CK$10,0),N(Reales!CK54)),CK$164*IF(CK$8=1,N(vg_DSO),V_DSO)/DiasMes))</f>
        <v>0</v>
      </c>
      <c r="CL202" s="34" t="n">
        <f aca="false">IF(85&gt;Fin,CK$202,IF(AND(CL$8=1,ISNUMBER(Reales!CL54)),IF(Reales!$C$54="PYG",IF(CL$10&gt;0,N(Reales!CL54)/CL$10,0),N(Reales!CL54)),CL$164*IF(CL$8=1,N(vg_DSO),V_DSO)/DiasMes))</f>
        <v>0</v>
      </c>
      <c r="CM202" s="34" t="n">
        <f aca="false">IF(86&gt;Fin,CL$202,IF(AND(CM$8=1,ISNUMBER(Reales!CM54)),IF(Reales!$C$54="PYG",IF(CM$10&gt;0,N(Reales!CM54)/CM$10,0),N(Reales!CM54)),CM$164*IF(CM$8=1,N(vg_DSO),V_DSO)/DiasMes))</f>
        <v>0</v>
      </c>
      <c r="CN202" s="34" t="n">
        <f aca="false">IF(87&gt;Fin,CM$202,IF(AND(CN$8=1,ISNUMBER(Reales!CN54)),IF(Reales!$C$54="PYG",IF(CN$10&gt;0,N(Reales!CN54)/CN$10,0),N(Reales!CN54)),CN$164*IF(CN$8=1,N(vg_DSO),V_DSO)/DiasMes))</f>
        <v>0</v>
      </c>
      <c r="CO202" s="34" t="n">
        <f aca="false">IF(88&gt;Fin,CN$202,IF(AND(CO$8=1,ISNUMBER(Reales!CO54)),IF(Reales!$C$54="PYG",IF(CO$10&gt;0,N(Reales!CO54)/CO$10,0),N(Reales!CO54)),CO$164*IF(CO$8=1,N(vg_DSO),V_DSO)/DiasMes))</f>
        <v>0</v>
      </c>
      <c r="CP202" s="34" t="n">
        <f aca="false">IF(89&gt;Fin,CO$202,IF(AND(CP$8=1,ISNUMBER(Reales!CP54)),IF(Reales!$C$54="PYG",IF(CP$10&gt;0,N(Reales!CP54)/CP$10,0),N(Reales!CP54)),CP$164*IF(CP$8=1,N(vg_DSO),V_DSO)/DiasMes))</f>
        <v>0</v>
      </c>
      <c r="CQ202" s="34" t="n">
        <f aca="false">IF(90&gt;Fin,CP$202,IF(AND(CQ$8=1,ISNUMBER(Reales!CQ54)),IF(Reales!$C$54="PYG",IF(CQ$10&gt;0,N(Reales!CQ54)/CQ$10,0),N(Reales!CQ54)),CQ$164*IF(CQ$8=1,N(vg_DSO),V_DSO)/DiasMes))</f>
        <v>0</v>
      </c>
      <c r="CR202" s="34" t="n">
        <f aca="false">IF(91&gt;Fin,CQ$202,IF(AND(CR$8=1,ISNUMBER(Reales!CR54)),IF(Reales!$C$54="PYG",IF(CR$10&gt;0,N(Reales!CR54)/CR$10,0),N(Reales!CR54)),CR$164*IF(CR$8=1,N(vg_DSO),V_DSO)/DiasMes))</f>
        <v>0</v>
      </c>
      <c r="CS202" s="34" t="n">
        <f aca="false">IF(92&gt;Fin,CR$202,IF(AND(CS$8=1,ISNUMBER(Reales!CS54)),IF(Reales!$C$54="PYG",IF(CS$10&gt;0,N(Reales!CS54)/CS$10,0),N(Reales!CS54)),CS$164*IF(CS$8=1,N(vg_DSO),V_DSO)/DiasMes))</f>
        <v>0</v>
      </c>
      <c r="CT202" s="34" t="n">
        <f aca="false">IF(93&gt;Fin,CS$202,IF(AND(CT$8=1,ISNUMBER(Reales!CT54)),IF(Reales!$C$54="PYG",IF(CT$10&gt;0,N(Reales!CT54)/CT$10,0),N(Reales!CT54)),CT$164*IF(CT$8=1,N(vg_DSO),V_DSO)/DiasMes))</f>
        <v>0</v>
      </c>
      <c r="CU202" s="34" t="n">
        <f aca="false">IF(94&gt;Fin,CT$202,IF(AND(CU$8=1,ISNUMBER(Reales!CU54)),IF(Reales!$C$54="PYG",IF(CU$10&gt;0,N(Reales!CU54)/CU$10,0),N(Reales!CU54)),CU$164*IF(CU$8=1,N(vg_DSO),V_DSO)/DiasMes))</f>
        <v>0</v>
      </c>
      <c r="CV202" s="34" t="n">
        <f aca="false">IF(95&gt;Fin,CU$202,IF(AND(CV$8=1,ISNUMBER(Reales!CV54)),IF(Reales!$C$54="PYG",IF(CV$10&gt;0,N(Reales!CV54)/CV$10,0),N(Reales!CV54)),CV$164*IF(CV$8=1,N(vg_DSO),V_DSO)/DiasMes))</f>
        <v>0</v>
      </c>
      <c r="CW202" s="34" t="n">
        <f aca="false">IF(96&gt;Fin,CV$202,IF(AND(CW$8=1,ISNUMBER(Reales!CW54)),IF(Reales!$C$54="PYG",IF(CW$10&gt;0,N(Reales!CW54)/CW$10,0),N(Reales!CW54)),CW$164*IF(CW$8=1,N(vg_DSO),V_DSO)/DiasMes))</f>
        <v>0</v>
      </c>
      <c r="CX202" s="34" t="n">
        <f aca="false">IF(97&gt;Fin,CW$202,IF(AND(CX$8=1,ISNUMBER(Reales!CX54)),IF(Reales!$C$54="PYG",IF(CX$10&gt;0,N(Reales!CX54)/CX$10,0),N(Reales!CX54)),CX$164*IF(CX$8=1,N(vg_DSO),V_DSO)/DiasMes))</f>
        <v>0</v>
      </c>
      <c r="CY202" s="34" t="n">
        <f aca="false">IF(98&gt;Fin,CX$202,IF(AND(CY$8=1,ISNUMBER(Reales!CY54)),IF(Reales!$C$54="PYG",IF(CY$10&gt;0,N(Reales!CY54)/CY$10,0),N(Reales!CY54)),CY$164*IF(CY$8=1,N(vg_DSO),V_DSO)/DiasMes))</f>
        <v>0</v>
      </c>
      <c r="CZ202" s="34" t="n">
        <f aca="false">IF(99&gt;Fin,CY$202,IF(AND(CZ$8=1,ISNUMBER(Reales!CZ54)),IF(Reales!$C$54="PYG",IF(CZ$10&gt;0,N(Reales!CZ54)/CZ$10,0),N(Reales!CZ54)),CZ$164*IF(CZ$8=1,N(vg_DSO),V_DSO)/DiasMes))</f>
        <v>0</v>
      </c>
      <c r="DA202" s="34" t="n">
        <f aca="false">IF(100&gt;Fin,CZ$202,IF(AND(DA$8=1,ISNUMBER(Reales!DA54)),IF(Reales!$C$54="PYG",IF(DA$10&gt;0,N(Reales!DA54)/DA$10,0),N(Reales!DA54)),DA$164*IF(DA$8=1,N(vg_DSO),V_DSO)/DiasMes))</f>
        <v>0</v>
      </c>
      <c r="DB202" s="34" t="n">
        <f aca="false">IF(101&gt;Fin,DA$202,IF(AND(DB$8=1,ISNUMBER(Reales!DB54)),IF(Reales!$C$54="PYG",IF(DB$10&gt;0,N(Reales!DB54)/DB$10,0),N(Reales!DB54)),DB$164*IF(DB$8=1,N(vg_DSO),V_DSO)/DiasMes))</f>
        <v>0</v>
      </c>
      <c r="DC202" s="34" t="n">
        <f aca="false">IF(102&gt;Fin,DB$202,IF(AND(DC$8=1,ISNUMBER(Reales!DC54)),IF(Reales!$C$54="PYG",IF(DC$10&gt;0,N(Reales!DC54)/DC$10,0),N(Reales!DC54)),DC$164*IF(DC$8=1,N(vg_DSO),V_DSO)/DiasMes))</f>
        <v>0</v>
      </c>
      <c r="DD202" s="34" t="n">
        <f aca="false">IF(103&gt;Fin,DC$202,IF(AND(DD$8=1,ISNUMBER(Reales!DD54)),IF(Reales!$C$54="PYG",IF(DD$10&gt;0,N(Reales!DD54)/DD$10,0),N(Reales!DD54)),DD$164*IF(DD$8=1,N(vg_DSO),V_DSO)/DiasMes))</f>
        <v>0</v>
      </c>
      <c r="DE202" s="34" t="n">
        <f aca="false">IF(104&gt;Fin,DD$202,IF(AND(DE$8=1,ISNUMBER(Reales!DE54)),IF(Reales!$C$54="PYG",IF(DE$10&gt;0,N(Reales!DE54)/DE$10,0),N(Reales!DE54)),DE$164*IF(DE$8=1,N(vg_DSO),V_DSO)/DiasMes))</f>
        <v>0</v>
      </c>
      <c r="DF202" s="34" t="n">
        <f aca="false">IF(105&gt;Fin,DE$202,IF(AND(DF$8=1,ISNUMBER(Reales!DF54)),IF(Reales!$C$54="PYG",IF(DF$10&gt;0,N(Reales!DF54)/DF$10,0),N(Reales!DF54)),DF$164*IF(DF$8=1,N(vg_DSO),V_DSO)/DiasMes))</f>
        <v>0</v>
      </c>
      <c r="DG202" s="34" t="n">
        <f aca="false">IF(106&gt;Fin,DF$202,IF(AND(DG$8=1,ISNUMBER(Reales!DG54)),IF(Reales!$C$54="PYG",IF(DG$10&gt;0,N(Reales!DG54)/DG$10,0),N(Reales!DG54)),DG$164*IF(DG$8=1,N(vg_DSO),V_DSO)/DiasMes))</f>
        <v>0</v>
      </c>
      <c r="DH202" s="34" t="n">
        <f aca="false">IF(107&gt;Fin,DG$202,IF(AND(DH$8=1,ISNUMBER(Reales!DH54)),IF(Reales!$C$54="PYG",IF(DH$10&gt;0,N(Reales!DH54)/DH$10,0),N(Reales!DH54)),DH$164*IF(DH$8=1,N(vg_DSO),V_DSO)/DiasMes))</f>
        <v>0</v>
      </c>
      <c r="DI202" s="34" t="n">
        <f aca="false">IF(108&gt;Fin,DH$202,IF(AND(DI$8=1,ISNUMBER(Reales!DI54)),IF(Reales!$C$54="PYG",IF(DI$10&gt;0,N(Reales!DI54)/DI$10,0),N(Reales!DI54)),DI$164*IF(DI$8=1,N(vg_DSO),V_DSO)/DiasMes))</f>
        <v>0</v>
      </c>
      <c r="DJ202" s="34" t="n">
        <f aca="false">IF(109&gt;Fin,DI$202,IF(AND(DJ$8=1,ISNUMBER(Reales!DJ54)),IF(Reales!$C$54="PYG",IF(DJ$10&gt;0,N(Reales!DJ54)/DJ$10,0),N(Reales!DJ54)),DJ$164*IF(DJ$8=1,N(vg_DSO),V_DSO)/DiasMes))</f>
        <v>0</v>
      </c>
      <c r="DK202" s="34" t="n">
        <f aca="false">IF(110&gt;Fin,DJ$202,IF(AND(DK$8=1,ISNUMBER(Reales!DK54)),IF(Reales!$C$54="PYG",IF(DK$10&gt;0,N(Reales!DK54)/DK$10,0),N(Reales!DK54)),DK$164*IF(DK$8=1,N(vg_DSO),V_DSO)/DiasMes))</f>
        <v>0</v>
      </c>
      <c r="DL202" s="34" t="n">
        <f aca="false">IF(111&gt;Fin,DK$202,IF(AND(DL$8=1,ISNUMBER(Reales!DL54)),IF(Reales!$C$54="PYG",IF(DL$10&gt;0,N(Reales!DL54)/DL$10,0),N(Reales!DL54)),DL$164*IF(DL$8=1,N(vg_DSO),V_DSO)/DiasMes))</f>
        <v>0</v>
      </c>
      <c r="DM202" s="34" t="n">
        <f aca="false">IF(112&gt;Fin,DL$202,IF(AND(DM$8=1,ISNUMBER(Reales!DM54)),IF(Reales!$C$54="PYG",IF(DM$10&gt;0,N(Reales!DM54)/DM$10,0),N(Reales!DM54)),DM$164*IF(DM$8=1,N(vg_DSO),V_DSO)/DiasMes))</f>
        <v>0</v>
      </c>
      <c r="DN202" s="34" t="n">
        <f aca="false">IF(113&gt;Fin,DM$202,IF(AND(DN$8=1,ISNUMBER(Reales!DN54)),IF(Reales!$C$54="PYG",IF(DN$10&gt;0,N(Reales!DN54)/DN$10,0),N(Reales!DN54)),DN$164*IF(DN$8=1,N(vg_DSO),V_DSO)/DiasMes))</f>
        <v>0</v>
      </c>
      <c r="DO202" s="34" t="n">
        <f aca="false">IF(114&gt;Fin,DN$202,IF(AND(DO$8=1,ISNUMBER(Reales!DO54)),IF(Reales!$C$54="PYG",IF(DO$10&gt;0,N(Reales!DO54)/DO$10,0),N(Reales!DO54)),DO$164*IF(DO$8=1,N(vg_DSO),V_DSO)/DiasMes))</f>
        <v>0</v>
      </c>
      <c r="DP202" s="34" t="n">
        <f aca="false">IF(115&gt;Fin,DO$202,IF(AND(DP$8=1,ISNUMBER(Reales!DP54)),IF(Reales!$C$54="PYG",IF(DP$10&gt;0,N(Reales!DP54)/DP$10,0),N(Reales!DP54)),DP$164*IF(DP$8=1,N(vg_DSO),V_DSO)/DiasMes))</f>
        <v>0</v>
      </c>
      <c r="DQ202" s="34" t="n">
        <f aca="false">IF(116&gt;Fin,DP$202,IF(AND(DQ$8=1,ISNUMBER(Reales!DQ54)),IF(Reales!$C$54="PYG",IF(DQ$10&gt;0,N(Reales!DQ54)/DQ$10,0),N(Reales!DQ54)),DQ$164*IF(DQ$8=1,N(vg_DSO),V_DSO)/DiasMes))</f>
        <v>0</v>
      </c>
      <c r="DR202" s="34" t="n">
        <f aca="false">IF(117&gt;Fin,DQ$202,IF(AND(DR$8=1,ISNUMBER(Reales!DR54)),IF(Reales!$C$54="PYG",IF(DR$10&gt;0,N(Reales!DR54)/DR$10,0),N(Reales!DR54)),DR$164*IF(DR$8=1,N(vg_DSO),V_DSO)/DiasMes))</f>
        <v>0</v>
      </c>
      <c r="DS202" s="34" t="n">
        <f aca="false">IF(118&gt;Fin,DR$202,IF(AND(DS$8=1,ISNUMBER(Reales!DS54)),IF(Reales!$C$54="PYG",IF(DS$10&gt;0,N(Reales!DS54)/DS$10,0),N(Reales!DS54)),DS$164*IF(DS$8=1,N(vg_DSO),V_DSO)/DiasMes))</f>
        <v>0</v>
      </c>
      <c r="DT202" s="34" t="n">
        <f aca="false">IF(119&gt;Fin,DS$202,IF(AND(DT$8=1,ISNUMBER(Reales!DT54)),IF(Reales!$C$54="PYG",IF(DT$10&gt;0,N(Reales!DT54)/DT$10,0),N(Reales!DT54)),DT$164*IF(DT$8=1,N(vg_DSO),V_DSO)/DiasMes))</f>
        <v>0</v>
      </c>
      <c r="DU202" s="34" t="n">
        <f aca="false">IF(120&gt;Fin,DT$202,IF(AND(DU$8=1,ISNUMBER(Reales!DU54)),IF(Reales!$C$54="PYG",IF(DU$10&gt;0,N(Reales!DU54)/DU$10,0),N(Reales!DU54)),DU$164*IF(DU$8=1,N(vg_DSO),V_DSO)/DiasMes))</f>
        <v>0</v>
      </c>
      <c r="DV202" s="34" t="n">
        <f aca="false">IF(121&gt;Fin,DU$202,IF(AND(DV$8=1,ISNUMBER(Reales!DV54)),IF(Reales!$C$54="PYG",IF(DV$10&gt;0,N(Reales!DV54)/DV$10,0),N(Reales!DV54)),DV$164*IF(DV$8=1,N(vg_DSO),V_DSO)/DiasMes))</f>
        <v>0</v>
      </c>
      <c r="DW202" s="34" t="n">
        <f aca="false">IF(122&gt;Fin,DV$202,IF(AND(DW$8=1,ISNUMBER(Reales!DW54)),IF(Reales!$C$54="PYG",IF(DW$10&gt;0,N(Reales!DW54)/DW$10,0),N(Reales!DW54)),DW$164*IF(DW$8=1,N(vg_DSO),V_DSO)/DiasMes))</f>
        <v>0</v>
      </c>
      <c r="DX202" s="34" t="n">
        <f aca="false">IF(123&gt;Fin,DW$202,IF(AND(DX$8=1,ISNUMBER(Reales!DX54)),IF(Reales!$C$54="PYG",IF(DX$10&gt;0,N(Reales!DX54)/DX$10,0),N(Reales!DX54)),DX$164*IF(DX$8=1,N(vg_DSO),V_DSO)/DiasMes))</f>
        <v>0</v>
      </c>
      <c r="DY202" s="34" t="n">
        <f aca="false">IF(124&gt;Fin,DX$202,IF(AND(DY$8=1,ISNUMBER(Reales!DY54)),IF(Reales!$C$54="PYG",IF(DY$10&gt;0,N(Reales!DY54)/DY$10,0),N(Reales!DY54)),DY$164*IF(DY$8=1,N(vg_DSO),V_DSO)/DiasMes))</f>
        <v>0</v>
      </c>
      <c r="DZ202" s="34" t="n">
        <f aca="false">IF(125&gt;Fin,DY$202,IF(AND(DZ$8=1,ISNUMBER(Reales!DZ54)),IF(Reales!$C$54="PYG",IF(DZ$10&gt;0,N(Reales!DZ54)/DZ$10,0),N(Reales!DZ54)),DZ$164*IF(DZ$8=1,N(vg_DSO),V_DSO)/DiasMes))</f>
        <v>0</v>
      </c>
      <c r="EA202" s="34" t="n">
        <f aca="false">IF(126&gt;Fin,DZ$202,IF(AND(EA$8=1,ISNUMBER(Reales!EA54)),IF(Reales!$C$54="PYG",IF(EA$10&gt;0,N(Reales!EA54)/EA$10,0),N(Reales!EA54)),EA$164*IF(EA$8=1,N(vg_DSO),V_DSO)/DiasMes))</f>
        <v>0</v>
      </c>
      <c r="EB202" s="34" t="n">
        <f aca="false">IF(127&gt;Fin,EA$202,IF(AND(EB$8=1,ISNUMBER(Reales!EB54)),IF(Reales!$C$54="PYG",IF(EB$10&gt;0,N(Reales!EB54)/EB$10,0),N(Reales!EB54)),EB$164*IF(EB$8=1,N(vg_DSO),V_DSO)/DiasMes))</f>
        <v>0</v>
      </c>
      <c r="EC202" s="34" t="n">
        <f aca="false">IF(128&gt;Fin,EB$202,IF(AND(EC$8=1,ISNUMBER(Reales!EC54)),IF(Reales!$C$54="PYG",IF(EC$10&gt;0,N(Reales!EC54)/EC$10,0),N(Reales!EC54)),EC$164*IF(EC$8=1,N(vg_DSO),V_DSO)/DiasMes))</f>
        <v>0</v>
      </c>
      <c r="ED202" s="34" t="n">
        <f aca="false">IF(129&gt;Fin,EC$202,IF(AND(ED$8=1,ISNUMBER(Reales!ED54)),IF(Reales!$C$54="PYG",IF(ED$10&gt;0,N(Reales!ED54)/ED$10,0),N(Reales!ED54)),ED$164*IF(ED$8=1,N(vg_DSO),V_DSO)/DiasMes))</f>
        <v>0</v>
      </c>
      <c r="EE202" s="34" t="n">
        <f aca="false">IF(130&gt;Fin,ED$202,IF(AND(EE$8=1,ISNUMBER(Reales!EE54)),IF(Reales!$C$54="PYG",IF(EE$10&gt;0,N(Reales!EE54)/EE$10,0),N(Reales!EE54)),EE$164*IF(EE$8=1,N(vg_DSO),V_DSO)/DiasMes))</f>
        <v>0</v>
      </c>
      <c r="EF202" s="34" t="n">
        <f aca="false">IF(131&gt;Fin,EE$202,IF(AND(EF$8=1,ISNUMBER(Reales!EF54)),IF(Reales!$C$54="PYG",IF(EF$10&gt;0,N(Reales!EF54)/EF$10,0),N(Reales!EF54)),EF$164*IF(EF$8=1,N(vg_DSO),V_DSO)/DiasMes))</f>
        <v>0</v>
      </c>
      <c r="EG202" s="34" t="n">
        <f aca="false">IF(132&gt;Fin,EF$202,IF(AND(EG$8=1,ISNUMBER(Reales!EG54)),IF(Reales!$C$54="PYG",IF(EG$10&gt;0,N(Reales!EG54)/EG$10,0),N(Reales!EG54)),EG$164*IF(EG$8=1,N(vg_DSO),V_DSO)/DiasMes))</f>
        <v>0</v>
      </c>
      <c r="EH202" s="34" t="n">
        <f aca="false">IF(133&gt;Fin,EG$202,IF(AND(EH$8=1,ISNUMBER(Reales!EH54)),IF(Reales!$C$54="PYG",IF(EH$10&gt;0,N(Reales!EH54)/EH$10,0),N(Reales!EH54)),EH$164*IF(EH$8=1,N(vg_DSO),V_DSO)/DiasMes))</f>
        <v>0</v>
      </c>
      <c r="EI202" s="34" t="n">
        <f aca="false">IF(134&gt;Fin,EH$202,IF(AND(EI$8=1,ISNUMBER(Reales!EI54)),IF(Reales!$C$54="PYG",IF(EI$10&gt;0,N(Reales!EI54)/EI$10,0),N(Reales!EI54)),EI$164*IF(EI$8=1,N(vg_DSO),V_DSO)/DiasMes))</f>
        <v>0</v>
      </c>
      <c r="EJ202" s="34" t="n">
        <f aca="false">IF(135&gt;Fin,EI$202,IF(AND(EJ$8=1,ISNUMBER(Reales!EJ54)),IF(Reales!$C$54="PYG",IF(EJ$10&gt;0,N(Reales!EJ54)/EJ$10,0),N(Reales!EJ54)),EJ$164*IF(EJ$8=1,N(vg_DSO),V_DSO)/DiasMes))</f>
        <v>0</v>
      </c>
      <c r="EK202" s="34" t="n">
        <f aca="false">IF(136&gt;Fin,EJ$202,IF(AND(EK$8=1,ISNUMBER(Reales!EK54)),IF(Reales!$C$54="PYG",IF(EK$10&gt;0,N(Reales!EK54)/EK$10,0),N(Reales!EK54)),EK$164*IF(EK$8=1,N(vg_DSO),V_DSO)/DiasMes))</f>
        <v>0</v>
      </c>
      <c r="EL202" s="34" t="n">
        <f aca="false">IF(137&gt;Fin,EK$202,IF(AND(EL$8=1,ISNUMBER(Reales!EL54)),IF(Reales!$C$54="PYG",IF(EL$10&gt;0,N(Reales!EL54)/EL$10,0),N(Reales!EL54)),EL$164*IF(EL$8=1,N(vg_DSO),V_DSO)/DiasMes))</f>
        <v>0</v>
      </c>
      <c r="EM202" s="34" t="n">
        <f aca="false">IF(138&gt;Fin,EL$202,IF(AND(EM$8=1,ISNUMBER(Reales!EM54)),IF(Reales!$C$54="PYG",IF(EM$10&gt;0,N(Reales!EM54)/EM$10,0),N(Reales!EM54)),EM$164*IF(EM$8=1,N(vg_DSO),V_DSO)/DiasMes))</f>
        <v>0</v>
      </c>
      <c r="EN202" s="34" t="n">
        <f aca="false">IF(139&gt;Fin,EM$202,IF(AND(EN$8=1,ISNUMBER(Reales!EN54)),IF(Reales!$C$54="PYG",IF(EN$10&gt;0,N(Reales!EN54)/EN$10,0),N(Reales!EN54)),EN$164*IF(EN$8=1,N(vg_DSO),V_DSO)/DiasMes))</f>
        <v>0</v>
      </c>
      <c r="EO202" s="34" t="n">
        <f aca="false">IF(140&gt;Fin,EN$202,IF(AND(EO$8=1,ISNUMBER(Reales!EO54)),IF(Reales!$C$54="PYG",IF(EO$10&gt;0,N(Reales!EO54)/EO$10,0),N(Reales!EO54)),EO$164*IF(EO$8=1,N(vg_DSO),V_DSO)/DiasMes))</f>
        <v>0</v>
      </c>
      <c r="EP202" s="34" t="n">
        <f aca="false">IF(141&gt;Fin,EO$202,IF(AND(EP$8=1,ISNUMBER(Reales!EP54)),IF(Reales!$C$54="PYG",IF(EP$10&gt;0,N(Reales!EP54)/EP$10,0),N(Reales!EP54)),EP$164*IF(EP$8=1,N(vg_DSO),V_DSO)/DiasMes))</f>
        <v>0</v>
      </c>
      <c r="EQ202" s="34" t="n">
        <f aca="false">IF(142&gt;Fin,EP$202,IF(AND(EQ$8=1,ISNUMBER(Reales!EQ54)),IF(Reales!$C$54="PYG",IF(EQ$10&gt;0,N(Reales!EQ54)/EQ$10,0),N(Reales!EQ54)),EQ$164*IF(EQ$8=1,N(vg_DSO),V_DSO)/DiasMes))</f>
        <v>0</v>
      </c>
      <c r="ER202" s="34" t="n">
        <f aca="false">IF(143&gt;Fin,EQ$202,IF(AND(ER$8=1,ISNUMBER(Reales!ER54)),IF(Reales!$C$54="PYG",IF(ER$10&gt;0,N(Reales!ER54)/ER$10,0),N(Reales!ER54)),ER$164*IF(ER$8=1,N(vg_DSO),V_DSO)/DiasMes))</f>
        <v>0</v>
      </c>
      <c r="ES202" s="34" t="n">
        <f aca="false">IF(144&gt;Fin,ER$202,IF(AND(ES$8=1,ISNUMBER(Reales!ES54)),IF(Reales!$C$54="PYG",IF(ES$10&gt;0,N(Reales!ES54)/ES$10,0),N(Reales!ES54)),ES$164*IF(ES$8=1,N(vg_DSO),V_DSO)/DiasMes))</f>
        <v>0</v>
      </c>
    </row>
    <row r="203" customFormat="false" ht="15" hidden="false" customHeight="false" outlineLevel="0" collapsed="false">
      <c r="A203" s="2" t="s">
        <v>679</v>
      </c>
      <c r="B203" s="6" t="s">
        <v>397</v>
      </c>
      <c r="C203" s="6" t="s">
        <v>212</v>
      </c>
      <c r="E203" s="40" t="n">
        <f aca="false">INDEX(F203:ES203,1,MIN(144,Fin))</f>
        <v>0</v>
      </c>
      <c r="F203" s="34" t="n">
        <f aca="false">IF(1&gt;Fin,0,IF(AND(F$8=1,ISNUMBER(Reales!F55)),IF(Reales!$C$55="PYG",IF(F$10&gt;0,N(Reales!F55)/F$10,0),N(Reales!F55)),F$186*IF(F$8=1,N(vg_DInv),V_DInv)/DiasMes+(F$186+F$187+F$188+F$189)*V_DPT/DiasMes))</f>
        <v>0</v>
      </c>
      <c r="G203" s="34" t="n">
        <f aca="false">IF(2&gt;Fin,F$203,IF(AND(G$8=1,ISNUMBER(Reales!G55)),IF(Reales!$C$55="PYG",IF(G$10&gt;0,N(Reales!G55)/G$10,0),N(Reales!G55)),G$186*IF(G$8=1,N(vg_DInv),V_DInv)/DiasMes+(G$186+G$187+G$188+G$189)*V_DPT/DiasMes))</f>
        <v>0</v>
      </c>
      <c r="H203" s="34" t="n">
        <f aca="false">IF(3&gt;Fin,G$203,IF(AND(H$8=1,ISNUMBER(Reales!H55)),IF(Reales!$C$55="PYG",IF(H$10&gt;0,N(Reales!H55)/H$10,0),N(Reales!H55)),H$186*IF(H$8=1,N(vg_DInv),V_DInv)/DiasMes+(H$186+H$187+H$188+H$189)*V_DPT/DiasMes))</f>
        <v>0</v>
      </c>
      <c r="I203" s="34" t="n">
        <f aca="false">IF(4&gt;Fin,H$203,IF(AND(I$8=1,ISNUMBER(Reales!I55)),IF(Reales!$C$55="PYG",IF(I$10&gt;0,N(Reales!I55)/I$10,0),N(Reales!I55)),I$186*IF(I$8=1,N(vg_DInv),V_DInv)/DiasMes+(I$186+I$187+I$188+I$189)*V_DPT/DiasMes))</f>
        <v>0</v>
      </c>
      <c r="J203" s="34" t="n">
        <f aca="false">IF(5&gt;Fin,I$203,IF(AND(J$8=1,ISNUMBER(Reales!J55)),IF(Reales!$C$55="PYG",IF(J$10&gt;0,N(Reales!J55)/J$10,0),N(Reales!J55)),J$186*IF(J$8=1,N(vg_DInv),V_DInv)/DiasMes+(J$186+J$187+J$188+J$189)*V_DPT/DiasMes))</f>
        <v>0</v>
      </c>
      <c r="K203" s="34" t="n">
        <f aca="false">IF(6&gt;Fin,J$203,IF(AND(K$8=1,ISNUMBER(Reales!K55)),IF(Reales!$C$55="PYG",IF(K$10&gt;0,N(Reales!K55)/K$10,0),N(Reales!K55)),K$186*IF(K$8=1,N(vg_DInv),V_DInv)/DiasMes+(K$186+K$187+K$188+K$189)*V_DPT/DiasMes))</f>
        <v>0</v>
      </c>
      <c r="L203" s="34" t="n">
        <f aca="false">IF(7&gt;Fin,K$203,IF(AND(L$8=1,ISNUMBER(Reales!L55)),IF(Reales!$C$55="PYG",IF(L$10&gt;0,N(Reales!L55)/L$10,0),N(Reales!L55)),L$186*IF(L$8=1,N(vg_DInv),V_DInv)/DiasMes+(L$186+L$187+L$188+L$189)*V_DPT/DiasMes))</f>
        <v>0</v>
      </c>
      <c r="M203" s="34" t="n">
        <f aca="false">IF(8&gt;Fin,L$203,IF(AND(M$8=1,ISNUMBER(Reales!M55)),IF(Reales!$C$55="PYG",IF(M$10&gt;0,N(Reales!M55)/M$10,0),N(Reales!M55)),M$186*IF(M$8=1,N(vg_DInv),V_DInv)/DiasMes+(M$186+M$187+M$188+M$189)*V_DPT/DiasMes))</f>
        <v>0</v>
      </c>
      <c r="N203" s="34" t="n">
        <f aca="false">IF(9&gt;Fin,M$203,IF(AND(N$8=1,ISNUMBER(Reales!N55)),IF(Reales!$C$55="PYG",IF(N$10&gt;0,N(Reales!N55)/N$10,0),N(Reales!N55)),N$186*IF(N$8=1,N(vg_DInv),V_DInv)/DiasMes+(N$186+N$187+N$188+N$189)*V_DPT/DiasMes))</f>
        <v>0</v>
      </c>
      <c r="O203" s="34" t="n">
        <f aca="false">IF(10&gt;Fin,N$203,IF(AND(O$8=1,ISNUMBER(Reales!O55)),IF(Reales!$C$55="PYG",IF(O$10&gt;0,N(Reales!O55)/O$10,0),N(Reales!O55)),O$186*IF(O$8=1,N(vg_DInv),V_DInv)/DiasMes+(O$186+O$187+O$188+O$189)*V_DPT/DiasMes))</f>
        <v>0</v>
      </c>
      <c r="P203" s="34" t="n">
        <f aca="false">IF(11&gt;Fin,O$203,IF(AND(P$8=1,ISNUMBER(Reales!P55)),IF(Reales!$C$55="PYG",IF(P$10&gt;0,N(Reales!P55)/P$10,0),N(Reales!P55)),P$186*IF(P$8=1,N(vg_DInv),V_DInv)/DiasMes+(P$186+P$187+P$188+P$189)*V_DPT/DiasMes))</f>
        <v>0</v>
      </c>
      <c r="Q203" s="34" t="n">
        <f aca="false">IF(12&gt;Fin,P$203,IF(AND(Q$8=1,ISNUMBER(Reales!Q55)),IF(Reales!$C$55="PYG",IF(Q$10&gt;0,N(Reales!Q55)/Q$10,0),N(Reales!Q55)),Q$186*IF(Q$8=1,N(vg_DInv),V_DInv)/DiasMes+(Q$186+Q$187+Q$188+Q$189)*V_DPT/DiasMes))</f>
        <v>0</v>
      </c>
      <c r="R203" s="34" t="n">
        <f aca="false">IF(13&gt;Fin,Q$203,IF(AND(R$8=1,ISNUMBER(Reales!R55)),IF(Reales!$C$55="PYG",IF(R$10&gt;0,N(Reales!R55)/R$10,0),N(Reales!R55)),R$186*IF(R$8=1,N(vg_DInv),V_DInv)/DiasMes+(R$186+R$187+R$188+R$189)*V_DPT/DiasMes))</f>
        <v>0</v>
      </c>
      <c r="S203" s="34" t="n">
        <f aca="false">IF(14&gt;Fin,R$203,IF(AND(S$8=1,ISNUMBER(Reales!S55)),IF(Reales!$C$55="PYG",IF(S$10&gt;0,N(Reales!S55)/S$10,0),N(Reales!S55)),S$186*IF(S$8=1,N(vg_DInv),V_DInv)/DiasMes+(S$186+S$187+S$188+S$189)*V_DPT/DiasMes))</f>
        <v>0</v>
      </c>
      <c r="T203" s="34" t="n">
        <f aca="false">IF(15&gt;Fin,S$203,IF(AND(T$8=1,ISNUMBER(Reales!T55)),IF(Reales!$C$55="PYG",IF(T$10&gt;0,N(Reales!T55)/T$10,0),N(Reales!T55)),T$186*IF(T$8=1,N(vg_DInv),V_DInv)/DiasMes+(T$186+T$187+T$188+T$189)*V_DPT/DiasMes))</f>
        <v>0</v>
      </c>
      <c r="U203" s="34" t="n">
        <f aca="false">IF(16&gt;Fin,T$203,IF(AND(U$8=1,ISNUMBER(Reales!U55)),IF(Reales!$C$55="PYG",IF(U$10&gt;0,N(Reales!U55)/U$10,0),N(Reales!U55)),U$186*IF(U$8=1,N(vg_DInv),V_DInv)/DiasMes+(U$186+U$187+U$188+U$189)*V_DPT/DiasMes))</f>
        <v>0</v>
      </c>
      <c r="V203" s="34" t="n">
        <f aca="false">IF(17&gt;Fin,U$203,IF(AND(V$8=1,ISNUMBER(Reales!V55)),IF(Reales!$C$55="PYG",IF(V$10&gt;0,N(Reales!V55)/V$10,0),N(Reales!V55)),V$186*IF(V$8=1,N(vg_DInv),V_DInv)/DiasMes+(V$186+V$187+V$188+V$189)*V_DPT/DiasMes))</f>
        <v>0</v>
      </c>
      <c r="W203" s="34" t="n">
        <f aca="false">IF(18&gt;Fin,V$203,IF(AND(W$8=1,ISNUMBER(Reales!W55)),IF(Reales!$C$55="PYG",IF(W$10&gt;0,N(Reales!W55)/W$10,0),N(Reales!W55)),W$186*IF(W$8=1,N(vg_DInv),V_DInv)/DiasMes+(W$186+W$187+W$188+W$189)*V_DPT/DiasMes))</f>
        <v>0</v>
      </c>
      <c r="X203" s="34" t="n">
        <f aca="false">IF(19&gt;Fin,W$203,IF(AND(X$8=1,ISNUMBER(Reales!X55)),IF(Reales!$C$55="PYG",IF(X$10&gt;0,N(Reales!X55)/X$10,0),N(Reales!X55)),X$186*IF(X$8=1,N(vg_DInv),V_DInv)/DiasMes+(X$186+X$187+X$188+X$189)*V_DPT/DiasMes))</f>
        <v>0</v>
      </c>
      <c r="Y203" s="34" t="n">
        <f aca="false">IF(20&gt;Fin,X$203,IF(AND(Y$8=1,ISNUMBER(Reales!Y55)),IF(Reales!$C$55="PYG",IF(Y$10&gt;0,N(Reales!Y55)/Y$10,0),N(Reales!Y55)),Y$186*IF(Y$8=1,N(vg_DInv),V_DInv)/DiasMes+(Y$186+Y$187+Y$188+Y$189)*V_DPT/DiasMes))</f>
        <v>0</v>
      </c>
      <c r="Z203" s="34" t="n">
        <f aca="false">IF(21&gt;Fin,Y$203,IF(AND(Z$8=1,ISNUMBER(Reales!Z55)),IF(Reales!$C$55="PYG",IF(Z$10&gt;0,N(Reales!Z55)/Z$10,0),N(Reales!Z55)),Z$186*IF(Z$8=1,N(vg_DInv),V_DInv)/DiasMes+(Z$186+Z$187+Z$188+Z$189)*V_DPT/DiasMes))</f>
        <v>0</v>
      </c>
      <c r="AA203" s="34" t="n">
        <f aca="false">IF(22&gt;Fin,Z$203,IF(AND(AA$8=1,ISNUMBER(Reales!AA55)),IF(Reales!$C$55="PYG",IF(AA$10&gt;0,N(Reales!AA55)/AA$10,0),N(Reales!AA55)),AA$186*IF(AA$8=1,N(vg_DInv),V_DInv)/DiasMes+(AA$186+AA$187+AA$188+AA$189)*V_DPT/DiasMes))</f>
        <v>0</v>
      </c>
      <c r="AB203" s="34" t="n">
        <f aca="false">IF(23&gt;Fin,AA$203,IF(AND(AB$8=1,ISNUMBER(Reales!AB55)),IF(Reales!$C$55="PYG",IF(AB$10&gt;0,N(Reales!AB55)/AB$10,0),N(Reales!AB55)),AB$186*IF(AB$8=1,N(vg_DInv),V_DInv)/DiasMes+(AB$186+AB$187+AB$188+AB$189)*V_DPT/DiasMes))</f>
        <v>0</v>
      </c>
      <c r="AC203" s="34" t="n">
        <f aca="false">IF(24&gt;Fin,AB$203,IF(AND(AC$8=1,ISNUMBER(Reales!AC55)),IF(Reales!$C$55="PYG",IF(AC$10&gt;0,N(Reales!AC55)/AC$10,0),N(Reales!AC55)),AC$186*IF(AC$8=1,N(vg_DInv),V_DInv)/DiasMes+(AC$186+AC$187+AC$188+AC$189)*V_DPT/DiasMes))</f>
        <v>0</v>
      </c>
      <c r="AD203" s="34" t="n">
        <f aca="false">IF(25&gt;Fin,AC$203,IF(AND(AD$8=1,ISNUMBER(Reales!AD55)),IF(Reales!$C$55="PYG",IF(AD$10&gt;0,N(Reales!AD55)/AD$10,0),N(Reales!AD55)),AD$186*IF(AD$8=1,N(vg_DInv),V_DInv)/DiasMes+(AD$186+AD$187+AD$188+AD$189)*V_DPT/DiasMes))</f>
        <v>0</v>
      </c>
      <c r="AE203" s="34" t="n">
        <f aca="false">IF(26&gt;Fin,AD$203,IF(AND(AE$8=1,ISNUMBER(Reales!AE55)),IF(Reales!$C$55="PYG",IF(AE$10&gt;0,N(Reales!AE55)/AE$10,0),N(Reales!AE55)),AE$186*IF(AE$8=1,N(vg_DInv),V_DInv)/DiasMes+(AE$186+AE$187+AE$188+AE$189)*V_DPT/DiasMes))</f>
        <v>0</v>
      </c>
      <c r="AF203" s="34" t="n">
        <f aca="false">IF(27&gt;Fin,AE$203,IF(AND(AF$8=1,ISNUMBER(Reales!AF55)),IF(Reales!$C$55="PYG",IF(AF$10&gt;0,N(Reales!AF55)/AF$10,0),N(Reales!AF55)),AF$186*IF(AF$8=1,N(vg_DInv),V_DInv)/DiasMes+(AF$186+AF$187+AF$188+AF$189)*V_DPT/DiasMes))</f>
        <v>0</v>
      </c>
      <c r="AG203" s="34" t="n">
        <f aca="false">IF(28&gt;Fin,AF$203,IF(AND(AG$8=1,ISNUMBER(Reales!AG55)),IF(Reales!$C$55="PYG",IF(AG$10&gt;0,N(Reales!AG55)/AG$10,0),N(Reales!AG55)),AG$186*IF(AG$8=1,N(vg_DInv),V_DInv)/DiasMes+(AG$186+AG$187+AG$188+AG$189)*V_DPT/DiasMes))</f>
        <v>0</v>
      </c>
      <c r="AH203" s="34" t="n">
        <f aca="false">IF(29&gt;Fin,AG$203,IF(AND(AH$8=1,ISNUMBER(Reales!AH55)),IF(Reales!$C$55="PYG",IF(AH$10&gt;0,N(Reales!AH55)/AH$10,0),N(Reales!AH55)),AH$186*IF(AH$8=1,N(vg_DInv),V_DInv)/DiasMes+(AH$186+AH$187+AH$188+AH$189)*V_DPT/DiasMes))</f>
        <v>0</v>
      </c>
      <c r="AI203" s="34" t="n">
        <f aca="false">IF(30&gt;Fin,AH$203,IF(AND(AI$8=1,ISNUMBER(Reales!AI55)),IF(Reales!$C$55="PYG",IF(AI$10&gt;0,N(Reales!AI55)/AI$10,0),N(Reales!AI55)),AI$186*IF(AI$8=1,N(vg_DInv),V_DInv)/DiasMes+(AI$186+AI$187+AI$188+AI$189)*V_DPT/DiasMes))</f>
        <v>0</v>
      </c>
      <c r="AJ203" s="34" t="n">
        <f aca="false">IF(31&gt;Fin,AI$203,IF(AND(AJ$8=1,ISNUMBER(Reales!AJ55)),IF(Reales!$C$55="PYG",IF(AJ$10&gt;0,N(Reales!AJ55)/AJ$10,0),N(Reales!AJ55)),AJ$186*IF(AJ$8=1,N(vg_DInv),V_DInv)/DiasMes+(AJ$186+AJ$187+AJ$188+AJ$189)*V_DPT/DiasMes))</f>
        <v>0</v>
      </c>
      <c r="AK203" s="34" t="n">
        <f aca="false">IF(32&gt;Fin,AJ$203,IF(AND(AK$8=1,ISNUMBER(Reales!AK55)),IF(Reales!$C$55="PYG",IF(AK$10&gt;0,N(Reales!AK55)/AK$10,0),N(Reales!AK55)),AK$186*IF(AK$8=1,N(vg_DInv),V_DInv)/DiasMes+(AK$186+AK$187+AK$188+AK$189)*V_DPT/DiasMes))</f>
        <v>0</v>
      </c>
      <c r="AL203" s="34" t="n">
        <f aca="false">IF(33&gt;Fin,AK$203,IF(AND(AL$8=1,ISNUMBER(Reales!AL55)),IF(Reales!$C$55="PYG",IF(AL$10&gt;0,N(Reales!AL55)/AL$10,0),N(Reales!AL55)),AL$186*IF(AL$8=1,N(vg_DInv),V_DInv)/DiasMes+(AL$186+AL$187+AL$188+AL$189)*V_DPT/DiasMes))</f>
        <v>0</v>
      </c>
      <c r="AM203" s="34" t="n">
        <f aca="false">IF(34&gt;Fin,AL$203,IF(AND(AM$8=1,ISNUMBER(Reales!AM55)),IF(Reales!$C$55="PYG",IF(AM$10&gt;0,N(Reales!AM55)/AM$10,0),N(Reales!AM55)),AM$186*IF(AM$8=1,N(vg_DInv),V_DInv)/DiasMes+(AM$186+AM$187+AM$188+AM$189)*V_DPT/DiasMes))</f>
        <v>0</v>
      </c>
      <c r="AN203" s="34" t="n">
        <f aca="false">IF(35&gt;Fin,AM$203,IF(AND(AN$8=1,ISNUMBER(Reales!AN55)),IF(Reales!$C$55="PYG",IF(AN$10&gt;0,N(Reales!AN55)/AN$10,0),N(Reales!AN55)),AN$186*IF(AN$8=1,N(vg_DInv),V_DInv)/DiasMes+(AN$186+AN$187+AN$188+AN$189)*V_DPT/DiasMes))</f>
        <v>0</v>
      </c>
      <c r="AO203" s="34" t="n">
        <f aca="false">IF(36&gt;Fin,AN$203,IF(AND(AO$8=1,ISNUMBER(Reales!AO55)),IF(Reales!$C$55="PYG",IF(AO$10&gt;0,N(Reales!AO55)/AO$10,0),N(Reales!AO55)),AO$186*IF(AO$8=1,N(vg_DInv),V_DInv)/DiasMes+(AO$186+AO$187+AO$188+AO$189)*V_DPT/DiasMes))</f>
        <v>0</v>
      </c>
      <c r="AP203" s="34" t="n">
        <f aca="false">IF(37&gt;Fin,AO$203,IF(AND(AP$8=1,ISNUMBER(Reales!AP55)),IF(Reales!$C$55="PYG",IF(AP$10&gt;0,N(Reales!AP55)/AP$10,0),N(Reales!AP55)),AP$186*IF(AP$8=1,N(vg_DInv),V_DInv)/DiasMes+(AP$186+AP$187+AP$188+AP$189)*V_DPT/DiasMes))</f>
        <v>0</v>
      </c>
      <c r="AQ203" s="34" t="n">
        <f aca="false">IF(38&gt;Fin,AP$203,IF(AND(AQ$8=1,ISNUMBER(Reales!AQ55)),IF(Reales!$C$55="PYG",IF(AQ$10&gt;0,N(Reales!AQ55)/AQ$10,0),N(Reales!AQ55)),AQ$186*IF(AQ$8=1,N(vg_DInv),V_DInv)/DiasMes+(AQ$186+AQ$187+AQ$188+AQ$189)*V_DPT/DiasMes))</f>
        <v>0</v>
      </c>
      <c r="AR203" s="34" t="n">
        <f aca="false">IF(39&gt;Fin,AQ$203,IF(AND(AR$8=1,ISNUMBER(Reales!AR55)),IF(Reales!$C$55="PYG",IF(AR$10&gt;0,N(Reales!AR55)/AR$10,0),N(Reales!AR55)),AR$186*IF(AR$8=1,N(vg_DInv),V_DInv)/DiasMes+(AR$186+AR$187+AR$188+AR$189)*V_DPT/DiasMes))</f>
        <v>0</v>
      </c>
      <c r="AS203" s="34" t="n">
        <f aca="false">IF(40&gt;Fin,AR$203,IF(AND(AS$8=1,ISNUMBER(Reales!AS55)),IF(Reales!$C$55="PYG",IF(AS$10&gt;0,N(Reales!AS55)/AS$10,0),N(Reales!AS55)),AS$186*IF(AS$8=1,N(vg_DInv),V_DInv)/DiasMes+(AS$186+AS$187+AS$188+AS$189)*V_DPT/DiasMes))</f>
        <v>0</v>
      </c>
      <c r="AT203" s="34" t="n">
        <f aca="false">IF(41&gt;Fin,AS$203,IF(AND(AT$8=1,ISNUMBER(Reales!AT55)),IF(Reales!$C$55="PYG",IF(AT$10&gt;0,N(Reales!AT55)/AT$10,0),N(Reales!AT55)),AT$186*IF(AT$8=1,N(vg_DInv),V_DInv)/DiasMes+(AT$186+AT$187+AT$188+AT$189)*V_DPT/DiasMes))</f>
        <v>0</v>
      </c>
      <c r="AU203" s="34" t="n">
        <f aca="false">IF(42&gt;Fin,AT$203,IF(AND(AU$8=1,ISNUMBER(Reales!AU55)),IF(Reales!$C$55="PYG",IF(AU$10&gt;0,N(Reales!AU55)/AU$10,0),N(Reales!AU55)),AU$186*IF(AU$8=1,N(vg_DInv),V_DInv)/DiasMes+(AU$186+AU$187+AU$188+AU$189)*V_DPT/DiasMes))</f>
        <v>0</v>
      </c>
      <c r="AV203" s="34" t="n">
        <f aca="false">IF(43&gt;Fin,AU$203,IF(AND(AV$8=1,ISNUMBER(Reales!AV55)),IF(Reales!$C$55="PYG",IF(AV$10&gt;0,N(Reales!AV55)/AV$10,0),N(Reales!AV55)),AV$186*IF(AV$8=1,N(vg_DInv),V_DInv)/DiasMes+(AV$186+AV$187+AV$188+AV$189)*V_DPT/DiasMes))</f>
        <v>0</v>
      </c>
      <c r="AW203" s="34" t="n">
        <f aca="false">IF(44&gt;Fin,AV$203,IF(AND(AW$8=1,ISNUMBER(Reales!AW55)),IF(Reales!$C$55="PYG",IF(AW$10&gt;0,N(Reales!AW55)/AW$10,0),N(Reales!AW55)),AW$186*IF(AW$8=1,N(vg_DInv),V_DInv)/DiasMes+(AW$186+AW$187+AW$188+AW$189)*V_DPT/DiasMes))</f>
        <v>0</v>
      </c>
      <c r="AX203" s="34" t="n">
        <f aca="false">IF(45&gt;Fin,AW$203,IF(AND(AX$8=1,ISNUMBER(Reales!AX55)),IF(Reales!$C$55="PYG",IF(AX$10&gt;0,N(Reales!AX55)/AX$10,0),N(Reales!AX55)),AX$186*IF(AX$8=1,N(vg_DInv),V_DInv)/DiasMes+(AX$186+AX$187+AX$188+AX$189)*V_DPT/DiasMes))</f>
        <v>0</v>
      </c>
      <c r="AY203" s="34" t="n">
        <f aca="false">IF(46&gt;Fin,AX$203,IF(AND(AY$8=1,ISNUMBER(Reales!AY55)),IF(Reales!$C$55="PYG",IF(AY$10&gt;0,N(Reales!AY55)/AY$10,0),N(Reales!AY55)),AY$186*IF(AY$8=1,N(vg_DInv),V_DInv)/DiasMes+(AY$186+AY$187+AY$188+AY$189)*V_DPT/DiasMes))</f>
        <v>0</v>
      </c>
      <c r="AZ203" s="34" t="n">
        <f aca="false">IF(47&gt;Fin,AY$203,IF(AND(AZ$8=1,ISNUMBER(Reales!AZ55)),IF(Reales!$C$55="PYG",IF(AZ$10&gt;0,N(Reales!AZ55)/AZ$10,0),N(Reales!AZ55)),AZ$186*IF(AZ$8=1,N(vg_DInv),V_DInv)/DiasMes+(AZ$186+AZ$187+AZ$188+AZ$189)*V_DPT/DiasMes))</f>
        <v>0</v>
      </c>
      <c r="BA203" s="34" t="n">
        <f aca="false">IF(48&gt;Fin,AZ$203,IF(AND(BA$8=1,ISNUMBER(Reales!BA55)),IF(Reales!$C$55="PYG",IF(BA$10&gt;0,N(Reales!BA55)/BA$10,0),N(Reales!BA55)),BA$186*IF(BA$8=1,N(vg_DInv),V_DInv)/DiasMes+(BA$186+BA$187+BA$188+BA$189)*V_DPT/DiasMes))</f>
        <v>0</v>
      </c>
      <c r="BB203" s="34" t="n">
        <f aca="false">IF(49&gt;Fin,BA$203,IF(AND(BB$8=1,ISNUMBER(Reales!BB55)),IF(Reales!$C$55="PYG",IF(BB$10&gt;0,N(Reales!BB55)/BB$10,0),N(Reales!BB55)),BB$186*IF(BB$8=1,N(vg_DInv),V_DInv)/DiasMes+(BB$186+BB$187+BB$188+BB$189)*V_DPT/DiasMes))</f>
        <v>0</v>
      </c>
      <c r="BC203" s="34" t="n">
        <f aca="false">IF(50&gt;Fin,BB$203,IF(AND(BC$8=1,ISNUMBER(Reales!BC55)),IF(Reales!$C$55="PYG",IF(BC$10&gt;0,N(Reales!BC55)/BC$10,0),N(Reales!BC55)),BC$186*IF(BC$8=1,N(vg_DInv),V_DInv)/DiasMes+(BC$186+BC$187+BC$188+BC$189)*V_DPT/DiasMes))</f>
        <v>0</v>
      </c>
      <c r="BD203" s="34" t="n">
        <f aca="false">IF(51&gt;Fin,BC$203,IF(AND(BD$8=1,ISNUMBER(Reales!BD55)),IF(Reales!$C$55="PYG",IF(BD$10&gt;0,N(Reales!BD55)/BD$10,0),N(Reales!BD55)),BD$186*IF(BD$8=1,N(vg_DInv),V_DInv)/DiasMes+(BD$186+BD$187+BD$188+BD$189)*V_DPT/DiasMes))</f>
        <v>0</v>
      </c>
      <c r="BE203" s="34" t="n">
        <f aca="false">IF(52&gt;Fin,BD$203,IF(AND(BE$8=1,ISNUMBER(Reales!BE55)),IF(Reales!$C$55="PYG",IF(BE$10&gt;0,N(Reales!BE55)/BE$10,0),N(Reales!BE55)),BE$186*IF(BE$8=1,N(vg_DInv),V_DInv)/DiasMes+(BE$186+BE$187+BE$188+BE$189)*V_DPT/DiasMes))</f>
        <v>0</v>
      </c>
      <c r="BF203" s="34" t="n">
        <f aca="false">IF(53&gt;Fin,BE$203,IF(AND(BF$8=1,ISNUMBER(Reales!BF55)),IF(Reales!$C$55="PYG",IF(BF$10&gt;0,N(Reales!BF55)/BF$10,0),N(Reales!BF55)),BF$186*IF(BF$8=1,N(vg_DInv),V_DInv)/DiasMes+(BF$186+BF$187+BF$188+BF$189)*V_DPT/DiasMes))</f>
        <v>0</v>
      </c>
      <c r="BG203" s="34" t="n">
        <f aca="false">IF(54&gt;Fin,BF$203,IF(AND(BG$8=1,ISNUMBER(Reales!BG55)),IF(Reales!$C$55="PYG",IF(BG$10&gt;0,N(Reales!BG55)/BG$10,0),N(Reales!BG55)),BG$186*IF(BG$8=1,N(vg_DInv),V_DInv)/DiasMes+(BG$186+BG$187+BG$188+BG$189)*V_DPT/DiasMes))</f>
        <v>0</v>
      </c>
      <c r="BH203" s="34" t="n">
        <f aca="false">IF(55&gt;Fin,BG$203,IF(AND(BH$8=1,ISNUMBER(Reales!BH55)),IF(Reales!$C$55="PYG",IF(BH$10&gt;0,N(Reales!BH55)/BH$10,0),N(Reales!BH55)),BH$186*IF(BH$8=1,N(vg_DInv),V_DInv)/DiasMes+(BH$186+BH$187+BH$188+BH$189)*V_DPT/DiasMes))</f>
        <v>0</v>
      </c>
      <c r="BI203" s="34" t="n">
        <f aca="false">IF(56&gt;Fin,BH$203,IF(AND(BI$8=1,ISNUMBER(Reales!BI55)),IF(Reales!$C$55="PYG",IF(BI$10&gt;0,N(Reales!BI55)/BI$10,0),N(Reales!BI55)),BI$186*IF(BI$8=1,N(vg_DInv),V_DInv)/DiasMes+(BI$186+BI$187+BI$188+BI$189)*V_DPT/DiasMes))</f>
        <v>0</v>
      </c>
      <c r="BJ203" s="34" t="n">
        <f aca="false">IF(57&gt;Fin,BI$203,IF(AND(BJ$8=1,ISNUMBER(Reales!BJ55)),IF(Reales!$C$55="PYG",IF(BJ$10&gt;0,N(Reales!BJ55)/BJ$10,0),N(Reales!BJ55)),BJ$186*IF(BJ$8=1,N(vg_DInv),V_DInv)/DiasMes+(BJ$186+BJ$187+BJ$188+BJ$189)*V_DPT/DiasMes))</f>
        <v>0</v>
      </c>
      <c r="BK203" s="34" t="n">
        <f aca="false">IF(58&gt;Fin,BJ$203,IF(AND(BK$8=1,ISNUMBER(Reales!BK55)),IF(Reales!$C$55="PYG",IF(BK$10&gt;0,N(Reales!BK55)/BK$10,0),N(Reales!BK55)),BK$186*IF(BK$8=1,N(vg_DInv),V_DInv)/DiasMes+(BK$186+BK$187+BK$188+BK$189)*V_DPT/DiasMes))</f>
        <v>0</v>
      </c>
      <c r="BL203" s="34" t="n">
        <f aca="false">IF(59&gt;Fin,BK$203,IF(AND(BL$8=1,ISNUMBER(Reales!BL55)),IF(Reales!$C$55="PYG",IF(BL$10&gt;0,N(Reales!BL55)/BL$10,0),N(Reales!BL55)),BL$186*IF(BL$8=1,N(vg_DInv),V_DInv)/DiasMes+(BL$186+BL$187+BL$188+BL$189)*V_DPT/DiasMes))</f>
        <v>0</v>
      </c>
      <c r="BM203" s="34" t="n">
        <f aca="false">IF(60&gt;Fin,BL$203,IF(AND(BM$8=1,ISNUMBER(Reales!BM55)),IF(Reales!$C$55="PYG",IF(BM$10&gt;0,N(Reales!BM55)/BM$10,0),N(Reales!BM55)),BM$186*IF(BM$8=1,N(vg_DInv),V_DInv)/DiasMes+(BM$186+BM$187+BM$188+BM$189)*V_DPT/DiasMes))</f>
        <v>0</v>
      </c>
      <c r="BN203" s="34" t="n">
        <f aca="false">IF(61&gt;Fin,BM$203,IF(AND(BN$8=1,ISNUMBER(Reales!BN55)),IF(Reales!$C$55="PYG",IF(BN$10&gt;0,N(Reales!BN55)/BN$10,0),N(Reales!BN55)),BN$186*IF(BN$8=1,N(vg_DInv),V_DInv)/DiasMes+(BN$186+BN$187+BN$188+BN$189)*V_DPT/DiasMes))</f>
        <v>0</v>
      </c>
      <c r="BO203" s="34" t="n">
        <f aca="false">IF(62&gt;Fin,BN$203,IF(AND(BO$8=1,ISNUMBER(Reales!BO55)),IF(Reales!$C$55="PYG",IF(BO$10&gt;0,N(Reales!BO55)/BO$10,0),N(Reales!BO55)),BO$186*IF(BO$8=1,N(vg_DInv),V_DInv)/DiasMes+(BO$186+BO$187+BO$188+BO$189)*V_DPT/DiasMes))</f>
        <v>0</v>
      </c>
      <c r="BP203" s="34" t="n">
        <f aca="false">IF(63&gt;Fin,BO$203,IF(AND(BP$8=1,ISNUMBER(Reales!BP55)),IF(Reales!$C$55="PYG",IF(BP$10&gt;0,N(Reales!BP55)/BP$10,0),N(Reales!BP55)),BP$186*IF(BP$8=1,N(vg_DInv),V_DInv)/DiasMes+(BP$186+BP$187+BP$188+BP$189)*V_DPT/DiasMes))</f>
        <v>0</v>
      </c>
      <c r="BQ203" s="34" t="n">
        <f aca="false">IF(64&gt;Fin,BP$203,IF(AND(BQ$8=1,ISNUMBER(Reales!BQ55)),IF(Reales!$C$55="PYG",IF(BQ$10&gt;0,N(Reales!BQ55)/BQ$10,0),N(Reales!BQ55)),BQ$186*IF(BQ$8=1,N(vg_DInv),V_DInv)/DiasMes+(BQ$186+BQ$187+BQ$188+BQ$189)*V_DPT/DiasMes))</f>
        <v>0</v>
      </c>
      <c r="BR203" s="34" t="n">
        <f aca="false">IF(65&gt;Fin,BQ$203,IF(AND(BR$8=1,ISNUMBER(Reales!BR55)),IF(Reales!$C$55="PYG",IF(BR$10&gt;0,N(Reales!BR55)/BR$10,0),N(Reales!BR55)),BR$186*IF(BR$8=1,N(vg_DInv),V_DInv)/DiasMes+(BR$186+BR$187+BR$188+BR$189)*V_DPT/DiasMes))</f>
        <v>0</v>
      </c>
      <c r="BS203" s="34" t="n">
        <f aca="false">IF(66&gt;Fin,BR$203,IF(AND(BS$8=1,ISNUMBER(Reales!BS55)),IF(Reales!$C$55="PYG",IF(BS$10&gt;0,N(Reales!BS55)/BS$10,0),N(Reales!BS55)),BS$186*IF(BS$8=1,N(vg_DInv),V_DInv)/DiasMes+(BS$186+BS$187+BS$188+BS$189)*V_DPT/DiasMes))</f>
        <v>0</v>
      </c>
      <c r="BT203" s="34" t="n">
        <f aca="false">IF(67&gt;Fin,BS$203,IF(AND(BT$8=1,ISNUMBER(Reales!BT55)),IF(Reales!$C$55="PYG",IF(BT$10&gt;0,N(Reales!BT55)/BT$10,0),N(Reales!BT55)),BT$186*IF(BT$8=1,N(vg_DInv),V_DInv)/DiasMes+(BT$186+BT$187+BT$188+BT$189)*V_DPT/DiasMes))</f>
        <v>0</v>
      </c>
      <c r="BU203" s="34" t="n">
        <f aca="false">IF(68&gt;Fin,BT$203,IF(AND(BU$8=1,ISNUMBER(Reales!BU55)),IF(Reales!$C$55="PYG",IF(BU$10&gt;0,N(Reales!BU55)/BU$10,0),N(Reales!BU55)),BU$186*IF(BU$8=1,N(vg_DInv),V_DInv)/DiasMes+(BU$186+BU$187+BU$188+BU$189)*V_DPT/DiasMes))</f>
        <v>0</v>
      </c>
      <c r="BV203" s="34" t="n">
        <f aca="false">IF(69&gt;Fin,BU$203,IF(AND(BV$8=1,ISNUMBER(Reales!BV55)),IF(Reales!$C$55="PYG",IF(BV$10&gt;0,N(Reales!BV55)/BV$10,0),N(Reales!BV55)),BV$186*IF(BV$8=1,N(vg_DInv),V_DInv)/DiasMes+(BV$186+BV$187+BV$188+BV$189)*V_DPT/DiasMes))</f>
        <v>0</v>
      </c>
      <c r="BW203" s="34" t="n">
        <f aca="false">IF(70&gt;Fin,BV$203,IF(AND(BW$8=1,ISNUMBER(Reales!BW55)),IF(Reales!$C$55="PYG",IF(BW$10&gt;0,N(Reales!BW55)/BW$10,0),N(Reales!BW55)),BW$186*IF(BW$8=1,N(vg_DInv),V_DInv)/DiasMes+(BW$186+BW$187+BW$188+BW$189)*V_DPT/DiasMes))</f>
        <v>0</v>
      </c>
      <c r="BX203" s="34" t="n">
        <f aca="false">IF(71&gt;Fin,BW$203,IF(AND(BX$8=1,ISNUMBER(Reales!BX55)),IF(Reales!$C$55="PYG",IF(BX$10&gt;0,N(Reales!BX55)/BX$10,0),N(Reales!BX55)),BX$186*IF(BX$8=1,N(vg_DInv),V_DInv)/DiasMes+(BX$186+BX$187+BX$188+BX$189)*V_DPT/DiasMes))</f>
        <v>0</v>
      </c>
      <c r="BY203" s="34" t="n">
        <f aca="false">IF(72&gt;Fin,BX$203,IF(AND(BY$8=1,ISNUMBER(Reales!BY55)),IF(Reales!$C$55="PYG",IF(BY$10&gt;0,N(Reales!BY55)/BY$10,0),N(Reales!BY55)),BY$186*IF(BY$8=1,N(vg_DInv),V_DInv)/DiasMes+(BY$186+BY$187+BY$188+BY$189)*V_DPT/DiasMes))</f>
        <v>0</v>
      </c>
      <c r="BZ203" s="34" t="n">
        <f aca="false">IF(73&gt;Fin,BY$203,IF(AND(BZ$8=1,ISNUMBER(Reales!BZ55)),IF(Reales!$C$55="PYG",IF(BZ$10&gt;0,N(Reales!BZ55)/BZ$10,0),N(Reales!BZ55)),BZ$186*IF(BZ$8=1,N(vg_DInv),V_DInv)/DiasMes+(BZ$186+BZ$187+BZ$188+BZ$189)*V_DPT/DiasMes))</f>
        <v>0</v>
      </c>
      <c r="CA203" s="34" t="n">
        <f aca="false">IF(74&gt;Fin,BZ$203,IF(AND(CA$8=1,ISNUMBER(Reales!CA55)),IF(Reales!$C$55="PYG",IF(CA$10&gt;0,N(Reales!CA55)/CA$10,0),N(Reales!CA55)),CA$186*IF(CA$8=1,N(vg_DInv),V_DInv)/DiasMes+(CA$186+CA$187+CA$188+CA$189)*V_DPT/DiasMes))</f>
        <v>0</v>
      </c>
      <c r="CB203" s="34" t="n">
        <f aca="false">IF(75&gt;Fin,CA$203,IF(AND(CB$8=1,ISNUMBER(Reales!CB55)),IF(Reales!$C$55="PYG",IF(CB$10&gt;0,N(Reales!CB55)/CB$10,0),N(Reales!CB55)),CB$186*IF(CB$8=1,N(vg_DInv),V_DInv)/DiasMes+(CB$186+CB$187+CB$188+CB$189)*V_DPT/DiasMes))</f>
        <v>0</v>
      </c>
      <c r="CC203" s="34" t="n">
        <f aca="false">IF(76&gt;Fin,CB$203,IF(AND(CC$8=1,ISNUMBER(Reales!CC55)),IF(Reales!$C$55="PYG",IF(CC$10&gt;0,N(Reales!CC55)/CC$10,0),N(Reales!CC55)),CC$186*IF(CC$8=1,N(vg_DInv),V_DInv)/DiasMes+(CC$186+CC$187+CC$188+CC$189)*V_DPT/DiasMes))</f>
        <v>0</v>
      </c>
      <c r="CD203" s="34" t="n">
        <f aca="false">IF(77&gt;Fin,CC$203,IF(AND(CD$8=1,ISNUMBER(Reales!CD55)),IF(Reales!$C$55="PYG",IF(CD$10&gt;0,N(Reales!CD55)/CD$10,0),N(Reales!CD55)),CD$186*IF(CD$8=1,N(vg_DInv),V_DInv)/DiasMes+(CD$186+CD$187+CD$188+CD$189)*V_DPT/DiasMes))</f>
        <v>0</v>
      </c>
      <c r="CE203" s="34" t="n">
        <f aca="false">IF(78&gt;Fin,CD$203,IF(AND(CE$8=1,ISNUMBER(Reales!CE55)),IF(Reales!$C$55="PYG",IF(CE$10&gt;0,N(Reales!CE55)/CE$10,0),N(Reales!CE55)),CE$186*IF(CE$8=1,N(vg_DInv),V_DInv)/DiasMes+(CE$186+CE$187+CE$188+CE$189)*V_DPT/DiasMes))</f>
        <v>0</v>
      </c>
      <c r="CF203" s="34" t="n">
        <f aca="false">IF(79&gt;Fin,CE$203,IF(AND(CF$8=1,ISNUMBER(Reales!CF55)),IF(Reales!$C$55="PYG",IF(CF$10&gt;0,N(Reales!CF55)/CF$10,0),N(Reales!CF55)),CF$186*IF(CF$8=1,N(vg_DInv),V_DInv)/DiasMes+(CF$186+CF$187+CF$188+CF$189)*V_DPT/DiasMes))</f>
        <v>0</v>
      </c>
      <c r="CG203" s="34" t="n">
        <f aca="false">IF(80&gt;Fin,CF$203,IF(AND(CG$8=1,ISNUMBER(Reales!CG55)),IF(Reales!$C$55="PYG",IF(CG$10&gt;0,N(Reales!CG55)/CG$10,0),N(Reales!CG55)),CG$186*IF(CG$8=1,N(vg_DInv),V_DInv)/DiasMes+(CG$186+CG$187+CG$188+CG$189)*V_DPT/DiasMes))</f>
        <v>0</v>
      </c>
      <c r="CH203" s="34" t="n">
        <f aca="false">IF(81&gt;Fin,CG$203,IF(AND(CH$8=1,ISNUMBER(Reales!CH55)),IF(Reales!$C$55="PYG",IF(CH$10&gt;0,N(Reales!CH55)/CH$10,0),N(Reales!CH55)),CH$186*IF(CH$8=1,N(vg_DInv),V_DInv)/DiasMes+(CH$186+CH$187+CH$188+CH$189)*V_DPT/DiasMes))</f>
        <v>0</v>
      </c>
      <c r="CI203" s="34" t="n">
        <f aca="false">IF(82&gt;Fin,CH$203,IF(AND(CI$8=1,ISNUMBER(Reales!CI55)),IF(Reales!$C$55="PYG",IF(CI$10&gt;0,N(Reales!CI55)/CI$10,0),N(Reales!CI55)),CI$186*IF(CI$8=1,N(vg_DInv),V_DInv)/DiasMes+(CI$186+CI$187+CI$188+CI$189)*V_DPT/DiasMes))</f>
        <v>0</v>
      </c>
      <c r="CJ203" s="34" t="n">
        <f aca="false">IF(83&gt;Fin,CI$203,IF(AND(CJ$8=1,ISNUMBER(Reales!CJ55)),IF(Reales!$C$55="PYG",IF(CJ$10&gt;0,N(Reales!CJ55)/CJ$10,0),N(Reales!CJ55)),CJ$186*IF(CJ$8=1,N(vg_DInv),V_DInv)/DiasMes+(CJ$186+CJ$187+CJ$188+CJ$189)*V_DPT/DiasMes))</f>
        <v>0</v>
      </c>
      <c r="CK203" s="34" t="n">
        <f aca="false">IF(84&gt;Fin,CJ$203,IF(AND(CK$8=1,ISNUMBER(Reales!CK55)),IF(Reales!$C$55="PYG",IF(CK$10&gt;0,N(Reales!CK55)/CK$10,0),N(Reales!CK55)),CK$186*IF(CK$8=1,N(vg_DInv),V_DInv)/DiasMes+(CK$186+CK$187+CK$188+CK$189)*V_DPT/DiasMes))</f>
        <v>0</v>
      </c>
      <c r="CL203" s="34" t="n">
        <f aca="false">IF(85&gt;Fin,CK$203,IF(AND(CL$8=1,ISNUMBER(Reales!CL55)),IF(Reales!$C$55="PYG",IF(CL$10&gt;0,N(Reales!CL55)/CL$10,0),N(Reales!CL55)),CL$186*IF(CL$8=1,N(vg_DInv),V_DInv)/DiasMes+(CL$186+CL$187+CL$188+CL$189)*V_DPT/DiasMes))</f>
        <v>0</v>
      </c>
      <c r="CM203" s="34" t="n">
        <f aca="false">IF(86&gt;Fin,CL$203,IF(AND(CM$8=1,ISNUMBER(Reales!CM55)),IF(Reales!$C$55="PYG",IF(CM$10&gt;0,N(Reales!CM55)/CM$10,0),N(Reales!CM55)),CM$186*IF(CM$8=1,N(vg_DInv),V_DInv)/DiasMes+(CM$186+CM$187+CM$188+CM$189)*V_DPT/DiasMes))</f>
        <v>0</v>
      </c>
      <c r="CN203" s="34" t="n">
        <f aca="false">IF(87&gt;Fin,CM$203,IF(AND(CN$8=1,ISNUMBER(Reales!CN55)),IF(Reales!$C$55="PYG",IF(CN$10&gt;0,N(Reales!CN55)/CN$10,0),N(Reales!CN55)),CN$186*IF(CN$8=1,N(vg_DInv),V_DInv)/DiasMes+(CN$186+CN$187+CN$188+CN$189)*V_DPT/DiasMes))</f>
        <v>0</v>
      </c>
      <c r="CO203" s="34" t="n">
        <f aca="false">IF(88&gt;Fin,CN$203,IF(AND(CO$8=1,ISNUMBER(Reales!CO55)),IF(Reales!$C$55="PYG",IF(CO$10&gt;0,N(Reales!CO55)/CO$10,0),N(Reales!CO55)),CO$186*IF(CO$8=1,N(vg_DInv),V_DInv)/DiasMes+(CO$186+CO$187+CO$188+CO$189)*V_DPT/DiasMes))</f>
        <v>0</v>
      </c>
      <c r="CP203" s="34" t="n">
        <f aca="false">IF(89&gt;Fin,CO$203,IF(AND(CP$8=1,ISNUMBER(Reales!CP55)),IF(Reales!$C$55="PYG",IF(CP$10&gt;0,N(Reales!CP55)/CP$10,0),N(Reales!CP55)),CP$186*IF(CP$8=1,N(vg_DInv),V_DInv)/DiasMes+(CP$186+CP$187+CP$188+CP$189)*V_DPT/DiasMes))</f>
        <v>0</v>
      </c>
      <c r="CQ203" s="34" t="n">
        <f aca="false">IF(90&gt;Fin,CP$203,IF(AND(CQ$8=1,ISNUMBER(Reales!CQ55)),IF(Reales!$C$55="PYG",IF(CQ$10&gt;0,N(Reales!CQ55)/CQ$10,0),N(Reales!CQ55)),CQ$186*IF(CQ$8=1,N(vg_DInv),V_DInv)/DiasMes+(CQ$186+CQ$187+CQ$188+CQ$189)*V_DPT/DiasMes))</f>
        <v>0</v>
      </c>
      <c r="CR203" s="34" t="n">
        <f aca="false">IF(91&gt;Fin,CQ$203,IF(AND(CR$8=1,ISNUMBER(Reales!CR55)),IF(Reales!$C$55="PYG",IF(CR$10&gt;0,N(Reales!CR55)/CR$10,0),N(Reales!CR55)),CR$186*IF(CR$8=1,N(vg_DInv),V_DInv)/DiasMes+(CR$186+CR$187+CR$188+CR$189)*V_DPT/DiasMes))</f>
        <v>0</v>
      </c>
      <c r="CS203" s="34" t="n">
        <f aca="false">IF(92&gt;Fin,CR$203,IF(AND(CS$8=1,ISNUMBER(Reales!CS55)),IF(Reales!$C$55="PYG",IF(CS$10&gt;0,N(Reales!CS55)/CS$10,0),N(Reales!CS55)),CS$186*IF(CS$8=1,N(vg_DInv),V_DInv)/DiasMes+(CS$186+CS$187+CS$188+CS$189)*V_DPT/DiasMes))</f>
        <v>0</v>
      </c>
      <c r="CT203" s="34" t="n">
        <f aca="false">IF(93&gt;Fin,CS$203,IF(AND(CT$8=1,ISNUMBER(Reales!CT55)),IF(Reales!$C$55="PYG",IF(CT$10&gt;0,N(Reales!CT55)/CT$10,0),N(Reales!CT55)),CT$186*IF(CT$8=1,N(vg_DInv),V_DInv)/DiasMes+(CT$186+CT$187+CT$188+CT$189)*V_DPT/DiasMes))</f>
        <v>0</v>
      </c>
      <c r="CU203" s="34" t="n">
        <f aca="false">IF(94&gt;Fin,CT$203,IF(AND(CU$8=1,ISNUMBER(Reales!CU55)),IF(Reales!$C$55="PYG",IF(CU$10&gt;0,N(Reales!CU55)/CU$10,0),N(Reales!CU55)),CU$186*IF(CU$8=1,N(vg_DInv),V_DInv)/DiasMes+(CU$186+CU$187+CU$188+CU$189)*V_DPT/DiasMes))</f>
        <v>0</v>
      </c>
      <c r="CV203" s="34" t="n">
        <f aca="false">IF(95&gt;Fin,CU$203,IF(AND(CV$8=1,ISNUMBER(Reales!CV55)),IF(Reales!$C$55="PYG",IF(CV$10&gt;0,N(Reales!CV55)/CV$10,0),N(Reales!CV55)),CV$186*IF(CV$8=1,N(vg_DInv),V_DInv)/DiasMes+(CV$186+CV$187+CV$188+CV$189)*V_DPT/DiasMes))</f>
        <v>0</v>
      </c>
      <c r="CW203" s="34" t="n">
        <f aca="false">IF(96&gt;Fin,CV$203,IF(AND(CW$8=1,ISNUMBER(Reales!CW55)),IF(Reales!$C$55="PYG",IF(CW$10&gt;0,N(Reales!CW55)/CW$10,0),N(Reales!CW55)),CW$186*IF(CW$8=1,N(vg_DInv),V_DInv)/DiasMes+(CW$186+CW$187+CW$188+CW$189)*V_DPT/DiasMes))</f>
        <v>0</v>
      </c>
      <c r="CX203" s="34" t="n">
        <f aca="false">IF(97&gt;Fin,CW$203,IF(AND(CX$8=1,ISNUMBER(Reales!CX55)),IF(Reales!$C$55="PYG",IF(CX$10&gt;0,N(Reales!CX55)/CX$10,0),N(Reales!CX55)),CX$186*IF(CX$8=1,N(vg_DInv),V_DInv)/DiasMes+(CX$186+CX$187+CX$188+CX$189)*V_DPT/DiasMes))</f>
        <v>0</v>
      </c>
      <c r="CY203" s="34" t="n">
        <f aca="false">IF(98&gt;Fin,CX$203,IF(AND(CY$8=1,ISNUMBER(Reales!CY55)),IF(Reales!$C$55="PYG",IF(CY$10&gt;0,N(Reales!CY55)/CY$10,0),N(Reales!CY55)),CY$186*IF(CY$8=1,N(vg_DInv),V_DInv)/DiasMes+(CY$186+CY$187+CY$188+CY$189)*V_DPT/DiasMes))</f>
        <v>0</v>
      </c>
      <c r="CZ203" s="34" t="n">
        <f aca="false">IF(99&gt;Fin,CY$203,IF(AND(CZ$8=1,ISNUMBER(Reales!CZ55)),IF(Reales!$C$55="PYG",IF(CZ$10&gt;0,N(Reales!CZ55)/CZ$10,0),N(Reales!CZ55)),CZ$186*IF(CZ$8=1,N(vg_DInv),V_DInv)/DiasMes+(CZ$186+CZ$187+CZ$188+CZ$189)*V_DPT/DiasMes))</f>
        <v>0</v>
      </c>
      <c r="DA203" s="34" t="n">
        <f aca="false">IF(100&gt;Fin,CZ$203,IF(AND(DA$8=1,ISNUMBER(Reales!DA55)),IF(Reales!$C$55="PYG",IF(DA$10&gt;0,N(Reales!DA55)/DA$10,0),N(Reales!DA55)),DA$186*IF(DA$8=1,N(vg_DInv),V_DInv)/DiasMes+(DA$186+DA$187+DA$188+DA$189)*V_DPT/DiasMes))</f>
        <v>0</v>
      </c>
      <c r="DB203" s="34" t="n">
        <f aca="false">IF(101&gt;Fin,DA$203,IF(AND(DB$8=1,ISNUMBER(Reales!DB55)),IF(Reales!$C$55="PYG",IF(DB$10&gt;0,N(Reales!DB55)/DB$10,0),N(Reales!DB55)),DB$186*IF(DB$8=1,N(vg_DInv),V_DInv)/DiasMes+(DB$186+DB$187+DB$188+DB$189)*V_DPT/DiasMes))</f>
        <v>0</v>
      </c>
      <c r="DC203" s="34" t="n">
        <f aca="false">IF(102&gt;Fin,DB$203,IF(AND(DC$8=1,ISNUMBER(Reales!DC55)),IF(Reales!$C$55="PYG",IF(DC$10&gt;0,N(Reales!DC55)/DC$10,0),N(Reales!DC55)),DC$186*IF(DC$8=1,N(vg_DInv),V_DInv)/DiasMes+(DC$186+DC$187+DC$188+DC$189)*V_DPT/DiasMes))</f>
        <v>0</v>
      </c>
      <c r="DD203" s="34" t="n">
        <f aca="false">IF(103&gt;Fin,DC$203,IF(AND(DD$8=1,ISNUMBER(Reales!DD55)),IF(Reales!$C$55="PYG",IF(DD$10&gt;0,N(Reales!DD55)/DD$10,0),N(Reales!DD55)),DD$186*IF(DD$8=1,N(vg_DInv),V_DInv)/DiasMes+(DD$186+DD$187+DD$188+DD$189)*V_DPT/DiasMes))</f>
        <v>0</v>
      </c>
      <c r="DE203" s="34" t="n">
        <f aca="false">IF(104&gt;Fin,DD$203,IF(AND(DE$8=1,ISNUMBER(Reales!DE55)),IF(Reales!$C$55="PYG",IF(DE$10&gt;0,N(Reales!DE55)/DE$10,0),N(Reales!DE55)),DE$186*IF(DE$8=1,N(vg_DInv),V_DInv)/DiasMes+(DE$186+DE$187+DE$188+DE$189)*V_DPT/DiasMes))</f>
        <v>0</v>
      </c>
      <c r="DF203" s="34" t="n">
        <f aca="false">IF(105&gt;Fin,DE$203,IF(AND(DF$8=1,ISNUMBER(Reales!DF55)),IF(Reales!$C$55="PYG",IF(DF$10&gt;0,N(Reales!DF55)/DF$10,0),N(Reales!DF55)),DF$186*IF(DF$8=1,N(vg_DInv),V_DInv)/DiasMes+(DF$186+DF$187+DF$188+DF$189)*V_DPT/DiasMes))</f>
        <v>0</v>
      </c>
      <c r="DG203" s="34" t="n">
        <f aca="false">IF(106&gt;Fin,DF$203,IF(AND(DG$8=1,ISNUMBER(Reales!DG55)),IF(Reales!$C$55="PYG",IF(DG$10&gt;0,N(Reales!DG55)/DG$10,0),N(Reales!DG55)),DG$186*IF(DG$8=1,N(vg_DInv),V_DInv)/DiasMes+(DG$186+DG$187+DG$188+DG$189)*V_DPT/DiasMes))</f>
        <v>0</v>
      </c>
      <c r="DH203" s="34" t="n">
        <f aca="false">IF(107&gt;Fin,DG$203,IF(AND(DH$8=1,ISNUMBER(Reales!DH55)),IF(Reales!$C$55="PYG",IF(DH$10&gt;0,N(Reales!DH55)/DH$10,0),N(Reales!DH55)),DH$186*IF(DH$8=1,N(vg_DInv),V_DInv)/DiasMes+(DH$186+DH$187+DH$188+DH$189)*V_DPT/DiasMes))</f>
        <v>0</v>
      </c>
      <c r="DI203" s="34" t="n">
        <f aca="false">IF(108&gt;Fin,DH$203,IF(AND(DI$8=1,ISNUMBER(Reales!DI55)),IF(Reales!$C$55="PYG",IF(DI$10&gt;0,N(Reales!DI55)/DI$10,0),N(Reales!DI55)),DI$186*IF(DI$8=1,N(vg_DInv),V_DInv)/DiasMes+(DI$186+DI$187+DI$188+DI$189)*V_DPT/DiasMes))</f>
        <v>0</v>
      </c>
      <c r="DJ203" s="34" t="n">
        <f aca="false">IF(109&gt;Fin,DI$203,IF(AND(DJ$8=1,ISNUMBER(Reales!DJ55)),IF(Reales!$C$55="PYG",IF(DJ$10&gt;0,N(Reales!DJ55)/DJ$10,0),N(Reales!DJ55)),DJ$186*IF(DJ$8=1,N(vg_DInv),V_DInv)/DiasMes+(DJ$186+DJ$187+DJ$188+DJ$189)*V_DPT/DiasMes))</f>
        <v>0</v>
      </c>
      <c r="DK203" s="34" t="n">
        <f aca="false">IF(110&gt;Fin,DJ$203,IF(AND(DK$8=1,ISNUMBER(Reales!DK55)),IF(Reales!$C$55="PYG",IF(DK$10&gt;0,N(Reales!DK55)/DK$10,0),N(Reales!DK55)),DK$186*IF(DK$8=1,N(vg_DInv),V_DInv)/DiasMes+(DK$186+DK$187+DK$188+DK$189)*V_DPT/DiasMes))</f>
        <v>0</v>
      </c>
      <c r="DL203" s="34" t="n">
        <f aca="false">IF(111&gt;Fin,DK$203,IF(AND(DL$8=1,ISNUMBER(Reales!DL55)),IF(Reales!$C$55="PYG",IF(DL$10&gt;0,N(Reales!DL55)/DL$10,0),N(Reales!DL55)),DL$186*IF(DL$8=1,N(vg_DInv),V_DInv)/DiasMes+(DL$186+DL$187+DL$188+DL$189)*V_DPT/DiasMes))</f>
        <v>0</v>
      </c>
      <c r="DM203" s="34" t="n">
        <f aca="false">IF(112&gt;Fin,DL$203,IF(AND(DM$8=1,ISNUMBER(Reales!DM55)),IF(Reales!$C$55="PYG",IF(DM$10&gt;0,N(Reales!DM55)/DM$10,0),N(Reales!DM55)),DM$186*IF(DM$8=1,N(vg_DInv),V_DInv)/DiasMes+(DM$186+DM$187+DM$188+DM$189)*V_DPT/DiasMes))</f>
        <v>0</v>
      </c>
      <c r="DN203" s="34" t="n">
        <f aca="false">IF(113&gt;Fin,DM$203,IF(AND(DN$8=1,ISNUMBER(Reales!DN55)),IF(Reales!$C$55="PYG",IF(DN$10&gt;0,N(Reales!DN55)/DN$10,0),N(Reales!DN55)),DN$186*IF(DN$8=1,N(vg_DInv),V_DInv)/DiasMes+(DN$186+DN$187+DN$188+DN$189)*V_DPT/DiasMes))</f>
        <v>0</v>
      </c>
      <c r="DO203" s="34" t="n">
        <f aca="false">IF(114&gt;Fin,DN$203,IF(AND(DO$8=1,ISNUMBER(Reales!DO55)),IF(Reales!$C$55="PYG",IF(DO$10&gt;0,N(Reales!DO55)/DO$10,0),N(Reales!DO55)),DO$186*IF(DO$8=1,N(vg_DInv),V_DInv)/DiasMes+(DO$186+DO$187+DO$188+DO$189)*V_DPT/DiasMes))</f>
        <v>0</v>
      </c>
      <c r="DP203" s="34" t="n">
        <f aca="false">IF(115&gt;Fin,DO$203,IF(AND(DP$8=1,ISNUMBER(Reales!DP55)),IF(Reales!$C$55="PYG",IF(DP$10&gt;0,N(Reales!DP55)/DP$10,0),N(Reales!DP55)),DP$186*IF(DP$8=1,N(vg_DInv),V_DInv)/DiasMes+(DP$186+DP$187+DP$188+DP$189)*V_DPT/DiasMes))</f>
        <v>0</v>
      </c>
      <c r="DQ203" s="34" t="n">
        <f aca="false">IF(116&gt;Fin,DP$203,IF(AND(DQ$8=1,ISNUMBER(Reales!DQ55)),IF(Reales!$C$55="PYG",IF(DQ$10&gt;0,N(Reales!DQ55)/DQ$10,0),N(Reales!DQ55)),DQ$186*IF(DQ$8=1,N(vg_DInv),V_DInv)/DiasMes+(DQ$186+DQ$187+DQ$188+DQ$189)*V_DPT/DiasMes))</f>
        <v>0</v>
      </c>
      <c r="DR203" s="34" t="n">
        <f aca="false">IF(117&gt;Fin,DQ$203,IF(AND(DR$8=1,ISNUMBER(Reales!DR55)),IF(Reales!$C$55="PYG",IF(DR$10&gt;0,N(Reales!DR55)/DR$10,0),N(Reales!DR55)),DR$186*IF(DR$8=1,N(vg_DInv),V_DInv)/DiasMes+(DR$186+DR$187+DR$188+DR$189)*V_DPT/DiasMes))</f>
        <v>0</v>
      </c>
      <c r="DS203" s="34" t="n">
        <f aca="false">IF(118&gt;Fin,DR$203,IF(AND(DS$8=1,ISNUMBER(Reales!DS55)),IF(Reales!$C$55="PYG",IF(DS$10&gt;0,N(Reales!DS55)/DS$10,0),N(Reales!DS55)),DS$186*IF(DS$8=1,N(vg_DInv),V_DInv)/DiasMes+(DS$186+DS$187+DS$188+DS$189)*V_DPT/DiasMes))</f>
        <v>0</v>
      </c>
      <c r="DT203" s="34" t="n">
        <f aca="false">IF(119&gt;Fin,DS$203,IF(AND(DT$8=1,ISNUMBER(Reales!DT55)),IF(Reales!$C$55="PYG",IF(DT$10&gt;0,N(Reales!DT55)/DT$10,0),N(Reales!DT55)),DT$186*IF(DT$8=1,N(vg_DInv),V_DInv)/DiasMes+(DT$186+DT$187+DT$188+DT$189)*V_DPT/DiasMes))</f>
        <v>0</v>
      </c>
      <c r="DU203" s="34" t="n">
        <f aca="false">IF(120&gt;Fin,DT$203,IF(AND(DU$8=1,ISNUMBER(Reales!DU55)),IF(Reales!$C$55="PYG",IF(DU$10&gt;0,N(Reales!DU55)/DU$10,0),N(Reales!DU55)),DU$186*IF(DU$8=1,N(vg_DInv),V_DInv)/DiasMes+(DU$186+DU$187+DU$188+DU$189)*V_DPT/DiasMes))</f>
        <v>0</v>
      </c>
      <c r="DV203" s="34" t="n">
        <f aca="false">IF(121&gt;Fin,DU$203,IF(AND(DV$8=1,ISNUMBER(Reales!DV55)),IF(Reales!$C$55="PYG",IF(DV$10&gt;0,N(Reales!DV55)/DV$10,0),N(Reales!DV55)),DV$186*IF(DV$8=1,N(vg_DInv),V_DInv)/DiasMes+(DV$186+DV$187+DV$188+DV$189)*V_DPT/DiasMes))</f>
        <v>0</v>
      </c>
      <c r="DW203" s="34" t="n">
        <f aca="false">IF(122&gt;Fin,DV$203,IF(AND(DW$8=1,ISNUMBER(Reales!DW55)),IF(Reales!$C$55="PYG",IF(DW$10&gt;0,N(Reales!DW55)/DW$10,0),N(Reales!DW55)),DW$186*IF(DW$8=1,N(vg_DInv),V_DInv)/DiasMes+(DW$186+DW$187+DW$188+DW$189)*V_DPT/DiasMes))</f>
        <v>0</v>
      </c>
      <c r="DX203" s="34" t="n">
        <f aca="false">IF(123&gt;Fin,DW$203,IF(AND(DX$8=1,ISNUMBER(Reales!DX55)),IF(Reales!$C$55="PYG",IF(DX$10&gt;0,N(Reales!DX55)/DX$10,0),N(Reales!DX55)),DX$186*IF(DX$8=1,N(vg_DInv),V_DInv)/DiasMes+(DX$186+DX$187+DX$188+DX$189)*V_DPT/DiasMes))</f>
        <v>0</v>
      </c>
      <c r="DY203" s="34" t="n">
        <f aca="false">IF(124&gt;Fin,DX$203,IF(AND(DY$8=1,ISNUMBER(Reales!DY55)),IF(Reales!$C$55="PYG",IF(DY$10&gt;0,N(Reales!DY55)/DY$10,0),N(Reales!DY55)),DY$186*IF(DY$8=1,N(vg_DInv),V_DInv)/DiasMes+(DY$186+DY$187+DY$188+DY$189)*V_DPT/DiasMes))</f>
        <v>0</v>
      </c>
      <c r="DZ203" s="34" t="n">
        <f aca="false">IF(125&gt;Fin,DY$203,IF(AND(DZ$8=1,ISNUMBER(Reales!DZ55)),IF(Reales!$C$55="PYG",IF(DZ$10&gt;0,N(Reales!DZ55)/DZ$10,0),N(Reales!DZ55)),DZ$186*IF(DZ$8=1,N(vg_DInv),V_DInv)/DiasMes+(DZ$186+DZ$187+DZ$188+DZ$189)*V_DPT/DiasMes))</f>
        <v>0</v>
      </c>
      <c r="EA203" s="34" t="n">
        <f aca="false">IF(126&gt;Fin,DZ$203,IF(AND(EA$8=1,ISNUMBER(Reales!EA55)),IF(Reales!$C$55="PYG",IF(EA$10&gt;0,N(Reales!EA55)/EA$10,0),N(Reales!EA55)),EA$186*IF(EA$8=1,N(vg_DInv),V_DInv)/DiasMes+(EA$186+EA$187+EA$188+EA$189)*V_DPT/DiasMes))</f>
        <v>0</v>
      </c>
      <c r="EB203" s="34" t="n">
        <f aca="false">IF(127&gt;Fin,EA$203,IF(AND(EB$8=1,ISNUMBER(Reales!EB55)),IF(Reales!$C$55="PYG",IF(EB$10&gt;0,N(Reales!EB55)/EB$10,0),N(Reales!EB55)),EB$186*IF(EB$8=1,N(vg_DInv),V_DInv)/DiasMes+(EB$186+EB$187+EB$188+EB$189)*V_DPT/DiasMes))</f>
        <v>0</v>
      </c>
      <c r="EC203" s="34" t="n">
        <f aca="false">IF(128&gt;Fin,EB$203,IF(AND(EC$8=1,ISNUMBER(Reales!EC55)),IF(Reales!$C$55="PYG",IF(EC$10&gt;0,N(Reales!EC55)/EC$10,0),N(Reales!EC55)),EC$186*IF(EC$8=1,N(vg_DInv),V_DInv)/DiasMes+(EC$186+EC$187+EC$188+EC$189)*V_DPT/DiasMes))</f>
        <v>0</v>
      </c>
      <c r="ED203" s="34" t="n">
        <f aca="false">IF(129&gt;Fin,EC$203,IF(AND(ED$8=1,ISNUMBER(Reales!ED55)),IF(Reales!$C$55="PYG",IF(ED$10&gt;0,N(Reales!ED55)/ED$10,0),N(Reales!ED55)),ED$186*IF(ED$8=1,N(vg_DInv),V_DInv)/DiasMes+(ED$186+ED$187+ED$188+ED$189)*V_DPT/DiasMes))</f>
        <v>0</v>
      </c>
      <c r="EE203" s="34" t="n">
        <f aca="false">IF(130&gt;Fin,ED$203,IF(AND(EE$8=1,ISNUMBER(Reales!EE55)),IF(Reales!$C$55="PYG",IF(EE$10&gt;0,N(Reales!EE55)/EE$10,0),N(Reales!EE55)),EE$186*IF(EE$8=1,N(vg_DInv),V_DInv)/DiasMes+(EE$186+EE$187+EE$188+EE$189)*V_DPT/DiasMes))</f>
        <v>0</v>
      </c>
      <c r="EF203" s="34" t="n">
        <f aca="false">IF(131&gt;Fin,EE$203,IF(AND(EF$8=1,ISNUMBER(Reales!EF55)),IF(Reales!$C$55="PYG",IF(EF$10&gt;0,N(Reales!EF55)/EF$10,0),N(Reales!EF55)),EF$186*IF(EF$8=1,N(vg_DInv),V_DInv)/DiasMes+(EF$186+EF$187+EF$188+EF$189)*V_DPT/DiasMes))</f>
        <v>0</v>
      </c>
      <c r="EG203" s="34" t="n">
        <f aca="false">IF(132&gt;Fin,EF$203,IF(AND(EG$8=1,ISNUMBER(Reales!EG55)),IF(Reales!$C$55="PYG",IF(EG$10&gt;0,N(Reales!EG55)/EG$10,0),N(Reales!EG55)),EG$186*IF(EG$8=1,N(vg_DInv),V_DInv)/DiasMes+(EG$186+EG$187+EG$188+EG$189)*V_DPT/DiasMes))</f>
        <v>0</v>
      </c>
      <c r="EH203" s="34" t="n">
        <f aca="false">IF(133&gt;Fin,EG$203,IF(AND(EH$8=1,ISNUMBER(Reales!EH55)),IF(Reales!$C$55="PYG",IF(EH$10&gt;0,N(Reales!EH55)/EH$10,0),N(Reales!EH55)),EH$186*IF(EH$8=1,N(vg_DInv),V_DInv)/DiasMes+(EH$186+EH$187+EH$188+EH$189)*V_DPT/DiasMes))</f>
        <v>0</v>
      </c>
      <c r="EI203" s="34" t="n">
        <f aca="false">IF(134&gt;Fin,EH$203,IF(AND(EI$8=1,ISNUMBER(Reales!EI55)),IF(Reales!$C$55="PYG",IF(EI$10&gt;0,N(Reales!EI55)/EI$10,0),N(Reales!EI55)),EI$186*IF(EI$8=1,N(vg_DInv),V_DInv)/DiasMes+(EI$186+EI$187+EI$188+EI$189)*V_DPT/DiasMes))</f>
        <v>0</v>
      </c>
      <c r="EJ203" s="34" t="n">
        <f aca="false">IF(135&gt;Fin,EI$203,IF(AND(EJ$8=1,ISNUMBER(Reales!EJ55)),IF(Reales!$C$55="PYG",IF(EJ$10&gt;0,N(Reales!EJ55)/EJ$10,0),N(Reales!EJ55)),EJ$186*IF(EJ$8=1,N(vg_DInv),V_DInv)/DiasMes+(EJ$186+EJ$187+EJ$188+EJ$189)*V_DPT/DiasMes))</f>
        <v>0</v>
      </c>
      <c r="EK203" s="34" t="n">
        <f aca="false">IF(136&gt;Fin,EJ$203,IF(AND(EK$8=1,ISNUMBER(Reales!EK55)),IF(Reales!$C$55="PYG",IF(EK$10&gt;0,N(Reales!EK55)/EK$10,0),N(Reales!EK55)),EK$186*IF(EK$8=1,N(vg_DInv),V_DInv)/DiasMes+(EK$186+EK$187+EK$188+EK$189)*V_DPT/DiasMes))</f>
        <v>0</v>
      </c>
      <c r="EL203" s="34" t="n">
        <f aca="false">IF(137&gt;Fin,EK$203,IF(AND(EL$8=1,ISNUMBER(Reales!EL55)),IF(Reales!$C$55="PYG",IF(EL$10&gt;0,N(Reales!EL55)/EL$10,0),N(Reales!EL55)),EL$186*IF(EL$8=1,N(vg_DInv),V_DInv)/DiasMes+(EL$186+EL$187+EL$188+EL$189)*V_DPT/DiasMes))</f>
        <v>0</v>
      </c>
      <c r="EM203" s="34" t="n">
        <f aca="false">IF(138&gt;Fin,EL$203,IF(AND(EM$8=1,ISNUMBER(Reales!EM55)),IF(Reales!$C$55="PYG",IF(EM$10&gt;0,N(Reales!EM55)/EM$10,0),N(Reales!EM55)),EM$186*IF(EM$8=1,N(vg_DInv),V_DInv)/DiasMes+(EM$186+EM$187+EM$188+EM$189)*V_DPT/DiasMes))</f>
        <v>0</v>
      </c>
      <c r="EN203" s="34" t="n">
        <f aca="false">IF(139&gt;Fin,EM$203,IF(AND(EN$8=1,ISNUMBER(Reales!EN55)),IF(Reales!$C$55="PYG",IF(EN$10&gt;0,N(Reales!EN55)/EN$10,0),N(Reales!EN55)),EN$186*IF(EN$8=1,N(vg_DInv),V_DInv)/DiasMes+(EN$186+EN$187+EN$188+EN$189)*V_DPT/DiasMes))</f>
        <v>0</v>
      </c>
      <c r="EO203" s="34" t="n">
        <f aca="false">IF(140&gt;Fin,EN$203,IF(AND(EO$8=1,ISNUMBER(Reales!EO55)),IF(Reales!$C$55="PYG",IF(EO$10&gt;0,N(Reales!EO55)/EO$10,0),N(Reales!EO55)),EO$186*IF(EO$8=1,N(vg_DInv),V_DInv)/DiasMes+(EO$186+EO$187+EO$188+EO$189)*V_DPT/DiasMes))</f>
        <v>0</v>
      </c>
      <c r="EP203" s="34" t="n">
        <f aca="false">IF(141&gt;Fin,EO$203,IF(AND(EP$8=1,ISNUMBER(Reales!EP55)),IF(Reales!$C$55="PYG",IF(EP$10&gt;0,N(Reales!EP55)/EP$10,0),N(Reales!EP55)),EP$186*IF(EP$8=1,N(vg_DInv),V_DInv)/DiasMes+(EP$186+EP$187+EP$188+EP$189)*V_DPT/DiasMes))</f>
        <v>0</v>
      </c>
      <c r="EQ203" s="34" t="n">
        <f aca="false">IF(142&gt;Fin,EP$203,IF(AND(EQ$8=1,ISNUMBER(Reales!EQ55)),IF(Reales!$C$55="PYG",IF(EQ$10&gt;0,N(Reales!EQ55)/EQ$10,0),N(Reales!EQ55)),EQ$186*IF(EQ$8=1,N(vg_DInv),V_DInv)/DiasMes+(EQ$186+EQ$187+EQ$188+EQ$189)*V_DPT/DiasMes))</f>
        <v>0</v>
      </c>
      <c r="ER203" s="34" t="n">
        <f aca="false">IF(143&gt;Fin,EQ$203,IF(AND(ER$8=1,ISNUMBER(Reales!ER55)),IF(Reales!$C$55="PYG",IF(ER$10&gt;0,N(Reales!ER55)/ER$10,0),N(Reales!ER55)),ER$186*IF(ER$8=1,N(vg_DInv),V_DInv)/DiasMes+(ER$186+ER$187+ER$188+ER$189)*V_DPT/DiasMes))</f>
        <v>0</v>
      </c>
      <c r="ES203" s="34" t="n">
        <f aca="false">IF(144&gt;Fin,ER$203,IF(AND(ES$8=1,ISNUMBER(Reales!ES55)),IF(Reales!$C$55="PYG",IF(ES$10&gt;0,N(Reales!ES55)/ES$10,0),N(Reales!ES55)),ES$186*IF(ES$8=1,N(vg_DInv),V_DInv)/DiasMes+(ES$186+ES$187+ES$188+ES$189)*V_DPT/DiasMes))</f>
        <v>0</v>
      </c>
    </row>
    <row r="204" customFormat="false" ht="15" hidden="false" customHeight="false" outlineLevel="0" collapsed="false">
      <c r="A204" s="2" t="s">
        <v>680</v>
      </c>
      <c r="B204" s="6" t="s">
        <v>531</v>
      </c>
      <c r="C204" s="6" t="s">
        <v>212</v>
      </c>
      <c r="E204" s="40" t="n">
        <f aca="false">INDEX(F204:ES204,1,MIN(144,Fin))</f>
        <v>0</v>
      </c>
      <c r="F204" s="34" t="n">
        <f aca="false">IF(1&gt;Fin,0,IF(AND(F$8=1,ISNUMBER(Reales!F56)),IF(Reales!$C$56="PYG",IF(F$10&gt;0,N(Reales!F56)/F$10,0),N(Reales!F56)),F$194*V_IVAmeses))</f>
        <v>0</v>
      </c>
      <c r="G204" s="34" t="n">
        <f aca="false">IF(2&gt;Fin,F$204,IF(AND(G$8=1,ISNUMBER(Reales!G56)),IF(Reales!$C$56="PYG",IF(G$10&gt;0,N(Reales!G56)/G$10,0),N(Reales!G56)),G$194*V_IVAmeses))</f>
        <v>0</v>
      </c>
      <c r="H204" s="34" t="n">
        <f aca="false">IF(3&gt;Fin,G$204,IF(AND(H$8=1,ISNUMBER(Reales!H56)),IF(Reales!$C$56="PYG",IF(H$10&gt;0,N(Reales!H56)/H$10,0),N(Reales!H56)),H$194*V_IVAmeses))</f>
        <v>0</v>
      </c>
      <c r="I204" s="34" t="n">
        <f aca="false">IF(4&gt;Fin,H$204,IF(AND(I$8=1,ISNUMBER(Reales!I56)),IF(Reales!$C$56="PYG",IF(I$10&gt;0,N(Reales!I56)/I$10,0),N(Reales!I56)),I$194*V_IVAmeses))</f>
        <v>0</v>
      </c>
      <c r="J204" s="34" t="n">
        <f aca="false">IF(5&gt;Fin,I$204,IF(AND(J$8=1,ISNUMBER(Reales!J56)),IF(Reales!$C$56="PYG",IF(J$10&gt;0,N(Reales!J56)/J$10,0),N(Reales!J56)),J$194*V_IVAmeses))</f>
        <v>0</v>
      </c>
      <c r="K204" s="34" t="n">
        <f aca="false">IF(6&gt;Fin,J$204,IF(AND(K$8=1,ISNUMBER(Reales!K56)),IF(Reales!$C$56="PYG",IF(K$10&gt;0,N(Reales!K56)/K$10,0),N(Reales!K56)),K$194*V_IVAmeses))</f>
        <v>0</v>
      </c>
      <c r="L204" s="34" t="n">
        <f aca="false">IF(7&gt;Fin,K$204,IF(AND(L$8=1,ISNUMBER(Reales!L56)),IF(Reales!$C$56="PYG",IF(L$10&gt;0,N(Reales!L56)/L$10,0),N(Reales!L56)),L$194*V_IVAmeses))</f>
        <v>0</v>
      </c>
      <c r="M204" s="34" t="n">
        <f aca="false">IF(8&gt;Fin,L$204,IF(AND(M$8=1,ISNUMBER(Reales!M56)),IF(Reales!$C$56="PYG",IF(M$10&gt;0,N(Reales!M56)/M$10,0),N(Reales!M56)),M$194*V_IVAmeses))</f>
        <v>0</v>
      </c>
      <c r="N204" s="34" t="n">
        <f aca="false">IF(9&gt;Fin,M$204,IF(AND(N$8=1,ISNUMBER(Reales!N56)),IF(Reales!$C$56="PYG",IF(N$10&gt;0,N(Reales!N56)/N$10,0),N(Reales!N56)),N$194*V_IVAmeses))</f>
        <v>0</v>
      </c>
      <c r="O204" s="34" t="n">
        <f aca="false">IF(10&gt;Fin,N$204,IF(AND(O$8=1,ISNUMBER(Reales!O56)),IF(Reales!$C$56="PYG",IF(O$10&gt;0,N(Reales!O56)/O$10,0),N(Reales!O56)),O$194*V_IVAmeses))</f>
        <v>0</v>
      </c>
      <c r="P204" s="34" t="n">
        <f aca="false">IF(11&gt;Fin,O$204,IF(AND(P$8=1,ISNUMBER(Reales!P56)),IF(Reales!$C$56="PYG",IF(P$10&gt;0,N(Reales!P56)/P$10,0),N(Reales!P56)),P$194*V_IVAmeses))</f>
        <v>0</v>
      </c>
      <c r="Q204" s="34" t="n">
        <f aca="false">IF(12&gt;Fin,P$204,IF(AND(Q$8=1,ISNUMBER(Reales!Q56)),IF(Reales!$C$56="PYG",IF(Q$10&gt;0,N(Reales!Q56)/Q$10,0),N(Reales!Q56)),Q$194*V_IVAmeses))</f>
        <v>0</v>
      </c>
      <c r="R204" s="34" t="n">
        <f aca="false">IF(13&gt;Fin,Q$204,IF(AND(R$8=1,ISNUMBER(Reales!R56)),IF(Reales!$C$56="PYG",IF(R$10&gt;0,N(Reales!R56)/R$10,0),N(Reales!R56)),R$194*V_IVAmeses))</f>
        <v>0</v>
      </c>
      <c r="S204" s="34" t="n">
        <f aca="false">IF(14&gt;Fin,R$204,IF(AND(S$8=1,ISNUMBER(Reales!S56)),IF(Reales!$C$56="PYG",IF(S$10&gt;0,N(Reales!S56)/S$10,0),N(Reales!S56)),S$194*V_IVAmeses))</f>
        <v>0</v>
      </c>
      <c r="T204" s="34" t="n">
        <f aca="false">IF(15&gt;Fin,S$204,IF(AND(T$8=1,ISNUMBER(Reales!T56)),IF(Reales!$C$56="PYG",IF(T$10&gt;0,N(Reales!T56)/T$10,0),N(Reales!T56)),T$194*V_IVAmeses))</f>
        <v>0</v>
      </c>
      <c r="U204" s="34" t="n">
        <f aca="false">IF(16&gt;Fin,T$204,IF(AND(U$8=1,ISNUMBER(Reales!U56)),IF(Reales!$C$56="PYG",IF(U$10&gt;0,N(Reales!U56)/U$10,0),N(Reales!U56)),U$194*V_IVAmeses))</f>
        <v>0</v>
      </c>
      <c r="V204" s="34" t="n">
        <f aca="false">IF(17&gt;Fin,U$204,IF(AND(V$8=1,ISNUMBER(Reales!V56)),IF(Reales!$C$56="PYG",IF(V$10&gt;0,N(Reales!V56)/V$10,0),N(Reales!V56)),V$194*V_IVAmeses))</f>
        <v>0</v>
      </c>
      <c r="W204" s="34" t="n">
        <f aca="false">IF(18&gt;Fin,V$204,IF(AND(W$8=1,ISNUMBER(Reales!W56)),IF(Reales!$C$56="PYG",IF(W$10&gt;0,N(Reales!W56)/W$10,0),N(Reales!W56)),W$194*V_IVAmeses))</f>
        <v>0</v>
      </c>
      <c r="X204" s="34" t="n">
        <f aca="false">IF(19&gt;Fin,W$204,IF(AND(X$8=1,ISNUMBER(Reales!X56)),IF(Reales!$C$56="PYG",IF(X$10&gt;0,N(Reales!X56)/X$10,0),N(Reales!X56)),X$194*V_IVAmeses))</f>
        <v>0</v>
      </c>
      <c r="Y204" s="34" t="n">
        <f aca="false">IF(20&gt;Fin,X$204,IF(AND(Y$8=1,ISNUMBER(Reales!Y56)),IF(Reales!$C$56="PYG",IF(Y$10&gt;0,N(Reales!Y56)/Y$10,0),N(Reales!Y56)),Y$194*V_IVAmeses))</f>
        <v>0</v>
      </c>
      <c r="Z204" s="34" t="n">
        <f aca="false">IF(21&gt;Fin,Y$204,IF(AND(Z$8=1,ISNUMBER(Reales!Z56)),IF(Reales!$C$56="PYG",IF(Z$10&gt;0,N(Reales!Z56)/Z$10,0),N(Reales!Z56)),Z$194*V_IVAmeses))</f>
        <v>0</v>
      </c>
      <c r="AA204" s="34" t="n">
        <f aca="false">IF(22&gt;Fin,Z$204,IF(AND(AA$8=1,ISNUMBER(Reales!AA56)),IF(Reales!$C$56="PYG",IF(AA$10&gt;0,N(Reales!AA56)/AA$10,0),N(Reales!AA56)),AA$194*V_IVAmeses))</f>
        <v>0</v>
      </c>
      <c r="AB204" s="34" t="n">
        <f aca="false">IF(23&gt;Fin,AA$204,IF(AND(AB$8=1,ISNUMBER(Reales!AB56)),IF(Reales!$C$56="PYG",IF(AB$10&gt;0,N(Reales!AB56)/AB$10,0),N(Reales!AB56)),AB$194*V_IVAmeses))</f>
        <v>0</v>
      </c>
      <c r="AC204" s="34" t="n">
        <f aca="false">IF(24&gt;Fin,AB$204,IF(AND(AC$8=1,ISNUMBER(Reales!AC56)),IF(Reales!$C$56="PYG",IF(AC$10&gt;0,N(Reales!AC56)/AC$10,0),N(Reales!AC56)),AC$194*V_IVAmeses))</f>
        <v>0</v>
      </c>
      <c r="AD204" s="34" t="n">
        <f aca="false">IF(25&gt;Fin,AC$204,IF(AND(AD$8=1,ISNUMBER(Reales!AD56)),IF(Reales!$C$56="PYG",IF(AD$10&gt;0,N(Reales!AD56)/AD$10,0),N(Reales!AD56)),AD$194*V_IVAmeses))</f>
        <v>0</v>
      </c>
      <c r="AE204" s="34" t="n">
        <f aca="false">IF(26&gt;Fin,AD$204,IF(AND(AE$8=1,ISNUMBER(Reales!AE56)),IF(Reales!$C$56="PYG",IF(AE$10&gt;0,N(Reales!AE56)/AE$10,0),N(Reales!AE56)),AE$194*V_IVAmeses))</f>
        <v>0</v>
      </c>
      <c r="AF204" s="34" t="n">
        <f aca="false">IF(27&gt;Fin,AE$204,IF(AND(AF$8=1,ISNUMBER(Reales!AF56)),IF(Reales!$C$56="PYG",IF(AF$10&gt;0,N(Reales!AF56)/AF$10,0),N(Reales!AF56)),AF$194*V_IVAmeses))</f>
        <v>0</v>
      </c>
      <c r="AG204" s="34" t="n">
        <f aca="false">IF(28&gt;Fin,AF$204,IF(AND(AG$8=1,ISNUMBER(Reales!AG56)),IF(Reales!$C$56="PYG",IF(AG$10&gt;0,N(Reales!AG56)/AG$10,0),N(Reales!AG56)),AG$194*V_IVAmeses))</f>
        <v>0</v>
      </c>
      <c r="AH204" s="34" t="n">
        <f aca="false">IF(29&gt;Fin,AG$204,IF(AND(AH$8=1,ISNUMBER(Reales!AH56)),IF(Reales!$C$56="PYG",IF(AH$10&gt;0,N(Reales!AH56)/AH$10,0),N(Reales!AH56)),AH$194*V_IVAmeses))</f>
        <v>0</v>
      </c>
      <c r="AI204" s="34" t="n">
        <f aca="false">IF(30&gt;Fin,AH$204,IF(AND(AI$8=1,ISNUMBER(Reales!AI56)),IF(Reales!$C$56="PYG",IF(AI$10&gt;0,N(Reales!AI56)/AI$10,0),N(Reales!AI56)),AI$194*V_IVAmeses))</f>
        <v>0</v>
      </c>
      <c r="AJ204" s="34" t="n">
        <f aca="false">IF(31&gt;Fin,AI$204,IF(AND(AJ$8=1,ISNUMBER(Reales!AJ56)),IF(Reales!$C$56="PYG",IF(AJ$10&gt;0,N(Reales!AJ56)/AJ$10,0),N(Reales!AJ56)),AJ$194*V_IVAmeses))</f>
        <v>0</v>
      </c>
      <c r="AK204" s="34" t="n">
        <f aca="false">IF(32&gt;Fin,AJ$204,IF(AND(AK$8=1,ISNUMBER(Reales!AK56)),IF(Reales!$C$56="PYG",IF(AK$10&gt;0,N(Reales!AK56)/AK$10,0),N(Reales!AK56)),AK$194*V_IVAmeses))</f>
        <v>0</v>
      </c>
      <c r="AL204" s="34" t="n">
        <f aca="false">IF(33&gt;Fin,AK$204,IF(AND(AL$8=1,ISNUMBER(Reales!AL56)),IF(Reales!$C$56="PYG",IF(AL$10&gt;0,N(Reales!AL56)/AL$10,0),N(Reales!AL56)),AL$194*V_IVAmeses))</f>
        <v>0</v>
      </c>
      <c r="AM204" s="34" t="n">
        <f aca="false">IF(34&gt;Fin,AL$204,IF(AND(AM$8=1,ISNUMBER(Reales!AM56)),IF(Reales!$C$56="PYG",IF(AM$10&gt;0,N(Reales!AM56)/AM$10,0),N(Reales!AM56)),AM$194*V_IVAmeses))</f>
        <v>0</v>
      </c>
      <c r="AN204" s="34" t="n">
        <f aca="false">IF(35&gt;Fin,AM$204,IF(AND(AN$8=1,ISNUMBER(Reales!AN56)),IF(Reales!$C$56="PYG",IF(AN$10&gt;0,N(Reales!AN56)/AN$10,0),N(Reales!AN56)),AN$194*V_IVAmeses))</f>
        <v>0</v>
      </c>
      <c r="AO204" s="34" t="n">
        <f aca="false">IF(36&gt;Fin,AN$204,IF(AND(AO$8=1,ISNUMBER(Reales!AO56)),IF(Reales!$C$56="PYG",IF(AO$10&gt;0,N(Reales!AO56)/AO$10,0),N(Reales!AO56)),AO$194*V_IVAmeses))</f>
        <v>0</v>
      </c>
      <c r="AP204" s="34" t="n">
        <f aca="false">IF(37&gt;Fin,AO$204,IF(AND(AP$8=1,ISNUMBER(Reales!AP56)),IF(Reales!$C$56="PYG",IF(AP$10&gt;0,N(Reales!AP56)/AP$10,0),N(Reales!AP56)),AP$194*V_IVAmeses))</f>
        <v>0</v>
      </c>
      <c r="AQ204" s="34" t="n">
        <f aca="false">IF(38&gt;Fin,AP$204,IF(AND(AQ$8=1,ISNUMBER(Reales!AQ56)),IF(Reales!$C$56="PYG",IF(AQ$10&gt;0,N(Reales!AQ56)/AQ$10,0),N(Reales!AQ56)),AQ$194*V_IVAmeses))</f>
        <v>0</v>
      </c>
      <c r="AR204" s="34" t="n">
        <f aca="false">IF(39&gt;Fin,AQ$204,IF(AND(AR$8=1,ISNUMBER(Reales!AR56)),IF(Reales!$C$56="PYG",IF(AR$10&gt;0,N(Reales!AR56)/AR$10,0),N(Reales!AR56)),AR$194*V_IVAmeses))</f>
        <v>0</v>
      </c>
      <c r="AS204" s="34" t="n">
        <f aca="false">IF(40&gt;Fin,AR$204,IF(AND(AS$8=1,ISNUMBER(Reales!AS56)),IF(Reales!$C$56="PYG",IF(AS$10&gt;0,N(Reales!AS56)/AS$10,0),N(Reales!AS56)),AS$194*V_IVAmeses))</f>
        <v>0</v>
      </c>
      <c r="AT204" s="34" t="n">
        <f aca="false">IF(41&gt;Fin,AS$204,IF(AND(AT$8=1,ISNUMBER(Reales!AT56)),IF(Reales!$C$56="PYG",IF(AT$10&gt;0,N(Reales!AT56)/AT$10,0),N(Reales!AT56)),AT$194*V_IVAmeses))</f>
        <v>0</v>
      </c>
      <c r="AU204" s="34" t="n">
        <f aca="false">IF(42&gt;Fin,AT$204,IF(AND(AU$8=1,ISNUMBER(Reales!AU56)),IF(Reales!$C$56="PYG",IF(AU$10&gt;0,N(Reales!AU56)/AU$10,0),N(Reales!AU56)),AU$194*V_IVAmeses))</f>
        <v>0</v>
      </c>
      <c r="AV204" s="34" t="n">
        <f aca="false">IF(43&gt;Fin,AU$204,IF(AND(AV$8=1,ISNUMBER(Reales!AV56)),IF(Reales!$C$56="PYG",IF(AV$10&gt;0,N(Reales!AV56)/AV$10,0),N(Reales!AV56)),AV$194*V_IVAmeses))</f>
        <v>0</v>
      </c>
      <c r="AW204" s="34" t="n">
        <f aca="false">IF(44&gt;Fin,AV$204,IF(AND(AW$8=1,ISNUMBER(Reales!AW56)),IF(Reales!$C$56="PYG",IF(AW$10&gt;0,N(Reales!AW56)/AW$10,0),N(Reales!AW56)),AW$194*V_IVAmeses))</f>
        <v>0</v>
      </c>
      <c r="AX204" s="34" t="n">
        <f aca="false">IF(45&gt;Fin,AW$204,IF(AND(AX$8=1,ISNUMBER(Reales!AX56)),IF(Reales!$C$56="PYG",IF(AX$10&gt;0,N(Reales!AX56)/AX$10,0),N(Reales!AX56)),AX$194*V_IVAmeses))</f>
        <v>0</v>
      </c>
      <c r="AY204" s="34" t="n">
        <f aca="false">IF(46&gt;Fin,AX$204,IF(AND(AY$8=1,ISNUMBER(Reales!AY56)),IF(Reales!$C$56="PYG",IF(AY$10&gt;0,N(Reales!AY56)/AY$10,0),N(Reales!AY56)),AY$194*V_IVAmeses))</f>
        <v>0</v>
      </c>
      <c r="AZ204" s="34" t="n">
        <f aca="false">IF(47&gt;Fin,AY$204,IF(AND(AZ$8=1,ISNUMBER(Reales!AZ56)),IF(Reales!$C$56="PYG",IF(AZ$10&gt;0,N(Reales!AZ56)/AZ$10,0),N(Reales!AZ56)),AZ$194*V_IVAmeses))</f>
        <v>0</v>
      </c>
      <c r="BA204" s="34" t="n">
        <f aca="false">IF(48&gt;Fin,AZ$204,IF(AND(BA$8=1,ISNUMBER(Reales!BA56)),IF(Reales!$C$56="PYG",IF(BA$10&gt;0,N(Reales!BA56)/BA$10,0),N(Reales!BA56)),BA$194*V_IVAmeses))</f>
        <v>0</v>
      </c>
      <c r="BB204" s="34" t="n">
        <f aca="false">IF(49&gt;Fin,BA$204,IF(AND(BB$8=1,ISNUMBER(Reales!BB56)),IF(Reales!$C$56="PYG",IF(BB$10&gt;0,N(Reales!BB56)/BB$10,0),N(Reales!BB56)),BB$194*V_IVAmeses))</f>
        <v>0</v>
      </c>
      <c r="BC204" s="34" t="n">
        <f aca="false">IF(50&gt;Fin,BB$204,IF(AND(BC$8=1,ISNUMBER(Reales!BC56)),IF(Reales!$C$56="PYG",IF(BC$10&gt;0,N(Reales!BC56)/BC$10,0),N(Reales!BC56)),BC$194*V_IVAmeses))</f>
        <v>0</v>
      </c>
      <c r="BD204" s="34" t="n">
        <f aca="false">IF(51&gt;Fin,BC$204,IF(AND(BD$8=1,ISNUMBER(Reales!BD56)),IF(Reales!$C$56="PYG",IF(BD$10&gt;0,N(Reales!BD56)/BD$10,0),N(Reales!BD56)),BD$194*V_IVAmeses))</f>
        <v>0</v>
      </c>
      <c r="BE204" s="34" t="n">
        <f aca="false">IF(52&gt;Fin,BD$204,IF(AND(BE$8=1,ISNUMBER(Reales!BE56)),IF(Reales!$C$56="PYG",IF(BE$10&gt;0,N(Reales!BE56)/BE$10,0),N(Reales!BE56)),BE$194*V_IVAmeses))</f>
        <v>0</v>
      </c>
      <c r="BF204" s="34" t="n">
        <f aca="false">IF(53&gt;Fin,BE$204,IF(AND(BF$8=1,ISNUMBER(Reales!BF56)),IF(Reales!$C$56="PYG",IF(BF$10&gt;0,N(Reales!BF56)/BF$10,0),N(Reales!BF56)),BF$194*V_IVAmeses))</f>
        <v>0</v>
      </c>
      <c r="BG204" s="34" t="n">
        <f aca="false">IF(54&gt;Fin,BF$204,IF(AND(BG$8=1,ISNUMBER(Reales!BG56)),IF(Reales!$C$56="PYG",IF(BG$10&gt;0,N(Reales!BG56)/BG$10,0),N(Reales!BG56)),BG$194*V_IVAmeses))</f>
        <v>0</v>
      </c>
      <c r="BH204" s="34" t="n">
        <f aca="false">IF(55&gt;Fin,BG$204,IF(AND(BH$8=1,ISNUMBER(Reales!BH56)),IF(Reales!$C$56="PYG",IF(BH$10&gt;0,N(Reales!BH56)/BH$10,0),N(Reales!BH56)),BH$194*V_IVAmeses))</f>
        <v>0</v>
      </c>
      <c r="BI204" s="34" t="n">
        <f aca="false">IF(56&gt;Fin,BH$204,IF(AND(BI$8=1,ISNUMBER(Reales!BI56)),IF(Reales!$C$56="PYG",IF(BI$10&gt;0,N(Reales!BI56)/BI$10,0),N(Reales!BI56)),BI$194*V_IVAmeses))</f>
        <v>0</v>
      </c>
      <c r="BJ204" s="34" t="n">
        <f aca="false">IF(57&gt;Fin,BI$204,IF(AND(BJ$8=1,ISNUMBER(Reales!BJ56)),IF(Reales!$C$56="PYG",IF(BJ$10&gt;0,N(Reales!BJ56)/BJ$10,0),N(Reales!BJ56)),BJ$194*V_IVAmeses))</f>
        <v>0</v>
      </c>
      <c r="BK204" s="34" t="n">
        <f aca="false">IF(58&gt;Fin,BJ$204,IF(AND(BK$8=1,ISNUMBER(Reales!BK56)),IF(Reales!$C$56="PYG",IF(BK$10&gt;0,N(Reales!BK56)/BK$10,0),N(Reales!BK56)),BK$194*V_IVAmeses))</f>
        <v>0</v>
      </c>
      <c r="BL204" s="34" t="n">
        <f aca="false">IF(59&gt;Fin,BK$204,IF(AND(BL$8=1,ISNUMBER(Reales!BL56)),IF(Reales!$C$56="PYG",IF(BL$10&gt;0,N(Reales!BL56)/BL$10,0),N(Reales!BL56)),BL$194*V_IVAmeses))</f>
        <v>0</v>
      </c>
      <c r="BM204" s="34" t="n">
        <f aca="false">IF(60&gt;Fin,BL$204,IF(AND(BM$8=1,ISNUMBER(Reales!BM56)),IF(Reales!$C$56="PYG",IF(BM$10&gt;0,N(Reales!BM56)/BM$10,0),N(Reales!BM56)),BM$194*V_IVAmeses))</f>
        <v>0</v>
      </c>
      <c r="BN204" s="34" t="n">
        <f aca="false">IF(61&gt;Fin,BM$204,IF(AND(BN$8=1,ISNUMBER(Reales!BN56)),IF(Reales!$C$56="PYG",IF(BN$10&gt;0,N(Reales!BN56)/BN$10,0),N(Reales!BN56)),BN$194*V_IVAmeses))</f>
        <v>0</v>
      </c>
      <c r="BO204" s="34" t="n">
        <f aca="false">IF(62&gt;Fin,BN$204,IF(AND(BO$8=1,ISNUMBER(Reales!BO56)),IF(Reales!$C$56="PYG",IF(BO$10&gt;0,N(Reales!BO56)/BO$10,0),N(Reales!BO56)),BO$194*V_IVAmeses))</f>
        <v>0</v>
      </c>
      <c r="BP204" s="34" t="n">
        <f aca="false">IF(63&gt;Fin,BO$204,IF(AND(BP$8=1,ISNUMBER(Reales!BP56)),IF(Reales!$C$56="PYG",IF(BP$10&gt;0,N(Reales!BP56)/BP$10,0),N(Reales!BP56)),BP$194*V_IVAmeses))</f>
        <v>0</v>
      </c>
      <c r="BQ204" s="34" t="n">
        <f aca="false">IF(64&gt;Fin,BP$204,IF(AND(BQ$8=1,ISNUMBER(Reales!BQ56)),IF(Reales!$C$56="PYG",IF(BQ$10&gt;0,N(Reales!BQ56)/BQ$10,0),N(Reales!BQ56)),BQ$194*V_IVAmeses))</f>
        <v>0</v>
      </c>
      <c r="BR204" s="34" t="n">
        <f aca="false">IF(65&gt;Fin,BQ$204,IF(AND(BR$8=1,ISNUMBER(Reales!BR56)),IF(Reales!$C$56="PYG",IF(BR$10&gt;0,N(Reales!BR56)/BR$10,0),N(Reales!BR56)),BR$194*V_IVAmeses))</f>
        <v>0</v>
      </c>
      <c r="BS204" s="34" t="n">
        <f aca="false">IF(66&gt;Fin,BR$204,IF(AND(BS$8=1,ISNUMBER(Reales!BS56)),IF(Reales!$C$56="PYG",IF(BS$10&gt;0,N(Reales!BS56)/BS$10,0),N(Reales!BS56)),BS$194*V_IVAmeses))</f>
        <v>0</v>
      </c>
      <c r="BT204" s="34" t="n">
        <f aca="false">IF(67&gt;Fin,BS$204,IF(AND(BT$8=1,ISNUMBER(Reales!BT56)),IF(Reales!$C$56="PYG",IF(BT$10&gt;0,N(Reales!BT56)/BT$10,0),N(Reales!BT56)),BT$194*V_IVAmeses))</f>
        <v>0</v>
      </c>
      <c r="BU204" s="34" t="n">
        <f aca="false">IF(68&gt;Fin,BT$204,IF(AND(BU$8=1,ISNUMBER(Reales!BU56)),IF(Reales!$C$56="PYG",IF(BU$10&gt;0,N(Reales!BU56)/BU$10,0),N(Reales!BU56)),BU$194*V_IVAmeses))</f>
        <v>0</v>
      </c>
      <c r="BV204" s="34" t="n">
        <f aca="false">IF(69&gt;Fin,BU$204,IF(AND(BV$8=1,ISNUMBER(Reales!BV56)),IF(Reales!$C$56="PYG",IF(BV$10&gt;0,N(Reales!BV56)/BV$10,0),N(Reales!BV56)),BV$194*V_IVAmeses))</f>
        <v>0</v>
      </c>
      <c r="BW204" s="34" t="n">
        <f aca="false">IF(70&gt;Fin,BV$204,IF(AND(BW$8=1,ISNUMBER(Reales!BW56)),IF(Reales!$C$56="PYG",IF(BW$10&gt;0,N(Reales!BW56)/BW$10,0),N(Reales!BW56)),BW$194*V_IVAmeses))</f>
        <v>0</v>
      </c>
      <c r="BX204" s="34" t="n">
        <f aca="false">IF(71&gt;Fin,BW$204,IF(AND(BX$8=1,ISNUMBER(Reales!BX56)),IF(Reales!$C$56="PYG",IF(BX$10&gt;0,N(Reales!BX56)/BX$10,0),N(Reales!BX56)),BX$194*V_IVAmeses))</f>
        <v>0</v>
      </c>
      <c r="BY204" s="34" t="n">
        <f aca="false">IF(72&gt;Fin,BX$204,IF(AND(BY$8=1,ISNUMBER(Reales!BY56)),IF(Reales!$C$56="PYG",IF(BY$10&gt;0,N(Reales!BY56)/BY$10,0),N(Reales!BY56)),BY$194*V_IVAmeses))</f>
        <v>0</v>
      </c>
      <c r="BZ204" s="34" t="n">
        <f aca="false">IF(73&gt;Fin,BY$204,IF(AND(BZ$8=1,ISNUMBER(Reales!BZ56)),IF(Reales!$C$56="PYG",IF(BZ$10&gt;0,N(Reales!BZ56)/BZ$10,0),N(Reales!BZ56)),BZ$194*V_IVAmeses))</f>
        <v>0</v>
      </c>
      <c r="CA204" s="34" t="n">
        <f aca="false">IF(74&gt;Fin,BZ$204,IF(AND(CA$8=1,ISNUMBER(Reales!CA56)),IF(Reales!$C$56="PYG",IF(CA$10&gt;0,N(Reales!CA56)/CA$10,0),N(Reales!CA56)),CA$194*V_IVAmeses))</f>
        <v>0</v>
      </c>
      <c r="CB204" s="34" t="n">
        <f aca="false">IF(75&gt;Fin,CA$204,IF(AND(CB$8=1,ISNUMBER(Reales!CB56)),IF(Reales!$C$56="PYG",IF(CB$10&gt;0,N(Reales!CB56)/CB$10,0),N(Reales!CB56)),CB$194*V_IVAmeses))</f>
        <v>0</v>
      </c>
      <c r="CC204" s="34" t="n">
        <f aca="false">IF(76&gt;Fin,CB$204,IF(AND(CC$8=1,ISNUMBER(Reales!CC56)),IF(Reales!$C$56="PYG",IF(CC$10&gt;0,N(Reales!CC56)/CC$10,0),N(Reales!CC56)),CC$194*V_IVAmeses))</f>
        <v>0</v>
      </c>
      <c r="CD204" s="34" t="n">
        <f aca="false">IF(77&gt;Fin,CC$204,IF(AND(CD$8=1,ISNUMBER(Reales!CD56)),IF(Reales!$C$56="PYG",IF(CD$10&gt;0,N(Reales!CD56)/CD$10,0),N(Reales!CD56)),CD$194*V_IVAmeses))</f>
        <v>0</v>
      </c>
      <c r="CE204" s="34" t="n">
        <f aca="false">IF(78&gt;Fin,CD$204,IF(AND(CE$8=1,ISNUMBER(Reales!CE56)),IF(Reales!$C$56="PYG",IF(CE$10&gt;0,N(Reales!CE56)/CE$10,0),N(Reales!CE56)),CE$194*V_IVAmeses))</f>
        <v>0</v>
      </c>
      <c r="CF204" s="34" t="n">
        <f aca="false">IF(79&gt;Fin,CE$204,IF(AND(CF$8=1,ISNUMBER(Reales!CF56)),IF(Reales!$C$56="PYG",IF(CF$10&gt;0,N(Reales!CF56)/CF$10,0),N(Reales!CF56)),CF$194*V_IVAmeses))</f>
        <v>0</v>
      </c>
      <c r="CG204" s="34" t="n">
        <f aca="false">IF(80&gt;Fin,CF$204,IF(AND(CG$8=1,ISNUMBER(Reales!CG56)),IF(Reales!$C$56="PYG",IF(CG$10&gt;0,N(Reales!CG56)/CG$10,0),N(Reales!CG56)),CG$194*V_IVAmeses))</f>
        <v>0</v>
      </c>
      <c r="CH204" s="34" t="n">
        <f aca="false">IF(81&gt;Fin,CG$204,IF(AND(CH$8=1,ISNUMBER(Reales!CH56)),IF(Reales!$C$56="PYG",IF(CH$10&gt;0,N(Reales!CH56)/CH$10,0),N(Reales!CH56)),CH$194*V_IVAmeses))</f>
        <v>0</v>
      </c>
      <c r="CI204" s="34" t="n">
        <f aca="false">IF(82&gt;Fin,CH$204,IF(AND(CI$8=1,ISNUMBER(Reales!CI56)),IF(Reales!$C$56="PYG",IF(CI$10&gt;0,N(Reales!CI56)/CI$10,0),N(Reales!CI56)),CI$194*V_IVAmeses))</f>
        <v>0</v>
      </c>
      <c r="CJ204" s="34" t="n">
        <f aca="false">IF(83&gt;Fin,CI$204,IF(AND(CJ$8=1,ISNUMBER(Reales!CJ56)),IF(Reales!$C$56="PYG",IF(CJ$10&gt;0,N(Reales!CJ56)/CJ$10,0),N(Reales!CJ56)),CJ$194*V_IVAmeses))</f>
        <v>0</v>
      </c>
      <c r="CK204" s="34" t="n">
        <f aca="false">IF(84&gt;Fin,CJ$204,IF(AND(CK$8=1,ISNUMBER(Reales!CK56)),IF(Reales!$C$56="PYG",IF(CK$10&gt;0,N(Reales!CK56)/CK$10,0),N(Reales!CK56)),CK$194*V_IVAmeses))</f>
        <v>0</v>
      </c>
      <c r="CL204" s="34" t="n">
        <f aca="false">IF(85&gt;Fin,CK$204,IF(AND(CL$8=1,ISNUMBER(Reales!CL56)),IF(Reales!$C$56="PYG",IF(CL$10&gt;0,N(Reales!CL56)/CL$10,0),N(Reales!CL56)),CL$194*V_IVAmeses))</f>
        <v>0</v>
      </c>
      <c r="CM204" s="34" t="n">
        <f aca="false">IF(86&gt;Fin,CL$204,IF(AND(CM$8=1,ISNUMBER(Reales!CM56)),IF(Reales!$C$56="PYG",IF(CM$10&gt;0,N(Reales!CM56)/CM$10,0),N(Reales!CM56)),CM$194*V_IVAmeses))</f>
        <v>0</v>
      </c>
      <c r="CN204" s="34" t="n">
        <f aca="false">IF(87&gt;Fin,CM$204,IF(AND(CN$8=1,ISNUMBER(Reales!CN56)),IF(Reales!$C$56="PYG",IF(CN$10&gt;0,N(Reales!CN56)/CN$10,0),N(Reales!CN56)),CN$194*V_IVAmeses))</f>
        <v>0</v>
      </c>
      <c r="CO204" s="34" t="n">
        <f aca="false">IF(88&gt;Fin,CN$204,IF(AND(CO$8=1,ISNUMBER(Reales!CO56)),IF(Reales!$C$56="PYG",IF(CO$10&gt;0,N(Reales!CO56)/CO$10,0),N(Reales!CO56)),CO$194*V_IVAmeses))</f>
        <v>0</v>
      </c>
      <c r="CP204" s="34" t="n">
        <f aca="false">IF(89&gt;Fin,CO$204,IF(AND(CP$8=1,ISNUMBER(Reales!CP56)),IF(Reales!$C$56="PYG",IF(CP$10&gt;0,N(Reales!CP56)/CP$10,0),N(Reales!CP56)),CP$194*V_IVAmeses))</f>
        <v>0</v>
      </c>
      <c r="CQ204" s="34" t="n">
        <f aca="false">IF(90&gt;Fin,CP$204,IF(AND(CQ$8=1,ISNUMBER(Reales!CQ56)),IF(Reales!$C$56="PYG",IF(CQ$10&gt;0,N(Reales!CQ56)/CQ$10,0),N(Reales!CQ56)),CQ$194*V_IVAmeses))</f>
        <v>0</v>
      </c>
      <c r="CR204" s="34" t="n">
        <f aca="false">IF(91&gt;Fin,CQ$204,IF(AND(CR$8=1,ISNUMBER(Reales!CR56)),IF(Reales!$C$56="PYG",IF(CR$10&gt;0,N(Reales!CR56)/CR$10,0),N(Reales!CR56)),CR$194*V_IVAmeses))</f>
        <v>0</v>
      </c>
      <c r="CS204" s="34" t="n">
        <f aca="false">IF(92&gt;Fin,CR$204,IF(AND(CS$8=1,ISNUMBER(Reales!CS56)),IF(Reales!$C$56="PYG",IF(CS$10&gt;0,N(Reales!CS56)/CS$10,0),N(Reales!CS56)),CS$194*V_IVAmeses))</f>
        <v>0</v>
      </c>
      <c r="CT204" s="34" t="n">
        <f aca="false">IF(93&gt;Fin,CS$204,IF(AND(CT$8=1,ISNUMBER(Reales!CT56)),IF(Reales!$C$56="PYG",IF(CT$10&gt;0,N(Reales!CT56)/CT$10,0),N(Reales!CT56)),CT$194*V_IVAmeses))</f>
        <v>0</v>
      </c>
      <c r="CU204" s="34" t="n">
        <f aca="false">IF(94&gt;Fin,CT$204,IF(AND(CU$8=1,ISNUMBER(Reales!CU56)),IF(Reales!$C$56="PYG",IF(CU$10&gt;0,N(Reales!CU56)/CU$10,0),N(Reales!CU56)),CU$194*V_IVAmeses))</f>
        <v>0</v>
      </c>
      <c r="CV204" s="34" t="n">
        <f aca="false">IF(95&gt;Fin,CU$204,IF(AND(CV$8=1,ISNUMBER(Reales!CV56)),IF(Reales!$C$56="PYG",IF(CV$10&gt;0,N(Reales!CV56)/CV$10,0),N(Reales!CV56)),CV$194*V_IVAmeses))</f>
        <v>0</v>
      </c>
      <c r="CW204" s="34" t="n">
        <f aca="false">IF(96&gt;Fin,CV$204,IF(AND(CW$8=1,ISNUMBER(Reales!CW56)),IF(Reales!$C$56="PYG",IF(CW$10&gt;0,N(Reales!CW56)/CW$10,0),N(Reales!CW56)),CW$194*V_IVAmeses))</f>
        <v>0</v>
      </c>
      <c r="CX204" s="34" t="n">
        <f aca="false">IF(97&gt;Fin,CW$204,IF(AND(CX$8=1,ISNUMBER(Reales!CX56)),IF(Reales!$C$56="PYG",IF(CX$10&gt;0,N(Reales!CX56)/CX$10,0),N(Reales!CX56)),CX$194*V_IVAmeses))</f>
        <v>0</v>
      </c>
      <c r="CY204" s="34" t="n">
        <f aca="false">IF(98&gt;Fin,CX$204,IF(AND(CY$8=1,ISNUMBER(Reales!CY56)),IF(Reales!$C$56="PYG",IF(CY$10&gt;0,N(Reales!CY56)/CY$10,0),N(Reales!CY56)),CY$194*V_IVAmeses))</f>
        <v>0</v>
      </c>
      <c r="CZ204" s="34" t="n">
        <f aca="false">IF(99&gt;Fin,CY$204,IF(AND(CZ$8=1,ISNUMBER(Reales!CZ56)),IF(Reales!$C$56="PYG",IF(CZ$10&gt;0,N(Reales!CZ56)/CZ$10,0),N(Reales!CZ56)),CZ$194*V_IVAmeses))</f>
        <v>0</v>
      </c>
      <c r="DA204" s="34" t="n">
        <f aca="false">IF(100&gt;Fin,CZ$204,IF(AND(DA$8=1,ISNUMBER(Reales!DA56)),IF(Reales!$C$56="PYG",IF(DA$10&gt;0,N(Reales!DA56)/DA$10,0),N(Reales!DA56)),DA$194*V_IVAmeses))</f>
        <v>0</v>
      </c>
      <c r="DB204" s="34" t="n">
        <f aca="false">IF(101&gt;Fin,DA$204,IF(AND(DB$8=1,ISNUMBER(Reales!DB56)),IF(Reales!$C$56="PYG",IF(DB$10&gt;0,N(Reales!DB56)/DB$10,0),N(Reales!DB56)),DB$194*V_IVAmeses))</f>
        <v>0</v>
      </c>
      <c r="DC204" s="34" t="n">
        <f aca="false">IF(102&gt;Fin,DB$204,IF(AND(DC$8=1,ISNUMBER(Reales!DC56)),IF(Reales!$C$56="PYG",IF(DC$10&gt;0,N(Reales!DC56)/DC$10,0),N(Reales!DC56)),DC$194*V_IVAmeses))</f>
        <v>0</v>
      </c>
      <c r="DD204" s="34" t="n">
        <f aca="false">IF(103&gt;Fin,DC$204,IF(AND(DD$8=1,ISNUMBER(Reales!DD56)),IF(Reales!$C$56="PYG",IF(DD$10&gt;0,N(Reales!DD56)/DD$10,0),N(Reales!DD56)),DD$194*V_IVAmeses))</f>
        <v>0</v>
      </c>
      <c r="DE204" s="34" t="n">
        <f aca="false">IF(104&gt;Fin,DD$204,IF(AND(DE$8=1,ISNUMBER(Reales!DE56)),IF(Reales!$C$56="PYG",IF(DE$10&gt;0,N(Reales!DE56)/DE$10,0),N(Reales!DE56)),DE$194*V_IVAmeses))</f>
        <v>0</v>
      </c>
      <c r="DF204" s="34" t="n">
        <f aca="false">IF(105&gt;Fin,DE$204,IF(AND(DF$8=1,ISNUMBER(Reales!DF56)),IF(Reales!$C$56="PYG",IF(DF$10&gt;0,N(Reales!DF56)/DF$10,0),N(Reales!DF56)),DF$194*V_IVAmeses))</f>
        <v>0</v>
      </c>
      <c r="DG204" s="34" t="n">
        <f aca="false">IF(106&gt;Fin,DF$204,IF(AND(DG$8=1,ISNUMBER(Reales!DG56)),IF(Reales!$C$56="PYG",IF(DG$10&gt;0,N(Reales!DG56)/DG$10,0),N(Reales!DG56)),DG$194*V_IVAmeses))</f>
        <v>0</v>
      </c>
      <c r="DH204" s="34" t="n">
        <f aca="false">IF(107&gt;Fin,DG$204,IF(AND(DH$8=1,ISNUMBER(Reales!DH56)),IF(Reales!$C$56="PYG",IF(DH$10&gt;0,N(Reales!DH56)/DH$10,0),N(Reales!DH56)),DH$194*V_IVAmeses))</f>
        <v>0</v>
      </c>
      <c r="DI204" s="34" t="n">
        <f aca="false">IF(108&gt;Fin,DH$204,IF(AND(DI$8=1,ISNUMBER(Reales!DI56)),IF(Reales!$C$56="PYG",IF(DI$10&gt;0,N(Reales!DI56)/DI$10,0),N(Reales!DI56)),DI$194*V_IVAmeses))</f>
        <v>0</v>
      </c>
      <c r="DJ204" s="34" t="n">
        <f aca="false">IF(109&gt;Fin,DI$204,IF(AND(DJ$8=1,ISNUMBER(Reales!DJ56)),IF(Reales!$C$56="PYG",IF(DJ$10&gt;0,N(Reales!DJ56)/DJ$10,0),N(Reales!DJ56)),DJ$194*V_IVAmeses))</f>
        <v>0</v>
      </c>
      <c r="DK204" s="34" t="n">
        <f aca="false">IF(110&gt;Fin,DJ$204,IF(AND(DK$8=1,ISNUMBER(Reales!DK56)),IF(Reales!$C$56="PYG",IF(DK$10&gt;0,N(Reales!DK56)/DK$10,0),N(Reales!DK56)),DK$194*V_IVAmeses))</f>
        <v>0</v>
      </c>
      <c r="DL204" s="34" t="n">
        <f aca="false">IF(111&gt;Fin,DK$204,IF(AND(DL$8=1,ISNUMBER(Reales!DL56)),IF(Reales!$C$56="PYG",IF(DL$10&gt;0,N(Reales!DL56)/DL$10,0),N(Reales!DL56)),DL$194*V_IVAmeses))</f>
        <v>0</v>
      </c>
      <c r="DM204" s="34" t="n">
        <f aca="false">IF(112&gt;Fin,DL$204,IF(AND(DM$8=1,ISNUMBER(Reales!DM56)),IF(Reales!$C$56="PYG",IF(DM$10&gt;0,N(Reales!DM56)/DM$10,0),N(Reales!DM56)),DM$194*V_IVAmeses))</f>
        <v>0</v>
      </c>
      <c r="DN204" s="34" t="n">
        <f aca="false">IF(113&gt;Fin,DM$204,IF(AND(DN$8=1,ISNUMBER(Reales!DN56)),IF(Reales!$C$56="PYG",IF(DN$10&gt;0,N(Reales!DN56)/DN$10,0),N(Reales!DN56)),DN$194*V_IVAmeses))</f>
        <v>0</v>
      </c>
      <c r="DO204" s="34" t="n">
        <f aca="false">IF(114&gt;Fin,DN$204,IF(AND(DO$8=1,ISNUMBER(Reales!DO56)),IF(Reales!$C$56="PYG",IF(DO$10&gt;0,N(Reales!DO56)/DO$10,0),N(Reales!DO56)),DO$194*V_IVAmeses))</f>
        <v>0</v>
      </c>
      <c r="DP204" s="34" t="n">
        <f aca="false">IF(115&gt;Fin,DO$204,IF(AND(DP$8=1,ISNUMBER(Reales!DP56)),IF(Reales!$C$56="PYG",IF(DP$10&gt;0,N(Reales!DP56)/DP$10,0),N(Reales!DP56)),DP$194*V_IVAmeses))</f>
        <v>0</v>
      </c>
      <c r="DQ204" s="34" t="n">
        <f aca="false">IF(116&gt;Fin,DP$204,IF(AND(DQ$8=1,ISNUMBER(Reales!DQ56)),IF(Reales!$C$56="PYG",IF(DQ$10&gt;0,N(Reales!DQ56)/DQ$10,0),N(Reales!DQ56)),DQ$194*V_IVAmeses))</f>
        <v>0</v>
      </c>
      <c r="DR204" s="34" t="n">
        <f aca="false">IF(117&gt;Fin,DQ$204,IF(AND(DR$8=1,ISNUMBER(Reales!DR56)),IF(Reales!$C$56="PYG",IF(DR$10&gt;0,N(Reales!DR56)/DR$10,0),N(Reales!DR56)),DR$194*V_IVAmeses))</f>
        <v>0</v>
      </c>
      <c r="DS204" s="34" t="n">
        <f aca="false">IF(118&gt;Fin,DR$204,IF(AND(DS$8=1,ISNUMBER(Reales!DS56)),IF(Reales!$C$56="PYG",IF(DS$10&gt;0,N(Reales!DS56)/DS$10,0),N(Reales!DS56)),DS$194*V_IVAmeses))</f>
        <v>0</v>
      </c>
      <c r="DT204" s="34" t="n">
        <f aca="false">IF(119&gt;Fin,DS$204,IF(AND(DT$8=1,ISNUMBER(Reales!DT56)),IF(Reales!$C$56="PYG",IF(DT$10&gt;0,N(Reales!DT56)/DT$10,0),N(Reales!DT56)),DT$194*V_IVAmeses))</f>
        <v>0</v>
      </c>
      <c r="DU204" s="34" t="n">
        <f aca="false">IF(120&gt;Fin,DT$204,IF(AND(DU$8=1,ISNUMBER(Reales!DU56)),IF(Reales!$C$56="PYG",IF(DU$10&gt;0,N(Reales!DU56)/DU$10,0),N(Reales!DU56)),DU$194*V_IVAmeses))</f>
        <v>0</v>
      </c>
      <c r="DV204" s="34" t="n">
        <f aca="false">IF(121&gt;Fin,DU$204,IF(AND(DV$8=1,ISNUMBER(Reales!DV56)),IF(Reales!$C$56="PYG",IF(DV$10&gt;0,N(Reales!DV56)/DV$10,0),N(Reales!DV56)),DV$194*V_IVAmeses))</f>
        <v>0</v>
      </c>
      <c r="DW204" s="34" t="n">
        <f aca="false">IF(122&gt;Fin,DV$204,IF(AND(DW$8=1,ISNUMBER(Reales!DW56)),IF(Reales!$C$56="PYG",IF(DW$10&gt;0,N(Reales!DW56)/DW$10,0),N(Reales!DW56)),DW$194*V_IVAmeses))</f>
        <v>0</v>
      </c>
      <c r="DX204" s="34" t="n">
        <f aca="false">IF(123&gt;Fin,DW$204,IF(AND(DX$8=1,ISNUMBER(Reales!DX56)),IF(Reales!$C$56="PYG",IF(DX$10&gt;0,N(Reales!DX56)/DX$10,0),N(Reales!DX56)),DX$194*V_IVAmeses))</f>
        <v>0</v>
      </c>
      <c r="DY204" s="34" t="n">
        <f aca="false">IF(124&gt;Fin,DX$204,IF(AND(DY$8=1,ISNUMBER(Reales!DY56)),IF(Reales!$C$56="PYG",IF(DY$10&gt;0,N(Reales!DY56)/DY$10,0),N(Reales!DY56)),DY$194*V_IVAmeses))</f>
        <v>0</v>
      </c>
      <c r="DZ204" s="34" t="n">
        <f aca="false">IF(125&gt;Fin,DY$204,IF(AND(DZ$8=1,ISNUMBER(Reales!DZ56)),IF(Reales!$C$56="PYG",IF(DZ$10&gt;0,N(Reales!DZ56)/DZ$10,0),N(Reales!DZ56)),DZ$194*V_IVAmeses))</f>
        <v>0</v>
      </c>
      <c r="EA204" s="34" t="n">
        <f aca="false">IF(126&gt;Fin,DZ$204,IF(AND(EA$8=1,ISNUMBER(Reales!EA56)),IF(Reales!$C$56="PYG",IF(EA$10&gt;0,N(Reales!EA56)/EA$10,0),N(Reales!EA56)),EA$194*V_IVAmeses))</f>
        <v>0</v>
      </c>
      <c r="EB204" s="34" t="n">
        <f aca="false">IF(127&gt;Fin,EA$204,IF(AND(EB$8=1,ISNUMBER(Reales!EB56)),IF(Reales!$C$56="PYG",IF(EB$10&gt;0,N(Reales!EB56)/EB$10,0),N(Reales!EB56)),EB$194*V_IVAmeses))</f>
        <v>0</v>
      </c>
      <c r="EC204" s="34" t="n">
        <f aca="false">IF(128&gt;Fin,EB$204,IF(AND(EC$8=1,ISNUMBER(Reales!EC56)),IF(Reales!$C$56="PYG",IF(EC$10&gt;0,N(Reales!EC56)/EC$10,0),N(Reales!EC56)),EC$194*V_IVAmeses))</f>
        <v>0</v>
      </c>
      <c r="ED204" s="34" t="n">
        <f aca="false">IF(129&gt;Fin,EC$204,IF(AND(ED$8=1,ISNUMBER(Reales!ED56)),IF(Reales!$C$56="PYG",IF(ED$10&gt;0,N(Reales!ED56)/ED$10,0),N(Reales!ED56)),ED$194*V_IVAmeses))</f>
        <v>0</v>
      </c>
      <c r="EE204" s="34" t="n">
        <f aca="false">IF(130&gt;Fin,ED$204,IF(AND(EE$8=1,ISNUMBER(Reales!EE56)),IF(Reales!$C$56="PYG",IF(EE$10&gt;0,N(Reales!EE56)/EE$10,0),N(Reales!EE56)),EE$194*V_IVAmeses))</f>
        <v>0</v>
      </c>
      <c r="EF204" s="34" t="n">
        <f aca="false">IF(131&gt;Fin,EE$204,IF(AND(EF$8=1,ISNUMBER(Reales!EF56)),IF(Reales!$C$56="PYG",IF(EF$10&gt;0,N(Reales!EF56)/EF$10,0),N(Reales!EF56)),EF$194*V_IVAmeses))</f>
        <v>0</v>
      </c>
      <c r="EG204" s="34" t="n">
        <f aca="false">IF(132&gt;Fin,EF$204,IF(AND(EG$8=1,ISNUMBER(Reales!EG56)),IF(Reales!$C$56="PYG",IF(EG$10&gt;0,N(Reales!EG56)/EG$10,0),N(Reales!EG56)),EG$194*V_IVAmeses))</f>
        <v>0</v>
      </c>
      <c r="EH204" s="34" t="n">
        <f aca="false">IF(133&gt;Fin,EG$204,IF(AND(EH$8=1,ISNUMBER(Reales!EH56)),IF(Reales!$C$56="PYG",IF(EH$10&gt;0,N(Reales!EH56)/EH$10,0),N(Reales!EH56)),EH$194*V_IVAmeses))</f>
        <v>0</v>
      </c>
      <c r="EI204" s="34" t="n">
        <f aca="false">IF(134&gt;Fin,EH$204,IF(AND(EI$8=1,ISNUMBER(Reales!EI56)),IF(Reales!$C$56="PYG",IF(EI$10&gt;0,N(Reales!EI56)/EI$10,0),N(Reales!EI56)),EI$194*V_IVAmeses))</f>
        <v>0</v>
      </c>
      <c r="EJ204" s="34" t="n">
        <f aca="false">IF(135&gt;Fin,EI$204,IF(AND(EJ$8=1,ISNUMBER(Reales!EJ56)),IF(Reales!$C$56="PYG",IF(EJ$10&gt;0,N(Reales!EJ56)/EJ$10,0),N(Reales!EJ56)),EJ$194*V_IVAmeses))</f>
        <v>0</v>
      </c>
      <c r="EK204" s="34" t="n">
        <f aca="false">IF(136&gt;Fin,EJ$204,IF(AND(EK$8=1,ISNUMBER(Reales!EK56)),IF(Reales!$C$56="PYG",IF(EK$10&gt;0,N(Reales!EK56)/EK$10,0),N(Reales!EK56)),EK$194*V_IVAmeses))</f>
        <v>0</v>
      </c>
      <c r="EL204" s="34" t="n">
        <f aca="false">IF(137&gt;Fin,EK$204,IF(AND(EL$8=1,ISNUMBER(Reales!EL56)),IF(Reales!$C$56="PYG",IF(EL$10&gt;0,N(Reales!EL56)/EL$10,0),N(Reales!EL56)),EL$194*V_IVAmeses))</f>
        <v>0</v>
      </c>
      <c r="EM204" s="34" t="n">
        <f aca="false">IF(138&gt;Fin,EL$204,IF(AND(EM$8=1,ISNUMBER(Reales!EM56)),IF(Reales!$C$56="PYG",IF(EM$10&gt;0,N(Reales!EM56)/EM$10,0),N(Reales!EM56)),EM$194*V_IVAmeses))</f>
        <v>0</v>
      </c>
      <c r="EN204" s="34" t="n">
        <f aca="false">IF(139&gt;Fin,EM$204,IF(AND(EN$8=1,ISNUMBER(Reales!EN56)),IF(Reales!$C$56="PYG",IF(EN$10&gt;0,N(Reales!EN56)/EN$10,0),N(Reales!EN56)),EN$194*V_IVAmeses))</f>
        <v>0</v>
      </c>
      <c r="EO204" s="34" t="n">
        <f aca="false">IF(140&gt;Fin,EN$204,IF(AND(EO$8=1,ISNUMBER(Reales!EO56)),IF(Reales!$C$56="PYG",IF(EO$10&gt;0,N(Reales!EO56)/EO$10,0),N(Reales!EO56)),EO$194*V_IVAmeses))</f>
        <v>0</v>
      </c>
      <c r="EP204" s="34" t="n">
        <f aca="false">IF(141&gt;Fin,EO$204,IF(AND(EP$8=1,ISNUMBER(Reales!EP56)),IF(Reales!$C$56="PYG",IF(EP$10&gt;0,N(Reales!EP56)/EP$10,0),N(Reales!EP56)),EP$194*V_IVAmeses))</f>
        <v>0</v>
      </c>
      <c r="EQ204" s="34" t="n">
        <f aca="false">IF(142&gt;Fin,EP$204,IF(AND(EQ$8=1,ISNUMBER(Reales!EQ56)),IF(Reales!$C$56="PYG",IF(EQ$10&gt;0,N(Reales!EQ56)/EQ$10,0),N(Reales!EQ56)),EQ$194*V_IVAmeses))</f>
        <v>0</v>
      </c>
      <c r="ER204" s="34" t="n">
        <f aca="false">IF(143&gt;Fin,EQ$204,IF(AND(ER$8=1,ISNUMBER(Reales!ER56)),IF(Reales!$C$56="PYG",IF(ER$10&gt;0,N(Reales!ER56)/ER$10,0),N(Reales!ER56)),ER$194*V_IVAmeses))</f>
        <v>0</v>
      </c>
      <c r="ES204" s="34" t="n">
        <f aca="false">IF(144&gt;Fin,ER$204,IF(AND(ES$8=1,ISNUMBER(Reales!ES56)),IF(Reales!$C$56="PYG",IF(ES$10&gt;0,N(Reales!ES56)/ES$10,0),N(Reales!ES56)),ES$194*V_IVAmeses))</f>
        <v>0</v>
      </c>
    </row>
    <row r="205" customFormat="false" ht="15" hidden="false" customHeight="false" outlineLevel="0" collapsed="false">
      <c r="A205" s="2" t="s">
        <v>681</v>
      </c>
      <c r="B205" s="6" t="s">
        <v>533</v>
      </c>
      <c r="C205" s="6" t="s">
        <v>212</v>
      </c>
      <c r="E205" s="40" t="n">
        <f aca="false">INDEX(F205:ES205,1,MIN(144,Fin))</f>
        <v>0</v>
      </c>
      <c r="F205" s="34" t="n">
        <f aca="false">IF(1&gt;Fin,0,IF(AND(F$8=1,ISNUMBER(Reales!F57)),IF(Reales!$C$57="PYG",IF(F$10&gt;0,N(Reales!F57)/F$10,0),N(Reales!F57)),F$186*V_DPOmp/DiasMes+(F$187+F$189+F$192+F$193)*V_DPOot/DiasMes))</f>
        <v>0</v>
      </c>
      <c r="G205" s="34" t="n">
        <f aca="false">IF(2&gt;Fin,F$205,IF(AND(G$8=1,ISNUMBER(Reales!G57)),IF(Reales!$C$57="PYG",IF(G$10&gt;0,N(Reales!G57)/G$10,0),N(Reales!G57)),G$186*V_DPOmp/DiasMes+(G$187+G$189+G$192+G$193)*V_DPOot/DiasMes))</f>
        <v>0</v>
      </c>
      <c r="H205" s="34" t="n">
        <f aca="false">IF(3&gt;Fin,G$205,IF(AND(H$8=1,ISNUMBER(Reales!H57)),IF(Reales!$C$57="PYG",IF(H$10&gt;0,N(Reales!H57)/H$10,0),N(Reales!H57)),H$186*V_DPOmp/DiasMes+(H$187+H$189+H$192+H$193)*V_DPOot/DiasMes))</f>
        <v>0</v>
      </c>
      <c r="I205" s="34" t="n">
        <f aca="false">IF(4&gt;Fin,H$205,IF(AND(I$8=1,ISNUMBER(Reales!I57)),IF(Reales!$C$57="PYG",IF(I$10&gt;0,N(Reales!I57)/I$10,0),N(Reales!I57)),I$186*V_DPOmp/DiasMes+(I$187+I$189+I$192+I$193)*V_DPOot/DiasMes))</f>
        <v>0</v>
      </c>
      <c r="J205" s="34" t="n">
        <f aca="false">IF(5&gt;Fin,I$205,IF(AND(J$8=1,ISNUMBER(Reales!J57)),IF(Reales!$C$57="PYG",IF(J$10&gt;0,N(Reales!J57)/J$10,0),N(Reales!J57)),J$186*V_DPOmp/DiasMes+(J$187+J$189+J$192+J$193)*V_DPOot/DiasMes))</f>
        <v>0</v>
      </c>
      <c r="K205" s="34" t="n">
        <f aca="false">IF(6&gt;Fin,J$205,IF(AND(K$8=1,ISNUMBER(Reales!K57)),IF(Reales!$C$57="PYG",IF(K$10&gt;0,N(Reales!K57)/K$10,0),N(Reales!K57)),K$186*V_DPOmp/DiasMes+(K$187+K$189+K$192+K$193)*V_DPOot/DiasMes))</f>
        <v>0</v>
      </c>
      <c r="L205" s="34" t="n">
        <f aca="false">IF(7&gt;Fin,K$205,IF(AND(L$8=1,ISNUMBER(Reales!L57)),IF(Reales!$C$57="PYG",IF(L$10&gt;0,N(Reales!L57)/L$10,0),N(Reales!L57)),L$186*V_DPOmp/DiasMes+(L$187+L$189+L$192+L$193)*V_DPOot/DiasMes))</f>
        <v>0</v>
      </c>
      <c r="M205" s="34" t="n">
        <f aca="false">IF(8&gt;Fin,L$205,IF(AND(M$8=1,ISNUMBER(Reales!M57)),IF(Reales!$C$57="PYG",IF(M$10&gt;0,N(Reales!M57)/M$10,0),N(Reales!M57)),M$186*V_DPOmp/DiasMes+(M$187+M$189+M$192+M$193)*V_DPOot/DiasMes))</f>
        <v>0</v>
      </c>
      <c r="N205" s="34" t="n">
        <f aca="false">IF(9&gt;Fin,M$205,IF(AND(N$8=1,ISNUMBER(Reales!N57)),IF(Reales!$C$57="PYG",IF(N$10&gt;0,N(Reales!N57)/N$10,0),N(Reales!N57)),N$186*V_DPOmp/DiasMes+(N$187+N$189+N$192+N$193)*V_DPOot/DiasMes))</f>
        <v>0</v>
      </c>
      <c r="O205" s="34" t="n">
        <f aca="false">IF(10&gt;Fin,N$205,IF(AND(O$8=1,ISNUMBER(Reales!O57)),IF(Reales!$C$57="PYG",IF(O$10&gt;0,N(Reales!O57)/O$10,0),N(Reales!O57)),O$186*V_DPOmp/DiasMes+(O$187+O$189+O$192+O$193)*V_DPOot/DiasMes))</f>
        <v>0</v>
      </c>
      <c r="P205" s="34" t="n">
        <f aca="false">IF(11&gt;Fin,O$205,IF(AND(P$8=1,ISNUMBER(Reales!P57)),IF(Reales!$C$57="PYG",IF(P$10&gt;0,N(Reales!P57)/P$10,0),N(Reales!P57)),P$186*V_DPOmp/DiasMes+(P$187+P$189+P$192+P$193)*V_DPOot/DiasMes))</f>
        <v>0</v>
      </c>
      <c r="Q205" s="34" t="n">
        <f aca="false">IF(12&gt;Fin,P$205,IF(AND(Q$8=1,ISNUMBER(Reales!Q57)),IF(Reales!$C$57="PYG",IF(Q$10&gt;0,N(Reales!Q57)/Q$10,0),N(Reales!Q57)),Q$186*V_DPOmp/DiasMes+(Q$187+Q$189+Q$192+Q$193)*V_DPOot/DiasMes))</f>
        <v>0</v>
      </c>
      <c r="R205" s="34" t="n">
        <f aca="false">IF(13&gt;Fin,Q$205,IF(AND(R$8=1,ISNUMBER(Reales!R57)),IF(Reales!$C$57="PYG",IF(R$10&gt;0,N(Reales!R57)/R$10,0),N(Reales!R57)),R$186*V_DPOmp/DiasMes+(R$187+R$189+R$192+R$193)*V_DPOot/DiasMes))</f>
        <v>0</v>
      </c>
      <c r="S205" s="34" t="n">
        <f aca="false">IF(14&gt;Fin,R$205,IF(AND(S$8=1,ISNUMBER(Reales!S57)),IF(Reales!$C$57="PYG",IF(S$10&gt;0,N(Reales!S57)/S$10,0),N(Reales!S57)),S$186*V_DPOmp/DiasMes+(S$187+S$189+S$192+S$193)*V_DPOot/DiasMes))</f>
        <v>0</v>
      </c>
      <c r="T205" s="34" t="n">
        <f aca="false">IF(15&gt;Fin,S$205,IF(AND(T$8=1,ISNUMBER(Reales!T57)),IF(Reales!$C$57="PYG",IF(T$10&gt;0,N(Reales!T57)/T$10,0),N(Reales!T57)),T$186*V_DPOmp/DiasMes+(T$187+T$189+T$192+T$193)*V_DPOot/DiasMes))</f>
        <v>0</v>
      </c>
      <c r="U205" s="34" t="n">
        <f aca="false">IF(16&gt;Fin,T$205,IF(AND(U$8=1,ISNUMBER(Reales!U57)),IF(Reales!$C$57="PYG",IF(U$10&gt;0,N(Reales!U57)/U$10,0),N(Reales!U57)),U$186*V_DPOmp/DiasMes+(U$187+U$189+U$192+U$193)*V_DPOot/DiasMes))</f>
        <v>0</v>
      </c>
      <c r="V205" s="34" t="n">
        <f aca="false">IF(17&gt;Fin,U$205,IF(AND(V$8=1,ISNUMBER(Reales!V57)),IF(Reales!$C$57="PYG",IF(V$10&gt;0,N(Reales!V57)/V$10,0),N(Reales!V57)),V$186*V_DPOmp/DiasMes+(V$187+V$189+V$192+V$193)*V_DPOot/DiasMes))</f>
        <v>0</v>
      </c>
      <c r="W205" s="34" t="n">
        <f aca="false">IF(18&gt;Fin,V$205,IF(AND(W$8=1,ISNUMBER(Reales!W57)),IF(Reales!$C$57="PYG",IF(W$10&gt;0,N(Reales!W57)/W$10,0),N(Reales!W57)),W$186*V_DPOmp/DiasMes+(W$187+W$189+W$192+W$193)*V_DPOot/DiasMes))</f>
        <v>0</v>
      </c>
      <c r="X205" s="34" t="n">
        <f aca="false">IF(19&gt;Fin,W$205,IF(AND(X$8=1,ISNUMBER(Reales!X57)),IF(Reales!$C$57="PYG",IF(X$10&gt;0,N(Reales!X57)/X$10,0),N(Reales!X57)),X$186*V_DPOmp/DiasMes+(X$187+X$189+X$192+X$193)*V_DPOot/DiasMes))</f>
        <v>0</v>
      </c>
      <c r="Y205" s="34" t="n">
        <f aca="false">IF(20&gt;Fin,X$205,IF(AND(Y$8=1,ISNUMBER(Reales!Y57)),IF(Reales!$C$57="PYG",IF(Y$10&gt;0,N(Reales!Y57)/Y$10,0),N(Reales!Y57)),Y$186*V_DPOmp/DiasMes+(Y$187+Y$189+Y$192+Y$193)*V_DPOot/DiasMes))</f>
        <v>0</v>
      </c>
      <c r="Z205" s="34" t="n">
        <f aca="false">IF(21&gt;Fin,Y$205,IF(AND(Z$8=1,ISNUMBER(Reales!Z57)),IF(Reales!$C$57="PYG",IF(Z$10&gt;0,N(Reales!Z57)/Z$10,0),N(Reales!Z57)),Z$186*V_DPOmp/DiasMes+(Z$187+Z$189+Z$192+Z$193)*V_DPOot/DiasMes))</f>
        <v>0</v>
      </c>
      <c r="AA205" s="34" t="n">
        <f aca="false">IF(22&gt;Fin,Z$205,IF(AND(AA$8=1,ISNUMBER(Reales!AA57)),IF(Reales!$C$57="PYG",IF(AA$10&gt;0,N(Reales!AA57)/AA$10,0),N(Reales!AA57)),AA$186*V_DPOmp/DiasMes+(AA$187+AA$189+AA$192+AA$193)*V_DPOot/DiasMes))</f>
        <v>0</v>
      </c>
      <c r="AB205" s="34" t="n">
        <f aca="false">IF(23&gt;Fin,AA$205,IF(AND(AB$8=1,ISNUMBER(Reales!AB57)),IF(Reales!$C$57="PYG",IF(AB$10&gt;0,N(Reales!AB57)/AB$10,0),N(Reales!AB57)),AB$186*V_DPOmp/DiasMes+(AB$187+AB$189+AB$192+AB$193)*V_DPOot/DiasMes))</f>
        <v>0</v>
      </c>
      <c r="AC205" s="34" t="n">
        <f aca="false">IF(24&gt;Fin,AB$205,IF(AND(AC$8=1,ISNUMBER(Reales!AC57)),IF(Reales!$C$57="PYG",IF(AC$10&gt;0,N(Reales!AC57)/AC$10,0),N(Reales!AC57)),AC$186*V_DPOmp/DiasMes+(AC$187+AC$189+AC$192+AC$193)*V_DPOot/DiasMes))</f>
        <v>0</v>
      </c>
      <c r="AD205" s="34" t="n">
        <f aca="false">IF(25&gt;Fin,AC$205,IF(AND(AD$8=1,ISNUMBER(Reales!AD57)),IF(Reales!$C$57="PYG",IF(AD$10&gt;0,N(Reales!AD57)/AD$10,0),N(Reales!AD57)),AD$186*V_DPOmp/DiasMes+(AD$187+AD$189+AD$192+AD$193)*V_DPOot/DiasMes))</f>
        <v>0</v>
      </c>
      <c r="AE205" s="34" t="n">
        <f aca="false">IF(26&gt;Fin,AD$205,IF(AND(AE$8=1,ISNUMBER(Reales!AE57)),IF(Reales!$C$57="PYG",IF(AE$10&gt;0,N(Reales!AE57)/AE$10,0),N(Reales!AE57)),AE$186*V_DPOmp/DiasMes+(AE$187+AE$189+AE$192+AE$193)*V_DPOot/DiasMes))</f>
        <v>0</v>
      </c>
      <c r="AF205" s="34" t="n">
        <f aca="false">IF(27&gt;Fin,AE$205,IF(AND(AF$8=1,ISNUMBER(Reales!AF57)),IF(Reales!$C$57="PYG",IF(AF$10&gt;0,N(Reales!AF57)/AF$10,0),N(Reales!AF57)),AF$186*V_DPOmp/DiasMes+(AF$187+AF$189+AF$192+AF$193)*V_DPOot/DiasMes))</f>
        <v>0</v>
      </c>
      <c r="AG205" s="34" t="n">
        <f aca="false">IF(28&gt;Fin,AF$205,IF(AND(AG$8=1,ISNUMBER(Reales!AG57)),IF(Reales!$C$57="PYG",IF(AG$10&gt;0,N(Reales!AG57)/AG$10,0),N(Reales!AG57)),AG$186*V_DPOmp/DiasMes+(AG$187+AG$189+AG$192+AG$193)*V_DPOot/DiasMes))</f>
        <v>0</v>
      </c>
      <c r="AH205" s="34" t="n">
        <f aca="false">IF(29&gt;Fin,AG$205,IF(AND(AH$8=1,ISNUMBER(Reales!AH57)),IF(Reales!$C$57="PYG",IF(AH$10&gt;0,N(Reales!AH57)/AH$10,0),N(Reales!AH57)),AH$186*V_DPOmp/DiasMes+(AH$187+AH$189+AH$192+AH$193)*V_DPOot/DiasMes))</f>
        <v>0</v>
      </c>
      <c r="AI205" s="34" t="n">
        <f aca="false">IF(30&gt;Fin,AH$205,IF(AND(AI$8=1,ISNUMBER(Reales!AI57)),IF(Reales!$C$57="PYG",IF(AI$10&gt;0,N(Reales!AI57)/AI$10,0),N(Reales!AI57)),AI$186*V_DPOmp/DiasMes+(AI$187+AI$189+AI$192+AI$193)*V_DPOot/DiasMes))</f>
        <v>0</v>
      </c>
      <c r="AJ205" s="34" t="n">
        <f aca="false">IF(31&gt;Fin,AI$205,IF(AND(AJ$8=1,ISNUMBER(Reales!AJ57)),IF(Reales!$C$57="PYG",IF(AJ$10&gt;0,N(Reales!AJ57)/AJ$10,0),N(Reales!AJ57)),AJ$186*V_DPOmp/DiasMes+(AJ$187+AJ$189+AJ$192+AJ$193)*V_DPOot/DiasMes))</f>
        <v>0</v>
      </c>
      <c r="AK205" s="34" t="n">
        <f aca="false">IF(32&gt;Fin,AJ$205,IF(AND(AK$8=1,ISNUMBER(Reales!AK57)),IF(Reales!$C$57="PYG",IF(AK$10&gt;0,N(Reales!AK57)/AK$10,0),N(Reales!AK57)),AK$186*V_DPOmp/DiasMes+(AK$187+AK$189+AK$192+AK$193)*V_DPOot/DiasMes))</f>
        <v>0</v>
      </c>
      <c r="AL205" s="34" t="n">
        <f aca="false">IF(33&gt;Fin,AK$205,IF(AND(AL$8=1,ISNUMBER(Reales!AL57)),IF(Reales!$C$57="PYG",IF(AL$10&gt;0,N(Reales!AL57)/AL$10,0),N(Reales!AL57)),AL$186*V_DPOmp/DiasMes+(AL$187+AL$189+AL$192+AL$193)*V_DPOot/DiasMes))</f>
        <v>0</v>
      </c>
      <c r="AM205" s="34" t="n">
        <f aca="false">IF(34&gt;Fin,AL$205,IF(AND(AM$8=1,ISNUMBER(Reales!AM57)),IF(Reales!$C$57="PYG",IF(AM$10&gt;0,N(Reales!AM57)/AM$10,0),N(Reales!AM57)),AM$186*V_DPOmp/DiasMes+(AM$187+AM$189+AM$192+AM$193)*V_DPOot/DiasMes))</f>
        <v>0</v>
      </c>
      <c r="AN205" s="34" t="n">
        <f aca="false">IF(35&gt;Fin,AM$205,IF(AND(AN$8=1,ISNUMBER(Reales!AN57)),IF(Reales!$C$57="PYG",IF(AN$10&gt;0,N(Reales!AN57)/AN$10,0),N(Reales!AN57)),AN$186*V_DPOmp/DiasMes+(AN$187+AN$189+AN$192+AN$193)*V_DPOot/DiasMes))</f>
        <v>0</v>
      </c>
      <c r="AO205" s="34" t="n">
        <f aca="false">IF(36&gt;Fin,AN$205,IF(AND(AO$8=1,ISNUMBER(Reales!AO57)),IF(Reales!$C$57="PYG",IF(AO$10&gt;0,N(Reales!AO57)/AO$10,0),N(Reales!AO57)),AO$186*V_DPOmp/DiasMes+(AO$187+AO$189+AO$192+AO$193)*V_DPOot/DiasMes))</f>
        <v>0</v>
      </c>
      <c r="AP205" s="34" t="n">
        <f aca="false">IF(37&gt;Fin,AO$205,IF(AND(AP$8=1,ISNUMBER(Reales!AP57)),IF(Reales!$C$57="PYG",IF(AP$10&gt;0,N(Reales!AP57)/AP$10,0),N(Reales!AP57)),AP$186*V_DPOmp/DiasMes+(AP$187+AP$189+AP$192+AP$193)*V_DPOot/DiasMes))</f>
        <v>0</v>
      </c>
      <c r="AQ205" s="34" t="n">
        <f aca="false">IF(38&gt;Fin,AP$205,IF(AND(AQ$8=1,ISNUMBER(Reales!AQ57)),IF(Reales!$C$57="PYG",IF(AQ$10&gt;0,N(Reales!AQ57)/AQ$10,0),N(Reales!AQ57)),AQ$186*V_DPOmp/DiasMes+(AQ$187+AQ$189+AQ$192+AQ$193)*V_DPOot/DiasMes))</f>
        <v>0</v>
      </c>
      <c r="AR205" s="34" t="n">
        <f aca="false">IF(39&gt;Fin,AQ$205,IF(AND(AR$8=1,ISNUMBER(Reales!AR57)),IF(Reales!$C$57="PYG",IF(AR$10&gt;0,N(Reales!AR57)/AR$10,0),N(Reales!AR57)),AR$186*V_DPOmp/DiasMes+(AR$187+AR$189+AR$192+AR$193)*V_DPOot/DiasMes))</f>
        <v>0</v>
      </c>
      <c r="AS205" s="34" t="n">
        <f aca="false">IF(40&gt;Fin,AR$205,IF(AND(AS$8=1,ISNUMBER(Reales!AS57)),IF(Reales!$C$57="PYG",IF(AS$10&gt;0,N(Reales!AS57)/AS$10,0),N(Reales!AS57)),AS$186*V_DPOmp/DiasMes+(AS$187+AS$189+AS$192+AS$193)*V_DPOot/DiasMes))</f>
        <v>0</v>
      </c>
      <c r="AT205" s="34" t="n">
        <f aca="false">IF(41&gt;Fin,AS$205,IF(AND(AT$8=1,ISNUMBER(Reales!AT57)),IF(Reales!$C$57="PYG",IF(AT$10&gt;0,N(Reales!AT57)/AT$10,0),N(Reales!AT57)),AT$186*V_DPOmp/DiasMes+(AT$187+AT$189+AT$192+AT$193)*V_DPOot/DiasMes))</f>
        <v>0</v>
      </c>
      <c r="AU205" s="34" t="n">
        <f aca="false">IF(42&gt;Fin,AT$205,IF(AND(AU$8=1,ISNUMBER(Reales!AU57)),IF(Reales!$C$57="PYG",IF(AU$10&gt;0,N(Reales!AU57)/AU$10,0),N(Reales!AU57)),AU$186*V_DPOmp/DiasMes+(AU$187+AU$189+AU$192+AU$193)*V_DPOot/DiasMes))</f>
        <v>0</v>
      </c>
      <c r="AV205" s="34" t="n">
        <f aca="false">IF(43&gt;Fin,AU$205,IF(AND(AV$8=1,ISNUMBER(Reales!AV57)),IF(Reales!$C$57="PYG",IF(AV$10&gt;0,N(Reales!AV57)/AV$10,0),N(Reales!AV57)),AV$186*V_DPOmp/DiasMes+(AV$187+AV$189+AV$192+AV$193)*V_DPOot/DiasMes))</f>
        <v>0</v>
      </c>
      <c r="AW205" s="34" t="n">
        <f aca="false">IF(44&gt;Fin,AV$205,IF(AND(AW$8=1,ISNUMBER(Reales!AW57)),IF(Reales!$C$57="PYG",IF(AW$10&gt;0,N(Reales!AW57)/AW$10,0),N(Reales!AW57)),AW$186*V_DPOmp/DiasMes+(AW$187+AW$189+AW$192+AW$193)*V_DPOot/DiasMes))</f>
        <v>0</v>
      </c>
      <c r="AX205" s="34" t="n">
        <f aca="false">IF(45&gt;Fin,AW$205,IF(AND(AX$8=1,ISNUMBER(Reales!AX57)),IF(Reales!$C$57="PYG",IF(AX$10&gt;0,N(Reales!AX57)/AX$10,0),N(Reales!AX57)),AX$186*V_DPOmp/DiasMes+(AX$187+AX$189+AX$192+AX$193)*V_DPOot/DiasMes))</f>
        <v>0</v>
      </c>
      <c r="AY205" s="34" t="n">
        <f aca="false">IF(46&gt;Fin,AX$205,IF(AND(AY$8=1,ISNUMBER(Reales!AY57)),IF(Reales!$C$57="PYG",IF(AY$10&gt;0,N(Reales!AY57)/AY$10,0),N(Reales!AY57)),AY$186*V_DPOmp/DiasMes+(AY$187+AY$189+AY$192+AY$193)*V_DPOot/DiasMes))</f>
        <v>0</v>
      </c>
      <c r="AZ205" s="34" t="n">
        <f aca="false">IF(47&gt;Fin,AY$205,IF(AND(AZ$8=1,ISNUMBER(Reales!AZ57)),IF(Reales!$C$57="PYG",IF(AZ$10&gt;0,N(Reales!AZ57)/AZ$10,0),N(Reales!AZ57)),AZ$186*V_DPOmp/DiasMes+(AZ$187+AZ$189+AZ$192+AZ$193)*V_DPOot/DiasMes))</f>
        <v>0</v>
      </c>
      <c r="BA205" s="34" t="n">
        <f aca="false">IF(48&gt;Fin,AZ$205,IF(AND(BA$8=1,ISNUMBER(Reales!BA57)),IF(Reales!$C$57="PYG",IF(BA$10&gt;0,N(Reales!BA57)/BA$10,0),N(Reales!BA57)),BA$186*V_DPOmp/DiasMes+(BA$187+BA$189+BA$192+BA$193)*V_DPOot/DiasMes))</f>
        <v>0</v>
      </c>
      <c r="BB205" s="34" t="n">
        <f aca="false">IF(49&gt;Fin,BA$205,IF(AND(BB$8=1,ISNUMBER(Reales!BB57)),IF(Reales!$C$57="PYG",IF(BB$10&gt;0,N(Reales!BB57)/BB$10,0),N(Reales!BB57)),BB$186*V_DPOmp/DiasMes+(BB$187+BB$189+BB$192+BB$193)*V_DPOot/DiasMes))</f>
        <v>0</v>
      </c>
      <c r="BC205" s="34" t="n">
        <f aca="false">IF(50&gt;Fin,BB$205,IF(AND(BC$8=1,ISNUMBER(Reales!BC57)),IF(Reales!$C$57="PYG",IF(BC$10&gt;0,N(Reales!BC57)/BC$10,0),N(Reales!BC57)),BC$186*V_DPOmp/DiasMes+(BC$187+BC$189+BC$192+BC$193)*V_DPOot/DiasMes))</f>
        <v>0</v>
      </c>
      <c r="BD205" s="34" t="n">
        <f aca="false">IF(51&gt;Fin,BC$205,IF(AND(BD$8=1,ISNUMBER(Reales!BD57)),IF(Reales!$C$57="PYG",IF(BD$10&gt;0,N(Reales!BD57)/BD$10,0),N(Reales!BD57)),BD$186*V_DPOmp/DiasMes+(BD$187+BD$189+BD$192+BD$193)*V_DPOot/DiasMes))</f>
        <v>0</v>
      </c>
      <c r="BE205" s="34" t="n">
        <f aca="false">IF(52&gt;Fin,BD$205,IF(AND(BE$8=1,ISNUMBER(Reales!BE57)),IF(Reales!$C$57="PYG",IF(BE$10&gt;0,N(Reales!BE57)/BE$10,0),N(Reales!BE57)),BE$186*V_DPOmp/DiasMes+(BE$187+BE$189+BE$192+BE$193)*V_DPOot/DiasMes))</f>
        <v>0</v>
      </c>
      <c r="BF205" s="34" t="n">
        <f aca="false">IF(53&gt;Fin,BE$205,IF(AND(BF$8=1,ISNUMBER(Reales!BF57)),IF(Reales!$C$57="PYG",IF(BF$10&gt;0,N(Reales!BF57)/BF$10,0),N(Reales!BF57)),BF$186*V_DPOmp/DiasMes+(BF$187+BF$189+BF$192+BF$193)*V_DPOot/DiasMes))</f>
        <v>0</v>
      </c>
      <c r="BG205" s="34" t="n">
        <f aca="false">IF(54&gt;Fin,BF$205,IF(AND(BG$8=1,ISNUMBER(Reales!BG57)),IF(Reales!$C$57="PYG",IF(BG$10&gt;0,N(Reales!BG57)/BG$10,0),N(Reales!BG57)),BG$186*V_DPOmp/DiasMes+(BG$187+BG$189+BG$192+BG$193)*V_DPOot/DiasMes))</f>
        <v>0</v>
      </c>
      <c r="BH205" s="34" t="n">
        <f aca="false">IF(55&gt;Fin,BG$205,IF(AND(BH$8=1,ISNUMBER(Reales!BH57)),IF(Reales!$C$57="PYG",IF(BH$10&gt;0,N(Reales!BH57)/BH$10,0),N(Reales!BH57)),BH$186*V_DPOmp/DiasMes+(BH$187+BH$189+BH$192+BH$193)*V_DPOot/DiasMes))</f>
        <v>0</v>
      </c>
      <c r="BI205" s="34" t="n">
        <f aca="false">IF(56&gt;Fin,BH$205,IF(AND(BI$8=1,ISNUMBER(Reales!BI57)),IF(Reales!$C$57="PYG",IF(BI$10&gt;0,N(Reales!BI57)/BI$10,0),N(Reales!BI57)),BI$186*V_DPOmp/DiasMes+(BI$187+BI$189+BI$192+BI$193)*V_DPOot/DiasMes))</f>
        <v>0</v>
      </c>
      <c r="BJ205" s="34" t="n">
        <f aca="false">IF(57&gt;Fin,BI$205,IF(AND(BJ$8=1,ISNUMBER(Reales!BJ57)),IF(Reales!$C$57="PYG",IF(BJ$10&gt;0,N(Reales!BJ57)/BJ$10,0),N(Reales!BJ57)),BJ$186*V_DPOmp/DiasMes+(BJ$187+BJ$189+BJ$192+BJ$193)*V_DPOot/DiasMes))</f>
        <v>0</v>
      </c>
      <c r="BK205" s="34" t="n">
        <f aca="false">IF(58&gt;Fin,BJ$205,IF(AND(BK$8=1,ISNUMBER(Reales!BK57)),IF(Reales!$C$57="PYG",IF(BK$10&gt;0,N(Reales!BK57)/BK$10,0),N(Reales!BK57)),BK$186*V_DPOmp/DiasMes+(BK$187+BK$189+BK$192+BK$193)*V_DPOot/DiasMes))</f>
        <v>0</v>
      </c>
      <c r="BL205" s="34" t="n">
        <f aca="false">IF(59&gt;Fin,BK$205,IF(AND(BL$8=1,ISNUMBER(Reales!BL57)),IF(Reales!$C$57="PYG",IF(BL$10&gt;0,N(Reales!BL57)/BL$10,0),N(Reales!BL57)),BL$186*V_DPOmp/DiasMes+(BL$187+BL$189+BL$192+BL$193)*V_DPOot/DiasMes))</f>
        <v>0</v>
      </c>
      <c r="BM205" s="34" t="n">
        <f aca="false">IF(60&gt;Fin,BL$205,IF(AND(BM$8=1,ISNUMBER(Reales!BM57)),IF(Reales!$C$57="PYG",IF(BM$10&gt;0,N(Reales!BM57)/BM$10,0),N(Reales!BM57)),BM$186*V_DPOmp/DiasMes+(BM$187+BM$189+BM$192+BM$193)*V_DPOot/DiasMes))</f>
        <v>0</v>
      </c>
      <c r="BN205" s="34" t="n">
        <f aca="false">IF(61&gt;Fin,BM$205,IF(AND(BN$8=1,ISNUMBER(Reales!BN57)),IF(Reales!$C$57="PYG",IF(BN$10&gt;0,N(Reales!BN57)/BN$10,0),N(Reales!BN57)),BN$186*V_DPOmp/DiasMes+(BN$187+BN$189+BN$192+BN$193)*V_DPOot/DiasMes))</f>
        <v>0</v>
      </c>
      <c r="BO205" s="34" t="n">
        <f aca="false">IF(62&gt;Fin,BN$205,IF(AND(BO$8=1,ISNUMBER(Reales!BO57)),IF(Reales!$C$57="PYG",IF(BO$10&gt;0,N(Reales!BO57)/BO$10,0),N(Reales!BO57)),BO$186*V_DPOmp/DiasMes+(BO$187+BO$189+BO$192+BO$193)*V_DPOot/DiasMes))</f>
        <v>0</v>
      </c>
      <c r="BP205" s="34" t="n">
        <f aca="false">IF(63&gt;Fin,BO$205,IF(AND(BP$8=1,ISNUMBER(Reales!BP57)),IF(Reales!$C$57="PYG",IF(BP$10&gt;0,N(Reales!BP57)/BP$10,0),N(Reales!BP57)),BP$186*V_DPOmp/DiasMes+(BP$187+BP$189+BP$192+BP$193)*V_DPOot/DiasMes))</f>
        <v>0</v>
      </c>
      <c r="BQ205" s="34" t="n">
        <f aca="false">IF(64&gt;Fin,BP$205,IF(AND(BQ$8=1,ISNUMBER(Reales!BQ57)),IF(Reales!$C$57="PYG",IF(BQ$10&gt;0,N(Reales!BQ57)/BQ$10,0),N(Reales!BQ57)),BQ$186*V_DPOmp/DiasMes+(BQ$187+BQ$189+BQ$192+BQ$193)*V_DPOot/DiasMes))</f>
        <v>0</v>
      </c>
      <c r="BR205" s="34" t="n">
        <f aca="false">IF(65&gt;Fin,BQ$205,IF(AND(BR$8=1,ISNUMBER(Reales!BR57)),IF(Reales!$C$57="PYG",IF(BR$10&gt;0,N(Reales!BR57)/BR$10,0),N(Reales!BR57)),BR$186*V_DPOmp/DiasMes+(BR$187+BR$189+BR$192+BR$193)*V_DPOot/DiasMes))</f>
        <v>0</v>
      </c>
      <c r="BS205" s="34" t="n">
        <f aca="false">IF(66&gt;Fin,BR$205,IF(AND(BS$8=1,ISNUMBER(Reales!BS57)),IF(Reales!$C$57="PYG",IF(BS$10&gt;0,N(Reales!BS57)/BS$10,0),N(Reales!BS57)),BS$186*V_DPOmp/DiasMes+(BS$187+BS$189+BS$192+BS$193)*V_DPOot/DiasMes))</f>
        <v>0</v>
      </c>
      <c r="BT205" s="34" t="n">
        <f aca="false">IF(67&gt;Fin,BS$205,IF(AND(BT$8=1,ISNUMBER(Reales!BT57)),IF(Reales!$C$57="PYG",IF(BT$10&gt;0,N(Reales!BT57)/BT$10,0),N(Reales!BT57)),BT$186*V_DPOmp/DiasMes+(BT$187+BT$189+BT$192+BT$193)*V_DPOot/DiasMes))</f>
        <v>0</v>
      </c>
      <c r="BU205" s="34" t="n">
        <f aca="false">IF(68&gt;Fin,BT$205,IF(AND(BU$8=1,ISNUMBER(Reales!BU57)),IF(Reales!$C$57="PYG",IF(BU$10&gt;0,N(Reales!BU57)/BU$10,0),N(Reales!BU57)),BU$186*V_DPOmp/DiasMes+(BU$187+BU$189+BU$192+BU$193)*V_DPOot/DiasMes))</f>
        <v>0</v>
      </c>
      <c r="BV205" s="34" t="n">
        <f aca="false">IF(69&gt;Fin,BU$205,IF(AND(BV$8=1,ISNUMBER(Reales!BV57)),IF(Reales!$C$57="PYG",IF(BV$10&gt;0,N(Reales!BV57)/BV$10,0),N(Reales!BV57)),BV$186*V_DPOmp/DiasMes+(BV$187+BV$189+BV$192+BV$193)*V_DPOot/DiasMes))</f>
        <v>0</v>
      </c>
      <c r="BW205" s="34" t="n">
        <f aca="false">IF(70&gt;Fin,BV$205,IF(AND(BW$8=1,ISNUMBER(Reales!BW57)),IF(Reales!$C$57="PYG",IF(BW$10&gt;0,N(Reales!BW57)/BW$10,0),N(Reales!BW57)),BW$186*V_DPOmp/DiasMes+(BW$187+BW$189+BW$192+BW$193)*V_DPOot/DiasMes))</f>
        <v>0</v>
      </c>
      <c r="BX205" s="34" t="n">
        <f aca="false">IF(71&gt;Fin,BW$205,IF(AND(BX$8=1,ISNUMBER(Reales!BX57)),IF(Reales!$C$57="PYG",IF(BX$10&gt;0,N(Reales!BX57)/BX$10,0),N(Reales!BX57)),BX$186*V_DPOmp/DiasMes+(BX$187+BX$189+BX$192+BX$193)*V_DPOot/DiasMes))</f>
        <v>0</v>
      </c>
      <c r="BY205" s="34" t="n">
        <f aca="false">IF(72&gt;Fin,BX$205,IF(AND(BY$8=1,ISNUMBER(Reales!BY57)),IF(Reales!$C$57="PYG",IF(BY$10&gt;0,N(Reales!BY57)/BY$10,0),N(Reales!BY57)),BY$186*V_DPOmp/DiasMes+(BY$187+BY$189+BY$192+BY$193)*V_DPOot/DiasMes))</f>
        <v>0</v>
      </c>
      <c r="BZ205" s="34" t="n">
        <f aca="false">IF(73&gt;Fin,BY$205,IF(AND(BZ$8=1,ISNUMBER(Reales!BZ57)),IF(Reales!$C$57="PYG",IF(BZ$10&gt;0,N(Reales!BZ57)/BZ$10,0),N(Reales!BZ57)),BZ$186*V_DPOmp/DiasMes+(BZ$187+BZ$189+BZ$192+BZ$193)*V_DPOot/DiasMes))</f>
        <v>0</v>
      </c>
      <c r="CA205" s="34" t="n">
        <f aca="false">IF(74&gt;Fin,BZ$205,IF(AND(CA$8=1,ISNUMBER(Reales!CA57)),IF(Reales!$C$57="PYG",IF(CA$10&gt;0,N(Reales!CA57)/CA$10,0),N(Reales!CA57)),CA$186*V_DPOmp/DiasMes+(CA$187+CA$189+CA$192+CA$193)*V_DPOot/DiasMes))</f>
        <v>0</v>
      </c>
      <c r="CB205" s="34" t="n">
        <f aca="false">IF(75&gt;Fin,CA$205,IF(AND(CB$8=1,ISNUMBER(Reales!CB57)),IF(Reales!$C$57="PYG",IF(CB$10&gt;0,N(Reales!CB57)/CB$10,0),N(Reales!CB57)),CB$186*V_DPOmp/DiasMes+(CB$187+CB$189+CB$192+CB$193)*V_DPOot/DiasMes))</f>
        <v>0</v>
      </c>
      <c r="CC205" s="34" t="n">
        <f aca="false">IF(76&gt;Fin,CB$205,IF(AND(CC$8=1,ISNUMBER(Reales!CC57)),IF(Reales!$C$57="PYG",IF(CC$10&gt;0,N(Reales!CC57)/CC$10,0),N(Reales!CC57)),CC$186*V_DPOmp/DiasMes+(CC$187+CC$189+CC$192+CC$193)*V_DPOot/DiasMes))</f>
        <v>0</v>
      </c>
      <c r="CD205" s="34" t="n">
        <f aca="false">IF(77&gt;Fin,CC$205,IF(AND(CD$8=1,ISNUMBER(Reales!CD57)),IF(Reales!$C$57="PYG",IF(CD$10&gt;0,N(Reales!CD57)/CD$10,0),N(Reales!CD57)),CD$186*V_DPOmp/DiasMes+(CD$187+CD$189+CD$192+CD$193)*V_DPOot/DiasMes))</f>
        <v>0</v>
      </c>
      <c r="CE205" s="34" t="n">
        <f aca="false">IF(78&gt;Fin,CD$205,IF(AND(CE$8=1,ISNUMBER(Reales!CE57)),IF(Reales!$C$57="PYG",IF(CE$10&gt;0,N(Reales!CE57)/CE$10,0),N(Reales!CE57)),CE$186*V_DPOmp/DiasMes+(CE$187+CE$189+CE$192+CE$193)*V_DPOot/DiasMes))</f>
        <v>0</v>
      </c>
      <c r="CF205" s="34" t="n">
        <f aca="false">IF(79&gt;Fin,CE$205,IF(AND(CF$8=1,ISNUMBER(Reales!CF57)),IF(Reales!$C$57="PYG",IF(CF$10&gt;0,N(Reales!CF57)/CF$10,0),N(Reales!CF57)),CF$186*V_DPOmp/DiasMes+(CF$187+CF$189+CF$192+CF$193)*V_DPOot/DiasMes))</f>
        <v>0</v>
      </c>
      <c r="CG205" s="34" t="n">
        <f aca="false">IF(80&gt;Fin,CF$205,IF(AND(CG$8=1,ISNUMBER(Reales!CG57)),IF(Reales!$C$57="PYG",IF(CG$10&gt;0,N(Reales!CG57)/CG$10,0),N(Reales!CG57)),CG$186*V_DPOmp/DiasMes+(CG$187+CG$189+CG$192+CG$193)*V_DPOot/DiasMes))</f>
        <v>0</v>
      </c>
      <c r="CH205" s="34" t="n">
        <f aca="false">IF(81&gt;Fin,CG$205,IF(AND(CH$8=1,ISNUMBER(Reales!CH57)),IF(Reales!$C$57="PYG",IF(CH$10&gt;0,N(Reales!CH57)/CH$10,0),N(Reales!CH57)),CH$186*V_DPOmp/DiasMes+(CH$187+CH$189+CH$192+CH$193)*V_DPOot/DiasMes))</f>
        <v>0</v>
      </c>
      <c r="CI205" s="34" t="n">
        <f aca="false">IF(82&gt;Fin,CH$205,IF(AND(CI$8=1,ISNUMBER(Reales!CI57)),IF(Reales!$C$57="PYG",IF(CI$10&gt;0,N(Reales!CI57)/CI$10,0),N(Reales!CI57)),CI$186*V_DPOmp/DiasMes+(CI$187+CI$189+CI$192+CI$193)*V_DPOot/DiasMes))</f>
        <v>0</v>
      </c>
      <c r="CJ205" s="34" t="n">
        <f aca="false">IF(83&gt;Fin,CI$205,IF(AND(CJ$8=1,ISNUMBER(Reales!CJ57)),IF(Reales!$C$57="PYG",IF(CJ$10&gt;0,N(Reales!CJ57)/CJ$10,0),N(Reales!CJ57)),CJ$186*V_DPOmp/DiasMes+(CJ$187+CJ$189+CJ$192+CJ$193)*V_DPOot/DiasMes))</f>
        <v>0</v>
      </c>
      <c r="CK205" s="34" t="n">
        <f aca="false">IF(84&gt;Fin,CJ$205,IF(AND(CK$8=1,ISNUMBER(Reales!CK57)),IF(Reales!$C$57="PYG",IF(CK$10&gt;0,N(Reales!CK57)/CK$10,0),N(Reales!CK57)),CK$186*V_DPOmp/DiasMes+(CK$187+CK$189+CK$192+CK$193)*V_DPOot/DiasMes))</f>
        <v>0</v>
      </c>
      <c r="CL205" s="34" t="n">
        <f aca="false">IF(85&gt;Fin,CK$205,IF(AND(CL$8=1,ISNUMBER(Reales!CL57)),IF(Reales!$C$57="PYG",IF(CL$10&gt;0,N(Reales!CL57)/CL$10,0),N(Reales!CL57)),CL$186*V_DPOmp/DiasMes+(CL$187+CL$189+CL$192+CL$193)*V_DPOot/DiasMes))</f>
        <v>0</v>
      </c>
      <c r="CM205" s="34" t="n">
        <f aca="false">IF(86&gt;Fin,CL$205,IF(AND(CM$8=1,ISNUMBER(Reales!CM57)),IF(Reales!$C$57="PYG",IF(CM$10&gt;0,N(Reales!CM57)/CM$10,0),N(Reales!CM57)),CM$186*V_DPOmp/DiasMes+(CM$187+CM$189+CM$192+CM$193)*V_DPOot/DiasMes))</f>
        <v>0</v>
      </c>
      <c r="CN205" s="34" t="n">
        <f aca="false">IF(87&gt;Fin,CM$205,IF(AND(CN$8=1,ISNUMBER(Reales!CN57)),IF(Reales!$C$57="PYG",IF(CN$10&gt;0,N(Reales!CN57)/CN$10,0),N(Reales!CN57)),CN$186*V_DPOmp/DiasMes+(CN$187+CN$189+CN$192+CN$193)*V_DPOot/DiasMes))</f>
        <v>0</v>
      </c>
      <c r="CO205" s="34" t="n">
        <f aca="false">IF(88&gt;Fin,CN$205,IF(AND(CO$8=1,ISNUMBER(Reales!CO57)),IF(Reales!$C$57="PYG",IF(CO$10&gt;0,N(Reales!CO57)/CO$10,0),N(Reales!CO57)),CO$186*V_DPOmp/DiasMes+(CO$187+CO$189+CO$192+CO$193)*V_DPOot/DiasMes))</f>
        <v>0</v>
      </c>
      <c r="CP205" s="34" t="n">
        <f aca="false">IF(89&gt;Fin,CO$205,IF(AND(CP$8=1,ISNUMBER(Reales!CP57)),IF(Reales!$C$57="PYG",IF(CP$10&gt;0,N(Reales!CP57)/CP$10,0),N(Reales!CP57)),CP$186*V_DPOmp/DiasMes+(CP$187+CP$189+CP$192+CP$193)*V_DPOot/DiasMes))</f>
        <v>0</v>
      </c>
      <c r="CQ205" s="34" t="n">
        <f aca="false">IF(90&gt;Fin,CP$205,IF(AND(CQ$8=1,ISNUMBER(Reales!CQ57)),IF(Reales!$C$57="PYG",IF(CQ$10&gt;0,N(Reales!CQ57)/CQ$10,0),N(Reales!CQ57)),CQ$186*V_DPOmp/DiasMes+(CQ$187+CQ$189+CQ$192+CQ$193)*V_DPOot/DiasMes))</f>
        <v>0</v>
      </c>
      <c r="CR205" s="34" t="n">
        <f aca="false">IF(91&gt;Fin,CQ$205,IF(AND(CR$8=1,ISNUMBER(Reales!CR57)),IF(Reales!$C$57="PYG",IF(CR$10&gt;0,N(Reales!CR57)/CR$10,0),N(Reales!CR57)),CR$186*V_DPOmp/DiasMes+(CR$187+CR$189+CR$192+CR$193)*V_DPOot/DiasMes))</f>
        <v>0</v>
      </c>
      <c r="CS205" s="34" t="n">
        <f aca="false">IF(92&gt;Fin,CR$205,IF(AND(CS$8=1,ISNUMBER(Reales!CS57)),IF(Reales!$C$57="PYG",IF(CS$10&gt;0,N(Reales!CS57)/CS$10,0),N(Reales!CS57)),CS$186*V_DPOmp/DiasMes+(CS$187+CS$189+CS$192+CS$193)*V_DPOot/DiasMes))</f>
        <v>0</v>
      </c>
      <c r="CT205" s="34" t="n">
        <f aca="false">IF(93&gt;Fin,CS$205,IF(AND(CT$8=1,ISNUMBER(Reales!CT57)),IF(Reales!$C$57="PYG",IF(CT$10&gt;0,N(Reales!CT57)/CT$10,0),N(Reales!CT57)),CT$186*V_DPOmp/DiasMes+(CT$187+CT$189+CT$192+CT$193)*V_DPOot/DiasMes))</f>
        <v>0</v>
      </c>
      <c r="CU205" s="34" t="n">
        <f aca="false">IF(94&gt;Fin,CT$205,IF(AND(CU$8=1,ISNUMBER(Reales!CU57)),IF(Reales!$C$57="PYG",IF(CU$10&gt;0,N(Reales!CU57)/CU$10,0),N(Reales!CU57)),CU$186*V_DPOmp/DiasMes+(CU$187+CU$189+CU$192+CU$193)*V_DPOot/DiasMes))</f>
        <v>0</v>
      </c>
      <c r="CV205" s="34" t="n">
        <f aca="false">IF(95&gt;Fin,CU$205,IF(AND(CV$8=1,ISNUMBER(Reales!CV57)),IF(Reales!$C$57="PYG",IF(CV$10&gt;0,N(Reales!CV57)/CV$10,0),N(Reales!CV57)),CV$186*V_DPOmp/DiasMes+(CV$187+CV$189+CV$192+CV$193)*V_DPOot/DiasMes))</f>
        <v>0</v>
      </c>
      <c r="CW205" s="34" t="n">
        <f aca="false">IF(96&gt;Fin,CV$205,IF(AND(CW$8=1,ISNUMBER(Reales!CW57)),IF(Reales!$C$57="PYG",IF(CW$10&gt;0,N(Reales!CW57)/CW$10,0),N(Reales!CW57)),CW$186*V_DPOmp/DiasMes+(CW$187+CW$189+CW$192+CW$193)*V_DPOot/DiasMes))</f>
        <v>0</v>
      </c>
      <c r="CX205" s="34" t="n">
        <f aca="false">IF(97&gt;Fin,CW$205,IF(AND(CX$8=1,ISNUMBER(Reales!CX57)),IF(Reales!$C$57="PYG",IF(CX$10&gt;0,N(Reales!CX57)/CX$10,0),N(Reales!CX57)),CX$186*V_DPOmp/DiasMes+(CX$187+CX$189+CX$192+CX$193)*V_DPOot/DiasMes))</f>
        <v>0</v>
      </c>
      <c r="CY205" s="34" t="n">
        <f aca="false">IF(98&gt;Fin,CX$205,IF(AND(CY$8=1,ISNUMBER(Reales!CY57)),IF(Reales!$C$57="PYG",IF(CY$10&gt;0,N(Reales!CY57)/CY$10,0),N(Reales!CY57)),CY$186*V_DPOmp/DiasMes+(CY$187+CY$189+CY$192+CY$193)*V_DPOot/DiasMes))</f>
        <v>0</v>
      </c>
      <c r="CZ205" s="34" t="n">
        <f aca="false">IF(99&gt;Fin,CY$205,IF(AND(CZ$8=1,ISNUMBER(Reales!CZ57)),IF(Reales!$C$57="PYG",IF(CZ$10&gt;0,N(Reales!CZ57)/CZ$10,0),N(Reales!CZ57)),CZ$186*V_DPOmp/DiasMes+(CZ$187+CZ$189+CZ$192+CZ$193)*V_DPOot/DiasMes))</f>
        <v>0</v>
      </c>
      <c r="DA205" s="34" t="n">
        <f aca="false">IF(100&gt;Fin,CZ$205,IF(AND(DA$8=1,ISNUMBER(Reales!DA57)),IF(Reales!$C$57="PYG",IF(DA$10&gt;0,N(Reales!DA57)/DA$10,0),N(Reales!DA57)),DA$186*V_DPOmp/DiasMes+(DA$187+DA$189+DA$192+DA$193)*V_DPOot/DiasMes))</f>
        <v>0</v>
      </c>
      <c r="DB205" s="34" t="n">
        <f aca="false">IF(101&gt;Fin,DA$205,IF(AND(DB$8=1,ISNUMBER(Reales!DB57)),IF(Reales!$C$57="PYG",IF(DB$10&gt;0,N(Reales!DB57)/DB$10,0),N(Reales!DB57)),DB$186*V_DPOmp/DiasMes+(DB$187+DB$189+DB$192+DB$193)*V_DPOot/DiasMes))</f>
        <v>0</v>
      </c>
      <c r="DC205" s="34" t="n">
        <f aca="false">IF(102&gt;Fin,DB$205,IF(AND(DC$8=1,ISNUMBER(Reales!DC57)),IF(Reales!$C$57="PYG",IF(DC$10&gt;0,N(Reales!DC57)/DC$10,0),N(Reales!DC57)),DC$186*V_DPOmp/DiasMes+(DC$187+DC$189+DC$192+DC$193)*V_DPOot/DiasMes))</f>
        <v>0</v>
      </c>
      <c r="DD205" s="34" t="n">
        <f aca="false">IF(103&gt;Fin,DC$205,IF(AND(DD$8=1,ISNUMBER(Reales!DD57)),IF(Reales!$C$57="PYG",IF(DD$10&gt;0,N(Reales!DD57)/DD$10,0),N(Reales!DD57)),DD$186*V_DPOmp/DiasMes+(DD$187+DD$189+DD$192+DD$193)*V_DPOot/DiasMes))</f>
        <v>0</v>
      </c>
      <c r="DE205" s="34" t="n">
        <f aca="false">IF(104&gt;Fin,DD$205,IF(AND(DE$8=1,ISNUMBER(Reales!DE57)),IF(Reales!$C$57="PYG",IF(DE$10&gt;0,N(Reales!DE57)/DE$10,0),N(Reales!DE57)),DE$186*V_DPOmp/DiasMes+(DE$187+DE$189+DE$192+DE$193)*V_DPOot/DiasMes))</f>
        <v>0</v>
      </c>
      <c r="DF205" s="34" t="n">
        <f aca="false">IF(105&gt;Fin,DE$205,IF(AND(DF$8=1,ISNUMBER(Reales!DF57)),IF(Reales!$C$57="PYG",IF(DF$10&gt;0,N(Reales!DF57)/DF$10,0),N(Reales!DF57)),DF$186*V_DPOmp/DiasMes+(DF$187+DF$189+DF$192+DF$193)*V_DPOot/DiasMes))</f>
        <v>0</v>
      </c>
      <c r="DG205" s="34" t="n">
        <f aca="false">IF(106&gt;Fin,DF$205,IF(AND(DG$8=1,ISNUMBER(Reales!DG57)),IF(Reales!$C$57="PYG",IF(DG$10&gt;0,N(Reales!DG57)/DG$10,0),N(Reales!DG57)),DG$186*V_DPOmp/DiasMes+(DG$187+DG$189+DG$192+DG$193)*V_DPOot/DiasMes))</f>
        <v>0</v>
      </c>
      <c r="DH205" s="34" t="n">
        <f aca="false">IF(107&gt;Fin,DG$205,IF(AND(DH$8=1,ISNUMBER(Reales!DH57)),IF(Reales!$C$57="PYG",IF(DH$10&gt;0,N(Reales!DH57)/DH$10,0),N(Reales!DH57)),DH$186*V_DPOmp/DiasMes+(DH$187+DH$189+DH$192+DH$193)*V_DPOot/DiasMes))</f>
        <v>0</v>
      </c>
      <c r="DI205" s="34" t="n">
        <f aca="false">IF(108&gt;Fin,DH$205,IF(AND(DI$8=1,ISNUMBER(Reales!DI57)),IF(Reales!$C$57="PYG",IF(DI$10&gt;0,N(Reales!DI57)/DI$10,0),N(Reales!DI57)),DI$186*V_DPOmp/DiasMes+(DI$187+DI$189+DI$192+DI$193)*V_DPOot/DiasMes))</f>
        <v>0</v>
      </c>
      <c r="DJ205" s="34" t="n">
        <f aca="false">IF(109&gt;Fin,DI$205,IF(AND(DJ$8=1,ISNUMBER(Reales!DJ57)),IF(Reales!$C$57="PYG",IF(DJ$10&gt;0,N(Reales!DJ57)/DJ$10,0),N(Reales!DJ57)),DJ$186*V_DPOmp/DiasMes+(DJ$187+DJ$189+DJ$192+DJ$193)*V_DPOot/DiasMes))</f>
        <v>0</v>
      </c>
      <c r="DK205" s="34" t="n">
        <f aca="false">IF(110&gt;Fin,DJ$205,IF(AND(DK$8=1,ISNUMBER(Reales!DK57)),IF(Reales!$C$57="PYG",IF(DK$10&gt;0,N(Reales!DK57)/DK$10,0),N(Reales!DK57)),DK$186*V_DPOmp/DiasMes+(DK$187+DK$189+DK$192+DK$193)*V_DPOot/DiasMes))</f>
        <v>0</v>
      </c>
      <c r="DL205" s="34" t="n">
        <f aca="false">IF(111&gt;Fin,DK$205,IF(AND(DL$8=1,ISNUMBER(Reales!DL57)),IF(Reales!$C$57="PYG",IF(DL$10&gt;0,N(Reales!DL57)/DL$10,0),N(Reales!DL57)),DL$186*V_DPOmp/DiasMes+(DL$187+DL$189+DL$192+DL$193)*V_DPOot/DiasMes))</f>
        <v>0</v>
      </c>
      <c r="DM205" s="34" t="n">
        <f aca="false">IF(112&gt;Fin,DL$205,IF(AND(DM$8=1,ISNUMBER(Reales!DM57)),IF(Reales!$C$57="PYG",IF(DM$10&gt;0,N(Reales!DM57)/DM$10,0),N(Reales!DM57)),DM$186*V_DPOmp/DiasMes+(DM$187+DM$189+DM$192+DM$193)*V_DPOot/DiasMes))</f>
        <v>0</v>
      </c>
      <c r="DN205" s="34" t="n">
        <f aca="false">IF(113&gt;Fin,DM$205,IF(AND(DN$8=1,ISNUMBER(Reales!DN57)),IF(Reales!$C$57="PYG",IF(DN$10&gt;0,N(Reales!DN57)/DN$10,0),N(Reales!DN57)),DN$186*V_DPOmp/DiasMes+(DN$187+DN$189+DN$192+DN$193)*V_DPOot/DiasMes))</f>
        <v>0</v>
      </c>
      <c r="DO205" s="34" t="n">
        <f aca="false">IF(114&gt;Fin,DN$205,IF(AND(DO$8=1,ISNUMBER(Reales!DO57)),IF(Reales!$C$57="PYG",IF(DO$10&gt;0,N(Reales!DO57)/DO$10,0),N(Reales!DO57)),DO$186*V_DPOmp/DiasMes+(DO$187+DO$189+DO$192+DO$193)*V_DPOot/DiasMes))</f>
        <v>0</v>
      </c>
      <c r="DP205" s="34" t="n">
        <f aca="false">IF(115&gt;Fin,DO$205,IF(AND(DP$8=1,ISNUMBER(Reales!DP57)),IF(Reales!$C$57="PYG",IF(DP$10&gt;0,N(Reales!DP57)/DP$10,0),N(Reales!DP57)),DP$186*V_DPOmp/DiasMes+(DP$187+DP$189+DP$192+DP$193)*V_DPOot/DiasMes))</f>
        <v>0</v>
      </c>
      <c r="DQ205" s="34" t="n">
        <f aca="false">IF(116&gt;Fin,DP$205,IF(AND(DQ$8=1,ISNUMBER(Reales!DQ57)),IF(Reales!$C$57="PYG",IF(DQ$10&gt;0,N(Reales!DQ57)/DQ$10,0),N(Reales!DQ57)),DQ$186*V_DPOmp/DiasMes+(DQ$187+DQ$189+DQ$192+DQ$193)*V_DPOot/DiasMes))</f>
        <v>0</v>
      </c>
      <c r="DR205" s="34" t="n">
        <f aca="false">IF(117&gt;Fin,DQ$205,IF(AND(DR$8=1,ISNUMBER(Reales!DR57)),IF(Reales!$C$57="PYG",IF(DR$10&gt;0,N(Reales!DR57)/DR$10,0),N(Reales!DR57)),DR$186*V_DPOmp/DiasMes+(DR$187+DR$189+DR$192+DR$193)*V_DPOot/DiasMes))</f>
        <v>0</v>
      </c>
      <c r="DS205" s="34" t="n">
        <f aca="false">IF(118&gt;Fin,DR$205,IF(AND(DS$8=1,ISNUMBER(Reales!DS57)),IF(Reales!$C$57="PYG",IF(DS$10&gt;0,N(Reales!DS57)/DS$10,0),N(Reales!DS57)),DS$186*V_DPOmp/DiasMes+(DS$187+DS$189+DS$192+DS$193)*V_DPOot/DiasMes))</f>
        <v>0</v>
      </c>
      <c r="DT205" s="34" t="n">
        <f aca="false">IF(119&gt;Fin,DS$205,IF(AND(DT$8=1,ISNUMBER(Reales!DT57)),IF(Reales!$C$57="PYG",IF(DT$10&gt;0,N(Reales!DT57)/DT$10,0),N(Reales!DT57)),DT$186*V_DPOmp/DiasMes+(DT$187+DT$189+DT$192+DT$193)*V_DPOot/DiasMes))</f>
        <v>0</v>
      </c>
      <c r="DU205" s="34" t="n">
        <f aca="false">IF(120&gt;Fin,DT$205,IF(AND(DU$8=1,ISNUMBER(Reales!DU57)),IF(Reales!$C$57="PYG",IF(DU$10&gt;0,N(Reales!DU57)/DU$10,0),N(Reales!DU57)),DU$186*V_DPOmp/DiasMes+(DU$187+DU$189+DU$192+DU$193)*V_DPOot/DiasMes))</f>
        <v>0</v>
      </c>
      <c r="DV205" s="34" t="n">
        <f aca="false">IF(121&gt;Fin,DU$205,IF(AND(DV$8=1,ISNUMBER(Reales!DV57)),IF(Reales!$C$57="PYG",IF(DV$10&gt;0,N(Reales!DV57)/DV$10,0),N(Reales!DV57)),DV$186*V_DPOmp/DiasMes+(DV$187+DV$189+DV$192+DV$193)*V_DPOot/DiasMes))</f>
        <v>0</v>
      </c>
      <c r="DW205" s="34" t="n">
        <f aca="false">IF(122&gt;Fin,DV$205,IF(AND(DW$8=1,ISNUMBER(Reales!DW57)),IF(Reales!$C$57="PYG",IF(DW$10&gt;0,N(Reales!DW57)/DW$10,0),N(Reales!DW57)),DW$186*V_DPOmp/DiasMes+(DW$187+DW$189+DW$192+DW$193)*V_DPOot/DiasMes))</f>
        <v>0</v>
      </c>
      <c r="DX205" s="34" t="n">
        <f aca="false">IF(123&gt;Fin,DW$205,IF(AND(DX$8=1,ISNUMBER(Reales!DX57)),IF(Reales!$C$57="PYG",IF(DX$10&gt;0,N(Reales!DX57)/DX$10,0),N(Reales!DX57)),DX$186*V_DPOmp/DiasMes+(DX$187+DX$189+DX$192+DX$193)*V_DPOot/DiasMes))</f>
        <v>0</v>
      </c>
      <c r="DY205" s="34" t="n">
        <f aca="false">IF(124&gt;Fin,DX$205,IF(AND(DY$8=1,ISNUMBER(Reales!DY57)),IF(Reales!$C$57="PYG",IF(DY$10&gt;0,N(Reales!DY57)/DY$10,0),N(Reales!DY57)),DY$186*V_DPOmp/DiasMes+(DY$187+DY$189+DY$192+DY$193)*V_DPOot/DiasMes))</f>
        <v>0</v>
      </c>
      <c r="DZ205" s="34" t="n">
        <f aca="false">IF(125&gt;Fin,DY$205,IF(AND(DZ$8=1,ISNUMBER(Reales!DZ57)),IF(Reales!$C$57="PYG",IF(DZ$10&gt;0,N(Reales!DZ57)/DZ$10,0),N(Reales!DZ57)),DZ$186*V_DPOmp/DiasMes+(DZ$187+DZ$189+DZ$192+DZ$193)*V_DPOot/DiasMes))</f>
        <v>0</v>
      </c>
      <c r="EA205" s="34" t="n">
        <f aca="false">IF(126&gt;Fin,DZ$205,IF(AND(EA$8=1,ISNUMBER(Reales!EA57)),IF(Reales!$C$57="PYG",IF(EA$10&gt;0,N(Reales!EA57)/EA$10,0),N(Reales!EA57)),EA$186*V_DPOmp/DiasMes+(EA$187+EA$189+EA$192+EA$193)*V_DPOot/DiasMes))</f>
        <v>0</v>
      </c>
      <c r="EB205" s="34" t="n">
        <f aca="false">IF(127&gt;Fin,EA$205,IF(AND(EB$8=1,ISNUMBER(Reales!EB57)),IF(Reales!$C$57="PYG",IF(EB$10&gt;0,N(Reales!EB57)/EB$10,0),N(Reales!EB57)),EB$186*V_DPOmp/DiasMes+(EB$187+EB$189+EB$192+EB$193)*V_DPOot/DiasMes))</f>
        <v>0</v>
      </c>
      <c r="EC205" s="34" t="n">
        <f aca="false">IF(128&gt;Fin,EB$205,IF(AND(EC$8=1,ISNUMBER(Reales!EC57)),IF(Reales!$C$57="PYG",IF(EC$10&gt;0,N(Reales!EC57)/EC$10,0),N(Reales!EC57)),EC$186*V_DPOmp/DiasMes+(EC$187+EC$189+EC$192+EC$193)*V_DPOot/DiasMes))</f>
        <v>0</v>
      </c>
      <c r="ED205" s="34" t="n">
        <f aca="false">IF(129&gt;Fin,EC$205,IF(AND(ED$8=1,ISNUMBER(Reales!ED57)),IF(Reales!$C$57="PYG",IF(ED$10&gt;0,N(Reales!ED57)/ED$10,0),N(Reales!ED57)),ED$186*V_DPOmp/DiasMes+(ED$187+ED$189+ED$192+ED$193)*V_DPOot/DiasMes))</f>
        <v>0</v>
      </c>
      <c r="EE205" s="34" t="n">
        <f aca="false">IF(130&gt;Fin,ED$205,IF(AND(EE$8=1,ISNUMBER(Reales!EE57)),IF(Reales!$C$57="PYG",IF(EE$10&gt;0,N(Reales!EE57)/EE$10,0),N(Reales!EE57)),EE$186*V_DPOmp/DiasMes+(EE$187+EE$189+EE$192+EE$193)*V_DPOot/DiasMes))</f>
        <v>0</v>
      </c>
      <c r="EF205" s="34" t="n">
        <f aca="false">IF(131&gt;Fin,EE$205,IF(AND(EF$8=1,ISNUMBER(Reales!EF57)),IF(Reales!$C$57="PYG",IF(EF$10&gt;0,N(Reales!EF57)/EF$10,0),N(Reales!EF57)),EF$186*V_DPOmp/DiasMes+(EF$187+EF$189+EF$192+EF$193)*V_DPOot/DiasMes))</f>
        <v>0</v>
      </c>
      <c r="EG205" s="34" t="n">
        <f aca="false">IF(132&gt;Fin,EF$205,IF(AND(EG$8=1,ISNUMBER(Reales!EG57)),IF(Reales!$C$57="PYG",IF(EG$10&gt;0,N(Reales!EG57)/EG$10,0),N(Reales!EG57)),EG$186*V_DPOmp/DiasMes+(EG$187+EG$189+EG$192+EG$193)*V_DPOot/DiasMes))</f>
        <v>0</v>
      </c>
      <c r="EH205" s="34" t="n">
        <f aca="false">IF(133&gt;Fin,EG$205,IF(AND(EH$8=1,ISNUMBER(Reales!EH57)),IF(Reales!$C$57="PYG",IF(EH$10&gt;0,N(Reales!EH57)/EH$10,0),N(Reales!EH57)),EH$186*V_DPOmp/DiasMes+(EH$187+EH$189+EH$192+EH$193)*V_DPOot/DiasMes))</f>
        <v>0</v>
      </c>
      <c r="EI205" s="34" t="n">
        <f aca="false">IF(134&gt;Fin,EH$205,IF(AND(EI$8=1,ISNUMBER(Reales!EI57)),IF(Reales!$C$57="PYG",IF(EI$10&gt;0,N(Reales!EI57)/EI$10,0),N(Reales!EI57)),EI$186*V_DPOmp/DiasMes+(EI$187+EI$189+EI$192+EI$193)*V_DPOot/DiasMes))</f>
        <v>0</v>
      </c>
      <c r="EJ205" s="34" t="n">
        <f aca="false">IF(135&gt;Fin,EI$205,IF(AND(EJ$8=1,ISNUMBER(Reales!EJ57)),IF(Reales!$C$57="PYG",IF(EJ$10&gt;0,N(Reales!EJ57)/EJ$10,0),N(Reales!EJ57)),EJ$186*V_DPOmp/DiasMes+(EJ$187+EJ$189+EJ$192+EJ$193)*V_DPOot/DiasMes))</f>
        <v>0</v>
      </c>
      <c r="EK205" s="34" t="n">
        <f aca="false">IF(136&gt;Fin,EJ$205,IF(AND(EK$8=1,ISNUMBER(Reales!EK57)),IF(Reales!$C$57="PYG",IF(EK$10&gt;0,N(Reales!EK57)/EK$10,0),N(Reales!EK57)),EK$186*V_DPOmp/DiasMes+(EK$187+EK$189+EK$192+EK$193)*V_DPOot/DiasMes))</f>
        <v>0</v>
      </c>
      <c r="EL205" s="34" t="n">
        <f aca="false">IF(137&gt;Fin,EK$205,IF(AND(EL$8=1,ISNUMBER(Reales!EL57)),IF(Reales!$C$57="PYG",IF(EL$10&gt;0,N(Reales!EL57)/EL$10,0),N(Reales!EL57)),EL$186*V_DPOmp/DiasMes+(EL$187+EL$189+EL$192+EL$193)*V_DPOot/DiasMes))</f>
        <v>0</v>
      </c>
      <c r="EM205" s="34" t="n">
        <f aca="false">IF(138&gt;Fin,EL$205,IF(AND(EM$8=1,ISNUMBER(Reales!EM57)),IF(Reales!$C$57="PYG",IF(EM$10&gt;0,N(Reales!EM57)/EM$10,0),N(Reales!EM57)),EM$186*V_DPOmp/DiasMes+(EM$187+EM$189+EM$192+EM$193)*V_DPOot/DiasMes))</f>
        <v>0</v>
      </c>
      <c r="EN205" s="34" t="n">
        <f aca="false">IF(139&gt;Fin,EM$205,IF(AND(EN$8=1,ISNUMBER(Reales!EN57)),IF(Reales!$C$57="PYG",IF(EN$10&gt;0,N(Reales!EN57)/EN$10,0),N(Reales!EN57)),EN$186*V_DPOmp/DiasMes+(EN$187+EN$189+EN$192+EN$193)*V_DPOot/DiasMes))</f>
        <v>0</v>
      </c>
      <c r="EO205" s="34" t="n">
        <f aca="false">IF(140&gt;Fin,EN$205,IF(AND(EO$8=1,ISNUMBER(Reales!EO57)),IF(Reales!$C$57="PYG",IF(EO$10&gt;0,N(Reales!EO57)/EO$10,0),N(Reales!EO57)),EO$186*V_DPOmp/DiasMes+(EO$187+EO$189+EO$192+EO$193)*V_DPOot/DiasMes))</f>
        <v>0</v>
      </c>
      <c r="EP205" s="34" t="n">
        <f aca="false">IF(141&gt;Fin,EO$205,IF(AND(EP$8=1,ISNUMBER(Reales!EP57)),IF(Reales!$C$57="PYG",IF(EP$10&gt;0,N(Reales!EP57)/EP$10,0),N(Reales!EP57)),EP$186*V_DPOmp/DiasMes+(EP$187+EP$189+EP$192+EP$193)*V_DPOot/DiasMes))</f>
        <v>0</v>
      </c>
      <c r="EQ205" s="34" t="n">
        <f aca="false">IF(142&gt;Fin,EP$205,IF(AND(EQ$8=1,ISNUMBER(Reales!EQ57)),IF(Reales!$C$57="PYG",IF(EQ$10&gt;0,N(Reales!EQ57)/EQ$10,0),N(Reales!EQ57)),EQ$186*V_DPOmp/DiasMes+(EQ$187+EQ$189+EQ$192+EQ$193)*V_DPOot/DiasMes))</f>
        <v>0</v>
      </c>
      <c r="ER205" s="34" t="n">
        <f aca="false">IF(143&gt;Fin,EQ$205,IF(AND(ER$8=1,ISNUMBER(Reales!ER57)),IF(Reales!$C$57="PYG",IF(ER$10&gt;0,N(Reales!ER57)/ER$10,0),N(Reales!ER57)),ER$186*V_DPOmp/DiasMes+(ER$187+ER$189+ER$192+ER$193)*V_DPOot/DiasMes))</f>
        <v>0</v>
      </c>
      <c r="ES205" s="34" t="n">
        <f aca="false">IF(144&gt;Fin,ER$205,IF(AND(ES$8=1,ISNUMBER(Reales!ES57)),IF(Reales!$C$57="PYG",IF(ES$10&gt;0,N(Reales!ES57)/ES$10,0),N(Reales!ES57)),ES$186*V_DPOmp/DiasMes+(ES$187+ES$189+ES$192+ES$193)*V_DPOot/DiasMes))</f>
        <v>0</v>
      </c>
    </row>
    <row r="206" customFormat="false" ht="15" hidden="false" customHeight="false" outlineLevel="0" collapsed="false">
      <c r="A206" s="2" t="s">
        <v>682</v>
      </c>
      <c r="B206" s="52" t="s">
        <v>535</v>
      </c>
      <c r="C206" s="6" t="s">
        <v>212</v>
      </c>
      <c r="E206" s="40" t="n">
        <f aca="false">MAX(F206:ES206)</f>
        <v>0</v>
      </c>
      <c r="F206" s="10" t="n">
        <f aca="false">F$202+F$203+F$204-F$205</f>
        <v>0</v>
      </c>
      <c r="G206" s="10" t="n">
        <f aca="false">G$202+G$203+G$204-G$205</f>
        <v>0</v>
      </c>
      <c r="H206" s="10" t="n">
        <f aca="false">H$202+H$203+H$204-H$205</f>
        <v>0</v>
      </c>
      <c r="I206" s="10" t="n">
        <f aca="false">I$202+I$203+I$204-I$205</f>
        <v>0</v>
      </c>
      <c r="J206" s="10" t="n">
        <f aca="false">J$202+J$203+J$204-J$205</f>
        <v>0</v>
      </c>
      <c r="K206" s="10" t="n">
        <f aca="false">K$202+K$203+K$204-K$205</f>
        <v>0</v>
      </c>
      <c r="L206" s="10" t="n">
        <f aca="false">L$202+L$203+L$204-L$205</f>
        <v>0</v>
      </c>
      <c r="M206" s="10" t="n">
        <f aca="false">M$202+M$203+M$204-M$205</f>
        <v>0</v>
      </c>
      <c r="N206" s="10" t="n">
        <f aca="false">N$202+N$203+N$204-N$205</f>
        <v>0</v>
      </c>
      <c r="O206" s="10" t="n">
        <f aca="false">O$202+O$203+O$204-O$205</f>
        <v>0</v>
      </c>
      <c r="P206" s="10" t="n">
        <f aca="false">P$202+P$203+P$204-P$205</f>
        <v>0</v>
      </c>
      <c r="Q206" s="10" t="n">
        <f aca="false">Q$202+Q$203+Q$204-Q$205</f>
        <v>0</v>
      </c>
      <c r="R206" s="10" t="n">
        <f aca="false">R$202+R$203+R$204-R$205</f>
        <v>0</v>
      </c>
      <c r="S206" s="10" t="n">
        <f aca="false">S$202+S$203+S$204-S$205</f>
        <v>0</v>
      </c>
      <c r="T206" s="10" t="n">
        <f aca="false">T$202+T$203+T$204-T$205</f>
        <v>0</v>
      </c>
      <c r="U206" s="10" t="n">
        <f aca="false">U$202+U$203+U$204-U$205</f>
        <v>0</v>
      </c>
      <c r="V206" s="10" t="n">
        <f aca="false">V$202+V$203+V$204-V$205</f>
        <v>0</v>
      </c>
      <c r="W206" s="10" t="n">
        <f aca="false">W$202+W$203+W$204-W$205</f>
        <v>0</v>
      </c>
      <c r="X206" s="10" t="n">
        <f aca="false">X$202+X$203+X$204-X$205</f>
        <v>0</v>
      </c>
      <c r="Y206" s="10" t="n">
        <f aca="false">Y$202+Y$203+Y$204-Y$205</f>
        <v>0</v>
      </c>
      <c r="Z206" s="10" t="n">
        <f aca="false">Z$202+Z$203+Z$204-Z$205</f>
        <v>0</v>
      </c>
      <c r="AA206" s="10" t="n">
        <f aca="false">AA$202+AA$203+AA$204-AA$205</f>
        <v>0</v>
      </c>
      <c r="AB206" s="10" t="n">
        <f aca="false">AB$202+AB$203+AB$204-AB$205</f>
        <v>0</v>
      </c>
      <c r="AC206" s="10" t="n">
        <f aca="false">AC$202+AC$203+AC$204-AC$205</f>
        <v>0</v>
      </c>
      <c r="AD206" s="10" t="n">
        <f aca="false">AD$202+AD$203+AD$204-AD$205</f>
        <v>0</v>
      </c>
      <c r="AE206" s="10" t="n">
        <f aca="false">AE$202+AE$203+AE$204-AE$205</f>
        <v>0</v>
      </c>
      <c r="AF206" s="10" t="n">
        <f aca="false">AF$202+AF$203+AF$204-AF$205</f>
        <v>0</v>
      </c>
      <c r="AG206" s="10" t="n">
        <f aca="false">AG$202+AG$203+AG$204-AG$205</f>
        <v>0</v>
      </c>
      <c r="AH206" s="10" t="n">
        <f aca="false">AH$202+AH$203+AH$204-AH$205</f>
        <v>0</v>
      </c>
      <c r="AI206" s="10" t="n">
        <f aca="false">AI$202+AI$203+AI$204-AI$205</f>
        <v>0</v>
      </c>
      <c r="AJ206" s="10" t="n">
        <f aca="false">AJ$202+AJ$203+AJ$204-AJ$205</f>
        <v>0</v>
      </c>
      <c r="AK206" s="10" t="n">
        <f aca="false">AK$202+AK$203+AK$204-AK$205</f>
        <v>0</v>
      </c>
      <c r="AL206" s="10" t="n">
        <f aca="false">AL$202+AL$203+AL$204-AL$205</f>
        <v>0</v>
      </c>
      <c r="AM206" s="10" t="n">
        <f aca="false">AM$202+AM$203+AM$204-AM$205</f>
        <v>0</v>
      </c>
      <c r="AN206" s="10" t="n">
        <f aca="false">AN$202+AN$203+AN$204-AN$205</f>
        <v>0</v>
      </c>
      <c r="AO206" s="10" t="n">
        <f aca="false">AO$202+AO$203+AO$204-AO$205</f>
        <v>0</v>
      </c>
      <c r="AP206" s="10" t="n">
        <f aca="false">AP$202+AP$203+AP$204-AP$205</f>
        <v>0</v>
      </c>
      <c r="AQ206" s="10" t="n">
        <f aca="false">AQ$202+AQ$203+AQ$204-AQ$205</f>
        <v>0</v>
      </c>
      <c r="AR206" s="10" t="n">
        <f aca="false">AR$202+AR$203+AR$204-AR$205</f>
        <v>0</v>
      </c>
      <c r="AS206" s="10" t="n">
        <f aca="false">AS$202+AS$203+AS$204-AS$205</f>
        <v>0</v>
      </c>
      <c r="AT206" s="10" t="n">
        <f aca="false">AT$202+AT$203+AT$204-AT$205</f>
        <v>0</v>
      </c>
      <c r="AU206" s="10" t="n">
        <f aca="false">AU$202+AU$203+AU$204-AU$205</f>
        <v>0</v>
      </c>
      <c r="AV206" s="10" t="n">
        <f aca="false">AV$202+AV$203+AV$204-AV$205</f>
        <v>0</v>
      </c>
      <c r="AW206" s="10" t="n">
        <f aca="false">AW$202+AW$203+AW$204-AW$205</f>
        <v>0</v>
      </c>
      <c r="AX206" s="10" t="n">
        <f aca="false">AX$202+AX$203+AX$204-AX$205</f>
        <v>0</v>
      </c>
      <c r="AY206" s="10" t="n">
        <f aca="false">AY$202+AY$203+AY$204-AY$205</f>
        <v>0</v>
      </c>
      <c r="AZ206" s="10" t="n">
        <f aca="false">AZ$202+AZ$203+AZ$204-AZ$205</f>
        <v>0</v>
      </c>
      <c r="BA206" s="10" t="n">
        <f aca="false">BA$202+BA$203+BA$204-BA$205</f>
        <v>0</v>
      </c>
      <c r="BB206" s="10" t="n">
        <f aca="false">BB$202+BB$203+BB$204-BB$205</f>
        <v>0</v>
      </c>
      <c r="BC206" s="10" t="n">
        <f aca="false">BC$202+BC$203+BC$204-BC$205</f>
        <v>0</v>
      </c>
      <c r="BD206" s="10" t="n">
        <f aca="false">BD$202+BD$203+BD$204-BD$205</f>
        <v>0</v>
      </c>
      <c r="BE206" s="10" t="n">
        <f aca="false">BE$202+BE$203+BE$204-BE$205</f>
        <v>0</v>
      </c>
      <c r="BF206" s="10" t="n">
        <f aca="false">BF$202+BF$203+BF$204-BF$205</f>
        <v>0</v>
      </c>
      <c r="BG206" s="10" t="n">
        <f aca="false">BG$202+BG$203+BG$204-BG$205</f>
        <v>0</v>
      </c>
      <c r="BH206" s="10" t="n">
        <f aca="false">BH$202+BH$203+BH$204-BH$205</f>
        <v>0</v>
      </c>
      <c r="BI206" s="10" t="n">
        <f aca="false">BI$202+BI$203+BI$204-BI$205</f>
        <v>0</v>
      </c>
      <c r="BJ206" s="10" t="n">
        <f aca="false">BJ$202+BJ$203+BJ$204-BJ$205</f>
        <v>0</v>
      </c>
      <c r="BK206" s="10" t="n">
        <f aca="false">BK$202+BK$203+BK$204-BK$205</f>
        <v>0</v>
      </c>
      <c r="BL206" s="10" t="n">
        <f aca="false">BL$202+BL$203+BL$204-BL$205</f>
        <v>0</v>
      </c>
      <c r="BM206" s="10" t="n">
        <f aca="false">BM$202+BM$203+BM$204-BM$205</f>
        <v>0</v>
      </c>
      <c r="BN206" s="10" t="n">
        <f aca="false">BN$202+BN$203+BN$204-BN$205</f>
        <v>0</v>
      </c>
      <c r="BO206" s="10" t="n">
        <f aca="false">BO$202+BO$203+BO$204-BO$205</f>
        <v>0</v>
      </c>
      <c r="BP206" s="10" t="n">
        <f aca="false">BP$202+BP$203+BP$204-BP$205</f>
        <v>0</v>
      </c>
      <c r="BQ206" s="10" t="n">
        <f aca="false">BQ$202+BQ$203+BQ$204-BQ$205</f>
        <v>0</v>
      </c>
      <c r="BR206" s="10" t="n">
        <f aca="false">BR$202+BR$203+BR$204-BR$205</f>
        <v>0</v>
      </c>
      <c r="BS206" s="10" t="n">
        <f aca="false">BS$202+BS$203+BS$204-BS$205</f>
        <v>0</v>
      </c>
      <c r="BT206" s="10" t="n">
        <f aca="false">BT$202+BT$203+BT$204-BT$205</f>
        <v>0</v>
      </c>
      <c r="BU206" s="10" t="n">
        <f aca="false">BU$202+BU$203+BU$204-BU$205</f>
        <v>0</v>
      </c>
      <c r="BV206" s="10" t="n">
        <f aca="false">BV$202+BV$203+BV$204-BV$205</f>
        <v>0</v>
      </c>
      <c r="BW206" s="10" t="n">
        <f aca="false">BW$202+BW$203+BW$204-BW$205</f>
        <v>0</v>
      </c>
      <c r="BX206" s="10" t="n">
        <f aca="false">BX$202+BX$203+BX$204-BX$205</f>
        <v>0</v>
      </c>
      <c r="BY206" s="10" t="n">
        <f aca="false">BY$202+BY$203+BY$204-BY$205</f>
        <v>0</v>
      </c>
      <c r="BZ206" s="10" t="n">
        <f aca="false">BZ$202+BZ$203+BZ$204-BZ$205</f>
        <v>0</v>
      </c>
      <c r="CA206" s="10" t="n">
        <f aca="false">CA$202+CA$203+CA$204-CA$205</f>
        <v>0</v>
      </c>
      <c r="CB206" s="10" t="n">
        <f aca="false">CB$202+CB$203+CB$204-CB$205</f>
        <v>0</v>
      </c>
      <c r="CC206" s="10" t="n">
        <f aca="false">CC$202+CC$203+CC$204-CC$205</f>
        <v>0</v>
      </c>
      <c r="CD206" s="10" t="n">
        <f aca="false">CD$202+CD$203+CD$204-CD$205</f>
        <v>0</v>
      </c>
      <c r="CE206" s="10" t="n">
        <f aca="false">CE$202+CE$203+CE$204-CE$205</f>
        <v>0</v>
      </c>
      <c r="CF206" s="10" t="n">
        <f aca="false">CF$202+CF$203+CF$204-CF$205</f>
        <v>0</v>
      </c>
      <c r="CG206" s="10" t="n">
        <f aca="false">CG$202+CG$203+CG$204-CG$205</f>
        <v>0</v>
      </c>
      <c r="CH206" s="10" t="n">
        <f aca="false">CH$202+CH$203+CH$204-CH$205</f>
        <v>0</v>
      </c>
      <c r="CI206" s="10" t="n">
        <f aca="false">CI$202+CI$203+CI$204-CI$205</f>
        <v>0</v>
      </c>
      <c r="CJ206" s="10" t="n">
        <f aca="false">CJ$202+CJ$203+CJ$204-CJ$205</f>
        <v>0</v>
      </c>
      <c r="CK206" s="10" t="n">
        <f aca="false">CK$202+CK$203+CK$204-CK$205</f>
        <v>0</v>
      </c>
      <c r="CL206" s="10" t="n">
        <f aca="false">CL$202+CL$203+CL$204-CL$205</f>
        <v>0</v>
      </c>
      <c r="CM206" s="10" t="n">
        <f aca="false">CM$202+CM$203+CM$204-CM$205</f>
        <v>0</v>
      </c>
      <c r="CN206" s="10" t="n">
        <f aca="false">CN$202+CN$203+CN$204-CN$205</f>
        <v>0</v>
      </c>
      <c r="CO206" s="10" t="n">
        <f aca="false">CO$202+CO$203+CO$204-CO$205</f>
        <v>0</v>
      </c>
      <c r="CP206" s="10" t="n">
        <f aca="false">CP$202+CP$203+CP$204-CP$205</f>
        <v>0</v>
      </c>
      <c r="CQ206" s="10" t="n">
        <f aca="false">CQ$202+CQ$203+CQ$204-CQ$205</f>
        <v>0</v>
      </c>
      <c r="CR206" s="10" t="n">
        <f aca="false">CR$202+CR$203+CR$204-CR$205</f>
        <v>0</v>
      </c>
      <c r="CS206" s="10" t="n">
        <f aca="false">CS$202+CS$203+CS$204-CS$205</f>
        <v>0</v>
      </c>
      <c r="CT206" s="10" t="n">
        <f aca="false">CT$202+CT$203+CT$204-CT$205</f>
        <v>0</v>
      </c>
      <c r="CU206" s="10" t="n">
        <f aca="false">CU$202+CU$203+CU$204-CU$205</f>
        <v>0</v>
      </c>
      <c r="CV206" s="10" t="n">
        <f aca="false">CV$202+CV$203+CV$204-CV$205</f>
        <v>0</v>
      </c>
      <c r="CW206" s="10" t="n">
        <f aca="false">CW$202+CW$203+CW$204-CW$205</f>
        <v>0</v>
      </c>
      <c r="CX206" s="10" t="n">
        <f aca="false">CX$202+CX$203+CX$204-CX$205</f>
        <v>0</v>
      </c>
      <c r="CY206" s="10" t="n">
        <f aca="false">CY$202+CY$203+CY$204-CY$205</f>
        <v>0</v>
      </c>
      <c r="CZ206" s="10" t="n">
        <f aca="false">CZ$202+CZ$203+CZ$204-CZ$205</f>
        <v>0</v>
      </c>
      <c r="DA206" s="10" t="n">
        <f aca="false">DA$202+DA$203+DA$204-DA$205</f>
        <v>0</v>
      </c>
      <c r="DB206" s="10" t="n">
        <f aca="false">DB$202+DB$203+DB$204-DB$205</f>
        <v>0</v>
      </c>
      <c r="DC206" s="10" t="n">
        <f aca="false">DC$202+DC$203+DC$204-DC$205</f>
        <v>0</v>
      </c>
      <c r="DD206" s="10" t="n">
        <f aca="false">DD$202+DD$203+DD$204-DD$205</f>
        <v>0</v>
      </c>
      <c r="DE206" s="10" t="n">
        <f aca="false">DE$202+DE$203+DE$204-DE$205</f>
        <v>0</v>
      </c>
      <c r="DF206" s="10" t="n">
        <f aca="false">DF$202+DF$203+DF$204-DF$205</f>
        <v>0</v>
      </c>
      <c r="DG206" s="10" t="n">
        <f aca="false">DG$202+DG$203+DG$204-DG$205</f>
        <v>0</v>
      </c>
      <c r="DH206" s="10" t="n">
        <f aca="false">DH$202+DH$203+DH$204-DH$205</f>
        <v>0</v>
      </c>
      <c r="DI206" s="10" t="n">
        <f aca="false">DI$202+DI$203+DI$204-DI$205</f>
        <v>0</v>
      </c>
      <c r="DJ206" s="10" t="n">
        <f aca="false">DJ$202+DJ$203+DJ$204-DJ$205</f>
        <v>0</v>
      </c>
      <c r="DK206" s="10" t="n">
        <f aca="false">DK$202+DK$203+DK$204-DK$205</f>
        <v>0</v>
      </c>
      <c r="DL206" s="10" t="n">
        <f aca="false">DL$202+DL$203+DL$204-DL$205</f>
        <v>0</v>
      </c>
      <c r="DM206" s="10" t="n">
        <f aca="false">DM$202+DM$203+DM$204-DM$205</f>
        <v>0</v>
      </c>
      <c r="DN206" s="10" t="n">
        <f aca="false">DN$202+DN$203+DN$204-DN$205</f>
        <v>0</v>
      </c>
      <c r="DO206" s="10" t="n">
        <f aca="false">DO$202+DO$203+DO$204-DO$205</f>
        <v>0</v>
      </c>
      <c r="DP206" s="10" t="n">
        <f aca="false">DP$202+DP$203+DP$204-DP$205</f>
        <v>0</v>
      </c>
      <c r="DQ206" s="10" t="n">
        <f aca="false">DQ$202+DQ$203+DQ$204-DQ$205</f>
        <v>0</v>
      </c>
      <c r="DR206" s="10" t="n">
        <f aca="false">DR$202+DR$203+DR$204-DR$205</f>
        <v>0</v>
      </c>
      <c r="DS206" s="10" t="n">
        <f aca="false">DS$202+DS$203+DS$204-DS$205</f>
        <v>0</v>
      </c>
      <c r="DT206" s="10" t="n">
        <f aca="false">DT$202+DT$203+DT$204-DT$205</f>
        <v>0</v>
      </c>
      <c r="DU206" s="10" t="n">
        <f aca="false">DU$202+DU$203+DU$204-DU$205</f>
        <v>0</v>
      </c>
      <c r="DV206" s="10" t="n">
        <f aca="false">DV$202+DV$203+DV$204-DV$205</f>
        <v>0</v>
      </c>
      <c r="DW206" s="10" t="n">
        <f aca="false">DW$202+DW$203+DW$204-DW$205</f>
        <v>0</v>
      </c>
      <c r="DX206" s="10" t="n">
        <f aca="false">DX$202+DX$203+DX$204-DX$205</f>
        <v>0</v>
      </c>
      <c r="DY206" s="10" t="n">
        <f aca="false">DY$202+DY$203+DY$204-DY$205</f>
        <v>0</v>
      </c>
      <c r="DZ206" s="10" t="n">
        <f aca="false">DZ$202+DZ$203+DZ$204-DZ$205</f>
        <v>0</v>
      </c>
      <c r="EA206" s="10" t="n">
        <f aca="false">EA$202+EA$203+EA$204-EA$205</f>
        <v>0</v>
      </c>
      <c r="EB206" s="10" t="n">
        <f aca="false">EB$202+EB$203+EB$204-EB$205</f>
        <v>0</v>
      </c>
      <c r="EC206" s="10" t="n">
        <f aca="false">EC$202+EC$203+EC$204-EC$205</f>
        <v>0</v>
      </c>
      <c r="ED206" s="10" t="n">
        <f aca="false">ED$202+ED$203+ED$204-ED$205</f>
        <v>0</v>
      </c>
      <c r="EE206" s="10" t="n">
        <f aca="false">EE$202+EE$203+EE$204-EE$205</f>
        <v>0</v>
      </c>
      <c r="EF206" s="10" t="n">
        <f aca="false">EF$202+EF$203+EF$204-EF$205</f>
        <v>0</v>
      </c>
      <c r="EG206" s="10" t="n">
        <f aca="false">EG$202+EG$203+EG$204-EG$205</f>
        <v>0</v>
      </c>
      <c r="EH206" s="10" t="n">
        <f aca="false">EH$202+EH$203+EH$204-EH$205</f>
        <v>0</v>
      </c>
      <c r="EI206" s="10" t="n">
        <f aca="false">EI$202+EI$203+EI$204-EI$205</f>
        <v>0</v>
      </c>
      <c r="EJ206" s="10" t="n">
        <f aca="false">EJ$202+EJ$203+EJ$204-EJ$205</f>
        <v>0</v>
      </c>
      <c r="EK206" s="10" t="n">
        <f aca="false">EK$202+EK$203+EK$204-EK$205</f>
        <v>0</v>
      </c>
      <c r="EL206" s="10" t="n">
        <f aca="false">EL$202+EL$203+EL$204-EL$205</f>
        <v>0</v>
      </c>
      <c r="EM206" s="10" t="n">
        <f aca="false">EM$202+EM$203+EM$204-EM$205</f>
        <v>0</v>
      </c>
      <c r="EN206" s="10" t="n">
        <f aca="false">EN$202+EN$203+EN$204-EN$205</f>
        <v>0</v>
      </c>
      <c r="EO206" s="10" t="n">
        <f aca="false">EO$202+EO$203+EO$204-EO$205</f>
        <v>0</v>
      </c>
      <c r="EP206" s="10" t="n">
        <f aca="false">EP$202+EP$203+EP$204-EP$205</f>
        <v>0</v>
      </c>
      <c r="EQ206" s="10" t="n">
        <f aca="false">EQ$202+EQ$203+EQ$204-EQ$205</f>
        <v>0</v>
      </c>
      <c r="ER206" s="10" t="n">
        <f aca="false">ER$202+ER$203+ER$204-ER$205</f>
        <v>0</v>
      </c>
      <c r="ES206" s="10" t="n">
        <f aca="false">ES$202+ES$203+ES$204-ES$205</f>
        <v>0</v>
      </c>
    </row>
    <row r="207" customFormat="false" ht="15" hidden="false" customHeight="false" outlineLevel="0" collapsed="false">
      <c r="A207" s="2" t="s">
        <v>683</v>
      </c>
      <c r="B207" s="6" t="s">
        <v>537</v>
      </c>
      <c r="C207" s="6" t="s">
        <v>212</v>
      </c>
      <c r="E207" s="40" t="n">
        <f aca="false">SUM(F207:ES207)</f>
        <v>0</v>
      </c>
      <c r="F207" s="34" t="n">
        <f aca="false">F$206-0</f>
        <v>0</v>
      </c>
      <c r="G207" s="34" t="n">
        <f aca="false">G$206-F$206</f>
        <v>0</v>
      </c>
      <c r="H207" s="34" t="n">
        <f aca="false">H$206-G$206</f>
        <v>0</v>
      </c>
      <c r="I207" s="34" t="n">
        <f aca="false">I$206-H$206</f>
        <v>0</v>
      </c>
      <c r="J207" s="34" t="n">
        <f aca="false">J$206-I$206</f>
        <v>0</v>
      </c>
      <c r="K207" s="34" t="n">
        <f aca="false">K$206-J$206</f>
        <v>0</v>
      </c>
      <c r="L207" s="34" t="n">
        <f aca="false">L$206-K$206</f>
        <v>0</v>
      </c>
      <c r="M207" s="34" t="n">
        <f aca="false">M$206-L$206</f>
        <v>0</v>
      </c>
      <c r="N207" s="34" t="n">
        <f aca="false">N$206-M$206</f>
        <v>0</v>
      </c>
      <c r="O207" s="34" t="n">
        <f aca="false">O$206-N$206</f>
        <v>0</v>
      </c>
      <c r="P207" s="34" t="n">
        <f aca="false">P$206-O$206</f>
        <v>0</v>
      </c>
      <c r="Q207" s="34" t="n">
        <f aca="false">Q$206-P$206</f>
        <v>0</v>
      </c>
      <c r="R207" s="34" t="n">
        <f aca="false">R$206-Q$206</f>
        <v>0</v>
      </c>
      <c r="S207" s="34" t="n">
        <f aca="false">S$206-R$206</f>
        <v>0</v>
      </c>
      <c r="T207" s="34" t="n">
        <f aca="false">T$206-S$206</f>
        <v>0</v>
      </c>
      <c r="U207" s="34" t="n">
        <f aca="false">U$206-T$206</f>
        <v>0</v>
      </c>
      <c r="V207" s="34" t="n">
        <f aca="false">V$206-U$206</f>
        <v>0</v>
      </c>
      <c r="W207" s="34" t="n">
        <f aca="false">W$206-V$206</f>
        <v>0</v>
      </c>
      <c r="X207" s="34" t="n">
        <f aca="false">X$206-W$206</f>
        <v>0</v>
      </c>
      <c r="Y207" s="34" t="n">
        <f aca="false">Y$206-X$206</f>
        <v>0</v>
      </c>
      <c r="Z207" s="34" t="n">
        <f aca="false">Z$206-Y$206</f>
        <v>0</v>
      </c>
      <c r="AA207" s="34" t="n">
        <f aca="false">AA$206-Z$206</f>
        <v>0</v>
      </c>
      <c r="AB207" s="34" t="n">
        <f aca="false">AB$206-AA$206</f>
        <v>0</v>
      </c>
      <c r="AC207" s="34" t="n">
        <f aca="false">AC$206-AB$206</f>
        <v>0</v>
      </c>
      <c r="AD207" s="34" t="n">
        <f aca="false">AD$206-AC$206</f>
        <v>0</v>
      </c>
      <c r="AE207" s="34" t="n">
        <f aca="false">AE$206-AD$206</f>
        <v>0</v>
      </c>
      <c r="AF207" s="34" t="n">
        <f aca="false">AF$206-AE$206</f>
        <v>0</v>
      </c>
      <c r="AG207" s="34" t="n">
        <f aca="false">AG$206-AF$206</f>
        <v>0</v>
      </c>
      <c r="AH207" s="34" t="n">
        <f aca="false">AH$206-AG$206</f>
        <v>0</v>
      </c>
      <c r="AI207" s="34" t="n">
        <f aca="false">AI$206-AH$206</f>
        <v>0</v>
      </c>
      <c r="AJ207" s="34" t="n">
        <f aca="false">AJ$206-AI$206</f>
        <v>0</v>
      </c>
      <c r="AK207" s="34" t="n">
        <f aca="false">AK$206-AJ$206</f>
        <v>0</v>
      </c>
      <c r="AL207" s="34" t="n">
        <f aca="false">AL$206-AK$206</f>
        <v>0</v>
      </c>
      <c r="AM207" s="34" t="n">
        <f aca="false">AM$206-AL$206</f>
        <v>0</v>
      </c>
      <c r="AN207" s="34" t="n">
        <f aca="false">AN$206-AM$206</f>
        <v>0</v>
      </c>
      <c r="AO207" s="34" t="n">
        <f aca="false">AO$206-AN$206</f>
        <v>0</v>
      </c>
      <c r="AP207" s="34" t="n">
        <f aca="false">AP$206-AO$206</f>
        <v>0</v>
      </c>
      <c r="AQ207" s="34" t="n">
        <f aca="false">AQ$206-AP$206</f>
        <v>0</v>
      </c>
      <c r="AR207" s="34" t="n">
        <f aca="false">AR$206-AQ$206</f>
        <v>0</v>
      </c>
      <c r="AS207" s="34" t="n">
        <f aca="false">AS$206-AR$206</f>
        <v>0</v>
      </c>
      <c r="AT207" s="34" t="n">
        <f aca="false">AT$206-AS$206</f>
        <v>0</v>
      </c>
      <c r="AU207" s="34" t="n">
        <f aca="false">AU$206-AT$206</f>
        <v>0</v>
      </c>
      <c r="AV207" s="34" t="n">
        <f aca="false">AV$206-AU$206</f>
        <v>0</v>
      </c>
      <c r="AW207" s="34" t="n">
        <f aca="false">AW$206-AV$206</f>
        <v>0</v>
      </c>
      <c r="AX207" s="34" t="n">
        <f aca="false">AX$206-AW$206</f>
        <v>0</v>
      </c>
      <c r="AY207" s="34" t="n">
        <f aca="false">AY$206-AX$206</f>
        <v>0</v>
      </c>
      <c r="AZ207" s="34" t="n">
        <f aca="false">AZ$206-AY$206</f>
        <v>0</v>
      </c>
      <c r="BA207" s="34" t="n">
        <f aca="false">BA$206-AZ$206</f>
        <v>0</v>
      </c>
      <c r="BB207" s="34" t="n">
        <f aca="false">BB$206-BA$206</f>
        <v>0</v>
      </c>
      <c r="BC207" s="34" t="n">
        <f aca="false">BC$206-BB$206</f>
        <v>0</v>
      </c>
      <c r="BD207" s="34" t="n">
        <f aca="false">BD$206-BC$206</f>
        <v>0</v>
      </c>
      <c r="BE207" s="34" t="n">
        <f aca="false">BE$206-BD$206</f>
        <v>0</v>
      </c>
      <c r="BF207" s="34" t="n">
        <f aca="false">BF$206-BE$206</f>
        <v>0</v>
      </c>
      <c r="BG207" s="34" t="n">
        <f aca="false">BG$206-BF$206</f>
        <v>0</v>
      </c>
      <c r="BH207" s="34" t="n">
        <f aca="false">BH$206-BG$206</f>
        <v>0</v>
      </c>
      <c r="BI207" s="34" t="n">
        <f aca="false">BI$206-BH$206</f>
        <v>0</v>
      </c>
      <c r="BJ207" s="34" t="n">
        <f aca="false">BJ$206-BI$206</f>
        <v>0</v>
      </c>
      <c r="BK207" s="34" t="n">
        <f aca="false">BK$206-BJ$206</f>
        <v>0</v>
      </c>
      <c r="BL207" s="34" t="n">
        <f aca="false">BL$206-BK$206</f>
        <v>0</v>
      </c>
      <c r="BM207" s="34" t="n">
        <f aca="false">BM$206-BL$206</f>
        <v>0</v>
      </c>
      <c r="BN207" s="34" t="n">
        <f aca="false">BN$206-BM$206</f>
        <v>0</v>
      </c>
      <c r="BO207" s="34" t="n">
        <f aca="false">BO$206-BN$206</f>
        <v>0</v>
      </c>
      <c r="BP207" s="34" t="n">
        <f aca="false">BP$206-BO$206</f>
        <v>0</v>
      </c>
      <c r="BQ207" s="34" t="n">
        <f aca="false">BQ$206-BP$206</f>
        <v>0</v>
      </c>
      <c r="BR207" s="34" t="n">
        <f aca="false">BR$206-BQ$206</f>
        <v>0</v>
      </c>
      <c r="BS207" s="34" t="n">
        <f aca="false">BS$206-BR$206</f>
        <v>0</v>
      </c>
      <c r="BT207" s="34" t="n">
        <f aca="false">BT$206-BS$206</f>
        <v>0</v>
      </c>
      <c r="BU207" s="34" t="n">
        <f aca="false">BU$206-BT$206</f>
        <v>0</v>
      </c>
      <c r="BV207" s="34" t="n">
        <f aca="false">BV$206-BU$206</f>
        <v>0</v>
      </c>
      <c r="BW207" s="34" t="n">
        <f aca="false">BW$206-BV$206</f>
        <v>0</v>
      </c>
      <c r="BX207" s="34" t="n">
        <f aca="false">BX$206-BW$206</f>
        <v>0</v>
      </c>
      <c r="BY207" s="34" t="n">
        <f aca="false">BY$206-BX$206</f>
        <v>0</v>
      </c>
      <c r="BZ207" s="34" t="n">
        <f aca="false">BZ$206-BY$206</f>
        <v>0</v>
      </c>
      <c r="CA207" s="34" t="n">
        <f aca="false">CA$206-BZ$206</f>
        <v>0</v>
      </c>
      <c r="CB207" s="34" t="n">
        <f aca="false">CB$206-CA$206</f>
        <v>0</v>
      </c>
      <c r="CC207" s="34" t="n">
        <f aca="false">CC$206-CB$206</f>
        <v>0</v>
      </c>
      <c r="CD207" s="34" t="n">
        <f aca="false">CD$206-CC$206</f>
        <v>0</v>
      </c>
      <c r="CE207" s="34" t="n">
        <f aca="false">CE$206-CD$206</f>
        <v>0</v>
      </c>
      <c r="CF207" s="34" t="n">
        <f aca="false">CF$206-CE$206</f>
        <v>0</v>
      </c>
      <c r="CG207" s="34" t="n">
        <f aca="false">CG$206-CF$206</f>
        <v>0</v>
      </c>
      <c r="CH207" s="34" t="n">
        <f aca="false">CH$206-CG$206</f>
        <v>0</v>
      </c>
      <c r="CI207" s="34" t="n">
        <f aca="false">CI$206-CH$206</f>
        <v>0</v>
      </c>
      <c r="CJ207" s="34" t="n">
        <f aca="false">CJ$206-CI$206</f>
        <v>0</v>
      </c>
      <c r="CK207" s="34" t="n">
        <f aca="false">CK$206-CJ$206</f>
        <v>0</v>
      </c>
      <c r="CL207" s="34" t="n">
        <f aca="false">CL$206-CK$206</f>
        <v>0</v>
      </c>
      <c r="CM207" s="34" t="n">
        <f aca="false">CM$206-CL$206</f>
        <v>0</v>
      </c>
      <c r="CN207" s="34" t="n">
        <f aca="false">CN$206-CM$206</f>
        <v>0</v>
      </c>
      <c r="CO207" s="34" t="n">
        <f aca="false">CO$206-CN$206</f>
        <v>0</v>
      </c>
      <c r="CP207" s="34" t="n">
        <f aca="false">CP$206-CO$206</f>
        <v>0</v>
      </c>
      <c r="CQ207" s="34" t="n">
        <f aca="false">CQ$206-CP$206</f>
        <v>0</v>
      </c>
      <c r="CR207" s="34" t="n">
        <f aca="false">CR$206-CQ$206</f>
        <v>0</v>
      </c>
      <c r="CS207" s="34" t="n">
        <f aca="false">CS$206-CR$206</f>
        <v>0</v>
      </c>
      <c r="CT207" s="34" t="n">
        <f aca="false">CT$206-CS$206</f>
        <v>0</v>
      </c>
      <c r="CU207" s="34" t="n">
        <f aca="false">CU$206-CT$206</f>
        <v>0</v>
      </c>
      <c r="CV207" s="34" t="n">
        <f aca="false">CV$206-CU$206</f>
        <v>0</v>
      </c>
      <c r="CW207" s="34" t="n">
        <f aca="false">CW$206-CV$206</f>
        <v>0</v>
      </c>
      <c r="CX207" s="34" t="n">
        <f aca="false">CX$206-CW$206</f>
        <v>0</v>
      </c>
      <c r="CY207" s="34" t="n">
        <f aca="false">CY$206-CX$206</f>
        <v>0</v>
      </c>
      <c r="CZ207" s="34" t="n">
        <f aca="false">CZ$206-CY$206</f>
        <v>0</v>
      </c>
      <c r="DA207" s="34" t="n">
        <f aca="false">DA$206-CZ$206</f>
        <v>0</v>
      </c>
      <c r="DB207" s="34" t="n">
        <f aca="false">DB$206-DA$206</f>
        <v>0</v>
      </c>
      <c r="DC207" s="34" t="n">
        <f aca="false">DC$206-DB$206</f>
        <v>0</v>
      </c>
      <c r="DD207" s="34" t="n">
        <f aca="false">DD$206-DC$206</f>
        <v>0</v>
      </c>
      <c r="DE207" s="34" t="n">
        <f aca="false">DE$206-DD$206</f>
        <v>0</v>
      </c>
      <c r="DF207" s="34" t="n">
        <f aca="false">DF$206-DE$206</f>
        <v>0</v>
      </c>
      <c r="DG207" s="34" t="n">
        <f aca="false">DG$206-DF$206</f>
        <v>0</v>
      </c>
      <c r="DH207" s="34" t="n">
        <f aca="false">DH$206-DG$206</f>
        <v>0</v>
      </c>
      <c r="DI207" s="34" t="n">
        <f aca="false">DI$206-DH$206</f>
        <v>0</v>
      </c>
      <c r="DJ207" s="34" t="n">
        <f aca="false">DJ$206-DI$206</f>
        <v>0</v>
      </c>
      <c r="DK207" s="34" t="n">
        <f aca="false">DK$206-DJ$206</f>
        <v>0</v>
      </c>
      <c r="DL207" s="34" t="n">
        <f aca="false">DL$206-DK$206</f>
        <v>0</v>
      </c>
      <c r="DM207" s="34" t="n">
        <f aca="false">DM$206-DL$206</f>
        <v>0</v>
      </c>
      <c r="DN207" s="34" t="n">
        <f aca="false">DN$206-DM$206</f>
        <v>0</v>
      </c>
      <c r="DO207" s="34" t="n">
        <f aca="false">DO$206-DN$206</f>
        <v>0</v>
      </c>
      <c r="DP207" s="34" t="n">
        <f aca="false">DP$206-DO$206</f>
        <v>0</v>
      </c>
      <c r="DQ207" s="34" t="n">
        <f aca="false">DQ$206-DP$206</f>
        <v>0</v>
      </c>
      <c r="DR207" s="34" t="n">
        <f aca="false">DR$206-DQ$206</f>
        <v>0</v>
      </c>
      <c r="DS207" s="34" t="n">
        <f aca="false">DS$206-DR$206</f>
        <v>0</v>
      </c>
      <c r="DT207" s="34" t="n">
        <f aca="false">DT$206-DS$206</f>
        <v>0</v>
      </c>
      <c r="DU207" s="34" t="n">
        <f aca="false">DU$206-DT$206</f>
        <v>0</v>
      </c>
      <c r="DV207" s="34" t="n">
        <f aca="false">DV$206-DU$206</f>
        <v>0</v>
      </c>
      <c r="DW207" s="34" t="n">
        <f aca="false">DW$206-DV$206</f>
        <v>0</v>
      </c>
      <c r="DX207" s="34" t="n">
        <f aca="false">DX$206-DW$206</f>
        <v>0</v>
      </c>
      <c r="DY207" s="34" t="n">
        <f aca="false">DY$206-DX$206</f>
        <v>0</v>
      </c>
      <c r="DZ207" s="34" t="n">
        <f aca="false">DZ$206-DY$206</f>
        <v>0</v>
      </c>
      <c r="EA207" s="34" t="n">
        <f aca="false">EA$206-DZ$206</f>
        <v>0</v>
      </c>
      <c r="EB207" s="34" t="n">
        <f aca="false">EB$206-EA$206</f>
        <v>0</v>
      </c>
      <c r="EC207" s="34" t="n">
        <f aca="false">EC$206-EB$206</f>
        <v>0</v>
      </c>
      <c r="ED207" s="34" t="n">
        <f aca="false">ED$206-EC$206</f>
        <v>0</v>
      </c>
      <c r="EE207" s="34" t="n">
        <f aca="false">EE$206-ED$206</f>
        <v>0</v>
      </c>
      <c r="EF207" s="34" t="n">
        <f aca="false">EF$206-EE$206</f>
        <v>0</v>
      </c>
      <c r="EG207" s="34" t="n">
        <f aca="false">EG$206-EF$206</f>
        <v>0</v>
      </c>
      <c r="EH207" s="34" t="n">
        <f aca="false">EH$206-EG$206</f>
        <v>0</v>
      </c>
      <c r="EI207" s="34" t="n">
        <f aca="false">EI$206-EH$206</f>
        <v>0</v>
      </c>
      <c r="EJ207" s="34" t="n">
        <f aca="false">EJ$206-EI$206</f>
        <v>0</v>
      </c>
      <c r="EK207" s="34" t="n">
        <f aca="false">EK$206-EJ$206</f>
        <v>0</v>
      </c>
      <c r="EL207" s="34" t="n">
        <f aca="false">EL$206-EK$206</f>
        <v>0</v>
      </c>
      <c r="EM207" s="34" t="n">
        <f aca="false">EM$206-EL$206</f>
        <v>0</v>
      </c>
      <c r="EN207" s="34" t="n">
        <f aca="false">EN$206-EM$206</f>
        <v>0</v>
      </c>
      <c r="EO207" s="34" t="n">
        <f aca="false">EO$206-EN$206</f>
        <v>0</v>
      </c>
      <c r="EP207" s="34" t="n">
        <f aca="false">EP$206-EO$206</f>
        <v>0</v>
      </c>
      <c r="EQ207" s="34" t="n">
        <f aca="false">EQ$206-EP$206</f>
        <v>0</v>
      </c>
      <c r="ER207" s="34" t="n">
        <f aca="false">ER$206-EQ$206</f>
        <v>0</v>
      </c>
      <c r="ES207" s="34" t="n">
        <f aca="false">ES$206-ER$206</f>
        <v>0</v>
      </c>
    </row>
    <row r="208" customFormat="false" ht="15" hidden="false" customHeight="false" outlineLevel="0" collapsed="false">
      <c r="A208" s="4"/>
      <c r="B208" s="3" t="s">
        <v>538</v>
      </c>
      <c r="C208" s="4"/>
      <c r="D208" s="4"/>
      <c r="E208" s="4"/>
    </row>
    <row r="209" customFormat="false" ht="15" hidden="false" customHeight="false" outlineLevel="0" collapsed="false">
      <c r="A209" s="2" t="s">
        <v>684</v>
      </c>
      <c r="B209" s="52" t="s">
        <v>540</v>
      </c>
      <c r="C209" s="6" t="s">
        <v>212</v>
      </c>
      <c r="E209" s="40" t="n">
        <f aca="false">SUM(F209:ES209)</f>
        <v>0</v>
      </c>
      <c r="F209" s="10" t="n">
        <f aca="false">(F$195-F$199-F$207)*F$9</f>
        <v>0</v>
      </c>
      <c r="G209" s="10" t="n">
        <f aca="false">(G$195-G$199-G$207)*G$9</f>
        <v>0</v>
      </c>
      <c r="H209" s="10" t="n">
        <f aca="false">(H$195-H$199-H$207)*H$9</f>
        <v>0</v>
      </c>
      <c r="I209" s="10" t="n">
        <f aca="false">(I$195-I$199-I$207)*I$9</f>
        <v>0</v>
      </c>
      <c r="J209" s="10" t="n">
        <f aca="false">(J$195-J$199-J$207)*J$9</f>
        <v>0</v>
      </c>
      <c r="K209" s="10" t="n">
        <f aca="false">(K$195-K$199-K$207)*K$9</f>
        <v>0</v>
      </c>
      <c r="L209" s="10" t="n">
        <f aca="false">(L$195-L$199-L$207)*L$9</f>
        <v>0</v>
      </c>
      <c r="M209" s="10" t="n">
        <f aca="false">(M$195-M$199-M$207)*M$9</f>
        <v>0</v>
      </c>
      <c r="N209" s="10" t="n">
        <f aca="false">(N$195-N$199-N$207)*N$9</f>
        <v>0</v>
      </c>
      <c r="O209" s="10" t="n">
        <f aca="false">(O$195-O$199-O$207)*O$9</f>
        <v>0</v>
      </c>
      <c r="P209" s="10" t="n">
        <f aca="false">(P$195-P$199-P$207)*P$9</f>
        <v>0</v>
      </c>
      <c r="Q209" s="10" t="n">
        <f aca="false">(Q$195-Q$199-Q$207)*Q$9</f>
        <v>0</v>
      </c>
      <c r="R209" s="10" t="n">
        <f aca="false">(R$195-R$199-R$207)*R$9</f>
        <v>0</v>
      </c>
      <c r="S209" s="10" t="n">
        <f aca="false">(S$195-S$199-S$207)*S$9</f>
        <v>0</v>
      </c>
      <c r="T209" s="10" t="n">
        <f aca="false">(T$195-T$199-T$207)*T$9</f>
        <v>0</v>
      </c>
      <c r="U209" s="10" t="n">
        <f aca="false">(U$195-U$199-U$207)*U$9</f>
        <v>0</v>
      </c>
      <c r="V209" s="10" t="n">
        <f aca="false">(V$195-V$199-V$207)*V$9</f>
        <v>0</v>
      </c>
      <c r="W209" s="10" t="n">
        <f aca="false">(W$195-W$199-W$207)*W$9</f>
        <v>0</v>
      </c>
      <c r="X209" s="10" t="n">
        <f aca="false">(X$195-X$199-X$207)*X$9</f>
        <v>0</v>
      </c>
      <c r="Y209" s="10" t="n">
        <f aca="false">(Y$195-Y$199-Y$207)*Y$9</f>
        <v>0</v>
      </c>
      <c r="Z209" s="10" t="n">
        <f aca="false">(Z$195-Z$199-Z$207)*Z$9</f>
        <v>0</v>
      </c>
      <c r="AA209" s="10" t="n">
        <f aca="false">(AA$195-AA$199-AA$207)*AA$9</f>
        <v>0</v>
      </c>
      <c r="AB209" s="10" t="n">
        <f aca="false">(AB$195-AB$199-AB$207)*AB$9</f>
        <v>0</v>
      </c>
      <c r="AC209" s="10" t="n">
        <f aca="false">(AC$195-AC$199-AC$207)*AC$9</f>
        <v>0</v>
      </c>
      <c r="AD209" s="10" t="n">
        <f aca="false">(AD$195-AD$199-AD$207)*AD$9</f>
        <v>0</v>
      </c>
      <c r="AE209" s="10" t="n">
        <f aca="false">(AE$195-AE$199-AE$207)*AE$9</f>
        <v>0</v>
      </c>
      <c r="AF209" s="10" t="n">
        <f aca="false">(AF$195-AF$199-AF$207)*AF$9</f>
        <v>0</v>
      </c>
      <c r="AG209" s="10" t="n">
        <f aca="false">(AG$195-AG$199-AG$207)*AG$9</f>
        <v>0</v>
      </c>
      <c r="AH209" s="10" t="n">
        <f aca="false">(AH$195-AH$199-AH$207)*AH$9</f>
        <v>0</v>
      </c>
      <c r="AI209" s="10" t="n">
        <f aca="false">(AI$195-AI$199-AI$207)*AI$9</f>
        <v>0</v>
      </c>
      <c r="AJ209" s="10" t="n">
        <f aca="false">(AJ$195-AJ$199-AJ$207)*AJ$9</f>
        <v>0</v>
      </c>
      <c r="AK209" s="10" t="n">
        <f aca="false">(AK$195-AK$199-AK$207)*AK$9</f>
        <v>0</v>
      </c>
      <c r="AL209" s="10" t="n">
        <f aca="false">(AL$195-AL$199-AL$207)*AL$9</f>
        <v>0</v>
      </c>
      <c r="AM209" s="10" t="n">
        <f aca="false">(AM$195-AM$199-AM$207)*AM$9</f>
        <v>0</v>
      </c>
      <c r="AN209" s="10" t="n">
        <f aca="false">(AN$195-AN$199-AN$207)*AN$9</f>
        <v>0</v>
      </c>
      <c r="AO209" s="10" t="n">
        <f aca="false">(AO$195-AO$199-AO$207)*AO$9</f>
        <v>0</v>
      </c>
      <c r="AP209" s="10" t="n">
        <f aca="false">(AP$195-AP$199-AP$207)*AP$9</f>
        <v>0</v>
      </c>
      <c r="AQ209" s="10" t="n">
        <f aca="false">(AQ$195-AQ$199-AQ$207)*AQ$9</f>
        <v>0</v>
      </c>
      <c r="AR209" s="10" t="n">
        <f aca="false">(AR$195-AR$199-AR$207)*AR$9</f>
        <v>0</v>
      </c>
      <c r="AS209" s="10" t="n">
        <f aca="false">(AS$195-AS$199-AS$207)*AS$9</f>
        <v>0</v>
      </c>
      <c r="AT209" s="10" t="n">
        <f aca="false">(AT$195-AT$199-AT$207)*AT$9</f>
        <v>0</v>
      </c>
      <c r="AU209" s="10" t="n">
        <f aca="false">(AU$195-AU$199-AU$207)*AU$9</f>
        <v>0</v>
      </c>
      <c r="AV209" s="10" t="n">
        <f aca="false">(AV$195-AV$199-AV$207)*AV$9</f>
        <v>0</v>
      </c>
      <c r="AW209" s="10" t="n">
        <f aca="false">(AW$195-AW$199-AW$207)*AW$9</f>
        <v>0</v>
      </c>
      <c r="AX209" s="10" t="n">
        <f aca="false">(AX$195-AX$199-AX$207)*AX$9</f>
        <v>0</v>
      </c>
      <c r="AY209" s="10" t="n">
        <f aca="false">(AY$195-AY$199-AY$207)*AY$9</f>
        <v>0</v>
      </c>
      <c r="AZ209" s="10" t="n">
        <f aca="false">(AZ$195-AZ$199-AZ$207)*AZ$9</f>
        <v>0</v>
      </c>
      <c r="BA209" s="10" t="n">
        <f aca="false">(BA$195-BA$199-BA$207)*BA$9</f>
        <v>0</v>
      </c>
      <c r="BB209" s="10" t="n">
        <f aca="false">(BB$195-BB$199-BB$207)*BB$9</f>
        <v>0</v>
      </c>
      <c r="BC209" s="10" t="n">
        <f aca="false">(BC$195-BC$199-BC$207)*BC$9</f>
        <v>0</v>
      </c>
      <c r="BD209" s="10" t="n">
        <f aca="false">(BD$195-BD$199-BD$207)*BD$9</f>
        <v>0</v>
      </c>
      <c r="BE209" s="10" t="n">
        <f aca="false">(BE$195-BE$199-BE$207)*BE$9</f>
        <v>0</v>
      </c>
      <c r="BF209" s="10" t="n">
        <f aca="false">(BF$195-BF$199-BF$207)*BF$9</f>
        <v>0</v>
      </c>
      <c r="BG209" s="10" t="n">
        <f aca="false">(BG$195-BG$199-BG$207)*BG$9</f>
        <v>0</v>
      </c>
      <c r="BH209" s="10" t="n">
        <f aca="false">(BH$195-BH$199-BH$207)*BH$9</f>
        <v>0</v>
      </c>
      <c r="BI209" s="10" t="n">
        <f aca="false">(BI$195-BI$199-BI$207)*BI$9</f>
        <v>0</v>
      </c>
      <c r="BJ209" s="10" t="n">
        <f aca="false">(BJ$195-BJ$199-BJ$207)*BJ$9</f>
        <v>0</v>
      </c>
      <c r="BK209" s="10" t="n">
        <f aca="false">(BK$195-BK$199-BK$207)*BK$9</f>
        <v>0</v>
      </c>
      <c r="BL209" s="10" t="n">
        <f aca="false">(BL$195-BL$199-BL$207)*BL$9</f>
        <v>0</v>
      </c>
      <c r="BM209" s="10" t="n">
        <f aca="false">(BM$195-BM$199-BM$207)*BM$9</f>
        <v>0</v>
      </c>
      <c r="BN209" s="10" t="n">
        <f aca="false">(BN$195-BN$199-BN$207)*BN$9</f>
        <v>0</v>
      </c>
      <c r="BO209" s="10" t="n">
        <f aca="false">(BO$195-BO$199-BO$207)*BO$9</f>
        <v>0</v>
      </c>
      <c r="BP209" s="10" t="n">
        <f aca="false">(BP$195-BP$199-BP$207)*BP$9</f>
        <v>0</v>
      </c>
      <c r="BQ209" s="10" t="n">
        <f aca="false">(BQ$195-BQ$199-BQ$207)*BQ$9</f>
        <v>0</v>
      </c>
      <c r="BR209" s="10" t="n">
        <f aca="false">(BR$195-BR$199-BR$207)*BR$9</f>
        <v>0</v>
      </c>
      <c r="BS209" s="10" t="n">
        <f aca="false">(BS$195-BS$199-BS$207)*BS$9</f>
        <v>0</v>
      </c>
      <c r="BT209" s="10" t="n">
        <f aca="false">(BT$195-BT$199-BT$207)*BT$9</f>
        <v>0</v>
      </c>
      <c r="BU209" s="10" t="n">
        <f aca="false">(BU$195-BU$199-BU$207)*BU$9</f>
        <v>0</v>
      </c>
      <c r="BV209" s="10" t="n">
        <f aca="false">(BV$195-BV$199-BV$207)*BV$9</f>
        <v>0</v>
      </c>
      <c r="BW209" s="10" t="n">
        <f aca="false">(BW$195-BW$199-BW$207)*BW$9</f>
        <v>0</v>
      </c>
      <c r="BX209" s="10" t="n">
        <f aca="false">(BX$195-BX$199-BX$207)*BX$9</f>
        <v>0</v>
      </c>
      <c r="BY209" s="10" t="n">
        <f aca="false">(BY$195-BY$199-BY$207)*BY$9</f>
        <v>0</v>
      </c>
      <c r="BZ209" s="10" t="n">
        <f aca="false">(BZ$195-BZ$199-BZ$207)*BZ$9</f>
        <v>0</v>
      </c>
      <c r="CA209" s="10" t="n">
        <f aca="false">(CA$195-CA$199-CA$207)*CA$9</f>
        <v>0</v>
      </c>
      <c r="CB209" s="10" t="n">
        <f aca="false">(CB$195-CB$199-CB$207)*CB$9</f>
        <v>0</v>
      </c>
      <c r="CC209" s="10" t="n">
        <f aca="false">(CC$195-CC$199-CC$207)*CC$9</f>
        <v>0</v>
      </c>
      <c r="CD209" s="10" t="n">
        <f aca="false">(CD$195-CD$199-CD$207)*CD$9</f>
        <v>0</v>
      </c>
      <c r="CE209" s="10" t="n">
        <f aca="false">(CE$195-CE$199-CE$207)*CE$9</f>
        <v>0</v>
      </c>
      <c r="CF209" s="10" t="n">
        <f aca="false">(CF$195-CF$199-CF$207)*CF$9</f>
        <v>0</v>
      </c>
      <c r="CG209" s="10" t="n">
        <f aca="false">(CG$195-CG$199-CG$207)*CG$9</f>
        <v>0</v>
      </c>
      <c r="CH209" s="10" t="n">
        <f aca="false">(CH$195-CH$199-CH$207)*CH$9</f>
        <v>0</v>
      </c>
      <c r="CI209" s="10" t="n">
        <f aca="false">(CI$195-CI$199-CI$207)*CI$9</f>
        <v>0</v>
      </c>
      <c r="CJ209" s="10" t="n">
        <f aca="false">(CJ$195-CJ$199-CJ$207)*CJ$9</f>
        <v>0</v>
      </c>
      <c r="CK209" s="10" t="n">
        <f aca="false">(CK$195-CK$199-CK$207)*CK$9</f>
        <v>0</v>
      </c>
      <c r="CL209" s="10" t="n">
        <f aca="false">(CL$195-CL$199-CL$207)*CL$9</f>
        <v>0</v>
      </c>
      <c r="CM209" s="10" t="n">
        <f aca="false">(CM$195-CM$199-CM$207)*CM$9</f>
        <v>0</v>
      </c>
      <c r="CN209" s="10" t="n">
        <f aca="false">(CN$195-CN$199-CN$207)*CN$9</f>
        <v>0</v>
      </c>
      <c r="CO209" s="10" t="n">
        <f aca="false">(CO$195-CO$199-CO$207)*CO$9</f>
        <v>0</v>
      </c>
      <c r="CP209" s="10" t="n">
        <f aca="false">(CP$195-CP$199-CP$207)*CP$9</f>
        <v>0</v>
      </c>
      <c r="CQ209" s="10" t="n">
        <f aca="false">(CQ$195-CQ$199-CQ$207)*CQ$9</f>
        <v>0</v>
      </c>
      <c r="CR209" s="10" t="n">
        <f aca="false">(CR$195-CR$199-CR$207)*CR$9</f>
        <v>0</v>
      </c>
      <c r="CS209" s="10" t="n">
        <f aca="false">(CS$195-CS$199-CS$207)*CS$9</f>
        <v>0</v>
      </c>
      <c r="CT209" s="10" t="n">
        <f aca="false">(CT$195-CT$199-CT$207)*CT$9</f>
        <v>0</v>
      </c>
      <c r="CU209" s="10" t="n">
        <f aca="false">(CU$195-CU$199-CU$207)*CU$9</f>
        <v>0</v>
      </c>
      <c r="CV209" s="10" t="n">
        <f aca="false">(CV$195-CV$199-CV$207)*CV$9</f>
        <v>0</v>
      </c>
      <c r="CW209" s="10" t="n">
        <f aca="false">(CW$195-CW$199-CW$207)*CW$9</f>
        <v>0</v>
      </c>
      <c r="CX209" s="10" t="n">
        <f aca="false">(CX$195-CX$199-CX$207)*CX$9</f>
        <v>0</v>
      </c>
      <c r="CY209" s="10" t="n">
        <f aca="false">(CY$195-CY$199-CY$207)*CY$9</f>
        <v>0</v>
      </c>
      <c r="CZ209" s="10" t="n">
        <f aca="false">(CZ$195-CZ$199-CZ$207)*CZ$9</f>
        <v>0</v>
      </c>
      <c r="DA209" s="10" t="n">
        <f aca="false">(DA$195-DA$199-DA$207)*DA$9</f>
        <v>0</v>
      </c>
      <c r="DB209" s="10" t="n">
        <f aca="false">(DB$195-DB$199-DB$207)*DB$9</f>
        <v>0</v>
      </c>
      <c r="DC209" s="10" t="n">
        <f aca="false">(DC$195-DC$199-DC$207)*DC$9</f>
        <v>0</v>
      </c>
      <c r="DD209" s="10" t="n">
        <f aca="false">(DD$195-DD$199-DD$207)*DD$9</f>
        <v>0</v>
      </c>
      <c r="DE209" s="10" t="n">
        <f aca="false">(DE$195-DE$199-DE$207)*DE$9</f>
        <v>0</v>
      </c>
      <c r="DF209" s="10" t="n">
        <f aca="false">(DF$195-DF$199-DF$207)*DF$9</f>
        <v>0</v>
      </c>
      <c r="DG209" s="10" t="n">
        <f aca="false">(DG$195-DG$199-DG$207)*DG$9</f>
        <v>0</v>
      </c>
      <c r="DH209" s="10" t="n">
        <f aca="false">(DH$195-DH$199-DH$207)*DH$9</f>
        <v>0</v>
      </c>
      <c r="DI209" s="10" t="n">
        <f aca="false">(DI$195-DI$199-DI$207)*DI$9</f>
        <v>0</v>
      </c>
      <c r="DJ209" s="10" t="n">
        <f aca="false">(DJ$195-DJ$199-DJ$207)*DJ$9</f>
        <v>0</v>
      </c>
      <c r="DK209" s="10" t="n">
        <f aca="false">(DK$195-DK$199-DK$207)*DK$9</f>
        <v>0</v>
      </c>
      <c r="DL209" s="10" t="n">
        <f aca="false">(DL$195-DL$199-DL$207)*DL$9</f>
        <v>0</v>
      </c>
      <c r="DM209" s="10" t="n">
        <f aca="false">(DM$195-DM$199-DM$207)*DM$9</f>
        <v>0</v>
      </c>
      <c r="DN209" s="10" t="n">
        <f aca="false">(DN$195-DN$199-DN$207)*DN$9</f>
        <v>0</v>
      </c>
      <c r="DO209" s="10" t="n">
        <f aca="false">(DO$195-DO$199-DO$207)*DO$9</f>
        <v>0</v>
      </c>
      <c r="DP209" s="10" t="n">
        <f aca="false">(DP$195-DP$199-DP$207)*DP$9</f>
        <v>0</v>
      </c>
      <c r="DQ209" s="10" t="n">
        <f aca="false">(DQ$195-DQ$199-DQ$207)*DQ$9</f>
        <v>0</v>
      </c>
      <c r="DR209" s="10" t="n">
        <f aca="false">(DR$195-DR$199-DR$207)*DR$9</f>
        <v>0</v>
      </c>
      <c r="DS209" s="10" t="n">
        <f aca="false">(DS$195-DS$199-DS$207)*DS$9</f>
        <v>0</v>
      </c>
      <c r="DT209" s="10" t="n">
        <f aca="false">(DT$195-DT$199-DT$207)*DT$9</f>
        <v>0</v>
      </c>
      <c r="DU209" s="10" t="n">
        <f aca="false">(DU$195-DU$199-DU$207)*DU$9</f>
        <v>0</v>
      </c>
      <c r="DV209" s="10" t="n">
        <f aca="false">(DV$195-DV$199-DV$207)*DV$9</f>
        <v>0</v>
      </c>
      <c r="DW209" s="10" t="n">
        <f aca="false">(DW$195-DW$199-DW$207)*DW$9</f>
        <v>0</v>
      </c>
      <c r="DX209" s="10" t="n">
        <f aca="false">(DX$195-DX$199-DX$207)*DX$9</f>
        <v>0</v>
      </c>
      <c r="DY209" s="10" t="n">
        <f aca="false">(DY$195-DY$199-DY$207)*DY$9</f>
        <v>0</v>
      </c>
      <c r="DZ209" s="10" t="n">
        <f aca="false">(DZ$195-DZ$199-DZ$207)*DZ$9</f>
        <v>0</v>
      </c>
      <c r="EA209" s="10" t="n">
        <f aca="false">(EA$195-EA$199-EA$207)*EA$9</f>
        <v>0</v>
      </c>
      <c r="EB209" s="10" t="n">
        <f aca="false">(EB$195-EB$199-EB$207)*EB$9</f>
        <v>0</v>
      </c>
      <c r="EC209" s="10" t="n">
        <f aca="false">(EC$195-EC$199-EC$207)*EC$9</f>
        <v>0</v>
      </c>
      <c r="ED209" s="10" t="n">
        <f aca="false">(ED$195-ED$199-ED$207)*ED$9</f>
        <v>0</v>
      </c>
      <c r="EE209" s="10" t="n">
        <f aca="false">(EE$195-EE$199-EE$207)*EE$9</f>
        <v>0</v>
      </c>
      <c r="EF209" s="10" t="n">
        <f aca="false">(EF$195-EF$199-EF$207)*EF$9</f>
        <v>0</v>
      </c>
      <c r="EG209" s="10" t="n">
        <f aca="false">(EG$195-EG$199-EG$207)*EG$9</f>
        <v>0</v>
      </c>
      <c r="EH209" s="10" t="n">
        <f aca="false">(EH$195-EH$199-EH$207)*EH$9</f>
        <v>0</v>
      </c>
      <c r="EI209" s="10" t="n">
        <f aca="false">(EI$195-EI$199-EI$207)*EI$9</f>
        <v>0</v>
      </c>
      <c r="EJ209" s="10" t="n">
        <f aca="false">(EJ$195-EJ$199-EJ$207)*EJ$9</f>
        <v>0</v>
      </c>
      <c r="EK209" s="10" t="n">
        <f aca="false">(EK$195-EK$199-EK$207)*EK$9</f>
        <v>0</v>
      </c>
      <c r="EL209" s="10" t="n">
        <f aca="false">(EL$195-EL$199-EL$207)*EL$9</f>
        <v>0</v>
      </c>
      <c r="EM209" s="10" t="n">
        <f aca="false">(EM$195-EM$199-EM$207)*EM$9</f>
        <v>0</v>
      </c>
      <c r="EN209" s="10" t="n">
        <f aca="false">(EN$195-EN$199-EN$207)*EN$9</f>
        <v>0</v>
      </c>
      <c r="EO209" s="10" t="n">
        <f aca="false">(EO$195-EO$199-EO$207)*EO$9</f>
        <v>0</v>
      </c>
      <c r="EP209" s="10" t="n">
        <f aca="false">(EP$195-EP$199-EP$207)*EP$9</f>
        <v>0</v>
      </c>
      <c r="EQ209" s="10" t="n">
        <f aca="false">(EQ$195-EQ$199-EQ$207)*EQ$9</f>
        <v>0</v>
      </c>
      <c r="ER209" s="10" t="n">
        <f aca="false">(ER$195-ER$199-ER$207)*ER$9</f>
        <v>0</v>
      </c>
      <c r="ES209" s="10" t="n">
        <f aca="false">(ES$195-ES$199-ES$207)*ES$9</f>
        <v>0</v>
      </c>
    </row>
    <row r="210" customFormat="false" ht="15" hidden="false" customHeight="false" outlineLevel="0" collapsed="false">
      <c r="A210" s="2" t="s">
        <v>685</v>
      </c>
      <c r="B210" s="6" t="s">
        <v>380</v>
      </c>
      <c r="C210" s="6" t="s">
        <v>212</v>
      </c>
      <c r="E210" s="40" t="n">
        <f aca="false">SUM(F210:ES210)</f>
        <v>0</v>
      </c>
      <c r="F210" s="34" t="n">
        <f aca="false">IF(F$8=1,IF(Reales!$C$46="PYG",IF(F$10&gt;0,N(Reales!F46)/F$10,0),N(Reales!F46)),(SUMIF(Inv_Q,1,Inv_R)+SUMIF(Inv_Q,1,Inv_M)*(1+V_dCapex))*F$9)</f>
        <v>0</v>
      </c>
      <c r="G210" s="34" t="n">
        <f aca="false">IF(G$8=1,IF(Reales!$C$46="PYG",IF(G$10&gt;0,N(Reales!G46)/G$10,0),N(Reales!G46)),(SUMIF(Inv_Q,2,Inv_R)+SUMIF(Inv_Q,2,Inv_M)*(1+V_dCapex))*G$9)</f>
        <v>0</v>
      </c>
      <c r="H210" s="34" t="n">
        <f aca="false">IF(H$8=1,IF(Reales!$C$46="PYG",IF(H$10&gt;0,N(Reales!H46)/H$10,0),N(Reales!H46)),(SUMIF(Inv_Q,3,Inv_R)+SUMIF(Inv_Q,3,Inv_M)*(1+V_dCapex))*H$9)</f>
        <v>0</v>
      </c>
      <c r="I210" s="34" t="n">
        <f aca="false">IF(I$8=1,IF(Reales!$C$46="PYG",IF(I$10&gt;0,N(Reales!I46)/I$10,0),N(Reales!I46)),(SUMIF(Inv_Q,4,Inv_R)+SUMIF(Inv_Q,4,Inv_M)*(1+V_dCapex))*I$9)</f>
        <v>0</v>
      </c>
      <c r="J210" s="34" t="n">
        <f aca="false">IF(J$8=1,IF(Reales!$C$46="PYG",IF(J$10&gt;0,N(Reales!J46)/J$10,0),N(Reales!J46)),(SUMIF(Inv_Q,5,Inv_R)+SUMIF(Inv_Q,5,Inv_M)*(1+V_dCapex))*J$9)</f>
        <v>0</v>
      </c>
      <c r="K210" s="34" t="n">
        <f aca="false">IF(K$8=1,IF(Reales!$C$46="PYG",IF(K$10&gt;0,N(Reales!K46)/K$10,0),N(Reales!K46)),(SUMIF(Inv_Q,6,Inv_R)+SUMIF(Inv_Q,6,Inv_M)*(1+V_dCapex))*K$9)</f>
        <v>0</v>
      </c>
      <c r="L210" s="34" t="n">
        <f aca="false">IF(L$8=1,IF(Reales!$C$46="PYG",IF(L$10&gt;0,N(Reales!L46)/L$10,0),N(Reales!L46)),(SUMIF(Inv_Q,7,Inv_R)+SUMIF(Inv_Q,7,Inv_M)*(1+V_dCapex))*L$9)</f>
        <v>0</v>
      </c>
      <c r="M210" s="34" t="n">
        <f aca="false">IF(M$8=1,IF(Reales!$C$46="PYG",IF(M$10&gt;0,N(Reales!M46)/M$10,0),N(Reales!M46)),(SUMIF(Inv_Q,8,Inv_R)+SUMIF(Inv_Q,8,Inv_M)*(1+V_dCapex))*M$9)</f>
        <v>0</v>
      </c>
      <c r="N210" s="34" t="n">
        <f aca="false">IF(N$8=1,IF(Reales!$C$46="PYG",IF(N$10&gt;0,N(Reales!N46)/N$10,0),N(Reales!N46)),(SUMIF(Inv_Q,9,Inv_R)+SUMIF(Inv_Q,9,Inv_M)*(1+V_dCapex))*N$9)</f>
        <v>0</v>
      </c>
      <c r="O210" s="34" t="n">
        <f aca="false">IF(O$8=1,IF(Reales!$C$46="PYG",IF(O$10&gt;0,N(Reales!O46)/O$10,0),N(Reales!O46)),(SUMIF(Inv_Q,10,Inv_R)+SUMIF(Inv_Q,10,Inv_M)*(1+V_dCapex))*O$9)</f>
        <v>0</v>
      </c>
      <c r="P210" s="34" t="n">
        <f aca="false">IF(P$8=1,IF(Reales!$C$46="PYG",IF(P$10&gt;0,N(Reales!P46)/P$10,0),N(Reales!P46)),(SUMIF(Inv_Q,11,Inv_R)+SUMIF(Inv_Q,11,Inv_M)*(1+V_dCapex))*P$9)</f>
        <v>0</v>
      </c>
      <c r="Q210" s="34" t="n">
        <f aca="false">IF(Q$8=1,IF(Reales!$C$46="PYG",IF(Q$10&gt;0,N(Reales!Q46)/Q$10,0),N(Reales!Q46)),(SUMIF(Inv_Q,12,Inv_R)+SUMIF(Inv_Q,12,Inv_M)*(1+V_dCapex))*Q$9)</f>
        <v>0</v>
      </c>
      <c r="R210" s="34" t="n">
        <f aca="false">IF(R$8=1,IF(Reales!$C$46="PYG",IF(R$10&gt;0,N(Reales!R46)/R$10,0),N(Reales!R46)),(SUMIF(Inv_Q,13,Inv_R)+SUMIF(Inv_Q,13,Inv_M)*(1+V_dCapex))*R$9)</f>
        <v>0</v>
      </c>
      <c r="S210" s="34" t="n">
        <f aca="false">IF(S$8=1,IF(Reales!$C$46="PYG",IF(S$10&gt;0,N(Reales!S46)/S$10,0),N(Reales!S46)),(SUMIF(Inv_Q,14,Inv_R)+SUMIF(Inv_Q,14,Inv_M)*(1+V_dCapex))*S$9)</f>
        <v>0</v>
      </c>
      <c r="T210" s="34" t="n">
        <f aca="false">IF(T$8=1,IF(Reales!$C$46="PYG",IF(T$10&gt;0,N(Reales!T46)/T$10,0),N(Reales!T46)),(SUMIF(Inv_Q,15,Inv_R)+SUMIF(Inv_Q,15,Inv_M)*(1+V_dCapex))*T$9)</f>
        <v>0</v>
      </c>
      <c r="U210" s="34" t="n">
        <f aca="false">IF(U$8=1,IF(Reales!$C$46="PYG",IF(U$10&gt;0,N(Reales!U46)/U$10,0),N(Reales!U46)),(SUMIF(Inv_Q,16,Inv_R)+SUMIF(Inv_Q,16,Inv_M)*(1+V_dCapex))*U$9)</f>
        <v>0</v>
      </c>
      <c r="V210" s="34" t="n">
        <f aca="false">IF(V$8=1,IF(Reales!$C$46="PYG",IF(V$10&gt;0,N(Reales!V46)/V$10,0),N(Reales!V46)),(SUMIF(Inv_Q,17,Inv_R)+SUMIF(Inv_Q,17,Inv_M)*(1+V_dCapex))*V$9)</f>
        <v>0</v>
      </c>
      <c r="W210" s="34" t="n">
        <f aca="false">IF(W$8=1,IF(Reales!$C$46="PYG",IF(W$10&gt;0,N(Reales!W46)/W$10,0),N(Reales!W46)),(SUMIF(Inv_Q,18,Inv_R)+SUMIF(Inv_Q,18,Inv_M)*(1+V_dCapex))*W$9)</f>
        <v>0</v>
      </c>
      <c r="X210" s="34" t="n">
        <f aca="false">IF(X$8=1,IF(Reales!$C$46="PYG",IF(X$10&gt;0,N(Reales!X46)/X$10,0),N(Reales!X46)),(SUMIF(Inv_Q,19,Inv_R)+SUMIF(Inv_Q,19,Inv_M)*(1+V_dCapex))*X$9)</f>
        <v>0</v>
      </c>
      <c r="Y210" s="34" t="n">
        <f aca="false">IF(Y$8=1,IF(Reales!$C$46="PYG",IF(Y$10&gt;0,N(Reales!Y46)/Y$10,0),N(Reales!Y46)),(SUMIF(Inv_Q,20,Inv_R)+SUMIF(Inv_Q,20,Inv_M)*(1+V_dCapex))*Y$9)</f>
        <v>0</v>
      </c>
      <c r="Z210" s="34" t="n">
        <f aca="false">IF(Z$8=1,IF(Reales!$C$46="PYG",IF(Z$10&gt;0,N(Reales!Z46)/Z$10,0),N(Reales!Z46)),(SUMIF(Inv_Q,21,Inv_R)+SUMIF(Inv_Q,21,Inv_M)*(1+V_dCapex))*Z$9)</f>
        <v>0</v>
      </c>
      <c r="AA210" s="34" t="n">
        <f aca="false">IF(AA$8=1,IF(Reales!$C$46="PYG",IF(AA$10&gt;0,N(Reales!AA46)/AA$10,0),N(Reales!AA46)),(SUMIF(Inv_Q,22,Inv_R)+SUMIF(Inv_Q,22,Inv_M)*(1+V_dCapex))*AA$9)</f>
        <v>0</v>
      </c>
      <c r="AB210" s="34" t="n">
        <f aca="false">IF(AB$8=1,IF(Reales!$C$46="PYG",IF(AB$10&gt;0,N(Reales!AB46)/AB$10,0),N(Reales!AB46)),(SUMIF(Inv_Q,23,Inv_R)+SUMIF(Inv_Q,23,Inv_M)*(1+V_dCapex))*AB$9)</f>
        <v>0</v>
      </c>
      <c r="AC210" s="34" t="n">
        <f aca="false">IF(AC$8=1,IF(Reales!$C$46="PYG",IF(AC$10&gt;0,N(Reales!AC46)/AC$10,0),N(Reales!AC46)),(SUMIF(Inv_Q,24,Inv_R)+SUMIF(Inv_Q,24,Inv_M)*(1+V_dCapex))*AC$9)</f>
        <v>0</v>
      </c>
      <c r="AD210" s="34" t="n">
        <f aca="false">IF(AD$8=1,IF(Reales!$C$46="PYG",IF(AD$10&gt;0,N(Reales!AD46)/AD$10,0),N(Reales!AD46)),(SUMIF(Inv_Q,25,Inv_R)+SUMIF(Inv_Q,25,Inv_M)*(1+V_dCapex))*AD$9)</f>
        <v>0</v>
      </c>
      <c r="AE210" s="34" t="n">
        <f aca="false">IF(AE$8=1,IF(Reales!$C$46="PYG",IF(AE$10&gt;0,N(Reales!AE46)/AE$10,0),N(Reales!AE46)),(SUMIF(Inv_Q,26,Inv_R)+SUMIF(Inv_Q,26,Inv_M)*(1+V_dCapex))*AE$9)</f>
        <v>0</v>
      </c>
      <c r="AF210" s="34" t="n">
        <f aca="false">IF(AF$8=1,IF(Reales!$C$46="PYG",IF(AF$10&gt;0,N(Reales!AF46)/AF$10,0),N(Reales!AF46)),(SUMIF(Inv_Q,27,Inv_R)+SUMIF(Inv_Q,27,Inv_M)*(1+V_dCapex))*AF$9)</f>
        <v>0</v>
      </c>
      <c r="AG210" s="34" t="n">
        <f aca="false">IF(AG$8=1,IF(Reales!$C$46="PYG",IF(AG$10&gt;0,N(Reales!AG46)/AG$10,0),N(Reales!AG46)),(SUMIF(Inv_Q,28,Inv_R)+SUMIF(Inv_Q,28,Inv_M)*(1+V_dCapex))*AG$9)</f>
        <v>0</v>
      </c>
      <c r="AH210" s="34" t="n">
        <f aca="false">IF(AH$8=1,IF(Reales!$C$46="PYG",IF(AH$10&gt;0,N(Reales!AH46)/AH$10,0),N(Reales!AH46)),(SUMIF(Inv_Q,29,Inv_R)+SUMIF(Inv_Q,29,Inv_M)*(1+V_dCapex))*AH$9)</f>
        <v>0</v>
      </c>
      <c r="AI210" s="34" t="n">
        <f aca="false">IF(AI$8=1,IF(Reales!$C$46="PYG",IF(AI$10&gt;0,N(Reales!AI46)/AI$10,0),N(Reales!AI46)),(SUMIF(Inv_Q,30,Inv_R)+SUMIF(Inv_Q,30,Inv_M)*(1+V_dCapex))*AI$9)</f>
        <v>0</v>
      </c>
      <c r="AJ210" s="34" t="n">
        <f aca="false">IF(AJ$8=1,IF(Reales!$C$46="PYG",IF(AJ$10&gt;0,N(Reales!AJ46)/AJ$10,0),N(Reales!AJ46)),(SUMIF(Inv_Q,31,Inv_R)+SUMIF(Inv_Q,31,Inv_M)*(1+V_dCapex))*AJ$9)</f>
        <v>0</v>
      </c>
      <c r="AK210" s="34" t="n">
        <f aca="false">IF(AK$8=1,IF(Reales!$C$46="PYG",IF(AK$10&gt;0,N(Reales!AK46)/AK$10,0),N(Reales!AK46)),(SUMIF(Inv_Q,32,Inv_R)+SUMIF(Inv_Q,32,Inv_M)*(1+V_dCapex))*AK$9)</f>
        <v>0</v>
      </c>
      <c r="AL210" s="34" t="n">
        <f aca="false">IF(AL$8=1,IF(Reales!$C$46="PYG",IF(AL$10&gt;0,N(Reales!AL46)/AL$10,0),N(Reales!AL46)),(SUMIF(Inv_Q,33,Inv_R)+SUMIF(Inv_Q,33,Inv_M)*(1+V_dCapex))*AL$9)</f>
        <v>0</v>
      </c>
      <c r="AM210" s="34" t="n">
        <f aca="false">IF(AM$8=1,IF(Reales!$C$46="PYG",IF(AM$10&gt;0,N(Reales!AM46)/AM$10,0),N(Reales!AM46)),(SUMIF(Inv_Q,34,Inv_R)+SUMIF(Inv_Q,34,Inv_M)*(1+V_dCapex))*AM$9)</f>
        <v>0</v>
      </c>
      <c r="AN210" s="34" t="n">
        <f aca="false">IF(AN$8=1,IF(Reales!$C$46="PYG",IF(AN$10&gt;0,N(Reales!AN46)/AN$10,0),N(Reales!AN46)),(SUMIF(Inv_Q,35,Inv_R)+SUMIF(Inv_Q,35,Inv_M)*(1+V_dCapex))*AN$9)</f>
        <v>0</v>
      </c>
      <c r="AO210" s="34" t="n">
        <f aca="false">IF(AO$8=1,IF(Reales!$C$46="PYG",IF(AO$10&gt;0,N(Reales!AO46)/AO$10,0),N(Reales!AO46)),(SUMIF(Inv_Q,36,Inv_R)+SUMIF(Inv_Q,36,Inv_M)*(1+V_dCapex))*AO$9)</f>
        <v>0</v>
      </c>
      <c r="AP210" s="34" t="n">
        <f aca="false">IF(AP$8=1,IF(Reales!$C$46="PYG",IF(AP$10&gt;0,N(Reales!AP46)/AP$10,0),N(Reales!AP46)),(SUMIF(Inv_Q,37,Inv_R)+SUMIF(Inv_Q,37,Inv_M)*(1+V_dCapex))*AP$9)</f>
        <v>0</v>
      </c>
      <c r="AQ210" s="34" t="n">
        <f aca="false">IF(AQ$8=1,IF(Reales!$C$46="PYG",IF(AQ$10&gt;0,N(Reales!AQ46)/AQ$10,0),N(Reales!AQ46)),(SUMIF(Inv_Q,38,Inv_R)+SUMIF(Inv_Q,38,Inv_M)*(1+V_dCapex))*AQ$9)</f>
        <v>0</v>
      </c>
      <c r="AR210" s="34" t="n">
        <f aca="false">IF(AR$8=1,IF(Reales!$C$46="PYG",IF(AR$10&gt;0,N(Reales!AR46)/AR$10,0),N(Reales!AR46)),(SUMIF(Inv_Q,39,Inv_R)+SUMIF(Inv_Q,39,Inv_M)*(1+V_dCapex))*AR$9)</f>
        <v>0</v>
      </c>
      <c r="AS210" s="34" t="n">
        <f aca="false">IF(AS$8=1,IF(Reales!$C$46="PYG",IF(AS$10&gt;0,N(Reales!AS46)/AS$10,0),N(Reales!AS46)),(SUMIF(Inv_Q,40,Inv_R)+SUMIF(Inv_Q,40,Inv_M)*(1+V_dCapex))*AS$9)</f>
        <v>0</v>
      </c>
      <c r="AT210" s="34" t="n">
        <f aca="false">IF(AT$8=1,IF(Reales!$C$46="PYG",IF(AT$10&gt;0,N(Reales!AT46)/AT$10,0),N(Reales!AT46)),(SUMIF(Inv_Q,41,Inv_R)+SUMIF(Inv_Q,41,Inv_M)*(1+V_dCapex))*AT$9)</f>
        <v>0</v>
      </c>
      <c r="AU210" s="34" t="n">
        <f aca="false">IF(AU$8=1,IF(Reales!$C$46="PYG",IF(AU$10&gt;0,N(Reales!AU46)/AU$10,0),N(Reales!AU46)),(SUMIF(Inv_Q,42,Inv_R)+SUMIF(Inv_Q,42,Inv_M)*(1+V_dCapex))*AU$9)</f>
        <v>0</v>
      </c>
      <c r="AV210" s="34" t="n">
        <f aca="false">IF(AV$8=1,IF(Reales!$C$46="PYG",IF(AV$10&gt;0,N(Reales!AV46)/AV$10,0),N(Reales!AV46)),(SUMIF(Inv_Q,43,Inv_R)+SUMIF(Inv_Q,43,Inv_M)*(1+V_dCapex))*AV$9)</f>
        <v>0</v>
      </c>
      <c r="AW210" s="34" t="n">
        <f aca="false">IF(AW$8=1,IF(Reales!$C$46="PYG",IF(AW$10&gt;0,N(Reales!AW46)/AW$10,0),N(Reales!AW46)),(SUMIF(Inv_Q,44,Inv_R)+SUMIF(Inv_Q,44,Inv_M)*(1+V_dCapex))*AW$9)</f>
        <v>0</v>
      </c>
      <c r="AX210" s="34" t="n">
        <f aca="false">IF(AX$8=1,IF(Reales!$C$46="PYG",IF(AX$10&gt;0,N(Reales!AX46)/AX$10,0),N(Reales!AX46)),(SUMIF(Inv_Q,45,Inv_R)+SUMIF(Inv_Q,45,Inv_M)*(1+V_dCapex))*AX$9)</f>
        <v>0</v>
      </c>
      <c r="AY210" s="34" t="n">
        <f aca="false">IF(AY$8=1,IF(Reales!$C$46="PYG",IF(AY$10&gt;0,N(Reales!AY46)/AY$10,0),N(Reales!AY46)),(SUMIF(Inv_Q,46,Inv_R)+SUMIF(Inv_Q,46,Inv_M)*(1+V_dCapex))*AY$9)</f>
        <v>0</v>
      </c>
      <c r="AZ210" s="34" t="n">
        <f aca="false">IF(AZ$8=1,IF(Reales!$C$46="PYG",IF(AZ$10&gt;0,N(Reales!AZ46)/AZ$10,0),N(Reales!AZ46)),(SUMIF(Inv_Q,47,Inv_R)+SUMIF(Inv_Q,47,Inv_M)*(1+V_dCapex))*AZ$9)</f>
        <v>0</v>
      </c>
      <c r="BA210" s="34" t="n">
        <f aca="false">IF(BA$8=1,IF(Reales!$C$46="PYG",IF(BA$10&gt;0,N(Reales!BA46)/BA$10,0),N(Reales!BA46)),(SUMIF(Inv_Q,48,Inv_R)+SUMIF(Inv_Q,48,Inv_M)*(1+V_dCapex))*BA$9)</f>
        <v>0</v>
      </c>
      <c r="BB210" s="34" t="n">
        <f aca="false">IF(BB$8=1,IF(Reales!$C$46="PYG",IF(BB$10&gt;0,N(Reales!BB46)/BB$10,0),N(Reales!BB46)),(SUMIF(Inv_Q,49,Inv_R)+SUMIF(Inv_Q,49,Inv_M)*(1+V_dCapex))*BB$9)</f>
        <v>0</v>
      </c>
      <c r="BC210" s="34" t="n">
        <f aca="false">IF(BC$8=1,IF(Reales!$C$46="PYG",IF(BC$10&gt;0,N(Reales!BC46)/BC$10,0),N(Reales!BC46)),(SUMIF(Inv_Q,50,Inv_R)+SUMIF(Inv_Q,50,Inv_M)*(1+V_dCapex))*BC$9)</f>
        <v>0</v>
      </c>
      <c r="BD210" s="34" t="n">
        <f aca="false">IF(BD$8=1,IF(Reales!$C$46="PYG",IF(BD$10&gt;0,N(Reales!BD46)/BD$10,0),N(Reales!BD46)),(SUMIF(Inv_Q,51,Inv_R)+SUMIF(Inv_Q,51,Inv_M)*(1+V_dCapex))*BD$9)</f>
        <v>0</v>
      </c>
      <c r="BE210" s="34" t="n">
        <f aca="false">IF(BE$8=1,IF(Reales!$C$46="PYG",IF(BE$10&gt;0,N(Reales!BE46)/BE$10,0),N(Reales!BE46)),(SUMIF(Inv_Q,52,Inv_R)+SUMIF(Inv_Q,52,Inv_M)*(1+V_dCapex))*BE$9)</f>
        <v>0</v>
      </c>
      <c r="BF210" s="34" t="n">
        <f aca="false">IF(BF$8=1,IF(Reales!$C$46="PYG",IF(BF$10&gt;0,N(Reales!BF46)/BF$10,0),N(Reales!BF46)),(SUMIF(Inv_Q,53,Inv_R)+SUMIF(Inv_Q,53,Inv_M)*(1+V_dCapex))*BF$9)</f>
        <v>0</v>
      </c>
      <c r="BG210" s="34" t="n">
        <f aca="false">IF(BG$8=1,IF(Reales!$C$46="PYG",IF(BG$10&gt;0,N(Reales!BG46)/BG$10,0),N(Reales!BG46)),(SUMIF(Inv_Q,54,Inv_R)+SUMIF(Inv_Q,54,Inv_M)*(1+V_dCapex))*BG$9)</f>
        <v>0</v>
      </c>
      <c r="BH210" s="34" t="n">
        <f aca="false">IF(BH$8=1,IF(Reales!$C$46="PYG",IF(BH$10&gt;0,N(Reales!BH46)/BH$10,0),N(Reales!BH46)),(SUMIF(Inv_Q,55,Inv_R)+SUMIF(Inv_Q,55,Inv_M)*(1+V_dCapex))*BH$9)</f>
        <v>0</v>
      </c>
      <c r="BI210" s="34" t="n">
        <f aca="false">IF(BI$8=1,IF(Reales!$C$46="PYG",IF(BI$10&gt;0,N(Reales!BI46)/BI$10,0),N(Reales!BI46)),(SUMIF(Inv_Q,56,Inv_R)+SUMIF(Inv_Q,56,Inv_M)*(1+V_dCapex))*BI$9)</f>
        <v>0</v>
      </c>
      <c r="BJ210" s="34" t="n">
        <f aca="false">IF(BJ$8=1,IF(Reales!$C$46="PYG",IF(BJ$10&gt;0,N(Reales!BJ46)/BJ$10,0),N(Reales!BJ46)),(SUMIF(Inv_Q,57,Inv_R)+SUMIF(Inv_Q,57,Inv_M)*(1+V_dCapex))*BJ$9)</f>
        <v>0</v>
      </c>
      <c r="BK210" s="34" t="n">
        <f aca="false">IF(BK$8=1,IF(Reales!$C$46="PYG",IF(BK$10&gt;0,N(Reales!BK46)/BK$10,0),N(Reales!BK46)),(SUMIF(Inv_Q,58,Inv_R)+SUMIF(Inv_Q,58,Inv_M)*(1+V_dCapex))*BK$9)</f>
        <v>0</v>
      </c>
      <c r="BL210" s="34" t="n">
        <f aca="false">IF(BL$8=1,IF(Reales!$C$46="PYG",IF(BL$10&gt;0,N(Reales!BL46)/BL$10,0),N(Reales!BL46)),(SUMIF(Inv_Q,59,Inv_R)+SUMIF(Inv_Q,59,Inv_M)*(1+V_dCapex))*BL$9)</f>
        <v>0</v>
      </c>
      <c r="BM210" s="34" t="n">
        <f aca="false">IF(BM$8=1,IF(Reales!$C$46="PYG",IF(BM$10&gt;0,N(Reales!BM46)/BM$10,0),N(Reales!BM46)),(SUMIF(Inv_Q,60,Inv_R)+SUMIF(Inv_Q,60,Inv_M)*(1+V_dCapex))*BM$9)</f>
        <v>0</v>
      </c>
      <c r="BN210" s="34" t="n">
        <f aca="false">IF(BN$8=1,IF(Reales!$C$46="PYG",IF(BN$10&gt;0,N(Reales!BN46)/BN$10,0),N(Reales!BN46)),(SUMIF(Inv_Q,61,Inv_R)+SUMIF(Inv_Q,61,Inv_M)*(1+V_dCapex))*BN$9)</f>
        <v>0</v>
      </c>
      <c r="BO210" s="34" t="n">
        <f aca="false">IF(BO$8=1,IF(Reales!$C$46="PYG",IF(BO$10&gt;0,N(Reales!BO46)/BO$10,0),N(Reales!BO46)),(SUMIF(Inv_Q,62,Inv_R)+SUMIF(Inv_Q,62,Inv_M)*(1+V_dCapex))*BO$9)</f>
        <v>0</v>
      </c>
      <c r="BP210" s="34" t="n">
        <f aca="false">IF(BP$8=1,IF(Reales!$C$46="PYG",IF(BP$10&gt;0,N(Reales!BP46)/BP$10,0),N(Reales!BP46)),(SUMIF(Inv_Q,63,Inv_R)+SUMIF(Inv_Q,63,Inv_M)*(1+V_dCapex))*BP$9)</f>
        <v>0</v>
      </c>
      <c r="BQ210" s="34" t="n">
        <f aca="false">IF(BQ$8=1,IF(Reales!$C$46="PYG",IF(BQ$10&gt;0,N(Reales!BQ46)/BQ$10,0),N(Reales!BQ46)),(SUMIF(Inv_Q,64,Inv_R)+SUMIF(Inv_Q,64,Inv_M)*(1+V_dCapex))*BQ$9)</f>
        <v>0</v>
      </c>
      <c r="BR210" s="34" t="n">
        <f aca="false">IF(BR$8=1,IF(Reales!$C$46="PYG",IF(BR$10&gt;0,N(Reales!BR46)/BR$10,0),N(Reales!BR46)),(SUMIF(Inv_Q,65,Inv_R)+SUMIF(Inv_Q,65,Inv_M)*(1+V_dCapex))*BR$9)</f>
        <v>0</v>
      </c>
      <c r="BS210" s="34" t="n">
        <f aca="false">IF(BS$8=1,IF(Reales!$C$46="PYG",IF(BS$10&gt;0,N(Reales!BS46)/BS$10,0),N(Reales!BS46)),(SUMIF(Inv_Q,66,Inv_R)+SUMIF(Inv_Q,66,Inv_M)*(1+V_dCapex))*BS$9)</f>
        <v>0</v>
      </c>
      <c r="BT210" s="34" t="n">
        <f aca="false">IF(BT$8=1,IF(Reales!$C$46="PYG",IF(BT$10&gt;0,N(Reales!BT46)/BT$10,0),N(Reales!BT46)),(SUMIF(Inv_Q,67,Inv_R)+SUMIF(Inv_Q,67,Inv_M)*(1+V_dCapex))*BT$9)</f>
        <v>0</v>
      </c>
      <c r="BU210" s="34" t="n">
        <f aca="false">IF(BU$8=1,IF(Reales!$C$46="PYG",IF(BU$10&gt;0,N(Reales!BU46)/BU$10,0),N(Reales!BU46)),(SUMIF(Inv_Q,68,Inv_R)+SUMIF(Inv_Q,68,Inv_M)*(1+V_dCapex))*BU$9)</f>
        <v>0</v>
      </c>
      <c r="BV210" s="34" t="n">
        <f aca="false">IF(BV$8=1,IF(Reales!$C$46="PYG",IF(BV$10&gt;0,N(Reales!BV46)/BV$10,0),N(Reales!BV46)),(SUMIF(Inv_Q,69,Inv_R)+SUMIF(Inv_Q,69,Inv_M)*(1+V_dCapex))*BV$9)</f>
        <v>0</v>
      </c>
      <c r="BW210" s="34" t="n">
        <f aca="false">IF(BW$8=1,IF(Reales!$C$46="PYG",IF(BW$10&gt;0,N(Reales!BW46)/BW$10,0),N(Reales!BW46)),(SUMIF(Inv_Q,70,Inv_R)+SUMIF(Inv_Q,70,Inv_M)*(1+V_dCapex))*BW$9)</f>
        <v>0</v>
      </c>
      <c r="BX210" s="34" t="n">
        <f aca="false">IF(BX$8=1,IF(Reales!$C$46="PYG",IF(BX$10&gt;0,N(Reales!BX46)/BX$10,0),N(Reales!BX46)),(SUMIF(Inv_Q,71,Inv_R)+SUMIF(Inv_Q,71,Inv_M)*(1+V_dCapex))*BX$9)</f>
        <v>0</v>
      </c>
      <c r="BY210" s="34" t="n">
        <f aca="false">IF(BY$8=1,IF(Reales!$C$46="PYG",IF(BY$10&gt;0,N(Reales!BY46)/BY$10,0),N(Reales!BY46)),(SUMIF(Inv_Q,72,Inv_R)+SUMIF(Inv_Q,72,Inv_M)*(1+V_dCapex))*BY$9)</f>
        <v>0</v>
      </c>
      <c r="BZ210" s="34" t="n">
        <f aca="false">IF(BZ$8=1,IF(Reales!$C$46="PYG",IF(BZ$10&gt;0,N(Reales!BZ46)/BZ$10,0),N(Reales!BZ46)),(SUMIF(Inv_Q,73,Inv_R)+SUMIF(Inv_Q,73,Inv_M)*(1+V_dCapex))*BZ$9)</f>
        <v>0</v>
      </c>
      <c r="CA210" s="34" t="n">
        <f aca="false">IF(CA$8=1,IF(Reales!$C$46="PYG",IF(CA$10&gt;0,N(Reales!CA46)/CA$10,0),N(Reales!CA46)),(SUMIF(Inv_Q,74,Inv_R)+SUMIF(Inv_Q,74,Inv_M)*(1+V_dCapex))*CA$9)</f>
        <v>0</v>
      </c>
      <c r="CB210" s="34" t="n">
        <f aca="false">IF(CB$8=1,IF(Reales!$C$46="PYG",IF(CB$10&gt;0,N(Reales!CB46)/CB$10,0),N(Reales!CB46)),(SUMIF(Inv_Q,75,Inv_R)+SUMIF(Inv_Q,75,Inv_M)*(1+V_dCapex))*CB$9)</f>
        <v>0</v>
      </c>
      <c r="CC210" s="34" t="n">
        <f aca="false">IF(CC$8=1,IF(Reales!$C$46="PYG",IF(CC$10&gt;0,N(Reales!CC46)/CC$10,0),N(Reales!CC46)),(SUMIF(Inv_Q,76,Inv_R)+SUMIF(Inv_Q,76,Inv_M)*(1+V_dCapex))*CC$9)</f>
        <v>0</v>
      </c>
      <c r="CD210" s="34" t="n">
        <f aca="false">IF(CD$8=1,IF(Reales!$C$46="PYG",IF(CD$10&gt;0,N(Reales!CD46)/CD$10,0),N(Reales!CD46)),(SUMIF(Inv_Q,77,Inv_R)+SUMIF(Inv_Q,77,Inv_M)*(1+V_dCapex))*CD$9)</f>
        <v>0</v>
      </c>
      <c r="CE210" s="34" t="n">
        <f aca="false">IF(CE$8=1,IF(Reales!$C$46="PYG",IF(CE$10&gt;0,N(Reales!CE46)/CE$10,0),N(Reales!CE46)),(SUMIF(Inv_Q,78,Inv_R)+SUMIF(Inv_Q,78,Inv_M)*(1+V_dCapex))*CE$9)</f>
        <v>0</v>
      </c>
      <c r="CF210" s="34" t="n">
        <f aca="false">IF(CF$8=1,IF(Reales!$C$46="PYG",IF(CF$10&gt;0,N(Reales!CF46)/CF$10,0),N(Reales!CF46)),(SUMIF(Inv_Q,79,Inv_R)+SUMIF(Inv_Q,79,Inv_M)*(1+V_dCapex))*CF$9)</f>
        <v>0</v>
      </c>
      <c r="CG210" s="34" t="n">
        <f aca="false">IF(CG$8=1,IF(Reales!$C$46="PYG",IF(CG$10&gt;0,N(Reales!CG46)/CG$10,0),N(Reales!CG46)),(SUMIF(Inv_Q,80,Inv_R)+SUMIF(Inv_Q,80,Inv_M)*(1+V_dCapex))*CG$9)</f>
        <v>0</v>
      </c>
      <c r="CH210" s="34" t="n">
        <f aca="false">IF(CH$8=1,IF(Reales!$C$46="PYG",IF(CH$10&gt;0,N(Reales!CH46)/CH$10,0),N(Reales!CH46)),(SUMIF(Inv_Q,81,Inv_R)+SUMIF(Inv_Q,81,Inv_M)*(1+V_dCapex))*CH$9)</f>
        <v>0</v>
      </c>
      <c r="CI210" s="34" t="n">
        <f aca="false">IF(CI$8=1,IF(Reales!$C$46="PYG",IF(CI$10&gt;0,N(Reales!CI46)/CI$10,0),N(Reales!CI46)),(SUMIF(Inv_Q,82,Inv_R)+SUMIF(Inv_Q,82,Inv_M)*(1+V_dCapex))*CI$9)</f>
        <v>0</v>
      </c>
      <c r="CJ210" s="34" t="n">
        <f aca="false">IF(CJ$8=1,IF(Reales!$C$46="PYG",IF(CJ$10&gt;0,N(Reales!CJ46)/CJ$10,0),N(Reales!CJ46)),(SUMIF(Inv_Q,83,Inv_R)+SUMIF(Inv_Q,83,Inv_M)*(1+V_dCapex))*CJ$9)</f>
        <v>0</v>
      </c>
      <c r="CK210" s="34" t="n">
        <f aca="false">IF(CK$8=1,IF(Reales!$C$46="PYG",IF(CK$10&gt;0,N(Reales!CK46)/CK$10,0),N(Reales!CK46)),(SUMIF(Inv_Q,84,Inv_R)+SUMIF(Inv_Q,84,Inv_M)*(1+V_dCapex))*CK$9)</f>
        <v>0</v>
      </c>
      <c r="CL210" s="34" t="n">
        <f aca="false">IF(CL$8=1,IF(Reales!$C$46="PYG",IF(CL$10&gt;0,N(Reales!CL46)/CL$10,0),N(Reales!CL46)),(SUMIF(Inv_Q,85,Inv_R)+SUMIF(Inv_Q,85,Inv_M)*(1+V_dCapex))*CL$9)</f>
        <v>0</v>
      </c>
      <c r="CM210" s="34" t="n">
        <f aca="false">IF(CM$8=1,IF(Reales!$C$46="PYG",IF(CM$10&gt;0,N(Reales!CM46)/CM$10,0),N(Reales!CM46)),(SUMIF(Inv_Q,86,Inv_R)+SUMIF(Inv_Q,86,Inv_M)*(1+V_dCapex))*CM$9)</f>
        <v>0</v>
      </c>
      <c r="CN210" s="34" t="n">
        <f aca="false">IF(CN$8=1,IF(Reales!$C$46="PYG",IF(CN$10&gt;0,N(Reales!CN46)/CN$10,0),N(Reales!CN46)),(SUMIF(Inv_Q,87,Inv_R)+SUMIF(Inv_Q,87,Inv_M)*(1+V_dCapex))*CN$9)</f>
        <v>0</v>
      </c>
      <c r="CO210" s="34" t="n">
        <f aca="false">IF(CO$8=1,IF(Reales!$C$46="PYG",IF(CO$10&gt;0,N(Reales!CO46)/CO$10,0),N(Reales!CO46)),(SUMIF(Inv_Q,88,Inv_R)+SUMIF(Inv_Q,88,Inv_M)*(1+V_dCapex))*CO$9)</f>
        <v>0</v>
      </c>
      <c r="CP210" s="34" t="n">
        <f aca="false">IF(CP$8=1,IF(Reales!$C$46="PYG",IF(CP$10&gt;0,N(Reales!CP46)/CP$10,0),N(Reales!CP46)),(SUMIF(Inv_Q,89,Inv_R)+SUMIF(Inv_Q,89,Inv_M)*(1+V_dCapex))*CP$9)</f>
        <v>0</v>
      </c>
      <c r="CQ210" s="34" t="n">
        <f aca="false">IF(CQ$8=1,IF(Reales!$C$46="PYG",IF(CQ$10&gt;0,N(Reales!CQ46)/CQ$10,0),N(Reales!CQ46)),(SUMIF(Inv_Q,90,Inv_R)+SUMIF(Inv_Q,90,Inv_M)*(1+V_dCapex))*CQ$9)</f>
        <v>0</v>
      </c>
      <c r="CR210" s="34" t="n">
        <f aca="false">IF(CR$8=1,IF(Reales!$C$46="PYG",IF(CR$10&gt;0,N(Reales!CR46)/CR$10,0),N(Reales!CR46)),(SUMIF(Inv_Q,91,Inv_R)+SUMIF(Inv_Q,91,Inv_M)*(1+V_dCapex))*CR$9)</f>
        <v>0</v>
      </c>
      <c r="CS210" s="34" t="n">
        <f aca="false">IF(CS$8=1,IF(Reales!$C$46="PYG",IF(CS$10&gt;0,N(Reales!CS46)/CS$10,0),N(Reales!CS46)),(SUMIF(Inv_Q,92,Inv_R)+SUMIF(Inv_Q,92,Inv_M)*(1+V_dCapex))*CS$9)</f>
        <v>0</v>
      </c>
      <c r="CT210" s="34" t="n">
        <f aca="false">IF(CT$8=1,IF(Reales!$C$46="PYG",IF(CT$10&gt;0,N(Reales!CT46)/CT$10,0),N(Reales!CT46)),(SUMIF(Inv_Q,93,Inv_R)+SUMIF(Inv_Q,93,Inv_M)*(1+V_dCapex))*CT$9)</f>
        <v>0</v>
      </c>
      <c r="CU210" s="34" t="n">
        <f aca="false">IF(CU$8=1,IF(Reales!$C$46="PYG",IF(CU$10&gt;0,N(Reales!CU46)/CU$10,0),N(Reales!CU46)),(SUMIF(Inv_Q,94,Inv_R)+SUMIF(Inv_Q,94,Inv_M)*(1+V_dCapex))*CU$9)</f>
        <v>0</v>
      </c>
      <c r="CV210" s="34" t="n">
        <f aca="false">IF(CV$8=1,IF(Reales!$C$46="PYG",IF(CV$10&gt;0,N(Reales!CV46)/CV$10,0),N(Reales!CV46)),(SUMIF(Inv_Q,95,Inv_R)+SUMIF(Inv_Q,95,Inv_M)*(1+V_dCapex))*CV$9)</f>
        <v>0</v>
      </c>
      <c r="CW210" s="34" t="n">
        <f aca="false">IF(CW$8=1,IF(Reales!$C$46="PYG",IF(CW$10&gt;0,N(Reales!CW46)/CW$10,0),N(Reales!CW46)),(SUMIF(Inv_Q,96,Inv_R)+SUMIF(Inv_Q,96,Inv_M)*(1+V_dCapex))*CW$9)</f>
        <v>0</v>
      </c>
      <c r="CX210" s="34" t="n">
        <f aca="false">IF(CX$8=1,IF(Reales!$C$46="PYG",IF(CX$10&gt;0,N(Reales!CX46)/CX$10,0),N(Reales!CX46)),(SUMIF(Inv_Q,97,Inv_R)+SUMIF(Inv_Q,97,Inv_M)*(1+V_dCapex))*CX$9)</f>
        <v>0</v>
      </c>
      <c r="CY210" s="34" t="n">
        <f aca="false">IF(CY$8=1,IF(Reales!$C$46="PYG",IF(CY$10&gt;0,N(Reales!CY46)/CY$10,0),N(Reales!CY46)),(SUMIF(Inv_Q,98,Inv_R)+SUMIF(Inv_Q,98,Inv_M)*(1+V_dCapex))*CY$9)</f>
        <v>0</v>
      </c>
      <c r="CZ210" s="34" t="n">
        <f aca="false">IF(CZ$8=1,IF(Reales!$C$46="PYG",IF(CZ$10&gt;0,N(Reales!CZ46)/CZ$10,0),N(Reales!CZ46)),(SUMIF(Inv_Q,99,Inv_R)+SUMIF(Inv_Q,99,Inv_M)*(1+V_dCapex))*CZ$9)</f>
        <v>0</v>
      </c>
      <c r="DA210" s="34" t="n">
        <f aca="false">IF(DA$8=1,IF(Reales!$C$46="PYG",IF(DA$10&gt;0,N(Reales!DA46)/DA$10,0),N(Reales!DA46)),(SUMIF(Inv_Q,100,Inv_R)+SUMIF(Inv_Q,100,Inv_M)*(1+V_dCapex))*DA$9)</f>
        <v>0</v>
      </c>
      <c r="DB210" s="34" t="n">
        <f aca="false">IF(DB$8=1,IF(Reales!$C$46="PYG",IF(DB$10&gt;0,N(Reales!DB46)/DB$10,0),N(Reales!DB46)),(SUMIF(Inv_Q,101,Inv_R)+SUMIF(Inv_Q,101,Inv_M)*(1+V_dCapex))*DB$9)</f>
        <v>0</v>
      </c>
      <c r="DC210" s="34" t="n">
        <f aca="false">IF(DC$8=1,IF(Reales!$C$46="PYG",IF(DC$10&gt;0,N(Reales!DC46)/DC$10,0),N(Reales!DC46)),(SUMIF(Inv_Q,102,Inv_R)+SUMIF(Inv_Q,102,Inv_M)*(1+V_dCapex))*DC$9)</f>
        <v>0</v>
      </c>
      <c r="DD210" s="34" t="n">
        <f aca="false">IF(DD$8=1,IF(Reales!$C$46="PYG",IF(DD$10&gt;0,N(Reales!DD46)/DD$10,0),N(Reales!DD46)),(SUMIF(Inv_Q,103,Inv_R)+SUMIF(Inv_Q,103,Inv_M)*(1+V_dCapex))*DD$9)</f>
        <v>0</v>
      </c>
      <c r="DE210" s="34" t="n">
        <f aca="false">IF(DE$8=1,IF(Reales!$C$46="PYG",IF(DE$10&gt;0,N(Reales!DE46)/DE$10,0),N(Reales!DE46)),(SUMIF(Inv_Q,104,Inv_R)+SUMIF(Inv_Q,104,Inv_M)*(1+V_dCapex))*DE$9)</f>
        <v>0</v>
      </c>
      <c r="DF210" s="34" t="n">
        <f aca="false">IF(DF$8=1,IF(Reales!$C$46="PYG",IF(DF$10&gt;0,N(Reales!DF46)/DF$10,0),N(Reales!DF46)),(SUMIF(Inv_Q,105,Inv_R)+SUMIF(Inv_Q,105,Inv_M)*(1+V_dCapex))*DF$9)</f>
        <v>0</v>
      </c>
      <c r="DG210" s="34" t="n">
        <f aca="false">IF(DG$8=1,IF(Reales!$C$46="PYG",IF(DG$10&gt;0,N(Reales!DG46)/DG$10,0),N(Reales!DG46)),(SUMIF(Inv_Q,106,Inv_R)+SUMIF(Inv_Q,106,Inv_M)*(1+V_dCapex))*DG$9)</f>
        <v>0</v>
      </c>
      <c r="DH210" s="34" t="n">
        <f aca="false">IF(DH$8=1,IF(Reales!$C$46="PYG",IF(DH$10&gt;0,N(Reales!DH46)/DH$10,0),N(Reales!DH46)),(SUMIF(Inv_Q,107,Inv_R)+SUMIF(Inv_Q,107,Inv_M)*(1+V_dCapex))*DH$9)</f>
        <v>0</v>
      </c>
      <c r="DI210" s="34" t="n">
        <f aca="false">IF(DI$8=1,IF(Reales!$C$46="PYG",IF(DI$10&gt;0,N(Reales!DI46)/DI$10,0),N(Reales!DI46)),(SUMIF(Inv_Q,108,Inv_R)+SUMIF(Inv_Q,108,Inv_M)*(1+V_dCapex))*DI$9)</f>
        <v>0</v>
      </c>
      <c r="DJ210" s="34" t="n">
        <f aca="false">IF(DJ$8=1,IF(Reales!$C$46="PYG",IF(DJ$10&gt;0,N(Reales!DJ46)/DJ$10,0),N(Reales!DJ46)),(SUMIF(Inv_Q,109,Inv_R)+SUMIF(Inv_Q,109,Inv_M)*(1+V_dCapex))*DJ$9)</f>
        <v>0</v>
      </c>
      <c r="DK210" s="34" t="n">
        <f aca="false">IF(DK$8=1,IF(Reales!$C$46="PYG",IF(DK$10&gt;0,N(Reales!DK46)/DK$10,0),N(Reales!DK46)),(SUMIF(Inv_Q,110,Inv_R)+SUMIF(Inv_Q,110,Inv_M)*(1+V_dCapex))*DK$9)</f>
        <v>0</v>
      </c>
      <c r="DL210" s="34" t="n">
        <f aca="false">IF(DL$8=1,IF(Reales!$C$46="PYG",IF(DL$10&gt;0,N(Reales!DL46)/DL$10,0),N(Reales!DL46)),(SUMIF(Inv_Q,111,Inv_R)+SUMIF(Inv_Q,111,Inv_M)*(1+V_dCapex))*DL$9)</f>
        <v>0</v>
      </c>
      <c r="DM210" s="34" t="n">
        <f aca="false">IF(DM$8=1,IF(Reales!$C$46="PYG",IF(DM$10&gt;0,N(Reales!DM46)/DM$10,0),N(Reales!DM46)),(SUMIF(Inv_Q,112,Inv_R)+SUMIF(Inv_Q,112,Inv_M)*(1+V_dCapex))*DM$9)</f>
        <v>0</v>
      </c>
      <c r="DN210" s="34" t="n">
        <f aca="false">IF(DN$8=1,IF(Reales!$C$46="PYG",IF(DN$10&gt;0,N(Reales!DN46)/DN$10,0),N(Reales!DN46)),(SUMIF(Inv_Q,113,Inv_R)+SUMIF(Inv_Q,113,Inv_M)*(1+V_dCapex))*DN$9)</f>
        <v>0</v>
      </c>
      <c r="DO210" s="34" t="n">
        <f aca="false">IF(DO$8=1,IF(Reales!$C$46="PYG",IF(DO$10&gt;0,N(Reales!DO46)/DO$10,0),N(Reales!DO46)),(SUMIF(Inv_Q,114,Inv_R)+SUMIF(Inv_Q,114,Inv_M)*(1+V_dCapex))*DO$9)</f>
        <v>0</v>
      </c>
      <c r="DP210" s="34" t="n">
        <f aca="false">IF(DP$8=1,IF(Reales!$C$46="PYG",IF(DP$10&gt;0,N(Reales!DP46)/DP$10,0),N(Reales!DP46)),(SUMIF(Inv_Q,115,Inv_R)+SUMIF(Inv_Q,115,Inv_M)*(1+V_dCapex))*DP$9)</f>
        <v>0</v>
      </c>
      <c r="DQ210" s="34" t="n">
        <f aca="false">IF(DQ$8=1,IF(Reales!$C$46="PYG",IF(DQ$10&gt;0,N(Reales!DQ46)/DQ$10,0),N(Reales!DQ46)),(SUMIF(Inv_Q,116,Inv_R)+SUMIF(Inv_Q,116,Inv_M)*(1+V_dCapex))*DQ$9)</f>
        <v>0</v>
      </c>
      <c r="DR210" s="34" t="n">
        <f aca="false">IF(DR$8=1,IF(Reales!$C$46="PYG",IF(DR$10&gt;0,N(Reales!DR46)/DR$10,0),N(Reales!DR46)),(SUMIF(Inv_Q,117,Inv_R)+SUMIF(Inv_Q,117,Inv_M)*(1+V_dCapex))*DR$9)</f>
        <v>0</v>
      </c>
      <c r="DS210" s="34" t="n">
        <f aca="false">IF(DS$8=1,IF(Reales!$C$46="PYG",IF(DS$10&gt;0,N(Reales!DS46)/DS$10,0),N(Reales!DS46)),(SUMIF(Inv_Q,118,Inv_R)+SUMIF(Inv_Q,118,Inv_M)*(1+V_dCapex))*DS$9)</f>
        <v>0</v>
      </c>
      <c r="DT210" s="34" t="n">
        <f aca="false">IF(DT$8=1,IF(Reales!$C$46="PYG",IF(DT$10&gt;0,N(Reales!DT46)/DT$10,0),N(Reales!DT46)),(SUMIF(Inv_Q,119,Inv_R)+SUMIF(Inv_Q,119,Inv_M)*(1+V_dCapex))*DT$9)</f>
        <v>0</v>
      </c>
      <c r="DU210" s="34" t="n">
        <f aca="false">IF(DU$8=1,IF(Reales!$C$46="PYG",IF(DU$10&gt;0,N(Reales!DU46)/DU$10,0),N(Reales!DU46)),(SUMIF(Inv_Q,120,Inv_R)+SUMIF(Inv_Q,120,Inv_M)*(1+V_dCapex))*DU$9)</f>
        <v>0</v>
      </c>
      <c r="DV210" s="34" t="n">
        <f aca="false">IF(DV$8=1,IF(Reales!$C$46="PYG",IF(DV$10&gt;0,N(Reales!DV46)/DV$10,0),N(Reales!DV46)),(SUMIF(Inv_Q,121,Inv_R)+SUMIF(Inv_Q,121,Inv_M)*(1+V_dCapex))*DV$9)</f>
        <v>0</v>
      </c>
      <c r="DW210" s="34" t="n">
        <f aca="false">IF(DW$8=1,IF(Reales!$C$46="PYG",IF(DW$10&gt;0,N(Reales!DW46)/DW$10,0),N(Reales!DW46)),(SUMIF(Inv_Q,122,Inv_R)+SUMIF(Inv_Q,122,Inv_M)*(1+V_dCapex))*DW$9)</f>
        <v>0</v>
      </c>
      <c r="DX210" s="34" t="n">
        <f aca="false">IF(DX$8=1,IF(Reales!$C$46="PYG",IF(DX$10&gt;0,N(Reales!DX46)/DX$10,0),N(Reales!DX46)),(SUMIF(Inv_Q,123,Inv_R)+SUMIF(Inv_Q,123,Inv_M)*(1+V_dCapex))*DX$9)</f>
        <v>0</v>
      </c>
      <c r="DY210" s="34" t="n">
        <f aca="false">IF(DY$8=1,IF(Reales!$C$46="PYG",IF(DY$10&gt;0,N(Reales!DY46)/DY$10,0),N(Reales!DY46)),(SUMIF(Inv_Q,124,Inv_R)+SUMIF(Inv_Q,124,Inv_M)*(1+V_dCapex))*DY$9)</f>
        <v>0</v>
      </c>
      <c r="DZ210" s="34" t="n">
        <f aca="false">IF(DZ$8=1,IF(Reales!$C$46="PYG",IF(DZ$10&gt;0,N(Reales!DZ46)/DZ$10,0),N(Reales!DZ46)),(SUMIF(Inv_Q,125,Inv_R)+SUMIF(Inv_Q,125,Inv_M)*(1+V_dCapex))*DZ$9)</f>
        <v>0</v>
      </c>
      <c r="EA210" s="34" t="n">
        <f aca="false">IF(EA$8=1,IF(Reales!$C$46="PYG",IF(EA$10&gt;0,N(Reales!EA46)/EA$10,0),N(Reales!EA46)),(SUMIF(Inv_Q,126,Inv_R)+SUMIF(Inv_Q,126,Inv_M)*(1+V_dCapex))*EA$9)</f>
        <v>0</v>
      </c>
      <c r="EB210" s="34" t="n">
        <f aca="false">IF(EB$8=1,IF(Reales!$C$46="PYG",IF(EB$10&gt;0,N(Reales!EB46)/EB$10,0),N(Reales!EB46)),(SUMIF(Inv_Q,127,Inv_R)+SUMIF(Inv_Q,127,Inv_M)*(1+V_dCapex))*EB$9)</f>
        <v>0</v>
      </c>
      <c r="EC210" s="34" t="n">
        <f aca="false">IF(EC$8=1,IF(Reales!$C$46="PYG",IF(EC$10&gt;0,N(Reales!EC46)/EC$10,0),N(Reales!EC46)),(SUMIF(Inv_Q,128,Inv_R)+SUMIF(Inv_Q,128,Inv_M)*(1+V_dCapex))*EC$9)</f>
        <v>0</v>
      </c>
      <c r="ED210" s="34" t="n">
        <f aca="false">IF(ED$8=1,IF(Reales!$C$46="PYG",IF(ED$10&gt;0,N(Reales!ED46)/ED$10,0),N(Reales!ED46)),(SUMIF(Inv_Q,129,Inv_R)+SUMIF(Inv_Q,129,Inv_M)*(1+V_dCapex))*ED$9)</f>
        <v>0</v>
      </c>
      <c r="EE210" s="34" t="n">
        <f aca="false">IF(EE$8=1,IF(Reales!$C$46="PYG",IF(EE$10&gt;0,N(Reales!EE46)/EE$10,0),N(Reales!EE46)),(SUMIF(Inv_Q,130,Inv_R)+SUMIF(Inv_Q,130,Inv_M)*(1+V_dCapex))*EE$9)</f>
        <v>0</v>
      </c>
      <c r="EF210" s="34" t="n">
        <f aca="false">IF(EF$8=1,IF(Reales!$C$46="PYG",IF(EF$10&gt;0,N(Reales!EF46)/EF$10,0),N(Reales!EF46)),(SUMIF(Inv_Q,131,Inv_R)+SUMIF(Inv_Q,131,Inv_M)*(1+V_dCapex))*EF$9)</f>
        <v>0</v>
      </c>
      <c r="EG210" s="34" t="n">
        <f aca="false">IF(EG$8=1,IF(Reales!$C$46="PYG",IF(EG$10&gt;0,N(Reales!EG46)/EG$10,0),N(Reales!EG46)),(SUMIF(Inv_Q,132,Inv_R)+SUMIF(Inv_Q,132,Inv_M)*(1+V_dCapex))*EG$9)</f>
        <v>0</v>
      </c>
      <c r="EH210" s="34" t="n">
        <f aca="false">IF(EH$8=1,IF(Reales!$C$46="PYG",IF(EH$10&gt;0,N(Reales!EH46)/EH$10,0),N(Reales!EH46)),(SUMIF(Inv_Q,133,Inv_R)+SUMIF(Inv_Q,133,Inv_M)*(1+V_dCapex))*EH$9)</f>
        <v>0</v>
      </c>
      <c r="EI210" s="34" t="n">
        <f aca="false">IF(EI$8=1,IF(Reales!$C$46="PYG",IF(EI$10&gt;0,N(Reales!EI46)/EI$10,0),N(Reales!EI46)),(SUMIF(Inv_Q,134,Inv_R)+SUMIF(Inv_Q,134,Inv_M)*(1+V_dCapex))*EI$9)</f>
        <v>0</v>
      </c>
      <c r="EJ210" s="34" t="n">
        <f aca="false">IF(EJ$8=1,IF(Reales!$C$46="PYG",IF(EJ$10&gt;0,N(Reales!EJ46)/EJ$10,0),N(Reales!EJ46)),(SUMIF(Inv_Q,135,Inv_R)+SUMIF(Inv_Q,135,Inv_M)*(1+V_dCapex))*EJ$9)</f>
        <v>0</v>
      </c>
      <c r="EK210" s="34" t="n">
        <f aca="false">IF(EK$8=1,IF(Reales!$C$46="PYG",IF(EK$10&gt;0,N(Reales!EK46)/EK$10,0),N(Reales!EK46)),(SUMIF(Inv_Q,136,Inv_R)+SUMIF(Inv_Q,136,Inv_M)*(1+V_dCapex))*EK$9)</f>
        <v>0</v>
      </c>
      <c r="EL210" s="34" t="n">
        <f aca="false">IF(EL$8=1,IF(Reales!$C$46="PYG",IF(EL$10&gt;0,N(Reales!EL46)/EL$10,0),N(Reales!EL46)),(SUMIF(Inv_Q,137,Inv_R)+SUMIF(Inv_Q,137,Inv_M)*(1+V_dCapex))*EL$9)</f>
        <v>0</v>
      </c>
      <c r="EM210" s="34" t="n">
        <f aca="false">IF(EM$8=1,IF(Reales!$C$46="PYG",IF(EM$10&gt;0,N(Reales!EM46)/EM$10,0),N(Reales!EM46)),(SUMIF(Inv_Q,138,Inv_R)+SUMIF(Inv_Q,138,Inv_M)*(1+V_dCapex))*EM$9)</f>
        <v>0</v>
      </c>
      <c r="EN210" s="34" t="n">
        <f aca="false">IF(EN$8=1,IF(Reales!$C$46="PYG",IF(EN$10&gt;0,N(Reales!EN46)/EN$10,0),N(Reales!EN46)),(SUMIF(Inv_Q,139,Inv_R)+SUMIF(Inv_Q,139,Inv_M)*(1+V_dCapex))*EN$9)</f>
        <v>0</v>
      </c>
      <c r="EO210" s="34" t="n">
        <f aca="false">IF(EO$8=1,IF(Reales!$C$46="PYG",IF(EO$10&gt;0,N(Reales!EO46)/EO$10,0),N(Reales!EO46)),(SUMIF(Inv_Q,140,Inv_R)+SUMIF(Inv_Q,140,Inv_M)*(1+V_dCapex))*EO$9)</f>
        <v>0</v>
      </c>
      <c r="EP210" s="34" t="n">
        <f aca="false">IF(EP$8=1,IF(Reales!$C$46="PYG",IF(EP$10&gt;0,N(Reales!EP46)/EP$10,0),N(Reales!EP46)),(SUMIF(Inv_Q,141,Inv_R)+SUMIF(Inv_Q,141,Inv_M)*(1+V_dCapex))*EP$9)</f>
        <v>0</v>
      </c>
      <c r="EQ210" s="34" t="n">
        <f aca="false">IF(EQ$8=1,IF(Reales!$C$46="PYG",IF(EQ$10&gt;0,N(Reales!EQ46)/EQ$10,0),N(Reales!EQ46)),(SUMIF(Inv_Q,142,Inv_R)+SUMIF(Inv_Q,142,Inv_M)*(1+V_dCapex))*EQ$9)</f>
        <v>0</v>
      </c>
      <c r="ER210" s="34" t="n">
        <f aca="false">IF(ER$8=1,IF(Reales!$C$46="PYG",IF(ER$10&gt;0,N(Reales!ER46)/ER$10,0),N(Reales!ER46)),(SUMIF(Inv_Q,143,Inv_R)+SUMIF(Inv_Q,143,Inv_M)*(1+V_dCapex))*ER$9)</f>
        <v>0</v>
      </c>
      <c r="ES210" s="34" t="n">
        <f aca="false">IF(ES$8=1,IF(Reales!$C$46="PYG",IF(ES$10&gt;0,N(Reales!ES46)/ES$10,0),N(Reales!ES46)),(SUMIF(Inv_Q,144,Inv_R)+SUMIF(Inv_Q,144,Inv_M)*(1+V_dCapex))*ES$9)</f>
        <v>0</v>
      </c>
    </row>
    <row r="211" customFormat="false" ht="15" hidden="false" customHeight="false" outlineLevel="0" collapsed="false">
      <c r="A211" s="2" t="s">
        <v>686</v>
      </c>
      <c r="B211" s="6" t="s">
        <v>543</v>
      </c>
      <c r="C211" s="6" t="s">
        <v>212</v>
      </c>
      <c r="E211" s="40" t="n">
        <f aca="false">INDEX(F211:ES211,1,MIN(144,Fin))</f>
        <v>0</v>
      </c>
      <c r="F211" s="34" t="n">
        <f aca="false">0+F$210-F$196</f>
        <v>0</v>
      </c>
      <c r="G211" s="34" t="n">
        <f aca="false">F$211+G$210-G$196</f>
        <v>0</v>
      </c>
      <c r="H211" s="34" t="n">
        <f aca="false">G$211+H$210-H$196</f>
        <v>0</v>
      </c>
      <c r="I211" s="34" t="n">
        <f aca="false">H$211+I$210-I$196</f>
        <v>0</v>
      </c>
      <c r="J211" s="34" t="n">
        <f aca="false">I$211+J$210-J$196</f>
        <v>0</v>
      </c>
      <c r="K211" s="34" t="n">
        <f aca="false">J$211+K$210-K$196</f>
        <v>0</v>
      </c>
      <c r="L211" s="34" t="n">
        <f aca="false">K$211+L$210-L$196</f>
        <v>0</v>
      </c>
      <c r="M211" s="34" t="n">
        <f aca="false">L$211+M$210-M$196</f>
        <v>0</v>
      </c>
      <c r="N211" s="34" t="n">
        <f aca="false">M$211+N$210-N$196</f>
        <v>0</v>
      </c>
      <c r="O211" s="34" t="n">
        <f aca="false">N$211+O$210-O$196</f>
        <v>0</v>
      </c>
      <c r="P211" s="34" t="n">
        <f aca="false">O$211+P$210-P$196</f>
        <v>0</v>
      </c>
      <c r="Q211" s="34" t="n">
        <f aca="false">P$211+Q$210-Q$196</f>
        <v>0</v>
      </c>
      <c r="R211" s="34" t="n">
        <f aca="false">Q$211+R$210-R$196</f>
        <v>0</v>
      </c>
      <c r="S211" s="34" t="n">
        <f aca="false">R$211+S$210-S$196</f>
        <v>0</v>
      </c>
      <c r="T211" s="34" t="n">
        <f aca="false">S$211+T$210-T$196</f>
        <v>0</v>
      </c>
      <c r="U211" s="34" t="n">
        <f aca="false">T$211+U$210-U$196</f>
        <v>0</v>
      </c>
      <c r="V211" s="34" t="n">
        <f aca="false">U$211+V$210-V$196</f>
        <v>0</v>
      </c>
      <c r="W211" s="34" t="n">
        <f aca="false">V$211+W$210-W$196</f>
        <v>0</v>
      </c>
      <c r="X211" s="34" t="n">
        <f aca="false">W$211+X$210-X$196</f>
        <v>0</v>
      </c>
      <c r="Y211" s="34" t="n">
        <f aca="false">X$211+Y$210-Y$196</f>
        <v>0</v>
      </c>
      <c r="Z211" s="34" t="n">
        <f aca="false">Y$211+Z$210-Z$196</f>
        <v>0</v>
      </c>
      <c r="AA211" s="34" t="n">
        <f aca="false">Z$211+AA$210-AA$196</f>
        <v>0</v>
      </c>
      <c r="AB211" s="34" t="n">
        <f aca="false">AA$211+AB$210-AB$196</f>
        <v>0</v>
      </c>
      <c r="AC211" s="34" t="n">
        <f aca="false">AB$211+AC$210-AC$196</f>
        <v>0</v>
      </c>
      <c r="AD211" s="34" t="n">
        <f aca="false">AC$211+AD$210-AD$196</f>
        <v>0</v>
      </c>
      <c r="AE211" s="34" t="n">
        <f aca="false">AD$211+AE$210-AE$196</f>
        <v>0</v>
      </c>
      <c r="AF211" s="34" t="n">
        <f aca="false">AE$211+AF$210-AF$196</f>
        <v>0</v>
      </c>
      <c r="AG211" s="34" t="n">
        <f aca="false">AF$211+AG$210-AG$196</f>
        <v>0</v>
      </c>
      <c r="AH211" s="34" t="n">
        <f aca="false">AG$211+AH$210-AH$196</f>
        <v>0</v>
      </c>
      <c r="AI211" s="34" t="n">
        <f aca="false">AH$211+AI$210-AI$196</f>
        <v>0</v>
      </c>
      <c r="AJ211" s="34" t="n">
        <f aca="false">AI$211+AJ$210-AJ$196</f>
        <v>0</v>
      </c>
      <c r="AK211" s="34" t="n">
        <f aca="false">AJ$211+AK$210-AK$196</f>
        <v>0</v>
      </c>
      <c r="AL211" s="34" t="n">
        <f aca="false">AK$211+AL$210-AL$196</f>
        <v>0</v>
      </c>
      <c r="AM211" s="34" t="n">
        <f aca="false">AL$211+AM$210-AM$196</f>
        <v>0</v>
      </c>
      <c r="AN211" s="34" t="n">
        <f aca="false">AM$211+AN$210-AN$196</f>
        <v>0</v>
      </c>
      <c r="AO211" s="34" t="n">
        <f aca="false">AN$211+AO$210-AO$196</f>
        <v>0</v>
      </c>
      <c r="AP211" s="34" t="n">
        <f aca="false">AO$211+AP$210-AP$196</f>
        <v>0</v>
      </c>
      <c r="AQ211" s="34" t="n">
        <f aca="false">AP$211+AQ$210-AQ$196</f>
        <v>0</v>
      </c>
      <c r="AR211" s="34" t="n">
        <f aca="false">AQ$211+AR$210-AR$196</f>
        <v>0</v>
      </c>
      <c r="AS211" s="34" t="n">
        <f aca="false">AR$211+AS$210-AS$196</f>
        <v>0</v>
      </c>
      <c r="AT211" s="34" t="n">
        <f aca="false">AS$211+AT$210-AT$196</f>
        <v>0</v>
      </c>
      <c r="AU211" s="34" t="n">
        <f aca="false">AT$211+AU$210-AU$196</f>
        <v>0</v>
      </c>
      <c r="AV211" s="34" t="n">
        <f aca="false">AU$211+AV$210-AV$196</f>
        <v>0</v>
      </c>
      <c r="AW211" s="34" t="n">
        <f aca="false">AV$211+AW$210-AW$196</f>
        <v>0</v>
      </c>
      <c r="AX211" s="34" t="n">
        <f aca="false">AW$211+AX$210-AX$196</f>
        <v>0</v>
      </c>
      <c r="AY211" s="34" t="n">
        <f aca="false">AX$211+AY$210-AY$196</f>
        <v>0</v>
      </c>
      <c r="AZ211" s="34" t="n">
        <f aca="false">AY$211+AZ$210-AZ$196</f>
        <v>0</v>
      </c>
      <c r="BA211" s="34" t="n">
        <f aca="false">AZ$211+BA$210-BA$196</f>
        <v>0</v>
      </c>
      <c r="BB211" s="34" t="n">
        <f aca="false">BA$211+BB$210-BB$196</f>
        <v>0</v>
      </c>
      <c r="BC211" s="34" t="n">
        <f aca="false">BB$211+BC$210-BC$196</f>
        <v>0</v>
      </c>
      <c r="BD211" s="34" t="n">
        <f aca="false">BC$211+BD$210-BD$196</f>
        <v>0</v>
      </c>
      <c r="BE211" s="34" t="n">
        <f aca="false">BD$211+BE$210-BE$196</f>
        <v>0</v>
      </c>
      <c r="BF211" s="34" t="n">
        <f aca="false">BE$211+BF$210-BF$196</f>
        <v>0</v>
      </c>
      <c r="BG211" s="34" t="n">
        <f aca="false">BF$211+BG$210-BG$196</f>
        <v>0</v>
      </c>
      <c r="BH211" s="34" t="n">
        <f aca="false">BG$211+BH$210-BH$196</f>
        <v>0</v>
      </c>
      <c r="BI211" s="34" t="n">
        <f aca="false">BH$211+BI$210-BI$196</f>
        <v>0</v>
      </c>
      <c r="BJ211" s="34" t="n">
        <f aca="false">BI$211+BJ$210-BJ$196</f>
        <v>0</v>
      </c>
      <c r="BK211" s="34" t="n">
        <f aca="false">BJ$211+BK$210-BK$196</f>
        <v>0</v>
      </c>
      <c r="BL211" s="34" t="n">
        <f aca="false">BK$211+BL$210-BL$196</f>
        <v>0</v>
      </c>
      <c r="BM211" s="34" t="n">
        <f aca="false">BL$211+BM$210-BM$196</f>
        <v>0</v>
      </c>
      <c r="BN211" s="34" t="n">
        <f aca="false">BM$211+BN$210-BN$196</f>
        <v>0</v>
      </c>
      <c r="BO211" s="34" t="n">
        <f aca="false">BN$211+BO$210-BO$196</f>
        <v>0</v>
      </c>
      <c r="BP211" s="34" t="n">
        <f aca="false">BO$211+BP$210-BP$196</f>
        <v>0</v>
      </c>
      <c r="BQ211" s="34" t="n">
        <f aca="false">BP$211+BQ$210-BQ$196</f>
        <v>0</v>
      </c>
      <c r="BR211" s="34" t="n">
        <f aca="false">BQ$211+BR$210-BR$196</f>
        <v>0</v>
      </c>
      <c r="BS211" s="34" t="n">
        <f aca="false">BR$211+BS$210-BS$196</f>
        <v>0</v>
      </c>
      <c r="BT211" s="34" t="n">
        <f aca="false">BS$211+BT$210-BT$196</f>
        <v>0</v>
      </c>
      <c r="BU211" s="34" t="n">
        <f aca="false">BT$211+BU$210-BU$196</f>
        <v>0</v>
      </c>
      <c r="BV211" s="34" t="n">
        <f aca="false">BU$211+BV$210-BV$196</f>
        <v>0</v>
      </c>
      <c r="BW211" s="34" t="n">
        <f aca="false">BV$211+BW$210-BW$196</f>
        <v>0</v>
      </c>
      <c r="BX211" s="34" t="n">
        <f aca="false">BW$211+BX$210-BX$196</f>
        <v>0</v>
      </c>
      <c r="BY211" s="34" t="n">
        <f aca="false">BX$211+BY$210-BY$196</f>
        <v>0</v>
      </c>
      <c r="BZ211" s="34" t="n">
        <f aca="false">BY$211+BZ$210-BZ$196</f>
        <v>0</v>
      </c>
      <c r="CA211" s="34" t="n">
        <f aca="false">BZ$211+CA$210-CA$196</f>
        <v>0</v>
      </c>
      <c r="CB211" s="34" t="n">
        <f aca="false">CA$211+CB$210-CB$196</f>
        <v>0</v>
      </c>
      <c r="CC211" s="34" t="n">
        <f aca="false">CB$211+CC$210-CC$196</f>
        <v>0</v>
      </c>
      <c r="CD211" s="34" t="n">
        <f aca="false">CC$211+CD$210-CD$196</f>
        <v>0</v>
      </c>
      <c r="CE211" s="34" t="n">
        <f aca="false">CD$211+CE$210-CE$196</f>
        <v>0</v>
      </c>
      <c r="CF211" s="34" t="n">
        <f aca="false">CE$211+CF$210-CF$196</f>
        <v>0</v>
      </c>
      <c r="CG211" s="34" t="n">
        <f aca="false">CF$211+CG$210-CG$196</f>
        <v>0</v>
      </c>
      <c r="CH211" s="34" t="n">
        <f aca="false">CG$211+CH$210-CH$196</f>
        <v>0</v>
      </c>
      <c r="CI211" s="34" t="n">
        <f aca="false">CH$211+CI$210-CI$196</f>
        <v>0</v>
      </c>
      <c r="CJ211" s="34" t="n">
        <f aca="false">CI$211+CJ$210-CJ$196</f>
        <v>0</v>
      </c>
      <c r="CK211" s="34" t="n">
        <f aca="false">CJ$211+CK$210-CK$196</f>
        <v>0</v>
      </c>
      <c r="CL211" s="34" t="n">
        <f aca="false">CK$211+CL$210-CL$196</f>
        <v>0</v>
      </c>
      <c r="CM211" s="34" t="n">
        <f aca="false">CL$211+CM$210-CM$196</f>
        <v>0</v>
      </c>
      <c r="CN211" s="34" t="n">
        <f aca="false">CM$211+CN$210-CN$196</f>
        <v>0</v>
      </c>
      <c r="CO211" s="34" t="n">
        <f aca="false">CN$211+CO$210-CO$196</f>
        <v>0</v>
      </c>
      <c r="CP211" s="34" t="n">
        <f aca="false">CO$211+CP$210-CP$196</f>
        <v>0</v>
      </c>
      <c r="CQ211" s="34" t="n">
        <f aca="false">CP$211+CQ$210-CQ$196</f>
        <v>0</v>
      </c>
      <c r="CR211" s="34" t="n">
        <f aca="false">CQ$211+CR$210-CR$196</f>
        <v>0</v>
      </c>
      <c r="CS211" s="34" t="n">
        <f aca="false">CR$211+CS$210-CS$196</f>
        <v>0</v>
      </c>
      <c r="CT211" s="34" t="n">
        <f aca="false">CS$211+CT$210-CT$196</f>
        <v>0</v>
      </c>
      <c r="CU211" s="34" t="n">
        <f aca="false">CT$211+CU$210-CU$196</f>
        <v>0</v>
      </c>
      <c r="CV211" s="34" t="n">
        <f aca="false">CU$211+CV$210-CV$196</f>
        <v>0</v>
      </c>
      <c r="CW211" s="34" t="n">
        <f aca="false">CV$211+CW$210-CW$196</f>
        <v>0</v>
      </c>
      <c r="CX211" s="34" t="n">
        <f aca="false">CW$211+CX$210-CX$196</f>
        <v>0</v>
      </c>
      <c r="CY211" s="34" t="n">
        <f aca="false">CX$211+CY$210-CY$196</f>
        <v>0</v>
      </c>
      <c r="CZ211" s="34" t="n">
        <f aca="false">CY$211+CZ$210-CZ$196</f>
        <v>0</v>
      </c>
      <c r="DA211" s="34" t="n">
        <f aca="false">CZ$211+DA$210-DA$196</f>
        <v>0</v>
      </c>
      <c r="DB211" s="34" t="n">
        <f aca="false">DA$211+DB$210-DB$196</f>
        <v>0</v>
      </c>
      <c r="DC211" s="34" t="n">
        <f aca="false">DB$211+DC$210-DC$196</f>
        <v>0</v>
      </c>
      <c r="DD211" s="34" t="n">
        <f aca="false">DC$211+DD$210-DD$196</f>
        <v>0</v>
      </c>
      <c r="DE211" s="34" t="n">
        <f aca="false">DD$211+DE$210-DE$196</f>
        <v>0</v>
      </c>
      <c r="DF211" s="34" t="n">
        <f aca="false">DE$211+DF$210-DF$196</f>
        <v>0</v>
      </c>
      <c r="DG211" s="34" t="n">
        <f aca="false">DF$211+DG$210-DG$196</f>
        <v>0</v>
      </c>
      <c r="DH211" s="34" t="n">
        <f aca="false">DG$211+DH$210-DH$196</f>
        <v>0</v>
      </c>
      <c r="DI211" s="34" t="n">
        <f aca="false">DH$211+DI$210-DI$196</f>
        <v>0</v>
      </c>
      <c r="DJ211" s="34" t="n">
        <f aca="false">DI$211+DJ$210-DJ$196</f>
        <v>0</v>
      </c>
      <c r="DK211" s="34" t="n">
        <f aca="false">DJ$211+DK$210-DK$196</f>
        <v>0</v>
      </c>
      <c r="DL211" s="34" t="n">
        <f aca="false">DK$211+DL$210-DL$196</f>
        <v>0</v>
      </c>
      <c r="DM211" s="34" t="n">
        <f aca="false">DL$211+DM$210-DM$196</f>
        <v>0</v>
      </c>
      <c r="DN211" s="34" t="n">
        <f aca="false">DM$211+DN$210-DN$196</f>
        <v>0</v>
      </c>
      <c r="DO211" s="34" t="n">
        <f aca="false">DN$211+DO$210-DO$196</f>
        <v>0</v>
      </c>
      <c r="DP211" s="34" t="n">
        <f aca="false">DO$211+DP$210-DP$196</f>
        <v>0</v>
      </c>
      <c r="DQ211" s="34" t="n">
        <f aca="false">DP$211+DQ$210-DQ$196</f>
        <v>0</v>
      </c>
      <c r="DR211" s="34" t="n">
        <f aca="false">DQ$211+DR$210-DR$196</f>
        <v>0</v>
      </c>
      <c r="DS211" s="34" t="n">
        <f aca="false">DR$211+DS$210-DS$196</f>
        <v>0</v>
      </c>
      <c r="DT211" s="34" t="n">
        <f aca="false">DS$211+DT$210-DT$196</f>
        <v>0</v>
      </c>
      <c r="DU211" s="34" t="n">
        <f aca="false">DT$211+DU$210-DU$196</f>
        <v>0</v>
      </c>
      <c r="DV211" s="34" t="n">
        <f aca="false">DU$211+DV$210-DV$196</f>
        <v>0</v>
      </c>
      <c r="DW211" s="34" t="n">
        <f aca="false">DV$211+DW$210-DW$196</f>
        <v>0</v>
      </c>
      <c r="DX211" s="34" t="n">
        <f aca="false">DW$211+DX$210-DX$196</f>
        <v>0</v>
      </c>
      <c r="DY211" s="34" t="n">
        <f aca="false">DX$211+DY$210-DY$196</f>
        <v>0</v>
      </c>
      <c r="DZ211" s="34" t="n">
        <f aca="false">DY$211+DZ$210-DZ$196</f>
        <v>0</v>
      </c>
      <c r="EA211" s="34" t="n">
        <f aca="false">DZ$211+EA$210-EA$196</f>
        <v>0</v>
      </c>
      <c r="EB211" s="34" t="n">
        <f aca="false">EA$211+EB$210-EB$196</f>
        <v>0</v>
      </c>
      <c r="EC211" s="34" t="n">
        <f aca="false">EB$211+EC$210-EC$196</f>
        <v>0</v>
      </c>
      <c r="ED211" s="34" t="n">
        <f aca="false">EC$211+ED$210-ED$196</f>
        <v>0</v>
      </c>
      <c r="EE211" s="34" t="n">
        <f aca="false">ED$211+EE$210-EE$196</f>
        <v>0</v>
      </c>
      <c r="EF211" s="34" t="n">
        <f aca="false">EE$211+EF$210-EF$196</f>
        <v>0</v>
      </c>
      <c r="EG211" s="34" t="n">
        <f aca="false">EF$211+EG$210-EG$196</f>
        <v>0</v>
      </c>
      <c r="EH211" s="34" t="n">
        <f aca="false">EG$211+EH$210-EH$196</f>
        <v>0</v>
      </c>
      <c r="EI211" s="34" t="n">
        <f aca="false">EH$211+EI$210-EI$196</f>
        <v>0</v>
      </c>
      <c r="EJ211" s="34" t="n">
        <f aca="false">EI$211+EJ$210-EJ$196</f>
        <v>0</v>
      </c>
      <c r="EK211" s="34" t="n">
        <f aca="false">EJ$211+EK$210-EK$196</f>
        <v>0</v>
      </c>
      <c r="EL211" s="34" t="n">
        <f aca="false">EK$211+EL$210-EL$196</f>
        <v>0</v>
      </c>
      <c r="EM211" s="34" t="n">
        <f aca="false">EL$211+EM$210-EM$196</f>
        <v>0</v>
      </c>
      <c r="EN211" s="34" t="n">
        <f aca="false">EM$211+EN$210-EN$196</f>
        <v>0</v>
      </c>
      <c r="EO211" s="34" t="n">
        <f aca="false">EN$211+EO$210-EO$196</f>
        <v>0</v>
      </c>
      <c r="EP211" s="34" t="n">
        <f aca="false">EO$211+EP$210-EP$196</f>
        <v>0</v>
      </c>
      <c r="EQ211" s="34" t="n">
        <f aca="false">EP$211+EQ$210-EQ$196</f>
        <v>0</v>
      </c>
      <c r="ER211" s="34" t="n">
        <f aca="false">EQ$211+ER$210-ER$196</f>
        <v>0</v>
      </c>
      <c r="ES211" s="34" t="n">
        <f aca="false">ER$211+ES$210-ES$196</f>
        <v>0</v>
      </c>
    </row>
    <row r="212" customFormat="false" ht="15" hidden="false" customHeight="false" outlineLevel="0" collapsed="false">
      <c r="A212" s="2" t="s">
        <v>687</v>
      </c>
      <c r="B212" s="6" t="s">
        <v>545</v>
      </c>
      <c r="C212" s="6" t="s">
        <v>212</v>
      </c>
      <c r="E212" s="40" t="n">
        <f aca="false">SUM(F212:ES212)</f>
        <v>0</v>
      </c>
      <c r="F212" s="34" t="n">
        <f aca="false">IF(1=Fin,F$206*V_RealCT+F$211*V_RealAF,0)</f>
        <v>0</v>
      </c>
      <c r="G212" s="34" t="n">
        <f aca="false">IF(2=Fin,G$206*V_RealCT+G$211*V_RealAF,0)</f>
        <v>0</v>
      </c>
      <c r="H212" s="34" t="n">
        <f aca="false">IF(3=Fin,H$206*V_RealCT+H$211*V_RealAF,0)</f>
        <v>0</v>
      </c>
      <c r="I212" s="34" t="n">
        <f aca="false">IF(4=Fin,I$206*V_RealCT+I$211*V_RealAF,0)</f>
        <v>0</v>
      </c>
      <c r="J212" s="34" t="n">
        <f aca="false">IF(5=Fin,J$206*V_RealCT+J$211*V_RealAF,0)</f>
        <v>0</v>
      </c>
      <c r="K212" s="34" t="n">
        <f aca="false">IF(6=Fin,K$206*V_RealCT+K$211*V_RealAF,0)</f>
        <v>0</v>
      </c>
      <c r="L212" s="34" t="n">
        <f aca="false">IF(7=Fin,L$206*V_RealCT+L$211*V_RealAF,0)</f>
        <v>0</v>
      </c>
      <c r="M212" s="34" t="n">
        <f aca="false">IF(8=Fin,M$206*V_RealCT+M$211*V_RealAF,0)</f>
        <v>0</v>
      </c>
      <c r="N212" s="34" t="n">
        <f aca="false">IF(9=Fin,N$206*V_RealCT+N$211*V_RealAF,0)</f>
        <v>0</v>
      </c>
      <c r="O212" s="34" t="n">
        <f aca="false">IF(10=Fin,O$206*V_RealCT+O$211*V_RealAF,0)</f>
        <v>0</v>
      </c>
      <c r="P212" s="34" t="n">
        <f aca="false">IF(11=Fin,P$206*V_RealCT+P$211*V_RealAF,0)</f>
        <v>0</v>
      </c>
      <c r="Q212" s="34" t="n">
        <f aca="false">IF(12=Fin,Q$206*V_RealCT+Q$211*V_RealAF,0)</f>
        <v>0</v>
      </c>
      <c r="R212" s="34" t="n">
        <f aca="false">IF(13=Fin,R$206*V_RealCT+R$211*V_RealAF,0)</f>
        <v>0</v>
      </c>
      <c r="S212" s="34" t="n">
        <f aca="false">IF(14=Fin,S$206*V_RealCT+S$211*V_RealAF,0)</f>
        <v>0</v>
      </c>
      <c r="T212" s="34" t="n">
        <f aca="false">IF(15=Fin,T$206*V_RealCT+T$211*V_RealAF,0)</f>
        <v>0</v>
      </c>
      <c r="U212" s="34" t="n">
        <f aca="false">IF(16=Fin,U$206*V_RealCT+U$211*V_RealAF,0)</f>
        <v>0</v>
      </c>
      <c r="V212" s="34" t="n">
        <f aca="false">IF(17=Fin,V$206*V_RealCT+V$211*V_RealAF,0)</f>
        <v>0</v>
      </c>
      <c r="W212" s="34" t="n">
        <f aca="false">IF(18=Fin,W$206*V_RealCT+W$211*V_RealAF,0)</f>
        <v>0</v>
      </c>
      <c r="X212" s="34" t="n">
        <f aca="false">IF(19=Fin,X$206*V_RealCT+X$211*V_RealAF,0)</f>
        <v>0</v>
      </c>
      <c r="Y212" s="34" t="n">
        <f aca="false">IF(20=Fin,Y$206*V_RealCT+Y$211*V_RealAF,0)</f>
        <v>0</v>
      </c>
      <c r="Z212" s="34" t="n">
        <f aca="false">IF(21=Fin,Z$206*V_RealCT+Z$211*V_RealAF,0)</f>
        <v>0</v>
      </c>
      <c r="AA212" s="34" t="n">
        <f aca="false">IF(22=Fin,AA$206*V_RealCT+AA$211*V_RealAF,0)</f>
        <v>0</v>
      </c>
      <c r="AB212" s="34" t="n">
        <f aca="false">IF(23=Fin,AB$206*V_RealCT+AB$211*V_RealAF,0)</f>
        <v>0</v>
      </c>
      <c r="AC212" s="34" t="n">
        <f aca="false">IF(24=Fin,AC$206*V_RealCT+AC$211*V_RealAF,0)</f>
        <v>0</v>
      </c>
      <c r="AD212" s="34" t="n">
        <f aca="false">IF(25=Fin,AD$206*V_RealCT+AD$211*V_RealAF,0)</f>
        <v>0</v>
      </c>
      <c r="AE212" s="34" t="n">
        <f aca="false">IF(26=Fin,AE$206*V_RealCT+AE$211*V_RealAF,0)</f>
        <v>0</v>
      </c>
      <c r="AF212" s="34" t="n">
        <f aca="false">IF(27=Fin,AF$206*V_RealCT+AF$211*V_RealAF,0)</f>
        <v>0</v>
      </c>
      <c r="AG212" s="34" t="n">
        <f aca="false">IF(28=Fin,AG$206*V_RealCT+AG$211*V_RealAF,0)</f>
        <v>0</v>
      </c>
      <c r="AH212" s="34" t="n">
        <f aca="false">IF(29=Fin,AH$206*V_RealCT+AH$211*V_RealAF,0)</f>
        <v>0</v>
      </c>
      <c r="AI212" s="34" t="n">
        <f aca="false">IF(30=Fin,AI$206*V_RealCT+AI$211*V_RealAF,0)</f>
        <v>0</v>
      </c>
      <c r="AJ212" s="34" t="n">
        <f aca="false">IF(31=Fin,AJ$206*V_RealCT+AJ$211*V_RealAF,0)</f>
        <v>0</v>
      </c>
      <c r="AK212" s="34" t="n">
        <f aca="false">IF(32=Fin,AK$206*V_RealCT+AK$211*V_RealAF,0)</f>
        <v>0</v>
      </c>
      <c r="AL212" s="34" t="n">
        <f aca="false">IF(33=Fin,AL$206*V_RealCT+AL$211*V_RealAF,0)</f>
        <v>0</v>
      </c>
      <c r="AM212" s="34" t="n">
        <f aca="false">IF(34=Fin,AM$206*V_RealCT+AM$211*V_RealAF,0)</f>
        <v>0</v>
      </c>
      <c r="AN212" s="34" t="n">
        <f aca="false">IF(35=Fin,AN$206*V_RealCT+AN$211*V_RealAF,0)</f>
        <v>0</v>
      </c>
      <c r="AO212" s="34" t="n">
        <f aca="false">IF(36=Fin,AO$206*V_RealCT+AO$211*V_RealAF,0)</f>
        <v>0</v>
      </c>
      <c r="AP212" s="34" t="n">
        <f aca="false">IF(37=Fin,AP$206*V_RealCT+AP$211*V_RealAF,0)</f>
        <v>0</v>
      </c>
      <c r="AQ212" s="34" t="n">
        <f aca="false">IF(38=Fin,AQ$206*V_RealCT+AQ$211*V_RealAF,0)</f>
        <v>0</v>
      </c>
      <c r="AR212" s="34" t="n">
        <f aca="false">IF(39=Fin,AR$206*V_RealCT+AR$211*V_RealAF,0)</f>
        <v>0</v>
      </c>
      <c r="AS212" s="34" t="n">
        <f aca="false">IF(40=Fin,AS$206*V_RealCT+AS$211*V_RealAF,0)</f>
        <v>0</v>
      </c>
      <c r="AT212" s="34" t="n">
        <f aca="false">IF(41=Fin,AT$206*V_RealCT+AT$211*V_RealAF,0)</f>
        <v>0</v>
      </c>
      <c r="AU212" s="34" t="n">
        <f aca="false">IF(42=Fin,AU$206*V_RealCT+AU$211*V_RealAF,0)</f>
        <v>0</v>
      </c>
      <c r="AV212" s="34" t="n">
        <f aca="false">IF(43=Fin,AV$206*V_RealCT+AV$211*V_RealAF,0)</f>
        <v>0</v>
      </c>
      <c r="AW212" s="34" t="n">
        <f aca="false">IF(44=Fin,AW$206*V_RealCT+AW$211*V_RealAF,0)</f>
        <v>0</v>
      </c>
      <c r="AX212" s="34" t="n">
        <f aca="false">IF(45=Fin,AX$206*V_RealCT+AX$211*V_RealAF,0)</f>
        <v>0</v>
      </c>
      <c r="AY212" s="34" t="n">
        <f aca="false">IF(46=Fin,AY$206*V_RealCT+AY$211*V_RealAF,0)</f>
        <v>0</v>
      </c>
      <c r="AZ212" s="34" t="n">
        <f aca="false">IF(47=Fin,AZ$206*V_RealCT+AZ$211*V_RealAF,0)</f>
        <v>0</v>
      </c>
      <c r="BA212" s="34" t="n">
        <f aca="false">IF(48=Fin,BA$206*V_RealCT+BA$211*V_RealAF,0)</f>
        <v>0</v>
      </c>
      <c r="BB212" s="34" t="n">
        <f aca="false">IF(49=Fin,BB$206*V_RealCT+BB$211*V_RealAF,0)</f>
        <v>0</v>
      </c>
      <c r="BC212" s="34" t="n">
        <f aca="false">IF(50=Fin,BC$206*V_RealCT+BC$211*V_RealAF,0)</f>
        <v>0</v>
      </c>
      <c r="BD212" s="34" t="n">
        <f aca="false">IF(51=Fin,BD$206*V_RealCT+BD$211*V_RealAF,0)</f>
        <v>0</v>
      </c>
      <c r="BE212" s="34" t="n">
        <f aca="false">IF(52=Fin,BE$206*V_RealCT+BE$211*V_RealAF,0)</f>
        <v>0</v>
      </c>
      <c r="BF212" s="34" t="n">
        <f aca="false">IF(53=Fin,BF$206*V_RealCT+BF$211*V_RealAF,0)</f>
        <v>0</v>
      </c>
      <c r="BG212" s="34" t="n">
        <f aca="false">IF(54=Fin,BG$206*V_RealCT+BG$211*V_RealAF,0)</f>
        <v>0</v>
      </c>
      <c r="BH212" s="34" t="n">
        <f aca="false">IF(55=Fin,BH$206*V_RealCT+BH$211*V_RealAF,0)</f>
        <v>0</v>
      </c>
      <c r="BI212" s="34" t="n">
        <f aca="false">IF(56=Fin,BI$206*V_RealCT+BI$211*V_RealAF,0)</f>
        <v>0</v>
      </c>
      <c r="BJ212" s="34" t="n">
        <f aca="false">IF(57=Fin,BJ$206*V_RealCT+BJ$211*V_RealAF,0)</f>
        <v>0</v>
      </c>
      <c r="BK212" s="34" t="n">
        <f aca="false">IF(58=Fin,BK$206*V_RealCT+BK$211*V_RealAF,0)</f>
        <v>0</v>
      </c>
      <c r="BL212" s="34" t="n">
        <f aca="false">IF(59=Fin,BL$206*V_RealCT+BL$211*V_RealAF,0)</f>
        <v>0</v>
      </c>
      <c r="BM212" s="34" t="n">
        <f aca="false">IF(60=Fin,BM$206*V_RealCT+BM$211*V_RealAF,0)</f>
        <v>0</v>
      </c>
      <c r="BN212" s="34" t="n">
        <f aca="false">IF(61=Fin,BN$206*V_RealCT+BN$211*V_RealAF,0)</f>
        <v>0</v>
      </c>
      <c r="BO212" s="34" t="n">
        <f aca="false">IF(62=Fin,BO$206*V_RealCT+BO$211*V_RealAF,0)</f>
        <v>0</v>
      </c>
      <c r="BP212" s="34" t="n">
        <f aca="false">IF(63=Fin,BP$206*V_RealCT+BP$211*V_RealAF,0)</f>
        <v>0</v>
      </c>
      <c r="BQ212" s="34" t="n">
        <f aca="false">IF(64=Fin,BQ$206*V_RealCT+BQ$211*V_RealAF,0)</f>
        <v>0</v>
      </c>
      <c r="BR212" s="34" t="n">
        <f aca="false">IF(65=Fin,BR$206*V_RealCT+BR$211*V_RealAF,0)</f>
        <v>0</v>
      </c>
      <c r="BS212" s="34" t="n">
        <f aca="false">IF(66=Fin,BS$206*V_RealCT+BS$211*V_RealAF,0)</f>
        <v>0</v>
      </c>
      <c r="BT212" s="34" t="n">
        <f aca="false">IF(67=Fin,BT$206*V_RealCT+BT$211*V_RealAF,0)</f>
        <v>0</v>
      </c>
      <c r="BU212" s="34" t="n">
        <f aca="false">IF(68=Fin,BU$206*V_RealCT+BU$211*V_RealAF,0)</f>
        <v>0</v>
      </c>
      <c r="BV212" s="34" t="n">
        <f aca="false">IF(69=Fin,BV$206*V_RealCT+BV$211*V_RealAF,0)</f>
        <v>0</v>
      </c>
      <c r="BW212" s="34" t="n">
        <f aca="false">IF(70=Fin,BW$206*V_RealCT+BW$211*V_RealAF,0)</f>
        <v>0</v>
      </c>
      <c r="BX212" s="34" t="n">
        <f aca="false">IF(71=Fin,BX$206*V_RealCT+BX$211*V_RealAF,0)</f>
        <v>0</v>
      </c>
      <c r="BY212" s="34" t="n">
        <f aca="false">IF(72=Fin,BY$206*V_RealCT+BY$211*V_RealAF,0)</f>
        <v>0</v>
      </c>
      <c r="BZ212" s="34" t="n">
        <f aca="false">IF(73=Fin,BZ$206*V_RealCT+BZ$211*V_RealAF,0)</f>
        <v>0</v>
      </c>
      <c r="CA212" s="34" t="n">
        <f aca="false">IF(74=Fin,CA$206*V_RealCT+CA$211*V_RealAF,0)</f>
        <v>0</v>
      </c>
      <c r="CB212" s="34" t="n">
        <f aca="false">IF(75=Fin,CB$206*V_RealCT+CB$211*V_RealAF,0)</f>
        <v>0</v>
      </c>
      <c r="CC212" s="34" t="n">
        <f aca="false">IF(76=Fin,CC$206*V_RealCT+CC$211*V_RealAF,0)</f>
        <v>0</v>
      </c>
      <c r="CD212" s="34" t="n">
        <f aca="false">IF(77=Fin,CD$206*V_RealCT+CD$211*V_RealAF,0)</f>
        <v>0</v>
      </c>
      <c r="CE212" s="34" t="n">
        <f aca="false">IF(78=Fin,CE$206*V_RealCT+CE$211*V_RealAF,0)</f>
        <v>0</v>
      </c>
      <c r="CF212" s="34" t="n">
        <f aca="false">IF(79=Fin,CF$206*V_RealCT+CF$211*V_RealAF,0)</f>
        <v>0</v>
      </c>
      <c r="CG212" s="34" t="n">
        <f aca="false">IF(80=Fin,CG$206*V_RealCT+CG$211*V_RealAF,0)</f>
        <v>0</v>
      </c>
      <c r="CH212" s="34" t="n">
        <f aca="false">IF(81=Fin,CH$206*V_RealCT+CH$211*V_RealAF,0)</f>
        <v>0</v>
      </c>
      <c r="CI212" s="34" t="n">
        <f aca="false">IF(82=Fin,CI$206*V_RealCT+CI$211*V_RealAF,0)</f>
        <v>0</v>
      </c>
      <c r="CJ212" s="34" t="n">
        <f aca="false">IF(83=Fin,CJ$206*V_RealCT+CJ$211*V_RealAF,0)</f>
        <v>0</v>
      </c>
      <c r="CK212" s="34" t="n">
        <f aca="false">IF(84=Fin,CK$206*V_RealCT+CK$211*V_RealAF,0)</f>
        <v>0</v>
      </c>
      <c r="CL212" s="34" t="n">
        <f aca="false">IF(85=Fin,CL$206*V_RealCT+CL$211*V_RealAF,0)</f>
        <v>0</v>
      </c>
      <c r="CM212" s="34" t="n">
        <f aca="false">IF(86=Fin,CM$206*V_RealCT+CM$211*V_RealAF,0)</f>
        <v>0</v>
      </c>
      <c r="CN212" s="34" t="n">
        <f aca="false">IF(87=Fin,CN$206*V_RealCT+CN$211*V_RealAF,0)</f>
        <v>0</v>
      </c>
      <c r="CO212" s="34" t="n">
        <f aca="false">IF(88=Fin,CO$206*V_RealCT+CO$211*V_RealAF,0)</f>
        <v>0</v>
      </c>
      <c r="CP212" s="34" t="n">
        <f aca="false">IF(89=Fin,CP$206*V_RealCT+CP$211*V_RealAF,0)</f>
        <v>0</v>
      </c>
      <c r="CQ212" s="34" t="n">
        <f aca="false">IF(90=Fin,CQ$206*V_RealCT+CQ$211*V_RealAF,0)</f>
        <v>0</v>
      </c>
      <c r="CR212" s="34" t="n">
        <f aca="false">IF(91=Fin,CR$206*V_RealCT+CR$211*V_RealAF,0)</f>
        <v>0</v>
      </c>
      <c r="CS212" s="34" t="n">
        <f aca="false">IF(92=Fin,CS$206*V_RealCT+CS$211*V_RealAF,0)</f>
        <v>0</v>
      </c>
      <c r="CT212" s="34" t="n">
        <f aca="false">IF(93=Fin,CT$206*V_RealCT+CT$211*V_RealAF,0)</f>
        <v>0</v>
      </c>
      <c r="CU212" s="34" t="n">
        <f aca="false">IF(94=Fin,CU$206*V_RealCT+CU$211*V_RealAF,0)</f>
        <v>0</v>
      </c>
      <c r="CV212" s="34" t="n">
        <f aca="false">IF(95=Fin,CV$206*V_RealCT+CV$211*V_RealAF,0)</f>
        <v>0</v>
      </c>
      <c r="CW212" s="34" t="n">
        <f aca="false">IF(96=Fin,CW$206*V_RealCT+CW$211*V_RealAF,0)</f>
        <v>0</v>
      </c>
      <c r="CX212" s="34" t="n">
        <f aca="false">IF(97=Fin,CX$206*V_RealCT+CX$211*V_RealAF,0)</f>
        <v>0</v>
      </c>
      <c r="CY212" s="34" t="n">
        <f aca="false">IF(98=Fin,CY$206*V_RealCT+CY$211*V_RealAF,0)</f>
        <v>0</v>
      </c>
      <c r="CZ212" s="34" t="n">
        <f aca="false">IF(99=Fin,CZ$206*V_RealCT+CZ$211*V_RealAF,0)</f>
        <v>0</v>
      </c>
      <c r="DA212" s="34" t="n">
        <f aca="false">IF(100=Fin,DA$206*V_RealCT+DA$211*V_RealAF,0)</f>
        <v>0</v>
      </c>
      <c r="DB212" s="34" t="n">
        <f aca="false">IF(101=Fin,DB$206*V_RealCT+DB$211*V_RealAF,0)</f>
        <v>0</v>
      </c>
      <c r="DC212" s="34" t="n">
        <f aca="false">IF(102=Fin,DC$206*V_RealCT+DC$211*V_RealAF,0)</f>
        <v>0</v>
      </c>
      <c r="DD212" s="34" t="n">
        <f aca="false">IF(103=Fin,DD$206*V_RealCT+DD$211*V_RealAF,0)</f>
        <v>0</v>
      </c>
      <c r="DE212" s="34" t="n">
        <f aca="false">IF(104=Fin,DE$206*V_RealCT+DE$211*V_RealAF,0)</f>
        <v>0</v>
      </c>
      <c r="DF212" s="34" t="n">
        <f aca="false">IF(105=Fin,DF$206*V_RealCT+DF$211*V_RealAF,0)</f>
        <v>0</v>
      </c>
      <c r="DG212" s="34" t="n">
        <f aca="false">IF(106=Fin,DG$206*V_RealCT+DG$211*V_RealAF,0)</f>
        <v>0</v>
      </c>
      <c r="DH212" s="34" t="n">
        <f aca="false">IF(107=Fin,DH$206*V_RealCT+DH$211*V_RealAF,0)</f>
        <v>0</v>
      </c>
      <c r="DI212" s="34" t="n">
        <f aca="false">IF(108=Fin,DI$206*V_RealCT+DI$211*V_RealAF,0)</f>
        <v>0</v>
      </c>
      <c r="DJ212" s="34" t="n">
        <f aca="false">IF(109=Fin,DJ$206*V_RealCT+DJ$211*V_RealAF,0)</f>
        <v>0</v>
      </c>
      <c r="DK212" s="34" t="n">
        <f aca="false">IF(110=Fin,DK$206*V_RealCT+DK$211*V_RealAF,0)</f>
        <v>0</v>
      </c>
      <c r="DL212" s="34" t="n">
        <f aca="false">IF(111=Fin,DL$206*V_RealCT+DL$211*V_RealAF,0)</f>
        <v>0</v>
      </c>
      <c r="DM212" s="34" t="n">
        <f aca="false">IF(112=Fin,DM$206*V_RealCT+DM$211*V_RealAF,0)</f>
        <v>0</v>
      </c>
      <c r="DN212" s="34" t="n">
        <f aca="false">IF(113=Fin,DN$206*V_RealCT+DN$211*V_RealAF,0)</f>
        <v>0</v>
      </c>
      <c r="DO212" s="34" t="n">
        <f aca="false">IF(114=Fin,DO$206*V_RealCT+DO$211*V_RealAF,0)</f>
        <v>0</v>
      </c>
      <c r="DP212" s="34" t="n">
        <f aca="false">IF(115=Fin,DP$206*V_RealCT+DP$211*V_RealAF,0)</f>
        <v>0</v>
      </c>
      <c r="DQ212" s="34" t="n">
        <f aca="false">IF(116=Fin,DQ$206*V_RealCT+DQ$211*V_RealAF,0)</f>
        <v>0</v>
      </c>
      <c r="DR212" s="34" t="n">
        <f aca="false">IF(117=Fin,DR$206*V_RealCT+DR$211*V_RealAF,0)</f>
        <v>0</v>
      </c>
      <c r="DS212" s="34" t="n">
        <f aca="false">IF(118=Fin,DS$206*V_RealCT+DS$211*V_RealAF,0)</f>
        <v>0</v>
      </c>
      <c r="DT212" s="34" t="n">
        <f aca="false">IF(119=Fin,DT$206*V_RealCT+DT$211*V_RealAF,0)</f>
        <v>0</v>
      </c>
      <c r="DU212" s="34" t="n">
        <f aca="false">IF(120=Fin,DU$206*V_RealCT+DU$211*V_RealAF,0)</f>
        <v>0</v>
      </c>
      <c r="DV212" s="34" t="n">
        <f aca="false">IF(121=Fin,DV$206*V_RealCT+DV$211*V_RealAF,0)</f>
        <v>0</v>
      </c>
      <c r="DW212" s="34" t="n">
        <f aca="false">IF(122=Fin,DW$206*V_RealCT+DW$211*V_RealAF,0)</f>
        <v>0</v>
      </c>
      <c r="DX212" s="34" t="n">
        <f aca="false">IF(123=Fin,DX$206*V_RealCT+DX$211*V_RealAF,0)</f>
        <v>0</v>
      </c>
      <c r="DY212" s="34" t="n">
        <f aca="false">IF(124=Fin,DY$206*V_RealCT+DY$211*V_RealAF,0)</f>
        <v>0</v>
      </c>
      <c r="DZ212" s="34" t="n">
        <f aca="false">IF(125=Fin,DZ$206*V_RealCT+DZ$211*V_RealAF,0)</f>
        <v>0</v>
      </c>
      <c r="EA212" s="34" t="n">
        <f aca="false">IF(126=Fin,EA$206*V_RealCT+EA$211*V_RealAF,0)</f>
        <v>0</v>
      </c>
      <c r="EB212" s="34" t="n">
        <f aca="false">IF(127=Fin,EB$206*V_RealCT+EB$211*V_RealAF,0)</f>
        <v>0</v>
      </c>
      <c r="EC212" s="34" t="n">
        <f aca="false">IF(128=Fin,EC$206*V_RealCT+EC$211*V_RealAF,0)</f>
        <v>0</v>
      </c>
      <c r="ED212" s="34" t="n">
        <f aca="false">IF(129=Fin,ED$206*V_RealCT+ED$211*V_RealAF,0)</f>
        <v>0</v>
      </c>
      <c r="EE212" s="34" t="n">
        <f aca="false">IF(130=Fin,EE$206*V_RealCT+EE$211*V_RealAF,0)</f>
        <v>0</v>
      </c>
      <c r="EF212" s="34" t="n">
        <f aca="false">IF(131=Fin,EF$206*V_RealCT+EF$211*V_RealAF,0)</f>
        <v>0</v>
      </c>
      <c r="EG212" s="34" t="n">
        <f aca="false">IF(132=Fin,EG$206*V_RealCT+EG$211*V_RealAF,0)</f>
        <v>0</v>
      </c>
      <c r="EH212" s="34" t="n">
        <f aca="false">IF(133=Fin,EH$206*V_RealCT+EH$211*V_RealAF,0)</f>
        <v>0</v>
      </c>
      <c r="EI212" s="34" t="n">
        <f aca="false">IF(134=Fin,EI$206*V_RealCT+EI$211*V_RealAF,0)</f>
        <v>0</v>
      </c>
      <c r="EJ212" s="34" t="n">
        <f aca="false">IF(135=Fin,EJ$206*V_RealCT+EJ$211*V_RealAF,0)</f>
        <v>0</v>
      </c>
      <c r="EK212" s="34" t="n">
        <f aca="false">IF(136=Fin,EK$206*V_RealCT+EK$211*V_RealAF,0)</f>
        <v>0</v>
      </c>
      <c r="EL212" s="34" t="n">
        <f aca="false">IF(137=Fin,EL$206*V_RealCT+EL$211*V_RealAF,0)</f>
        <v>0</v>
      </c>
      <c r="EM212" s="34" t="n">
        <f aca="false">IF(138=Fin,EM$206*V_RealCT+EM$211*V_RealAF,0)</f>
        <v>0</v>
      </c>
      <c r="EN212" s="34" t="n">
        <f aca="false">IF(139=Fin,EN$206*V_RealCT+EN$211*V_RealAF,0)</f>
        <v>0</v>
      </c>
      <c r="EO212" s="34" t="n">
        <f aca="false">IF(140=Fin,EO$206*V_RealCT+EO$211*V_RealAF,0)</f>
        <v>0</v>
      </c>
      <c r="EP212" s="34" t="n">
        <f aca="false">IF(141=Fin,EP$206*V_RealCT+EP$211*V_RealAF,0)</f>
        <v>0</v>
      </c>
      <c r="EQ212" s="34" t="n">
        <f aca="false">IF(142=Fin,EQ$206*V_RealCT+EQ$211*V_RealAF,0)</f>
        <v>0</v>
      </c>
      <c r="ER212" s="34" t="n">
        <f aca="false">IF(143=Fin,ER$206*V_RealCT+ER$211*V_RealAF,0)</f>
        <v>0</v>
      </c>
      <c r="ES212" s="34" t="n">
        <f aca="false">IF(144=Fin,ES$206*V_RealCT+ES$211*V_RealAF,0)</f>
        <v>0</v>
      </c>
    </row>
    <row r="213" customFormat="false" ht="15" hidden="false" customHeight="false" outlineLevel="0" collapsed="false">
      <c r="A213" s="2" t="s">
        <v>688</v>
      </c>
      <c r="B213" s="52" t="s">
        <v>547</v>
      </c>
      <c r="C213" s="6" t="s">
        <v>212</v>
      </c>
      <c r="E213" s="40" t="n">
        <f aca="false">SUM(F213:ES213)</f>
        <v>0</v>
      </c>
      <c r="F213" s="10" t="n">
        <f aca="false">F$209-F$210+F$212</f>
        <v>0</v>
      </c>
      <c r="G213" s="10" t="n">
        <f aca="false">G$209-G$210+G$212</f>
        <v>0</v>
      </c>
      <c r="H213" s="10" t="n">
        <f aca="false">H$209-H$210+H$212</f>
        <v>0</v>
      </c>
      <c r="I213" s="10" t="n">
        <f aca="false">I$209-I$210+I$212</f>
        <v>0</v>
      </c>
      <c r="J213" s="10" t="n">
        <f aca="false">J$209-J$210+J$212</f>
        <v>0</v>
      </c>
      <c r="K213" s="10" t="n">
        <f aca="false">K$209-K$210+K$212</f>
        <v>0</v>
      </c>
      <c r="L213" s="10" t="n">
        <f aca="false">L$209-L$210+L$212</f>
        <v>0</v>
      </c>
      <c r="M213" s="10" t="n">
        <f aca="false">M$209-M$210+M$212</f>
        <v>0</v>
      </c>
      <c r="N213" s="10" t="n">
        <f aca="false">N$209-N$210+N$212</f>
        <v>0</v>
      </c>
      <c r="O213" s="10" t="n">
        <f aca="false">O$209-O$210+O$212</f>
        <v>0</v>
      </c>
      <c r="P213" s="10" t="n">
        <f aca="false">P$209-P$210+P$212</f>
        <v>0</v>
      </c>
      <c r="Q213" s="10" t="n">
        <f aca="false">Q$209-Q$210+Q$212</f>
        <v>0</v>
      </c>
      <c r="R213" s="10" t="n">
        <f aca="false">R$209-R$210+R$212</f>
        <v>0</v>
      </c>
      <c r="S213" s="10" t="n">
        <f aca="false">S$209-S$210+S$212</f>
        <v>0</v>
      </c>
      <c r="T213" s="10" t="n">
        <f aca="false">T$209-T$210+T$212</f>
        <v>0</v>
      </c>
      <c r="U213" s="10" t="n">
        <f aca="false">U$209-U$210+U$212</f>
        <v>0</v>
      </c>
      <c r="V213" s="10" t="n">
        <f aca="false">V$209-V$210+V$212</f>
        <v>0</v>
      </c>
      <c r="W213" s="10" t="n">
        <f aca="false">W$209-W$210+W$212</f>
        <v>0</v>
      </c>
      <c r="X213" s="10" t="n">
        <f aca="false">X$209-X$210+X$212</f>
        <v>0</v>
      </c>
      <c r="Y213" s="10" t="n">
        <f aca="false">Y$209-Y$210+Y$212</f>
        <v>0</v>
      </c>
      <c r="Z213" s="10" t="n">
        <f aca="false">Z$209-Z$210+Z$212</f>
        <v>0</v>
      </c>
      <c r="AA213" s="10" t="n">
        <f aca="false">AA$209-AA$210+AA$212</f>
        <v>0</v>
      </c>
      <c r="AB213" s="10" t="n">
        <f aca="false">AB$209-AB$210+AB$212</f>
        <v>0</v>
      </c>
      <c r="AC213" s="10" t="n">
        <f aca="false">AC$209-AC$210+AC$212</f>
        <v>0</v>
      </c>
      <c r="AD213" s="10" t="n">
        <f aca="false">AD$209-AD$210+AD$212</f>
        <v>0</v>
      </c>
      <c r="AE213" s="10" t="n">
        <f aca="false">AE$209-AE$210+AE$212</f>
        <v>0</v>
      </c>
      <c r="AF213" s="10" t="n">
        <f aca="false">AF$209-AF$210+AF$212</f>
        <v>0</v>
      </c>
      <c r="AG213" s="10" t="n">
        <f aca="false">AG$209-AG$210+AG$212</f>
        <v>0</v>
      </c>
      <c r="AH213" s="10" t="n">
        <f aca="false">AH$209-AH$210+AH$212</f>
        <v>0</v>
      </c>
      <c r="AI213" s="10" t="n">
        <f aca="false">AI$209-AI$210+AI$212</f>
        <v>0</v>
      </c>
      <c r="AJ213" s="10" t="n">
        <f aca="false">AJ$209-AJ$210+AJ$212</f>
        <v>0</v>
      </c>
      <c r="AK213" s="10" t="n">
        <f aca="false">AK$209-AK$210+AK$212</f>
        <v>0</v>
      </c>
      <c r="AL213" s="10" t="n">
        <f aca="false">AL$209-AL$210+AL$212</f>
        <v>0</v>
      </c>
      <c r="AM213" s="10" t="n">
        <f aca="false">AM$209-AM$210+AM$212</f>
        <v>0</v>
      </c>
      <c r="AN213" s="10" t="n">
        <f aca="false">AN$209-AN$210+AN$212</f>
        <v>0</v>
      </c>
      <c r="AO213" s="10" t="n">
        <f aca="false">AO$209-AO$210+AO$212</f>
        <v>0</v>
      </c>
      <c r="AP213" s="10" t="n">
        <f aca="false">AP$209-AP$210+AP$212</f>
        <v>0</v>
      </c>
      <c r="AQ213" s="10" t="n">
        <f aca="false">AQ$209-AQ$210+AQ$212</f>
        <v>0</v>
      </c>
      <c r="AR213" s="10" t="n">
        <f aca="false">AR$209-AR$210+AR$212</f>
        <v>0</v>
      </c>
      <c r="AS213" s="10" t="n">
        <f aca="false">AS$209-AS$210+AS$212</f>
        <v>0</v>
      </c>
      <c r="AT213" s="10" t="n">
        <f aca="false">AT$209-AT$210+AT$212</f>
        <v>0</v>
      </c>
      <c r="AU213" s="10" t="n">
        <f aca="false">AU$209-AU$210+AU$212</f>
        <v>0</v>
      </c>
      <c r="AV213" s="10" t="n">
        <f aca="false">AV$209-AV$210+AV$212</f>
        <v>0</v>
      </c>
      <c r="AW213" s="10" t="n">
        <f aca="false">AW$209-AW$210+AW$212</f>
        <v>0</v>
      </c>
      <c r="AX213" s="10" t="n">
        <f aca="false">AX$209-AX$210+AX$212</f>
        <v>0</v>
      </c>
      <c r="AY213" s="10" t="n">
        <f aca="false">AY$209-AY$210+AY$212</f>
        <v>0</v>
      </c>
      <c r="AZ213" s="10" t="n">
        <f aca="false">AZ$209-AZ$210+AZ$212</f>
        <v>0</v>
      </c>
      <c r="BA213" s="10" t="n">
        <f aca="false">BA$209-BA$210+BA$212</f>
        <v>0</v>
      </c>
      <c r="BB213" s="10" t="n">
        <f aca="false">BB$209-BB$210+BB$212</f>
        <v>0</v>
      </c>
      <c r="BC213" s="10" t="n">
        <f aca="false">BC$209-BC$210+BC$212</f>
        <v>0</v>
      </c>
      <c r="BD213" s="10" t="n">
        <f aca="false">BD$209-BD$210+BD$212</f>
        <v>0</v>
      </c>
      <c r="BE213" s="10" t="n">
        <f aca="false">BE$209-BE$210+BE$212</f>
        <v>0</v>
      </c>
      <c r="BF213" s="10" t="n">
        <f aca="false">BF$209-BF$210+BF$212</f>
        <v>0</v>
      </c>
      <c r="BG213" s="10" t="n">
        <f aca="false">BG$209-BG$210+BG$212</f>
        <v>0</v>
      </c>
      <c r="BH213" s="10" t="n">
        <f aca="false">BH$209-BH$210+BH$212</f>
        <v>0</v>
      </c>
      <c r="BI213" s="10" t="n">
        <f aca="false">BI$209-BI$210+BI$212</f>
        <v>0</v>
      </c>
      <c r="BJ213" s="10" t="n">
        <f aca="false">BJ$209-BJ$210+BJ$212</f>
        <v>0</v>
      </c>
      <c r="BK213" s="10" t="n">
        <f aca="false">BK$209-BK$210+BK$212</f>
        <v>0</v>
      </c>
      <c r="BL213" s="10" t="n">
        <f aca="false">BL$209-BL$210+BL$212</f>
        <v>0</v>
      </c>
      <c r="BM213" s="10" t="n">
        <f aca="false">BM$209-BM$210+BM$212</f>
        <v>0</v>
      </c>
      <c r="BN213" s="10" t="n">
        <f aca="false">BN$209-BN$210+BN$212</f>
        <v>0</v>
      </c>
      <c r="BO213" s="10" t="n">
        <f aca="false">BO$209-BO$210+BO$212</f>
        <v>0</v>
      </c>
      <c r="BP213" s="10" t="n">
        <f aca="false">BP$209-BP$210+BP$212</f>
        <v>0</v>
      </c>
      <c r="BQ213" s="10" t="n">
        <f aca="false">BQ$209-BQ$210+BQ$212</f>
        <v>0</v>
      </c>
      <c r="BR213" s="10" t="n">
        <f aca="false">BR$209-BR$210+BR$212</f>
        <v>0</v>
      </c>
      <c r="BS213" s="10" t="n">
        <f aca="false">BS$209-BS$210+BS$212</f>
        <v>0</v>
      </c>
      <c r="BT213" s="10" t="n">
        <f aca="false">BT$209-BT$210+BT$212</f>
        <v>0</v>
      </c>
      <c r="BU213" s="10" t="n">
        <f aca="false">BU$209-BU$210+BU$212</f>
        <v>0</v>
      </c>
      <c r="BV213" s="10" t="n">
        <f aca="false">BV$209-BV$210+BV$212</f>
        <v>0</v>
      </c>
      <c r="BW213" s="10" t="n">
        <f aca="false">BW$209-BW$210+BW$212</f>
        <v>0</v>
      </c>
      <c r="BX213" s="10" t="n">
        <f aca="false">BX$209-BX$210+BX$212</f>
        <v>0</v>
      </c>
      <c r="BY213" s="10" t="n">
        <f aca="false">BY$209-BY$210+BY$212</f>
        <v>0</v>
      </c>
      <c r="BZ213" s="10" t="n">
        <f aca="false">BZ$209-BZ$210+BZ$212</f>
        <v>0</v>
      </c>
      <c r="CA213" s="10" t="n">
        <f aca="false">CA$209-CA$210+CA$212</f>
        <v>0</v>
      </c>
      <c r="CB213" s="10" t="n">
        <f aca="false">CB$209-CB$210+CB$212</f>
        <v>0</v>
      </c>
      <c r="CC213" s="10" t="n">
        <f aca="false">CC$209-CC$210+CC$212</f>
        <v>0</v>
      </c>
      <c r="CD213" s="10" t="n">
        <f aca="false">CD$209-CD$210+CD$212</f>
        <v>0</v>
      </c>
      <c r="CE213" s="10" t="n">
        <f aca="false">CE$209-CE$210+CE$212</f>
        <v>0</v>
      </c>
      <c r="CF213" s="10" t="n">
        <f aca="false">CF$209-CF$210+CF$212</f>
        <v>0</v>
      </c>
      <c r="CG213" s="10" t="n">
        <f aca="false">CG$209-CG$210+CG$212</f>
        <v>0</v>
      </c>
      <c r="CH213" s="10" t="n">
        <f aca="false">CH$209-CH$210+CH$212</f>
        <v>0</v>
      </c>
      <c r="CI213" s="10" t="n">
        <f aca="false">CI$209-CI$210+CI$212</f>
        <v>0</v>
      </c>
      <c r="CJ213" s="10" t="n">
        <f aca="false">CJ$209-CJ$210+CJ$212</f>
        <v>0</v>
      </c>
      <c r="CK213" s="10" t="n">
        <f aca="false">CK$209-CK$210+CK$212</f>
        <v>0</v>
      </c>
      <c r="CL213" s="10" t="n">
        <f aca="false">CL$209-CL$210+CL$212</f>
        <v>0</v>
      </c>
      <c r="CM213" s="10" t="n">
        <f aca="false">CM$209-CM$210+CM$212</f>
        <v>0</v>
      </c>
      <c r="CN213" s="10" t="n">
        <f aca="false">CN$209-CN$210+CN$212</f>
        <v>0</v>
      </c>
      <c r="CO213" s="10" t="n">
        <f aca="false">CO$209-CO$210+CO$212</f>
        <v>0</v>
      </c>
      <c r="CP213" s="10" t="n">
        <f aca="false">CP$209-CP$210+CP$212</f>
        <v>0</v>
      </c>
      <c r="CQ213" s="10" t="n">
        <f aca="false">CQ$209-CQ$210+CQ$212</f>
        <v>0</v>
      </c>
      <c r="CR213" s="10" t="n">
        <f aca="false">CR$209-CR$210+CR$212</f>
        <v>0</v>
      </c>
      <c r="CS213" s="10" t="n">
        <f aca="false">CS$209-CS$210+CS$212</f>
        <v>0</v>
      </c>
      <c r="CT213" s="10" t="n">
        <f aca="false">CT$209-CT$210+CT$212</f>
        <v>0</v>
      </c>
      <c r="CU213" s="10" t="n">
        <f aca="false">CU$209-CU$210+CU$212</f>
        <v>0</v>
      </c>
      <c r="CV213" s="10" t="n">
        <f aca="false">CV$209-CV$210+CV$212</f>
        <v>0</v>
      </c>
      <c r="CW213" s="10" t="n">
        <f aca="false">CW$209-CW$210+CW$212</f>
        <v>0</v>
      </c>
      <c r="CX213" s="10" t="n">
        <f aca="false">CX$209-CX$210+CX$212</f>
        <v>0</v>
      </c>
      <c r="CY213" s="10" t="n">
        <f aca="false">CY$209-CY$210+CY$212</f>
        <v>0</v>
      </c>
      <c r="CZ213" s="10" t="n">
        <f aca="false">CZ$209-CZ$210+CZ$212</f>
        <v>0</v>
      </c>
      <c r="DA213" s="10" t="n">
        <f aca="false">DA$209-DA$210+DA$212</f>
        <v>0</v>
      </c>
      <c r="DB213" s="10" t="n">
        <f aca="false">DB$209-DB$210+DB$212</f>
        <v>0</v>
      </c>
      <c r="DC213" s="10" t="n">
        <f aca="false">DC$209-DC$210+DC$212</f>
        <v>0</v>
      </c>
      <c r="DD213" s="10" t="n">
        <f aca="false">DD$209-DD$210+DD$212</f>
        <v>0</v>
      </c>
      <c r="DE213" s="10" t="n">
        <f aca="false">DE$209-DE$210+DE$212</f>
        <v>0</v>
      </c>
      <c r="DF213" s="10" t="n">
        <f aca="false">DF$209-DF$210+DF$212</f>
        <v>0</v>
      </c>
      <c r="DG213" s="10" t="n">
        <f aca="false">DG$209-DG$210+DG$212</f>
        <v>0</v>
      </c>
      <c r="DH213" s="10" t="n">
        <f aca="false">DH$209-DH$210+DH$212</f>
        <v>0</v>
      </c>
      <c r="DI213" s="10" t="n">
        <f aca="false">DI$209-DI$210+DI$212</f>
        <v>0</v>
      </c>
      <c r="DJ213" s="10" t="n">
        <f aca="false">DJ$209-DJ$210+DJ$212</f>
        <v>0</v>
      </c>
      <c r="DK213" s="10" t="n">
        <f aca="false">DK$209-DK$210+DK$212</f>
        <v>0</v>
      </c>
      <c r="DL213" s="10" t="n">
        <f aca="false">DL$209-DL$210+DL$212</f>
        <v>0</v>
      </c>
      <c r="DM213" s="10" t="n">
        <f aca="false">DM$209-DM$210+DM$212</f>
        <v>0</v>
      </c>
      <c r="DN213" s="10" t="n">
        <f aca="false">DN$209-DN$210+DN$212</f>
        <v>0</v>
      </c>
      <c r="DO213" s="10" t="n">
        <f aca="false">DO$209-DO$210+DO$212</f>
        <v>0</v>
      </c>
      <c r="DP213" s="10" t="n">
        <f aca="false">DP$209-DP$210+DP$212</f>
        <v>0</v>
      </c>
      <c r="DQ213" s="10" t="n">
        <f aca="false">DQ$209-DQ$210+DQ$212</f>
        <v>0</v>
      </c>
      <c r="DR213" s="10" t="n">
        <f aca="false">DR$209-DR$210+DR$212</f>
        <v>0</v>
      </c>
      <c r="DS213" s="10" t="n">
        <f aca="false">DS$209-DS$210+DS$212</f>
        <v>0</v>
      </c>
      <c r="DT213" s="10" t="n">
        <f aca="false">DT$209-DT$210+DT$212</f>
        <v>0</v>
      </c>
      <c r="DU213" s="10" t="n">
        <f aca="false">DU$209-DU$210+DU$212</f>
        <v>0</v>
      </c>
      <c r="DV213" s="10" t="n">
        <f aca="false">DV$209-DV$210+DV$212</f>
        <v>0</v>
      </c>
      <c r="DW213" s="10" t="n">
        <f aca="false">DW$209-DW$210+DW$212</f>
        <v>0</v>
      </c>
      <c r="DX213" s="10" t="n">
        <f aca="false">DX$209-DX$210+DX$212</f>
        <v>0</v>
      </c>
      <c r="DY213" s="10" t="n">
        <f aca="false">DY$209-DY$210+DY$212</f>
        <v>0</v>
      </c>
      <c r="DZ213" s="10" t="n">
        <f aca="false">DZ$209-DZ$210+DZ$212</f>
        <v>0</v>
      </c>
      <c r="EA213" s="10" t="n">
        <f aca="false">EA$209-EA$210+EA$212</f>
        <v>0</v>
      </c>
      <c r="EB213" s="10" t="n">
        <f aca="false">EB$209-EB$210+EB$212</f>
        <v>0</v>
      </c>
      <c r="EC213" s="10" t="n">
        <f aca="false">EC$209-EC$210+EC$212</f>
        <v>0</v>
      </c>
      <c r="ED213" s="10" t="n">
        <f aca="false">ED$209-ED$210+ED$212</f>
        <v>0</v>
      </c>
      <c r="EE213" s="10" t="n">
        <f aca="false">EE$209-EE$210+EE$212</f>
        <v>0</v>
      </c>
      <c r="EF213" s="10" t="n">
        <f aca="false">EF$209-EF$210+EF$212</f>
        <v>0</v>
      </c>
      <c r="EG213" s="10" t="n">
        <f aca="false">EG$209-EG$210+EG$212</f>
        <v>0</v>
      </c>
      <c r="EH213" s="10" t="n">
        <f aca="false">EH$209-EH$210+EH$212</f>
        <v>0</v>
      </c>
      <c r="EI213" s="10" t="n">
        <f aca="false">EI$209-EI$210+EI$212</f>
        <v>0</v>
      </c>
      <c r="EJ213" s="10" t="n">
        <f aca="false">EJ$209-EJ$210+EJ$212</f>
        <v>0</v>
      </c>
      <c r="EK213" s="10" t="n">
        <f aca="false">EK$209-EK$210+EK$212</f>
        <v>0</v>
      </c>
      <c r="EL213" s="10" t="n">
        <f aca="false">EL$209-EL$210+EL$212</f>
        <v>0</v>
      </c>
      <c r="EM213" s="10" t="n">
        <f aca="false">EM$209-EM$210+EM$212</f>
        <v>0</v>
      </c>
      <c r="EN213" s="10" t="n">
        <f aca="false">EN$209-EN$210+EN$212</f>
        <v>0</v>
      </c>
      <c r="EO213" s="10" t="n">
        <f aca="false">EO$209-EO$210+EO$212</f>
        <v>0</v>
      </c>
      <c r="EP213" s="10" t="n">
        <f aca="false">EP$209-EP$210+EP$212</f>
        <v>0</v>
      </c>
      <c r="EQ213" s="10" t="n">
        <f aca="false">EQ$209-EQ$210+EQ$212</f>
        <v>0</v>
      </c>
      <c r="ER213" s="10" t="n">
        <f aca="false">ER$209-ER$210+ER$212</f>
        <v>0</v>
      </c>
      <c r="ES213" s="10" t="n">
        <f aca="false">ES$209-ES$210+ES$212</f>
        <v>0</v>
      </c>
    </row>
    <row r="214" customFormat="false" ht="15" hidden="false" customHeight="false" outlineLevel="0" collapsed="false">
      <c r="A214" s="2" t="s">
        <v>689</v>
      </c>
      <c r="B214" s="6" t="s">
        <v>549</v>
      </c>
      <c r="C214" s="6" t="s">
        <v>212</v>
      </c>
      <c r="E214" s="40" t="n">
        <f aca="false">MIN(F214:ES214)</f>
        <v>0</v>
      </c>
      <c r="F214" s="34" t="n">
        <f aca="false">0+F$209-F$210</f>
        <v>0</v>
      </c>
      <c r="G214" s="34" t="n">
        <f aca="false">F$214+G$209-G$210</f>
        <v>0</v>
      </c>
      <c r="H214" s="34" t="n">
        <f aca="false">G$214+H$209-H$210</f>
        <v>0</v>
      </c>
      <c r="I214" s="34" t="n">
        <f aca="false">H$214+I$209-I$210</f>
        <v>0</v>
      </c>
      <c r="J214" s="34" t="n">
        <f aca="false">I$214+J$209-J$210</f>
        <v>0</v>
      </c>
      <c r="K214" s="34" t="n">
        <f aca="false">J$214+K$209-K$210</f>
        <v>0</v>
      </c>
      <c r="L214" s="34" t="n">
        <f aca="false">K$214+L$209-L$210</f>
        <v>0</v>
      </c>
      <c r="M214" s="34" t="n">
        <f aca="false">L$214+M$209-M$210</f>
        <v>0</v>
      </c>
      <c r="N214" s="34" t="n">
        <f aca="false">M$214+N$209-N$210</f>
        <v>0</v>
      </c>
      <c r="O214" s="34" t="n">
        <f aca="false">N$214+O$209-O$210</f>
        <v>0</v>
      </c>
      <c r="P214" s="34" t="n">
        <f aca="false">O$214+P$209-P$210</f>
        <v>0</v>
      </c>
      <c r="Q214" s="34" t="n">
        <f aca="false">P$214+Q$209-Q$210</f>
        <v>0</v>
      </c>
      <c r="R214" s="34" t="n">
        <f aca="false">Q$214+R$209-R$210</f>
        <v>0</v>
      </c>
      <c r="S214" s="34" t="n">
        <f aca="false">R$214+S$209-S$210</f>
        <v>0</v>
      </c>
      <c r="T214" s="34" t="n">
        <f aca="false">S$214+T$209-T$210</f>
        <v>0</v>
      </c>
      <c r="U214" s="34" t="n">
        <f aca="false">T$214+U$209-U$210</f>
        <v>0</v>
      </c>
      <c r="V214" s="34" t="n">
        <f aca="false">U$214+V$209-V$210</f>
        <v>0</v>
      </c>
      <c r="W214" s="34" t="n">
        <f aca="false">V$214+W$209-W$210</f>
        <v>0</v>
      </c>
      <c r="X214" s="34" t="n">
        <f aca="false">W$214+X$209-X$210</f>
        <v>0</v>
      </c>
      <c r="Y214" s="34" t="n">
        <f aca="false">X$214+Y$209-Y$210</f>
        <v>0</v>
      </c>
      <c r="Z214" s="34" t="n">
        <f aca="false">Y$214+Z$209-Z$210</f>
        <v>0</v>
      </c>
      <c r="AA214" s="34" t="n">
        <f aca="false">Z$214+AA$209-AA$210</f>
        <v>0</v>
      </c>
      <c r="AB214" s="34" t="n">
        <f aca="false">AA$214+AB$209-AB$210</f>
        <v>0</v>
      </c>
      <c r="AC214" s="34" t="n">
        <f aca="false">AB$214+AC$209-AC$210</f>
        <v>0</v>
      </c>
      <c r="AD214" s="34" t="n">
        <f aca="false">AC$214+AD$209-AD$210</f>
        <v>0</v>
      </c>
      <c r="AE214" s="34" t="n">
        <f aca="false">AD$214+AE$209-AE$210</f>
        <v>0</v>
      </c>
      <c r="AF214" s="34" t="n">
        <f aca="false">AE$214+AF$209-AF$210</f>
        <v>0</v>
      </c>
      <c r="AG214" s="34" t="n">
        <f aca="false">AF$214+AG$209-AG$210</f>
        <v>0</v>
      </c>
      <c r="AH214" s="34" t="n">
        <f aca="false">AG$214+AH$209-AH$210</f>
        <v>0</v>
      </c>
      <c r="AI214" s="34" t="n">
        <f aca="false">AH$214+AI$209-AI$210</f>
        <v>0</v>
      </c>
      <c r="AJ214" s="34" t="n">
        <f aca="false">AI$214+AJ$209-AJ$210</f>
        <v>0</v>
      </c>
      <c r="AK214" s="34" t="n">
        <f aca="false">AJ$214+AK$209-AK$210</f>
        <v>0</v>
      </c>
      <c r="AL214" s="34" t="n">
        <f aca="false">AK$214+AL$209-AL$210</f>
        <v>0</v>
      </c>
      <c r="AM214" s="34" t="n">
        <f aca="false">AL$214+AM$209-AM$210</f>
        <v>0</v>
      </c>
      <c r="AN214" s="34" t="n">
        <f aca="false">AM$214+AN$209-AN$210</f>
        <v>0</v>
      </c>
      <c r="AO214" s="34" t="n">
        <f aca="false">AN$214+AO$209-AO$210</f>
        <v>0</v>
      </c>
      <c r="AP214" s="34" t="n">
        <f aca="false">AO$214+AP$209-AP$210</f>
        <v>0</v>
      </c>
      <c r="AQ214" s="34" t="n">
        <f aca="false">AP$214+AQ$209-AQ$210</f>
        <v>0</v>
      </c>
      <c r="AR214" s="34" t="n">
        <f aca="false">AQ$214+AR$209-AR$210</f>
        <v>0</v>
      </c>
      <c r="AS214" s="34" t="n">
        <f aca="false">AR$214+AS$209-AS$210</f>
        <v>0</v>
      </c>
      <c r="AT214" s="34" t="n">
        <f aca="false">AS$214+AT$209-AT$210</f>
        <v>0</v>
      </c>
      <c r="AU214" s="34" t="n">
        <f aca="false">AT$214+AU$209-AU$210</f>
        <v>0</v>
      </c>
      <c r="AV214" s="34" t="n">
        <f aca="false">AU$214+AV$209-AV$210</f>
        <v>0</v>
      </c>
      <c r="AW214" s="34" t="n">
        <f aca="false">AV$214+AW$209-AW$210</f>
        <v>0</v>
      </c>
      <c r="AX214" s="34" t="n">
        <f aca="false">AW$214+AX$209-AX$210</f>
        <v>0</v>
      </c>
      <c r="AY214" s="34" t="n">
        <f aca="false">AX$214+AY$209-AY$210</f>
        <v>0</v>
      </c>
      <c r="AZ214" s="34" t="n">
        <f aca="false">AY$214+AZ$209-AZ$210</f>
        <v>0</v>
      </c>
      <c r="BA214" s="34" t="n">
        <f aca="false">AZ$214+BA$209-BA$210</f>
        <v>0</v>
      </c>
      <c r="BB214" s="34" t="n">
        <f aca="false">BA$214+BB$209-BB$210</f>
        <v>0</v>
      </c>
      <c r="BC214" s="34" t="n">
        <f aca="false">BB$214+BC$209-BC$210</f>
        <v>0</v>
      </c>
      <c r="BD214" s="34" t="n">
        <f aca="false">BC$214+BD$209-BD$210</f>
        <v>0</v>
      </c>
      <c r="BE214" s="34" t="n">
        <f aca="false">BD$214+BE$209-BE$210</f>
        <v>0</v>
      </c>
      <c r="BF214" s="34" t="n">
        <f aca="false">BE$214+BF$209-BF$210</f>
        <v>0</v>
      </c>
      <c r="BG214" s="34" t="n">
        <f aca="false">BF$214+BG$209-BG$210</f>
        <v>0</v>
      </c>
      <c r="BH214" s="34" t="n">
        <f aca="false">BG$214+BH$209-BH$210</f>
        <v>0</v>
      </c>
      <c r="BI214" s="34" t="n">
        <f aca="false">BH$214+BI$209-BI$210</f>
        <v>0</v>
      </c>
      <c r="BJ214" s="34" t="n">
        <f aca="false">BI$214+BJ$209-BJ$210</f>
        <v>0</v>
      </c>
      <c r="BK214" s="34" t="n">
        <f aca="false">BJ$214+BK$209-BK$210</f>
        <v>0</v>
      </c>
      <c r="BL214" s="34" t="n">
        <f aca="false">BK$214+BL$209-BL$210</f>
        <v>0</v>
      </c>
      <c r="BM214" s="34" t="n">
        <f aca="false">BL$214+BM$209-BM$210</f>
        <v>0</v>
      </c>
      <c r="BN214" s="34" t="n">
        <f aca="false">BM$214+BN$209-BN$210</f>
        <v>0</v>
      </c>
      <c r="BO214" s="34" t="n">
        <f aca="false">BN$214+BO$209-BO$210</f>
        <v>0</v>
      </c>
      <c r="BP214" s="34" t="n">
        <f aca="false">BO$214+BP$209-BP$210</f>
        <v>0</v>
      </c>
      <c r="BQ214" s="34" t="n">
        <f aca="false">BP$214+BQ$209-BQ$210</f>
        <v>0</v>
      </c>
      <c r="BR214" s="34" t="n">
        <f aca="false">BQ$214+BR$209-BR$210</f>
        <v>0</v>
      </c>
      <c r="BS214" s="34" t="n">
        <f aca="false">BR$214+BS$209-BS$210</f>
        <v>0</v>
      </c>
      <c r="BT214" s="34" t="n">
        <f aca="false">BS$214+BT$209-BT$210</f>
        <v>0</v>
      </c>
      <c r="BU214" s="34" t="n">
        <f aca="false">BT$214+BU$209-BU$210</f>
        <v>0</v>
      </c>
      <c r="BV214" s="34" t="n">
        <f aca="false">BU$214+BV$209-BV$210</f>
        <v>0</v>
      </c>
      <c r="BW214" s="34" t="n">
        <f aca="false">BV$214+BW$209-BW$210</f>
        <v>0</v>
      </c>
      <c r="BX214" s="34" t="n">
        <f aca="false">BW$214+BX$209-BX$210</f>
        <v>0</v>
      </c>
      <c r="BY214" s="34" t="n">
        <f aca="false">BX$214+BY$209-BY$210</f>
        <v>0</v>
      </c>
      <c r="BZ214" s="34" t="n">
        <f aca="false">BY$214+BZ$209-BZ$210</f>
        <v>0</v>
      </c>
      <c r="CA214" s="34" t="n">
        <f aca="false">BZ$214+CA$209-CA$210</f>
        <v>0</v>
      </c>
      <c r="CB214" s="34" t="n">
        <f aca="false">CA$214+CB$209-CB$210</f>
        <v>0</v>
      </c>
      <c r="CC214" s="34" t="n">
        <f aca="false">CB$214+CC$209-CC$210</f>
        <v>0</v>
      </c>
      <c r="CD214" s="34" t="n">
        <f aca="false">CC$214+CD$209-CD$210</f>
        <v>0</v>
      </c>
      <c r="CE214" s="34" t="n">
        <f aca="false">CD$214+CE$209-CE$210</f>
        <v>0</v>
      </c>
      <c r="CF214" s="34" t="n">
        <f aca="false">CE$214+CF$209-CF$210</f>
        <v>0</v>
      </c>
      <c r="CG214" s="34" t="n">
        <f aca="false">CF$214+CG$209-CG$210</f>
        <v>0</v>
      </c>
      <c r="CH214" s="34" t="n">
        <f aca="false">CG$214+CH$209-CH$210</f>
        <v>0</v>
      </c>
      <c r="CI214" s="34" t="n">
        <f aca="false">CH$214+CI$209-CI$210</f>
        <v>0</v>
      </c>
      <c r="CJ214" s="34" t="n">
        <f aca="false">CI$214+CJ$209-CJ$210</f>
        <v>0</v>
      </c>
      <c r="CK214" s="34" t="n">
        <f aca="false">CJ$214+CK$209-CK$210</f>
        <v>0</v>
      </c>
      <c r="CL214" s="34" t="n">
        <f aca="false">CK$214+CL$209-CL$210</f>
        <v>0</v>
      </c>
      <c r="CM214" s="34" t="n">
        <f aca="false">CL$214+CM$209-CM$210</f>
        <v>0</v>
      </c>
      <c r="CN214" s="34" t="n">
        <f aca="false">CM$214+CN$209-CN$210</f>
        <v>0</v>
      </c>
      <c r="CO214" s="34" t="n">
        <f aca="false">CN$214+CO$209-CO$210</f>
        <v>0</v>
      </c>
      <c r="CP214" s="34" t="n">
        <f aca="false">CO$214+CP$209-CP$210</f>
        <v>0</v>
      </c>
      <c r="CQ214" s="34" t="n">
        <f aca="false">CP$214+CQ$209-CQ$210</f>
        <v>0</v>
      </c>
      <c r="CR214" s="34" t="n">
        <f aca="false">CQ$214+CR$209-CR$210</f>
        <v>0</v>
      </c>
      <c r="CS214" s="34" t="n">
        <f aca="false">CR$214+CS$209-CS$210</f>
        <v>0</v>
      </c>
      <c r="CT214" s="34" t="n">
        <f aca="false">CS$214+CT$209-CT$210</f>
        <v>0</v>
      </c>
      <c r="CU214" s="34" t="n">
        <f aca="false">CT$214+CU$209-CU$210</f>
        <v>0</v>
      </c>
      <c r="CV214" s="34" t="n">
        <f aca="false">CU$214+CV$209-CV$210</f>
        <v>0</v>
      </c>
      <c r="CW214" s="34" t="n">
        <f aca="false">CV$214+CW$209-CW$210</f>
        <v>0</v>
      </c>
      <c r="CX214" s="34" t="n">
        <f aca="false">CW$214+CX$209-CX$210</f>
        <v>0</v>
      </c>
      <c r="CY214" s="34" t="n">
        <f aca="false">CX$214+CY$209-CY$210</f>
        <v>0</v>
      </c>
      <c r="CZ214" s="34" t="n">
        <f aca="false">CY$214+CZ$209-CZ$210</f>
        <v>0</v>
      </c>
      <c r="DA214" s="34" t="n">
        <f aca="false">CZ$214+DA$209-DA$210</f>
        <v>0</v>
      </c>
      <c r="DB214" s="34" t="n">
        <f aca="false">DA$214+DB$209-DB$210</f>
        <v>0</v>
      </c>
      <c r="DC214" s="34" t="n">
        <f aca="false">DB$214+DC$209-DC$210</f>
        <v>0</v>
      </c>
      <c r="DD214" s="34" t="n">
        <f aca="false">DC$214+DD$209-DD$210</f>
        <v>0</v>
      </c>
      <c r="DE214" s="34" t="n">
        <f aca="false">DD$214+DE$209-DE$210</f>
        <v>0</v>
      </c>
      <c r="DF214" s="34" t="n">
        <f aca="false">DE$214+DF$209-DF$210</f>
        <v>0</v>
      </c>
      <c r="DG214" s="34" t="n">
        <f aca="false">DF$214+DG$209-DG$210</f>
        <v>0</v>
      </c>
      <c r="DH214" s="34" t="n">
        <f aca="false">DG$214+DH$209-DH$210</f>
        <v>0</v>
      </c>
      <c r="DI214" s="34" t="n">
        <f aca="false">DH$214+DI$209-DI$210</f>
        <v>0</v>
      </c>
      <c r="DJ214" s="34" t="n">
        <f aca="false">DI$214+DJ$209-DJ$210</f>
        <v>0</v>
      </c>
      <c r="DK214" s="34" t="n">
        <f aca="false">DJ$214+DK$209-DK$210</f>
        <v>0</v>
      </c>
      <c r="DL214" s="34" t="n">
        <f aca="false">DK$214+DL$209-DL$210</f>
        <v>0</v>
      </c>
      <c r="DM214" s="34" t="n">
        <f aca="false">DL$214+DM$209-DM$210</f>
        <v>0</v>
      </c>
      <c r="DN214" s="34" t="n">
        <f aca="false">DM$214+DN$209-DN$210</f>
        <v>0</v>
      </c>
      <c r="DO214" s="34" t="n">
        <f aca="false">DN$214+DO$209-DO$210</f>
        <v>0</v>
      </c>
      <c r="DP214" s="34" t="n">
        <f aca="false">DO$214+DP$209-DP$210</f>
        <v>0</v>
      </c>
      <c r="DQ214" s="34" t="n">
        <f aca="false">DP$214+DQ$209-DQ$210</f>
        <v>0</v>
      </c>
      <c r="DR214" s="34" t="n">
        <f aca="false">DQ$214+DR$209-DR$210</f>
        <v>0</v>
      </c>
      <c r="DS214" s="34" t="n">
        <f aca="false">DR$214+DS$209-DS$210</f>
        <v>0</v>
      </c>
      <c r="DT214" s="34" t="n">
        <f aca="false">DS$214+DT$209-DT$210</f>
        <v>0</v>
      </c>
      <c r="DU214" s="34" t="n">
        <f aca="false">DT$214+DU$209-DU$210</f>
        <v>0</v>
      </c>
      <c r="DV214" s="34" t="n">
        <f aca="false">DU$214+DV$209-DV$210</f>
        <v>0</v>
      </c>
      <c r="DW214" s="34" t="n">
        <f aca="false">DV$214+DW$209-DW$210</f>
        <v>0</v>
      </c>
      <c r="DX214" s="34" t="n">
        <f aca="false">DW$214+DX$209-DX$210</f>
        <v>0</v>
      </c>
      <c r="DY214" s="34" t="n">
        <f aca="false">DX$214+DY$209-DY$210</f>
        <v>0</v>
      </c>
      <c r="DZ214" s="34" t="n">
        <f aca="false">DY$214+DZ$209-DZ$210</f>
        <v>0</v>
      </c>
      <c r="EA214" s="34" t="n">
        <f aca="false">DZ$214+EA$209-EA$210</f>
        <v>0</v>
      </c>
      <c r="EB214" s="34" t="n">
        <f aca="false">EA$214+EB$209-EB$210</f>
        <v>0</v>
      </c>
      <c r="EC214" s="34" t="n">
        <f aca="false">EB$214+EC$209-EC$210</f>
        <v>0</v>
      </c>
      <c r="ED214" s="34" t="n">
        <f aca="false">EC$214+ED$209-ED$210</f>
        <v>0</v>
      </c>
      <c r="EE214" s="34" t="n">
        <f aca="false">ED$214+EE$209-EE$210</f>
        <v>0</v>
      </c>
      <c r="EF214" s="34" t="n">
        <f aca="false">EE$214+EF$209-EF$210</f>
        <v>0</v>
      </c>
      <c r="EG214" s="34" t="n">
        <f aca="false">EF$214+EG$209-EG$210</f>
        <v>0</v>
      </c>
      <c r="EH214" s="34" t="n">
        <f aca="false">EG$214+EH$209-EH$210</f>
        <v>0</v>
      </c>
      <c r="EI214" s="34" t="n">
        <f aca="false">EH$214+EI$209-EI$210</f>
        <v>0</v>
      </c>
      <c r="EJ214" s="34" t="n">
        <f aca="false">EI$214+EJ$209-EJ$210</f>
        <v>0</v>
      </c>
      <c r="EK214" s="34" t="n">
        <f aca="false">EJ$214+EK$209-EK$210</f>
        <v>0</v>
      </c>
      <c r="EL214" s="34" t="n">
        <f aca="false">EK$214+EL$209-EL$210</f>
        <v>0</v>
      </c>
      <c r="EM214" s="34" t="n">
        <f aca="false">EL$214+EM$209-EM$210</f>
        <v>0</v>
      </c>
      <c r="EN214" s="34" t="n">
        <f aca="false">EM$214+EN$209-EN$210</f>
        <v>0</v>
      </c>
      <c r="EO214" s="34" t="n">
        <f aca="false">EN$214+EO$209-EO$210</f>
        <v>0</v>
      </c>
      <c r="EP214" s="34" t="n">
        <f aca="false">EO$214+EP$209-EP$210</f>
        <v>0</v>
      </c>
      <c r="EQ214" s="34" t="n">
        <f aca="false">EP$214+EQ$209-EQ$210</f>
        <v>0</v>
      </c>
      <c r="ER214" s="34" t="n">
        <f aca="false">EQ$214+ER$209-ER$210</f>
        <v>0</v>
      </c>
      <c r="ES214" s="34" t="n">
        <f aca="false">ER$214+ES$209-ES$210</f>
        <v>0</v>
      </c>
    </row>
    <row r="215" customFormat="false" ht="15" hidden="false" customHeight="false" outlineLevel="0" collapsed="false">
      <c r="A215" s="4"/>
      <c r="B215" s="3" t="s">
        <v>550</v>
      </c>
      <c r="C215" s="4"/>
      <c r="D215" s="4"/>
      <c r="E215" s="4"/>
    </row>
    <row r="216" customFormat="false" ht="15" hidden="false" customHeight="false" outlineLevel="0" collapsed="false">
      <c r="A216" s="2" t="s">
        <v>690</v>
      </c>
      <c r="B216" s="6" t="s">
        <v>552</v>
      </c>
      <c r="C216" s="6" t="s">
        <v>212</v>
      </c>
      <c r="E216" s="40" t="n">
        <f aca="false">SUM(F216:ES216)</f>
        <v>0</v>
      </c>
      <c r="F216" s="34" t="n">
        <f aca="false">IF((1-N(V_L1_Mes)+1)=1,N(V_L1_Monto),0)*F$9</f>
        <v>0</v>
      </c>
      <c r="G216" s="34" t="n">
        <f aca="false">IF((2-N(V_L1_Mes)+1)=1,N(V_L1_Monto),0)*G$9</f>
        <v>0</v>
      </c>
      <c r="H216" s="34" t="n">
        <f aca="false">IF((3-N(V_L1_Mes)+1)=1,N(V_L1_Monto),0)*H$9</f>
        <v>0</v>
      </c>
      <c r="I216" s="34" t="n">
        <f aca="false">IF((4-N(V_L1_Mes)+1)=1,N(V_L1_Monto),0)*I$9</f>
        <v>0</v>
      </c>
      <c r="J216" s="34" t="n">
        <f aca="false">IF((5-N(V_L1_Mes)+1)=1,N(V_L1_Monto),0)*J$9</f>
        <v>0</v>
      </c>
      <c r="K216" s="34" t="n">
        <f aca="false">IF((6-N(V_L1_Mes)+1)=1,N(V_L1_Monto),0)*K$9</f>
        <v>0</v>
      </c>
      <c r="L216" s="34" t="n">
        <f aca="false">IF((7-N(V_L1_Mes)+1)=1,N(V_L1_Monto),0)*L$9</f>
        <v>0</v>
      </c>
      <c r="M216" s="34" t="n">
        <f aca="false">IF((8-N(V_L1_Mes)+1)=1,N(V_L1_Monto),0)*M$9</f>
        <v>0</v>
      </c>
      <c r="N216" s="34" t="n">
        <f aca="false">IF((9-N(V_L1_Mes)+1)=1,N(V_L1_Monto),0)*N$9</f>
        <v>0</v>
      </c>
      <c r="O216" s="34" t="n">
        <f aca="false">IF((10-N(V_L1_Mes)+1)=1,N(V_L1_Monto),0)*O$9</f>
        <v>0</v>
      </c>
      <c r="P216" s="34" t="n">
        <f aca="false">IF((11-N(V_L1_Mes)+1)=1,N(V_L1_Monto),0)*P$9</f>
        <v>0</v>
      </c>
      <c r="Q216" s="34" t="n">
        <f aca="false">IF((12-N(V_L1_Mes)+1)=1,N(V_L1_Monto),0)*Q$9</f>
        <v>0</v>
      </c>
      <c r="R216" s="34" t="n">
        <f aca="false">IF((13-N(V_L1_Mes)+1)=1,N(V_L1_Monto),0)*R$9</f>
        <v>0</v>
      </c>
      <c r="S216" s="34" t="n">
        <f aca="false">IF((14-N(V_L1_Mes)+1)=1,N(V_L1_Monto),0)*S$9</f>
        <v>0</v>
      </c>
      <c r="T216" s="34" t="n">
        <f aca="false">IF((15-N(V_L1_Mes)+1)=1,N(V_L1_Monto),0)*T$9</f>
        <v>0</v>
      </c>
      <c r="U216" s="34" t="n">
        <f aca="false">IF((16-N(V_L1_Mes)+1)=1,N(V_L1_Monto),0)*U$9</f>
        <v>0</v>
      </c>
      <c r="V216" s="34" t="n">
        <f aca="false">IF((17-N(V_L1_Mes)+1)=1,N(V_L1_Monto),0)*V$9</f>
        <v>0</v>
      </c>
      <c r="W216" s="34" t="n">
        <f aca="false">IF((18-N(V_L1_Mes)+1)=1,N(V_L1_Monto),0)*W$9</f>
        <v>0</v>
      </c>
      <c r="X216" s="34" t="n">
        <f aca="false">IF((19-N(V_L1_Mes)+1)=1,N(V_L1_Monto),0)*X$9</f>
        <v>0</v>
      </c>
      <c r="Y216" s="34" t="n">
        <f aca="false">IF((20-N(V_L1_Mes)+1)=1,N(V_L1_Monto),0)*Y$9</f>
        <v>0</v>
      </c>
      <c r="Z216" s="34" t="n">
        <f aca="false">IF((21-N(V_L1_Mes)+1)=1,N(V_L1_Monto),0)*Z$9</f>
        <v>0</v>
      </c>
      <c r="AA216" s="34" t="n">
        <f aca="false">IF((22-N(V_L1_Mes)+1)=1,N(V_L1_Monto),0)*AA$9</f>
        <v>0</v>
      </c>
      <c r="AB216" s="34" t="n">
        <f aca="false">IF((23-N(V_L1_Mes)+1)=1,N(V_L1_Monto),0)*AB$9</f>
        <v>0</v>
      </c>
      <c r="AC216" s="34" t="n">
        <f aca="false">IF((24-N(V_L1_Mes)+1)=1,N(V_L1_Monto),0)*AC$9</f>
        <v>0</v>
      </c>
      <c r="AD216" s="34" t="n">
        <f aca="false">IF((25-N(V_L1_Mes)+1)=1,N(V_L1_Monto),0)*AD$9</f>
        <v>0</v>
      </c>
      <c r="AE216" s="34" t="n">
        <f aca="false">IF((26-N(V_L1_Mes)+1)=1,N(V_L1_Monto),0)*AE$9</f>
        <v>0</v>
      </c>
      <c r="AF216" s="34" t="n">
        <f aca="false">IF((27-N(V_L1_Mes)+1)=1,N(V_L1_Monto),0)*AF$9</f>
        <v>0</v>
      </c>
      <c r="AG216" s="34" t="n">
        <f aca="false">IF((28-N(V_L1_Mes)+1)=1,N(V_L1_Monto),0)*AG$9</f>
        <v>0</v>
      </c>
      <c r="AH216" s="34" t="n">
        <f aca="false">IF((29-N(V_L1_Mes)+1)=1,N(V_L1_Monto),0)*AH$9</f>
        <v>0</v>
      </c>
      <c r="AI216" s="34" t="n">
        <f aca="false">IF((30-N(V_L1_Mes)+1)=1,N(V_L1_Monto),0)*AI$9</f>
        <v>0</v>
      </c>
      <c r="AJ216" s="34" t="n">
        <f aca="false">IF((31-N(V_L1_Mes)+1)=1,N(V_L1_Monto),0)*AJ$9</f>
        <v>0</v>
      </c>
      <c r="AK216" s="34" t="n">
        <f aca="false">IF((32-N(V_L1_Mes)+1)=1,N(V_L1_Monto),0)*AK$9</f>
        <v>0</v>
      </c>
      <c r="AL216" s="34" t="n">
        <f aca="false">IF((33-N(V_L1_Mes)+1)=1,N(V_L1_Monto),0)*AL$9</f>
        <v>0</v>
      </c>
      <c r="AM216" s="34" t="n">
        <f aca="false">IF((34-N(V_L1_Mes)+1)=1,N(V_L1_Monto),0)*AM$9</f>
        <v>0</v>
      </c>
      <c r="AN216" s="34" t="n">
        <f aca="false">IF((35-N(V_L1_Mes)+1)=1,N(V_L1_Monto),0)*AN$9</f>
        <v>0</v>
      </c>
      <c r="AO216" s="34" t="n">
        <f aca="false">IF((36-N(V_L1_Mes)+1)=1,N(V_L1_Monto),0)*AO$9</f>
        <v>0</v>
      </c>
      <c r="AP216" s="34" t="n">
        <f aca="false">IF((37-N(V_L1_Mes)+1)=1,N(V_L1_Monto),0)*AP$9</f>
        <v>0</v>
      </c>
      <c r="AQ216" s="34" t="n">
        <f aca="false">IF((38-N(V_L1_Mes)+1)=1,N(V_L1_Monto),0)*AQ$9</f>
        <v>0</v>
      </c>
      <c r="AR216" s="34" t="n">
        <f aca="false">IF((39-N(V_L1_Mes)+1)=1,N(V_L1_Monto),0)*AR$9</f>
        <v>0</v>
      </c>
      <c r="AS216" s="34" t="n">
        <f aca="false">IF((40-N(V_L1_Mes)+1)=1,N(V_L1_Monto),0)*AS$9</f>
        <v>0</v>
      </c>
      <c r="AT216" s="34" t="n">
        <f aca="false">IF((41-N(V_L1_Mes)+1)=1,N(V_L1_Monto),0)*AT$9</f>
        <v>0</v>
      </c>
      <c r="AU216" s="34" t="n">
        <f aca="false">IF((42-N(V_L1_Mes)+1)=1,N(V_L1_Monto),0)*AU$9</f>
        <v>0</v>
      </c>
      <c r="AV216" s="34" t="n">
        <f aca="false">IF((43-N(V_L1_Mes)+1)=1,N(V_L1_Monto),0)*AV$9</f>
        <v>0</v>
      </c>
      <c r="AW216" s="34" t="n">
        <f aca="false">IF((44-N(V_L1_Mes)+1)=1,N(V_L1_Monto),0)*AW$9</f>
        <v>0</v>
      </c>
      <c r="AX216" s="34" t="n">
        <f aca="false">IF((45-N(V_L1_Mes)+1)=1,N(V_L1_Monto),0)*AX$9</f>
        <v>0</v>
      </c>
      <c r="AY216" s="34" t="n">
        <f aca="false">IF((46-N(V_L1_Mes)+1)=1,N(V_L1_Monto),0)*AY$9</f>
        <v>0</v>
      </c>
      <c r="AZ216" s="34" t="n">
        <f aca="false">IF((47-N(V_L1_Mes)+1)=1,N(V_L1_Monto),0)*AZ$9</f>
        <v>0</v>
      </c>
      <c r="BA216" s="34" t="n">
        <f aca="false">IF((48-N(V_L1_Mes)+1)=1,N(V_L1_Monto),0)*BA$9</f>
        <v>0</v>
      </c>
      <c r="BB216" s="34" t="n">
        <f aca="false">IF((49-N(V_L1_Mes)+1)=1,N(V_L1_Monto),0)*BB$9</f>
        <v>0</v>
      </c>
      <c r="BC216" s="34" t="n">
        <f aca="false">IF((50-N(V_L1_Mes)+1)=1,N(V_L1_Monto),0)*BC$9</f>
        <v>0</v>
      </c>
      <c r="BD216" s="34" t="n">
        <f aca="false">IF((51-N(V_L1_Mes)+1)=1,N(V_L1_Monto),0)*BD$9</f>
        <v>0</v>
      </c>
      <c r="BE216" s="34" t="n">
        <f aca="false">IF((52-N(V_L1_Mes)+1)=1,N(V_L1_Monto),0)*BE$9</f>
        <v>0</v>
      </c>
      <c r="BF216" s="34" t="n">
        <f aca="false">IF((53-N(V_L1_Mes)+1)=1,N(V_L1_Monto),0)*BF$9</f>
        <v>0</v>
      </c>
      <c r="BG216" s="34" t="n">
        <f aca="false">IF((54-N(V_L1_Mes)+1)=1,N(V_L1_Monto),0)*BG$9</f>
        <v>0</v>
      </c>
      <c r="BH216" s="34" t="n">
        <f aca="false">IF((55-N(V_L1_Mes)+1)=1,N(V_L1_Monto),0)*BH$9</f>
        <v>0</v>
      </c>
      <c r="BI216" s="34" t="n">
        <f aca="false">IF((56-N(V_L1_Mes)+1)=1,N(V_L1_Monto),0)*BI$9</f>
        <v>0</v>
      </c>
      <c r="BJ216" s="34" t="n">
        <f aca="false">IF((57-N(V_L1_Mes)+1)=1,N(V_L1_Monto),0)*BJ$9</f>
        <v>0</v>
      </c>
      <c r="BK216" s="34" t="n">
        <f aca="false">IF((58-N(V_L1_Mes)+1)=1,N(V_L1_Monto),0)*BK$9</f>
        <v>0</v>
      </c>
      <c r="BL216" s="34" t="n">
        <f aca="false">IF((59-N(V_L1_Mes)+1)=1,N(V_L1_Monto),0)*BL$9</f>
        <v>0</v>
      </c>
      <c r="BM216" s="34" t="n">
        <f aca="false">IF((60-N(V_L1_Mes)+1)=1,N(V_L1_Monto),0)*BM$9</f>
        <v>0</v>
      </c>
      <c r="BN216" s="34" t="n">
        <f aca="false">IF((61-N(V_L1_Mes)+1)=1,N(V_L1_Monto),0)*BN$9</f>
        <v>0</v>
      </c>
      <c r="BO216" s="34" t="n">
        <f aca="false">IF((62-N(V_L1_Mes)+1)=1,N(V_L1_Monto),0)*BO$9</f>
        <v>0</v>
      </c>
      <c r="BP216" s="34" t="n">
        <f aca="false">IF((63-N(V_L1_Mes)+1)=1,N(V_L1_Monto),0)*BP$9</f>
        <v>0</v>
      </c>
      <c r="BQ216" s="34" t="n">
        <f aca="false">IF((64-N(V_L1_Mes)+1)=1,N(V_L1_Monto),0)*BQ$9</f>
        <v>0</v>
      </c>
      <c r="BR216" s="34" t="n">
        <f aca="false">IF((65-N(V_L1_Mes)+1)=1,N(V_L1_Monto),0)*BR$9</f>
        <v>0</v>
      </c>
      <c r="BS216" s="34" t="n">
        <f aca="false">IF((66-N(V_L1_Mes)+1)=1,N(V_L1_Monto),0)*BS$9</f>
        <v>0</v>
      </c>
      <c r="BT216" s="34" t="n">
        <f aca="false">IF((67-N(V_L1_Mes)+1)=1,N(V_L1_Monto),0)*BT$9</f>
        <v>0</v>
      </c>
      <c r="BU216" s="34" t="n">
        <f aca="false">IF((68-N(V_L1_Mes)+1)=1,N(V_L1_Monto),0)*BU$9</f>
        <v>0</v>
      </c>
      <c r="BV216" s="34" t="n">
        <f aca="false">IF((69-N(V_L1_Mes)+1)=1,N(V_L1_Monto),0)*BV$9</f>
        <v>0</v>
      </c>
      <c r="BW216" s="34" t="n">
        <f aca="false">IF((70-N(V_L1_Mes)+1)=1,N(V_L1_Monto),0)*BW$9</f>
        <v>0</v>
      </c>
      <c r="BX216" s="34" t="n">
        <f aca="false">IF((71-N(V_L1_Mes)+1)=1,N(V_L1_Monto),0)*BX$9</f>
        <v>0</v>
      </c>
      <c r="BY216" s="34" t="n">
        <f aca="false">IF((72-N(V_L1_Mes)+1)=1,N(V_L1_Monto),0)*BY$9</f>
        <v>0</v>
      </c>
      <c r="BZ216" s="34" t="n">
        <f aca="false">IF((73-N(V_L1_Mes)+1)=1,N(V_L1_Monto),0)*BZ$9</f>
        <v>0</v>
      </c>
      <c r="CA216" s="34" t="n">
        <f aca="false">IF((74-N(V_L1_Mes)+1)=1,N(V_L1_Monto),0)*CA$9</f>
        <v>0</v>
      </c>
      <c r="CB216" s="34" t="n">
        <f aca="false">IF((75-N(V_L1_Mes)+1)=1,N(V_L1_Monto),0)*CB$9</f>
        <v>0</v>
      </c>
      <c r="CC216" s="34" t="n">
        <f aca="false">IF((76-N(V_L1_Mes)+1)=1,N(V_L1_Monto),0)*CC$9</f>
        <v>0</v>
      </c>
      <c r="CD216" s="34" t="n">
        <f aca="false">IF((77-N(V_L1_Mes)+1)=1,N(V_L1_Monto),0)*CD$9</f>
        <v>0</v>
      </c>
      <c r="CE216" s="34" t="n">
        <f aca="false">IF((78-N(V_L1_Mes)+1)=1,N(V_L1_Monto),0)*CE$9</f>
        <v>0</v>
      </c>
      <c r="CF216" s="34" t="n">
        <f aca="false">IF((79-N(V_L1_Mes)+1)=1,N(V_L1_Monto),0)*CF$9</f>
        <v>0</v>
      </c>
      <c r="CG216" s="34" t="n">
        <f aca="false">IF((80-N(V_L1_Mes)+1)=1,N(V_L1_Monto),0)*CG$9</f>
        <v>0</v>
      </c>
      <c r="CH216" s="34" t="n">
        <f aca="false">IF((81-N(V_L1_Mes)+1)=1,N(V_L1_Monto),0)*CH$9</f>
        <v>0</v>
      </c>
      <c r="CI216" s="34" t="n">
        <f aca="false">IF((82-N(V_L1_Mes)+1)=1,N(V_L1_Monto),0)*CI$9</f>
        <v>0</v>
      </c>
      <c r="CJ216" s="34" t="n">
        <f aca="false">IF((83-N(V_L1_Mes)+1)=1,N(V_L1_Monto),0)*CJ$9</f>
        <v>0</v>
      </c>
      <c r="CK216" s="34" t="n">
        <f aca="false">IF((84-N(V_L1_Mes)+1)=1,N(V_L1_Monto),0)*CK$9</f>
        <v>0</v>
      </c>
      <c r="CL216" s="34" t="n">
        <f aca="false">IF((85-N(V_L1_Mes)+1)=1,N(V_L1_Monto),0)*CL$9</f>
        <v>0</v>
      </c>
      <c r="CM216" s="34" t="n">
        <f aca="false">IF((86-N(V_L1_Mes)+1)=1,N(V_L1_Monto),0)*CM$9</f>
        <v>0</v>
      </c>
      <c r="CN216" s="34" t="n">
        <f aca="false">IF((87-N(V_L1_Mes)+1)=1,N(V_L1_Monto),0)*CN$9</f>
        <v>0</v>
      </c>
      <c r="CO216" s="34" t="n">
        <f aca="false">IF((88-N(V_L1_Mes)+1)=1,N(V_L1_Monto),0)*CO$9</f>
        <v>0</v>
      </c>
      <c r="CP216" s="34" t="n">
        <f aca="false">IF((89-N(V_L1_Mes)+1)=1,N(V_L1_Monto),0)*CP$9</f>
        <v>0</v>
      </c>
      <c r="CQ216" s="34" t="n">
        <f aca="false">IF((90-N(V_L1_Mes)+1)=1,N(V_L1_Monto),0)*CQ$9</f>
        <v>0</v>
      </c>
      <c r="CR216" s="34" t="n">
        <f aca="false">IF((91-N(V_L1_Mes)+1)=1,N(V_L1_Monto),0)*CR$9</f>
        <v>0</v>
      </c>
      <c r="CS216" s="34" t="n">
        <f aca="false">IF((92-N(V_L1_Mes)+1)=1,N(V_L1_Monto),0)*CS$9</f>
        <v>0</v>
      </c>
      <c r="CT216" s="34" t="n">
        <f aca="false">IF((93-N(V_L1_Mes)+1)=1,N(V_L1_Monto),0)*CT$9</f>
        <v>0</v>
      </c>
      <c r="CU216" s="34" t="n">
        <f aca="false">IF((94-N(V_L1_Mes)+1)=1,N(V_L1_Monto),0)*CU$9</f>
        <v>0</v>
      </c>
      <c r="CV216" s="34" t="n">
        <f aca="false">IF((95-N(V_L1_Mes)+1)=1,N(V_L1_Monto),0)*CV$9</f>
        <v>0</v>
      </c>
      <c r="CW216" s="34" t="n">
        <f aca="false">IF((96-N(V_L1_Mes)+1)=1,N(V_L1_Monto),0)*CW$9</f>
        <v>0</v>
      </c>
      <c r="CX216" s="34" t="n">
        <f aca="false">IF((97-N(V_L1_Mes)+1)=1,N(V_L1_Monto),0)*CX$9</f>
        <v>0</v>
      </c>
      <c r="CY216" s="34" t="n">
        <f aca="false">IF((98-N(V_L1_Mes)+1)=1,N(V_L1_Monto),0)*CY$9</f>
        <v>0</v>
      </c>
      <c r="CZ216" s="34" t="n">
        <f aca="false">IF((99-N(V_L1_Mes)+1)=1,N(V_L1_Monto),0)*CZ$9</f>
        <v>0</v>
      </c>
      <c r="DA216" s="34" t="n">
        <f aca="false">IF((100-N(V_L1_Mes)+1)=1,N(V_L1_Monto),0)*DA$9</f>
        <v>0</v>
      </c>
      <c r="DB216" s="34" t="n">
        <f aca="false">IF((101-N(V_L1_Mes)+1)=1,N(V_L1_Monto),0)*DB$9</f>
        <v>0</v>
      </c>
      <c r="DC216" s="34" t="n">
        <f aca="false">IF((102-N(V_L1_Mes)+1)=1,N(V_L1_Monto),0)*DC$9</f>
        <v>0</v>
      </c>
      <c r="DD216" s="34" t="n">
        <f aca="false">IF((103-N(V_L1_Mes)+1)=1,N(V_L1_Monto),0)*DD$9</f>
        <v>0</v>
      </c>
      <c r="DE216" s="34" t="n">
        <f aca="false">IF((104-N(V_L1_Mes)+1)=1,N(V_L1_Monto),0)*DE$9</f>
        <v>0</v>
      </c>
      <c r="DF216" s="34" t="n">
        <f aca="false">IF((105-N(V_L1_Mes)+1)=1,N(V_L1_Monto),0)*DF$9</f>
        <v>0</v>
      </c>
      <c r="DG216" s="34" t="n">
        <f aca="false">IF((106-N(V_L1_Mes)+1)=1,N(V_L1_Monto),0)*DG$9</f>
        <v>0</v>
      </c>
      <c r="DH216" s="34" t="n">
        <f aca="false">IF((107-N(V_L1_Mes)+1)=1,N(V_L1_Monto),0)*DH$9</f>
        <v>0</v>
      </c>
      <c r="DI216" s="34" t="n">
        <f aca="false">IF((108-N(V_L1_Mes)+1)=1,N(V_L1_Monto),0)*DI$9</f>
        <v>0</v>
      </c>
      <c r="DJ216" s="34" t="n">
        <f aca="false">IF((109-N(V_L1_Mes)+1)=1,N(V_L1_Monto),0)*DJ$9</f>
        <v>0</v>
      </c>
      <c r="DK216" s="34" t="n">
        <f aca="false">IF((110-N(V_L1_Mes)+1)=1,N(V_L1_Monto),0)*DK$9</f>
        <v>0</v>
      </c>
      <c r="DL216" s="34" t="n">
        <f aca="false">IF((111-N(V_L1_Mes)+1)=1,N(V_L1_Monto),0)*DL$9</f>
        <v>0</v>
      </c>
      <c r="DM216" s="34" t="n">
        <f aca="false">IF((112-N(V_L1_Mes)+1)=1,N(V_L1_Monto),0)*DM$9</f>
        <v>0</v>
      </c>
      <c r="DN216" s="34" t="n">
        <f aca="false">IF((113-N(V_L1_Mes)+1)=1,N(V_L1_Monto),0)*DN$9</f>
        <v>0</v>
      </c>
      <c r="DO216" s="34" t="n">
        <f aca="false">IF((114-N(V_L1_Mes)+1)=1,N(V_L1_Monto),0)*DO$9</f>
        <v>0</v>
      </c>
      <c r="DP216" s="34" t="n">
        <f aca="false">IF((115-N(V_L1_Mes)+1)=1,N(V_L1_Monto),0)*DP$9</f>
        <v>0</v>
      </c>
      <c r="DQ216" s="34" t="n">
        <f aca="false">IF((116-N(V_L1_Mes)+1)=1,N(V_L1_Monto),0)*DQ$9</f>
        <v>0</v>
      </c>
      <c r="DR216" s="34" t="n">
        <f aca="false">IF((117-N(V_L1_Mes)+1)=1,N(V_L1_Monto),0)*DR$9</f>
        <v>0</v>
      </c>
      <c r="DS216" s="34" t="n">
        <f aca="false">IF((118-N(V_L1_Mes)+1)=1,N(V_L1_Monto),0)*DS$9</f>
        <v>0</v>
      </c>
      <c r="DT216" s="34" t="n">
        <f aca="false">IF((119-N(V_L1_Mes)+1)=1,N(V_L1_Monto),0)*DT$9</f>
        <v>0</v>
      </c>
      <c r="DU216" s="34" t="n">
        <f aca="false">IF((120-N(V_L1_Mes)+1)=1,N(V_L1_Monto),0)*DU$9</f>
        <v>0</v>
      </c>
      <c r="DV216" s="34" t="n">
        <f aca="false">IF((121-N(V_L1_Mes)+1)=1,N(V_L1_Monto),0)*DV$9</f>
        <v>0</v>
      </c>
      <c r="DW216" s="34" t="n">
        <f aca="false">IF((122-N(V_L1_Mes)+1)=1,N(V_L1_Monto),0)*DW$9</f>
        <v>0</v>
      </c>
      <c r="DX216" s="34" t="n">
        <f aca="false">IF((123-N(V_L1_Mes)+1)=1,N(V_L1_Monto),0)*DX$9</f>
        <v>0</v>
      </c>
      <c r="DY216" s="34" t="n">
        <f aca="false">IF((124-N(V_L1_Mes)+1)=1,N(V_L1_Monto),0)*DY$9</f>
        <v>0</v>
      </c>
      <c r="DZ216" s="34" t="n">
        <f aca="false">IF((125-N(V_L1_Mes)+1)=1,N(V_L1_Monto),0)*DZ$9</f>
        <v>0</v>
      </c>
      <c r="EA216" s="34" t="n">
        <f aca="false">IF((126-N(V_L1_Mes)+1)=1,N(V_L1_Monto),0)*EA$9</f>
        <v>0</v>
      </c>
      <c r="EB216" s="34" t="n">
        <f aca="false">IF((127-N(V_L1_Mes)+1)=1,N(V_L1_Monto),0)*EB$9</f>
        <v>0</v>
      </c>
      <c r="EC216" s="34" t="n">
        <f aca="false">IF((128-N(V_L1_Mes)+1)=1,N(V_L1_Monto),0)*EC$9</f>
        <v>0</v>
      </c>
      <c r="ED216" s="34" t="n">
        <f aca="false">IF((129-N(V_L1_Mes)+1)=1,N(V_L1_Monto),0)*ED$9</f>
        <v>0</v>
      </c>
      <c r="EE216" s="34" t="n">
        <f aca="false">IF((130-N(V_L1_Mes)+1)=1,N(V_L1_Monto),0)*EE$9</f>
        <v>0</v>
      </c>
      <c r="EF216" s="34" t="n">
        <f aca="false">IF((131-N(V_L1_Mes)+1)=1,N(V_L1_Monto),0)*EF$9</f>
        <v>0</v>
      </c>
      <c r="EG216" s="34" t="n">
        <f aca="false">IF((132-N(V_L1_Mes)+1)=1,N(V_L1_Monto),0)*EG$9</f>
        <v>0</v>
      </c>
      <c r="EH216" s="34" t="n">
        <f aca="false">IF((133-N(V_L1_Mes)+1)=1,N(V_L1_Monto),0)*EH$9</f>
        <v>0</v>
      </c>
      <c r="EI216" s="34" t="n">
        <f aca="false">IF((134-N(V_L1_Mes)+1)=1,N(V_L1_Monto),0)*EI$9</f>
        <v>0</v>
      </c>
      <c r="EJ216" s="34" t="n">
        <f aca="false">IF((135-N(V_L1_Mes)+1)=1,N(V_L1_Monto),0)*EJ$9</f>
        <v>0</v>
      </c>
      <c r="EK216" s="34" t="n">
        <f aca="false">IF((136-N(V_L1_Mes)+1)=1,N(V_L1_Monto),0)*EK$9</f>
        <v>0</v>
      </c>
      <c r="EL216" s="34" t="n">
        <f aca="false">IF((137-N(V_L1_Mes)+1)=1,N(V_L1_Monto),0)*EL$9</f>
        <v>0</v>
      </c>
      <c r="EM216" s="34" t="n">
        <f aca="false">IF((138-N(V_L1_Mes)+1)=1,N(V_L1_Monto),0)*EM$9</f>
        <v>0</v>
      </c>
      <c r="EN216" s="34" t="n">
        <f aca="false">IF((139-N(V_L1_Mes)+1)=1,N(V_L1_Monto),0)*EN$9</f>
        <v>0</v>
      </c>
      <c r="EO216" s="34" t="n">
        <f aca="false">IF((140-N(V_L1_Mes)+1)=1,N(V_L1_Monto),0)*EO$9</f>
        <v>0</v>
      </c>
      <c r="EP216" s="34" t="n">
        <f aca="false">IF((141-N(V_L1_Mes)+1)=1,N(V_L1_Monto),0)*EP$9</f>
        <v>0</v>
      </c>
      <c r="EQ216" s="34" t="n">
        <f aca="false">IF((142-N(V_L1_Mes)+1)=1,N(V_L1_Monto),0)*EQ$9</f>
        <v>0</v>
      </c>
      <c r="ER216" s="34" t="n">
        <f aca="false">IF((143-N(V_L1_Mes)+1)=1,N(V_L1_Monto),0)*ER$9</f>
        <v>0</v>
      </c>
      <c r="ES216" s="34" t="n">
        <f aca="false">IF((144-N(V_L1_Mes)+1)=1,N(V_L1_Monto),0)*ES$9</f>
        <v>0</v>
      </c>
    </row>
    <row r="217" customFormat="false" ht="15" hidden="false" customHeight="false" outlineLevel="0" collapsed="false">
      <c r="A217" s="2" t="s">
        <v>691</v>
      </c>
      <c r="B217" s="6" t="s">
        <v>554</v>
      </c>
      <c r="C217" s="6" t="s">
        <v>212</v>
      </c>
      <c r="E217" s="40" t="n">
        <f aca="false">SUM(F217:ES217)</f>
        <v>0</v>
      </c>
      <c r="F217" s="34" t="n">
        <f aca="false">IF((1-N(V_L1_Mes)+1)&gt;=1,IF((1-N(V_L1_Mes)+1)=1,N(V_L1_Monto),0)*N(V_L1_Tasa)/12,0)*F$9</f>
        <v>0</v>
      </c>
      <c r="G217" s="34" t="n">
        <f aca="false">IF((2-N(V_L1_Mes)+1)&gt;=1,IF((2-N(V_L1_Mes)+1)=1,N(V_L1_Monto),F$219)*N(V_L1_Tasa)/12,0)*G$9</f>
        <v>0</v>
      </c>
      <c r="H217" s="34" t="n">
        <f aca="false">IF((3-N(V_L1_Mes)+1)&gt;=1,IF((3-N(V_L1_Mes)+1)=1,N(V_L1_Monto),G$219)*N(V_L1_Tasa)/12,0)*H$9</f>
        <v>0</v>
      </c>
      <c r="I217" s="34" t="n">
        <f aca="false">IF((4-N(V_L1_Mes)+1)&gt;=1,IF((4-N(V_L1_Mes)+1)=1,N(V_L1_Monto),H$219)*N(V_L1_Tasa)/12,0)*I$9</f>
        <v>0</v>
      </c>
      <c r="J217" s="34" t="n">
        <f aca="false">IF((5-N(V_L1_Mes)+1)&gt;=1,IF((5-N(V_L1_Mes)+1)=1,N(V_L1_Monto),I$219)*N(V_L1_Tasa)/12,0)*J$9</f>
        <v>0</v>
      </c>
      <c r="K217" s="34" t="n">
        <f aca="false">IF((6-N(V_L1_Mes)+1)&gt;=1,IF((6-N(V_L1_Mes)+1)=1,N(V_L1_Monto),J$219)*N(V_L1_Tasa)/12,0)*K$9</f>
        <v>0</v>
      </c>
      <c r="L217" s="34" t="n">
        <f aca="false">IF((7-N(V_L1_Mes)+1)&gt;=1,IF((7-N(V_L1_Mes)+1)=1,N(V_L1_Monto),K$219)*N(V_L1_Tasa)/12,0)*L$9</f>
        <v>0</v>
      </c>
      <c r="M217" s="34" t="n">
        <f aca="false">IF((8-N(V_L1_Mes)+1)&gt;=1,IF((8-N(V_L1_Mes)+1)=1,N(V_L1_Monto),L$219)*N(V_L1_Tasa)/12,0)*M$9</f>
        <v>0</v>
      </c>
      <c r="N217" s="34" t="n">
        <f aca="false">IF((9-N(V_L1_Mes)+1)&gt;=1,IF((9-N(V_L1_Mes)+1)=1,N(V_L1_Monto),M$219)*N(V_L1_Tasa)/12,0)*N$9</f>
        <v>0</v>
      </c>
      <c r="O217" s="34" t="n">
        <f aca="false">IF((10-N(V_L1_Mes)+1)&gt;=1,IF((10-N(V_L1_Mes)+1)=1,N(V_L1_Monto),N$219)*N(V_L1_Tasa)/12,0)*O$9</f>
        <v>0</v>
      </c>
      <c r="P217" s="34" t="n">
        <f aca="false">IF((11-N(V_L1_Mes)+1)&gt;=1,IF((11-N(V_L1_Mes)+1)=1,N(V_L1_Monto),O$219)*N(V_L1_Tasa)/12,0)*P$9</f>
        <v>0</v>
      </c>
      <c r="Q217" s="34" t="n">
        <f aca="false">IF((12-N(V_L1_Mes)+1)&gt;=1,IF((12-N(V_L1_Mes)+1)=1,N(V_L1_Monto),P$219)*N(V_L1_Tasa)/12,0)*Q$9</f>
        <v>0</v>
      </c>
      <c r="R217" s="34" t="n">
        <f aca="false">IF((13-N(V_L1_Mes)+1)&gt;=1,IF((13-N(V_L1_Mes)+1)=1,N(V_L1_Monto),Q$219)*N(V_L1_Tasa)/12,0)*R$9</f>
        <v>0</v>
      </c>
      <c r="S217" s="34" t="n">
        <f aca="false">IF((14-N(V_L1_Mes)+1)&gt;=1,IF((14-N(V_L1_Mes)+1)=1,N(V_L1_Monto),R$219)*N(V_L1_Tasa)/12,0)*S$9</f>
        <v>0</v>
      </c>
      <c r="T217" s="34" t="n">
        <f aca="false">IF((15-N(V_L1_Mes)+1)&gt;=1,IF((15-N(V_L1_Mes)+1)=1,N(V_L1_Monto),S$219)*N(V_L1_Tasa)/12,0)*T$9</f>
        <v>0</v>
      </c>
      <c r="U217" s="34" t="n">
        <f aca="false">IF((16-N(V_L1_Mes)+1)&gt;=1,IF((16-N(V_L1_Mes)+1)=1,N(V_L1_Monto),T$219)*N(V_L1_Tasa)/12,0)*U$9</f>
        <v>0</v>
      </c>
      <c r="V217" s="34" t="n">
        <f aca="false">IF((17-N(V_L1_Mes)+1)&gt;=1,IF((17-N(V_L1_Mes)+1)=1,N(V_L1_Monto),U$219)*N(V_L1_Tasa)/12,0)*V$9</f>
        <v>0</v>
      </c>
      <c r="W217" s="34" t="n">
        <f aca="false">IF((18-N(V_L1_Mes)+1)&gt;=1,IF((18-N(V_L1_Mes)+1)=1,N(V_L1_Monto),V$219)*N(V_L1_Tasa)/12,0)*W$9</f>
        <v>0</v>
      </c>
      <c r="X217" s="34" t="n">
        <f aca="false">IF((19-N(V_L1_Mes)+1)&gt;=1,IF((19-N(V_L1_Mes)+1)=1,N(V_L1_Monto),W$219)*N(V_L1_Tasa)/12,0)*X$9</f>
        <v>0</v>
      </c>
      <c r="Y217" s="34" t="n">
        <f aca="false">IF((20-N(V_L1_Mes)+1)&gt;=1,IF((20-N(V_L1_Mes)+1)=1,N(V_L1_Monto),X$219)*N(V_L1_Tasa)/12,0)*Y$9</f>
        <v>0</v>
      </c>
      <c r="Z217" s="34" t="n">
        <f aca="false">IF((21-N(V_L1_Mes)+1)&gt;=1,IF((21-N(V_L1_Mes)+1)=1,N(V_L1_Monto),Y$219)*N(V_L1_Tasa)/12,0)*Z$9</f>
        <v>0</v>
      </c>
      <c r="AA217" s="34" t="n">
        <f aca="false">IF((22-N(V_L1_Mes)+1)&gt;=1,IF((22-N(V_L1_Mes)+1)=1,N(V_L1_Monto),Z$219)*N(V_L1_Tasa)/12,0)*AA$9</f>
        <v>0</v>
      </c>
      <c r="AB217" s="34" t="n">
        <f aca="false">IF((23-N(V_L1_Mes)+1)&gt;=1,IF((23-N(V_L1_Mes)+1)=1,N(V_L1_Monto),AA$219)*N(V_L1_Tasa)/12,0)*AB$9</f>
        <v>0</v>
      </c>
      <c r="AC217" s="34" t="n">
        <f aca="false">IF((24-N(V_L1_Mes)+1)&gt;=1,IF((24-N(V_L1_Mes)+1)=1,N(V_L1_Monto),AB$219)*N(V_L1_Tasa)/12,0)*AC$9</f>
        <v>0</v>
      </c>
      <c r="AD217" s="34" t="n">
        <f aca="false">IF((25-N(V_L1_Mes)+1)&gt;=1,IF((25-N(V_L1_Mes)+1)=1,N(V_L1_Monto),AC$219)*N(V_L1_Tasa)/12,0)*AD$9</f>
        <v>0</v>
      </c>
      <c r="AE217" s="34" t="n">
        <f aca="false">IF((26-N(V_L1_Mes)+1)&gt;=1,IF((26-N(V_L1_Mes)+1)=1,N(V_L1_Monto),AD$219)*N(V_L1_Tasa)/12,0)*AE$9</f>
        <v>0</v>
      </c>
      <c r="AF217" s="34" t="n">
        <f aca="false">IF((27-N(V_L1_Mes)+1)&gt;=1,IF((27-N(V_L1_Mes)+1)=1,N(V_L1_Monto),AE$219)*N(V_L1_Tasa)/12,0)*AF$9</f>
        <v>0</v>
      </c>
      <c r="AG217" s="34" t="n">
        <f aca="false">IF((28-N(V_L1_Mes)+1)&gt;=1,IF((28-N(V_L1_Mes)+1)=1,N(V_L1_Monto),AF$219)*N(V_L1_Tasa)/12,0)*AG$9</f>
        <v>0</v>
      </c>
      <c r="AH217" s="34" t="n">
        <f aca="false">IF((29-N(V_L1_Mes)+1)&gt;=1,IF((29-N(V_L1_Mes)+1)=1,N(V_L1_Monto),AG$219)*N(V_L1_Tasa)/12,0)*AH$9</f>
        <v>0</v>
      </c>
      <c r="AI217" s="34" t="n">
        <f aca="false">IF((30-N(V_L1_Mes)+1)&gt;=1,IF((30-N(V_L1_Mes)+1)=1,N(V_L1_Monto),AH$219)*N(V_L1_Tasa)/12,0)*AI$9</f>
        <v>0</v>
      </c>
      <c r="AJ217" s="34" t="n">
        <f aca="false">IF((31-N(V_L1_Mes)+1)&gt;=1,IF((31-N(V_L1_Mes)+1)=1,N(V_L1_Monto),AI$219)*N(V_L1_Tasa)/12,0)*AJ$9</f>
        <v>0</v>
      </c>
      <c r="AK217" s="34" t="n">
        <f aca="false">IF((32-N(V_L1_Mes)+1)&gt;=1,IF((32-N(V_L1_Mes)+1)=1,N(V_L1_Monto),AJ$219)*N(V_L1_Tasa)/12,0)*AK$9</f>
        <v>0</v>
      </c>
      <c r="AL217" s="34" t="n">
        <f aca="false">IF((33-N(V_L1_Mes)+1)&gt;=1,IF((33-N(V_L1_Mes)+1)=1,N(V_L1_Monto),AK$219)*N(V_L1_Tasa)/12,0)*AL$9</f>
        <v>0</v>
      </c>
      <c r="AM217" s="34" t="n">
        <f aca="false">IF((34-N(V_L1_Mes)+1)&gt;=1,IF((34-N(V_L1_Mes)+1)=1,N(V_L1_Monto),AL$219)*N(V_L1_Tasa)/12,0)*AM$9</f>
        <v>0</v>
      </c>
      <c r="AN217" s="34" t="n">
        <f aca="false">IF((35-N(V_L1_Mes)+1)&gt;=1,IF((35-N(V_L1_Mes)+1)=1,N(V_L1_Monto),AM$219)*N(V_L1_Tasa)/12,0)*AN$9</f>
        <v>0</v>
      </c>
      <c r="AO217" s="34" t="n">
        <f aca="false">IF((36-N(V_L1_Mes)+1)&gt;=1,IF((36-N(V_L1_Mes)+1)=1,N(V_L1_Monto),AN$219)*N(V_L1_Tasa)/12,0)*AO$9</f>
        <v>0</v>
      </c>
      <c r="AP217" s="34" t="n">
        <f aca="false">IF((37-N(V_L1_Mes)+1)&gt;=1,IF((37-N(V_L1_Mes)+1)=1,N(V_L1_Monto),AO$219)*N(V_L1_Tasa)/12,0)*AP$9</f>
        <v>0</v>
      </c>
      <c r="AQ217" s="34" t="n">
        <f aca="false">IF((38-N(V_L1_Mes)+1)&gt;=1,IF((38-N(V_L1_Mes)+1)=1,N(V_L1_Monto),AP$219)*N(V_L1_Tasa)/12,0)*AQ$9</f>
        <v>0</v>
      </c>
      <c r="AR217" s="34" t="n">
        <f aca="false">IF((39-N(V_L1_Mes)+1)&gt;=1,IF((39-N(V_L1_Mes)+1)=1,N(V_L1_Monto),AQ$219)*N(V_L1_Tasa)/12,0)*AR$9</f>
        <v>0</v>
      </c>
      <c r="AS217" s="34" t="n">
        <f aca="false">IF((40-N(V_L1_Mes)+1)&gt;=1,IF((40-N(V_L1_Mes)+1)=1,N(V_L1_Monto),AR$219)*N(V_L1_Tasa)/12,0)*AS$9</f>
        <v>0</v>
      </c>
      <c r="AT217" s="34" t="n">
        <f aca="false">IF((41-N(V_L1_Mes)+1)&gt;=1,IF((41-N(V_L1_Mes)+1)=1,N(V_L1_Monto),AS$219)*N(V_L1_Tasa)/12,0)*AT$9</f>
        <v>0</v>
      </c>
      <c r="AU217" s="34" t="n">
        <f aca="false">IF((42-N(V_L1_Mes)+1)&gt;=1,IF((42-N(V_L1_Mes)+1)=1,N(V_L1_Monto),AT$219)*N(V_L1_Tasa)/12,0)*AU$9</f>
        <v>0</v>
      </c>
      <c r="AV217" s="34" t="n">
        <f aca="false">IF((43-N(V_L1_Mes)+1)&gt;=1,IF((43-N(V_L1_Mes)+1)=1,N(V_L1_Monto),AU$219)*N(V_L1_Tasa)/12,0)*AV$9</f>
        <v>0</v>
      </c>
      <c r="AW217" s="34" t="n">
        <f aca="false">IF((44-N(V_L1_Mes)+1)&gt;=1,IF((44-N(V_L1_Mes)+1)=1,N(V_L1_Monto),AV$219)*N(V_L1_Tasa)/12,0)*AW$9</f>
        <v>0</v>
      </c>
      <c r="AX217" s="34" t="n">
        <f aca="false">IF((45-N(V_L1_Mes)+1)&gt;=1,IF((45-N(V_L1_Mes)+1)=1,N(V_L1_Monto),AW$219)*N(V_L1_Tasa)/12,0)*AX$9</f>
        <v>0</v>
      </c>
      <c r="AY217" s="34" t="n">
        <f aca="false">IF((46-N(V_L1_Mes)+1)&gt;=1,IF((46-N(V_L1_Mes)+1)=1,N(V_L1_Monto),AX$219)*N(V_L1_Tasa)/12,0)*AY$9</f>
        <v>0</v>
      </c>
      <c r="AZ217" s="34" t="n">
        <f aca="false">IF((47-N(V_L1_Mes)+1)&gt;=1,IF((47-N(V_L1_Mes)+1)=1,N(V_L1_Monto),AY$219)*N(V_L1_Tasa)/12,0)*AZ$9</f>
        <v>0</v>
      </c>
      <c r="BA217" s="34" t="n">
        <f aca="false">IF((48-N(V_L1_Mes)+1)&gt;=1,IF((48-N(V_L1_Mes)+1)=1,N(V_L1_Monto),AZ$219)*N(V_L1_Tasa)/12,0)*BA$9</f>
        <v>0</v>
      </c>
      <c r="BB217" s="34" t="n">
        <f aca="false">IF((49-N(V_L1_Mes)+1)&gt;=1,IF((49-N(V_L1_Mes)+1)=1,N(V_L1_Monto),BA$219)*N(V_L1_Tasa)/12,0)*BB$9</f>
        <v>0</v>
      </c>
      <c r="BC217" s="34" t="n">
        <f aca="false">IF((50-N(V_L1_Mes)+1)&gt;=1,IF((50-N(V_L1_Mes)+1)=1,N(V_L1_Monto),BB$219)*N(V_L1_Tasa)/12,0)*BC$9</f>
        <v>0</v>
      </c>
      <c r="BD217" s="34" t="n">
        <f aca="false">IF((51-N(V_L1_Mes)+1)&gt;=1,IF((51-N(V_L1_Mes)+1)=1,N(V_L1_Monto),BC$219)*N(V_L1_Tasa)/12,0)*BD$9</f>
        <v>0</v>
      </c>
      <c r="BE217" s="34" t="n">
        <f aca="false">IF((52-N(V_L1_Mes)+1)&gt;=1,IF((52-N(V_L1_Mes)+1)=1,N(V_L1_Monto),BD$219)*N(V_L1_Tasa)/12,0)*BE$9</f>
        <v>0</v>
      </c>
      <c r="BF217" s="34" t="n">
        <f aca="false">IF((53-N(V_L1_Mes)+1)&gt;=1,IF((53-N(V_L1_Mes)+1)=1,N(V_L1_Monto),BE$219)*N(V_L1_Tasa)/12,0)*BF$9</f>
        <v>0</v>
      </c>
      <c r="BG217" s="34" t="n">
        <f aca="false">IF((54-N(V_L1_Mes)+1)&gt;=1,IF((54-N(V_L1_Mes)+1)=1,N(V_L1_Monto),BF$219)*N(V_L1_Tasa)/12,0)*BG$9</f>
        <v>0</v>
      </c>
      <c r="BH217" s="34" t="n">
        <f aca="false">IF((55-N(V_L1_Mes)+1)&gt;=1,IF((55-N(V_L1_Mes)+1)=1,N(V_L1_Monto),BG$219)*N(V_L1_Tasa)/12,0)*BH$9</f>
        <v>0</v>
      </c>
      <c r="BI217" s="34" t="n">
        <f aca="false">IF((56-N(V_L1_Mes)+1)&gt;=1,IF((56-N(V_L1_Mes)+1)=1,N(V_L1_Monto),BH$219)*N(V_L1_Tasa)/12,0)*BI$9</f>
        <v>0</v>
      </c>
      <c r="BJ217" s="34" t="n">
        <f aca="false">IF((57-N(V_L1_Mes)+1)&gt;=1,IF((57-N(V_L1_Mes)+1)=1,N(V_L1_Monto),BI$219)*N(V_L1_Tasa)/12,0)*BJ$9</f>
        <v>0</v>
      </c>
      <c r="BK217" s="34" t="n">
        <f aca="false">IF((58-N(V_L1_Mes)+1)&gt;=1,IF((58-N(V_L1_Mes)+1)=1,N(V_L1_Monto),BJ$219)*N(V_L1_Tasa)/12,0)*BK$9</f>
        <v>0</v>
      </c>
      <c r="BL217" s="34" t="n">
        <f aca="false">IF((59-N(V_L1_Mes)+1)&gt;=1,IF((59-N(V_L1_Mes)+1)=1,N(V_L1_Monto),BK$219)*N(V_L1_Tasa)/12,0)*BL$9</f>
        <v>0</v>
      </c>
      <c r="BM217" s="34" t="n">
        <f aca="false">IF((60-N(V_L1_Mes)+1)&gt;=1,IF((60-N(V_L1_Mes)+1)=1,N(V_L1_Monto),BL$219)*N(V_L1_Tasa)/12,0)*BM$9</f>
        <v>0</v>
      </c>
      <c r="BN217" s="34" t="n">
        <f aca="false">IF((61-N(V_L1_Mes)+1)&gt;=1,IF((61-N(V_L1_Mes)+1)=1,N(V_L1_Monto),BM$219)*N(V_L1_Tasa)/12,0)*BN$9</f>
        <v>0</v>
      </c>
      <c r="BO217" s="34" t="n">
        <f aca="false">IF((62-N(V_L1_Mes)+1)&gt;=1,IF((62-N(V_L1_Mes)+1)=1,N(V_L1_Monto),BN$219)*N(V_L1_Tasa)/12,0)*BO$9</f>
        <v>0</v>
      </c>
      <c r="BP217" s="34" t="n">
        <f aca="false">IF((63-N(V_L1_Mes)+1)&gt;=1,IF((63-N(V_L1_Mes)+1)=1,N(V_L1_Monto),BO$219)*N(V_L1_Tasa)/12,0)*BP$9</f>
        <v>0</v>
      </c>
      <c r="BQ217" s="34" t="n">
        <f aca="false">IF((64-N(V_L1_Mes)+1)&gt;=1,IF((64-N(V_L1_Mes)+1)=1,N(V_L1_Monto),BP$219)*N(V_L1_Tasa)/12,0)*BQ$9</f>
        <v>0</v>
      </c>
      <c r="BR217" s="34" t="n">
        <f aca="false">IF((65-N(V_L1_Mes)+1)&gt;=1,IF((65-N(V_L1_Mes)+1)=1,N(V_L1_Monto),BQ$219)*N(V_L1_Tasa)/12,0)*BR$9</f>
        <v>0</v>
      </c>
      <c r="BS217" s="34" t="n">
        <f aca="false">IF((66-N(V_L1_Mes)+1)&gt;=1,IF((66-N(V_L1_Mes)+1)=1,N(V_L1_Monto),BR$219)*N(V_L1_Tasa)/12,0)*BS$9</f>
        <v>0</v>
      </c>
      <c r="BT217" s="34" t="n">
        <f aca="false">IF((67-N(V_L1_Mes)+1)&gt;=1,IF((67-N(V_L1_Mes)+1)=1,N(V_L1_Monto),BS$219)*N(V_L1_Tasa)/12,0)*BT$9</f>
        <v>0</v>
      </c>
      <c r="BU217" s="34" t="n">
        <f aca="false">IF((68-N(V_L1_Mes)+1)&gt;=1,IF((68-N(V_L1_Mes)+1)=1,N(V_L1_Monto),BT$219)*N(V_L1_Tasa)/12,0)*BU$9</f>
        <v>0</v>
      </c>
      <c r="BV217" s="34" t="n">
        <f aca="false">IF((69-N(V_L1_Mes)+1)&gt;=1,IF((69-N(V_L1_Mes)+1)=1,N(V_L1_Monto),BU$219)*N(V_L1_Tasa)/12,0)*BV$9</f>
        <v>0</v>
      </c>
      <c r="BW217" s="34" t="n">
        <f aca="false">IF((70-N(V_L1_Mes)+1)&gt;=1,IF((70-N(V_L1_Mes)+1)=1,N(V_L1_Monto),BV$219)*N(V_L1_Tasa)/12,0)*BW$9</f>
        <v>0</v>
      </c>
      <c r="BX217" s="34" t="n">
        <f aca="false">IF((71-N(V_L1_Mes)+1)&gt;=1,IF((71-N(V_L1_Mes)+1)=1,N(V_L1_Monto),BW$219)*N(V_L1_Tasa)/12,0)*BX$9</f>
        <v>0</v>
      </c>
      <c r="BY217" s="34" t="n">
        <f aca="false">IF((72-N(V_L1_Mes)+1)&gt;=1,IF((72-N(V_L1_Mes)+1)=1,N(V_L1_Monto),BX$219)*N(V_L1_Tasa)/12,0)*BY$9</f>
        <v>0</v>
      </c>
      <c r="BZ217" s="34" t="n">
        <f aca="false">IF((73-N(V_L1_Mes)+1)&gt;=1,IF((73-N(V_L1_Mes)+1)=1,N(V_L1_Monto),BY$219)*N(V_L1_Tasa)/12,0)*BZ$9</f>
        <v>0</v>
      </c>
      <c r="CA217" s="34" t="n">
        <f aca="false">IF((74-N(V_L1_Mes)+1)&gt;=1,IF((74-N(V_L1_Mes)+1)=1,N(V_L1_Monto),BZ$219)*N(V_L1_Tasa)/12,0)*CA$9</f>
        <v>0</v>
      </c>
      <c r="CB217" s="34" t="n">
        <f aca="false">IF((75-N(V_L1_Mes)+1)&gt;=1,IF((75-N(V_L1_Mes)+1)=1,N(V_L1_Monto),CA$219)*N(V_L1_Tasa)/12,0)*CB$9</f>
        <v>0</v>
      </c>
      <c r="CC217" s="34" t="n">
        <f aca="false">IF((76-N(V_L1_Mes)+1)&gt;=1,IF((76-N(V_L1_Mes)+1)=1,N(V_L1_Monto),CB$219)*N(V_L1_Tasa)/12,0)*CC$9</f>
        <v>0</v>
      </c>
      <c r="CD217" s="34" t="n">
        <f aca="false">IF((77-N(V_L1_Mes)+1)&gt;=1,IF((77-N(V_L1_Mes)+1)=1,N(V_L1_Monto),CC$219)*N(V_L1_Tasa)/12,0)*CD$9</f>
        <v>0</v>
      </c>
      <c r="CE217" s="34" t="n">
        <f aca="false">IF((78-N(V_L1_Mes)+1)&gt;=1,IF((78-N(V_L1_Mes)+1)=1,N(V_L1_Monto),CD$219)*N(V_L1_Tasa)/12,0)*CE$9</f>
        <v>0</v>
      </c>
      <c r="CF217" s="34" t="n">
        <f aca="false">IF((79-N(V_L1_Mes)+1)&gt;=1,IF((79-N(V_L1_Mes)+1)=1,N(V_L1_Monto),CE$219)*N(V_L1_Tasa)/12,0)*CF$9</f>
        <v>0</v>
      </c>
      <c r="CG217" s="34" t="n">
        <f aca="false">IF((80-N(V_L1_Mes)+1)&gt;=1,IF((80-N(V_L1_Mes)+1)=1,N(V_L1_Monto),CF$219)*N(V_L1_Tasa)/12,0)*CG$9</f>
        <v>0</v>
      </c>
      <c r="CH217" s="34" t="n">
        <f aca="false">IF((81-N(V_L1_Mes)+1)&gt;=1,IF((81-N(V_L1_Mes)+1)=1,N(V_L1_Monto),CG$219)*N(V_L1_Tasa)/12,0)*CH$9</f>
        <v>0</v>
      </c>
      <c r="CI217" s="34" t="n">
        <f aca="false">IF((82-N(V_L1_Mes)+1)&gt;=1,IF((82-N(V_L1_Mes)+1)=1,N(V_L1_Monto),CH$219)*N(V_L1_Tasa)/12,0)*CI$9</f>
        <v>0</v>
      </c>
      <c r="CJ217" s="34" t="n">
        <f aca="false">IF((83-N(V_L1_Mes)+1)&gt;=1,IF((83-N(V_L1_Mes)+1)=1,N(V_L1_Monto),CI$219)*N(V_L1_Tasa)/12,0)*CJ$9</f>
        <v>0</v>
      </c>
      <c r="CK217" s="34" t="n">
        <f aca="false">IF((84-N(V_L1_Mes)+1)&gt;=1,IF((84-N(V_L1_Mes)+1)=1,N(V_L1_Monto),CJ$219)*N(V_L1_Tasa)/12,0)*CK$9</f>
        <v>0</v>
      </c>
      <c r="CL217" s="34" t="n">
        <f aca="false">IF((85-N(V_L1_Mes)+1)&gt;=1,IF((85-N(V_L1_Mes)+1)=1,N(V_L1_Monto),CK$219)*N(V_L1_Tasa)/12,0)*CL$9</f>
        <v>0</v>
      </c>
      <c r="CM217" s="34" t="n">
        <f aca="false">IF((86-N(V_L1_Mes)+1)&gt;=1,IF((86-N(V_L1_Mes)+1)=1,N(V_L1_Monto),CL$219)*N(V_L1_Tasa)/12,0)*CM$9</f>
        <v>0</v>
      </c>
      <c r="CN217" s="34" t="n">
        <f aca="false">IF((87-N(V_L1_Mes)+1)&gt;=1,IF((87-N(V_L1_Mes)+1)=1,N(V_L1_Monto),CM$219)*N(V_L1_Tasa)/12,0)*CN$9</f>
        <v>0</v>
      </c>
      <c r="CO217" s="34" t="n">
        <f aca="false">IF((88-N(V_L1_Mes)+1)&gt;=1,IF((88-N(V_L1_Mes)+1)=1,N(V_L1_Monto),CN$219)*N(V_L1_Tasa)/12,0)*CO$9</f>
        <v>0</v>
      </c>
      <c r="CP217" s="34" t="n">
        <f aca="false">IF((89-N(V_L1_Mes)+1)&gt;=1,IF((89-N(V_L1_Mes)+1)=1,N(V_L1_Monto),CO$219)*N(V_L1_Tasa)/12,0)*CP$9</f>
        <v>0</v>
      </c>
      <c r="CQ217" s="34" t="n">
        <f aca="false">IF((90-N(V_L1_Mes)+1)&gt;=1,IF((90-N(V_L1_Mes)+1)=1,N(V_L1_Monto),CP$219)*N(V_L1_Tasa)/12,0)*CQ$9</f>
        <v>0</v>
      </c>
      <c r="CR217" s="34" t="n">
        <f aca="false">IF((91-N(V_L1_Mes)+1)&gt;=1,IF((91-N(V_L1_Mes)+1)=1,N(V_L1_Monto),CQ$219)*N(V_L1_Tasa)/12,0)*CR$9</f>
        <v>0</v>
      </c>
      <c r="CS217" s="34" t="n">
        <f aca="false">IF((92-N(V_L1_Mes)+1)&gt;=1,IF((92-N(V_L1_Mes)+1)=1,N(V_L1_Monto),CR$219)*N(V_L1_Tasa)/12,0)*CS$9</f>
        <v>0</v>
      </c>
      <c r="CT217" s="34" t="n">
        <f aca="false">IF((93-N(V_L1_Mes)+1)&gt;=1,IF((93-N(V_L1_Mes)+1)=1,N(V_L1_Monto),CS$219)*N(V_L1_Tasa)/12,0)*CT$9</f>
        <v>0</v>
      </c>
      <c r="CU217" s="34" t="n">
        <f aca="false">IF((94-N(V_L1_Mes)+1)&gt;=1,IF((94-N(V_L1_Mes)+1)=1,N(V_L1_Monto),CT$219)*N(V_L1_Tasa)/12,0)*CU$9</f>
        <v>0</v>
      </c>
      <c r="CV217" s="34" t="n">
        <f aca="false">IF((95-N(V_L1_Mes)+1)&gt;=1,IF((95-N(V_L1_Mes)+1)=1,N(V_L1_Monto),CU$219)*N(V_L1_Tasa)/12,0)*CV$9</f>
        <v>0</v>
      </c>
      <c r="CW217" s="34" t="n">
        <f aca="false">IF((96-N(V_L1_Mes)+1)&gt;=1,IF((96-N(V_L1_Mes)+1)=1,N(V_L1_Monto),CV$219)*N(V_L1_Tasa)/12,0)*CW$9</f>
        <v>0</v>
      </c>
      <c r="CX217" s="34" t="n">
        <f aca="false">IF((97-N(V_L1_Mes)+1)&gt;=1,IF((97-N(V_L1_Mes)+1)=1,N(V_L1_Monto),CW$219)*N(V_L1_Tasa)/12,0)*CX$9</f>
        <v>0</v>
      </c>
      <c r="CY217" s="34" t="n">
        <f aca="false">IF((98-N(V_L1_Mes)+1)&gt;=1,IF((98-N(V_L1_Mes)+1)=1,N(V_L1_Monto),CX$219)*N(V_L1_Tasa)/12,0)*CY$9</f>
        <v>0</v>
      </c>
      <c r="CZ217" s="34" t="n">
        <f aca="false">IF((99-N(V_L1_Mes)+1)&gt;=1,IF((99-N(V_L1_Mes)+1)=1,N(V_L1_Monto),CY$219)*N(V_L1_Tasa)/12,0)*CZ$9</f>
        <v>0</v>
      </c>
      <c r="DA217" s="34" t="n">
        <f aca="false">IF((100-N(V_L1_Mes)+1)&gt;=1,IF((100-N(V_L1_Mes)+1)=1,N(V_L1_Monto),CZ$219)*N(V_L1_Tasa)/12,0)*DA$9</f>
        <v>0</v>
      </c>
      <c r="DB217" s="34" t="n">
        <f aca="false">IF((101-N(V_L1_Mes)+1)&gt;=1,IF((101-N(V_L1_Mes)+1)=1,N(V_L1_Monto),DA$219)*N(V_L1_Tasa)/12,0)*DB$9</f>
        <v>0</v>
      </c>
      <c r="DC217" s="34" t="n">
        <f aca="false">IF((102-N(V_L1_Mes)+1)&gt;=1,IF((102-N(V_L1_Mes)+1)=1,N(V_L1_Monto),DB$219)*N(V_L1_Tasa)/12,0)*DC$9</f>
        <v>0</v>
      </c>
      <c r="DD217" s="34" t="n">
        <f aca="false">IF((103-N(V_L1_Mes)+1)&gt;=1,IF((103-N(V_L1_Mes)+1)=1,N(V_L1_Monto),DC$219)*N(V_L1_Tasa)/12,0)*DD$9</f>
        <v>0</v>
      </c>
      <c r="DE217" s="34" t="n">
        <f aca="false">IF((104-N(V_L1_Mes)+1)&gt;=1,IF((104-N(V_L1_Mes)+1)=1,N(V_L1_Monto),DD$219)*N(V_L1_Tasa)/12,0)*DE$9</f>
        <v>0</v>
      </c>
      <c r="DF217" s="34" t="n">
        <f aca="false">IF((105-N(V_L1_Mes)+1)&gt;=1,IF((105-N(V_L1_Mes)+1)=1,N(V_L1_Monto),DE$219)*N(V_L1_Tasa)/12,0)*DF$9</f>
        <v>0</v>
      </c>
      <c r="DG217" s="34" t="n">
        <f aca="false">IF((106-N(V_L1_Mes)+1)&gt;=1,IF((106-N(V_L1_Mes)+1)=1,N(V_L1_Monto),DF$219)*N(V_L1_Tasa)/12,0)*DG$9</f>
        <v>0</v>
      </c>
      <c r="DH217" s="34" t="n">
        <f aca="false">IF((107-N(V_L1_Mes)+1)&gt;=1,IF((107-N(V_L1_Mes)+1)=1,N(V_L1_Monto),DG$219)*N(V_L1_Tasa)/12,0)*DH$9</f>
        <v>0</v>
      </c>
      <c r="DI217" s="34" t="n">
        <f aca="false">IF((108-N(V_L1_Mes)+1)&gt;=1,IF((108-N(V_L1_Mes)+1)=1,N(V_L1_Monto),DH$219)*N(V_L1_Tasa)/12,0)*DI$9</f>
        <v>0</v>
      </c>
      <c r="DJ217" s="34" t="n">
        <f aca="false">IF((109-N(V_L1_Mes)+1)&gt;=1,IF((109-N(V_L1_Mes)+1)=1,N(V_L1_Monto),DI$219)*N(V_L1_Tasa)/12,0)*DJ$9</f>
        <v>0</v>
      </c>
      <c r="DK217" s="34" t="n">
        <f aca="false">IF((110-N(V_L1_Mes)+1)&gt;=1,IF((110-N(V_L1_Mes)+1)=1,N(V_L1_Monto),DJ$219)*N(V_L1_Tasa)/12,0)*DK$9</f>
        <v>0</v>
      </c>
      <c r="DL217" s="34" t="n">
        <f aca="false">IF((111-N(V_L1_Mes)+1)&gt;=1,IF((111-N(V_L1_Mes)+1)=1,N(V_L1_Monto),DK$219)*N(V_L1_Tasa)/12,0)*DL$9</f>
        <v>0</v>
      </c>
      <c r="DM217" s="34" t="n">
        <f aca="false">IF((112-N(V_L1_Mes)+1)&gt;=1,IF((112-N(V_L1_Mes)+1)=1,N(V_L1_Monto),DL$219)*N(V_L1_Tasa)/12,0)*DM$9</f>
        <v>0</v>
      </c>
      <c r="DN217" s="34" t="n">
        <f aca="false">IF((113-N(V_L1_Mes)+1)&gt;=1,IF((113-N(V_L1_Mes)+1)=1,N(V_L1_Monto),DM$219)*N(V_L1_Tasa)/12,0)*DN$9</f>
        <v>0</v>
      </c>
      <c r="DO217" s="34" t="n">
        <f aca="false">IF((114-N(V_L1_Mes)+1)&gt;=1,IF((114-N(V_L1_Mes)+1)=1,N(V_L1_Monto),DN$219)*N(V_L1_Tasa)/12,0)*DO$9</f>
        <v>0</v>
      </c>
      <c r="DP217" s="34" t="n">
        <f aca="false">IF((115-N(V_L1_Mes)+1)&gt;=1,IF((115-N(V_L1_Mes)+1)=1,N(V_L1_Monto),DO$219)*N(V_L1_Tasa)/12,0)*DP$9</f>
        <v>0</v>
      </c>
      <c r="DQ217" s="34" t="n">
        <f aca="false">IF((116-N(V_L1_Mes)+1)&gt;=1,IF((116-N(V_L1_Mes)+1)=1,N(V_L1_Monto),DP$219)*N(V_L1_Tasa)/12,0)*DQ$9</f>
        <v>0</v>
      </c>
      <c r="DR217" s="34" t="n">
        <f aca="false">IF((117-N(V_L1_Mes)+1)&gt;=1,IF((117-N(V_L1_Mes)+1)=1,N(V_L1_Monto),DQ$219)*N(V_L1_Tasa)/12,0)*DR$9</f>
        <v>0</v>
      </c>
      <c r="DS217" s="34" t="n">
        <f aca="false">IF((118-N(V_L1_Mes)+1)&gt;=1,IF((118-N(V_L1_Mes)+1)=1,N(V_L1_Monto),DR$219)*N(V_L1_Tasa)/12,0)*DS$9</f>
        <v>0</v>
      </c>
      <c r="DT217" s="34" t="n">
        <f aca="false">IF((119-N(V_L1_Mes)+1)&gt;=1,IF((119-N(V_L1_Mes)+1)=1,N(V_L1_Monto),DS$219)*N(V_L1_Tasa)/12,0)*DT$9</f>
        <v>0</v>
      </c>
      <c r="DU217" s="34" t="n">
        <f aca="false">IF((120-N(V_L1_Mes)+1)&gt;=1,IF((120-N(V_L1_Mes)+1)=1,N(V_L1_Monto),DT$219)*N(V_L1_Tasa)/12,0)*DU$9</f>
        <v>0</v>
      </c>
      <c r="DV217" s="34" t="n">
        <f aca="false">IF((121-N(V_L1_Mes)+1)&gt;=1,IF((121-N(V_L1_Mes)+1)=1,N(V_L1_Monto),DU$219)*N(V_L1_Tasa)/12,0)*DV$9</f>
        <v>0</v>
      </c>
      <c r="DW217" s="34" t="n">
        <f aca="false">IF((122-N(V_L1_Mes)+1)&gt;=1,IF((122-N(V_L1_Mes)+1)=1,N(V_L1_Monto),DV$219)*N(V_L1_Tasa)/12,0)*DW$9</f>
        <v>0</v>
      </c>
      <c r="DX217" s="34" t="n">
        <f aca="false">IF((123-N(V_L1_Mes)+1)&gt;=1,IF((123-N(V_L1_Mes)+1)=1,N(V_L1_Monto),DW$219)*N(V_L1_Tasa)/12,0)*DX$9</f>
        <v>0</v>
      </c>
      <c r="DY217" s="34" t="n">
        <f aca="false">IF((124-N(V_L1_Mes)+1)&gt;=1,IF((124-N(V_L1_Mes)+1)=1,N(V_L1_Monto),DX$219)*N(V_L1_Tasa)/12,0)*DY$9</f>
        <v>0</v>
      </c>
      <c r="DZ217" s="34" t="n">
        <f aca="false">IF((125-N(V_L1_Mes)+1)&gt;=1,IF((125-N(V_L1_Mes)+1)=1,N(V_L1_Monto),DY$219)*N(V_L1_Tasa)/12,0)*DZ$9</f>
        <v>0</v>
      </c>
      <c r="EA217" s="34" t="n">
        <f aca="false">IF((126-N(V_L1_Mes)+1)&gt;=1,IF((126-N(V_L1_Mes)+1)=1,N(V_L1_Monto),DZ$219)*N(V_L1_Tasa)/12,0)*EA$9</f>
        <v>0</v>
      </c>
      <c r="EB217" s="34" t="n">
        <f aca="false">IF((127-N(V_L1_Mes)+1)&gt;=1,IF((127-N(V_L1_Mes)+1)=1,N(V_L1_Monto),EA$219)*N(V_L1_Tasa)/12,0)*EB$9</f>
        <v>0</v>
      </c>
      <c r="EC217" s="34" t="n">
        <f aca="false">IF((128-N(V_L1_Mes)+1)&gt;=1,IF((128-N(V_L1_Mes)+1)=1,N(V_L1_Monto),EB$219)*N(V_L1_Tasa)/12,0)*EC$9</f>
        <v>0</v>
      </c>
      <c r="ED217" s="34" t="n">
        <f aca="false">IF((129-N(V_L1_Mes)+1)&gt;=1,IF((129-N(V_L1_Mes)+1)=1,N(V_L1_Monto),EC$219)*N(V_L1_Tasa)/12,0)*ED$9</f>
        <v>0</v>
      </c>
      <c r="EE217" s="34" t="n">
        <f aca="false">IF((130-N(V_L1_Mes)+1)&gt;=1,IF((130-N(V_L1_Mes)+1)=1,N(V_L1_Monto),ED$219)*N(V_L1_Tasa)/12,0)*EE$9</f>
        <v>0</v>
      </c>
      <c r="EF217" s="34" t="n">
        <f aca="false">IF((131-N(V_L1_Mes)+1)&gt;=1,IF((131-N(V_L1_Mes)+1)=1,N(V_L1_Monto),EE$219)*N(V_L1_Tasa)/12,0)*EF$9</f>
        <v>0</v>
      </c>
      <c r="EG217" s="34" t="n">
        <f aca="false">IF((132-N(V_L1_Mes)+1)&gt;=1,IF((132-N(V_L1_Mes)+1)=1,N(V_L1_Monto),EF$219)*N(V_L1_Tasa)/12,0)*EG$9</f>
        <v>0</v>
      </c>
      <c r="EH217" s="34" t="n">
        <f aca="false">IF((133-N(V_L1_Mes)+1)&gt;=1,IF((133-N(V_L1_Mes)+1)=1,N(V_L1_Monto),EG$219)*N(V_L1_Tasa)/12,0)*EH$9</f>
        <v>0</v>
      </c>
      <c r="EI217" s="34" t="n">
        <f aca="false">IF((134-N(V_L1_Mes)+1)&gt;=1,IF((134-N(V_L1_Mes)+1)=1,N(V_L1_Monto),EH$219)*N(V_L1_Tasa)/12,0)*EI$9</f>
        <v>0</v>
      </c>
      <c r="EJ217" s="34" t="n">
        <f aca="false">IF((135-N(V_L1_Mes)+1)&gt;=1,IF((135-N(V_L1_Mes)+1)=1,N(V_L1_Monto),EI$219)*N(V_L1_Tasa)/12,0)*EJ$9</f>
        <v>0</v>
      </c>
      <c r="EK217" s="34" t="n">
        <f aca="false">IF((136-N(V_L1_Mes)+1)&gt;=1,IF((136-N(V_L1_Mes)+1)=1,N(V_L1_Monto),EJ$219)*N(V_L1_Tasa)/12,0)*EK$9</f>
        <v>0</v>
      </c>
      <c r="EL217" s="34" t="n">
        <f aca="false">IF((137-N(V_L1_Mes)+1)&gt;=1,IF((137-N(V_L1_Mes)+1)=1,N(V_L1_Monto),EK$219)*N(V_L1_Tasa)/12,0)*EL$9</f>
        <v>0</v>
      </c>
      <c r="EM217" s="34" t="n">
        <f aca="false">IF((138-N(V_L1_Mes)+1)&gt;=1,IF((138-N(V_L1_Mes)+1)=1,N(V_L1_Monto),EL$219)*N(V_L1_Tasa)/12,0)*EM$9</f>
        <v>0</v>
      </c>
      <c r="EN217" s="34" t="n">
        <f aca="false">IF((139-N(V_L1_Mes)+1)&gt;=1,IF((139-N(V_L1_Mes)+1)=1,N(V_L1_Monto),EM$219)*N(V_L1_Tasa)/12,0)*EN$9</f>
        <v>0</v>
      </c>
      <c r="EO217" s="34" t="n">
        <f aca="false">IF((140-N(V_L1_Mes)+1)&gt;=1,IF((140-N(V_L1_Mes)+1)=1,N(V_L1_Monto),EN$219)*N(V_L1_Tasa)/12,0)*EO$9</f>
        <v>0</v>
      </c>
      <c r="EP217" s="34" t="n">
        <f aca="false">IF((141-N(V_L1_Mes)+1)&gt;=1,IF((141-N(V_L1_Mes)+1)=1,N(V_L1_Monto),EO$219)*N(V_L1_Tasa)/12,0)*EP$9</f>
        <v>0</v>
      </c>
      <c r="EQ217" s="34" t="n">
        <f aca="false">IF((142-N(V_L1_Mes)+1)&gt;=1,IF((142-N(V_L1_Mes)+1)=1,N(V_L1_Monto),EP$219)*N(V_L1_Tasa)/12,0)*EQ$9</f>
        <v>0</v>
      </c>
      <c r="ER217" s="34" t="n">
        <f aca="false">IF((143-N(V_L1_Mes)+1)&gt;=1,IF((143-N(V_L1_Mes)+1)=1,N(V_L1_Monto),EQ$219)*N(V_L1_Tasa)/12,0)*ER$9</f>
        <v>0</v>
      </c>
      <c r="ES217" s="34" t="n">
        <f aca="false">IF((144-N(V_L1_Mes)+1)&gt;=1,IF((144-N(V_L1_Mes)+1)=1,N(V_L1_Monto),ER$219)*N(V_L1_Tasa)/12,0)*ES$9</f>
        <v>0</v>
      </c>
    </row>
    <row r="218" customFormat="false" ht="15" hidden="false" customHeight="false" outlineLevel="0" collapsed="false">
      <c r="A218" s="2" t="s">
        <v>692</v>
      </c>
      <c r="B218" s="6" t="s">
        <v>556</v>
      </c>
      <c r="C218" s="6" t="s">
        <v>212</v>
      </c>
      <c r="E218" s="40" t="n">
        <f aca="false">SUM(F218:ES218)</f>
        <v>0</v>
      </c>
      <c r="F218" s="34" t="n">
        <f aca="false">IF(AND((1-N(V_L1_Mes)+1)&gt;N(V_L1_Gracia),(1-N(V_L1_Mes)+1)&lt;=N(V_L1_Gracia)+N(V_L1_Cuotas),N(V_L1_Cuotas)&gt;0),IF((1-N(V_L1_Mes)+1)=N(V_L1_Gracia)+N(V_L1_Cuotas),IF((1-N(V_L1_Mes)+1)=1,N(V_L1_Monto),0),PMT(N(V_L1_Tasa)/12,N(V_L1_Cuotas),-N(V_L1_Monto))-F$217),0)*F$9</f>
        <v>0</v>
      </c>
      <c r="G218" s="34" t="n">
        <f aca="false">IF(AND((2-N(V_L1_Mes)+1)&gt;N(V_L1_Gracia),(2-N(V_L1_Mes)+1)&lt;=N(V_L1_Gracia)+N(V_L1_Cuotas),N(V_L1_Cuotas)&gt;0),IF((2-N(V_L1_Mes)+1)=N(V_L1_Gracia)+N(V_L1_Cuotas),IF((2-N(V_L1_Mes)+1)=1,N(V_L1_Monto),F$219),PMT(N(V_L1_Tasa)/12,N(V_L1_Cuotas),-N(V_L1_Monto))-G$217),0)*G$9</f>
        <v>0</v>
      </c>
      <c r="H218" s="34" t="n">
        <f aca="false">IF(AND((3-N(V_L1_Mes)+1)&gt;N(V_L1_Gracia),(3-N(V_L1_Mes)+1)&lt;=N(V_L1_Gracia)+N(V_L1_Cuotas),N(V_L1_Cuotas)&gt;0),IF((3-N(V_L1_Mes)+1)=N(V_L1_Gracia)+N(V_L1_Cuotas),IF((3-N(V_L1_Mes)+1)=1,N(V_L1_Monto),G$219),PMT(N(V_L1_Tasa)/12,N(V_L1_Cuotas),-N(V_L1_Monto))-H$217),0)*H$9</f>
        <v>0</v>
      </c>
      <c r="I218" s="34" t="n">
        <f aca="false">IF(AND((4-N(V_L1_Mes)+1)&gt;N(V_L1_Gracia),(4-N(V_L1_Mes)+1)&lt;=N(V_L1_Gracia)+N(V_L1_Cuotas),N(V_L1_Cuotas)&gt;0),IF((4-N(V_L1_Mes)+1)=N(V_L1_Gracia)+N(V_L1_Cuotas),IF((4-N(V_L1_Mes)+1)=1,N(V_L1_Monto),H$219),PMT(N(V_L1_Tasa)/12,N(V_L1_Cuotas),-N(V_L1_Monto))-I$217),0)*I$9</f>
        <v>0</v>
      </c>
      <c r="J218" s="34" t="n">
        <f aca="false">IF(AND((5-N(V_L1_Mes)+1)&gt;N(V_L1_Gracia),(5-N(V_L1_Mes)+1)&lt;=N(V_L1_Gracia)+N(V_L1_Cuotas),N(V_L1_Cuotas)&gt;0),IF((5-N(V_L1_Mes)+1)=N(V_L1_Gracia)+N(V_L1_Cuotas),IF((5-N(V_L1_Mes)+1)=1,N(V_L1_Monto),I$219),PMT(N(V_L1_Tasa)/12,N(V_L1_Cuotas),-N(V_L1_Monto))-J$217),0)*J$9</f>
        <v>0</v>
      </c>
      <c r="K218" s="34" t="n">
        <f aca="false">IF(AND((6-N(V_L1_Mes)+1)&gt;N(V_L1_Gracia),(6-N(V_L1_Mes)+1)&lt;=N(V_L1_Gracia)+N(V_L1_Cuotas),N(V_L1_Cuotas)&gt;0),IF((6-N(V_L1_Mes)+1)=N(V_L1_Gracia)+N(V_L1_Cuotas),IF((6-N(V_L1_Mes)+1)=1,N(V_L1_Monto),J$219),PMT(N(V_L1_Tasa)/12,N(V_L1_Cuotas),-N(V_L1_Monto))-K$217),0)*K$9</f>
        <v>0</v>
      </c>
      <c r="L218" s="34" t="n">
        <f aca="false">IF(AND((7-N(V_L1_Mes)+1)&gt;N(V_L1_Gracia),(7-N(V_L1_Mes)+1)&lt;=N(V_L1_Gracia)+N(V_L1_Cuotas),N(V_L1_Cuotas)&gt;0),IF((7-N(V_L1_Mes)+1)=N(V_L1_Gracia)+N(V_L1_Cuotas),IF((7-N(V_L1_Mes)+1)=1,N(V_L1_Monto),K$219),PMT(N(V_L1_Tasa)/12,N(V_L1_Cuotas),-N(V_L1_Monto))-L$217),0)*L$9</f>
        <v>0</v>
      </c>
      <c r="M218" s="34" t="n">
        <f aca="false">IF(AND((8-N(V_L1_Mes)+1)&gt;N(V_L1_Gracia),(8-N(V_L1_Mes)+1)&lt;=N(V_L1_Gracia)+N(V_L1_Cuotas),N(V_L1_Cuotas)&gt;0),IF((8-N(V_L1_Mes)+1)=N(V_L1_Gracia)+N(V_L1_Cuotas),IF((8-N(V_L1_Mes)+1)=1,N(V_L1_Monto),L$219),PMT(N(V_L1_Tasa)/12,N(V_L1_Cuotas),-N(V_L1_Monto))-M$217),0)*M$9</f>
        <v>0</v>
      </c>
      <c r="N218" s="34" t="n">
        <f aca="false">IF(AND((9-N(V_L1_Mes)+1)&gt;N(V_L1_Gracia),(9-N(V_L1_Mes)+1)&lt;=N(V_L1_Gracia)+N(V_L1_Cuotas),N(V_L1_Cuotas)&gt;0),IF((9-N(V_L1_Mes)+1)=N(V_L1_Gracia)+N(V_L1_Cuotas),IF((9-N(V_L1_Mes)+1)=1,N(V_L1_Monto),M$219),PMT(N(V_L1_Tasa)/12,N(V_L1_Cuotas),-N(V_L1_Monto))-N$217),0)*N$9</f>
        <v>0</v>
      </c>
      <c r="O218" s="34" t="n">
        <f aca="false">IF(AND((10-N(V_L1_Mes)+1)&gt;N(V_L1_Gracia),(10-N(V_L1_Mes)+1)&lt;=N(V_L1_Gracia)+N(V_L1_Cuotas),N(V_L1_Cuotas)&gt;0),IF((10-N(V_L1_Mes)+1)=N(V_L1_Gracia)+N(V_L1_Cuotas),IF((10-N(V_L1_Mes)+1)=1,N(V_L1_Monto),N$219),PMT(N(V_L1_Tasa)/12,N(V_L1_Cuotas),-N(V_L1_Monto))-O$217),0)*O$9</f>
        <v>0</v>
      </c>
      <c r="P218" s="34" t="n">
        <f aca="false">IF(AND((11-N(V_L1_Mes)+1)&gt;N(V_L1_Gracia),(11-N(V_L1_Mes)+1)&lt;=N(V_L1_Gracia)+N(V_L1_Cuotas),N(V_L1_Cuotas)&gt;0),IF((11-N(V_L1_Mes)+1)=N(V_L1_Gracia)+N(V_L1_Cuotas),IF((11-N(V_L1_Mes)+1)=1,N(V_L1_Monto),O$219),PMT(N(V_L1_Tasa)/12,N(V_L1_Cuotas),-N(V_L1_Monto))-P$217),0)*P$9</f>
        <v>0</v>
      </c>
      <c r="Q218" s="34" t="n">
        <f aca="false">IF(AND((12-N(V_L1_Mes)+1)&gt;N(V_L1_Gracia),(12-N(V_L1_Mes)+1)&lt;=N(V_L1_Gracia)+N(V_L1_Cuotas),N(V_L1_Cuotas)&gt;0),IF((12-N(V_L1_Mes)+1)=N(V_L1_Gracia)+N(V_L1_Cuotas),IF((12-N(V_L1_Mes)+1)=1,N(V_L1_Monto),P$219),PMT(N(V_L1_Tasa)/12,N(V_L1_Cuotas),-N(V_L1_Monto))-Q$217),0)*Q$9</f>
        <v>0</v>
      </c>
      <c r="R218" s="34" t="n">
        <f aca="false">IF(AND((13-N(V_L1_Mes)+1)&gt;N(V_L1_Gracia),(13-N(V_L1_Mes)+1)&lt;=N(V_L1_Gracia)+N(V_L1_Cuotas),N(V_L1_Cuotas)&gt;0),IF((13-N(V_L1_Mes)+1)=N(V_L1_Gracia)+N(V_L1_Cuotas),IF((13-N(V_L1_Mes)+1)=1,N(V_L1_Monto),Q$219),PMT(N(V_L1_Tasa)/12,N(V_L1_Cuotas),-N(V_L1_Monto))-R$217),0)*R$9</f>
        <v>0</v>
      </c>
      <c r="S218" s="34" t="n">
        <f aca="false">IF(AND((14-N(V_L1_Mes)+1)&gt;N(V_L1_Gracia),(14-N(V_L1_Mes)+1)&lt;=N(V_L1_Gracia)+N(V_L1_Cuotas),N(V_L1_Cuotas)&gt;0),IF((14-N(V_L1_Mes)+1)=N(V_L1_Gracia)+N(V_L1_Cuotas),IF((14-N(V_L1_Mes)+1)=1,N(V_L1_Monto),R$219),PMT(N(V_L1_Tasa)/12,N(V_L1_Cuotas),-N(V_L1_Monto))-S$217),0)*S$9</f>
        <v>0</v>
      </c>
      <c r="T218" s="34" t="n">
        <f aca="false">IF(AND((15-N(V_L1_Mes)+1)&gt;N(V_L1_Gracia),(15-N(V_L1_Mes)+1)&lt;=N(V_L1_Gracia)+N(V_L1_Cuotas),N(V_L1_Cuotas)&gt;0),IF((15-N(V_L1_Mes)+1)=N(V_L1_Gracia)+N(V_L1_Cuotas),IF((15-N(V_L1_Mes)+1)=1,N(V_L1_Monto),S$219),PMT(N(V_L1_Tasa)/12,N(V_L1_Cuotas),-N(V_L1_Monto))-T$217),0)*T$9</f>
        <v>0</v>
      </c>
      <c r="U218" s="34" t="n">
        <f aca="false">IF(AND((16-N(V_L1_Mes)+1)&gt;N(V_L1_Gracia),(16-N(V_L1_Mes)+1)&lt;=N(V_L1_Gracia)+N(V_L1_Cuotas),N(V_L1_Cuotas)&gt;0),IF((16-N(V_L1_Mes)+1)=N(V_L1_Gracia)+N(V_L1_Cuotas),IF((16-N(V_L1_Mes)+1)=1,N(V_L1_Monto),T$219),PMT(N(V_L1_Tasa)/12,N(V_L1_Cuotas),-N(V_L1_Monto))-U$217),0)*U$9</f>
        <v>0</v>
      </c>
      <c r="V218" s="34" t="n">
        <f aca="false">IF(AND((17-N(V_L1_Mes)+1)&gt;N(V_L1_Gracia),(17-N(V_L1_Mes)+1)&lt;=N(V_L1_Gracia)+N(V_L1_Cuotas),N(V_L1_Cuotas)&gt;0),IF((17-N(V_L1_Mes)+1)=N(V_L1_Gracia)+N(V_L1_Cuotas),IF((17-N(V_L1_Mes)+1)=1,N(V_L1_Monto),U$219),PMT(N(V_L1_Tasa)/12,N(V_L1_Cuotas),-N(V_L1_Monto))-V$217),0)*V$9</f>
        <v>0</v>
      </c>
      <c r="W218" s="34" t="n">
        <f aca="false">IF(AND((18-N(V_L1_Mes)+1)&gt;N(V_L1_Gracia),(18-N(V_L1_Mes)+1)&lt;=N(V_L1_Gracia)+N(V_L1_Cuotas),N(V_L1_Cuotas)&gt;0),IF((18-N(V_L1_Mes)+1)=N(V_L1_Gracia)+N(V_L1_Cuotas),IF((18-N(V_L1_Mes)+1)=1,N(V_L1_Monto),V$219),PMT(N(V_L1_Tasa)/12,N(V_L1_Cuotas),-N(V_L1_Monto))-W$217),0)*W$9</f>
        <v>0</v>
      </c>
      <c r="X218" s="34" t="n">
        <f aca="false">IF(AND((19-N(V_L1_Mes)+1)&gt;N(V_L1_Gracia),(19-N(V_L1_Mes)+1)&lt;=N(V_L1_Gracia)+N(V_L1_Cuotas),N(V_L1_Cuotas)&gt;0),IF((19-N(V_L1_Mes)+1)=N(V_L1_Gracia)+N(V_L1_Cuotas),IF((19-N(V_L1_Mes)+1)=1,N(V_L1_Monto),W$219),PMT(N(V_L1_Tasa)/12,N(V_L1_Cuotas),-N(V_L1_Monto))-X$217),0)*X$9</f>
        <v>0</v>
      </c>
      <c r="Y218" s="34" t="n">
        <f aca="false">IF(AND((20-N(V_L1_Mes)+1)&gt;N(V_L1_Gracia),(20-N(V_L1_Mes)+1)&lt;=N(V_L1_Gracia)+N(V_L1_Cuotas),N(V_L1_Cuotas)&gt;0),IF((20-N(V_L1_Mes)+1)=N(V_L1_Gracia)+N(V_L1_Cuotas),IF((20-N(V_L1_Mes)+1)=1,N(V_L1_Monto),X$219),PMT(N(V_L1_Tasa)/12,N(V_L1_Cuotas),-N(V_L1_Monto))-Y$217),0)*Y$9</f>
        <v>0</v>
      </c>
      <c r="Z218" s="34" t="n">
        <f aca="false">IF(AND((21-N(V_L1_Mes)+1)&gt;N(V_L1_Gracia),(21-N(V_L1_Mes)+1)&lt;=N(V_L1_Gracia)+N(V_L1_Cuotas),N(V_L1_Cuotas)&gt;0),IF((21-N(V_L1_Mes)+1)=N(V_L1_Gracia)+N(V_L1_Cuotas),IF((21-N(V_L1_Mes)+1)=1,N(V_L1_Monto),Y$219),PMT(N(V_L1_Tasa)/12,N(V_L1_Cuotas),-N(V_L1_Monto))-Z$217),0)*Z$9</f>
        <v>0</v>
      </c>
      <c r="AA218" s="34" t="n">
        <f aca="false">IF(AND((22-N(V_L1_Mes)+1)&gt;N(V_L1_Gracia),(22-N(V_L1_Mes)+1)&lt;=N(V_L1_Gracia)+N(V_L1_Cuotas),N(V_L1_Cuotas)&gt;0),IF((22-N(V_L1_Mes)+1)=N(V_L1_Gracia)+N(V_L1_Cuotas),IF((22-N(V_L1_Mes)+1)=1,N(V_L1_Monto),Z$219),PMT(N(V_L1_Tasa)/12,N(V_L1_Cuotas),-N(V_L1_Monto))-AA$217),0)*AA$9</f>
        <v>0</v>
      </c>
      <c r="AB218" s="34" t="n">
        <f aca="false">IF(AND((23-N(V_L1_Mes)+1)&gt;N(V_L1_Gracia),(23-N(V_L1_Mes)+1)&lt;=N(V_L1_Gracia)+N(V_L1_Cuotas),N(V_L1_Cuotas)&gt;0),IF((23-N(V_L1_Mes)+1)=N(V_L1_Gracia)+N(V_L1_Cuotas),IF((23-N(V_L1_Mes)+1)=1,N(V_L1_Monto),AA$219),PMT(N(V_L1_Tasa)/12,N(V_L1_Cuotas),-N(V_L1_Monto))-AB$217),0)*AB$9</f>
        <v>0</v>
      </c>
      <c r="AC218" s="34" t="n">
        <f aca="false">IF(AND((24-N(V_L1_Mes)+1)&gt;N(V_L1_Gracia),(24-N(V_L1_Mes)+1)&lt;=N(V_L1_Gracia)+N(V_L1_Cuotas),N(V_L1_Cuotas)&gt;0),IF((24-N(V_L1_Mes)+1)=N(V_L1_Gracia)+N(V_L1_Cuotas),IF((24-N(V_L1_Mes)+1)=1,N(V_L1_Monto),AB$219),PMT(N(V_L1_Tasa)/12,N(V_L1_Cuotas),-N(V_L1_Monto))-AC$217),0)*AC$9</f>
        <v>0</v>
      </c>
      <c r="AD218" s="34" t="n">
        <f aca="false">IF(AND((25-N(V_L1_Mes)+1)&gt;N(V_L1_Gracia),(25-N(V_L1_Mes)+1)&lt;=N(V_L1_Gracia)+N(V_L1_Cuotas),N(V_L1_Cuotas)&gt;0),IF((25-N(V_L1_Mes)+1)=N(V_L1_Gracia)+N(V_L1_Cuotas),IF((25-N(V_L1_Mes)+1)=1,N(V_L1_Monto),AC$219),PMT(N(V_L1_Tasa)/12,N(V_L1_Cuotas),-N(V_L1_Monto))-AD$217),0)*AD$9</f>
        <v>0</v>
      </c>
      <c r="AE218" s="34" t="n">
        <f aca="false">IF(AND((26-N(V_L1_Mes)+1)&gt;N(V_L1_Gracia),(26-N(V_L1_Mes)+1)&lt;=N(V_L1_Gracia)+N(V_L1_Cuotas),N(V_L1_Cuotas)&gt;0),IF((26-N(V_L1_Mes)+1)=N(V_L1_Gracia)+N(V_L1_Cuotas),IF((26-N(V_L1_Mes)+1)=1,N(V_L1_Monto),AD$219),PMT(N(V_L1_Tasa)/12,N(V_L1_Cuotas),-N(V_L1_Monto))-AE$217),0)*AE$9</f>
        <v>0</v>
      </c>
      <c r="AF218" s="34" t="n">
        <f aca="false">IF(AND((27-N(V_L1_Mes)+1)&gt;N(V_L1_Gracia),(27-N(V_L1_Mes)+1)&lt;=N(V_L1_Gracia)+N(V_L1_Cuotas),N(V_L1_Cuotas)&gt;0),IF((27-N(V_L1_Mes)+1)=N(V_L1_Gracia)+N(V_L1_Cuotas),IF((27-N(V_L1_Mes)+1)=1,N(V_L1_Monto),AE$219),PMT(N(V_L1_Tasa)/12,N(V_L1_Cuotas),-N(V_L1_Monto))-AF$217),0)*AF$9</f>
        <v>0</v>
      </c>
      <c r="AG218" s="34" t="n">
        <f aca="false">IF(AND((28-N(V_L1_Mes)+1)&gt;N(V_L1_Gracia),(28-N(V_L1_Mes)+1)&lt;=N(V_L1_Gracia)+N(V_L1_Cuotas),N(V_L1_Cuotas)&gt;0),IF((28-N(V_L1_Mes)+1)=N(V_L1_Gracia)+N(V_L1_Cuotas),IF((28-N(V_L1_Mes)+1)=1,N(V_L1_Monto),AF$219),PMT(N(V_L1_Tasa)/12,N(V_L1_Cuotas),-N(V_L1_Monto))-AG$217),0)*AG$9</f>
        <v>0</v>
      </c>
      <c r="AH218" s="34" t="n">
        <f aca="false">IF(AND((29-N(V_L1_Mes)+1)&gt;N(V_L1_Gracia),(29-N(V_L1_Mes)+1)&lt;=N(V_L1_Gracia)+N(V_L1_Cuotas),N(V_L1_Cuotas)&gt;0),IF((29-N(V_L1_Mes)+1)=N(V_L1_Gracia)+N(V_L1_Cuotas),IF((29-N(V_L1_Mes)+1)=1,N(V_L1_Monto),AG$219),PMT(N(V_L1_Tasa)/12,N(V_L1_Cuotas),-N(V_L1_Monto))-AH$217),0)*AH$9</f>
        <v>0</v>
      </c>
      <c r="AI218" s="34" t="n">
        <f aca="false">IF(AND((30-N(V_L1_Mes)+1)&gt;N(V_L1_Gracia),(30-N(V_L1_Mes)+1)&lt;=N(V_L1_Gracia)+N(V_L1_Cuotas),N(V_L1_Cuotas)&gt;0),IF((30-N(V_L1_Mes)+1)=N(V_L1_Gracia)+N(V_L1_Cuotas),IF((30-N(V_L1_Mes)+1)=1,N(V_L1_Monto),AH$219),PMT(N(V_L1_Tasa)/12,N(V_L1_Cuotas),-N(V_L1_Monto))-AI$217),0)*AI$9</f>
        <v>0</v>
      </c>
      <c r="AJ218" s="34" t="n">
        <f aca="false">IF(AND((31-N(V_L1_Mes)+1)&gt;N(V_L1_Gracia),(31-N(V_L1_Mes)+1)&lt;=N(V_L1_Gracia)+N(V_L1_Cuotas),N(V_L1_Cuotas)&gt;0),IF((31-N(V_L1_Mes)+1)=N(V_L1_Gracia)+N(V_L1_Cuotas),IF((31-N(V_L1_Mes)+1)=1,N(V_L1_Monto),AI$219),PMT(N(V_L1_Tasa)/12,N(V_L1_Cuotas),-N(V_L1_Monto))-AJ$217),0)*AJ$9</f>
        <v>0</v>
      </c>
      <c r="AK218" s="34" t="n">
        <f aca="false">IF(AND((32-N(V_L1_Mes)+1)&gt;N(V_L1_Gracia),(32-N(V_L1_Mes)+1)&lt;=N(V_L1_Gracia)+N(V_L1_Cuotas),N(V_L1_Cuotas)&gt;0),IF((32-N(V_L1_Mes)+1)=N(V_L1_Gracia)+N(V_L1_Cuotas),IF((32-N(V_L1_Mes)+1)=1,N(V_L1_Monto),AJ$219),PMT(N(V_L1_Tasa)/12,N(V_L1_Cuotas),-N(V_L1_Monto))-AK$217),0)*AK$9</f>
        <v>0</v>
      </c>
      <c r="AL218" s="34" t="n">
        <f aca="false">IF(AND((33-N(V_L1_Mes)+1)&gt;N(V_L1_Gracia),(33-N(V_L1_Mes)+1)&lt;=N(V_L1_Gracia)+N(V_L1_Cuotas),N(V_L1_Cuotas)&gt;0),IF((33-N(V_L1_Mes)+1)=N(V_L1_Gracia)+N(V_L1_Cuotas),IF((33-N(V_L1_Mes)+1)=1,N(V_L1_Monto),AK$219),PMT(N(V_L1_Tasa)/12,N(V_L1_Cuotas),-N(V_L1_Monto))-AL$217),0)*AL$9</f>
        <v>0</v>
      </c>
      <c r="AM218" s="34" t="n">
        <f aca="false">IF(AND((34-N(V_L1_Mes)+1)&gt;N(V_L1_Gracia),(34-N(V_L1_Mes)+1)&lt;=N(V_L1_Gracia)+N(V_L1_Cuotas),N(V_L1_Cuotas)&gt;0),IF((34-N(V_L1_Mes)+1)=N(V_L1_Gracia)+N(V_L1_Cuotas),IF((34-N(V_L1_Mes)+1)=1,N(V_L1_Monto),AL$219),PMT(N(V_L1_Tasa)/12,N(V_L1_Cuotas),-N(V_L1_Monto))-AM$217),0)*AM$9</f>
        <v>0</v>
      </c>
      <c r="AN218" s="34" t="n">
        <f aca="false">IF(AND((35-N(V_L1_Mes)+1)&gt;N(V_L1_Gracia),(35-N(V_L1_Mes)+1)&lt;=N(V_L1_Gracia)+N(V_L1_Cuotas),N(V_L1_Cuotas)&gt;0),IF((35-N(V_L1_Mes)+1)=N(V_L1_Gracia)+N(V_L1_Cuotas),IF((35-N(V_L1_Mes)+1)=1,N(V_L1_Monto),AM$219),PMT(N(V_L1_Tasa)/12,N(V_L1_Cuotas),-N(V_L1_Monto))-AN$217),0)*AN$9</f>
        <v>0</v>
      </c>
      <c r="AO218" s="34" t="n">
        <f aca="false">IF(AND((36-N(V_L1_Mes)+1)&gt;N(V_L1_Gracia),(36-N(V_L1_Mes)+1)&lt;=N(V_L1_Gracia)+N(V_L1_Cuotas),N(V_L1_Cuotas)&gt;0),IF((36-N(V_L1_Mes)+1)=N(V_L1_Gracia)+N(V_L1_Cuotas),IF((36-N(V_L1_Mes)+1)=1,N(V_L1_Monto),AN$219),PMT(N(V_L1_Tasa)/12,N(V_L1_Cuotas),-N(V_L1_Monto))-AO$217),0)*AO$9</f>
        <v>0</v>
      </c>
      <c r="AP218" s="34" t="n">
        <f aca="false">IF(AND((37-N(V_L1_Mes)+1)&gt;N(V_L1_Gracia),(37-N(V_L1_Mes)+1)&lt;=N(V_L1_Gracia)+N(V_L1_Cuotas),N(V_L1_Cuotas)&gt;0),IF((37-N(V_L1_Mes)+1)=N(V_L1_Gracia)+N(V_L1_Cuotas),IF((37-N(V_L1_Mes)+1)=1,N(V_L1_Monto),AO$219),PMT(N(V_L1_Tasa)/12,N(V_L1_Cuotas),-N(V_L1_Monto))-AP$217),0)*AP$9</f>
        <v>0</v>
      </c>
      <c r="AQ218" s="34" t="n">
        <f aca="false">IF(AND((38-N(V_L1_Mes)+1)&gt;N(V_L1_Gracia),(38-N(V_L1_Mes)+1)&lt;=N(V_L1_Gracia)+N(V_L1_Cuotas),N(V_L1_Cuotas)&gt;0),IF((38-N(V_L1_Mes)+1)=N(V_L1_Gracia)+N(V_L1_Cuotas),IF((38-N(V_L1_Mes)+1)=1,N(V_L1_Monto),AP$219),PMT(N(V_L1_Tasa)/12,N(V_L1_Cuotas),-N(V_L1_Monto))-AQ$217),0)*AQ$9</f>
        <v>0</v>
      </c>
      <c r="AR218" s="34" t="n">
        <f aca="false">IF(AND((39-N(V_L1_Mes)+1)&gt;N(V_L1_Gracia),(39-N(V_L1_Mes)+1)&lt;=N(V_L1_Gracia)+N(V_L1_Cuotas),N(V_L1_Cuotas)&gt;0),IF((39-N(V_L1_Mes)+1)=N(V_L1_Gracia)+N(V_L1_Cuotas),IF((39-N(V_L1_Mes)+1)=1,N(V_L1_Monto),AQ$219),PMT(N(V_L1_Tasa)/12,N(V_L1_Cuotas),-N(V_L1_Monto))-AR$217),0)*AR$9</f>
        <v>0</v>
      </c>
      <c r="AS218" s="34" t="n">
        <f aca="false">IF(AND((40-N(V_L1_Mes)+1)&gt;N(V_L1_Gracia),(40-N(V_L1_Mes)+1)&lt;=N(V_L1_Gracia)+N(V_L1_Cuotas),N(V_L1_Cuotas)&gt;0),IF((40-N(V_L1_Mes)+1)=N(V_L1_Gracia)+N(V_L1_Cuotas),IF((40-N(V_L1_Mes)+1)=1,N(V_L1_Monto),AR$219),PMT(N(V_L1_Tasa)/12,N(V_L1_Cuotas),-N(V_L1_Monto))-AS$217),0)*AS$9</f>
        <v>0</v>
      </c>
      <c r="AT218" s="34" t="n">
        <f aca="false">IF(AND((41-N(V_L1_Mes)+1)&gt;N(V_L1_Gracia),(41-N(V_L1_Mes)+1)&lt;=N(V_L1_Gracia)+N(V_L1_Cuotas),N(V_L1_Cuotas)&gt;0),IF((41-N(V_L1_Mes)+1)=N(V_L1_Gracia)+N(V_L1_Cuotas),IF((41-N(V_L1_Mes)+1)=1,N(V_L1_Monto),AS$219),PMT(N(V_L1_Tasa)/12,N(V_L1_Cuotas),-N(V_L1_Monto))-AT$217),0)*AT$9</f>
        <v>0</v>
      </c>
      <c r="AU218" s="34" t="n">
        <f aca="false">IF(AND((42-N(V_L1_Mes)+1)&gt;N(V_L1_Gracia),(42-N(V_L1_Mes)+1)&lt;=N(V_L1_Gracia)+N(V_L1_Cuotas),N(V_L1_Cuotas)&gt;0),IF((42-N(V_L1_Mes)+1)=N(V_L1_Gracia)+N(V_L1_Cuotas),IF((42-N(V_L1_Mes)+1)=1,N(V_L1_Monto),AT$219),PMT(N(V_L1_Tasa)/12,N(V_L1_Cuotas),-N(V_L1_Monto))-AU$217),0)*AU$9</f>
        <v>0</v>
      </c>
      <c r="AV218" s="34" t="n">
        <f aca="false">IF(AND((43-N(V_L1_Mes)+1)&gt;N(V_L1_Gracia),(43-N(V_L1_Mes)+1)&lt;=N(V_L1_Gracia)+N(V_L1_Cuotas),N(V_L1_Cuotas)&gt;0),IF((43-N(V_L1_Mes)+1)=N(V_L1_Gracia)+N(V_L1_Cuotas),IF((43-N(V_L1_Mes)+1)=1,N(V_L1_Monto),AU$219),PMT(N(V_L1_Tasa)/12,N(V_L1_Cuotas),-N(V_L1_Monto))-AV$217),0)*AV$9</f>
        <v>0</v>
      </c>
      <c r="AW218" s="34" t="n">
        <f aca="false">IF(AND((44-N(V_L1_Mes)+1)&gt;N(V_L1_Gracia),(44-N(V_L1_Mes)+1)&lt;=N(V_L1_Gracia)+N(V_L1_Cuotas),N(V_L1_Cuotas)&gt;0),IF((44-N(V_L1_Mes)+1)=N(V_L1_Gracia)+N(V_L1_Cuotas),IF((44-N(V_L1_Mes)+1)=1,N(V_L1_Monto),AV$219),PMT(N(V_L1_Tasa)/12,N(V_L1_Cuotas),-N(V_L1_Monto))-AW$217),0)*AW$9</f>
        <v>0</v>
      </c>
      <c r="AX218" s="34" t="n">
        <f aca="false">IF(AND((45-N(V_L1_Mes)+1)&gt;N(V_L1_Gracia),(45-N(V_L1_Mes)+1)&lt;=N(V_L1_Gracia)+N(V_L1_Cuotas),N(V_L1_Cuotas)&gt;0),IF((45-N(V_L1_Mes)+1)=N(V_L1_Gracia)+N(V_L1_Cuotas),IF((45-N(V_L1_Mes)+1)=1,N(V_L1_Monto),AW$219),PMT(N(V_L1_Tasa)/12,N(V_L1_Cuotas),-N(V_L1_Monto))-AX$217),0)*AX$9</f>
        <v>0</v>
      </c>
      <c r="AY218" s="34" t="n">
        <f aca="false">IF(AND((46-N(V_L1_Mes)+1)&gt;N(V_L1_Gracia),(46-N(V_L1_Mes)+1)&lt;=N(V_L1_Gracia)+N(V_L1_Cuotas),N(V_L1_Cuotas)&gt;0),IF((46-N(V_L1_Mes)+1)=N(V_L1_Gracia)+N(V_L1_Cuotas),IF((46-N(V_L1_Mes)+1)=1,N(V_L1_Monto),AX$219),PMT(N(V_L1_Tasa)/12,N(V_L1_Cuotas),-N(V_L1_Monto))-AY$217),0)*AY$9</f>
        <v>0</v>
      </c>
      <c r="AZ218" s="34" t="n">
        <f aca="false">IF(AND((47-N(V_L1_Mes)+1)&gt;N(V_L1_Gracia),(47-N(V_L1_Mes)+1)&lt;=N(V_L1_Gracia)+N(V_L1_Cuotas),N(V_L1_Cuotas)&gt;0),IF((47-N(V_L1_Mes)+1)=N(V_L1_Gracia)+N(V_L1_Cuotas),IF((47-N(V_L1_Mes)+1)=1,N(V_L1_Monto),AY$219),PMT(N(V_L1_Tasa)/12,N(V_L1_Cuotas),-N(V_L1_Monto))-AZ$217),0)*AZ$9</f>
        <v>0</v>
      </c>
      <c r="BA218" s="34" t="n">
        <f aca="false">IF(AND((48-N(V_L1_Mes)+1)&gt;N(V_L1_Gracia),(48-N(V_L1_Mes)+1)&lt;=N(V_L1_Gracia)+N(V_L1_Cuotas),N(V_L1_Cuotas)&gt;0),IF((48-N(V_L1_Mes)+1)=N(V_L1_Gracia)+N(V_L1_Cuotas),IF((48-N(V_L1_Mes)+1)=1,N(V_L1_Monto),AZ$219),PMT(N(V_L1_Tasa)/12,N(V_L1_Cuotas),-N(V_L1_Monto))-BA$217),0)*BA$9</f>
        <v>0</v>
      </c>
      <c r="BB218" s="34" t="n">
        <f aca="false">IF(AND((49-N(V_L1_Mes)+1)&gt;N(V_L1_Gracia),(49-N(V_L1_Mes)+1)&lt;=N(V_L1_Gracia)+N(V_L1_Cuotas),N(V_L1_Cuotas)&gt;0),IF((49-N(V_L1_Mes)+1)=N(V_L1_Gracia)+N(V_L1_Cuotas),IF((49-N(V_L1_Mes)+1)=1,N(V_L1_Monto),BA$219),PMT(N(V_L1_Tasa)/12,N(V_L1_Cuotas),-N(V_L1_Monto))-BB$217),0)*BB$9</f>
        <v>0</v>
      </c>
      <c r="BC218" s="34" t="n">
        <f aca="false">IF(AND((50-N(V_L1_Mes)+1)&gt;N(V_L1_Gracia),(50-N(V_L1_Mes)+1)&lt;=N(V_L1_Gracia)+N(V_L1_Cuotas),N(V_L1_Cuotas)&gt;0),IF((50-N(V_L1_Mes)+1)=N(V_L1_Gracia)+N(V_L1_Cuotas),IF((50-N(V_L1_Mes)+1)=1,N(V_L1_Monto),BB$219),PMT(N(V_L1_Tasa)/12,N(V_L1_Cuotas),-N(V_L1_Monto))-BC$217),0)*BC$9</f>
        <v>0</v>
      </c>
      <c r="BD218" s="34" t="n">
        <f aca="false">IF(AND((51-N(V_L1_Mes)+1)&gt;N(V_L1_Gracia),(51-N(V_L1_Mes)+1)&lt;=N(V_L1_Gracia)+N(V_L1_Cuotas),N(V_L1_Cuotas)&gt;0),IF((51-N(V_L1_Mes)+1)=N(V_L1_Gracia)+N(V_L1_Cuotas),IF((51-N(V_L1_Mes)+1)=1,N(V_L1_Monto),BC$219),PMT(N(V_L1_Tasa)/12,N(V_L1_Cuotas),-N(V_L1_Monto))-BD$217),0)*BD$9</f>
        <v>0</v>
      </c>
      <c r="BE218" s="34" t="n">
        <f aca="false">IF(AND((52-N(V_L1_Mes)+1)&gt;N(V_L1_Gracia),(52-N(V_L1_Mes)+1)&lt;=N(V_L1_Gracia)+N(V_L1_Cuotas),N(V_L1_Cuotas)&gt;0),IF((52-N(V_L1_Mes)+1)=N(V_L1_Gracia)+N(V_L1_Cuotas),IF((52-N(V_L1_Mes)+1)=1,N(V_L1_Monto),BD$219),PMT(N(V_L1_Tasa)/12,N(V_L1_Cuotas),-N(V_L1_Monto))-BE$217),0)*BE$9</f>
        <v>0</v>
      </c>
      <c r="BF218" s="34" t="n">
        <f aca="false">IF(AND((53-N(V_L1_Mes)+1)&gt;N(V_L1_Gracia),(53-N(V_L1_Mes)+1)&lt;=N(V_L1_Gracia)+N(V_L1_Cuotas),N(V_L1_Cuotas)&gt;0),IF((53-N(V_L1_Mes)+1)=N(V_L1_Gracia)+N(V_L1_Cuotas),IF((53-N(V_L1_Mes)+1)=1,N(V_L1_Monto),BE$219),PMT(N(V_L1_Tasa)/12,N(V_L1_Cuotas),-N(V_L1_Monto))-BF$217),0)*BF$9</f>
        <v>0</v>
      </c>
      <c r="BG218" s="34" t="n">
        <f aca="false">IF(AND((54-N(V_L1_Mes)+1)&gt;N(V_L1_Gracia),(54-N(V_L1_Mes)+1)&lt;=N(V_L1_Gracia)+N(V_L1_Cuotas),N(V_L1_Cuotas)&gt;0),IF((54-N(V_L1_Mes)+1)=N(V_L1_Gracia)+N(V_L1_Cuotas),IF((54-N(V_L1_Mes)+1)=1,N(V_L1_Monto),BF$219),PMT(N(V_L1_Tasa)/12,N(V_L1_Cuotas),-N(V_L1_Monto))-BG$217),0)*BG$9</f>
        <v>0</v>
      </c>
      <c r="BH218" s="34" t="n">
        <f aca="false">IF(AND((55-N(V_L1_Mes)+1)&gt;N(V_L1_Gracia),(55-N(V_L1_Mes)+1)&lt;=N(V_L1_Gracia)+N(V_L1_Cuotas),N(V_L1_Cuotas)&gt;0),IF((55-N(V_L1_Mes)+1)=N(V_L1_Gracia)+N(V_L1_Cuotas),IF((55-N(V_L1_Mes)+1)=1,N(V_L1_Monto),BG$219),PMT(N(V_L1_Tasa)/12,N(V_L1_Cuotas),-N(V_L1_Monto))-BH$217),0)*BH$9</f>
        <v>0</v>
      </c>
      <c r="BI218" s="34" t="n">
        <f aca="false">IF(AND((56-N(V_L1_Mes)+1)&gt;N(V_L1_Gracia),(56-N(V_L1_Mes)+1)&lt;=N(V_L1_Gracia)+N(V_L1_Cuotas),N(V_L1_Cuotas)&gt;0),IF((56-N(V_L1_Mes)+1)=N(V_L1_Gracia)+N(V_L1_Cuotas),IF((56-N(V_L1_Mes)+1)=1,N(V_L1_Monto),BH$219),PMT(N(V_L1_Tasa)/12,N(V_L1_Cuotas),-N(V_L1_Monto))-BI$217),0)*BI$9</f>
        <v>0</v>
      </c>
      <c r="BJ218" s="34" t="n">
        <f aca="false">IF(AND((57-N(V_L1_Mes)+1)&gt;N(V_L1_Gracia),(57-N(V_L1_Mes)+1)&lt;=N(V_L1_Gracia)+N(V_L1_Cuotas),N(V_L1_Cuotas)&gt;0),IF((57-N(V_L1_Mes)+1)=N(V_L1_Gracia)+N(V_L1_Cuotas),IF((57-N(V_L1_Mes)+1)=1,N(V_L1_Monto),BI$219),PMT(N(V_L1_Tasa)/12,N(V_L1_Cuotas),-N(V_L1_Monto))-BJ$217),0)*BJ$9</f>
        <v>0</v>
      </c>
      <c r="BK218" s="34" t="n">
        <f aca="false">IF(AND((58-N(V_L1_Mes)+1)&gt;N(V_L1_Gracia),(58-N(V_L1_Mes)+1)&lt;=N(V_L1_Gracia)+N(V_L1_Cuotas),N(V_L1_Cuotas)&gt;0),IF((58-N(V_L1_Mes)+1)=N(V_L1_Gracia)+N(V_L1_Cuotas),IF((58-N(V_L1_Mes)+1)=1,N(V_L1_Monto),BJ$219),PMT(N(V_L1_Tasa)/12,N(V_L1_Cuotas),-N(V_L1_Monto))-BK$217),0)*BK$9</f>
        <v>0</v>
      </c>
      <c r="BL218" s="34" t="n">
        <f aca="false">IF(AND((59-N(V_L1_Mes)+1)&gt;N(V_L1_Gracia),(59-N(V_L1_Mes)+1)&lt;=N(V_L1_Gracia)+N(V_L1_Cuotas),N(V_L1_Cuotas)&gt;0),IF((59-N(V_L1_Mes)+1)=N(V_L1_Gracia)+N(V_L1_Cuotas),IF((59-N(V_L1_Mes)+1)=1,N(V_L1_Monto),BK$219),PMT(N(V_L1_Tasa)/12,N(V_L1_Cuotas),-N(V_L1_Monto))-BL$217),0)*BL$9</f>
        <v>0</v>
      </c>
      <c r="BM218" s="34" t="n">
        <f aca="false">IF(AND((60-N(V_L1_Mes)+1)&gt;N(V_L1_Gracia),(60-N(V_L1_Mes)+1)&lt;=N(V_L1_Gracia)+N(V_L1_Cuotas),N(V_L1_Cuotas)&gt;0),IF((60-N(V_L1_Mes)+1)=N(V_L1_Gracia)+N(V_L1_Cuotas),IF((60-N(V_L1_Mes)+1)=1,N(V_L1_Monto),BL$219),PMT(N(V_L1_Tasa)/12,N(V_L1_Cuotas),-N(V_L1_Monto))-BM$217),0)*BM$9</f>
        <v>0</v>
      </c>
      <c r="BN218" s="34" t="n">
        <f aca="false">IF(AND((61-N(V_L1_Mes)+1)&gt;N(V_L1_Gracia),(61-N(V_L1_Mes)+1)&lt;=N(V_L1_Gracia)+N(V_L1_Cuotas),N(V_L1_Cuotas)&gt;0),IF((61-N(V_L1_Mes)+1)=N(V_L1_Gracia)+N(V_L1_Cuotas),IF((61-N(V_L1_Mes)+1)=1,N(V_L1_Monto),BM$219),PMT(N(V_L1_Tasa)/12,N(V_L1_Cuotas),-N(V_L1_Monto))-BN$217),0)*BN$9</f>
        <v>0</v>
      </c>
      <c r="BO218" s="34" t="n">
        <f aca="false">IF(AND((62-N(V_L1_Mes)+1)&gt;N(V_L1_Gracia),(62-N(V_L1_Mes)+1)&lt;=N(V_L1_Gracia)+N(V_L1_Cuotas),N(V_L1_Cuotas)&gt;0),IF((62-N(V_L1_Mes)+1)=N(V_L1_Gracia)+N(V_L1_Cuotas),IF((62-N(V_L1_Mes)+1)=1,N(V_L1_Monto),BN$219),PMT(N(V_L1_Tasa)/12,N(V_L1_Cuotas),-N(V_L1_Monto))-BO$217),0)*BO$9</f>
        <v>0</v>
      </c>
      <c r="BP218" s="34" t="n">
        <f aca="false">IF(AND((63-N(V_L1_Mes)+1)&gt;N(V_L1_Gracia),(63-N(V_L1_Mes)+1)&lt;=N(V_L1_Gracia)+N(V_L1_Cuotas),N(V_L1_Cuotas)&gt;0),IF((63-N(V_L1_Mes)+1)=N(V_L1_Gracia)+N(V_L1_Cuotas),IF((63-N(V_L1_Mes)+1)=1,N(V_L1_Monto),BO$219),PMT(N(V_L1_Tasa)/12,N(V_L1_Cuotas),-N(V_L1_Monto))-BP$217),0)*BP$9</f>
        <v>0</v>
      </c>
      <c r="BQ218" s="34" t="n">
        <f aca="false">IF(AND((64-N(V_L1_Mes)+1)&gt;N(V_L1_Gracia),(64-N(V_L1_Mes)+1)&lt;=N(V_L1_Gracia)+N(V_L1_Cuotas),N(V_L1_Cuotas)&gt;0),IF((64-N(V_L1_Mes)+1)=N(V_L1_Gracia)+N(V_L1_Cuotas),IF((64-N(V_L1_Mes)+1)=1,N(V_L1_Monto),BP$219),PMT(N(V_L1_Tasa)/12,N(V_L1_Cuotas),-N(V_L1_Monto))-BQ$217),0)*BQ$9</f>
        <v>0</v>
      </c>
      <c r="BR218" s="34" t="n">
        <f aca="false">IF(AND((65-N(V_L1_Mes)+1)&gt;N(V_L1_Gracia),(65-N(V_L1_Mes)+1)&lt;=N(V_L1_Gracia)+N(V_L1_Cuotas),N(V_L1_Cuotas)&gt;0),IF((65-N(V_L1_Mes)+1)=N(V_L1_Gracia)+N(V_L1_Cuotas),IF((65-N(V_L1_Mes)+1)=1,N(V_L1_Monto),BQ$219),PMT(N(V_L1_Tasa)/12,N(V_L1_Cuotas),-N(V_L1_Monto))-BR$217),0)*BR$9</f>
        <v>0</v>
      </c>
      <c r="BS218" s="34" t="n">
        <f aca="false">IF(AND((66-N(V_L1_Mes)+1)&gt;N(V_L1_Gracia),(66-N(V_L1_Mes)+1)&lt;=N(V_L1_Gracia)+N(V_L1_Cuotas),N(V_L1_Cuotas)&gt;0),IF((66-N(V_L1_Mes)+1)=N(V_L1_Gracia)+N(V_L1_Cuotas),IF((66-N(V_L1_Mes)+1)=1,N(V_L1_Monto),BR$219),PMT(N(V_L1_Tasa)/12,N(V_L1_Cuotas),-N(V_L1_Monto))-BS$217),0)*BS$9</f>
        <v>0</v>
      </c>
      <c r="BT218" s="34" t="n">
        <f aca="false">IF(AND((67-N(V_L1_Mes)+1)&gt;N(V_L1_Gracia),(67-N(V_L1_Mes)+1)&lt;=N(V_L1_Gracia)+N(V_L1_Cuotas),N(V_L1_Cuotas)&gt;0),IF((67-N(V_L1_Mes)+1)=N(V_L1_Gracia)+N(V_L1_Cuotas),IF((67-N(V_L1_Mes)+1)=1,N(V_L1_Monto),BS$219),PMT(N(V_L1_Tasa)/12,N(V_L1_Cuotas),-N(V_L1_Monto))-BT$217),0)*BT$9</f>
        <v>0</v>
      </c>
      <c r="BU218" s="34" t="n">
        <f aca="false">IF(AND((68-N(V_L1_Mes)+1)&gt;N(V_L1_Gracia),(68-N(V_L1_Mes)+1)&lt;=N(V_L1_Gracia)+N(V_L1_Cuotas),N(V_L1_Cuotas)&gt;0),IF((68-N(V_L1_Mes)+1)=N(V_L1_Gracia)+N(V_L1_Cuotas),IF((68-N(V_L1_Mes)+1)=1,N(V_L1_Monto),BT$219),PMT(N(V_L1_Tasa)/12,N(V_L1_Cuotas),-N(V_L1_Monto))-BU$217),0)*BU$9</f>
        <v>0</v>
      </c>
      <c r="BV218" s="34" t="n">
        <f aca="false">IF(AND((69-N(V_L1_Mes)+1)&gt;N(V_L1_Gracia),(69-N(V_L1_Mes)+1)&lt;=N(V_L1_Gracia)+N(V_L1_Cuotas),N(V_L1_Cuotas)&gt;0),IF((69-N(V_L1_Mes)+1)=N(V_L1_Gracia)+N(V_L1_Cuotas),IF((69-N(V_L1_Mes)+1)=1,N(V_L1_Monto),BU$219),PMT(N(V_L1_Tasa)/12,N(V_L1_Cuotas),-N(V_L1_Monto))-BV$217),0)*BV$9</f>
        <v>0</v>
      </c>
      <c r="BW218" s="34" t="n">
        <f aca="false">IF(AND((70-N(V_L1_Mes)+1)&gt;N(V_L1_Gracia),(70-N(V_L1_Mes)+1)&lt;=N(V_L1_Gracia)+N(V_L1_Cuotas),N(V_L1_Cuotas)&gt;0),IF((70-N(V_L1_Mes)+1)=N(V_L1_Gracia)+N(V_L1_Cuotas),IF((70-N(V_L1_Mes)+1)=1,N(V_L1_Monto),BV$219),PMT(N(V_L1_Tasa)/12,N(V_L1_Cuotas),-N(V_L1_Monto))-BW$217),0)*BW$9</f>
        <v>0</v>
      </c>
      <c r="BX218" s="34" t="n">
        <f aca="false">IF(AND((71-N(V_L1_Mes)+1)&gt;N(V_L1_Gracia),(71-N(V_L1_Mes)+1)&lt;=N(V_L1_Gracia)+N(V_L1_Cuotas),N(V_L1_Cuotas)&gt;0),IF((71-N(V_L1_Mes)+1)=N(V_L1_Gracia)+N(V_L1_Cuotas),IF((71-N(V_L1_Mes)+1)=1,N(V_L1_Monto),BW$219),PMT(N(V_L1_Tasa)/12,N(V_L1_Cuotas),-N(V_L1_Monto))-BX$217),0)*BX$9</f>
        <v>0</v>
      </c>
      <c r="BY218" s="34" t="n">
        <f aca="false">IF(AND((72-N(V_L1_Mes)+1)&gt;N(V_L1_Gracia),(72-N(V_L1_Mes)+1)&lt;=N(V_L1_Gracia)+N(V_L1_Cuotas),N(V_L1_Cuotas)&gt;0),IF((72-N(V_L1_Mes)+1)=N(V_L1_Gracia)+N(V_L1_Cuotas),IF((72-N(V_L1_Mes)+1)=1,N(V_L1_Monto),BX$219),PMT(N(V_L1_Tasa)/12,N(V_L1_Cuotas),-N(V_L1_Monto))-BY$217),0)*BY$9</f>
        <v>0</v>
      </c>
      <c r="BZ218" s="34" t="n">
        <f aca="false">IF(AND((73-N(V_L1_Mes)+1)&gt;N(V_L1_Gracia),(73-N(V_L1_Mes)+1)&lt;=N(V_L1_Gracia)+N(V_L1_Cuotas),N(V_L1_Cuotas)&gt;0),IF((73-N(V_L1_Mes)+1)=N(V_L1_Gracia)+N(V_L1_Cuotas),IF((73-N(V_L1_Mes)+1)=1,N(V_L1_Monto),BY$219),PMT(N(V_L1_Tasa)/12,N(V_L1_Cuotas),-N(V_L1_Monto))-BZ$217),0)*BZ$9</f>
        <v>0</v>
      </c>
      <c r="CA218" s="34" t="n">
        <f aca="false">IF(AND((74-N(V_L1_Mes)+1)&gt;N(V_L1_Gracia),(74-N(V_L1_Mes)+1)&lt;=N(V_L1_Gracia)+N(V_L1_Cuotas),N(V_L1_Cuotas)&gt;0),IF((74-N(V_L1_Mes)+1)=N(V_L1_Gracia)+N(V_L1_Cuotas),IF((74-N(V_L1_Mes)+1)=1,N(V_L1_Monto),BZ$219),PMT(N(V_L1_Tasa)/12,N(V_L1_Cuotas),-N(V_L1_Monto))-CA$217),0)*CA$9</f>
        <v>0</v>
      </c>
      <c r="CB218" s="34" t="n">
        <f aca="false">IF(AND((75-N(V_L1_Mes)+1)&gt;N(V_L1_Gracia),(75-N(V_L1_Mes)+1)&lt;=N(V_L1_Gracia)+N(V_L1_Cuotas),N(V_L1_Cuotas)&gt;0),IF((75-N(V_L1_Mes)+1)=N(V_L1_Gracia)+N(V_L1_Cuotas),IF((75-N(V_L1_Mes)+1)=1,N(V_L1_Monto),CA$219),PMT(N(V_L1_Tasa)/12,N(V_L1_Cuotas),-N(V_L1_Monto))-CB$217),0)*CB$9</f>
        <v>0</v>
      </c>
      <c r="CC218" s="34" t="n">
        <f aca="false">IF(AND((76-N(V_L1_Mes)+1)&gt;N(V_L1_Gracia),(76-N(V_L1_Mes)+1)&lt;=N(V_L1_Gracia)+N(V_L1_Cuotas),N(V_L1_Cuotas)&gt;0),IF((76-N(V_L1_Mes)+1)=N(V_L1_Gracia)+N(V_L1_Cuotas),IF((76-N(V_L1_Mes)+1)=1,N(V_L1_Monto),CB$219),PMT(N(V_L1_Tasa)/12,N(V_L1_Cuotas),-N(V_L1_Monto))-CC$217),0)*CC$9</f>
        <v>0</v>
      </c>
      <c r="CD218" s="34" t="n">
        <f aca="false">IF(AND((77-N(V_L1_Mes)+1)&gt;N(V_L1_Gracia),(77-N(V_L1_Mes)+1)&lt;=N(V_L1_Gracia)+N(V_L1_Cuotas),N(V_L1_Cuotas)&gt;0),IF((77-N(V_L1_Mes)+1)=N(V_L1_Gracia)+N(V_L1_Cuotas),IF((77-N(V_L1_Mes)+1)=1,N(V_L1_Monto),CC$219),PMT(N(V_L1_Tasa)/12,N(V_L1_Cuotas),-N(V_L1_Monto))-CD$217),0)*CD$9</f>
        <v>0</v>
      </c>
      <c r="CE218" s="34" t="n">
        <f aca="false">IF(AND((78-N(V_L1_Mes)+1)&gt;N(V_L1_Gracia),(78-N(V_L1_Mes)+1)&lt;=N(V_L1_Gracia)+N(V_L1_Cuotas),N(V_L1_Cuotas)&gt;0),IF((78-N(V_L1_Mes)+1)=N(V_L1_Gracia)+N(V_L1_Cuotas),IF((78-N(V_L1_Mes)+1)=1,N(V_L1_Monto),CD$219),PMT(N(V_L1_Tasa)/12,N(V_L1_Cuotas),-N(V_L1_Monto))-CE$217),0)*CE$9</f>
        <v>0</v>
      </c>
      <c r="CF218" s="34" t="n">
        <f aca="false">IF(AND((79-N(V_L1_Mes)+1)&gt;N(V_L1_Gracia),(79-N(V_L1_Mes)+1)&lt;=N(V_L1_Gracia)+N(V_L1_Cuotas),N(V_L1_Cuotas)&gt;0),IF((79-N(V_L1_Mes)+1)=N(V_L1_Gracia)+N(V_L1_Cuotas),IF((79-N(V_L1_Mes)+1)=1,N(V_L1_Monto),CE$219),PMT(N(V_L1_Tasa)/12,N(V_L1_Cuotas),-N(V_L1_Monto))-CF$217),0)*CF$9</f>
        <v>0</v>
      </c>
      <c r="CG218" s="34" t="n">
        <f aca="false">IF(AND((80-N(V_L1_Mes)+1)&gt;N(V_L1_Gracia),(80-N(V_L1_Mes)+1)&lt;=N(V_L1_Gracia)+N(V_L1_Cuotas),N(V_L1_Cuotas)&gt;0),IF((80-N(V_L1_Mes)+1)=N(V_L1_Gracia)+N(V_L1_Cuotas),IF((80-N(V_L1_Mes)+1)=1,N(V_L1_Monto),CF$219),PMT(N(V_L1_Tasa)/12,N(V_L1_Cuotas),-N(V_L1_Monto))-CG$217),0)*CG$9</f>
        <v>0</v>
      </c>
      <c r="CH218" s="34" t="n">
        <f aca="false">IF(AND((81-N(V_L1_Mes)+1)&gt;N(V_L1_Gracia),(81-N(V_L1_Mes)+1)&lt;=N(V_L1_Gracia)+N(V_L1_Cuotas),N(V_L1_Cuotas)&gt;0),IF((81-N(V_L1_Mes)+1)=N(V_L1_Gracia)+N(V_L1_Cuotas),IF((81-N(V_L1_Mes)+1)=1,N(V_L1_Monto),CG$219),PMT(N(V_L1_Tasa)/12,N(V_L1_Cuotas),-N(V_L1_Monto))-CH$217),0)*CH$9</f>
        <v>0</v>
      </c>
      <c r="CI218" s="34" t="n">
        <f aca="false">IF(AND((82-N(V_L1_Mes)+1)&gt;N(V_L1_Gracia),(82-N(V_L1_Mes)+1)&lt;=N(V_L1_Gracia)+N(V_L1_Cuotas),N(V_L1_Cuotas)&gt;0),IF((82-N(V_L1_Mes)+1)=N(V_L1_Gracia)+N(V_L1_Cuotas),IF((82-N(V_L1_Mes)+1)=1,N(V_L1_Monto),CH$219),PMT(N(V_L1_Tasa)/12,N(V_L1_Cuotas),-N(V_L1_Monto))-CI$217),0)*CI$9</f>
        <v>0</v>
      </c>
      <c r="CJ218" s="34" t="n">
        <f aca="false">IF(AND((83-N(V_L1_Mes)+1)&gt;N(V_L1_Gracia),(83-N(V_L1_Mes)+1)&lt;=N(V_L1_Gracia)+N(V_L1_Cuotas),N(V_L1_Cuotas)&gt;0),IF((83-N(V_L1_Mes)+1)=N(V_L1_Gracia)+N(V_L1_Cuotas),IF((83-N(V_L1_Mes)+1)=1,N(V_L1_Monto),CI$219),PMT(N(V_L1_Tasa)/12,N(V_L1_Cuotas),-N(V_L1_Monto))-CJ$217),0)*CJ$9</f>
        <v>0</v>
      </c>
      <c r="CK218" s="34" t="n">
        <f aca="false">IF(AND((84-N(V_L1_Mes)+1)&gt;N(V_L1_Gracia),(84-N(V_L1_Mes)+1)&lt;=N(V_L1_Gracia)+N(V_L1_Cuotas),N(V_L1_Cuotas)&gt;0),IF((84-N(V_L1_Mes)+1)=N(V_L1_Gracia)+N(V_L1_Cuotas),IF((84-N(V_L1_Mes)+1)=1,N(V_L1_Monto),CJ$219),PMT(N(V_L1_Tasa)/12,N(V_L1_Cuotas),-N(V_L1_Monto))-CK$217),0)*CK$9</f>
        <v>0</v>
      </c>
      <c r="CL218" s="34" t="n">
        <f aca="false">IF(AND((85-N(V_L1_Mes)+1)&gt;N(V_L1_Gracia),(85-N(V_L1_Mes)+1)&lt;=N(V_L1_Gracia)+N(V_L1_Cuotas),N(V_L1_Cuotas)&gt;0),IF((85-N(V_L1_Mes)+1)=N(V_L1_Gracia)+N(V_L1_Cuotas),IF((85-N(V_L1_Mes)+1)=1,N(V_L1_Monto),CK$219),PMT(N(V_L1_Tasa)/12,N(V_L1_Cuotas),-N(V_L1_Monto))-CL$217),0)*CL$9</f>
        <v>0</v>
      </c>
      <c r="CM218" s="34" t="n">
        <f aca="false">IF(AND((86-N(V_L1_Mes)+1)&gt;N(V_L1_Gracia),(86-N(V_L1_Mes)+1)&lt;=N(V_L1_Gracia)+N(V_L1_Cuotas),N(V_L1_Cuotas)&gt;0),IF((86-N(V_L1_Mes)+1)=N(V_L1_Gracia)+N(V_L1_Cuotas),IF((86-N(V_L1_Mes)+1)=1,N(V_L1_Monto),CL$219),PMT(N(V_L1_Tasa)/12,N(V_L1_Cuotas),-N(V_L1_Monto))-CM$217),0)*CM$9</f>
        <v>0</v>
      </c>
      <c r="CN218" s="34" t="n">
        <f aca="false">IF(AND((87-N(V_L1_Mes)+1)&gt;N(V_L1_Gracia),(87-N(V_L1_Mes)+1)&lt;=N(V_L1_Gracia)+N(V_L1_Cuotas),N(V_L1_Cuotas)&gt;0),IF((87-N(V_L1_Mes)+1)=N(V_L1_Gracia)+N(V_L1_Cuotas),IF((87-N(V_L1_Mes)+1)=1,N(V_L1_Monto),CM$219),PMT(N(V_L1_Tasa)/12,N(V_L1_Cuotas),-N(V_L1_Monto))-CN$217),0)*CN$9</f>
        <v>0</v>
      </c>
      <c r="CO218" s="34" t="n">
        <f aca="false">IF(AND((88-N(V_L1_Mes)+1)&gt;N(V_L1_Gracia),(88-N(V_L1_Mes)+1)&lt;=N(V_L1_Gracia)+N(V_L1_Cuotas),N(V_L1_Cuotas)&gt;0),IF((88-N(V_L1_Mes)+1)=N(V_L1_Gracia)+N(V_L1_Cuotas),IF((88-N(V_L1_Mes)+1)=1,N(V_L1_Monto),CN$219),PMT(N(V_L1_Tasa)/12,N(V_L1_Cuotas),-N(V_L1_Monto))-CO$217),0)*CO$9</f>
        <v>0</v>
      </c>
      <c r="CP218" s="34" t="n">
        <f aca="false">IF(AND((89-N(V_L1_Mes)+1)&gt;N(V_L1_Gracia),(89-N(V_L1_Mes)+1)&lt;=N(V_L1_Gracia)+N(V_L1_Cuotas),N(V_L1_Cuotas)&gt;0),IF((89-N(V_L1_Mes)+1)=N(V_L1_Gracia)+N(V_L1_Cuotas),IF((89-N(V_L1_Mes)+1)=1,N(V_L1_Monto),CO$219),PMT(N(V_L1_Tasa)/12,N(V_L1_Cuotas),-N(V_L1_Monto))-CP$217),0)*CP$9</f>
        <v>0</v>
      </c>
      <c r="CQ218" s="34" t="n">
        <f aca="false">IF(AND((90-N(V_L1_Mes)+1)&gt;N(V_L1_Gracia),(90-N(V_L1_Mes)+1)&lt;=N(V_L1_Gracia)+N(V_L1_Cuotas),N(V_L1_Cuotas)&gt;0),IF((90-N(V_L1_Mes)+1)=N(V_L1_Gracia)+N(V_L1_Cuotas),IF((90-N(V_L1_Mes)+1)=1,N(V_L1_Monto),CP$219),PMT(N(V_L1_Tasa)/12,N(V_L1_Cuotas),-N(V_L1_Monto))-CQ$217),0)*CQ$9</f>
        <v>0</v>
      </c>
      <c r="CR218" s="34" t="n">
        <f aca="false">IF(AND((91-N(V_L1_Mes)+1)&gt;N(V_L1_Gracia),(91-N(V_L1_Mes)+1)&lt;=N(V_L1_Gracia)+N(V_L1_Cuotas),N(V_L1_Cuotas)&gt;0),IF((91-N(V_L1_Mes)+1)=N(V_L1_Gracia)+N(V_L1_Cuotas),IF((91-N(V_L1_Mes)+1)=1,N(V_L1_Monto),CQ$219),PMT(N(V_L1_Tasa)/12,N(V_L1_Cuotas),-N(V_L1_Monto))-CR$217),0)*CR$9</f>
        <v>0</v>
      </c>
      <c r="CS218" s="34" t="n">
        <f aca="false">IF(AND((92-N(V_L1_Mes)+1)&gt;N(V_L1_Gracia),(92-N(V_L1_Mes)+1)&lt;=N(V_L1_Gracia)+N(V_L1_Cuotas),N(V_L1_Cuotas)&gt;0),IF((92-N(V_L1_Mes)+1)=N(V_L1_Gracia)+N(V_L1_Cuotas),IF((92-N(V_L1_Mes)+1)=1,N(V_L1_Monto),CR$219),PMT(N(V_L1_Tasa)/12,N(V_L1_Cuotas),-N(V_L1_Monto))-CS$217),0)*CS$9</f>
        <v>0</v>
      </c>
      <c r="CT218" s="34" t="n">
        <f aca="false">IF(AND((93-N(V_L1_Mes)+1)&gt;N(V_L1_Gracia),(93-N(V_L1_Mes)+1)&lt;=N(V_L1_Gracia)+N(V_L1_Cuotas),N(V_L1_Cuotas)&gt;0),IF((93-N(V_L1_Mes)+1)=N(V_L1_Gracia)+N(V_L1_Cuotas),IF((93-N(V_L1_Mes)+1)=1,N(V_L1_Monto),CS$219),PMT(N(V_L1_Tasa)/12,N(V_L1_Cuotas),-N(V_L1_Monto))-CT$217),0)*CT$9</f>
        <v>0</v>
      </c>
      <c r="CU218" s="34" t="n">
        <f aca="false">IF(AND((94-N(V_L1_Mes)+1)&gt;N(V_L1_Gracia),(94-N(V_L1_Mes)+1)&lt;=N(V_L1_Gracia)+N(V_L1_Cuotas),N(V_L1_Cuotas)&gt;0),IF((94-N(V_L1_Mes)+1)=N(V_L1_Gracia)+N(V_L1_Cuotas),IF((94-N(V_L1_Mes)+1)=1,N(V_L1_Monto),CT$219),PMT(N(V_L1_Tasa)/12,N(V_L1_Cuotas),-N(V_L1_Monto))-CU$217),0)*CU$9</f>
        <v>0</v>
      </c>
      <c r="CV218" s="34" t="n">
        <f aca="false">IF(AND((95-N(V_L1_Mes)+1)&gt;N(V_L1_Gracia),(95-N(V_L1_Mes)+1)&lt;=N(V_L1_Gracia)+N(V_L1_Cuotas),N(V_L1_Cuotas)&gt;0),IF((95-N(V_L1_Mes)+1)=N(V_L1_Gracia)+N(V_L1_Cuotas),IF((95-N(V_L1_Mes)+1)=1,N(V_L1_Monto),CU$219),PMT(N(V_L1_Tasa)/12,N(V_L1_Cuotas),-N(V_L1_Monto))-CV$217),0)*CV$9</f>
        <v>0</v>
      </c>
      <c r="CW218" s="34" t="n">
        <f aca="false">IF(AND((96-N(V_L1_Mes)+1)&gt;N(V_L1_Gracia),(96-N(V_L1_Mes)+1)&lt;=N(V_L1_Gracia)+N(V_L1_Cuotas),N(V_L1_Cuotas)&gt;0),IF((96-N(V_L1_Mes)+1)=N(V_L1_Gracia)+N(V_L1_Cuotas),IF((96-N(V_L1_Mes)+1)=1,N(V_L1_Monto),CV$219),PMT(N(V_L1_Tasa)/12,N(V_L1_Cuotas),-N(V_L1_Monto))-CW$217),0)*CW$9</f>
        <v>0</v>
      </c>
      <c r="CX218" s="34" t="n">
        <f aca="false">IF(AND((97-N(V_L1_Mes)+1)&gt;N(V_L1_Gracia),(97-N(V_L1_Mes)+1)&lt;=N(V_L1_Gracia)+N(V_L1_Cuotas),N(V_L1_Cuotas)&gt;0),IF((97-N(V_L1_Mes)+1)=N(V_L1_Gracia)+N(V_L1_Cuotas),IF((97-N(V_L1_Mes)+1)=1,N(V_L1_Monto),CW$219),PMT(N(V_L1_Tasa)/12,N(V_L1_Cuotas),-N(V_L1_Monto))-CX$217),0)*CX$9</f>
        <v>0</v>
      </c>
      <c r="CY218" s="34" t="n">
        <f aca="false">IF(AND((98-N(V_L1_Mes)+1)&gt;N(V_L1_Gracia),(98-N(V_L1_Mes)+1)&lt;=N(V_L1_Gracia)+N(V_L1_Cuotas),N(V_L1_Cuotas)&gt;0),IF((98-N(V_L1_Mes)+1)=N(V_L1_Gracia)+N(V_L1_Cuotas),IF((98-N(V_L1_Mes)+1)=1,N(V_L1_Monto),CX$219),PMT(N(V_L1_Tasa)/12,N(V_L1_Cuotas),-N(V_L1_Monto))-CY$217),0)*CY$9</f>
        <v>0</v>
      </c>
      <c r="CZ218" s="34" t="n">
        <f aca="false">IF(AND((99-N(V_L1_Mes)+1)&gt;N(V_L1_Gracia),(99-N(V_L1_Mes)+1)&lt;=N(V_L1_Gracia)+N(V_L1_Cuotas),N(V_L1_Cuotas)&gt;0),IF((99-N(V_L1_Mes)+1)=N(V_L1_Gracia)+N(V_L1_Cuotas),IF((99-N(V_L1_Mes)+1)=1,N(V_L1_Monto),CY$219),PMT(N(V_L1_Tasa)/12,N(V_L1_Cuotas),-N(V_L1_Monto))-CZ$217),0)*CZ$9</f>
        <v>0</v>
      </c>
      <c r="DA218" s="34" t="n">
        <f aca="false">IF(AND((100-N(V_L1_Mes)+1)&gt;N(V_L1_Gracia),(100-N(V_L1_Mes)+1)&lt;=N(V_L1_Gracia)+N(V_L1_Cuotas),N(V_L1_Cuotas)&gt;0),IF((100-N(V_L1_Mes)+1)=N(V_L1_Gracia)+N(V_L1_Cuotas),IF((100-N(V_L1_Mes)+1)=1,N(V_L1_Monto),CZ$219),PMT(N(V_L1_Tasa)/12,N(V_L1_Cuotas),-N(V_L1_Monto))-DA$217),0)*DA$9</f>
        <v>0</v>
      </c>
      <c r="DB218" s="34" t="n">
        <f aca="false">IF(AND((101-N(V_L1_Mes)+1)&gt;N(V_L1_Gracia),(101-N(V_L1_Mes)+1)&lt;=N(V_L1_Gracia)+N(V_L1_Cuotas),N(V_L1_Cuotas)&gt;0),IF((101-N(V_L1_Mes)+1)=N(V_L1_Gracia)+N(V_L1_Cuotas),IF((101-N(V_L1_Mes)+1)=1,N(V_L1_Monto),DA$219),PMT(N(V_L1_Tasa)/12,N(V_L1_Cuotas),-N(V_L1_Monto))-DB$217),0)*DB$9</f>
        <v>0</v>
      </c>
      <c r="DC218" s="34" t="n">
        <f aca="false">IF(AND((102-N(V_L1_Mes)+1)&gt;N(V_L1_Gracia),(102-N(V_L1_Mes)+1)&lt;=N(V_L1_Gracia)+N(V_L1_Cuotas),N(V_L1_Cuotas)&gt;0),IF((102-N(V_L1_Mes)+1)=N(V_L1_Gracia)+N(V_L1_Cuotas),IF((102-N(V_L1_Mes)+1)=1,N(V_L1_Monto),DB$219),PMT(N(V_L1_Tasa)/12,N(V_L1_Cuotas),-N(V_L1_Monto))-DC$217),0)*DC$9</f>
        <v>0</v>
      </c>
      <c r="DD218" s="34" t="n">
        <f aca="false">IF(AND((103-N(V_L1_Mes)+1)&gt;N(V_L1_Gracia),(103-N(V_L1_Mes)+1)&lt;=N(V_L1_Gracia)+N(V_L1_Cuotas),N(V_L1_Cuotas)&gt;0),IF((103-N(V_L1_Mes)+1)=N(V_L1_Gracia)+N(V_L1_Cuotas),IF((103-N(V_L1_Mes)+1)=1,N(V_L1_Monto),DC$219),PMT(N(V_L1_Tasa)/12,N(V_L1_Cuotas),-N(V_L1_Monto))-DD$217),0)*DD$9</f>
        <v>0</v>
      </c>
      <c r="DE218" s="34" t="n">
        <f aca="false">IF(AND((104-N(V_L1_Mes)+1)&gt;N(V_L1_Gracia),(104-N(V_L1_Mes)+1)&lt;=N(V_L1_Gracia)+N(V_L1_Cuotas),N(V_L1_Cuotas)&gt;0),IF((104-N(V_L1_Mes)+1)=N(V_L1_Gracia)+N(V_L1_Cuotas),IF((104-N(V_L1_Mes)+1)=1,N(V_L1_Monto),DD$219),PMT(N(V_L1_Tasa)/12,N(V_L1_Cuotas),-N(V_L1_Monto))-DE$217),0)*DE$9</f>
        <v>0</v>
      </c>
      <c r="DF218" s="34" t="n">
        <f aca="false">IF(AND((105-N(V_L1_Mes)+1)&gt;N(V_L1_Gracia),(105-N(V_L1_Mes)+1)&lt;=N(V_L1_Gracia)+N(V_L1_Cuotas),N(V_L1_Cuotas)&gt;0),IF((105-N(V_L1_Mes)+1)=N(V_L1_Gracia)+N(V_L1_Cuotas),IF((105-N(V_L1_Mes)+1)=1,N(V_L1_Monto),DE$219),PMT(N(V_L1_Tasa)/12,N(V_L1_Cuotas),-N(V_L1_Monto))-DF$217),0)*DF$9</f>
        <v>0</v>
      </c>
      <c r="DG218" s="34" t="n">
        <f aca="false">IF(AND((106-N(V_L1_Mes)+1)&gt;N(V_L1_Gracia),(106-N(V_L1_Mes)+1)&lt;=N(V_L1_Gracia)+N(V_L1_Cuotas),N(V_L1_Cuotas)&gt;0),IF((106-N(V_L1_Mes)+1)=N(V_L1_Gracia)+N(V_L1_Cuotas),IF((106-N(V_L1_Mes)+1)=1,N(V_L1_Monto),DF$219),PMT(N(V_L1_Tasa)/12,N(V_L1_Cuotas),-N(V_L1_Monto))-DG$217),0)*DG$9</f>
        <v>0</v>
      </c>
      <c r="DH218" s="34" t="n">
        <f aca="false">IF(AND((107-N(V_L1_Mes)+1)&gt;N(V_L1_Gracia),(107-N(V_L1_Mes)+1)&lt;=N(V_L1_Gracia)+N(V_L1_Cuotas),N(V_L1_Cuotas)&gt;0),IF((107-N(V_L1_Mes)+1)=N(V_L1_Gracia)+N(V_L1_Cuotas),IF((107-N(V_L1_Mes)+1)=1,N(V_L1_Monto),DG$219),PMT(N(V_L1_Tasa)/12,N(V_L1_Cuotas),-N(V_L1_Monto))-DH$217),0)*DH$9</f>
        <v>0</v>
      </c>
      <c r="DI218" s="34" t="n">
        <f aca="false">IF(AND((108-N(V_L1_Mes)+1)&gt;N(V_L1_Gracia),(108-N(V_L1_Mes)+1)&lt;=N(V_L1_Gracia)+N(V_L1_Cuotas),N(V_L1_Cuotas)&gt;0),IF((108-N(V_L1_Mes)+1)=N(V_L1_Gracia)+N(V_L1_Cuotas),IF((108-N(V_L1_Mes)+1)=1,N(V_L1_Monto),DH$219),PMT(N(V_L1_Tasa)/12,N(V_L1_Cuotas),-N(V_L1_Monto))-DI$217),0)*DI$9</f>
        <v>0</v>
      </c>
      <c r="DJ218" s="34" t="n">
        <f aca="false">IF(AND((109-N(V_L1_Mes)+1)&gt;N(V_L1_Gracia),(109-N(V_L1_Mes)+1)&lt;=N(V_L1_Gracia)+N(V_L1_Cuotas),N(V_L1_Cuotas)&gt;0),IF((109-N(V_L1_Mes)+1)=N(V_L1_Gracia)+N(V_L1_Cuotas),IF((109-N(V_L1_Mes)+1)=1,N(V_L1_Monto),DI$219),PMT(N(V_L1_Tasa)/12,N(V_L1_Cuotas),-N(V_L1_Monto))-DJ$217),0)*DJ$9</f>
        <v>0</v>
      </c>
      <c r="DK218" s="34" t="n">
        <f aca="false">IF(AND((110-N(V_L1_Mes)+1)&gt;N(V_L1_Gracia),(110-N(V_L1_Mes)+1)&lt;=N(V_L1_Gracia)+N(V_L1_Cuotas),N(V_L1_Cuotas)&gt;0),IF((110-N(V_L1_Mes)+1)=N(V_L1_Gracia)+N(V_L1_Cuotas),IF((110-N(V_L1_Mes)+1)=1,N(V_L1_Monto),DJ$219),PMT(N(V_L1_Tasa)/12,N(V_L1_Cuotas),-N(V_L1_Monto))-DK$217),0)*DK$9</f>
        <v>0</v>
      </c>
      <c r="DL218" s="34" t="n">
        <f aca="false">IF(AND((111-N(V_L1_Mes)+1)&gt;N(V_L1_Gracia),(111-N(V_L1_Mes)+1)&lt;=N(V_L1_Gracia)+N(V_L1_Cuotas),N(V_L1_Cuotas)&gt;0),IF((111-N(V_L1_Mes)+1)=N(V_L1_Gracia)+N(V_L1_Cuotas),IF((111-N(V_L1_Mes)+1)=1,N(V_L1_Monto),DK$219),PMT(N(V_L1_Tasa)/12,N(V_L1_Cuotas),-N(V_L1_Monto))-DL$217),0)*DL$9</f>
        <v>0</v>
      </c>
      <c r="DM218" s="34" t="n">
        <f aca="false">IF(AND((112-N(V_L1_Mes)+1)&gt;N(V_L1_Gracia),(112-N(V_L1_Mes)+1)&lt;=N(V_L1_Gracia)+N(V_L1_Cuotas),N(V_L1_Cuotas)&gt;0),IF((112-N(V_L1_Mes)+1)=N(V_L1_Gracia)+N(V_L1_Cuotas),IF((112-N(V_L1_Mes)+1)=1,N(V_L1_Monto),DL$219),PMT(N(V_L1_Tasa)/12,N(V_L1_Cuotas),-N(V_L1_Monto))-DM$217),0)*DM$9</f>
        <v>0</v>
      </c>
      <c r="DN218" s="34" t="n">
        <f aca="false">IF(AND((113-N(V_L1_Mes)+1)&gt;N(V_L1_Gracia),(113-N(V_L1_Mes)+1)&lt;=N(V_L1_Gracia)+N(V_L1_Cuotas),N(V_L1_Cuotas)&gt;0),IF((113-N(V_L1_Mes)+1)=N(V_L1_Gracia)+N(V_L1_Cuotas),IF((113-N(V_L1_Mes)+1)=1,N(V_L1_Monto),DM$219),PMT(N(V_L1_Tasa)/12,N(V_L1_Cuotas),-N(V_L1_Monto))-DN$217),0)*DN$9</f>
        <v>0</v>
      </c>
      <c r="DO218" s="34" t="n">
        <f aca="false">IF(AND((114-N(V_L1_Mes)+1)&gt;N(V_L1_Gracia),(114-N(V_L1_Mes)+1)&lt;=N(V_L1_Gracia)+N(V_L1_Cuotas),N(V_L1_Cuotas)&gt;0),IF((114-N(V_L1_Mes)+1)=N(V_L1_Gracia)+N(V_L1_Cuotas),IF((114-N(V_L1_Mes)+1)=1,N(V_L1_Monto),DN$219),PMT(N(V_L1_Tasa)/12,N(V_L1_Cuotas),-N(V_L1_Monto))-DO$217),0)*DO$9</f>
        <v>0</v>
      </c>
      <c r="DP218" s="34" t="n">
        <f aca="false">IF(AND((115-N(V_L1_Mes)+1)&gt;N(V_L1_Gracia),(115-N(V_L1_Mes)+1)&lt;=N(V_L1_Gracia)+N(V_L1_Cuotas),N(V_L1_Cuotas)&gt;0),IF((115-N(V_L1_Mes)+1)=N(V_L1_Gracia)+N(V_L1_Cuotas),IF((115-N(V_L1_Mes)+1)=1,N(V_L1_Monto),DO$219),PMT(N(V_L1_Tasa)/12,N(V_L1_Cuotas),-N(V_L1_Monto))-DP$217),0)*DP$9</f>
        <v>0</v>
      </c>
      <c r="DQ218" s="34" t="n">
        <f aca="false">IF(AND((116-N(V_L1_Mes)+1)&gt;N(V_L1_Gracia),(116-N(V_L1_Mes)+1)&lt;=N(V_L1_Gracia)+N(V_L1_Cuotas),N(V_L1_Cuotas)&gt;0),IF((116-N(V_L1_Mes)+1)=N(V_L1_Gracia)+N(V_L1_Cuotas),IF((116-N(V_L1_Mes)+1)=1,N(V_L1_Monto),DP$219),PMT(N(V_L1_Tasa)/12,N(V_L1_Cuotas),-N(V_L1_Monto))-DQ$217),0)*DQ$9</f>
        <v>0</v>
      </c>
      <c r="DR218" s="34" t="n">
        <f aca="false">IF(AND((117-N(V_L1_Mes)+1)&gt;N(V_L1_Gracia),(117-N(V_L1_Mes)+1)&lt;=N(V_L1_Gracia)+N(V_L1_Cuotas),N(V_L1_Cuotas)&gt;0),IF((117-N(V_L1_Mes)+1)=N(V_L1_Gracia)+N(V_L1_Cuotas),IF((117-N(V_L1_Mes)+1)=1,N(V_L1_Monto),DQ$219),PMT(N(V_L1_Tasa)/12,N(V_L1_Cuotas),-N(V_L1_Monto))-DR$217),0)*DR$9</f>
        <v>0</v>
      </c>
      <c r="DS218" s="34" t="n">
        <f aca="false">IF(AND((118-N(V_L1_Mes)+1)&gt;N(V_L1_Gracia),(118-N(V_L1_Mes)+1)&lt;=N(V_L1_Gracia)+N(V_L1_Cuotas),N(V_L1_Cuotas)&gt;0),IF((118-N(V_L1_Mes)+1)=N(V_L1_Gracia)+N(V_L1_Cuotas),IF((118-N(V_L1_Mes)+1)=1,N(V_L1_Monto),DR$219),PMT(N(V_L1_Tasa)/12,N(V_L1_Cuotas),-N(V_L1_Monto))-DS$217),0)*DS$9</f>
        <v>0</v>
      </c>
      <c r="DT218" s="34" t="n">
        <f aca="false">IF(AND((119-N(V_L1_Mes)+1)&gt;N(V_L1_Gracia),(119-N(V_L1_Mes)+1)&lt;=N(V_L1_Gracia)+N(V_L1_Cuotas),N(V_L1_Cuotas)&gt;0),IF((119-N(V_L1_Mes)+1)=N(V_L1_Gracia)+N(V_L1_Cuotas),IF((119-N(V_L1_Mes)+1)=1,N(V_L1_Monto),DS$219),PMT(N(V_L1_Tasa)/12,N(V_L1_Cuotas),-N(V_L1_Monto))-DT$217),0)*DT$9</f>
        <v>0</v>
      </c>
      <c r="DU218" s="34" t="n">
        <f aca="false">IF(AND((120-N(V_L1_Mes)+1)&gt;N(V_L1_Gracia),(120-N(V_L1_Mes)+1)&lt;=N(V_L1_Gracia)+N(V_L1_Cuotas),N(V_L1_Cuotas)&gt;0),IF((120-N(V_L1_Mes)+1)=N(V_L1_Gracia)+N(V_L1_Cuotas),IF((120-N(V_L1_Mes)+1)=1,N(V_L1_Monto),DT$219),PMT(N(V_L1_Tasa)/12,N(V_L1_Cuotas),-N(V_L1_Monto))-DU$217),0)*DU$9</f>
        <v>0</v>
      </c>
      <c r="DV218" s="34" t="n">
        <f aca="false">IF(AND((121-N(V_L1_Mes)+1)&gt;N(V_L1_Gracia),(121-N(V_L1_Mes)+1)&lt;=N(V_L1_Gracia)+N(V_L1_Cuotas),N(V_L1_Cuotas)&gt;0),IF((121-N(V_L1_Mes)+1)=N(V_L1_Gracia)+N(V_L1_Cuotas),IF((121-N(V_L1_Mes)+1)=1,N(V_L1_Monto),DU$219),PMT(N(V_L1_Tasa)/12,N(V_L1_Cuotas),-N(V_L1_Monto))-DV$217),0)*DV$9</f>
        <v>0</v>
      </c>
      <c r="DW218" s="34" t="n">
        <f aca="false">IF(AND((122-N(V_L1_Mes)+1)&gt;N(V_L1_Gracia),(122-N(V_L1_Mes)+1)&lt;=N(V_L1_Gracia)+N(V_L1_Cuotas),N(V_L1_Cuotas)&gt;0),IF((122-N(V_L1_Mes)+1)=N(V_L1_Gracia)+N(V_L1_Cuotas),IF((122-N(V_L1_Mes)+1)=1,N(V_L1_Monto),DV$219),PMT(N(V_L1_Tasa)/12,N(V_L1_Cuotas),-N(V_L1_Monto))-DW$217),0)*DW$9</f>
        <v>0</v>
      </c>
      <c r="DX218" s="34" t="n">
        <f aca="false">IF(AND((123-N(V_L1_Mes)+1)&gt;N(V_L1_Gracia),(123-N(V_L1_Mes)+1)&lt;=N(V_L1_Gracia)+N(V_L1_Cuotas),N(V_L1_Cuotas)&gt;0),IF((123-N(V_L1_Mes)+1)=N(V_L1_Gracia)+N(V_L1_Cuotas),IF((123-N(V_L1_Mes)+1)=1,N(V_L1_Monto),DW$219),PMT(N(V_L1_Tasa)/12,N(V_L1_Cuotas),-N(V_L1_Monto))-DX$217),0)*DX$9</f>
        <v>0</v>
      </c>
      <c r="DY218" s="34" t="n">
        <f aca="false">IF(AND((124-N(V_L1_Mes)+1)&gt;N(V_L1_Gracia),(124-N(V_L1_Mes)+1)&lt;=N(V_L1_Gracia)+N(V_L1_Cuotas),N(V_L1_Cuotas)&gt;0),IF((124-N(V_L1_Mes)+1)=N(V_L1_Gracia)+N(V_L1_Cuotas),IF((124-N(V_L1_Mes)+1)=1,N(V_L1_Monto),DX$219),PMT(N(V_L1_Tasa)/12,N(V_L1_Cuotas),-N(V_L1_Monto))-DY$217),0)*DY$9</f>
        <v>0</v>
      </c>
      <c r="DZ218" s="34" t="n">
        <f aca="false">IF(AND((125-N(V_L1_Mes)+1)&gt;N(V_L1_Gracia),(125-N(V_L1_Mes)+1)&lt;=N(V_L1_Gracia)+N(V_L1_Cuotas),N(V_L1_Cuotas)&gt;0),IF((125-N(V_L1_Mes)+1)=N(V_L1_Gracia)+N(V_L1_Cuotas),IF((125-N(V_L1_Mes)+1)=1,N(V_L1_Monto),DY$219),PMT(N(V_L1_Tasa)/12,N(V_L1_Cuotas),-N(V_L1_Monto))-DZ$217),0)*DZ$9</f>
        <v>0</v>
      </c>
      <c r="EA218" s="34" t="n">
        <f aca="false">IF(AND((126-N(V_L1_Mes)+1)&gt;N(V_L1_Gracia),(126-N(V_L1_Mes)+1)&lt;=N(V_L1_Gracia)+N(V_L1_Cuotas),N(V_L1_Cuotas)&gt;0),IF((126-N(V_L1_Mes)+1)=N(V_L1_Gracia)+N(V_L1_Cuotas),IF((126-N(V_L1_Mes)+1)=1,N(V_L1_Monto),DZ$219),PMT(N(V_L1_Tasa)/12,N(V_L1_Cuotas),-N(V_L1_Monto))-EA$217),0)*EA$9</f>
        <v>0</v>
      </c>
      <c r="EB218" s="34" t="n">
        <f aca="false">IF(AND((127-N(V_L1_Mes)+1)&gt;N(V_L1_Gracia),(127-N(V_L1_Mes)+1)&lt;=N(V_L1_Gracia)+N(V_L1_Cuotas),N(V_L1_Cuotas)&gt;0),IF((127-N(V_L1_Mes)+1)=N(V_L1_Gracia)+N(V_L1_Cuotas),IF((127-N(V_L1_Mes)+1)=1,N(V_L1_Monto),EA$219),PMT(N(V_L1_Tasa)/12,N(V_L1_Cuotas),-N(V_L1_Monto))-EB$217),0)*EB$9</f>
        <v>0</v>
      </c>
      <c r="EC218" s="34" t="n">
        <f aca="false">IF(AND((128-N(V_L1_Mes)+1)&gt;N(V_L1_Gracia),(128-N(V_L1_Mes)+1)&lt;=N(V_L1_Gracia)+N(V_L1_Cuotas),N(V_L1_Cuotas)&gt;0),IF((128-N(V_L1_Mes)+1)=N(V_L1_Gracia)+N(V_L1_Cuotas),IF((128-N(V_L1_Mes)+1)=1,N(V_L1_Monto),EB$219),PMT(N(V_L1_Tasa)/12,N(V_L1_Cuotas),-N(V_L1_Monto))-EC$217),0)*EC$9</f>
        <v>0</v>
      </c>
      <c r="ED218" s="34" t="n">
        <f aca="false">IF(AND((129-N(V_L1_Mes)+1)&gt;N(V_L1_Gracia),(129-N(V_L1_Mes)+1)&lt;=N(V_L1_Gracia)+N(V_L1_Cuotas),N(V_L1_Cuotas)&gt;0),IF((129-N(V_L1_Mes)+1)=N(V_L1_Gracia)+N(V_L1_Cuotas),IF((129-N(V_L1_Mes)+1)=1,N(V_L1_Monto),EC$219),PMT(N(V_L1_Tasa)/12,N(V_L1_Cuotas),-N(V_L1_Monto))-ED$217),0)*ED$9</f>
        <v>0</v>
      </c>
      <c r="EE218" s="34" t="n">
        <f aca="false">IF(AND((130-N(V_L1_Mes)+1)&gt;N(V_L1_Gracia),(130-N(V_L1_Mes)+1)&lt;=N(V_L1_Gracia)+N(V_L1_Cuotas),N(V_L1_Cuotas)&gt;0),IF((130-N(V_L1_Mes)+1)=N(V_L1_Gracia)+N(V_L1_Cuotas),IF((130-N(V_L1_Mes)+1)=1,N(V_L1_Monto),ED$219),PMT(N(V_L1_Tasa)/12,N(V_L1_Cuotas),-N(V_L1_Monto))-EE$217),0)*EE$9</f>
        <v>0</v>
      </c>
      <c r="EF218" s="34" t="n">
        <f aca="false">IF(AND((131-N(V_L1_Mes)+1)&gt;N(V_L1_Gracia),(131-N(V_L1_Mes)+1)&lt;=N(V_L1_Gracia)+N(V_L1_Cuotas),N(V_L1_Cuotas)&gt;0),IF((131-N(V_L1_Mes)+1)=N(V_L1_Gracia)+N(V_L1_Cuotas),IF((131-N(V_L1_Mes)+1)=1,N(V_L1_Monto),EE$219),PMT(N(V_L1_Tasa)/12,N(V_L1_Cuotas),-N(V_L1_Monto))-EF$217),0)*EF$9</f>
        <v>0</v>
      </c>
      <c r="EG218" s="34" t="n">
        <f aca="false">IF(AND((132-N(V_L1_Mes)+1)&gt;N(V_L1_Gracia),(132-N(V_L1_Mes)+1)&lt;=N(V_L1_Gracia)+N(V_L1_Cuotas),N(V_L1_Cuotas)&gt;0),IF((132-N(V_L1_Mes)+1)=N(V_L1_Gracia)+N(V_L1_Cuotas),IF((132-N(V_L1_Mes)+1)=1,N(V_L1_Monto),EF$219),PMT(N(V_L1_Tasa)/12,N(V_L1_Cuotas),-N(V_L1_Monto))-EG$217),0)*EG$9</f>
        <v>0</v>
      </c>
      <c r="EH218" s="34" t="n">
        <f aca="false">IF(AND((133-N(V_L1_Mes)+1)&gt;N(V_L1_Gracia),(133-N(V_L1_Mes)+1)&lt;=N(V_L1_Gracia)+N(V_L1_Cuotas),N(V_L1_Cuotas)&gt;0),IF((133-N(V_L1_Mes)+1)=N(V_L1_Gracia)+N(V_L1_Cuotas),IF((133-N(V_L1_Mes)+1)=1,N(V_L1_Monto),EG$219),PMT(N(V_L1_Tasa)/12,N(V_L1_Cuotas),-N(V_L1_Monto))-EH$217),0)*EH$9</f>
        <v>0</v>
      </c>
      <c r="EI218" s="34" t="n">
        <f aca="false">IF(AND((134-N(V_L1_Mes)+1)&gt;N(V_L1_Gracia),(134-N(V_L1_Mes)+1)&lt;=N(V_L1_Gracia)+N(V_L1_Cuotas),N(V_L1_Cuotas)&gt;0),IF((134-N(V_L1_Mes)+1)=N(V_L1_Gracia)+N(V_L1_Cuotas),IF((134-N(V_L1_Mes)+1)=1,N(V_L1_Monto),EH$219),PMT(N(V_L1_Tasa)/12,N(V_L1_Cuotas),-N(V_L1_Monto))-EI$217),0)*EI$9</f>
        <v>0</v>
      </c>
      <c r="EJ218" s="34" t="n">
        <f aca="false">IF(AND((135-N(V_L1_Mes)+1)&gt;N(V_L1_Gracia),(135-N(V_L1_Mes)+1)&lt;=N(V_L1_Gracia)+N(V_L1_Cuotas),N(V_L1_Cuotas)&gt;0),IF((135-N(V_L1_Mes)+1)=N(V_L1_Gracia)+N(V_L1_Cuotas),IF((135-N(V_L1_Mes)+1)=1,N(V_L1_Monto),EI$219),PMT(N(V_L1_Tasa)/12,N(V_L1_Cuotas),-N(V_L1_Monto))-EJ$217),0)*EJ$9</f>
        <v>0</v>
      </c>
      <c r="EK218" s="34" t="n">
        <f aca="false">IF(AND((136-N(V_L1_Mes)+1)&gt;N(V_L1_Gracia),(136-N(V_L1_Mes)+1)&lt;=N(V_L1_Gracia)+N(V_L1_Cuotas),N(V_L1_Cuotas)&gt;0),IF((136-N(V_L1_Mes)+1)=N(V_L1_Gracia)+N(V_L1_Cuotas),IF((136-N(V_L1_Mes)+1)=1,N(V_L1_Monto),EJ$219),PMT(N(V_L1_Tasa)/12,N(V_L1_Cuotas),-N(V_L1_Monto))-EK$217),0)*EK$9</f>
        <v>0</v>
      </c>
      <c r="EL218" s="34" t="n">
        <f aca="false">IF(AND((137-N(V_L1_Mes)+1)&gt;N(V_L1_Gracia),(137-N(V_L1_Mes)+1)&lt;=N(V_L1_Gracia)+N(V_L1_Cuotas),N(V_L1_Cuotas)&gt;0),IF((137-N(V_L1_Mes)+1)=N(V_L1_Gracia)+N(V_L1_Cuotas),IF((137-N(V_L1_Mes)+1)=1,N(V_L1_Monto),EK$219),PMT(N(V_L1_Tasa)/12,N(V_L1_Cuotas),-N(V_L1_Monto))-EL$217),0)*EL$9</f>
        <v>0</v>
      </c>
      <c r="EM218" s="34" t="n">
        <f aca="false">IF(AND((138-N(V_L1_Mes)+1)&gt;N(V_L1_Gracia),(138-N(V_L1_Mes)+1)&lt;=N(V_L1_Gracia)+N(V_L1_Cuotas),N(V_L1_Cuotas)&gt;0),IF((138-N(V_L1_Mes)+1)=N(V_L1_Gracia)+N(V_L1_Cuotas),IF((138-N(V_L1_Mes)+1)=1,N(V_L1_Monto),EL$219),PMT(N(V_L1_Tasa)/12,N(V_L1_Cuotas),-N(V_L1_Monto))-EM$217),0)*EM$9</f>
        <v>0</v>
      </c>
      <c r="EN218" s="34" t="n">
        <f aca="false">IF(AND((139-N(V_L1_Mes)+1)&gt;N(V_L1_Gracia),(139-N(V_L1_Mes)+1)&lt;=N(V_L1_Gracia)+N(V_L1_Cuotas),N(V_L1_Cuotas)&gt;0),IF((139-N(V_L1_Mes)+1)=N(V_L1_Gracia)+N(V_L1_Cuotas),IF((139-N(V_L1_Mes)+1)=1,N(V_L1_Monto),EM$219),PMT(N(V_L1_Tasa)/12,N(V_L1_Cuotas),-N(V_L1_Monto))-EN$217),0)*EN$9</f>
        <v>0</v>
      </c>
      <c r="EO218" s="34" t="n">
        <f aca="false">IF(AND((140-N(V_L1_Mes)+1)&gt;N(V_L1_Gracia),(140-N(V_L1_Mes)+1)&lt;=N(V_L1_Gracia)+N(V_L1_Cuotas),N(V_L1_Cuotas)&gt;0),IF((140-N(V_L1_Mes)+1)=N(V_L1_Gracia)+N(V_L1_Cuotas),IF((140-N(V_L1_Mes)+1)=1,N(V_L1_Monto),EN$219),PMT(N(V_L1_Tasa)/12,N(V_L1_Cuotas),-N(V_L1_Monto))-EO$217),0)*EO$9</f>
        <v>0</v>
      </c>
      <c r="EP218" s="34" t="n">
        <f aca="false">IF(AND((141-N(V_L1_Mes)+1)&gt;N(V_L1_Gracia),(141-N(V_L1_Mes)+1)&lt;=N(V_L1_Gracia)+N(V_L1_Cuotas),N(V_L1_Cuotas)&gt;0),IF((141-N(V_L1_Mes)+1)=N(V_L1_Gracia)+N(V_L1_Cuotas),IF((141-N(V_L1_Mes)+1)=1,N(V_L1_Monto),EO$219),PMT(N(V_L1_Tasa)/12,N(V_L1_Cuotas),-N(V_L1_Monto))-EP$217),0)*EP$9</f>
        <v>0</v>
      </c>
      <c r="EQ218" s="34" t="n">
        <f aca="false">IF(AND((142-N(V_L1_Mes)+1)&gt;N(V_L1_Gracia),(142-N(V_L1_Mes)+1)&lt;=N(V_L1_Gracia)+N(V_L1_Cuotas),N(V_L1_Cuotas)&gt;0),IF((142-N(V_L1_Mes)+1)=N(V_L1_Gracia)+N(V_L1_Cuotas),IF((142-N(V_L1_Mes)+1)=1,N(V_L1_Monto),EP$219),PMT(N(V_L1_Tasa)/12,N(V_L1_Cuotas),-N(V_L1_Monto))-EQ$217),0)*EQ$9</f>
        <v>0</v>
      </c>
      <c r="ER218" s="34" t="n">
        <f aca="false">IF(AND((143-N(V_L1_Mes)+1)&gt;N(V_L1_Gracia),(143-N(V_L1_Mes)+1)&lt;=N(V_L1_Gracia)+N(V_L1_Cuotas),N(V_L1_Cuotas)&gt;0),IF((143-N(V_L1_Mes)+1)=N(V_L1_Gracia)+N(V_L1_Cuotas),IF((143-N(V_L1_Mes)+1)=1,N(V_L1_Monto),EQ$219),PMT(N(V_L1_Tasa)/12,N(V_L1_Cuotas),-N(V_L1_Monto))-ER$217),0)*ER$9</f>
        <v>0</v>
      </c>
      <c r="ES218" s="34" t="n">
        <f aca="false">IF(AND((144-N(V_L1_Mes)+1)&gt;N(V_L1_Gracia),(144-N(V_L1_Mes)+1)&lt;=N(V_L1_Gracia)+N(V_L1_Cuotas),N(V_L1_Cuotas)&gt;0),IF((144-N(V_L1_Mes)+1)=N(V_L1_Gracia)+N(V_L1_Cuotas),IF((144-N(V_L1_Mes)+1)=1,N(V_L1_Monto),ER$219),PMT(N(V_L1_Tasa)/12,N(V_L1_Cuotas),-N(V_L1_Monto))-ES$217),0)*ES$9</f>
        <v>0</v>
      </c>
    </row>
    <row r="219" customFormat="false" ht="15" hidden="false" customHeight="false" outlineLevel="0" collapsed="false">
      <c r="A219" s="2" t="s">
        <v>693</v>
      </c>
      <c r="B219" s="6" t="s">
        <v>558</v>
      </c>
      <c r="C219" s="6" t="s">
        <v>212</v>
      </c>
      <c r="E219" s="40" t="n">
        <f aca="false">INDEX(F219:ES219,1,MIN(144,Fin))</f>
        <v>0</v>
      </c>
      <c r="F219" s="34" t="n">
        <f aca="false">IF((1-N(V_L1_Mes)+1)&lt;1,0,IF((1-N(V_L1_Mes)+1)=1,N(V_L1_Monto),0)-F$218)</f>
        <v>0</v>
      </c>
      <c r="G219" s="34" t="n">
        <f aca="false">IF((2-N(V_L1_Mes)+1)&lt;1,0,IF((2-N(V_L1_Mes)+1)=1,N(V_L1_Monto),F$219)-G$218)</f>
        <v>0</v>
      </c>
      <c r="H219" s="34" t="n">
        <f aca="false">IF((3-N(V_L1_Mes)+1)&lt;1,0,IF((3-N(V_L1_Mes)+1)=1,N(V_L1_Monto),G$219)-H$218)</f>
        <v>0</v>
      </c>
      <c r="I219" s="34" t="n">
        <f aca="false">IF((4-N(V_L1_Mes)+1)&lt;1,0,IF((4-N(V_L1_Mes)+1)=1,N(V_L1_Monto),H$219)-I$218)</f>
        <v>0</v>
      </c>
      <c r="J219" s="34" t="n">
        <f aca="false">IF((5-N(V_L1_Mes)+1)&lt;1,0,IF((5-N(V_L1_Mes)+1)=1,N(V_L1_Monto),I$219)-J$218)</f>
        <v>0</v>
      </c>
      <c r="K219" s="34" t="n">
        <f aca="false">IF((6-N(V_L1_Mes)+1)&lt;1,0,IF((6-N(V_L1_Mes)+1)=1,N(V_L1_Monto),J$219)-K$218)</f>
        <v>0</v>
      </c>
      <c r="L219" s="34" t="n">
        <f aca="false">IF((7-N(V_L1_Mes)+1)&lt;1,0,IF((7-N(V_L1_Mes)+1)=1,N(V_L1_Monto),K$219)-L$218)</f>
        <v>0</v>
      </c>
      <c r="M219" s="34" t="n">
        <f aca="false">IF((8-N(V_L1_Mes)+1)&lt;1,0,IF((8-N(V_L1_Mes)+1)=1,N(V_L1_Monto),L$219)-M$218)</f>
        <v>0</v>
      </c>
      <c r="N219" s="34" t="n">
        <f aca="false">IF((9-N(V_L1_Mes)+1)&lt;1,0,IF((9-N(V_L1_Mes)+1)=1,N(V_L1_Monto),M$219)-N$218)</f>
        <v>0</v>
      </c>
      <c r="O219" s="34" t="n">
        <f aca="false">IF((10-N(V_L1_Mes)+1)&lt;1,0,IF((10-N(V_L1_Mes)+1)=1,N(V_L1_Monto),N$219)-O$218)</f>
        <v>0</v>
      </c>
      <c r="P219" s="34" t="n">
        <f aca="false">IF((11-N(V_L1_Mes)+1)&lt;1,0,IF((11-N(V_L1_Mes)+1)=1,N(V_L1_Monto),O$219)-P$218)</f>
        <v>0</v>
      </c>
      <c r="Q219" s="34" t="n">
        <f aca="false">IF((12-N(V_L1_Mes)+1)&lt;1,0,IF((12-N(V_L1_Mes)+1)=1,N(V_L1_Monto),P$219)-Q$218)</f>
        <v>0</v>
      </c>
      <c r="R219" s="34" t="n">
        <f aca="false">IF((13-N(V_L1_Mes)+1)&lt;1,0,IF((13-N(V_L1_Mes)+1)=1,N(V_L1_Monto),Q$219)-R$218)</f>
        <v>0</v>
      </c>
      <c r="S219" s="34" t="n">
        <f aca="false">IF((14-N(V_L1_Mes)+1)&lt;1,0,IF((14-N(V_L1_Mes)+1)=1,N(V_L1_Monto),R$219)-S$218)</f>
        <v>0</v>
      </c>
      <c r="T219" s="34" t="n">
        <f aca="false">IF((15-N(V_L1_Mes)+1)&lt;1,0,IF((15-N(V_L1_Mes)+1)=1,N(V_L1_Monto),S$219)-T$218)</f>
        <v>0</v>
      </c>
      <c r="U219" s="34" t="n">
        <f aca="false">IF((16-N(V_L1_Mes)+1)&lt;1,0,IF((16-N(V_L1_Mes)+1)=1,N(V_L1_Monto),T$219)-U$218)</f>
        <v>0</v>
      </c>
      <c r="V219" s="34" t="n">
        <f aca="false">IF((17-N(V_L1_Mes)+1)&lt;1,0,IF((17-N(V_L1_Mes)+1)=1,N(V_L1_Monto),U$219)-V$218)</f>
        <v>0</v>
      </c>
      <c r="W219" s="34" t="n">
        <f aca="false">IF((18-N(V_L1_Mes)+1)&lt;1,0,IF((18-N(V_L1_Mes)+1)=1,N(V_L1_Monto),V$219)-W$218)</f>
        <v>0</v>
      </c>
      <c r="X219" s="34" t="n">
        <f aca="false">IF((19-N(V_L1_Mes)+1)&lt;1,0,IF((19-N(V_L1_Mes)+1)=1,N(V_L1_Monto),W$219)-X$218)</f>
        <v>0</v>
      </c>
      <c r="Y219" s="34" t="n">
        <f aca="false">IF((20-N(V_L1_Mes)+1)&lt;1,0,IF((20-N(V_L1_Mes)+1)=1,N(V_L1_Monto),X$219)-Y$218)</f>
        <v>0</v>
      </c>
      <c r="Z219" s="34" t="n">
        <f aca="false">IF((21-N(V_L1_Mes)+1)&lt;1,0,IF((21-N(V_L1_Mes)+1)=1,N(V_L1_Monto),Y$219)-Z$218)</f>
        <v>0</v>
      </c>
      <c r="AA219" s="34" t="n">
        <f aca="false">IF((22-N(V_L1_Mes)+1)&lt;1,0,IF((22-N(V_L1_Mes)+1)=1,N(V_L1_Monto),Z$219)-AA$218)</f>
        <v>0</v>
      </c>
      <c r="AB219" s="34" t="n">
        <f aca="false">IF((23-N(V_L1_Mes)+1)&lt;1,0,IF((23-N(V_L1_Mes)+1)=1,N(V_L1_Monto),AA$219)-AB$218)</f>
        <v>0</v>
      </c>
      <c r="AC219" s="34" t="n">
        <f aca="false">IF((24-N(V_L1_Mes)+1)&lt;1,0,IF((24-N(V_L1_Mes)+1)=1,N(V_L1_Monto),AB$219)-AC$218)</f>
        <v>0</v>
      </c>
      <c r="AD219" s="34" t="n">
        <f aca="false">IF((25-N(V_L1_Mes)+1)&lt;1,0,IF((25-N(V_L1_Mes)+1)=1,N(V_L1_Monto),AC$219)-AD$218)</f>
        <v>0</v>
      </c>
      <c r="AE219" s="34" t="n">
        <f aca="false">IF((26-N(V_L1_Mes)+1)&lt;1,0,IF((26-N(V_L1_Mes)+1)=1,N(V_L1_Monto),AD$219)-AE$218)</f>
        <v>0</v>
      </c>
      <c r="AF219" s="34" t="n">
        <f aca="false">IF((27-N(V_L1_Mes)+1)&lt;1,0,IF((27-N(V_L1_Mes)+1)=1,N(V_L1_Monto),AE$219)-AF$218)</f>
        <v>0</v>
      </c>
      <c r="AG219" s="34" t="n">
        <f aca="false">IF((28-N(V_L1_Mes)+1)&lt;1,0,IF((28-N(V_L1_Mes)+1)=1,N(V_L1_Monto),AF$219)-AG$218)</f>
        <v>0</v>
      </c>
      <c r="AH219" s="34" t="n">
        <f aca="false">IF((29-N(V_L1_Mes)+1)&lt;1,0,IF((29-N(V_L1_Mes)+1)=1,N(V_L1_Monto),AG$219)-AH$218)</f>
        <v>0</v>
      </c>
      <c r="AI219" s="34" t="n">
        <f aca="false">IF((30-N(V_L1_Mes)+1)&lt;1,0,IF((30-N(V_L1_Mes)+1)=1,N(V_L1_Monto),AH$219)-AI$218)</f>
        <v>0</v>
      </c>
      <c r="AJ219" s="34" t="n">
        <f aca="false">IF((31-N(V_L1_Mes)+1)&lt;1,0,IF((31-N(V_L1_Mes)+1)=1,N(V_L1_Monto),AI$219)-AJ$218)</f>
        <v>0</v>
      </c>
      <c r="AK219" s="34" t="n">
        <f aca="false">IF((32-N(V_L1_Mes)+1)&lt;1,0,IF((32-N(V_L1_Mes)+1)=1,N(V_L1_Monto),AJ$219)-AK$218)</f>
        <v>0</v>
      </c>
      <c r="AL219" s="34" t="n">
        <f aca="false">IF((33-N(V_L1_Mes)+1)&lt;1,0,IF((33-N(V_L1_Mes)+1)=1,N(V_L1_Monto),AK$219)-AL$218)</f>
        <v>0</v>
      </c>
      <c r="AM219" s="34" t="n">
        <f aca="false">IF((34-N(V_L1_Mes)+1)&lt;1,0,IF((34-N(V_L1_Mes)+1)=1,N(V_L1_Monto),AL$219)-AM$218)</f>
        <v>0</v>
      </c>
      <c r="AN219" s="34" t="n">
        <f aca="false">IF((35-N(V_L1_Mes)+1)&lt;1,0,IF((35-N(V_L1_Mes)+1)=1,N(V_L1_Monto),AM$219)-AN$218)</f>
        <v>0</v>
      </c>
      <c r="AO219" s="34" t="n">
        <f aca="false">IF((36-N(V_L1_Mes)+1)&lt;1,0,IF((36-N(V_L1_Mes)+1)=1,N(V_L1_Monto),AN$219)-AO$218)</f>
        <v>0</v>
      </c>
      <c r="AP219" s="34" t="n">
        <f aca="false">IF((37-N(V_L1_Mes)+1)&lt;1,0,IF((37-N(V_L1_Mes)+1)=1,N(V_L1_Monto),AO$219)-AP$218)</f>
        <v>0</v>
      </c>
      <c r="AQ219" s="34" t="n">
        <f aca="false">IF((38-N(V_L1_Mes)+1)&lt;1,0,IF((38-N(V_L1_Mes)+1)=1,N(V_L1_Monto),AP$219)-AQ$218)</f>
        <v>0</v>
      </c>
      <c r="AR219" s="34" t="n">
        <f aca="false">IF((39-N(V_L1_Mes)+1)&lt;1,0,IF((39-N(V_L1_Mes)+1)=1,N(V_L1_Monto),AQ$219)-AR$218)</f>
        <v>0</v>
      </c>
      <c r="AS219" s="34" t="n">
        <f aca="false">IF((40-N(V_L1_Mes)+1)&lt;1,0,IF((40-N(V_L1_Mes)+1)=1,N(V_L1_Monto),AR$219)-AS$218)</f>
        <v>0</v>
      </c>
      <c r="AT219" s="34" t="n">
        <f aca="false">IF((41-N(V_L1_Mes)+1)&lt;1,0,IF((41-N(V_L1_Mes)+1)=1,N(V_L1_Monto),AS$219)-AT$218)</f>
        <v>0</v>
      </c>
      <c r="AU219" s="34" t="n">
        <f aca="false">IF((42-N(V_L1_Mes)+1)&lt;1,0,IF((42-N(V_L1_Mes)+1)=1,N(V_L1_Monto),AT$219)-AU$218)</f>
        <v>0</v>
      </c>
      <c r="AV219" s="34" t="n">
        <f aca="false">IF((43-N(V_L1_Mes)+1)&lt;1,0,IF((43-N(V_L1_Mes)+1)=1,N(V_L1_Monto),AU$219)-AV$218)</f>
        <v>0</v>
      </c>
      <c r="AW219" s="34" t="n">
        <f aca="false">IF((44-N(V_L1_Mes)+1)&lt;1,0,IF((44-N(V_L1_Mes)+1)=1,N(V_L1_Monto),AV$219)-AW$218)</f>
        <v>0</v>
      </c>
      <c r="AX219" s="34" t="n">
        <f aca="false">IF((45-N(V_L1_Mes)+1)&lt;1,0,IF((45-N(V_L1_Mes)+1)=1,N(V_L1_Monto),AW$219)-AX$218)</f>
        <v>0</v>
      </c>
      <c r="AY219" s="34" t="n">
        <f aca="false">IF((46-N(V_L1_Mes)+1)&lt;1,0,IF((46-N(V_L1_Mes)+1)=1,N(V_L1_Monto),AX$219)-AY$218)</f>
        <v>0</v>
      </c>
      <c r="AZ219" s="34" t="n">
        <f aca="false">IF((47-N(V_L1_Mes)+1)&lt;1,0,IF((47-N(V_L1_Mes)+1)=1,N(V_L1_Monto),AY$219)-AZ$218)</f>
        <v>0</v>
      </c>
      <c r="BA219" s="34" t="n">
        <f aca="false">IF((48-N(V_L1_Mes)+1)&lt;1,0,IF((48-N(V_L1_Mes)+1)=1,N(V_L1_Monto),AZ$219)-BA$218)</f>
        <v>0</v>
      </c>
      <c r="BB219" s="34" t="n">
        <f aca="false">IF((49-N(V_L1_Mes)+1)&lt;1,0,IF((49-N(V_L1_Mes)+1)=1,N(V_L1_Monto),BA$219)-BB$218)</f>
        <v>0</v>
      </c>
      <c r="BC219" s="34" t="n">
        <f aca="false">IF((50-N(V_L1_Mes)+1)&lt;1,0,IF((50-N(V_L1_Mes)+1)=1,N(V_L1_Monto),BB$219)-BC$218)</f>
        <v>0</v>
      </c>
      <c r="BD219" s="34" t="n">
        <f aca="false">IF((51-N(V_L1_Mes)+1)&lt;1,0,IF((51-N(V_L1_Mes)+1)=1,N(V_L1_Monto),BC$219)-BD$218)</f>
        <v>0</v>
      </c>
      <c r="BE219" s="34" t="n">
        <f aca="false">IF((52-N(V_L1_Mes)+1)&lt;1,0,IF((52-N(V_L1_Mes)+1)=1,N(V_L1_Monto),BD$219)-BE$218)</f>
        <v>0</v>
      </c>
      <c r="BF219" s="34" t="n">
        <f aca="false">IF((53-N(V_L1_Mes)+1)&lt;1,0,IF((53-N(V_L1_Mes)+1)=1,N(V_L1_Monto),BE$219)-BF$218)</f>
        <v>0</v>
      </c>
      <c r="BG219" s="34" t="n">
        <f aca="false">IF((54-N(V_L1_Mes)+1)&lt;1,0,IF((54-N(V_L1_Mes)+1)=1,N(V_L1_Monto),BF$219)-BG$218)</f>
        <v>0</v>
      </c>
      <c r="BH219" s="34" t="n">
        <f aca="false">IF((55-N(V_L1_Mes)+1)&lt;1,0,IF((55-N(V_L1_Mes)+1)=1,N(V_L1_Monto),BG$219)-BH$218)</f>
        <v>0</v>
      </c>
      <c r="BI219" s="34" t="n">
        <f aca="false">IF((56-N(V_L1_Mes)+1)&lt;1,0,IF((56-N(V_L1_Mes)+1)=1,N(V_L1_Monto),BH$219)-BI$218)</f>
        <v>0</v>
      </c>
      <c r="BJ219" s="34" t="n">
        <f aca="false">IF((57-N(V_L1_Mes)+1)&lt;1,0,IF((57-N(V_L1_Mes)+1)=1,N(V_L1_Monto),BI$219)-BJ$218)</f>
        <v>0</v>
      </c>
      <c r="BK219" s="34" t="n">
        <f aca="false">IF((58-N(V_L1_Mes)+1)&lt;1,0,IF((58-N(V_L1_Mes)+1)=1,N(V_L1_Monto),BJ$219)-BK$218)</f>
        <v>0</v>
      </c>
      <c r="BL219" s="34" t="n">
        <f aca="false">IF((59-N(V_L1_Mes)+1)&lt;1,0,IF((59-N(V_L1_Mes)+1)=1,N(V_L1_Monto),BK$219)-BL$218)</f>
        <v>0</v>
      </c>
      <c r="BM219" s="34" t="n">
        <f aca="false">IF((60-N(V_L1_Mes)+1)&lt;1,0,IF((60-N(V_L1_Mes)+1)=1,N(V_L1_Monto),BL$219)-BM$218)</f>
        <v>0</v>
      </c>
      <c r="BN219" s="34" t="n">
        <f aca="false">IF((61-N(V_L1_Mes)+1)&lt;1,0,IF((61-N(V_L1_Mes)+1)=1,N(V_L1_Monto),BM$219)-BN$218)</f>
        <v>0</v>
      </c>
      <c r="BO219" s="34" t="n">
        <f aca="false">IF((62-N(V_L1_Mes)+1)&lt;1,0,IF((62-N(V_L1_Mes)+1)=1,N(V_L1_Monto),BN$219)-BO$218)</f>
        <v>0</v>
      </c>
      <c r="BP219" s="34" t="n">
        <f aca="false">IF((63-N(V_L1_Mes)+1)&lt;1,0,IF((63-N(V_L1_Mes)+1)=1,N(V_L1_Monto),BO$219)-BP$218)</f>
        <v>0</v>
      </c>
      <c r="BQ219" s="34" t="n">
        <f aca="false">IF((64-N(V_L1_Mes)+1)&lt;1,0,IF((64-N(V_L1_Mes)+1)=1,N(V_L1_Monto),BP$219)-BQ$218)</f>
        <v>0</v>
      </c>
      <c r="BR219" s="34" t="n">
        <f aca="false">IF((65-N(V_L1_Mes)+1)&lt;1,0,IF((65-N(V_L1_Mes)+1)=1,N(V_L1_Monto),BQ$219)-BR$218)</f>
        <v>0</v>
      </c>
      <c r="BS219" s="34" t="n">
        <f aca="false">IF((66-N(V_L1_Mes)+1)&lt;1,0,IF((66-N(V_L1_Mes)+1)=1,N(V_L1_Monto),BR$219)-BS$218)</f>
        <v>0</v>
      </c>
      <c r="BT219" s="34" t="n">
        <f aca="false">IF((67-N(V_L1_Mes)+1)&lt;1,0,IF((67-N(V_L1_Mes)+1)=1,N(V_L1_Monto),BS$219)-BT$218)</f>
        <v>0</v>
      </c>
      <c r="BU219" s="34" t="n">
        <f aca="false">IF((68-N(V_L1_Mes)+1)&lt;1,0,IF((68-N(V_L1_Mes)+1)=1,N(V_L1_Monto),BT$219)-BU$218)</f>
        <v>0</v>
      </c>
      <c r="BV219" s="34" t="n">
        <f aca="false">IF((69-N(V_L1_Mes)+1)&lt;1,0,IF((69-N(V_L1_Mes)+1)=1,N(V_L1_Monto),BU$219)-BV$218)</f>
        <v>0</v>
      </c>
      <c r="BW219" s="34" t="n">
        <f aca="false">IF((70-N(V_L1_Mes)+1)&lt;1,0,IF((70-N(V_L1_Mes)+1)=1,N(V_L1_Monto),BV$219)-BW$218)</f>
        <v>0</v>
      </c>
      <c r="BX219" s="34" t="n">
        <f aca="false">IF((71-N(V_L1_Mes)+1)&lt;1,0,IF((71-N(V_L1_Mes)+1)=1,N(V_L1_Monto),BW$219)-BX$218)</f>
        <v>0</v>
      </c>
      <c r="BY219" s="34" t="n">
        <f aca="false">IF((72-N(V_L1_Mes)+1)&lt;1,0,IF((72-N(V_L1_Mes)+1)=1,N(V_L1_Monto),BX$219)-BY$218)</f>
        <v>0</v>
      </c>
      <c r="BZ219" s="34" t="n">
        <f aca="false">IF((73-N(V_L1_Mes)+1)&lt;1,0,IF((73-N(V_L1_Mes)+1)=1,N(V_L1_Monto),BY$219)-BZ$218)</f>
        <v>0</v>
      </c>
      <c r="CA219" s="34" t="n">
        <f aca="false">IF((74-N(V_L1_Mes)+1)&lt;1,0,IF((74-N(V_L1_Mes)+1)=1,N(V_L1_Monto),BZ$219)-CA$218)</f>
        <v>0</v>
      </c>
      <c r="CB219" s="34" t="n">
        <f aca="false">IF((75-N(V_L1_Mes)+1)&lt;1,0,IF((75-N(V_L1_Mes)+1)=1,N(V_L1_Monto),CA$219)-CB$218)</f>
        <v>0</v>
      </c>
      <c r="CC219" s="34" t="n">
        <f aca="false">IF((76-N(V_L1_Mes)+1)&lt;1,0,IF((76-N(V_L1_Mes)+1)=1,N(V_L1_Monto),CB$219)-CC$218)</f>
        <v>0</v>
      </c>
      <c r="CD219" s="34" t="n">
        <f aca="false">IF((77-N(V_L1_Mes)+1)&lt;1,0,IF((77-N(V_L1_Mes)+1)=1,N(V_L1_Monto),CC$219)-CD$218)</f>
        <v>0</v>
      </c>
      <c r="CE219" s="34" t="n">
        <f aca="false">IF((78-N(V_L1_Mes)+1)&lt;1,0,IF((78-N(V_L1_Mes)+1)=1,N(V_L1_Monto),CD$219)-CE$218)</f>
        <v>0</v>
      </c>
      <c r="CF219" s="34" t="n">
        <f aca="false">IF((79-N(V_L1_Mes)+1)&lt;1,0,IF((79-N(V_L1_Mes)+1)=1,N(V_L1_Monto),CE$219)-CF$218)</f>
        <v>0</v>
      </c>
      <c r="CG219" s="34" t="n">
        <f aca="false">IF((80-N(V_L1_Mes)+1)&lt;1,0,IF((80-N(V_L1_Mes)+1)=1,N(V_L1_Monto),CF$219)-CG$218)</f>
        <v>0</v>
      </c>
      <c r="CH219" s="34" t="n">
        <f aca="false">IF((81-N(V_L1_Mes)+1)&lt;1,0,IF((81-N(V_L1_Mes)+1)=1,N(V_L1_Monto),CG$219)-CH$218)</f>
        <v>0</v>
      </c>
      <c r="CI219" s="34" t="n">
        <f aca="false">IF((82-N(V_L1_Mes)+1)&lt;1,0,IF((82-N(V_L1_Mes)+1)=1,N(V_L1_Monto),CH$219)-CI$218)</f>
        <v>0</v>
      </c>
      <c r="CJ219" s="34" t="n">
        <f aca="false">IF((83-N(V_L1_Mes)+1)&lt;1,0,IF((83-N(V_L1_Mes)+1)=1,N(V_L1_Monto),CI$219)-CJ$218)</f>
        <v>0</v>
      </c>
      <c r="CK219" s="34" t="n">
        <f aca="false">IF((84-N(V_L1_Mes)+1)&lt;1,0,IF((84-N(V_L1_Mes)+1)=1,N(V_L1_Monto),CJ$219)-CK$218)</f>
        <v>0</v>
      </c>
      <c r="CL219" s="34" t="n">
        <f aca="false">IF((85-N(V_L1_Mes)+1)&lt;1,0,IF((85-N(V_L1_Mes)+1)=1,N(V_L1_Monto),CK$219)-CL$218)</f>
        <v>0</v>
      </c>
      <c r="CM219" s="34" t="n">
        <f aca="false">IF((86-N(V_L1_Mes)+1)&lt;1,0,IF((86-N(V_L1_Mes)+1)=1,N(V_L1_Monto),CL$219)-CM$218)</f>
        <v>0</v>
      </c>
      <c r="CN219" s="34" t="n">
        <f aca="false">IF((87-N(V_L1_Mes)+1)&lt;1,0,IF((87-N(V_L1_Mes)+1)=1,N(V_L1_Monto),CM$219)-CN$218)</f>
        <v>0</v>
      </c>
      <c r="CO219" s="34" t="n">
        <f aca="false">IF((88-N(V_L1_Mes)+1)&lt;1,0,IF((88-N(V_L1_Mes)+1)=1,N(V_L1_Monto),CN$219)-CO$218)</f>
        <v>0</v>
      </c>
      <c r="CP219" s="34" t="n">
        <f aca="false">IF((89-N(V_L1_Mes)+1)&lt;1,0,IF((89-N(V_L1_Mes)+1)=1,N(V_L1_Monto),CO$219)-CP$218)</f>
        <v>0</v>
      </c>
      <c r="CQ219" s="34" t="n">
        <f aca="false">IF((90-N(V_L1_Mes)+1)&lt;1,0,IF((90-N(V_L1_Mes)+1)=1,N(V_L1_Monto),CP$219)-CQ$218)</f>
        <v>0</v>
      </c>
      <c r="CR219" s="34" t="n">
        <f aca="false">IF((91-N(V_L1_Mes)+1)&lt;1,0,IF((91-N(V_L1_Mes)+1)=1,N(V_L1_Monto),CQ$219)-CR$218)</f>
        <v>0</v>
      </c>
      <c r="CS219" s="34" t="n">
        <f aca="false">IF((92-N(V_L1_Mes)+1)&lt;1,0,IF((92-N(V_L1_Mes)+1)=1,N(V_L1_Monto),CR$219)-CS$218)</f>
        <v>0</v>
      </c>
      <c r="CT219" s="34" t="n">
        <f aca="false">IF((93-N(V_L1_Mes)+1)&lt;1,0,IF((93-N(V_L1_Mes)+1)=1,N(V_L1_Monto),CS$219)-CT$218)</f>
        <v>0</v>
      </c>
      <c r="CU219" s="34" t="n">
        <f aca="false">IF((94-N(V_L1_Mes)+1)&lt;1,0,IF((94-N(V_L1_Mes)+1)=1,N(V_L1_Monto),CT$219)-CU$218)</f>
        <v>0</v>
      </c>
      <c r="CV219" s="34" t="n">
        <f aca="false">IF((95-N(V_L1_Mes)+1)&lt;1,0,IF((95-N(V_L1_Mes)+1)=1,N(V_L1_Monto),CU$219)-CV$218)</f>
        <v>0</v>
      </c>
      <c r="CW219" s="34" t="n">
        <f aca="false">IF((96-N(V_L1_Mes)+1)&lt;1,0,IF((96-N(V_L1_Mes)+1)=1,N(V_L1_Monto),CV$219)-CW$218)</f>
        <v>0</v>
      </c>
      <c r="CX219" s="34" t="n">
        <f aca="false">IF((97-N(V_L1_Mes)+1)&lt;1,0,IF((97-N(V_L1_Mes)+1)=1,N(V_L1_Monto),CW$219)-CX$218)</f>
        <v>0</v>
      </c>
      <c r="CY219" s="34" t="n">
        <f aca="false">IF((98-N(V_L1_Mes)+1)&lt;1,0,IF((98-N(V_L1_Mes)+1)=1,N(V_L1_Monto),CX$219)-CY$218)</f>
        <v>0</v>
      </c>
      <c r="CZ219" s="34" t="n">
        <f aca="false">IF((99-N(V_L1_Mes)+1)&lt;1,0,IF((99-N(V_L1_Mes)+1)=1,N(V_L1_Monto),CY$219)-CZ$218)</f>
        <v>0</v>
      </c>
      <c r="DA219" s="34" t="n">
        <f aca="false">IF((100-N(V_L1_Mes)+1)&lt;1,0,IF((100-N(V_L1_Mes)+1)=1,N(V_L1_Monto),CZ$219)-DA$218)</f>
        <v>0</v>
      </c>
      <c r="DB219" s="34" t="n">
        <f aca="false">IF((101-N(V_L1_Mes)+1)&lt;1,0,IF((101-N(V_L1_Mes)+1)=1,N(V_L1_Monto),DA$219)-DB$218)</f>
        <v>0</v>
      </c>
      <c r="DC219" s="34" t="n">
        <f aca="false">IF((102-N(V_L1_Mes)+1)&lt;1,0,IF((102-N(V_L1_Mes)+1)=1,N(V_L1_Monto),DB$219)-DC$218)</f>
        <v>0</v>
      </c>
      <c r="DD219" s="34" t="n">
        <f aca="false">IF((103-N(V_L1_Mes)+1)&lt;1,0,IF((103-N(V_L1_Mes)+1)=1,N(V_L1_Monto),DC$219)-DD$218)</f>
        <v>0</v>
      </c>
      <c r="DE219" s="34" t="n">
        <f aca="false">IF((104-N(V_L1_Mes)+1)&lt;1,0,IF((104-N(V_L1_Mes)+1)=1,N(V_L1_Monto),DD$219)-DE$218)</f>
        <v>0</v>
      </c>
      <c r="DF219" s="34" t="n">
        <f aca="false">IF((105-N(V_L1_Mes)+1)&lt;1,0,IF((105-N(V_L1_Mes)+1)=1,N(V_L1_Monto),DE$219)-DF$218)</f>
        <v>0</v>
      </c>
      <c r="DG219" s="34" t="n">
        <f aca="false">IF((106-N(V_L1_Mes)+1)&lt;1,0,IF((106-N(V_L1_Mes)+1)=1,N(V_L1_Monto),DF$219)-DG$218)</f>
        <v>0</v>
      </c>
      <c r="DH219" s="34" t="n">
        <f aca="false">IF((107-N(V_L1_Mes)+1)&lt;1,0,IF((107-N(V_L1_Mes)+1)=1,N(V_L1_Monto),DG$219)-DH$218)</f>
        <v>0</v>
      </c>
      <c r="DI219" s="34" t="n">
        <f aca="false">IF((108-N(V_L1_Mes)+1)&lt;1,0,IF((108-N(V_L1_Mes)+1)=1,N(V_L1_Monto),DH$219)-DI$218)</f>
        <v>0</v>
      </c>
      <c r="DJ219" s="34" t="n">
        <f aca="false">IF((109-N(V_L1_Mes)+1)&lt;1,0,IF((109-N(V_L1_Mes)+1)=1,N(V_L1_Monto),DI$219)-DJ$218)</f>
        <v>0</v>
      </c>
      <c r="DK219" s="34" t="n">
        <f aca="false">IF((110-N(V_L1_Mes)+1)&lt;1,0,IF((110-N(V_L1_Mes)+1)=1,N(V_L1_Monto),DJ$219)-DK$218)</f>
        <v>0</v>
      </c>
      <c r="DL219" s="34" t="n">
        <f aca="false">IF((111-N(V_L1_Mes)+1)&lt;1,0,IF((111-N(V_L1_Mes)+1)=1,N(V_L1_Monto),DK$219)-DL$218)</f>
        <v>0</v>
      </c>
      <c r="DM219" s="34" t="n">
        <f aca="false">IF((112-N(V_L1_Mes)+1)&lt;1,0,IF((112-N(V_L1_Mes)+1)=1,N(V_L1_Monto),DL$219)-DM$218)</f>
        <v>0</v>
      </c>
      <c r="DN219" s="34" t="n">
        <f aca="false">IF((113-N(V_L1_Mes)+1)&lt;1,0,IF((113-N(V_L1_Mes)+1)=1,N(V_L1_Monto),DM$219)-DN$218)</f>
        <v>0</v>
      </c>
      <c r="DO219" s="34" t="n">
        <f aca="false">IF((114-N(V_L1_Mes)+1)&lt;1,0,IF((114-N(V_L1_Mes)+1)=1,N(V_L1_Monto),DN$219)-DO$218)</f>
        <v>0</v>
      </c>
      <c r="DP219" s="34" t="n">
        <f aca="false">IF((115-N(V_L1_Mes)+1)&lt;1,0,IF((115-N(V_L1_Mes)+1)=1,N(V_L1_Monto),DO$219)-DP$218)</f>
        <v>0</v>
      </c>
      <c r="DQ219" s="34" t="n">
        <f aca="false">IF((116-N(V_L1_Mes)+1)&lt;1,0,IF((116-N(V_L1_Mes)+1)=1,N(V_L1_Monto),DP$219)-DQ$218)</f>
        <v>0</v>
      </c>
      <c r="DR219" s="34" t="n">
        <f aca="false">IF((117-N(V_L1_Mes)+1)&lt;1,0,IF((117-N(V_L1_Mes)+1)=1,N(V_L1_Monto),DQ$219)-DR$218)</f>
        <v>0</v>
      </c>
      <c r="DS219" s="34" t="n">
        <f aca="false">IF((118-N(V_L1_Mes)+1)&lt;1,0,IF((118-N(V_L1_Mes)+1)=1,N(V_L1_Monto),DR$219)-DS$218)</f>
        <v>0</v>
      </c>
      <c r="DT219" s="34" t="n">
        <f aca="false">IF((119-N(V_L1_Mes)+1)&lt;1,0,IF((119-N(V_L1_Mes)+1)=1,N(V_L1_Monto),DS$219)-DT$218)</f>
        <v>0</v>
      </c>
      <c r="DU219" s="34" t="n">
        <f aca="false">IF((120-N(V_L1_Mes)+1)&lt;1,0,IF((120-N(V_L1_Mes)+1)=1,N(V_L1_Monto),DT$219)-DU$218)</f>
        <v>0</v>
      </c>
      <c r="DV219" s="34" t="n">
        <f aca="false">IF((121-N(V_L1_Mes)+1)&lt;1,0,IF((121-N(V_L1_Mes)+1)=1,N(V_L1_Monto),DU$219)-DV$218)</f>
        <v>0</v>
      </c>
      <c r="DW219" s="34" t="n">
        <f aca="false">IF((122-N(V_L1_Mes)+1)&lt;1,0,IF((122-N(V_L1_Mes)+1)=1,N(V_L1_Monto),DV$219)-DW$218)</f>
        <v>0</v>
      </c>
      <c r="DX219" s="34" t="n">
        <f aca="false">IF((123-N(V_L1_Mes)+1)&lt;1,0,IF((123-N(V_L1_Mes)+1)=1,N(V_L1_Monto),DW$219)-DX$218)</f>
        <v>0</v>
      </c>
      <c r="DY219" s="34" t="n">
        <f aca="false">IF((124-N(V_L1_Mes)+1)&lt;1,0,IF((124-N(V_L1_Mes)+1)=1,N(V_L1_Monto),DX$219)-DY$218)</f>
        <v>0</v>
      </c>
      <c r="DZ219" s="34" t="n">
        <f aca="false">IF((125-N(V_L1_Mes)+1)&lt;1,0,IF((125-N(V_L1_Mes)+1)=1,N(V_L1_Monto),DY$219)-DZ$218)</f>
        <v>0</v>
      </c>
      <c r="EA219" s="34" t="n">
        <f aca="false">IF((126-N(V_L1_Mes)+1)&lt;1,0,IF((126-N(V_L1_Mes)+1)=1,N(V_L1_Monto),DZ$219)-EA$218)</f>
        <v>0</v>
      </c>
      <c r="EB219" s="34" t="n">
        <f aca="false">IF((127-N(V_L1_Mes)+1)&lt;1,0,IF((127-N(V_L1_Mes)+1)=1,N(V_L1_Monto),EA$219)-EB$218)</f>
        <v>0</v>
      </c>
      <c r="EC219" s="34" t="n">
        <f aca="false">IF((128-N(V_L1_Mes)+1)&lt;1,0,IF((128-N(V_L1_Mes)+1)=1,N(V_L1_Monto),EB$219)-EC$218)</f>
        <v>0</v>
      </c>
      <c r="ED219" s="34" t="n">
        <f aca="false">IF((129-N(V_L1_Mes)+1)&lt;1,0,IF((129-N(V_L1_Mes)+1)=1,N(V_L1_Monto),EC$219)-ED$218)</f>
        <v>0</v>
      </c>
      <c r="EE219" s="34" t="n">
        <f aca="false">IF((130-N(V_L1_Mes)+1)&lt;1,0,IF((130-N(V_L1_Mes)+1)=1,N(V_L1_Monto),ED$219)-EE$218)</f>
        <v>0</v>
      </c>
      <c r="EF219" s="34" t="n">
        <f aca="false">IF((131-N(V_L1_Mes)+1)&lt;1,0,IF((131-N(V_L1_Mes)+1)=1,N(V_L1_Monto),EE$219)-EF$218)</f>
        <v>0</v>
      </c>
      <c r="EG219" s="34" t="n">
        <f aca="false">IF((132-N(V_L1_Mes)+1)&lt;1,0,IF((132-N(V_L1_Mes)+1)=1,N(V_L1_Monto),EF$219)-EG$218)</f>
        <v>0</v>
      </c>
      <c r="EH219" s="34" t="n">
        <f aca="false">IF((133-N(V_L1_Mes)+1)&lt;1,0,IF((133-N(V_L1_Mes)+1)=1,N(V_L1_Monto),EG$219)-EH$218)</f>
        <v>0</v>
      </c>
      <c r="EI219" s="34" t="n">
        <f aca="false">IF((134-N(V_L1_Mes)+1)&lt;1,0,IF((134-N(V_L1_Mes)+1)=1,N(V_L1_Monto),EH$219)-EI$218)</f>
        <v>0</v>
      </c>
      <c r="EJ219" s="34" t="n">
        <f aca="false">IF((135-N(V_L1_Mes)+1)&lt;1,0,IF((135-N(V_L1_Mes)+1)=1,N(V_L1_Monto),EI$219)-EJ$218)</f>
        <v>0</v>
      </c>
      <c r="EK219" s="34" t="n">
        <f aca="false">IF((136-N(V_L1_Mes)+1)&lt;1,0,IF((136-N(V_L1_Mes)+1)=1,N(V_L1_Monto),EJ$219)-EK$218)</f>
        <v>0</v>
      </c>
      <c r="EL219" s="34" t="n">
        <f aca="false">IF((137-N(V_L1_Mes)+1)&lt;1,0,IF((137-N(V_L1_Mes)+1)=1,N(V_L1_Monto),EK$219)-EL$218)</f>
        <v>0</v>
      </c>
      <c r="EM219" s="34" t="n">
        <f aca="false">IF((138-N(V_L1_Mes)+1)&lt;1,0,IF((138-N(V_L1_Mes)+1)=1,N(V_L1_Monto),EL$219)-EM$218)</f>
        <v>0</v>
      </c>
      <c r="EN219" s="34" t="n">
        <f aca="false">IF((139-N(V_L1_Mes)+1)&lt;1,0,IF((139-N(V_L1_Mes)+1)=1,N(V_L1_Monto),EM$219)-EN$218)</f>
        <v>0</v>
      </c>
      <c r="EO219" s="34" t="n">
        <f aca="false">IF((140-N(V_L1_Mes)+1)&lt;1,0,IF((140-N(V_L1_Mes)+1)=1,N(V_L1_Monto),EN$219)-EO$218)</f>
        <v>0</v>
      </c>
      <c r="EP219" s="34" t="n">
        <f aca="false">IF((141-N(V_L1_Mes)+1)&lt;1,0,IF((141-N(V_L1_Mes)+1)=1,N(V_L1_Monto),EO$219)-EP$218)</f>
        <v>0</v>
      </c>
      <c r="EQ219" s="34" t="n">
        <f aca="false">IF((142-N(V_L1_Mes)+1)&lt;1,0,IF((142-N(V_L1_Mes)+1)=1,N(V_L1_Monto),EP$219)-EQ$218)</f>
        <v>0</v>
      </c>
      <c r="ER219" s="34" t="n">
        <f aca="false">IF((143-N(V_L1_Mes)+1)&lt;1,0,IF((143-N(V_L1_Mes)+1)=1,N(V_L1_Monto),EQ$219)-ER$218)</f>
        <v>0</v>
      </c>
      <c r="ES219" s="34" t="n">
        <f aca="false">IF((144-N(V_L1_Mes)+1)&lt;1,0,IF((144-N(V_L1_Mes)+1)=1,N(V_L1_Monto),ER$219)-ES$218)</f>
        <v>0</v>
      </c>
    </row>
    <row r="220" customFormat="false" ht="15" hidden="false" customHeight="false" outlineLevel="0" collapsed="false">
      <c r="A220" s="2" t="s">
        <v>694</v>
      </c>
      <c r="B220" s="6" t="s">
        <v>560</v>
      </c>
      <c r="C220" s="6" t="s">
        <v>212</v>
      </c>
      <c r="E220" s="40" t="n">
        <f aca="false">SUM(F220:ES220)</f>
        <v>0</v>
      </c>
      <c r="F220" s="34" t="n">
        <f aca="false">IF((1-N(V_L2_Mes)+1)=1,N(V_L2_Monto),0)*F$9</f>
        <v>0</v>
      </c>
      <c r="G220" s="34" t="n">
        <f aca="false">IF((2-N(V_L2_Mes)+1)=1,N(V_L2_Monto),0)*G$9</f>
        <v>0</v>
      </c>
      <c r="H220" s="34" t="n">
        <f aca="false">IF((3-N(V_L2_Mes)+1)=1,N(V_L2_Monto),0)*H$9</f>
        <v>0</v>
      </c>
      <c r="I220" s="34" t="n">
        <f aca="false">IF((4-N(V_L2_Mes)+1)=1,N(V_L2_Monto),0)*I$9</f>
        <v>0</v>
      </c>
      <c r="J220" s="34" t="n">
        <f aca="false">IF((5-N(V_L2_Mes)+1)=1,N(V_L2_Monto),0)*J$9</f>
        <v>0</v>
      </c>
      <c r="K220" s="34" t="n">
        <f aca="false">IF((6-N(V_L2_Mes)+1)=1,N(V_L2_Monto),0)*K$9</f>
        <v>0</v>
      </c>
      <c r="L220" s="34" t="n">
        <f aca="false">IF((7-N(V_L2_Mes)+1)=1,N(V_L2_Monto),0)*L$9</f>
        <v>0</v>
      </c>
      <c r="M220" s="34" t="n">
        <f aca="false">IF((8-N(V_L2_Mes)+1)=1,N(V_L2_Monto),0)*M$9</f>
        <v>0</v>
      </c>
      <c r="N220" s="34" t="n">
        <f aca="false">IF((9-N(V_L2_Mes)+1)=1,N(V_L2_Monto),0)*N$9</f>
        <v>0</v>
      </c>
      <c r="O220" s="34" t="n">
        <f aca="false">IF((10-N(V_L2_Mes)+1)=1,N(V_L2_Monto),0)*O$9</f>
        <v>0</v>
      </c>
      <c r="P220" s="34" t="n">
        <f aca="false">IF((11-N(V_L2_Mes)+1)=1,N(V_L2_Monto),0)*P$9</f>
        <v>0</v>
      </c>
      <c r="Q220" s="34" t="n">
        <f aca="false">IF((12-N(V_L2_Mes)+1)=1,N(V_L2_Monto),0)*Q$9</f>
        <v>0</v>
      </c>
      <c r="R220" s="34" t="n">
        <f aca="false">IF((13-N(V_L2_Mes)+1)=1,N(V_L2_Monto),0)*R$9</f>
        <v>0</v>
      </c>
      <c r="S220" s="34" t="n">
        <f aca="false">IF((14-N(V_L2_Mes)+1)=1,N(V_L2_Monto),0)*S$9</f>
        <v>0</v>
      </c>
      <c r="T220" s="34" t="n">
        <f aca="false">IF((15-N(V_L2_Mes)+1)=1,N(V_L2_Monto),0)*T$9</f>
        <v>0</v>
      </c>
      <c r="U220" s="34" t="n">
        <f aca="false">IF((16-N(V_L2_Mes)+1)=1,N(V_L2_Monto),0)*U$9</f>
        <v>0</v>
      </c>
      <c r="V220" s="34" t="n">
        <f aca="false">IF((17-N(V_L2_Mes)+1)=1,N(V_L2_Monto),0)*V$9</f>
        <v>0</v>
      </c>
      <c r="W220" s="34" t="n">
        <f aca="false">IF((18-N(V_L2_Mes)+1)=1,N(V_L2_Monto),0)*W$9</f>
        <v>0</v>
      </c>
      <c r="X220" s="34" t="n">
        <f aca="false">IF((19-N(V_L2_Mes)+1)=1,N(V_L2_Monto),0)*X$9</f>
        <v>0</v>
      </c>
      <c r="Y220" s="34" t="n">
        <f aca="false">IF((20-N(V_L2_Mes)+1)=1,N(V_L2_Monto),0)*Y$9</f>
        <v>0</v>
      </c>
      <c r="Z220" s="34" t="n">
        <f aca="false">IF((21-N(V_L2_Mes)+1)=1,N(V_L2_Monto),0)*Z$9</f>
        <v>0</v>
      </c>
      <c r="AA220" s="34" t="n">
        <f aca="false">IF((22-N(V_L2_Mes)+1)=1,N(V_L2_Monto),0)*AA$9</f>
        <v>0</v>
      </c>
      <c r="AB220" s="34" t="n">
        <f aca="false">IF((23-N(V_L2_Mes)+1)=1,N(V_L2_Monto),0)*AB$9</f>
        <v>0</v>
      </c>
      <c r="AC220" s="34" t="n">
        <f aca="false">IF((24-N(V_L2_Mes)+1)=1,N(V_L2_Monto),0)*AC$9</f>
        <v>0</v>
      </c>
      <c r="AD220" s="34" t="n">
        <f aca="false">IF((25-N(V_L2_Mes)+1)=1,N(V_L2_Monto),0)*AD$9</f>
        <v>0</v>
      </c>
      <c r="AE220" s="34" t="n">
        <f aca="false">IF((26-N(V_L2_Mes)+1)=1,N(V_L2_Monto),0)*AE$9</f>
        <v>0</v>
      </c>
      <c r="AF220" s="34" t="n">
        <f aca="false">IF((27-N(V_L2_Mes)+1)=1,N(V_L2_Monto),0)*AF$9</f>
        <v>0</v>
      </c>
      <c r="AG220" s="34" t="n">
        <f aca="false">IF((28-N(V_L2_Mes)+1)=1,N(V_L2_Monto),0)*AG$9</f>
        <v>0</v>
      </c>
      <c r="AH220" s="34" t="n">
        <f aca="false">IF((29-N(V_L2_Mes)+1)=1,N(V_L2_Monto),0)*AH$9</f>
        <v>0</v>
      </c>
      <c r="AI220" s="34" t="n">
        <f aca="false">IF((30-N(V_L2_Mes)+1)=1,N(V_L2_Monto),0)*AI$9</f>
        <v>0</v>
      </c>
      <c r="AJ220" s="34" t="n">
        <f aca="false">IF((31-N(V_L2_Mes)+1)=1,N(V_L2_Monto),0)*AJ$9</f>
        <v>0</v>
      </c>
      <c r="AK220" s="34" t="n">
        <f aca="false">IF((32-N(V_L2_Mes)+1)=1,N(V_L2_Monto),0)*AK$9</f>
        <v>0</v>
      </c>
      <c r="AL220" s="34" t="n">
        <f aca="false">IF((33-N(V_L2_Mes)+1)=1,N(V_L2_Monto),0)*AL$9</f>
        <v>0</v>
      </c>
      <c r="AM220" s="34" t="n">
        <f aca="false">IF((34-N(V_L2_Mes)+1)=1,N(V_L2_Monto),0)*AM$9</f>
        <v>0</v>
      </c>
      <c r="AN220" s="34" t="n">
        <f aca="false">IF((35-N(V_L2_Mes)+1)=1,N(V_L2_Monto),0)*AN$9</f>
        <v>0</v>
      </c>
      <c r="AO220" s="34" t="n">
        <f aca="false">IF((36-N(V_L2_Mes)+1)=1,N(V_L2_Monto),0)*AO$9</f>
        <v>0</v>
      </c>
      <c r="AP220" s="34" t="n">
        <f aca="false">IF((37-N(V_L2_Mes)+1)=1,N(V_L2_Monto),0)*AP$9</f>
        <v>0</v>
      </c>
      <c r="AQ220" s="34" t="n">
        <f aca="false">IF((38-N(V_L2_Mes)+1)=1,N(V_L2_Monto),0)*AQ$9</f>
        <v>0</v>
      </c>
      <c r="AR220" s="34" t="n">
        <f aca="false">IF((39-N(V_L2_Mes)+1)=1,N(V_L2_Monto),0)*AR$9</f>
        <v>0</v>
      </c>
      <c r="AS220" s="34" t="n">
        <f aca="false">IF((40-N(V_L2_Mes)+1)=1,N(V_L2_Monto),0)*AS$9</f>
        <v>0</v>
      </c>
      <c r="AT220" s="34" t="n">
        <f aca="false">IF((41-N(V_L2_Mes)+1)=1,N(V_L2_Monto),0)*AT$9</f>
        <v>0</v>
      </c>
      <c r="AU220" s="34" t="n">
        <f aca="false">IF((42-N(V_L2_Mes)+1)=1,N(V_L2_Monto),0)*AU$9</f>
        <v>0</v>
      </c>
      <c r="AV220" s="34" t="n">
        <f aca="false">IF((43-N(V_L2_Mes)+1)=1,N(V_L2_Monto),0)*AV$9</f>
        <v>0</v>
      </c>
      <c r="AW220" s="34" t="n">
        <f aca="false">IF((44-N(V_L2_Mes)+1)=1,N(V_L2_Monto),0)*AW$9</f>
        <v>0</v>
      </c>
      <c r="AX220" s="34" t="n">
        <f aca="false">IF((45-N(V_L2_Mes)+1)=1,N(V_L2_Monto),0)*AX$9</f>
        <v>0</v>
      </c>
      <c r="AY220" s="34" t="n">
        <f aca="false">IF((46-N(V_L2_Mes)+1)=1,N(V_L2_Monto),0)*AY$9</f>
        <v>0</v>
      </c>
      <c r="AZ220" s="34" t="n">
        <f aca="false">IF((47-N(V_L2_Mes)+1)=1,N(V_L2_Monto),0)*AZ$9</f>
        <v>0</v>
      </c>
      <c r="BA220" s="34" t="n">
        <f aca="false">IF((48-N(V_L2_Mes)+1)=1,N(V_L2_Monto),0)*BA$9</f>
        <v>0</v>
      </c>
      <c r="BB220" s="34" t="n">
        <f aca="false">IF((49-N(V_L2_Mes)+1)=1,N(V_L2_Monto),0)*BB$9</f>
        <v>0</v>
      </c>
      <c r="BC220" s="34" t="n">
        <f aca="false">IF((50-N(V_L2_Mes)+1)=1,N(V_L2_Monto),0)*BC$9</f>
        <v>0</v>
      </c>
      <c r="BD220" s="34" t="n">
        <f aca="false">IF((51-N(V_L2_Mes)+1)=1,N(V_L2_Monto),0)*BD$9</f>
        <v>0</v>
      </c>
      <c r="BE220" s="34" t="n">
        <f aca="false">IF((52-N(V_L2_Mes)+1)=1,N(V_L2_Monto),0)*BE$9</f>
        <v>0</v>
      </c>
      <c r="BF220" s="34" t="n">
        <f aca="false">IF((53-N(V_L2_Mes)+1)=1,N(V_L2_Monto),0)*BF$9</f>
        <v>0</v>
      </c>
      <c r="BG220" s="34" t="n">
        <f aca="false">IF((54-N(V_L2_Mes)+1)=1,N(V_L2_Monto),0)*BG$9</f>
        <v>0</v>
      </c>
      <c r="BH220" s="34" t="n">
        <f aca="false">IF((55-N(V_L2_Mes)+1)=1,N(V_L2_Monto),0)*BH$9</f>
        <v>0</v>
      </c>
      <c r="BI220" s="34" t="n">
        <f aca="false">IF((56-N(V_L2_Mes)+1)=1,N(V_L2_Monto),0)*BI$9</f>
        <v>0</v>
      </c>
      <c r="BJ220" s="34" t="n">
        <f aca="false">IF((57-N(V_L2_Mes)+1)=1,N(V_L2_Monto),0)*BJ$9</f>
        <v>0</v>
      </c>
      <c r="BK220" s="34" t="n">
        <f aca="false">IF((58-N(V_L2_Mes)+1)=1,N(V_L2_Monto),0)*BK$9</f>
        <v>0</v>
      </c>
      <c r="BL220" s="34" t="n">
        <f aca="false">IF((59-N(V_L2_Mes)+1)=1,N(V_L2_Monto),0)*BL$9</f>
        <v>0</v>
      </c>
      <c r="BM220" s="34" t="n">
        <f aca="false">IF((60-N(V_L2_Mes)+1)=1,N(V_L2_Monto),0)*BM$9</f>
        <v>0</v>
      </c>
      <c r="BN220" s="34" t="n">
        <f aca="false">IF((61-N(V_L2_Mes)+1)=1,N(V_L2_Monto),0)*BN$9</f>
        <v>0</v>
      </c>
      <c r="BO220" s="34" t="n">
        <f aca="false">IF((62-N(V_L2_Mes)+1)=1,N(V_L2_Monto),0)*BO$9</f>
        <v>0</v>
      </c>
      <c r="BP220" s="34" t="n">
        <f aca="false">IF((63-N(V_L2_Mes)+1)=1,N(V_L2_Monto),0)*BP$9</f>
        <v>0</v>
      </c>
      <c r="BQ220" s="34" t="n">
        <f aca="false">IF((64-N(V_L2_Mes)+1)=1,N(V_L2_Monto),0)*BQ$9</f>
        <v>0</v>
      </c>
      <c r="BR220" s="34" t="n">
        <f aca="false">IF((65-N(V_L2_Mes)+1)=1,N(V_L2_Monto),0)*BR$9</f>
        <v>0</v>
      </c>
      <c r="BS220" s="34" t="n">
        <f aca="false">IF((66-N(V_L2_Mes)+1)=1,N(V_L2_Monto),0)*BS$9</f>
        <v>0</v>
      </c>
      <c r="BT220" s="34" t="n">
        <f aca="false">IF((67-N(V_L2_Mes)+1)=1,N(V_L2_Monto),0)*BT$9</f>
        <v>0</v>
      </c>
      <c r="BU220" s="34" t="n">
        <f aca="false">IF((68-N(V_L2_Mes)+1)=1,N(V_L2_Monto),0)*BU$9</f>
        <v>0</v>
      </c>
      <c r="BV220" s="34" t="n">
        <f aca="false">IF((69-N(V_L2_Mes)+1)=1,N(V_L2_Monto),0)*BV$9</f>
        <v>0</v>
      </c>
      <c r="BW220" s="34" t="n">
        <f aca="false">IF((70-N(V_L2_Mes)+1)=1,N(V_L2_Monto),0)*BW$9</f>
        <v>0</v>
      </c>
      <c r="BX220" s="34" t="n">
        <f aca="false">IF((71-N(V_L2_Mes)+1)=1,N(V_L2_Monto),0)*BX$9</f>
        <v>0</v>
      </c>
      <c r="BY220" s="34" t="n">
        <f aca="false">IF((72-N(V_L2_Mes)+1)=1,N(V_L2_Monto),0)*BY$9</f>
        <v>0</v>
      </c>
      <c r="BZ220" s="34" t="n">
        <f aca="false">IF((73-N(V_L2_Mes)+1)=1,N(V_L2_Monto),0)*BZ$9</f>
        <v>0</v>
      </c>
      <c r="CA220" s="34" t="n">
        <f aca="false">IF((74-N(V_L2_Mes)+1)=1,N(V_L2_Monto),0)*CA$9</f>
        <v>0</v>
      </c>
      <c r="CB220" s="34" t="n">
        <f aca="false">IF((75-N(V_L2_Mes)+1)=1,N(V_L2_Monto),0)*CB$9</f>
        <v>0</v>
      </c>
      <c r="CC220" s="34" t="n">
        <f aca="false">IF((76-N(V_L2_Mes)+1)=1,N(V_L2_Monto),0)*CC$9</f>
        <v>0</v>
      </c>
      <c r="CD220" s="34" t="n">
        <f aca="false">IF((77-N(V_L2_Mes)+1)=1,N(V_L2_Monto),0)*CD$9</f>
        <v>0</v>
      </c>
      <c r="CE220" s="34" t="n">
        <f aca="false">IF((78-N(V_L2_Mes)+1)=1,N(V_L2_Monto),0)*CE$9</f>
        <v>0</v>
      </c>
      <c r="CF220" s="34" t="n">
        <f aca="false">IF((79-N(V_L2_Mes)+1)=1,N(V_L2_Monto),0)*CF$9</f>
        <v>0</v>
      </c>
      <c r="CG220" s="34" t="n">
        <f aca="false">IF((80-N(V_L2_Mes)+1)=1,N(V_L2_Monto),0)*CG$9</f>
        <v>0</v>
      </c>
      <c r="CH220" s="34" t="n">
        <f aca="false">IF((81-N(V_L2_Mes)+1)=1,N(V_L2_Monto),0)*CH$9</f>
        <v>0</v>
      </c>
      <c r="CI220" s="34" t="n">
        <f aca="false">IF((82-N(V_L2_Mes)+1)=1,N(V_L2_Monto),0)*CI$9</f>
        <v>0</v>
      </c>
      <c r="CJ220" s="34" t="n">
        <f aca="false">IF((83-N(V_L2_Mes)+1)=1,N(V_L2_Monto),0)*CJ$9</f>
        <v>0</v>
      </c>
      <c r="CK220" s="34" t="n">
        <f aca="false">IF((84-N(V_L2_Mes)+1)=1,N(V_L2_Monto),0)*CK$9</f>
        <v>0</v>
      </c>
      <c r="CL220" s="34" t="n">
        <f aca="false">IF((85-N(V_L2_Mes)+1)=1,N(V_L2_Monto),0)*CL$9</f>
        <v>0</v>
      </c>
      <c r="CM220" s="34" t="n">
        <f aca="false">IF((86-N(V_L2_Mes)+1)=1,N(V_L2_Monto),0)*CM$9</f>
        <v>0</v>
      </c>
      <c r="CN220" s="34" t="n">
        <f aca="false">IF((87-N(V_L2_Mes)+1)=1,N(V_L2_Monto),0)*CN$9</f>
        <v>0</v>
      </c>
      <c r="CO220" s="34" t="n">
        <f aca="false">IF((88-N(V_L2_Mes)+1)=1,N(V_L2_Monto),0)*CO$9</f>
        <v>0</v>
      </c>
      <c r="CP220" s="34" t="n">
        <f aca="false">IF((89-N(V_L2_Mes)+1)=1,N(V_L2_Monto),0)*CP$9</f>
        <v>0</v>
      </c>
      <c r="CQ220" s="34" t="n">
        <f aca="false">IF((90-N(V_L2_Mes)+1)=1,N(V_L2_Monto),0)*CQ$9</f>
        <v>0</v>
      </c>
      <c r="CR220" s="34" t="n">
        <f aca="false">IF((91-N(V_L2_Mes)+1)=1,N(V_L2_Monto),0)*CR$9</f>
        <v>0</v>
      </c>
      <c r="CS220" s="34" t="n">
        <f aca="false">IF((92-N(V_L2_Mes)+1)=1,N(V_L2_Monto),0)*CS$9</f>
        <v>0</v>
      </c>
      <c r="CT220" s="34" t="n">
        <f aca="false">IF((93-N(V_L2_Mes)+1)=1,N(V_L2_Monto),0)*CT$9</f>
        <v>0</v>
      </c>
      <c r="CU220" s="34" t="n">
        <f aca="false">IF((94-N(V_L2_Mes)+1)=1,N(V_L2_Monto),0)*CU$9</f>
        <v>0</v>
      </c>
      <c r="CV220" s="34" t="n">
        <f aca="false">IF((95-N(V_L2_Mes)+1)=1,N(V_L2_Monto),0)*CV$9</f>
        <v>0</v>
      </c>
      <c r="CW220" s="34" t="n">
        <f aca="false">IF((96-N(V_L2_Mes)+1)=1,N(V_L2_Monto),0)*CW$9</f>
        <v>0</v>
      </c>
      <c r="CX220" s="34" t="n">
        <f aca="false">IF((97-N(V_L2_Mes)+1)=1,N(V_L2_Monto),0)*CX$9</f>
        <v>0</v>
      </c>
      <c r="CY220" s="34" t="n">
        <f aca="false">IF((98-N(V_L2_Mes)+1)=1,N(V_L2_Monto),0)*CY$9</f>
        <v>0</v>
      </c>
      <c r="CZ220" s="34" t="n">
        <f aca="false">IF((99-N(V_L2_Mes)+1)=1,N(V_L2_Monto),0)*CZ$9</f>
        <v>0</v>
      </c>
      <c r="DA220" s="34" t="n">
        <f aca="false">IF((100-N(V_L2_Mes)+1)=1,N(V_L2_Monto),0)*DA$9</f>
        <v>0</v>
      </c>
      <c r="DB220" s="34" t="n">
        <f aca="false">IF((101-N(V_L2_Mes)+1)=1,N(V_L2_Monto),0)*DB$9</f>
        <v>0</v>
      </c>
      <c r="DC220" s="34" t="n">
        <f aca="false">IF((102-N(V_L2_Mes)+1)=1,N(V_L2_Monto),0)*DC$9</f>
        <v>0</v>
      </c>
      <c r="DD220" s="34" t="n">
        <f aca="false">IF((103-N(V_L2_Mes)+1)=1,N(V_L2_Monto),0)*DD$9</f>
        <v>0</v>
      </c>
      <c r="DE220" s="34" t="n">
        <f aca="false">IF((104-N(V_L2_Mes)+1)=1,N(V_L2_Monto),0)*DE$9</f>
        <v>0</v>
      </c>
      <c r="DF220" s="34" t="n">
        <f aca="false">IF((105-N(V_L2_Mes)+1)=1,N(V_L2_Monto),0)*DF$9</f>
        <v>0</v>
      </c>
      <c r="DG220" s="34" t="n">
        <f aca="false">IF((106-N(V_L2_Mes)+1)=1,N(V_L2_Monto),0)*DG$9</f>
        <v>0</v>
      </c>
      <c r="DH220" s="34" t="n">
        <f aca="false">IF((107-N(V_L2_Mes)+1)=1,N(V_L2_Monto),0)*DH$9</f>
        <v>0</v>
      </c>
      <c r="DI220" s="34" t="n">
        <f aca="false">IF((108-N(V_L2_Mes)+1)=1,N(V_L2_Monto),0)*DI$9</f>
        <v>0</v>
      </c>
      <c r="DJ220" s="34" t="n">
        <f aca="false">IF((109-N(V_L2_Mes)+1)=1,N(V_L2_Monto),0)*DJ$9</f>
        <v>0</v>
      </c>
      <c r="DK220" s="34" t="n">
        <f aca="false">IF((110-N(V_L2_Mes)+1)=1,N(V_L2_Monto),0)*DK$9</f>
        <v>0</v>
      </c>
      <c r="DL220" s="34" t="n">
        <f aca="false">IF((111-N(V_L2_Mes)+1)=1,N(V_L2_Monto),0)*DL$9</f>
        <v>0</v>
      </c>
      <c r="DM220" s="34" t="n">
        <f aca="false">IF((112-N(V_L2_Mes)+1)=1,N(V_L2_Monto),0)*DM$9</f>
        <v>0</v>
      </c>
      <c r="DN220" s="34" t="n">
        <f aca="false">IF((113-N(V_L2_Mes)+1)=1,N(V_L2_Monto),0)*DN$9</f>
        <v>0</v>
      </c>
      <c r="DO220" s="34" t="n">
        <f aca="false">IF((114-N(V_L2_Mes)+1)=1,N(V_L2_Monto),0)*DO$9</f>
        <v>0</v>
      </c>
      <c r="DP220" s="34" t="n">
        <f aca="false">IF((115-N(V_L2_Mes)+1)=1,N(V_L2_Monto),0)*DP$9</f>
        <v>0</v>
      </c>
      <c r="DQ220" s="34" t="n">
        <f aca="false">IF((116-N(V_L2_Mes)+1)=1,N(V_L2_Monto),0)*DQ$9</f>
        <v>0</v>
      </c>
      <c r="DR220" s="34" t="n">
        <f aca="false">IF((117-N(V_L2_Mes)+1)=1,N(V_L2_Monto),0)*DR$9</f>
        <v>0</v>
      </c>
      <c r="DS220" s="34" t="n">
        <f aca="false">IF((118-N(V_L2_Mes)+1)=1,N(V_L2_Monto),0)*DS$9</f>
        <v>0</v>
      </c>
      <c r="DT220" s="34" t="n">
        <f aca="false">IF((119-N(V_L2_Mes)+1)=1,N(V_L2_Monto),0)*DT$9</f>
        <v>0</v>
      </c>
      <c r="DU220" s="34" t="n">
        <f aca="false">IF((120-N(V_L2_Mes)+1)=1,N(V_L2_Monto),0)*DU$9</f>
        <v>0</v>
      </c>
      <c r="DV220" s="34" t="n">
        <f aca="false">IF((121-N(V_L2_Mes)+1)=1,N(V_L2_Monto),0)*DV$9</f>
        <v>0</v>
      </c>
      <c r="DW220" s="34" t="n">
        <f aca="false">IF((122-N(V_L2_Mes)+1)=1,N(V_L2_Monto),0)*DW$9</f>
        <v>0</v>
      </c>
      <c r="DX220" s="34" t="n">
        <f aca="false">IF((123-N(V_L2_Mes)+1)=1,N(V_L2_Monto),0)*DX$9</f>
        <v>0</v>
      </c>
      <c r="DY220" s="34" t="n">
        <f aca="false">IF((124-N(V_L2_Mes)+1)=1,N(V_L2_Monto),0)*DY$9</f>
        <v>0</v>
      </c>
      <c r="DZ220" s="34" t="n">
        <f aca="false">IF((125-N(V_L2_Mes)+1)=1,N(V_L2_Monto),0)*DZ$9</f>
        <v>0</v>
      </c>
      <c r="EA220" s="34" t="n">
        <f aca="false">IF((126-N(V_L2_Mes)+1)=1,N(V_L2_Monto),0)*EA$9</f>
        <v>0</v>
      </c>
      <c r="EB220" s="34" t="n">
        <f aca="false">IF((127-N(V_L2_Mes)+1)=1,N(V_L2_Monto),0)*EB$9</f>
        <v>0</v>
      </c>
      <c r="EC220" s="34" t="n">
        <f aca="false">IF((128-N(V_L2_Mes)+1)=1,N(V_L2_Monto),0)*EC$9</f>
        <v>0</v>
      </c>
      <c r="ED220" s="34" t="n">
        <f aca="false">IF((129-N(V_L2_Mes)+1)=1,N(V_L2_Monto),0)*ED$9</f>
        <v>0</v>
      </c>
      <c r="EE220" s="34" t="n">
        <f aca="false">IF((130-N(V_L2_Mes)+1)=1,N(V_L2_Monto),0)*EE$9</f>
        <v>0</v>
      </c>
      <c r="EF220" s="34" t="n">
        <f aca="false">IF((131-N(V_L2_Mes)+1)=1,N(V_L2_Monto),0)*EF$9</f>
        <v>0</v>
      </c>
      <c r="EG220" s="34" t="n">
        <f aca="false">IF((132-N(V_L2_Mes)+1)=1,N(V_L2_Monto),0)*EG$9</f>
        <v>0</v>
      </c>
      <c r="EH220" s="34" t="n">
        <f aca="false">IF((133-N(V_L2_Mes)+1)=1,N(V_L2_Monto),0)*EH$9</f>
        <v>0</v>
      </c>
      <c r="EI220" s="34" t="n">
        <f aca="false">IF((134-N(V_L2_Mes)+1)=1,N(V_L2_Monto),0)*EI$9</f>
        <v>0</v>
      </c>
      <c r="EJ220" s="34" t="n">
        <f aca="false">IF((135-N(V_L2_Mes)+1)=1,N(V_L2_Monto),0)*EJ$9</f>
        <v>0</v>
      </c>
      <c r="EK220" s="34" t="n">
        <f aca="false">IF((136-N(V_L2_Mes)+1)=1,N(V_L2_Monto),0)*EK$9</f>
        <v>0</v>
      </c>
      <c r="EL220" s="34" t="n">
        <f aca="false">IF((137-N(V_L2_Mes)+1)=1,N(V_L2_Monto),0)*EL$9</f>
        <v>0</v>
      </c>
      <c r="EM220" s="34" t="n">
        <f aca="false">IF((138-N(V_L2_Mes)+1)=1,N(V_L2_Monto),0)*EM$9</f>
        <v>0</v>
      </c>
      <c r="EN220" s="34" t="n">
        <f aca="false">IF((139-N(V_L2_Mes)+1)=1,N(V_L2_Monto),0)*EN$9</f>
        <v>0</v>
      </c>
      <c r="EO220" s="34" t="n">
        <f aca="false">IF((140-N(V_L2_Mes)+1)=1,N(V_L2_Monto),0)*EO$9</f>
        <v>0</v>
      </c>
      <c r="EP220" s="34" t="n">
        <f aca="false">IF((141-N(V_L2_Mes)+1)=1,N(V_L2_Monto),0)*EP$9</f>
        <v>0</v>
      </c>
      <c r="EQ220" s="34" t="n">
        <f aca="false">IF((142-N(V_L2_Mes)+1)=1,N(V_L2_Monto),0)*EQ$9</f>
        <v>0</v>
      </c>
      <c r="ER220" s="34" t="n">
        <f aca="false">IF((143-N(V_L2_Mes)+1)=1,N(V_L2_Monto),0)*ER$9</f>
        <v>0</v>
      </c>
      <c r="ES220" s="34" t="n">
        <f aca="false">IF((144-N(V_L2_Mes)+1)=1,N(V_L2_Monto),0)*ES$9</f>
        <v>0</v>
      </c>
    </row>
    <row r="221" customFormat="false" ht="15" hidden="false" customHeight="false" outlineLevel="0" collapsed="false">
      <c r="A221" s="2" t="s">
        <v>695</v>
      </c>
      <c r="B221" s="6" t="s">
        <v>562</v>
      </c>
      <c r="C221" s="6" t="s">
        <v>212</v>
      </c>
      <c r="E221" s="40" t="n">
        <f aca="false">SUM(F221:ES221)</f>
        <v>0</v>
      </c>
      <c r="F221" s="34" t="n">
        <f aca="false">IF((1-N(V_L2_Mes)+1)&gt;=1,IF((1-N(V_L2_Mes)+1)=1,N(V_L2_Monto),0)*N(V_L2_Tasa)/12,0)*F$9</f>
        <v>0</v>
      </c>
      <c r="G221" s="34" t="n">
        <f aca="false">IF((2-N(V_L2_Mes)+1)&gt;=1,IF((2-N(V_L2_Mes)+1)=1,N(V_L2_Monto),F$223)*N(V_L2_Tasa)/12,0)*G$9</f>
        <v>0</v>
      </c>
      <c r="H221" s="34" t="n">
        <f aca="false">IF((3-N(V_L2_Mes)+1)&gt;=1,IF((3-N(V_L2_Mes)+1)=1,N(V_L2_Monto),G$223)*N(V_L2_Tasa)/12,0)*H$9</f>
        <v>0</v>
      </c>
      <c r="I221" s="34" t="n">
        <f aca="false">IF((4-N(V_L2_Mes)+1)&gt;=1,IF((4-N(V_L2_Mes)+1)=1,N(V_L2_Monto),H$223)*N(V_L2_Tasa)/12,0)*I$9</f>
        <v>0</v>
      </c>
      <c r="J221" s="34" t="n">
        <f aca="false">IF((5-N(V_L2_Mes)+1)&gt;=1,IF((5-N(V_L2_Mes)+1)=1,N(V_L2_Monto),I$223)*N(V_L2_Tasa)/12,0)*J$9</f>
        <v>0</v>
      </c>
      <c r="K221" s="34" t="n">
        <f aca="false">IF((6-N(V_L2_Mes)+1)&gt;=1,IF((6-N(V_L2_Mes)+1)=1,N(V_L2_Monto),J$223)*N(V_L2_Tasa)/12,0)*K$9</f>
        <v>0</v>
      </c>
      <c r="L221" s="34" t="n">
        <f aca="false">IF((7-N(V_L2_Mes)+1)&gt;=1,IF((7-N(V_L2_Mes)+1)=1,N(V_L2_Monto),K$223)*N(V_L2_Tasa)/12,0)*L$9</f>
        <v>0</v>
      </c>
      <c r="M221" s="34" t="n">
        <f aca="false">IF((8-N(V_L2_Mes)+1)&gt;=1,IF((8-N(V_L2_Mes)+1)=1,N(V_L2_Monto),L$223)*N(V_L2_Tasa)/12,0)*M$9</f>
        <v>0</v>
      </c>
      <c r="N221" s="34" t="n">
        <f aca="false">IF((9-N(V_L2_Mes)+1)&gt;=1,IF((9-N(V_L2_Mes)+1)=1,N(V_L2_Monto),M$223)*N(V_L2_Tasa)/12,0)*N$9</f>
        <v>0</v>
      </c>
      <c r="O221" s="34" t="n">
        <f aca="false">IF((10-N(V_L2_Mes)+1)&gt;=1,IF((10-N(V_L2_Mes)+1)=1,N(V_L2_Monto),N$223)*N(V_L2_Tasa)/12,0)*O$9</f>
        <v>0</v>
      </c>
      <c r="P221" s="34" t="n">
        <f aca="false">IF((11-N(V_L2_Mes)+1)&gt;=1,IF((11-N(V_L2_Mes)+1)=1,N(V_L2_Monto),O$223)*N(V_L2_Tasa)/12,0)*P$9</f>
        <v>0</v>
      </c>
      <c r="Q221" s="34" t="n">
        <f aca="false">IF((12-N(V_L2_Mes)+1)&gt;=1,IF((12-N(V_L2_Mes)+1)=1,N(V_L2_Monto),P$223)*N(V_L2_Tasa)/12,0)*Q$9</f>
        <v>0</v>
      </c>
      <c r="R221" s="34" t="n">
        <f aca="false">IF((13-N(V_L2_Mes)+1)&gt;=1,IF((13-N(V_L2_Mes)+1)=1,N(V_L2_Monto),Q$223)*N(V_L2_Tasa)/12,0)*R$9</f>
        <v>0</v>
      </c>
      <c r="S221" s="34" t="n">
        <f aca="false">IF((14-N(V_L2_Mes)+1)&gt;=1,IF((14-N(V_L2_Mes)+1)=1,N(V_L2_Monto),R$223)*N(V_L2_Tasa)/12,0)*S$9</f>
        <v>0</v>
      </c>
      <c r="T221" s="34" t="n">
        <f aca="false">IF((15-N(V_L2_Mes)+1)&gt;=1,IF((15-N(V_L2_Mes)+1)=1,N(V_L2_Monto),S$223)*N(V_L2_Tasa)/12,0)*T$9</f>
        <v>0</v>
      </c>
      <c r="U221" s="34" t="n">
        <f aca="false">IF((16-N(V_L2_Mes)+1)&gt;=1,IF((16-N(V_L2_Mes)+1)=1,N(V_L2_Monto),T$223)*N(V_L2_Tasa)/12,0)*U$9</f>
        <v>0</v>
      </c>
      <c r="V221" s="34" t="n">
        <f aca="false">IF((17-N(V_L2_Mes)+1)&gt;=1,IF((17-N(V_L2_Mes)+1)=1,N(V_L2_Monto),U$223)*N(V_L2_Tasa)/12,0)*V$9</f>
        <v>0</v>
      </c>
      <c r="W221" s="34" t="n">
        <f aca="false">IF((18-N(V_L2_Mes)+1)&gt;=1,IF((18-N(V_L2_Mes)+1)=1,N(V_L2_Monto),V$223)*N(V_L2_Tasa)/12,0)*W$9</f>
        <v>0</v>
      </c>
      <c r="X221" s="34" t="n">
        <f aca="false">IF((19-N(V_L2_Mes)+1)&gt;=1,IF((19-N(V_L2_Mes)+1)=1,N(V_L2_Monto),W$223)*N(V_L2_Tasa)/12,0)*X$9</f>
        <v>0</v>
      </c>
      <c r="Y221" s="34" t="n">
        <f aca="false">IF((20-N(V_L2_Mes)+1)&gt;=1,IF((20-N(V_L2_Mes)+1)=1,N(V_L2_Monto),X$223)*N(V_L2_Tasa)/12,0)*Y$9</f>
        <v>0</v>
      </c>
      <c r="Z221" s="34" t="n">
        <f aca="false">IF((21-N(V_L2_Mes)+1)&gt;=1,IF((21-N(V_L2_Mes)+1)=1,N(V_L2_Monto),Y$223)*N(V_L2_Tasa)/12,0)*Z$9</f>
        <v>0</v>
      </c>
      <c r="AA221" s="34" t="n">
        <f aca="false">IF((22-N(V_L2_Mes)+1)&gt;=1,IF((22-N(V_L2_Mes)+1)=1,N(V_L2_Monto),Z$223)*N(V_L2_Tasa)/12,0)*AA$9</f>
        <v>0</v>
      </c>
      <c r="AB221" s="34" t="n">
        <f aca="false">IF((23-N(V_L2_Mes)+1)&gt;=1,IF((23-N(V_L2_Mes)+1)=1,N(V_L2_Monto),AA$223)*N(V_L2_Tasa)/12,0)*AB$9</f>
        <v>0</v>
      </c>
      <c r="AC221" s="34" t="n">
        <f aca="false">IF((24-N(V_L2_Mes)+1)&gt;=1,IF((24-N(V_L2_Mes)+1)=1,N(V_L2_Monto),AB$223)*N(V_L2_Tasa)/12,0)*AC$9</f>
        <v>0</v>
      </c>
      <c r="AD221" s="34" t="n">
        <f aca="false">IF((25-N(V_L2_Mes)+1)&gt;=1,IF((25-N(V_L2_Mes)+1)=1,N(V_L2_Monto),AC$223)*N(V_L2_Tasa)/12,0)*AD$9</f>
        <v>0</v>
      </c>
      <c r="AE221" s="34" t="n">
        <f aca="false">IF((26-N(V_L2_Mes)+1)&gt;=1,IF((26-N(V_L2_Mes)+1)=1,N(V_L2_Monto),AD$223)*N(V_L2_Tasa)/12,0)*AE$9</f>
        <v>0</v>
      </c>
      <c r="AF221" s="34" t="n">
        <f aca="false">IF((27-N(V_L2_Mes)+1)&gt;=1,IF((27-N(V_L2_Mes)+1)=1,N(V_L2_Monto),AE$223)*N(V_L2_Tasa)/12,0)*AF$9</f>
        <v>0</v>
      </c>
      <c r="AG221" s="34" t="n">
        <f aca="false">IF((28-N(V_L2_Mes)+1)&gt;=1,IF((28-N(V_L2_Mes)+1)=1,N(V_L2_Monto),AF$223)*N(V_L2_Tasa)/12,0)*AG$9</f>
        <v>0</v>
      </c>
      <c r="AH221" s="34" t="n">
        <f aca="false">IF((29-N(V_L2_Mes)+1)&gt;=1,IF((29-N(V_L2_Mes)+1)=1,N(V_L2_Monto),AG$223)*N(V_L2_Tasa)/12,0)*AH$9</f>
        <v>0</v>
      </c>
      <c r="AI221" s="34" t="n">
        <f aca="false">IF((30-N(V_L2_Mes)+1)&gt;=1,IF((30-N(V_L2_Mes)+1)=1,N(V_L2_Monto),AH$223)*N(V_L2_Tasa)/12,0)*AI$9</f>
        <v>0</v>
      </c>
      <c r="AJ221" s="34" t="n">
        <f aca="false">IF((31-N(V_L2_Mes)+1)&gt;=1,IF((31-N(V_L2_Mes)+1)=1,N(V_L2_Monto),AI$223)*N(V_L2_Tasa)/12,0)*AJ$9</f>
        <v>0</v>
      </c>
      <c r="AK221" s="34" t="n">
        <f aca="false">IF((32-N(V_L2_Mes)+1)&gt;=1,IF((32-N(V_L2_Mes)+1)=1,N(V_L2_Monto),AJ$223)*N(V_L2_Tasa)/12,0)*AK$9</f>
        <v>0</v>
      </c>
      <c r="AL221" s="34" t="n">
        <f aca="false">IF((33-N(V_L2_Mes)+1)&gt;=1,IF((33-N(V_L2_Mes)+1)=1,N(V_L2_Monto),AK$223)*N(V_L2_Tasa)/12,0)*AL$9</f>
        <v>0</v>
      </c>
      <c r="AM221" s="34" t="n">
        <f aca="false">IF((34-N(V_L2_Mes)+1)&gt;=1,IF((34-N(V_L2_Mes)+1)=1,N(V_L2_Monto),AL$223)*N(V_L2_Tasa)/12,0)*AM$9</f>
        <v>0</v>
      </c>
      <c r="AN221" s="34" t="n">
        <f aca="false">IF((35-N(V_L2_Mes)+1)&gt;=1,IF((35-N(V_L2_Mes)+1)=1,N(V_L2_Monto),AM$223)*N(V_L2_Tasa)/12,0)*AN$9</f>
        <v>0</v>
      </c>
      <c r="AO221" s="34" t="n">
        <f aca="false">IF((36-N(V_L2_Mes)+1)&gt;=1,IF((36-N(V_L2_Mes)+1)=1,N(V_L2_Monto),AN$223)*N(V_L2_Tasa)/12,0)*AO$9</f>
        <v>0</v>
      </c>
      <c r="AP221" s="34" t="n">
        <f aca="false">IF((37-N(V_L2_Mes)+1)&gt;=1,IF((37-N(V_L2_Mes)+1)=1,N(V_L2_Monto),AO$223)*N(V_L2_Tasa)/12,0)*AP$9</f>
        <v>0</v>
      </c>
      <c r="AQ221" s="34" t="n">
        <f aca="false">IF((38-N(V_L2_Mes)+1)&gt;=1,IF((38-N(V_L2_Mes)+1)=1,N(V_L2_Monto),AP$223)*N(V_L2_Tasa)/12,0)*AQ$9</f>
        <v>0</v>
      </c>
      <c r="AR221" s="34" t="n">
        <f aca="false">IF((39-N(V_L2_Mes)+1)&gt;=1,IF((39-N(V_L2_Mes)+1)=1,N(V_L2_Monto),AQ$223)*N(V_L2_Tasa)/12,0)*AR$9</f>
        <v>0</v>
      </c>
      <c r="AS221" s="34" t="n">
        <f aca="false">IF((40-N(V_L2_Mes)+1)&gt;=1,IF((40-N(V_L2_Mes)+1)=1,N(V_L2_Monto),AR$223)*N(V_L2_Tasa)/12,0)*AS$9</f>
        <v>0</v>
      </c>
      <c r="AT221" s="34" t="n">
        <f aca="false">IF((41-N(V_L2_Mes)+1)&gt;=1,IF((41-N(V_L2_Mes)+1)=1,N(V_L2_Monto),AS$223)*N(V_L2_Tasa)/12,0)*AT$9</f>
        <v>0</v>
      </c>
      <c r="AU221" s="34" t="n">
        <f aca="false">IF((42-N(V_L2_Mes)+1)&gt;=1,IF((42-N(V_L2_Mes)+1)=1,N(V_L2_Monto),AT$223)*N(V_L2_Tasa)/12,0)*AU$9</f>
        <v>0</v>
      </c>
      <c r="AV221" s="34" t="n">
        <f aca="false">IF((43-N(V_L2_Mes)+1)&gt;=1,IF((43-N(V_L2_Mes)+1)=1,N(V_L2_Monto),AU$223)*N(V_L2_Tasa)/12,0)*AV$9</f>
        <v>0</v>
      </c>
      <c r="AW221" s="34" t="n">
        <f aca="false">IF((44-N(V_L2_Mes)+1)&gt;=1,IF((44-N(V_L2_Mes)+1)=1,N(V_L2_Monto),AV$223)*N(V_L2_Tasa)/12,0)*AW$9</f>
        <v>0</v>
      </c>
      <c r="AX221" s="34" t="n">
        <f aca="false">IF((45-N(V_L2_Mes)+1)&gt;=1,IF((45-N(V_L2_Mes)+1)=1,N(V_L2_Monto),AW$223)*N(V_L2_Tasa)/12,0)*AX$9</f>
        <v>0</v>
      </c>
      <c r="AY221" s="34" t="n">
        <f aca="false">IF((46-N(V_L2_Mes)+1)&gt;=1,IF((46-N(V_L2_Mes)+1)=1,N(V_L2_Monto),AX$223)*N(V_L2_Tasa)/12,0)*AY$9</f>
        <v>0</v>
      </c>
      <c r="AZ221" s="34" t="n">
        <f aca="false">IF((47-N(V_L2_Mes)+1)&gt;=1,IF((47-N(V_L2_Mes)+1)=1,N(V_L2_Monto),AY$223)*N(V_L2_Tasa)/12,0)*AZ$9</f>
        <v>0</v>
      </c>
      <c r="BA221" s="34" t="n">
        <f aca="false">IF((48-N(V_L2_Mes)+1)&gt;=1,IF((48-N(V_L2_Mes)+1)=1,N(V_L2_Monto),AZ$223)*N(V_L2_Tasa)/12,0)*BA$9</f>
        <v>0</v>
      </c>
      <c r="BB221" s="34" t="n">
        <f aca="false">IF((49-N(V_L2_Mes)+1)&gt;=1,IF((49-N(V_L2_Mes)+1)=1,N(V_L2_Monto),BA$223)*N(V_L2_Tasa)/12,0)*BB$9</f>
        <v>0</v>
      </c>
      <c r="BC221" s="34" t="n">
        <f aca="false">IF((50-N(V_L2_Mes)+1)&gt;=1,IF((50-N(V_L2_Mes)+1)=1,N(V_L2_Monto),BB$223)*N(V_L2_Tasa)/12,0)*BC$9</f>
        <v>0</v>
      </c>
      <c r="BD221" s="34" t="n">
        <f aca="false">IF((51-N(V_L2_Mes)+1)&gt;=1,IF((51-N(V_L2_Mes)+1)=1,N(V_L2_Monto),BC$223)*N(V_L2_Tasa)/12,0)*BD$9</f>
        <v>0</v>
      </c>
      <c r="BE221" s="34" t="n">
        <f aca="false">IF((52-N(V_L2_Mes)+1)&gt;=1,IF((52-N(V_L2_Mes)+1)=1,N(V_L2_Monto),BD$223)*N(V_L2_Tasa)/12,0)*BE$9</f>
        <v>0</v>
      </c>
      <c r="BF221" s="34" t="n">
        <f aca="false">IF((53-N(V_L2_Mes)+1)&gt;=1,IF((53-N(V_L2_Mes)+1)=1,N(V_L2_Monto),BE$223)*N(V_L2_Tasa)/12,0)*BF$9</f>
        <v>0</v>
      </c>
      <c r="BG221" s="34" t="n">
        <f aca="false">IF((54-N(V_L2_Mes)+1)&gt;=1,IF((54-N(V_L2_Mes)+1)=1,N(V_L2_Monto),BF$223)*N(V_L2_Tasa)/12,0)*BG$9</f>
        <v>0</v>
      </c>
      <c r="BH221" s="34" t="n">
        <f aca="false">IF((55-N(V_L2_Mes)+1)&gt;=1,IF((55-N(V_L2_Mes)+1)=1,N(V_L2_Monto),BG$223)*N(V_L2_Tasa)/12,0)*BH$9</f>
        <v>0</v>
      </c>
      <c r="BI221" s="34" t="n">
        <f aca="false">IF((56-N(V_L2_Mes)+1)&gt;=1,IF((56-N(V_L2_Mes)+1)=1,N(V_L2_Monto),BH$223)*N(V_L2_Tasa)/12,0)*BI$9</f>
        <v>0</v>
      </c>
      <c r="BJ221" s="34" t="n">
        <f aca="false">IF((57-N(V_L2_Mes)+1)&gt;=1,IF((57-N(V_L2_Mes)+1)=1,N(V_L2_Monto),BI$223)*N(V_L2_Tasa)/12,0)*BJ$9</f>
        <v>0</v>
      </c>
      <c r="BK221" s="34" t="n">
        <f aca="false">IF((58-N(V_L2_Mes)+1)&gt;=1,IF((58-N(V_L2_Mes)+1)=1,N(V_L2_Monto),BJ$223)*N(V_L2_Tasa)/12,0)*BK$9</f>
        <v>0</v>
      </c>
      <c r="BL221" s="34" t="n">
        <f aca="false">IF((59-N(V_L2_Mes)+1)&gt;=1,IF((59-N(V_L2_Mes)+1)=1,N(V_L2_Monto),BK$223)*N(V_L2_Tasa)/12,0)*BL$9</f>
        <v>0</v>
      </c>
      <c r="BM221" s="34" t="n">
        <f aca="false">IF((60-N(V_L2_Mes)+1)&gt;=1,IF((60-N(V_L2_Mes)+1)=1,N(V_L2_Monto),BL$223)*N(V_L2_Tasa)/12,0)*BM$9</f>
        <v>0</v>
      </c>
      <c r="BN221" s="34" t="n">
        <f aca="false">IF((61-N(V_L2_Mes)+1)&gt;=1,IF((61-N(V_L2_Mes)+1)=1,N(V_L2_Monto),BM$223)*N(V_L2_Tasa)/12,0)*BN$9</f>
        <v>0</v>
      </c>
      <c r="BO221" s="34" t="n">
        <f aca="false">IF((62-N(V_L2_Mes)+1)&gt;=1,IF((62-N(V_L2_Mes)+1)=1,N(V_L2_Monto),BN$223)*N(V_L2_Tasa)/12,0)*BO$9</f>
        <v>0</v>
      </c>
      <c r="BP221" s="34" t="n">
        <f aca="false">IF((63-N(V_L2_Mes)+1)&gt;=1,IF((63-N(V_L2_Mes)+1)=1,N(V_L2_Monto),BO$223)*N(V_L2_Tasa)/12,0)*BP$9</f>
        <v>0</v>
      </c>
      <c r="BQ221" s="34" t="n">
        <f aca="false">IF((64-N(V_L2_Mes)+1)&gt;=1,IF((64-N(V_L2_Mes)+1)=1,N(V_L2_Monto),BP$223)*N(V_L2_Tasa)/12,0)*BQ$9</f>
        <v>0</v>
      </c>
      <c r="BR221" s="34" t="n">
        <f aca="false">IF((65-N(V_L2_Mes)+1)&gt;=1,IF((65-N(V_L2_Mes)+1)=1,N(V_L2_Monto),BQ$223)*N(V_L2_Tasa)/12,0)*BR$9</f>
        <v>0</v>
      </c>
      <c r="BS221" s="34" t="n">
        <f aca="false">IF((66-N(V_L2_Mes)+1)&gt;=1,IF((66-N(V_L2_Mes)+1)=1,N(V_L2_Monto),BR$223)*N(V_L2_Tasa)/12,0)*BS$9</f>
        <v>0</v>
      </c>
      <c r="BT221" s="34" t="n">
        <f aca="false">IF((67-N(V_L2_Mes)+1)&gt;=1,IF((67-N(V_L2_Mes)+1)=1,N(V_L2_Monto),BS$223)*N(V_L2_Tasa)/12,0)*BT$9</f>
        <v>0</v>
      </c>
      <c r="BU221" s="34" t="n">
        <f aca="false">IF((68-N(V_L2_Mes)+1)&gt;=1,IF((68-N(V_L2_Mes)+1)=1,N(V_L2_Monto),BT$223)*N(V_L2_Tasa)/12,0)*BU$9</f>
        <v>0</v>
      </c>
      <c r="BV221" s="34" t="n">
        <f aca="false">IF((69-N(V_L2_Mes)+1)&gt;=1,IF((69-N(V_L2_Mes)+1)=1,N(V_L2_Monto),BU$223)*N(V_L2_Tasa)/12,0)*BV$9</f>
        <v>0</v>
      </c>
      <c r="BW221" s="34" t="n">
        <f aca="false">IF((70-N(V_L2_Mes)+1)&gt;=1,IF((70-N(V_L2_Mes)+1)=1,N(V_L2_Monto),BV$223)*N(V_L2_Tasa)/12,0)*BW$9</f>
        <v>0</v>
      </c>
      <c r="BX221" s="34" t="n">
        <f aca="false">IF((71-N(V_L2_Mes)+1)&gt;=1,IF((71-N(V_L2_Mes)+1)=1,N(V_L2_Monto),BW$223)*N(V_L2_Tasa)/12,0)*BX$9</f>
        <v>0</v>
      </c>
      <c r="BY221" s="34" t="n">
        <f aca="false">IF((72-N(V_L2_Mes)+1)&gt;=1,IF((72-N(V_L2_Mes)+1)=1,N(V_L2_Monto),BX$223)*N(V_L2_Tasa)/12,0)*BY$9</f>
        <v>0</v>
      </c>
      <c r="BZ221" s="34" t="n">
        <f aca="false">IF((73-N(V_L2_Mes)+1)&gt;=1,IF((73-N(V_L2_Mes)+1)=1,N(V_L2_Monto),BY$223)*N(V_L2_Tasa)/12,0)*BZ$9</f>
        <v>0</v>
      </c>
      <c r="CA221" s="34" t="n">
        <f aca="false">IF((74-N(V_L2_Mes)+1)&gt;=1,IF((74-N(V_L2_Mes)+1)=1,N(V_L2_Monto),BZ$223)*N(V_L2_Tasa)/12,0)*CA$9</f>
        <v>0</v>
      </c>
      <c r="CB221" s="34" t="n">
        <f aca="false">IF((75-N(V_L2_Mes)+1)&gt;=1,IF((75-N(V_L2_Mes)+1)=1,N(V_L2_Monto),CA$223)*N(V_L2_Tasa)/12,0)*CB$9</f>
        <v>0</v>
      </c>
      <c r="CC221" s="34" t="n">
        <f aca="false">IF((76-N(V_L2_Mes)+1)&gt;=1,IF((76-N(V_L2_Mes)+1)=1,N(V_L2_Monto),CB$223)*N(V_L2_Tasa)/12,0)*CC$9</f>
        <v>0</v>
      </c>
      <c r="CD221" s="34" t="n">
        <f aca="false">IF((77-N(V_L2_Mes)+1)&gt;=1,IF((77-N(V_L2_Mes)+1)=1,N(V_L2_Monto),CC$223)*N(V_L2_Tasa)/12,0)*CD$9</f>
        <v>0</v>
      </c>
      <c r="CE221" s="34" t="n">
        <f aca="false">IF((78-N(V_L2_Mes)+1)&gt;=1,IF((78-N(V_L2_Mes)+1)=1,N(V_L2_Monto),CD$223)*N(V_L2_Tasa)/12,0)*CE$9</f>
        <v>0</v>
      </c>
      <c r="CF221" s="34" t="n">
        <f aca="false">IF((79-N(V_L2_Mes)+1)&gt;=1,IF((79-N(V_L2_Mes)+1)=1,N(V_L2_Monto),CE$223)*N(V_L2_Tasa)/12,0)*CF$9</f>
        <v>0</v>
      </c>
      <c r="CG221" s="34" t="n">
        <f aca="false">IF((80-N(V_L2_Mes)+1)&gt;=1,IF((80-N(V_L2_Mes)+1)=1,N(V_L2_Monto),CF$223)*N(V_L2_Tasa)/12,0)*CG$9</f>
        <v>0</v>
      </c>
      <c r="CH221" s="34" t="n">
        <f aca="false">IF((81-N(V_L2_Mes)+1)&gt;=1,IF((81-N(V_L2_Mes)+1)=1,N(V_L2_Monto),CG$223)*N(V_L2_Tasa)/12,0)*CH$9</f>
        <v>0</v>
      </c>
      <c r="CI221" s="34" t="n">
        <f aca="false">IF((82-N(V_L2_Mes)+1)&gt;=1,IF((82-N(V_L2_Mes)+1)=1,N(V_L2_Monto),CH$223)*N(V_L2_Tasa)/12,0)*CI$9</f>
        <v>0</v>
      </c>
      <c r="CJ221" s="34" t="n">
        <f aca="false">IF((83-N(V_L2_Mes)+1)&gt;=1,IF((83-N(V_L2_Mes)+1)=1,N(V_L2_Monto),CI$223)*N(V_L2_Tasa)/12,0)*CJ$9</f>
        <v>0</v>
      </c>
      <c r="CK221" s="34" t="n">
        <f aca="false">IF((84-N(V_L2_Mes)+1)&gt;=1,IF((84-N(V_L2_Mes)+1)=1,N(V_L2_Monto),CJ$223)*N(V_L2_Tasa)/12,0)*CK$9</f>
        <v>0</v>
      </c>
      <c r="CL221" s="34" t="n">
        <f aca="false">IF((85-N(V_L2_Mes)+1)&gt;=1,IF((85-N(V_L2_Mes)+1)=1,N(V_L2_Monto),CK$223)*N(V_L2_Tasa)/12,0)*CL$9</f>
        <v>0</v>
      </c>
      <c r="CM221" s="34" t="n">
        <f aca="false">IF((86-N(V_L2_Mes)+1)&gt;=1,IF((86-N(V_L2_Mes)+1)=1,N(V_L2_Monto),CL$223)*N(V_L2_Tasa)/12,0)*CM$9</f>
        <v>0</v>
      </c>
      <c r="CN221" s="34" t="n">
        <f aca="false">IF((87-N(V_L2_Mes)+1)&gt;=1,IF((87-N(V_L2_Mes)+1)=1,N(V_L2_Monto),CM$223)*N(V_L2_Tasa)/12,0)*CN$9</f>
        <v>0</v>
      </c>
      <c r="CO221" s="34" t="n">
        <f aca="false">IF((88-N(V_L2_Mes)+1)&gt;=1,IF((88-N(V_L2_Mes)+1)=1,N(V_L2_Monto),CN$223)*N(V_L2_Tasa)/12,0)*CO$9</f>
        <v>0</v>
      </c>
      <c r="CP221" s="34" t="n">
        <f aca="false">IF((89-N(V_L2_Mes)+1)&gt;=1,IF((89-N(V_L2_Mes)+1)=1,N(V_L2_Monto),CO$223)*N(V_L2_Tasa)/12,0)*CP$9</f>
        <v>0</v>
      </c>
      <c r="CQ221" s="34" t="n">
        <f aca="false">IF((90-N(V_L2_Mes)+1)&gt;=1,IF((90-N(V_L2_Mes)+1)=1,N(V_L2_Monto),CP$223)*N(V_L2_Tasa)/12,0)*CQ$9</f>
        <v>0</v>
      </c>
      <c r="CR221" s="34" t="n">
        <f aca="false">IF((91-N(V_L2_Mes)+1)&gt;=1,IF((91-N(V_L2_Mes)+1)=1,N(V_L2_Monto),CQ$223)*N(V_L2_Tasa)/12,0)*CR$9</f>
        <v>0</v>
      </c>
      <c r="CS221" s="34" t="n">
        <f aca="false">IF((92-N(V_L2_Mes)+1)&gt;=1,IF((92-N(V_L2_Mes)+1)=1,N(V_L2_Monto),CR$223)*N(V_L2_Tasa)/12,0)*CS$9</f>
        <v>0</v>
      </c>
      <c r="CT221" s="34" t="n">
        <f aca="false">IF((93-N(V_L2_Mes)+1)&gt;=1,IF((93-N(V_L2_Mes)+1)=1,N(V_L2_Monto),CS$223)*N(V_L2_Tasa)/12,0)*CT$9</f>
        <v>0</v>
      </c>
      <c r="CU221" s="34" t="n">
        <f aca="false">IF((94-N(V_L2_Mes)+1)&gt;=1,IF((94-N(V_L2_Mes)+1)=1,N(V_L2_Monto),CT$223)*N(V_L2_Tasa)/12,0)*CU$9</f>
        <v>0</v>
      </c>
      <c r="CV221" s="34" t="n">
        <f aca="false">IF((95-N(V_L2_Mes)+1)&gt;=1,IF((95-N(V_L2_Mes)+1)=1,N(V_L2_Monto),CU$223)*N(V_L2_Tasa)/12,0)*CV$9</f>
        <v>0</v>
      </c>
      <c r="CW221" s="34" t="n">
        <f aca="false">IF((96-N(V_L2_Mes)+1)&gt;=1,IF((96-N(V_L2_Mes)+1)=1,N(V_L2_Monto),CV$223)*N(V_L2_Tasa)/12,0)*CW$9</f>
        <v>0</v>
      </c>
      <c r="CX221" s="34" t="n">
        <f aca="false">IF((97-N(V_L2_Mes)+1)&gt;=1,IF((97-N(V_L2_Mes)+1)=1,N(V_L2_Monto),CW$223)*N(V_L2_Tasa)/12,0)*CX$9</f>
        <v>0</v>
      </c>
      <c r="CY221" s="34" t="n">
        <f aca="false">IF((98-N(V_L2_Mes)+1)&gt;=1,IF((98-N(V_L2_Mes)+1)=1,N(V_L2_Monto),CX$223)*N(V_L2_Tasa)/12,0)*CY$9</f>
        <v>0</v>
      </c>
      <c r="CZ221" s="34" t="n">
        <f aca="false">IF((99-N(V_L2_Mes)+1)&gt;=1,IF((99-N(V_L2_Mes)+1)=1,N(V_L2_Monto),CY$223)*N(V_L2_Tasa)/12,0)*CZ$9</f>
        <v>0</v>
      </c>
      <c r="DA221" s="34" t="n">
        <f aca="false">IF((100-N(V_L2_Mes)+1)&gt;=1,IF((100-N(V_L2_Mes)+1)=1,N(V_L2_Monto),CZ$223)*N(V_L2_Tasa)/12,0)*DA$9</f>
        <v>0</v>
      </c>
      <c r="DB221" s="34" t="n">
        <f aca="false">IF((101-N(V_L2_Mes)+1)&gt;=1,IF((101-N(V_L2_Mes)+1)=1,N(V_L2_Monto),DA$223)*N(V_L2_Tasa)/12,0)*DB$9</f>
        <v>0</v>
      </c>
      <c r="DC221" s="34" t="n">
        <f aca="false">IF((102-N(V_L2_Mes)+1)&gt;=1,IF((102-N(V_L2_Mes)+1)=1,N(V_L2_Monto),DB$223)*N(V_L2_Tasa)/12,0)*DC$9</f>
        <v>0</v>
      </c>
      <c r="DD221" s="34" t="n">
        <f aca="false">IF((103-N(V_L2_Mes)+1)&gt;=1,IF((103-N(V_L2_Mes)+1)=1,N(V_L2_Monto),DC$223)*N(V_L2_Tasa)/12,0)*DD$9</f>
        <v>0</v>
      </c>
      <c r="DE221" s="34" t="n">
        <f aca="false">IF((104-N(V_L2_Mes)+1)&gt;=1,IF((104-N(V_L2_Mes)+1)=1,N(V_L2_Monto),DD$223)*N(V_L2_Tasa)/12,0)*DE$9</f>
        <v>0</v>
      </c>
      <c r="DF221" s="34" t="n">
        <f aca="false">IF((105-N(V_L2_Mes)+1)&gt;=1,IF((105-N(V_L2_Mes)+1)=1,N(V_L2_Monto),DE$223)*N(V_L2_Tasa)/12,0)*DF$9</f>
        <v>0</v>
      </c>
      <c r="DG221" s="34" t="n">
        <f aca="false">IF((106-N(V_L2_Mes)+1)&gt;=1,IF((106-N(V_L2_Mes)+1)=1,N(V_L2_Monto),DF$223)*N(V_L2_Tasa)/12,0)*DG$9</f>
        <v>0</v>
      </c>
      <c r="DH221" s="34" t="n">
        <f aca="false">IF((107-N(V_L2_Mes)+1)&gt;=1,IF((107-N(V_L2_Mes)+1)=1,N(V_L2_Monto),DG$223)*N(V_L2_Tasa)/12,0)*DH$9</f>
        <v>0</v>
      </c>
      <c r="DI221" s="34" t="n">
        <f aca="false">IF((108-N(V_L2_Mes)+1)&gt;=1,IF((108-N(V_L2_Mes)+1)=1,N(V_L2_Monto),DH$223)*N(V_L2_Tasa)/12,0)*DI$9</f>
        <v>0</v>
      </c>
      <c r="DJ221" s="34" t="n">
        <f aca="false">IF((109-N(V_L2_Mes)+1)&gt;=1,IF((109-N(V_L2_Mes)+1)=1,N(V_L2_Monto),DI$223)*N(V_L2_Tasa)/12,0)*DJ$9</f>
        <v>0</v>
      </c>
      <c r="DK221" s="34" t="n">
        <f aca="false">IF((110-N(V_L2_Mes)+1)&gt;=1,IF((110-N(V_L2_Mes)+1)=1,N(V_L2_Monto),DJ$223)*N(V_L2_Tasa)/12,0)*DK$9</f>
        <v>0</v>
      </c>
      <c r="DL221" s="34" t="n">
        <f aca="false">IF((111-N(V_L2_Mes)+1)&gt;=1,IF((111-N(V_L2_Mes)+1)=1,N(V_L2_Monto),DK$223)*N(V_L2_Tasa)/12,0)*DL$9</f>
        <v>0</v>
      </c>
      <c r="DM221" s="34" t="n">
        <f aca="false">IF((112-N(V_L2_Mes)+1)&gt;=1,IF((112-N(V_L2_Mes)+1)=1,N(V_L2_Monto),DL$223)*N(V_L2_Tasa)/12,0)*DM$9</f>
        <v>0</v>
      </c>
      <c r="DN221" s="34" t="n">
        <f aca="false">IF((113-N(V_L2_Mes)+1)&gt;=1,IF((113-N(V_L2_Mes)+1)=1,N(V_L2_Monto),DM$223)*N(V_L2_Tasa)/12,0)*DN$9</f>
        <v>0</v>
      </c>
      <c r="DO221" s="34" t="n">
        <f aca="false">IF((114-N(V_L2_Mes)+1)&gt;=1,IF((114-N(V_L2_Mes)+1)=1,N(V_L2_Monto),DN$223)*N(V_L2_Tasa)/12,0)*DO$9</f>
        <v>0</v>
      </c>
      <c r="DP221" s="34" t="n">
        <f aca="false">IF((115-N(V_L2_Mes)+1)&gt;=1,IF((115-N(V_L2_Mes)+1)=1,N(V_L2_Monto),DO$223)*N(V_L2_Tasa)/12,0)*DP$9</f>
        <v>0</v>
      </c>
      <c r="DQ221" s="34" t="n">
        <f aca="false">IF((116-N(V_L2_Mes)+1)&gt;=1,IF((116-N(V_L2_Mes)+1)=1,N(V_L2_Monto),DP$223)*N(V_L2_Tasa)/12,0)*DQ$9</f>
        <v>0</v>
      </c>
      <c r="DR221" s="34" t="n">
        <f aca="false">IF((117-N(V_L2_Mes)+1)&gt;=1,IF((117-N(V_L2_Mes)+1)=1,N(V_L2_Monto),DQ$223)*N(V_L2_Tasa)/12,0)*DR$9</f>
        <v>0</v>
      </c>
      <c r="DS221" s="34" t="n">
        <f aca="false">IF((118-N(V_L2_Mes)+1)&gt;=1,IF((118-N(V_L2_Mes)+1)=1,N(V_L2_Monto),DR$223)*N(V_L2_Tasa)/12,0)*DS$9</f>
        <v>0</v>
      </c>
      <c r="DT221" s="34" t="n">
        <f aca="false">IF((119-N(V_L2_Mes)+1)&gt;=1,IF((119-N(V_L2_Mes)+1)=1,N(V_L2_Monto),DS$223)*N(V_L2_Tasa)/12,0)*DT$9</f>
        <v>0</v>
      </c>
      <c r="DU221" s="34" t="n">
        <f aca="false">IF((120-N(V_L2_Mes)+1)&gt;=1,IF((120-N(V_L2_Mes)+1)=1,N(V_L2_Monto),DT$223)*N(V_L2_Tasa)/12,0)*DU$9</f>
        <v>0</v>
      </c>
      <c r="DV221" s="34" t="n">
        <f aca="false">IF((121-N(V_L2_Mes)+1)&gt;=1,IF((121-N(V_L2_Mes)+1)=1,N(V_L2_Monto),DU$223)*N(V_L2_Tasa)/12,0)*DV$9</f>
        <v>0</v>
      </c>
      <c r="DW221" s="34" t="n">
        <f aca="false">IF((122-N(V_L2_Mes)+1)&gt;=1,IF((122-N(V_L2_Mes)+1)=1,N(V_L2_Monto),DV$223)*N(V_L2_Tasa)/12,0)*DW$9</f>
        <v>0</v>
      </c>
      <c r="DX221" s="34" t="n">
        <f aca="false">IF((123-N(V_L2_Mes)+1)&gt;=1,IF((123-N(V_L2_Mes)+1)=1,N(V_L2_Monto),DW$223)*N(V_L2_Tasa)/12,0)*DX$9</f>
        <v>0</v>
      </c>
      <c r="DY221" s="34" t="n">
        <f aca="false">IF((124-N(V_L2_Mes)+1)&gt;=1,IF((124-N(V_L2_Mes)+1)=1,N(V_L2_Monto),DX$223)*N(V_L2_Tasa)/12,0)*DY$9</f>
        <v>0</v>
      </c>
      <c r="DZ221" s="34" t="n">
        <f aca="false">IF((125-N(V_L2_Mes)+1)&gt;=1,IF((125-N(V_L2_Mes)+1)=1,N(V_L2_Monto),DY$223)*N(V_L2_Tasa)/12,0)*DZ$9</f>
        <v>0</v>
      </c>
      <c r="EA221" s="34" t="n">
        <f aca="false">IF((126-N(V_L2_Mes)+1)&gt;=1,IF((126-N(V_L2_Mes)+1)=1,N(V_L2_Monto),DZ$223)*N(V_L2_Tasa)/12,0)*EA$9</f>
        <v>0</v>
      </c>
      <c r="EB221" s="34" t="n">
        <f aca="false">IF((127-N(V_L2_Mes)+1)&gt;=1,IF((127-N(V_L2_Mes)+1)=1,N(V_L2_Monto),EA$223)*N(V_L2_Tasa)/12,0)*EB$9</f>
        <v>0</v>
      </c>
      <c r="EC221" s="34" t="n">
        <f aca="false">IF((128-N(V_L2_Mes)+1)&gt;=1,IF((128-N(V_L2_Mes)+1)=1,N(V_L2_Monto),EB$223)*N(V_L2_Tasa)/12,0)*EC$9</f>
        <v>0</v>
      </c>
      <c r="ED221" s="34" t="n">
        <f aca="false">IF((129-N(V_L2_Mes)+1)&gt;=1,IF((129-N(V_L2_Mes)+1)=1,N(V_L2_Monto),EC$223)*N(V_L2_Tasa)/12,0)*ED$9</f>
        <v>0</v>
      </c>
      <c r="EE221" s="34" t="n">
        <f aca="false">IF((130-N(V_L2_Mes)+1)&gt;=1,IF((130-N(V_L2_Mes)+1)=1,N(V_L2_Monto),ED$223)*N(V_L2_Tasa)/12,0)*EE$9</f>
        <v>0</v>
      </c>
      <c r="EF221" s="34" t="n">
        <f aca="false">IF((131-N(V_L2_Mes)+1)&gt;=1,IF((131-N(V_L2_Mes)+1)=1,N(V_L2_Monto),EE$223)*N(V_L2_Tasa)/12,0)*EF$9</f>
        <v>0</v>
      </c>
      <c r="EG221" s="34" t="n">
        <f aca="false">IF((132-N(V_L2_Mes)+1)&gt;=1,IF((132-N(V_L2_Mes)+1)=1,N(V_L2_Monto),EF$223)*N(V_L2_Tasa)/12,0)*EG$9</f>
        <v>0</v>
      </c>
      <c r="EH221" s="34" t="n">
        <f aca="false">IF((133-N(V_L2_Mes)+1)&gt;=1,IF((133-N(V_L2_Mes)+1)=1,N(V_L2_Monto),EG$223)*N(V_L2_Tasa)/12,0)*EH$9</f>
        <v>0</v>
      </c>
      <c r="EI221" s="34" t="n">
        <f aca="false">IF((134-N(V_L2_Mes)+1)&gt;=1,IF((134-N(V_L2_Mes)+1)=1,N(V_L2_Monto),EH$223)*N(V_L2_Tasa)/12,0)*EI$9</f>
        <v>0</v>
      </c>
      <c r="EJ221" s="34" t="n">
        <f aca="false">IF((135-N(V_L2_Mes)+1)&gt;=1,IF((135-N(V_L2_Mes)+1)=1,N(V_L2_Monto),EI$223)*N(V_L2_Tasa)/12,0)*EJ$9</f>
        <v>0</v>
      </c>
      <c r="EK221" s="34" t="n">
        <f aca="false">IF((136-N(V_L2_Mes)+1)&gt;=1,IF((136-N(V_L2_Mes)+1)=1,N(V_L2_Monto),EJ$223)*N(V_L2_Tasa)/12,0)*EK$9</f>
        <v>0</v>
      </c>
      <c r="EL221" s="34" t="n">
        <f aca="false">IF((137-N(V_L2_Mes)+1)&gt;=1,IF((137-N(V_L2_Mes)+1)=1,N(V_L2_Monto),EK$223)*N(V_L2_Tasa)/12,0)*EL$9</f>
        <v>0</v>
      </c>
      <c r="EM221" s="34" t="n">
        <f aca="false">IF((138-N(V_L2_Mes)+1)&gt;=1,IF((138-N(V_L2_Mes)+1)=1,N(V_L2_Monto),EL$223)*N(V_L2_Tasa)/12,0)*EM$9</f>
        <v>0</v>
      </c>
      <c r="EN221" s="34" t="n">
        <f aca="false">IF((139-N(V_L2_Mes)+1)&gt;=1,IF((139-N(V_L2_Mes)+1)=1,N(V_L2_Monto),EM$223)*N(V_L2_Tasa)/12,0)*EN$9</f>
        <v>0</v>
      </c>
      <c r="EO221" s="34" t="n">
        <f aca="false">IF((140-N(V_L2_Mes)+1)&gt;=1,IF((140-N(V_L2_Mes)+1)=1,N(V_L2_Monto),EN$223)*N(V_L2_Tasa)/12,0)*EO$9</f>
        <v>0</v>
      </c>
      <c r="EP221" s="34" t="n">
        <f aca="false">IF((141-N(V_L2_Mes)+1)&gt;=1,IF((141-N(V_L2_Mes)+1)=1,N(V_L2_Monto),EO$223)*N(V_L2_Tasa)/12,0)*EP$9</f>
        <v>0</v>
      </c>
      <c r="EQ221" s="34" t="n">
        <f aca="false">IF((142-N(V_L2_Mes)+1)&gt;=1,IF((142-N(V_L2_Mes)+1)=1,N(V_L2_Monto),EP$223)*N(V_L2_Tasa)/12,0)*EQ$9</f>
        <v>0</v>
      </c>
      <c r="ER221" s="34" t="n">
        <f aca="false">IF((143-N(V_L2_Mes)+1)&gt;=1,IF((143-N(V_L2_Mes)+1)=1,N(V_L2_Monto),EQ$223)*N(V_L2_Tasa)/12,0)*ER$9</f>
        <v>0</v>
      </c>
      <c r="ES221" s="34" t="n">
        <f aca="false">IF((144-N(V_L2_Mes)+1)&gt;=1,IF((144-N(V_L2_Mes)+1)=1,N(V_L2_Monto),ER$223)*N(V_L2_Tasa)/12,0)*ES$9</f>
        <v>0</v>
      </c>
    </row>
    <row r="222" customFormat="false" ht="15" hidden="false" customHeight="false" outlineLevel="0" collapsed="false">
      <c r="A222" s="2" t="s">
        <v>696</v>
      </c>
      <c r="B222" s="6" t="s">
        <v>564</v>
      </c>
      <c r="C222" s="6" t="s">
        <v>212</v>
      </c>
      <c r="E222" s="40" t="n">
        <f aca="false">SUM(F222:ES222)</f>
        <v>0</v>
      </c>
      <c r="F222" s="34" t="n">
        <f aca="false">IF(AND((1-N(V_L2_Mes)+1)&gt;N(V_L2_Gracia),(1-N(V_L2_Mes)+1)&lt;=N(V_L2_Gracia)+N(V_L2_Cuotas),N(V_L2_Cuotas)&gt;0),IF((1-N(V_L2_Mes)+1)=N(V_L2_Gracia)+N(V_L2_Cuotas),IF((1-N(V_L2_Mes)+1)=1,N(V_L2_Monto),0),PMT(N(V_L2_Tasa)/12,N(V_L2_Cuotas),-N(V_L2_Monto))-F$221),0)*F$9</f>
        <v>0</v>
      </c>
      <c r="G222" s="34" t="n">
        <f aca="false">IF(AND((2-N(V_L2_Mes)+1)&gt;N(V_L2_Gracia),(2-N(V_L2_Mes)+1)&lt;=N(V_L2_Gracia)+N(V_L2_Cuotas),N(V_L2_Cuotas)&gt;0),IF((2-N(V_L2_Mes)+1)=N(V_L2_Gracia)+N(V_L2_Cuotas),IF((2-N(V_L2_Mes)+1)=1,N(V_L2_Monto),F$223),PMT(N(V_L2_Tasa)/12,N(V_L2_Cuotas),-N(V_L2_Monto))-G$221),0)*G$9</f>
        <v>0</v>
      </c>
      <c r="H222" s="34" t="n">
        <f aca="false">IF(AND((3-N(V_L2_Mes)+1)&gt;N(V_L2_Gracia),(3-N(V_L2_Mes)+1)&lt;=N(V_L2_Gracia)+N(V_L2_Cuotas),N(V_L2_Cuotas)&gt;0),IF((3-N(V_L2_Mes)+1)=N(V_L2_Gracia)+N(V_L2_Cuotas),IF((3-N(V_L2_Mes)+1)=1,N(V_L2_Monto),G$223),PMT(N(V_L2_Tasa)/12,N(V_L2_Cuotas),-N(V_L2_Monto))-H$221),0)*H$9</f>
        <v>0</v>
      </c>
      <c r="I222" s="34" t="n">
        <f aca="false">IF(AND((4-N(V_L2_Mes)+1)&gt;N(V_L2_Gracia),(4-N(V_L2_Mes)+1)&lt;=N(V_L2_Gracia)+N(V_L2_Cuotas),N(V_L2_Cuotas)&gt;0),IF((4-N(V_L2_Mes)+1)=N(V_L2_Gracia)+N(V_L2_Cuotas),IF((4-N(V_L2_Mes)+1)=1,N(V_L2_Monto),H$223),PMT(N(V_L2_Tasa)/12,N(V_L2_Cuotas),-N(V_L2_Monto))-I$221),0)*I$9</f>
        <v>0</v>
      </c>
      <c r="J222" s="34" t="n">
        <f aca="false">IF(AND((5-N(V_L2_Mes)+1)&gt;N(V_L2_Gracia),(5-N(V_L2_Mes)+1)&lt;=N(V_L2_Gracia)+N(V_L2_Cuotas),N(V_L2_Cuotas)&gt;0),IF((5-N(V_L2_Mes)+1)=N(V_L2_Gracia)+N(V_L2_Cuotas),IF((5-N(V_L2_Mes)+1)=1,N(V_L2_Monto),I$223),PMT(N(V_L2_Tasa)/12,N(V_L2_Cuotas),-N(V_L2_Monto))-J$221),0)*J$9</f>
        <v>0</v>
      </c>
      <c r="K222" s="34" t="n">
        <f aca="false">IF(AND((6-N(V_L2_Mes)+1)&gt;N(V_L2_Gracia),(6-N(V_L2_Mes)+1)&lt;=N(V_L2_Gracia)+N(V_L2_Cuotas),N(V_L2_Cuotas)&gt;0),IF((6-N(V_L2_Mes)+1)=N(V_L2_Gracia)+N(V_L2_Cuotas),IF((6-N(V_L2_Mes)+1)=1,N(V_L2_Monto),J$223),PMT(N(V_L2_Tasa)/12,N(V_L2_Cuotas),-N(V_L2_Monto))-K$221),0)*K$9</f>
        <v>0</v>
      </c>
      <c r="L222" s="34" t="n">
        <f aca="false">IF(AND((7-N(V_L2_Mes)+1)&gt;N(V_L2_Gracia),(7-N(V_L2_Mes)+1)&lt;=N(V_L2_Gracia)+N(V_L2_Cuotas),N(V_L2_Cuotas)&gt;0),IF((7-N(V_L2_Mes)+1)=N(V_L2_Gracia)+N(V_L2_Cuotas),IF((7-N(V_L2_Mes)+1)=1,N(V_L2_Monto),K$223),PMT(N(V_L2_Tasa)/12,N(V_L2_Cuotas),-N(V_L2_Monto))-L$221),0)*L$9</f>
        <v>0</v>
      </c>
      <c r="M222" s="34" t="n">
        <f aca="false">IF(AND((8-N(V_L2_Mes)+1)&gt;N(V_L2_Gracia),(8-N(V_L2_Mes)+1)&lt;=N(V_L2_Gracia)+N(V_L2_Cuotas),N(V_L2_Cuotas)&gt;0),IF((8-N(V_L2_Mes)+1)=N(V_L2_Gracia)+N(V_L2_Cuotas),IF((8-N(V_L2_Mes)+1)=1,N(V_L2_Monto),L$223),PMT(N(V_L2_Tasa)/12,N(V_L2_Cuotas),-N(V_L2_Monto))-M$221),0)*M$9</f>
        <v>0</v>
      </c>
      <c r="N222" s="34" t="n">
        <f aca="false">IF(AND((9-N(V_L2_Mes)+1)&gt;N(V_L2_Gracia),(9-N(V_L2_Mes)+1)&lt;=N(V_L2_Gracia)+N(V_L2_Cuotas),N(V_L2_Cuotas)&gt;0),IF((9-N(V_L2_Mes)+1)=N(V_L2_Gracia)+N(V_L2_Cuotas),IF((9-N(V_L2_Mes)+1)=1,N(V_L2_Monto),M$223),PMT(N(V_L2_Tasa)/12,N(V_L2_Cuotas),-N(V_L2_Monto))-N$221),0)*N$9</f>
        <v>0</v>
      </c>
      <c r="O222" s="34" t="n">
        <f aca="false">IF(AND((10-N(V_L2_Mes)+1)&gt;N(V_L2_Gracia),(10-N(V_L2_Mes)+1)&lt;=N(V_L2_Gracia)+N(V_L2_Cuotas),N(V_L2_Cuotas)&gt;0),IF((10-N(V_L2_Mes)+1)=N(V_L2_Gracia)+N(V_L2_Cuotas),IF((10-N(V_L2_Mes)+1)=1,N(V_L2_Monto),N$223),PMT(N(V_L2_Tasa)/12,N(V_L2_Cuotas),-N(V_L2_Monto))-O$221),0)*O$9</f>
        <v>0</v>
      </c>
      <c r="P222" s="34" t="n">
        <f aca="false">IF(AND((11-N(V_L2_Mes)+1)&gt;N(V_L2_Gracia),(11-N(V_L2_Mes)+1)&lt;=N(V_L2_Gracia)+N(V_L2_Cuotas),N(V_L2_Cuotas)&gt;0),IF((11-N(V_L2_Mes)+1)=N(V_L2_Gracia)+N(V_L2_Cuotas),IF((11-N(V_L2_Mes)+1)=1,N(V_L2_Monto),O$223),PMT(N(V_L2_Tasa)/12,N(V_L2_Cuotas),-N(V_L2_Monto))-P$221),0)*P$9</f>
        <v>0</v>
      </c>
      <c r="Q222" s="34" t="n">
        <f aca="false">IF(AND((12-N(V_L2_Mes)+1)&gt;N(V_L2_Gracia),(12-N(V_L2_Mes)+1)&lt;=N(V_L2_Gracia)+N(V_L2_Cuotas),N(V_L2_Cuotas)&gt;0),IF((12-N(V_L2_Mes)+1)=N(V_L2_Gracia)+N(V_L2_Cuotas),IF((12-N(V_L2_Mes)+1)=1,N(V_L2_Monto),P$223),PMT(N(V_L2_Tasa)/12,N(V_L2_Cuotas),-N(V_L2_Monto))-Q$221),0)*Q$9</f>
        <v>0</v>
      </c>
      <c r="R222" s="34" t="n">
        <f aca="false">IF(AND((13-N(V_L2_Mes)+1)&gt;N(V_L2_Gracia),(13-N(V_L2_Mes)+1)&lt;=N(V_L2_Gracia)+N(V_L2_Cuotas),N(V_L2_Cuotas)&gt;0),IF((13-N(V_L2_Mes)+1)=N(V_L2_Gracia)+N(V_L2_Cuotas),IF((13-N(V_L2_Mes)+1)=1,N(V_L2_Monto),Q$223),PMT(N(V_L2_Tasa)/12,N(V_L2_Cuotas),-N(V_L2_Monto))-R$221),0)*R$9</f>
        <v>0</v>
      </c>
      <c r="S222" s="34" t="n">
        <f aca="false">IF(AND((14-N(V_L2_Mes)+1)&gt;N(V_L2_Gracia),(14-N(V_L2_Mes)+1)&lt;=N(V_L2_Gracia)+N(V_L2_Cuotas),N(V_L2_Cuotas)&gt;0),IF((14-N(V_L2_Mes)+1)=N(V_L2_Gracia)+N(V_L2_Cuotas),IF((14-N(V_L2_Mes)+1)=1,N(V_L2_Monto),R$223),PMT(N(V_L2_Tasa)/12,N(V_L2_Cuotas),-N(V_L2_Monto))-S$221),0)*S$9</f>
        <v>0</v>
      </c>
      <c r="T222" s="34" t="n">
        <f aca="false">IF(AND((15-N(V_L2_Mes)+1)&gt;N(V_L2_Gracia),(15-N(V_L2_Mes)+1)&lt;=N(V_L2_Gracia)+N(V_L2_Cuotas),N(V_L2_Cuotas)&gt;0),IF((15-N(V_L2_Mes)+1)=N(V_L2_Gracia)+N(V_L2_Cuotas),IF((15-N(V_L2_Mes)+1)=1,N(V_L2_Monto),S$223),PMT(N(V_L2_Tasa)/12,N(V_L2_Cuotas),-N(V_L2_Monto))-T$221),0)*T$9</f>
        <v>0</v>
      </c>
      <c r="U222" s="34" t="n">
        <f aca="false">IF(AND((16-N(V_L2_Mes)+1)&gt;N(V_L2_Gracia),(16-N(V_L2_Mes)+1)&lt;=N(V_L2_Gracia)+N(V_L2_Cuotas),N(V_L2_Cuotas)&gt;0),IF((16-N(V_L2_Mes)+1)=N(V_L2_Gracia)+N(V_L2_Cuotas),IF((16-N(V_L2_Mes)+1)=1,N(V_L2_Monto),T$223),PMT(N(V_L2_Tasa)/12,N(V_L2_Cuotas),-N(V_L2_Monto))-U$221),0)*U$9</f>
        <v>0</v>
      </c>
      <c r="V222" s="34" t="n">
        <f aca="false">IF(AND((17-N(V_L2_Mes)+1)&gt;N(V_L2_Gracia),(17-N(V_L2_Mes)+1)&lt;=N(V_L2_Gracia)+N(V_L2_Cuotas),N(V_L2_Cuotas)&gt;0),IF((17-N(V_L2_Mes)+1)=N(V_L2_Gracia)+N(V_L2_Cuotas),IF((17-N(V_L2_Mes)+1)=1,N(V_L2_Monto),U$223),PMT(N(V_L2_Tasa)/12,N(V_L2_Cuotas),-N(V_L2_Monto))-V$221),0)*V$9</f>
        <v>0</v>
      </c>
      <c r="W222" s="34" t="n">
        <f aca="false">IF(AND((18-N(V_L2_Mes)+1)&gt;N(V_L2_Gracia),(18-N(V_L2_Mes)+1)&lt;=N(V_L2_Gracia)+N(V_L2_Cuotas),N(V_L2_Cuotas)&gt;0),IF((18-N(V_L2_Mes)+1)=N(V_L2_Gracia)+N(V_L2_Cuotas),IF((18-N(V_L2_Mes)+1)=1,N(V_L2_Monto),V$223),PMT(N(V_L2_Tasa)/12,N(V_L2_Cuotas),-N(V_L2_Monto))-W$221),0)*W$9</f>
        <v>0</v>
      </c>
      <c r="X222" s="34" t="n">
        <f aca="false">IF(AND((19-N(V_L2_Mes)+1)&gt;N(V_L2_Gracia),(19-N(V_L2_Mes)+1)&lt;=N(V_L2_Gracia)+N(V_L2_Cuotas),N(V_L2_Cuotas)&gt;0),IF((19-N(V_L2_Mes)+1)=N(V_L2_Gracia)+N(V_L2_Cuotas),IF((19-N(V_L2_Mes)+1)=1,N(V_L2_Monto),W$223),PMT(N(V_L2_Tasa)/12,N(V_L2_Cuotas),-N(V_L2_Monto))-X$221),0)*X$9</f>
        <v>0</v>
      </c>
      <c r="Y222" s="34" t="n">
        <f aca="false">IF(AND((20-N(V_L2_Mes)+1)&gt;N(V_L2_Gracia),(20-N(V_L2_Mes)+1)&lt;=N(V_L2_Gracia)+N(V_L2_Cuotas),N(V_L2_Cuotas)&gt;0),IF((20-N(V_L2_Mes)+1)=N(V_L2_Gracia)+N(V_L2_Cuotas),IF((20-N(V_L2_Mes)+1)=1,N(V_L2_Monto),X$223),PMT(N(V_L2_Tasa)/12,N(V_L2_Cuotas),-N(V_L2_Monto))-Y$221),0)*Y$9</f>
        <v>0</v>
      </c>
      <c r="Z222" s="34" t="n">
        <f aca="false">IF(AND((21-N(V_L2_Mes)+1)&gt;N(V_L2_Gracia),(21-N(V_L2_Mes)+1)&lt;=N(V_L2_Gracia)+N(V_L2_Cuotas),N(V_L2_Cuotas)&gt;0),IF((21-N(V_L2_Mes)+1)=N(V_L2_Gracia)+N(V_L2_Cuotas),IF((21-N(V_L2_Mes)+1)=1,N(V_L2_Monto),Y$223),PMT(N(V_L2_Tasa)/12,N(V_L2_Cuotas),-N(V_L2_Monto))-Z$221),0)*Z$9</f>
        <v>0</v>
      </c>
      <c r="AA222" s="34" t="n">
        <f aca="false">IF(AND((22-N(V_L2_Mes)+1)&gt;N(V_L2_Gracia),(22-N(V_L2_Mes)+1)&lt;=N(V_L2_Gracia)+N(V_L2_Cuotas),N(V_L2_Cuotas)&gt;0),IF((22-N(V_L2_Mes)+1)=N(V_L2_Gracia)+N(V_L2_Cuotas),IF((22-N(V_L2_Mes)+1)=1,N(V_L2_Monto),Z$223),PMT(N(V_L2_Tasa)/12,N(V_L2_Cuotas),-N(V_L2_Monto))-AA$221),0)*AA$9</f>
        <v>0</v>
      </c>
      <c r="AB222" s="34" t="n">
        <f aca="false">IF(AND((23-N(V_L2_Mes)+1)&gt;N(V_L2_Gracia),(23-N(V_L2_Mes)+1)&lt;=N(V_L2_Gracia)+N(V_L2_Cuotas),N(V_L2_Cuotas)&gt;0),IF((23-N(V_L2_Mes)+1)=N(V_L2_Gracia)+N(V_L2_Cuotas),IF((23-N(V_L2_Mes)+1)=1,N(V_L2_Monto),AA$223),PMT(N(V_L2_Tasa)/12,N(V_L2_Cuotas),-N(V_L2_Monto))-AB$221),0)*AB$9</f>
        <v>0</v>
      </c>
      <c r="AC222" s="34" t="n">
        <f aca="false">IF(AND((24-N(V_L2_Mes)+1)&gt;N(V_L2_Gracia),(24-N(V_L2_Mes)+1)&lt;=N(V_L2_Gracia)+N(V_L2_Cuotas),N(V_L2_Cuotas)&gt;0),IF((24-N(V_L2_Mes)+1)=N(V_L2_Gracia)+N(V_L2_Cuotas),IF((24-N(V_L2_Mes)+1)=1,N(V_L2_Monto),AB$223),PMT(N(V_L2_Tasa)/12,N(V_L2_Cuotas),-N(V_L2_Monto))-AC$221),0)*AC$9</f>
        <v>0</v>
      </c>
      <c r="AD222" s="34" t="n">
        <f aca="false">IF(AND((25-N(V_L2_Mes)+1)&gt;N(V_L2_Gracia),(25-N(V_L2_Mes)+1)&lt;=N(V_L2_Gracia)+N(V_L2_Cuotas),N(V_L2_Cuotas)&gt;0),IF((25-N(V_L2_Mes)+1)=N(V_L2_Gracia)+N(V_L2_Cuotas),IF((25-N(V_L2_Mes)+1)=1,N(V_L2_Monto),AC$223),PMT(N(V_L2_Tasa)/12,N(V_L2_Cuotas),-N(V_L2_Monto))-AD$221),0)*AD$9</f>
        <v>0</v>
      </c>
      <c r="AE222" s="34" t="n">
        <f aca="false">IF(AND((26-N(V_L2_Mes)+1)&gt;N(V_L2_Gracia),(26-N(V_L2_Mes)+1)&lt;=N(V_L2_Gracia)+N(V_L2_Cuotas),N(V_L2_Cuotas)&gt;0),IF((26-N(V_L2_Mes)+1)=N(V_L2_Gracia)+N(V_L2_Cuotas),IF((26-N(V_L2_Mes)+1)=1,N(V_L2_Monto),AD$223),PMT(N(V_L2_Tasa)/12,N(V_L2_Cuotas),-N(V_L2_Monto))-AE$221),0)*AE$9</f>
        <v>0</v>
      </c>
      <c r="AF222" s="34" t="n">
        <f aca="false">IF(AND((27-N(V_L2_Mes)+1)&gt;N(V_L2_Gracia),(27-N(V_L2_Mes)+1)&lt;=N(V_L2_Gracia)+N(V_L2_Cuotas),N(V_L2_Cuotas)&gt;0),IF((27-N(V_L2_Mes)+1)=N(V_L2_Gracia)+N(V_L2_Cuotas),IF((27-N(V_L2_Mes)+1)=1,N(V_L2_Monto),AE$223),PMT(N(V_L2_Tasa)/12,N(V_L2_Cuotas),-N(V_L2_Monto))-AF$221),0)*AF$9</f>
        <v>0</v>
      </c>
      <c r="AG222" s="34" t="n">
        <f aca="false">IF(AND((28-N(V_L2_Mes)+1)&gt;N(V_L2_Gracia),(28-N(V_L2_Mes)+1)&lt;=N(V_L2_Gracia)+N(V_L2_Cuotas),N(V_L2_Cuotas)&gt;0),IF((28-N(V_L2_Mes)+1)=N(V_L2_Gracia)+N(V_L2_Cuotas),IF((28-N(V_L2_Mes)+1)=1,N(V_L2_Monto),AF$223),PMT(N(V_L2_Tasa)/12,N(V_L2_Cuotas),-N(V_L2_Monto))-AG$221),0)*AG$9</f>
        <v>0</v>
      </c>
      <c r="AH222" s="34" t="n">
        <f aca="false">IF(AND((29-N(V_L2_Mes)+1)&gt;N(V_L2_Gracia),(29-N(V_L2_Mes)+1)&lt;=N(V_L2_Gracia)+N(V_L2_Cuotas),N(V_L2_Cuotas)&gt;0),IF((29-N(V_L2_Mes)+1)=N(V_L2_Gracia)+N(V_L2_Cuotas),IF((29-N(V_L2_Mes)+1)=1,N(V_L2_Monto),AG$223),PMT(N(V_L2_Tasa)/12,N(V_L2_Cuotas),-N(V_L2_Monto))-AH$221),0)*AH$9</f>
        <v>0</v>
      </c>
      <c r="AI222" s="34" t="n">
        <f aca="false">IF(AND((30-N(V_L2_Mes)+1)&gt;N(V_L2_Gracia),(30-N(V_L2_Mes)+1)&lt;=N(V_L2_Gracia)+N(V_L2_Cuotas),N(V_L2_Cuotas)&gt;0),IF((30-N(V_L2_Mes)+1)=N(V_L2_Gracia)+N(V_L2_Cuotas),IF((30-N(V_L2_Mes)+1)=1,N(V_L2_Monto),AH$223),PMT(N(V_L2_Tasa)/12,N(V_L2_Cuotas),-N(V_L2_Monto))-AI$221),0)*AI$9</f>
        <v>0</v>
      </c>
      <c r="AJ222" s="34" t="n">
        <f aca="false">IF(AND((31-N(V_L2_Mes)+1)&gt;N(V_L2_Gracia),(31-N(V_L2_Mes)+1)&lt;=N(V_L2_Gracia)+N(V_L2_Cuotas),N(V_L2_Cuotas)&gt;0),IF((31-N(V_L2_Mes)+1)=N(V_L2_Gracia)+N(V_L2_Cuotas),IF((31-N(V_L2_Mes)+1)=1,N(V_L2_Monto),AI$223),PMT(N(V_L2_Tasa)/12,N(V_L2_Cuotas),-N(V_L2_Monto))-AJ$221),0)*AJ$9</f>
        <v>0</v>
      </c>
      <c r="AK222" s="34" t="n">
        <f aca="false">IF(AND((32-N(V_L2_Mes)+1)&gt;N(V_L2_Gracia),(32-N(V_L2_Mes)+1)&lt;=N(V_L2_Gracia)+N(V_L2_Cuotas),N(V_L2_Cuotas)&gt;0),IF((32-N(V_L2_Mes)+1)=N(V_L2_Gracia)+N(V_L2_Cuotas),IF((32-N(V_L2_Mes)+1)=1,N(V_L2_Monto),AJ$223),PMT(N(V_L2_Tasa)/12,N(V_L2_Cuotas),-N(V_L2_Monto))-AK$221),0)*AK$9</f>
        <v>0</v>
      </c>
      <c r="AL222" s="34" t="n">
        <f aca="false">IF(AND((33-N(V_L2_Mes)+1)&gt;N(V_L2_Gracia),(33-N(V_L2_Mes)+1)&lt;=N(V_L2_Gracia)+N(V_L2_Cuotas),N(V_L2_Cuotas)&gt;0),IF((33-N(V_L2_Mes)+1)=N(V_L2_Gracia)+N(V_L2_Cuotas),IF((33-N(V_L2_Mes)+1)=1,N(V_L2_Monto),AK$223),PMT(N(V_L2_Tasa)/12,N(V_L2_Cuotas),-N(V_L2_Monto))-AL$221),0)*AL$9</f>
        <v>0</v>
      </c>
      <c r="AM222" s="34" t="n">
        <f aca="false">IF(AND((34-N(V_L2_Mes)+1)&gt;N(V_L2_Gracia),(34-N(V_L2_Mes)+1)&lt;=N(V_L2_Gracia)+N(V_L2_Cuotas),N(V_L2_Cuotas)&gt;0),IF((34-N(V_L2_Mes)+1)=N(V_L2_Gracia)+N(V_L2_Cuotas),IF((34-N(V_L2_Mes)+1)=1,N(V_L2_Monto),AL$223),PMT(N(V_L2_Tasa)/12,N(V_L2_Cuotas),-N(V_L2_Monto))-AM$221),0)*AM$9</f>
        <v>0</v>
      </c>
      <c r="AN222" s="34" t="n">
        <f aca="false">IF(AND((35-N(V_L2_Mes)+1)&gt;N(V_L2_Gracia),(35-N(V_L2_Mes)+1)&lt;=N(V_L2_Gracia)+N(V_L2_Cuotas),N(V_L2_Cuotas)&gt;0),IF((35-N(V_L2_Mes)+1)=N(V_L2_Gracia)+N(V_L2_Cuotas),IF((35-N(V_L2_Mes)+1)=1,N(V_L2_Monto),AM$223),PMT(N(V_L2_Tasa)/12,N(V_L2_Cuotas),-N(V_L2_Monto))-AN$221),0)*AN$9</f>
        <v>0</v>
      </c>
      <c r="AO222" s="34" t="n">
        <f aca="false">IF(AND((36-N(V_L2_Mes)+1)&gt;N(V_L2_Gracia),(36-N(V_L2_Mes)+1)&lt;=N(V_L2_Gracia)+N(V_L2_Cuotas),N(V_L2_Cuotas)&gt;0),IF((36-N(V_L2_Mes)+1)=N(V_L2_Gracia)+N(V_L2_Cuotas),IF((36-N(V_L2_Mes)+1)=1,N(V_L2_Monto),AN$223),PMT(N(V_L2_Tasa)/12,N(V_L2_Cuotas),-N(V_L2_Monto))-AO$221),0)*AO$9</f>
        <v>0</v>
      </c>
      <c r="AP222" s="34" t="n">
        <f aca="false">IF(AND((37-N(V_L2_Mes)+1)&gt;N(V_L2_Gracia),(37-N(V_L2_Mes)+1)&lt;=N(V_L2_Gracia)+N(V_L2_Cuotas),N(V_L2_Cuotas)&gt;0),IF((37-N(V_L2_Mes)+1)=N(V_L2_Gracia)+N(V_L2_Cuotas),IF((37-N(V_L2_Mes)+1)=1,N(V_L2_Monto),AO$223),PMT(N(V_L2_Tasa)/12,N(V_L2_Cuotas),-N(V_L2_Monto))-AP$221),0)*AP$9</f>
        <v>0</v>
      </c>
      <c r="AQ222" s="34" t="n">
        <f aca="false">IF(AND((38-N(V_L2_Mes)+1)&gt;N(V_L2_Gracia),(38-N(V_L2_Mes)+1)&lt;=N(V_L2_Gracia)+N(V_L2_Cuotas),N(V_L2_Cuotas)&gt;0),IF((38-N(V_L2_Mes)+1)=N(V_L2_Gracia)+N(V_L2_Cuotas),IF((38-N(V_L2_Mes)+1)=1,N(V_L2_Monto),AP$223),PMT(N(V_L2_Tasa)/12,N(V_L2_Cuotas),-N(V_L2_Monto))-AQ$221),0)*AQ$9</f>
        <v>0</v>
      </c>
      <c r="AR222" s="34" t="n">
        <f aca="false">IF(AND((39-N(V_L2_Mes)+1)&gt;N(V_L2_Gracia),(39-N(V_L2_Mes)+1)&lt;=N(V_L2_Gracia)+N(V_L2_Cuotas),N(V_L2_Cuotas)&gt;0),IF((39-N(V_L2_Mes)+1)=N(V_L2_Gracia)+N(V_L2_Cuotas),IF((39-N(V_L2_Mes)+1)=1,N(V_L2_Monto),AQ$223),PMT(N(V_L2_Tasa)/12,N(V_L2_Cuotas),-N(V_L2_Monto))-AR$221),0)*AR$9</f>
        <v>0</v>
      </c>
      <c r="AS222" s="34" t="n">
        <f aca="false">IF(AND((40-N(V_L2_Mes)+1)&gt;N(V_L2_Gracia),(40-N(V_L2_Mes)+1)&lt;=N(V_L2_Gracia)+N(V_L2_Cuotas),N(V_L2_Cuotas)&gt;0),IF((40-N(V_L2_Mes)+1)=N(V_L2_Gracia)+N(V_L2_Cuotas),IF((40-N(V_L2_Mes)+1)=1,N(V_L2_Monto),AR$223),PMT(N(V_L2_Tasa)/12,N(V_L2_Cuotas),-N(V_L2_Monto))-AS$221),0)*AS$9</f>
        <v>0</v>
      </c>
      <c r="AT222" s="34" t="n">
        <f aca="false">IF(AND((41-N(V_L2_Mes)+1)&gt;N(V_L2_Gracia),(41-N(V_L2_Mes)+1)&lt;=N(V_L2_Gracia)+N(V_L2_Cuotas),N(V_L2_Cuotas)&gt;0),IF((41-N(V_L2_Mes)+1)=N(V_L2_Gracia)+N(V_L2_Cuotas),IF((41-N(V_L2_Mes)+1)=1,N(V_L2_Monto),AS$223),PMT(N(V_L2_Tasa)/12,N(V_L2_Cuotas),-N(V_L2_Monto))-AT$221),0)*AT$9</f>
        <v>0</v>
      </c>
      <c r="AU222" s="34" t="n">
        <f aca="false">IF(AND((42-N(V_L2_Mes)+1)&gt;N(V_L2_Gracia),(42-N(V_L2_Mes)+1)&lt;=N(V_L2_Gracia)+N(V_L2_Cuotas),N(V_L2_Cuotas)&gt;0),IF((42-N(V_L2_Mes)+1)=N(V_L2_Gracia)+N(V_L2_Cuotas),IF((42-N(V_L2_Mes)+1)=1,N(V_L2_Monto),AT$223),PMT(N(V_L2_Tasa)/12,N(V_L2_Cuotas),-N(V_L2_Monto))-AU$221),0)*AU$9</f>
        <v>0</v>
      </c>
      <c r="AV222" s="34" t="n">
        <f aca="false">IF(AND((43-N(V_L2_Mes)+1)&gt;N(V_L2_Gracia),(43-N(V_L2_Mes)+1)&lt;=N(V_L2_Gracia)+N(V_L2_Cuotas),N(V_L2_Cuotas)&gt;0),IF((43-N(V_L2_Mes)+1)=N(V_L2_Gracia)+N(V_L2_Cuotas),IF((43-N(V_L2_Mes)+1)=1,N(V_L2_Monto),AU$223),PMT(N(V_L2_Tasa)/12,N(V_L2_Cuotas),-N(V_L2_Monto))-AV$221),0)*AV$9</f>
        <v>0</v>
      </c>
      <c r="AW222" s="34" t="n">
        <f aca="false">IF(AND((44-N(V_L2_Mes)+1)&gt;N(V_L2_Gracia),(44-N(V_L2_Mes)+1)&lt;=N(V_L2_Gracia)+N(V_L2_Cuotas),N(V_L2_Cuotas)&gt;0),IF((44-N(V_L2_Mes)+1)=N(V_L2_Gracia)+N(V_L2_Cuotas),IF((44-N(V_L2_Mes)+1)=1,N(V_L2_Monto),AV$223),PMT(N(V_L2_Tasa)/12,N(V_L2_Cuotas),-N(V_L2_Monto))-AW$221),0)*AW$9</f>
        <v>0</v>
      </c>
      <c r="AX222" s="34" t="n">
        <f aca="false">IF(AND((45-N(V_L2_Mes)+1)&gt;N(V_L2_Gracia),(45-N(V_L2_Mes)+1)&lt;=N(V_L2_Gracia)+N(V_L2_Cuotas),N(V_L2_Cuotas)&gt;0),IF((45-N(V_L2_Mes)+1)=N(V_L2_Gracia)+N(V_L2_Cuotas),IF((45-N(V_L2_Mes)+1)=1,N(V_L2_Monto),AW$223),PMT(N(V_L2_Tasa)/12,N(V_L2_Cuotas),-N(V_L2_Monto))-AX$221),0)*AX$9</f>
        <v>0</v>
      </c>
      <c r="AY222" s="34" t="n">
        <f aca="false">IF(AND((46-N(V_L2_Mes)+1)&gt;N(V_L2_Gracia),(46-N(V_L2_Mes)+1)&lt;=N(V_L2_Gracia)+N(V_L2_Cuotas),N(V_L2_Cuotas)&gt;0),IF((46-N(V_L2_Mes)+1)=N(V_L2_Gracia)+N(V_L2_Cuotas),IF((46-N(V_L2_Mes)+1)=1,N(V_L2_Monto),AX$223),PMT(N(V_L2_Tasa)/12,N(V_L2_Cuotas),-N(V_L2_Monto))-AY$221),0)*AY$9</f>
        <v>0</v>
      </c>
      <c r="AZ222" s="34" t="n">
        <f aca="false">IF(AND((47-N(V_L2_Mes)+1)&gt;N(V_L2_Gracia),(47-N(V_L2_Mes)+1)&lt;=N(V_L2_Gracia)+N(V_L2_Cuotas),N(V_L2_Cuotas)&gt;0),IF((47-N(V_L2_Mes)+1)=N(V_L2_Gracia)+N(V_L2_Cuotas),IF((47-N(V_L2_Mes)+1)=1,N(V_L2_Monto),AY$223),PMT(N(V_L2_Tasa)/12,N(V_L2_Cuotas),-N(V_L2_Monto))-AZ$221),0)*AZ$9</f>
        <v>0</v>
      </c>
      <c r="BA222" s="34" t="n">
        <f aca="false">IF(AND((48-N(V_L2_Mes)+1)&gt;N(V_L2_Gracia),(48-N(V_L2_Mes)+1)&lt;=N(V_L2_Gracia)+N(V_L2_Cuotas),N(V_L2_Cuotas)&gt;0),IF((48-N(V_L2_Mes)+1)=N(V_L2_Gracia)+N(V_L2_Cuotas),IF((48-N(V_L2_Mes)+1)=1,N(V_L2_Monto),AZ$223),PMT(N(V_L2_Tasa)/12,N(V_L2_Cuotas),-N(V_L2_Monto))-BA$221),0)*BA$9</f>
        <v>0</v>
      </c>
      <c r="BB222" s="34" t="n">
        <f aca="false">IF(AND((49-N(V_L2_Mes)+1)&gt;N(V_L2_Gracia),(49-N(V_L2_Mes)+1)&lt;=N(V_L2_Gracia)+N(V_L2_Cuotas),N(V_L2_Cuotas)&gt;0),IF((49-N(V_L2_Mes)+1)=N(V_L2_Gracia)+N(V_L2_Cuotas),IF((49-N(V_L2_Mes)+1)=1,N(V_L2_Monto),BA$223),PMT(N(V_L2_Tasa)/12,N(V_L2_Cuotas),-N(V_L2_Monto))-BB$221),0)*BB$9</f>
        <v>0</v>
      </c>
      <c r="BC222" s="34" t="n">
        <f aca="false">IF(AND((50-N(V_L2_Mes)+1)&gt;N(V_L2_Gracia),(50-N(V_L2_Mes)+1)&lt;=N(V_L2_Gracia)+N(V_L2_Cuotas),N(V_L2_Cuotas)&gt;0),IF((50-N(V_L2_Mes)+1)=N(V_L2_Gracia)+N(V_L2_Cuotas),IF((50-N(V_L2_Mes)+1)=1,N(V_L2_Monto),BB$223),PMT(N(V_L2_Tasa)/12,N(V_L2_Cuotas),-N(V_L2_Monto))-BC$221),0)*BC$9</f>
        <v>0</v>
      </c>
      <c r="BD222" s="34" t="n">
        <f aca="false">IF(AND((51-N(V_L2_Mes)+1)&gt;N(V_L2_Gracia),(51-N(V_L2_Mes)+1)&lt;=N(V_L2_Gracia)+N(V_L2_Cuotas),N(V_L2_Cuotas)&gt;0),IF((51-N(V_L2_Mes)+1)=N(V_L2_Gracia)+N(V_L2_Cuotas),IF((51-N(V_L2_Mes)+1)=1,N(V_L2_Monto),BC$223),PMT(N(V_L2_Tasa)/12,N(V_L2_Cuotas),-N(V_L2_Monto))-BD$221),0)*BD$9</f>
        <v>0</v>
      </c>
      <c r="BE222" s="34" t="n">
        <f aca="false">IF(AND((52-N(V_L2_Mes)+1)&gt;N(V_L2_Gracia),(52-N(V_L2_Mes)+1)&lt;=N(V_L2_Gracia)+N(V_L2_Cuotas),N(V_L2_Cuotas)&gt;0),IF((52-N(V_L2_Mes)+1)=N(V_L2_Gracia)+N(V_L2_Cuotas),IF((52-N(V_L2_Mes)+1)=1,N(V_L2_Monto),BD$223),PMT(N(V_L2_Tasa)/12,N(V_L2_Cuotas),-N(V_L2_Monto))-BE$221),0)*BE$9</f>
        <v>0</v>
      </c>
      <c r="BF222" s="34" t="n">
        <f aca="false">IF(AND((53-N(V_L2_Mes)+1)&gt;N(V_L2_Gracia),(53-N(V_L2_Mes)+1)&lt;=N(V_L2_Gracia)+N(V_L2_Cuotas),N(V_L2_Cuotas)&gt;0),IF((53-N(V_L2_Mes)+1)=N(V_L2_Gracia)+N(V_L2_Cuotas),IF((53-N(V_L2_Mes)+1)=1,N(V_L2_Monto),BE$223),PMT(N(V_L2_Tasa)/12,N(V_L2_Cuotas),-N(V_L2_Monto))-BF$221),0)*BF$9</f>
        <v>0</v>
      </c>
      <c r="BG222" s="34" t="n">
        <f aca="false">IF(AND((54-N(V_L2_Mes)+1)&gt;N(V_L2_Gracia),(54-N(V_L2_Mes)+1)&lt;=N(V_L2_Gracia)+N(V_L2_Cuotas),N(V_L2_Cuotas)&gt;0),IF((54-N(V_L2_Mes)+1)=N(V_L2_Gracia)+N(V_L2_Cuotas),IF((54-N(V_L2_Mes)+1)=1,N(V_L2_Monto),BF$223),PMT(N(V_L2_Tasa)/12,N(V_L2_Cuotas),-N(V_L2_Monto))-BG$221),0)*BG$9</f>
        <v>0</v>
      </c>
      <c r="BH222" s="34" t="n">
        <f aca="false">IF(AND((55-N(V_L2_Mes)+1)&gt;N(V_L2_Gracia),(55-N(V_L2_Mes)+1)&lt;=N(V_L2_Gracia)+N(V_L2_Cuotas),N(V_L2_Cuotas)&gt;0),IF((55-N(V_L2_Mes)+1)=N(V_L2_Gracia)+N(V_L2_Cuotas),IF((55-N(V_L2_Mes)+1)=1,N(V_L2_Monto),BG$223),PMT(N(V_L2_Tasa)/12,N(V_L2_Cuotas),-N(V_L2_Monto))-BH$221),0)*BH$9</f>
        <v>0</v>
      </c>
      <c r="BI222" s="34" t="n">
        <f aca="false">IF(AND((56-N(V_L2_Mes)+1)&gt;N(V_L2_Gracia),(56-N(V_L2_Mes)+1)&lt;=N(V_L2_Gracia)+N(V_L2_Cuotas),N(V_L2_Cuotas)&gt;0),IF((56-N(V_L2_Mes)+1)=N(V_L2_Gracia)+N(V_L2_Cuotas),IF((56-N(V_L2_Mes)+1)=1,N(V_L2_Monto),BH$223),PMT(N(V_L2_Tasa)/12,N(V_L2_Cuotas),-N(V_L2_Monto))-BI$221),0)*BI$9</f>
        <v>0</v>
      </c>
      <c r="BJ222" s="34" t="n">
        <f aca="false">IF(AND((57-N(V_L2_Mes)+1)&gt;N(V_L2_Gracia),(57-N(V_L2_Mes)+1)&lt;=N(V_L2_Gracia)+N(V_L2_Cuotas),N(V_L2_Cuotas)&gt;0),IF((57-N(V_L2_Mes)+1)=N(V_L2_Gracia)+N(V_L2_Cuotas),IF((57-N(V_L2_Mes)+1)=1,N(V_L2_Monto),BI$223),PMT(N(V_L2_Tasa)/12,N(V_L2_Cuotas),-N(V_L2_Monto))-BJ$221),0)*BJ$9</f>
        <v>0</v>
      </c>
      <c r="BK222" s="34" t="n">
        <f aca="false">IF(AND((58-N(V_L2_Mes)+1)&gt;N(V_L2_Gracia),(58-N(V_L2_Mes)+1)&lt;=N(V_L2_Gracia)+N(V_L2_Cuotas),N(V_L2_Cuotas)&gt;0),IF((58-N(V_L2_Mes)+1)=N(V_L2_Gracia)+N(V_L2_Cuotas),IF((58-N(V_L2_Mes)+1)=1,N(V_L2_Monto),BJ$223),PMT(N(V_L2_Tasa)/12,N(V_L2_Cuotas),-N(V_L2_Monto))-BK$221),0)*BK$9</f>
        <v>0</v>
      </c>
      <c r="BL222" s="34" t="n">
        <f aca="false">IF(AND((59-N(V_L2_Mes)+1)&gt;N(V_L2_Gracia),(59-N(V_L2_Mes)+1)&lt;=N(V_L2_Gracia)+N(V_L2_Cuotas),N(V_L2_Cuotas)&gt;0),IF((59-N(V_L2_Mes)+1)=N(V_L2_Gracia)+N(V_L2_Cuotas),IF((59-N(V_L2_Mes)+1)=1,N(V_L2_Monto),BK$223),PMT(N(V_L2_Tasa)/12,N(V_L2_Cuotas),-N(V_L2_Monto))-BL$221),0)*BL$9</f>
        <v>0</v>
      </c>
      <c r="BM222" s="34" t="n">
        <f aca="false">IF(AND((60-N(V_L2_Mes)+1)&gt;N(V_L2_Gracia),(60-N(V_L2_Mes)+1)&lt;=N(V_L2_Gracia)+N(V_L2_Cuotas),N(V_L2_Cuotas)&gt;0),IF((60-N(V_L2_Mes)+1)=N(V_L2_Gracia)+N(V_L2_Cuotas),IF((60-N(V_L2_Mes)+1)=1,N(V_L2_Monto),BL$223),PMT(N(V_L2_Tasa)/12,N(V_L2_Cuotas),-N(V_L2_Monto))-BM$221),0)*BM$9</f>
        <v>0</v>
      </c>
      <c r="BN222" s="34" t="n">
        <f aca="false">IF(AND((61-N(V_L2_Mes)+1)&gt;N(V_L2_Gracia),(61-N(V_L2_Mes)+1)&lt;=N(V_L2_Gracia)+N(V_L2_Cuotas),N(V_L2_Cuotas)&gt;0),IF((61-N(V_L2_Mes)+1)=N(V_L2_Gracia)+N(V_L2_Cuotas),IF((61-N(V_L2_Mes)+1)=1,N(V_L2_Monto),BM$223),PMT(N(V_L2_Tasa)/12,N(V_L2_Cuotas),-N(V_L2_Monto))-BN$221),0)*BN$9</f>
        <v>0</v>
      </c>
      <c r="BO222" s="34" t="n">
        <f aca="false">IF(AND((62-N(V_L2_Mes)+1)&gt;N(V_L2_Gracia),(62-N(V_L2_Mes)+1)&lt;=N(V_L2_Gracia)+N(V_L2_Cuotas),N(V_L2_Cuotas)&gt;0),IF((62-N(V_L2_Mes)+1)=N(V_L2_Gracia)+N(V_L2_Cuotas),IF((62-N(V_L2_Mes)+1)=1,N(V_L2_Monto),BN$223),PMT(N(V_L2_Tasa)/12,N(V_L2_Cuotas),-N(V_L2_Monto))-BO$221),0)*BO$9</f>
        <v>0</v>
      </c>
      <c r="BP222" s="34" t="n">
        <f aca="false">IF(AND((63-N(V_L2_Mes)+1)&gt;N(V_L2_Gracia),(63-N(V_L2_Mes)+1)&lt;=N(V_L2_Gracia)+N(V_L2_Cuotas),N(V_L2_Cuotas)&gt;0),IF((63-N(V_L2_Mes)+1)=N(V_L2_Gracia)+N(V_L2_Cuotas),IF((63-N(V_L2_Mes)+1)=1,N(V_L2_Monto),BO$223),PMT(N(V_L2_Tasa)/12,N(V_L2_Cuotas),-N(V_L2_Monto))-BP$221),0)*BP$9</f>
        <v>0</v>
      </c>
      <c r="BQ222" s="34" t="n">
        <f aca="false">IF(AND((64-N(V_L2_Mes)+1)&gt;N(V_L2_Gracia),(64-N(V_L2_Mes)+1)&lt;=N(V_L2_Gracia)+N(V_L2_Cuotas),N(V_L2_Cuotas)&gt;0),IF((64-N(V_L2_Mes)+1)=N(V_L2_Gracia)+N(V_L2_Cuotas),IF((64-N(V_L2_Mes)+1)=1,N(V_L2_Monto),BP$223),PMT(N(V_L2_Tasa)/12,N(V_L2_Cuotas),-N(V_L2_Monto))-BQ$221),0)*BQ$9</f>
        <v>0</v>
      </c>
      <c r="BR222" s="34" t="n">
        <f aca="false">IF(AND((65-N(V_L2_Mes)+1)&gt;N(V_L2_Gracia),(65-N(V_L2_Mes)+1)&lt;=N(V_L2_Gracia)+N(V_L2_Cuotas),N(V_L2_Cuotas)&gt;0),IF((65-N(V_L2_Mes)+1)=N(V_L2_Gracia)+N(V_L2_Cuotas),IF((65-N(V_L2_Mes)+1)=1,N(V_L2_Monto),BQ$223),PMT(N(V_L2_Tasa)/12,N(V_L2_Cuotas),-N(V_L2_Monto))-BR$221),0)*BR$9</f>
        <v>0</v>
      </c>
      <c r="BS222" s="34" t="n">
        <f aca="false">IF(AND((66-N(V_L2_Mes)+1)&gt;N(V_L2_Gracia),(66-N(V_L2_Mes)+1)&lt;=N(V_L2_Gracia)+N(V_L2_Cuotas),N(V_L2_Cuotas)&gt;0),IF((66-N(V_L2_Mes)+1)=N(V_L2_Gracia)+N(V_L2_Cuotas),IF((66-N(V_L2_Mes)+1)=1,N(V_L2_Monto),BR$223),PMT(N(V_L2_Tasa)/12,N(V_L2_Cuotas),-N(V_L2_Monto))-BS$221),0)*BS$9</f>
        <v>0</v>
      </c>
      <c r="BT222" s="34" t="n">
        <f aca="false">IF(AND((67-N(V_L2_Mes)+1)&gt;N(V_L2_Gracia),(67-N(V_L2_Mes)+1)&lt;=N(V_L2_Gracia)+N(V_L2_Cuotas),N(V_L2_Cuotas)&gt;0),IF((67-N(V_L2_Mes)+1)=N(V_L2_Gracia)+N(V_L2_Cuotas),IF((67-N(V_L2_Mes)+1)=1,N(V_L2_Monto),BS$223),PMT(N(V_L2_Tasa)/12,N(V_L2_Cuotas),-N(V_L2_Monto))-BT$221),0)*BT$9</f>
        <v>0</v>
      </c>
      <c r="BU222" s="34" t="n">
        <f aca="false">IF(AND((68-N(V_L2_Mes)+1)&gt;N(V_L2_Gracia),(68-N(V_L2_Mes)+1)&lt;=N(V_L2_Gracia)+N(V_L2_Cuotas),N(V_L2_Cuotas)&gt;0),IF((68-N(V_L2_Mes)+1)=N(V_L2_Gracia)+N(V_L2_Cuotas),IF((68-N(V_L2_Mes)+1)=1,N(V_L2_Monto),BT$223),PMT(N(V_L2_Tasa)/12,N(V_L2_Cuotas),-N(V_L2_Monto))-BU$221),0)*BU$9</f>
        <v>0</v>
      </c>
      <c r="BV222" s="34" t="n">
        <f aca="false">IF(AND((69-N(V_L2_Mes)+1)&gt;N(V_L2_Gracia),(69-N(V_L2_Mes)+1)&lt;=N(V_L2_Gracia)+N(V_L2_Cuotas),N(V_L2_Cuotas)&gt;0),IF((69-N(V_L2_Mes)+1)=N(V_L2_Gracia)+N(V_L2_Cuotas),IF((69-N(V_L2_Mes)+1)=1,N(V_L2_Monto),BU$223),PMT(N(V_L2_Tasa)/12,N(V_L2_Cuotas),-N(V_L2_Monto))-BV$221),0)*BV$9</f>
        <v>0</v>
      </c>
      <c r="BW222" s="34" t="n">
        <f aca="false">IF(AND((70-N(V_L2_Mes)+1)&gt;N(V_L2_Gracia),(70-N(V_L2_Mes)+1)&lt;=N(V_L2_Gracia)+N(V_L2_Cuotas),N(V_L2_Cuotas)&gt;0),IF((70-N(V_L2_Mes)+1)=N(V_L2_Gracia)+N(V_L2_Cuotas),IF((70-N(V_L2_Mes)+1)=1,N(V_L2_Monto),BV$223),PMT(N(V_L2_Tasa)/12,N(V_L2_Cuotas),-N(V_L2_Monto))-BW$221),0)*BW$9</f>
        <v>0</v>
      </c>
      <c r="BX222" s="34" t="n">
        <f aca="false">IF(AND((71-N(V_L2_Mes)+1)&gt;N(V_L2_Gracia),(71-N(V_L2_Mes)+1)&lt;=N(V_L2_Gracia)+N(V_L2_Cuotas),N(V_L2_Cuotas)&gt;0),IF((71-N(V_L2_Mes)+1)=N(V_L2_Gracia)+N(V_L2_Cuotas),IF((71-N(V_L2_Mes)+1)=1,N(V_L2_Monto),BW$223),PMT(N(V_L2_Tasa)/12,N(V_L2_Cuotas),-N(V_L2_Monto))-BX$221),0)*BX$9</f>
        <v>0</v>
      </c>
      <c r="BY222" s="34" t="n">
        <f aca="false">IF(AND((72-N(V_L2_Mes)+1)&gt;N(V_L2_Gracia),(72-N(V_L2_Mes)+1)&lt;=N(V_L2_Gracia)+N(V_L2_Cuotas),N(V_L2_Cuotas)&gt;0),IF((72-N(V_L2_Mes)+1)=N(V_L2_Gracia)+N(V_L2_Cuotas),IF((72-N(V_L2_Mes)+1)=1,N(V_L2_Monto),BX$223),PMT(N(V_L2_Tasa)/12,N(V_L2_Cuotas),-N(V_L2_Monto))-BY$221),0)*BY$9</f>
        <v>0</v>
      </c>
      <c r="BZ222" s="34" t="n">
        <f aca="false">IF(AND((73-N(V_L2_Mes)+1)&gt;N(V_L2_Gracia),(73-N(V_L2_Mes)+1)&lt;=N(V_L2_Gracia)+N(V_L2_Cuotas),N(V_L2_Cuotas)&gt;0),IF((73-N(V_L2_Mes)+1)=N(V_L2_Gracia)+N(V_L2_Cuotas),IF((73-N(V_L2_Mes)+1)=1,N(V_L2_Monto),BY$223),PMT(N(V_L2_Tasa)/12,N(V_L2_Cuotas),-N(V_L2_Monto))-BZ$221),0)*BZ$9</f>
        <v>0</v>
      </c>
      <c r="CA222" s="34" t="n">
        <f aca="false">IF(AND((74-N(V_L2_Mes)+1)&gt;N(V_L2_Gracia),(74-N(V_L2_Mes)+1)&lt;=N(V_L2_Gracia)+N(V_L2_Cuotas),N(V_L2_Cuotas)&gt;0),IF((74-N(V_L2_Mes)+1)=N(V_L2_Gracia)+N(V_L2_Cuotas),IF((74-N(V_L2_Mes)+1)=1,N(V_L2_Monto),BZ$223),PMT(N(V_L2_Tasa)/12,N(V_L2_Cuotas),-N(V_L2_Monto))-CA$221),0)*CA$9</f>
        <v>0</v>
      </c>
      <c r="CB222" s="34" t="n">
        <f aca="false">IF(AND((75-N(V_L2_Mes)+1)&gt;N(V_L2_Gracia),(75-N(V_L2_Mes)+1)&lt;=N(V_L2_Gracia)+N(V_L2_Cuotas),N(V_L2_Cuotas)&gt;0),IF((75-N(V_L2_Mes)+1)=N(V_L2_Gracia)+N(V_L2_Cuotas),IF((75-N(V_L2_Mes)+1)=1,N(V_L2_Monto),CA$223),PMT(N(V_L2_Tasa)/12,N(V_L2_Cuotas),-N(V_L2_Monto))-CB$221),0)*CB$9</f>
        <v>0</v>
      </c>
      <c r="CC222" s="34" t="n">
        <f aca="false">IF(AND((76-N(V_L2_Mes)+1)&gt;N(V_L2_Gracia),(76-N(V_L2_Mes)+1)&lt;=N(V_L2_Gracia)+N(V_L2_Cuotas),N(V_L2_Cuotas)&gt;0),IF((76-N(V_L2_Mes)+1)=N(V_L2_Gracia)+N(V_L2_Cuotas),IF((76-N(V_L2_Mes)+1)=1,N(V_L2_Monto),CB$223),PMT(N(V_L2_Tasa)/12,N(V_L2_Cuotas),-N(V_L2_Monto))-CC$221),0)*CC$9</f>
        <v>0</v>
      </c>
      <c r="CD222" s="34" t="n">
        <f aca="false">IF(AND((77-N(V_L2_Mes)+1)&gt;N(V_L2_Gracia),(77-N(V_L2_Mes)+1)&lt;=N(V_L2_Gracia)+N(V_L2_Cuotas),N(V_L2_Cuotas)&gt;0),IF((77-N(V_L2_Mes)+1)=N(V_L2_Gracia)+N(V_L2_Cuotas),IF((77-N(V_L2_Mes)+1)=1,N(V_L2_Monto),CC$223),PMT(N(V_L2_Tasa)/12,N(V_L2_Cuotas),-N(V_L2_Monto))-CD$221),0)*CD$9</f>
        <v>0</v>
      </c>
      <c r="CE222" s="34" t="n">
        <f aca="false">IF(AND((78-N(V_L2_Mes)+1)&gt;N(V_L2_Gracia),(78-N(V_L2_Mes)+1)&lt;=N(V_L2_Gracia)+N(V_L2_Cuotas),N(V_L2_Cuotas)&gt;0),IF((78-N(V_L2_Mes)+1)=N(V_L2_Gracia)+N(V_L2_Cuotas),IF((78-N(V_L2_Mes)+1)=1,N(V_L2_Monto),CD$223),PMT(N(V_L2_Tasa)/12,N(V_L2_Cuotas),-N(V_L2_Monto))-CE$221),0)*CE$9</f>
        <v>0</v>
      </c>
      <c r="CF222" s="34" t="n">
        <f aca="false">IF(AND((79-N(V_L2_Mes)+1)&gt;N(V_L2_Gracia),(79-N(V_L2_Mes)+1)&lt;=N(V_L2_Gracia)+N(V_L2_Cuotas),N(V_L2_Cuotas)&gt;0),IF((79-N(V_L2_Mes)+1)=N(V_L2_Gracia)+N(V_L2_Cuotas),IF((79-N(V_L2_Mes)+1)=1,N(V_L2_Monto),CE$223),PMT(N(V_L2_Tasa)/12,N(V_L2_Cuotas),-N(V_L2_Monto))-CF$221),0)*CF$9</f>
        <v>0</v>
      </c>
      <c r="CG222" s="34" t="n">
        <f aca="false">IF(AND((80-N(V_L2_Mes)+1)&gt;N(V_L2_Gracia),(80-N(V_L2_Mes)+1)&lt;=N(V_L2_Gracia)+N(V_L2_Cuotas),N(V_L2_Cuotas)&gt;0),IF((80-N(V_L2_Mes)+1)=N(V_L2_Gracia)+N(V_L2_Cuotas),IF((80-N(V_L2_Mes)+1)=1,N(V_L2_Monto),CF$223),PMT(N(V_L2_Tasa)/12,N(V_L2_Cuotas),-N(V_L2_Monto))-CG$221),0)*CG$9</f>
        <v>0</v>
      </c>
      <c r="CH222" s="34" t="n">
        <f aca="false">IF(AND((81-N(V_L2_Mes)+1)&gt;N(V_L2_Gracia),(81-N(V_L2_Mes)+1)&lt;=N(V_L2_Gracia)+N(V_L2_Cuotas),N(V_L2_Cuotas)&gt;0),IF((81-N(V_L2_Mes)+1)=N(V_L2_Gracia)+N(V_L2_Cuotas),IF((81-N(V_L2_Mes)+1)=1,N(V_L2_Monto),CG$223),PMT(N(V_L2_Tasa)/12,N(V_L2_Cuotas),-N(V_L2_Monto))-CH$221),0)*CH$9</f>
        <v>0</v>
      </c>
      <c r="CI222" s="34" t="n">
        <f aca="false">IF(AND((82-N(V_L2_Mes)+1)&gt;N(V_L2_Gracia),(82-N(V_L2_Mes)+1)&lt;=N(V_L2_Gracia)+N(V_L2_Cuotas),N(V_L2_Cuotas)&gt;0),IF((82-N(V_L2_Mes)+1)=N(V_L2_Gracia)+N(V_L2_Cuotas),IF((82-N(V_L2_Mes)+1)=1,N(V_L2_Monto),CH$223),PMT(N(V_L2_Tasa)/12,N(V_L2_Cuotas),-N(V_L2_Monto))-CI$221),0)*CI$9</f>
        <v>0</v>
      </c>
      <c r="CJ222" s="34" t="n">
        <f aca="false">IF(AND((83-N(V_L2_Mes)+1)&gt;N(V_L2_Gracia),(83-N(V_L2_Mes)+1)&lt;=N(V_L2_Gracia)+N(V_L2_Cuotas),N(V_L2_Cuotas)&gt;0),IF((83-N(V_L2_Mes)+1)=N(V_L2_Gracia)+N(V_L2_Cuotas),IF((83-N(V_L2_Mes)+1)=1,N(V_L2_Monto),CI$223),PMT(N(V_L2_Tasa)/12,N(V_L2_Cuotas),-N(V_L2_Monto))-CJ$221),0)*CJ$9</f>
        <v>0</v>
      </c>
      <c r="CK222" s="34" t="n">
        <f aca="false">IF(AND((84-N(V_L2_Mes)+1)&gt;N(V_L2_Gracia),(84-N(V_L2_Mes)+1)&lt;=N(V_L2_Gracia)+N(V_L2_Cuotas),N(V_L2_Cuotas)&gt;0),IF((84-N(V_L2_Mes)+1)=N(V_L2_Gracia)+N(V_L2_Cuotas),IF((84-N(V_L2_Mes)+1)=1,N(V_L2_Monto),CJ$223),PMT(N(V_L2_Tasa)/12,N(V_L2_Cuotas),-N(V_L2_Monto))-CK$221),0)*CK$9</f>
        <v>0</v>
      </c>
      <c r="CL222" s="34" t="n">
        <f aca="false">IF(AND((85-N(V_L2_Mes)+1)&gt;N(V_L2_Gracia),(85-N(V_L2_Mes)+1)&lt;=N(V_L2_Gracia)+N(V_L2_Cuotas),N(V_L2_Cuotas)&gt;0),IF((85-N(V_L2_Mes)+1)=N(V_L2_Gracia)+N(V_L2_Cuotas),IF((85-N(V_L2_Mes)+1)=1,N(V_L2_Monto),CK$223),PMT(N(V_L2_Tasa)/12,N(V_L2_Cuotas),-N(V_L2_Monto))-CL$221),0)*CL$9</f>
        <v>0</v>
      </c>
      <c r="CM222" s="34" t="n">
        <f aca="false">IF(AND((86-N(V_L2_Mes)+1)&gt;N(V_L2_Gracia),(86-N(V_L2_Mes)+1)&lt;=N(V_L2_Gracia)+N(V_L2_Cuotas),N(V_L2_Cuotas)&gt;0),IF((86-N(V_L2_Mes)+1)=N(V_L2_Gracia)+N(V_L2_Cuotas),IF((86-N(V_L2_Mes)+1)=1,N(V_L2_Monto),CL$223),PMT(N(V_L2_Tasa)/12,N(V_L2_Cuotas),-N(V_L2_Monto))-CM$221),0)*CM$9</f>
        <v>0</v>
      </c>
      <c r="CN222" s="34" t="n">
        <f aca="false">IF(AND((87-N(V_L2_Mes)+1)&gt;N(V_L2_Gracia),(87-N(V_L2_Mes)+1)&lt;=N(V_L2_Gracia)+N(V_L2_Cuotas),N(V_L2_Cuotas)&gt;0),IF((87-N(V_L2_Mes)+1)=N(V_L2_Gracia)+N(V_L2_Cuotas),IF((87-N(V_L2_Mes)+1)=1,N(V_L2_Monto),CM$223),PMT(N(V_L2_Tasa)/12,N(V_L2_Cuotas),-N(V_L2_Monto))-CN$221),0)*CN$9</f>
        <v>0</v>
      </c>
      <c r="CO222" s="34" t="n">
        <f aca="false">IF(AND((88-N(V_L2_Mes)+1)&gt;N(V_L2_Gracia),(88-N(V_L2_Mes)+1)&lt;=N(V_L2_Gracia)+N(V_L2_Cuotas),N(V_L2_Cuotas)&gt;0),IF((88-N(V_L2_Mes)+1)=N(V_L2_Gracia)+N(V_L2_Cuotas),IF((88-N(V_L2_Mes)+1)=1,N(V_L2_Monto),CN$223),PMT(N(V_L2_Tasa)/12,N(V_L2_Cuotas),-N(V_L2_Monto))-CO$221),0)*CO$9</f>
        <v>0</v>
      </c>
      <c r="CP222" s="34" t="n">
        <f aca="false">IF(AND((89-N(V_L2_Mes)+1)&gt;N(V_L2_Gracia),(89-N(V_L2_Mes)+1)&lt;=N(V_L2_Gracia)+N(V_L2_Cuotas),N(V_L2_Cuotas)&gt;0),IF((89-N(V_L2_Mes)+1)=N(V_L2_Gracia)+N(V_L2_Cuotas),IF((89-N(V_L2_Mes)+1)=1,N(V_L2_Monto),CO$223),PMT(N(V_L2_Tasa)/12,N(V_L2_Cuotas),-N(V_L2_Monto))-CP$221),0)*CP$9</f>
        <v>0</v>
      </c>
      <c r="CQ222" s="34" t="n">
        <f aca="false">IF(AND((90-N(V_L2_Mes)+1)&gt;N(V_L2_Gracia),(90-N(V_L2_Mes)+1)&lt;=N(V_L2_Gracia)+N(V_L2_Cuotas),N(V_L2_Cuotas)&gt;0),IF((90-N(V_L2_Mes)+1)=N(V_L2_Gracia)+N(V_L2_Cuotas),IF((90-N(V_L2_Mes)+1)=1,N(V_L2_Monto),CP$223),PMT(N(V_L2_Tasa)/12,N(V_L2_Cuotas),-N(V_L2_Monto))-CQ$221),0)*CQ$9</f>
        <v>0</v>
      </c>
      <c r="CR222" s="34" t="n">
        <f aca="false">IF(AND((91-N(V_L2_Mes)+1)&gt;N(V_L2_Gracia),(91-N(V_L2_Mes)+1)&lt;=N(V_L2_Gracia)+N(V_L2_Cuotas),N(V_L2_Cuotas)&gt;0),IF((91-N(V_L2_Mes)+1)=N(V_L2_Gracia)+N(V_L2_Cuotas),IF((91-N(V_L2_Mes)+1)=1,N(V_L2_Monto),CQ$223),PMT(N(V_L2_Tasa)/12,N(V_L2_Cuotas),-N(V_L2_Monto))-CR$221),0)*CR$9</f>
        <v>0</v>
      </c>
      <c r="CS222" s="34" t="n">
        <f aca="false">IF(AND((92-N(V_L2_Mes)+1)&gt;N(V_L2_Gracia),(92-N(V_L2_Mes)+1)&lt;=N(V_L2_Gracia)+N(V_L2_Cuotas),N(V_L2_Cuotas)&gt;0),IF((92-N(V_L2_Mes)+1)=N(V_L2_Gracia)+N(V_L2_Cuotas),IF((92-N(V_L2_Mes)+1)=1,N(V_L2_Monto),CR$223),PMT(N(V_L2_Tasa)/12,N(V_L2_Cuotas),-N(V_L2_Monto))-CS$221),0)*CS$9</f>
        <v>0</v>
      </c>
      <c r="CT222" s="34" t="n">
        <f aca="false">IF(AND((93-N(V_L2_Mes)+1)&gt;N(V_L2_Gracia),(93-N(V_L2_Mes)+1)&lt;=N(V_L2_Gracia)+N(V_L2_Cuotas),N(V_L2_Cuotas)&gt;0),IF((93-N(V_L2_Mes)+1)=N(V_L2_Gracia)+N(V_L2_Cuotas),IF((93-N(V_L2_Mes)+1)=1,N(V_L2_Monto),CS$223),PMT(N(V_L2_Tasa)/12,N(V_L2_Cuotas),-N(V_L2_Monto))-CT$221),0)*CT$9</f>
        <v>0</v>
      </c>
      <c r="CU222" s="34" t="n">
        <f aca="false">IF(AND((94-N(V_L2_Mes)+1)&gt;N(V_L2_Gracia),(94-N(V_L2_Mes)+1)&lt;=N(V_L2_Gracia)+N(V_L2_Cuotas),N(V_L2_Cuotas)&gt;0),IF((94-N(V_L2_Mes)+1)=N(V_L2_Gracia)+N(V_L2_Cuotas),IF((94-N(V_L2_Mes)+1)=1,N(V_L2_Monto),CT$223),PMT(N(V_L2_Tasa)/12,N(V_L2_Cuotas),-N(V_L2_Monto))-CU$221),0)*CU$9</f>
        <v>0</v>
      </c>
      <c r="CV222" s="34" t="n">
        <f aca="false">IF(AND((95-N(V_L2_Mes)+1)&gt;N(V_L2_Gracia),(95-N(V_L2_Mes)+1)&lt;=N(V_L2_Gracia)+N(V_L2_Cuotas),N(V_L2_Cuotas)&gt;0),IF((95-N(V_L2_Mes)+1)=N(V_L2_Gracia)+N(V_L2_Cuotas),IF((95-N(V_L2_Mes)+1)=1,N(V_L2_Monto),CU$223),PMT(N(V_L2_Tasa)/12,N(V_L2_Cuotas),-N(V_L2_Monto))-CV$221),0)*CV$9</f>
        <v>0</v>
      </c>
      <c r="CW222" s="34" t="n">
        <f aca="false">IF(AND((96-N(V_L2_Mes)+1)&gt;N(V_L2_Gracia),(96-N(V_L2_Mes)+1)&lt;=N(V_L2_Gracia)+N(V_L2_Cuotas),N(V_L2_Cuotas)&gt;0),IF((96-N(V_L2_Mes)+1)=N(V_L2_Gracia)+N(V_L2_Cuotas),IF((96-N(V_L2_Mes)+1)=1,N(V_L2_Monto),CV$223),PMT(N(V_L2_Tasa)/12,N(V_L2_Cuotas),-N(V_L2_Monto))-CW$221),0)*CW$9</f>
        <v>0</v>
      </c>
      <c r="CX222" s="34" t="n">
        <f aca="false">IF(AND((97-N(V_L2_Mes)+1)&gt;N(V_L2_Gracia),(97-N(V_L2_Mes)+1)&lt;=N(V_L2_Gracia)+N(V_L2_Cuotas),N(V_L2_Cuotas)&gt;0),IF((97-N(V_L2_Mes)+1)=N(V_L2_Gracia)+N(V_L2_Cuotas),IF((97-N(V_L2_Mes)+1)=1,N(V_L2_Monto),CW$223),PMT(N(V_L2_Tasa)/12,N(V_L2_Cuotas),-N(V_L2_Monto))-CX$221),0)*CX$9</f>
        <v>0</v>
      </c>
      <c r="CY222" s="34" t="n">
        <f aca="false">IF(AND((98-N(V_L2_Mes)+1)&gt;N(V_L2_Gracia),(98-N(V_L2_Mes)+1)&lt;=N(V_L2_Gracia)+N(V_L2_Cuotas),N(V_L2_Cuotas)&gt;0),IF((98-N(V_L2_Mes)+1)=N(V_L2_Gracia)+N(V_L2_Cuotas),IF((98-N(V_L2_Mes)+1)=1,N(V_L2_Monto),CX$223),PMT(N(V_L2_Tasa)/12,N(V_L2_Cuotas),-N(V_L2_Monto))-CY$221),0)*CY$9</f>
        <v>0</v>
      </c>
      <c r="CZ222" s="34" t="n">
        <f aca="false">IF(AND((99-N(V_L2_Mes)+1)&gt;N(V_L2_Gracia),(99-N(V_L2_Mes)+1)&lt;=N(V_L2_Gracia)+N(V_L2_Cuotas),N(V_L2_Cuotas)&gt;0),IF((99-N(V_L2_Mes)+1)=N(V_L2_Gracia)+N(V_L2_Cuotas),IF((99-N(V_L2_Mes)+1)=1,N(V_L2_Monto),CY$223),PMT(N(V_L2_Tasa)/12,N(V_L2_Cuotas),-N(V_L2_Monto))-CZ$221),0)*CZ$9</f>
        <v>0</v>
      </c>
      <c r="DA222" s="34" t="n">
        <f aca="false">IF(AND((100-N(V_L2_Mes)+1)&gt;N(V_L2_Gracia),(100-N(V_L2_Mes)+1)&lt;=N(V_L2_Gracia)+N(V_L2_Cuotas),N(V_L2_Cuotas)&gt;0),IF((100-N(V_L2_Mes)+1)=N(V_L2_Gracia)+N(V_L2_Cuotas),IF((100-N(V_L2_Mes)+1)=1,N(V_L2_Monto),CZ$223),PMT(N(V_L2_Tasa)/12,N(V_L2_Cuotas),-N(V_L2_Monto))-DA$221),0)*DA$9</f>
        <v>0</v>
      </c>
      <c r="DB222" s="34" t="n">
        <f aca="false">IF(AND((101-N(V_L2_Mes)+1)&gt;N(V_L2_Gracia),(101-N(V_L2_Mes)+1)&lt;=N(V_L2_Gracia)+N(V_L2_Cuotas),N(V_L2_Cuotas)&gt;0),IF((101-N(V_L2_Mes)+1)=N(V_L2_Gracia)+N(V_L2_Cuotas),IF((101-N(V_L2_Mes)+1)=1,N(V_L2_Monto),DA$223),PMT(N(V_L2_Tasa)/12,N(V_L2_Cuotas),-N(V_L2_Monto))-DB$221),0)*DB$9</f>
        <v>0</v>
      </c>
      <c r="DC222" s="34" t="n">
        <f aca="false">IF(AND((102-N(V_L2_Mes)+1)&gt;N(V_L2_Gracia),(102-N(V_L2_Mes)+1)&lt;=N(V_L2_Gracia)+N(V_L2_Cuotas),N(V_L2_Cuotas)&gt;0),IF((102-N(V_L2_Mes)+1)=N(V_L2_Gracia)+N(V_L2_Cuotas),IF((102-N(V_L2_Mes)+1)=1,N(V_L2_Monto),DB$223),PMT(N(V_L2_Tasa)/12,N(V_L2_Cuotas),-N(V_L2_Monto))-DC$221),0)*DC$9</f>
        <v>0</v>
      </c>
      <c r="DD222" s="34" t="n">
        <f aca="false">IF(AND((103-N(V_L2_Mes)+1)&gt;N(V_L2_Gracia),(103-N(V_L2_Mes)+1)&lt;=N(V_L2_Gracia)+N(V_L2_Cuotas),N(V_L2_Cuotas)&gt;0),IF((103-N(V_L2_Mes)+1)=N(V_L2_Gracia)+N(V_L2_Cuotas),IF((103-N(V_L2_Mes)+1)=1,N(V_L2_Monto),DC$223),PMT(N(V_L2_Tasa)/12,N(V_L2_Cuotas),-N(V_L2_Monto))-DD$221),0)*DD$9</f>
        <v>0</v>
      </c>
      <c r="DE222" s="34" t="n">
        <f aca="false">IF(AND((104-N(V_L2_Mes)+1)&gt;N(V_L2_Gracia),(104-N(V_L2_Mes)+1)&lt;=N(V_L2_Gracia)+N(V_L2_Cuotas),N(V_L2_Cuotas)&gt;0),IF((104-N(V_L2_Mes)+1)=N(V_L2_Gracia)+N(V_L2_Cuotas),IF((104-N(V_L2_Mes)+1)=1,N(V_L2_Monto),DD$223),PMT(N(V_L2_Tasa)/12,N(V_L2_Cuotas),-N(V_L2_Monto))-DE$221),0)*DE$9</f>
        <v>0</v>
      </c>
      <c r="DF222" s="34" t="n">
        <f aca="false">IF(AND((105-N(V_L2_Mes)+1)&gt;N(V_L2_Gracia),(105-N(V_L2_Mes)+1)&lt;=N(V_L2_Gracia)+N(V_L2_Cuotas),N(V_L2_Cuotas)&gt;0),IF((105-N(V_L2_Mes)+1)=N(V_L2_Gracia)+N(V_L2_Cuotas),IF((105-N(V_L2_Mes)+1)=1,N(V_L2_Monto),DE$223),PMT(N(V_L2_Tasa)/12,N(V_L2_Cuotas),-N(V_L2_Monto))-DF$221),0)*DF$9</f>
        <v>0</v>
      </c>
      <c r="DG222" s="34" t="n">
        <f aca="false">IF(AND((106-N(V_L2_Mes)+1)&gt;N(V_L2_Gracia),(106-N(V_L2_Mes)+1)&lt;=N(V_L2_Gracia)+N(V_L2_Cuotas),N(V_L2_Cuotas)&gt;0),IF((106-N(V_L2_Mes)+1)=N(V_L2_Gracia)+N(V_L2_Cuotas),IF((106-N(V_L2_Mes)+1)=1,N(V_L2_Monto),DF$223),PMT(N(V_L2_Tasa)/12,N(V_L2_Cuotas),-N(V_L2_Monto))-DG$221),0)*DG$9</f>
        <v>0</v>
      </c>
      <c r="DH222" s="34" t="n">
        <f aca="false">IF(AND((107-N(V_L2_Mes)+1)&gt;N(V_L2_Gracia),(107-N(V_L2_Mes)+1)&lt;=N(V_L2_Gracia)+N(V_L2_Cuotas),N(V_L2_Cuotas)&gt;0),IF((107-N(V_L2_Mes)+1)=N(V_L2_Gracia)+N(V_L2_Cuotas),IF((107-N(V_L2_Mes)+1)=1,N(V_L2_Monto),DG$223),PMT(N(V_L2_Tasa)/12,N(V_L2_Cuotas),-N(V_L2_Monto))-DH$221),0)*DH$9</f>
        <v>0</v>
      </c>
      <c r="DI222" s="34" t="n">
        <f aca="false">IF(AND((108-N(V_L2_Mes)+1)&gt;N(V_L2_Gracia),(108-N(V_L2_Mes)+1)&lt;=N(V_L2_Gracia)+N(V_L2_Cuotas),N(V_L2_Cuotas)&gt;0),IF((108-N(V_L2_Mes)+1)=N(V_L2_Gracia)+N(V_L2_Cuotas),IF((108-N(V_L2_Mes)+1)=1,N(V_L2_Monto),DH$223),PMT(N(V_L2_Tasa)/12,N(V_L2_Cuotas),-N(V_L2_Monto))-DI$221),0)*DI$9</f>
        <v>0</v>
      </c>
      <c r="DJ222" s="34" t="n">
        <f aca="false">IF(AND((109-N(V_L2_Mes)+1)&gt;N(V_L2_Gracia),(109-N(V_L2_Mes)+1)&lt;=N(V_L2_Gracia)+N(V_L2_Cuotas),N(V_L2_Cuotas)&gt;0),IF((109-N(V_L2_Mes)+1)=N(V_L2_Gracia)+N(V_L2_Cuotas),IF((109-N(V_L2_Mes)+1)=1,N(V_L2_Monto),DI$223),PMT(N(V_L2_Tasa)/12,N(V_L2_Cuotas),-N(V_L2_Monto))-DJ$221),0)*DJ$9</f>
        <v>0</v>
      </c>
      <c r="DK222" s="34" t="n">
        <f aca="false">IF(AND((110-N(V_L2_Mes)+1)&gt;N(V_L2_Gracia),(110-N(V_L2_Mes)+1)&lt;=N(V_L2_Gracia)+N(V_L2_Cuotas),N(V_L2_Cuotas)&gt;0),IF((110-N(V_L2_Mes)+1)=N(V_L2_Gracia)+N(V_L2_Cuotas),IF((110-N(V_L2_Mes)+1)=1,N(V_L2_Monto),DJ$223),PMT(N(V_L2_Tasa)/12,N(V_L2_Cuotas),-N(V_L2_Monto))-DK$221),0)*DK$9</f>
        <v>0</v>
      </c>
      <c r="DL222" s="34" t="n">
        <f aca="false">IF(AND((111-N(V_L2_Mes)+1)&gt;N(V_L2_Gracia),(111-N(V_L2_Mes)+1)&lt;=N(V_L2_Gracia)+N(V_L2_Cuotas),N(V_L2_Cuotas)&gt;0),IF((111-N(V_L2_Mes)+1)=N(V_L2_Gracia)+N(V_L2_Cuotas),IF((111-N(V_L2_Mes)+1)=1,N(V_L2_Monto),DK$223),PMT(N(V_L2_Tasa)/12,N(V_L2_Cuotas),-N(V_L2_Monto))-DL$221),0)*DL$9</f>
        <v>0</v>
      </c>
      <c r="DM222" s="34" t="n">
        <f aca="false">IF(AND((112-N(V_L2_Mes)+1)&gt;N(V_L2_Gracia),(112-N(V_L2_Mes)+1)&lt;=N(V_L2_Gracia)+N(V_L2_Cuotas),N(V_L2_Cuotas)&gt;0),IF((112-N(V_L2_Mes)+1)=N(V_L2_Gracia)+N(V_L2_Cuotas),IF((112-N(V_L2_Mes)+1)=1,N(V_L2_Monto),DL$223),PMT(N(V_L2_Tasa)/12,N(V_L2_Cuotas),-N(V_L2_Monto))-DM$221),0)*DM$9</f>
        <v>0</v>
      </c>
      <c r="DN222" s="34" t="n">
        <f aca="false">IF(AND((113-N(V_L2_Mes)+1)&gt;N(V_L2_Gracia),(113-N(V_L2_Mes)+1)&lt;=N(V_L2_Gracia)+N(V_L2_Cuotas),N(V_L2_Cuotas)&gt;0),IF((113-N(V_L2_Mes)+1)=N(V_L2_Gracia)+N(V_L2_Cuotas),IF((113-N(V_L2_Mes)+1)=1,N(V_L2_Monto),DM$223),PMT(N(V_L2_Tasa)/12,N(V_L2_Cuotas),-N(V_L2_Monto))-DN$221),0)*DN$9</f>
        <v>0</v>
      </c>
      <c r="DO222" s="34" t="n">
        <f aca="false">IF(AND((114-N(V_L2_Mes)+1)&gt;N(V_L2_Gracia),(114-N(V_L2_Mes)+1)&lt;=N(V_L2_Gracia)+N(V_L2_Cuotas),N(V_L2_Cuotas)&gt;0),IF((114-N(V_L2_Mes)+1)=N(V_L2_Gracia)+N(V_L2_Cuotas),IF((114-N(V_L2_Mes)+1)=1,N(V_L2_Monto),DN$223),PMT(N(V_L2_Tasa)/12,N(V_L2_Cuotas),-N(V_L2_Monto))-DO$221),0)*DO$9</f>
        <v>0</v>
      </c>
      <c r="DP222" s="34" t="n">
        <f aca="false">IF(AND((115-N(V_L2_Mes)+1)&gt;N(V_L2_Gracia),(115-N(V_L2_Mes)+1)&lt;=N(V_L2_Gracia)+N(V_L2_Cuotas),N(V_L2_Cuotas)&gt;0),IF((115-N(V_L2_Mes)+1)=N(V_L2_Gracia)+N(V_L2_Cuotas),IF((115-N(V_L2_Mes)+1)=1,N(V_L2_Monto),DO$223),PMT(N(V_L2_Tasa)/12,N(V_L2_Cuotas),-N(V_L2_Monto))-DP$221),0)*DP$9</f>
        <v>0</v>
      </c>
      <c r="DQ222" s="34" t="n">
        <f aca="false">IF(AND((116-N(V_L2_Mes)+1)&gt;N(V_L2_Gracia),(116-N(V_L2_Mes)+1)&lt;=N(V_L2_Gracia)+N(V_L2_Cuotas),N(V_L2_Cuotas)&gt;0),IF((116-N(V_L2_Mes)+1)=N(V_L2_Gracia)+N(V_L2_Cuotas),IF((116-N(V_L2_Mes)+1)=1,N(V_L2_Monto),DP$223),PMT(N(V_L2_Tasa)/12,N(V_L2_Cuotas),-N(V_L2_Monto))-DQ$221),0)*DQ$9</f>
        <v>0</v>
      </c>
      <c r="DR222" s="34" t="n">
        <f aca="false">IF(AND((117-N(V_L2_Mes)+1)&gt;N(V_L2_Gracia),(117-N(V_L2_Mes)+1)&lt;=N(V_L2_Gracia)+N(V_L2_Cuotas),N(V_L2_Cuotas)&gt;0),IF((117-N(V_L2_Mes)+1)=N(V_L2_Gracia)+N(V_L2_Cuotas),IF((117-N(V_L2_Mes)+1)=1,N(V_L2_Monto),DQ$223),PMT(N(V_L2_Tasa)/12,N(V_L2_Cuotas),-N(V_L2_Monto))-DR$221),0)*DR$9</f>
        <v>0</v>
      </c>
      <c r="DS222" s="34" t="n">
        <f aca="false">IF(AND((118-N(V_L2_Mes)+1)&gt;N(V_L2_Gracia),(118-N(V_L2_Mes)+1)&lt;=N(V_L2_Gracia)+N(V_L2_Cuotas),N(V_L2_Cuotas)&gt;0),IF((118-N(V_L2_Mes)+1)=N(V_L2_Gracia)+N(V_L2_Cuotas),IF((118-N(V_L2_Mes)+1)=1,N(V_L2_Monto),DR$223),PMT(N(V_L2_Tasa)/12,N(V_L2_Cuotas),-N(V_L2_Monto))-DS$221),0)*DS$9</f>
        <v>0</v>
      </c>
      <c r="DT222" s="34" t="n">
        <f aca="false">IF(AND((119-N(V_L2_Mes)+1)&gt;N(V_L2_Gracia),(119-N(V_L2_Mes)+1)&lt;=N(V_L2_Gracia)+N(V_L2_Cuotas),N(V_L2_Cuotas)&gt;0),IF((119-N(V_L2_Mes)+1)=N(V_L2_Gracia)+N(V_L2_Cuotas),IF((119-N(V_L2_Mes)+1)=1,N(V_L2_Monto),DS$223),PMT(N(V_L2_Tasa)/12,N(V_L2_Cuotas),-N(V_L2_Monto))-DT$221),0)*DT$9</f>
        <v>0</v>
      </c>
      <c r="DU222" s="34" t="n">
        <f aca="false">IF(AND((120-N(V_L2_Mes)+1)&gt;N(V_L2_Gracia),(120-N(V_L2_Mes)+1)&lt;=N(V_L2_Gracia)+N(V_L2_Cuotas),N(V_L2_Cuotas)&gt;0),IF((120-N(V_L2_Mes)+1)=N(V_L2_Gracia)+N(V_L2_Cuotas),IF((120-N(V_L2_Mes)+1)=1,N(V_L2_Monto),DT$223),PMT(N(V_L2_Tasa)/12,N(V_L2_Cuotas),-N(V_L2_Monto))-DU$221),0)*DU$9</f>
        <v>0</v>
      </c>
      <c r="DV222" s="34" t="n">
        <f aca="false">IF(AND((121-N(V_L2_Mes)+1)&gt;N(V_L2_Gracia),(121-N(V_L2_Mes)+1)&lt;=N(V_L2_Gracia)+N(V_L2_Cuotas),N(V_L2_Cuotas)&gt;0),IF((121-N(V_L2_Mes)+1)=N(V_L2_Gracia)+N(V_L2_Cuotas),IF((121-N(V_L2_Mes)+1)=1,N(V_L2_Monto),DU$223),PMT(N(V_L2_Tasa)/12,N(V_L2_Cuotas),-N(V_L2_Monto))-DV$221),0)*DV$9</f>
        <v>0</v>
      </c>
      <c r="DW222" s="34" t="n">
        <f aca="false">IF(AND((122-N(V_L2_Mes)+1)&gt;N(V_L2_Gracia),(122-N(V_L2_Mes)+1)&lt;=N(V_L2_Gracia)+N(V_L2_Cuotas),N(V_L2_Cuotas)&gt;0),IF((122-N(V_L2_Mes)+1)=N(V_L2_Gracia)+N(V_L2_Cuotas),IF((122-N(V_L2_Mes)+1)=1,N(V_L2_Monto),DV$223),PMT(N(V_L2_Tasa)/12,N(V_L2_Cuotas),-N(V_L2_Monto))-DW$221),0)*DW$9</f>
        <v>0</v>
      </c>
      <c r="DX222" s="34" t="n">
        <f aca="false">IF(AND((123-N(V_L2_Mes)+1)&gt;N(V_L2_Gracia),(123-N(V_L2_Mes)+1)&lt;=N(V_L2_Gracia)+N(V_L2_Cuotas),N(V_L2_Cuotas)&gt;0),IF((123-N(V_L2_Mes)+1)=N(V_L2_Gracia)+N(V_L2_Cuotas),IF((123-N(V_L2_Mes)+1)=1,N(V_L2_Monto),DW$223),PMT(N(V_L2_Tasa)/12,N(V_L2_Cuotas),-N(V_L2_Monto))-DX$221),0)*DX$9</f>
        <v>0</v>
      </c>
      <c r="DY222" s="34" t="n">
        <f aca="false">IF(AND((124-N(V_L2_Mes)+1)&gt;N(V_L2_Gracia),(124-N(V_L2_Mes)+1)&lt;=N(V_L2_Gracia)+N(V_L2_Cuotas),N(V_L2_Cuotas)&gt;0),IF((124-N(V_L2_Mes)+1)=N(V_L2_Gracia)+N(V_L2_Cuotas),IF((124-N(V_L2_Mes)+1)=1,N(V_L2_Monto),DX$223),PMT(N(V_L2_Tasa)/12,N(V_L2_Cuotas),-N(V_L2_Monto))-DY$221),0)*DY$9</f>
        <v>0</v>
      </c>
      <c r="DZ222" s="34" t="n">
        <f aca="false">IF(AND((125-N(V_L2_Mes)+1)&gt;N(V_L2_Gracia),(125-N(V_L2_Mes)+1)&lt;=N(V_L2_Gracia)+N(V_L2_Cuotas),N(V_L2_Cuotas)&gt;0),IF((125-N(V_L2_Mes)+1)=N(V_L2_Gracia)+N(V_L2_Cuotas),IF((125-N(V_L2_Mes)+1)=1,N(V_L2_Monto),DY$223),PMT(N(V_L2_Tasa)/12,N(V_L2_Cuotas),-N(V_L2_Monto))-DZ$221),0)*DZ$9</f>
        <v>0</v>
      </c>
      <c r="EA222" s="34" t="n">
        <f aca="false">IF(AND((126-N(V_L2_Mes)+1)&gt;N(V_L2_Gracia),(126-N(V_L2_Mes)+1)&lt;=N(V_L2_Gracia)+N(V_L2_Cuotas),N(V_L2_Cuotas)&gt;0),IF((126-N(V_L2_Mes)+1)=N(V_L2_Gracia)+N(V_L2_Cuotas),IF((126-N(V_L2_Mes)+1)=1,N(V_L2_Monto),DZ$223),PMT(N(V_L2_Tasa)/12,N(V_L2_Cuotas),-N(V_L2_Monto))-EA$221),0)*EA$9</f>
        <v>0</v>
      </c>
      <c r="EB222" s="34" t="n">
        <f aca="false">IF(AND((127-N(V_L2_Mes)+1)&gt;N(V_L2_Gracia),(127-N(V_L2_Mes)+1)&lt;=N(V_L2_Gracia)+N(V_L2_Cuotas),N(V_L2_Cuotas)&gt;0),IF((127-N(V_L2_Mes)+1)=N(V_L2_Gracia)+N(V_L2_Cuotas),IF((127-N(V_L2_Mes)+1)=1,N(V_L2_Monto),EA$223),PMT(N(V_L2_Tasa)/12,N(V_L2_Cuotas),-N(V_L2_Monto))-EB$221),0)*EB$9</f>
        <v>0</v>
      </c>
      <c r="EC222" s="34" t="n">
        <f aca="false">IF(AND((128-N(V_L2_Mes)+1)&gt;N(V_L2_Gracia),(128-N(V_L2_Mes)+1)&lt;=N(V_L2_Gracia)+N(V_L2_Cuotas),N(V_L2_Cuotas)&gt;0),IF((128-N(V_L2_Mes)+1)=N(V_L2_Gracia)+N(V_L2_Cuotas),IF((128-N(V_L2_Mes)+1)=1,N(V_L2_Monto),EB$223),PMT(N(V_L2_Tasa)/12,N(V_L2_Cuotas),-N(V_L2_Monto))-EC$221),0)*EC$9</f>
        <v>0</v>
      </c>
      <c r="ED222" s="34" t="n">
        <f aca="false">IF(AND((129-N(V_L2_Mes)+1)&gt;N(V_L2_Gracia),(129-N(V_L2_Mes)+1)&lt;=N(V_L2_Gracia)+N(V_L2_Cuotas),N(V_L2_Cuotas)&gt;0),IF((129-N(V_L2_Mes)+1)=N(V_L2_Gracia)+N(V_L2_Cuotas),IF((129-N(V_L2_Mes)+1)=1,N(V_L2_Monto),EC$223),PMT(N(V_L2_Tasa)/12,N(V_L2_Cuotas),-N(V_L2_Monto))-ED$221),0)*ED$9</f>
        <v>0</v>
      </c>
      <c r="EE222" s="34" t="n">
        <f aca="false">IF(AND((130-N(V_L2_Mes)+1)&gt;N(V_L2_Gracia),(130-N(V_L2_Mes)+1)&lt;=N(V_L2_Gracia)+N(V_L2_Cuotas),N(V_L2_Cuotas)&gt;0),IF((130-N(V_L2_Mes)+1)=N(V_L2_Gracia)+N(V_L2_Cuotas),IF((130-N(V_L2_Mes)+1)=1,N(V_L2_Monto),ED$223),PMT(N(V_L2_Tasa)/12,N(V_L2_Cuotas),-N(V_L2_Monto))-EE$221),0)*EE$9</f>
        <v>0</v>
      </c>
      <c r="EF222" s="34" t="n">
        <f aca="false">IF(AND((131-N(V_L2_Mes)+1)&gt;N(V_L2_Gracia),(131-N(V_L2_Mes)+1)&lt;=N(V_L2_Gracia)+N(V_L2_Cuotas),N(V_L2_Cuotas)&gt;0),IF((131-N(V_L2_Mes)+1)=N(V_L2_Gracia)+N(V_L2_Cuotas),IF((131-N(V_L2_Mes)+1)=1,N(V_L2_Monto),EE$223),PMT(N(V_L2_Tasa)/12,N(V_L2_Cuotas),-N(V_L2_Monto))-EF$221),0)*EF$9</f>
        <v>0</v>
      </c>
      <c r="EG222" s="34" t="n">
        <f aca="false">IF(AND((132-N(V_L2_Mes)+1)&gt;N(V_L2_Gracia),(132-N(V_L2_Mes)+1)&lt;=N(V_L2_Gracia)+N(V_L2_Cuotas),N(V_L2_Cuotas)&gt;0),IF((132-N(V_L2_Mes)+1)=N(V_L2_Gracia)+N(V_L2_Cuotas),IF((132-N(V_L2_Mes)+1)=1,N(V_L2_Monto),EF$223),PMT(N(V_L2_Tasa)/12,N(V_L2_Cuotas),-N(V_L2_Monto))-EG$221),0)*EG$9</f>
        <v>0</v>
      </c>
      <c r="EH222" s="34" t="n">
        <f aca="false">IF(AND((133-N(V_L2_Mes)+1)&gt;N(V_L2_Gracia),(133-N(V_L2_Mes)+1)&lt;=N(V_L2_Gracia)+N(V_L2_Cuotas),N(V_L2_Cuotas)&gt;0),IF((133-N(V_L2_Mes)+1)=N(V_L2_Gracia)+N(V_L2_Cuotas),IF((133-N(V_L2_Mes)+1)=1,N(V_L2_Monto),EG$223),PMT(N(V_L2_Tasa)/12,N(V_L2_Cuotas),-N(V_L2_Monto))-EH$221),0)*EH$9</f>
        <v>0</v>
      </c>
      <c r="EI222" s="34" t="n">
        <f aca="false">IF(AND((134-N(V_L2_Mes)+1)&gt;N(V_L2_Gracia),(134-N(V_L2_Mes)+1)&lt;=N(V_L2_Gracia)+N(V_L2_Cuotas),N(V_L2_Cuotas)&gt;0),IF((134-N(V_L2_Mes)+1)=N(V_L2_Gracia)+N(V_L2_Cuotas),IF((134-N(V_L2_Mes)+1)=1,N(V_L2_Monto),EH$223),PMT(N(V_L2_Tasa)/12,N(V_L2_Cuotas),-N(V_L2_Monto))-EI$221),0)*EI$9</f>
        <v>0</v>
      </c>
      <c r="EJ222" s="34" t="n">
        <f aca="false">IF(AND((135-N(V_L2_Mes)+1)&gt;N(V_L2_Gracia),(135-N(V_L2_Mes)+1)&lt;=N(V_L2_Gracia)+N(V_L2_Cuotas),N(V_L2_Cuotas)&gt;0),IF((135-N(V_L2_Mes)+1)=N(V_L2_Gracia)+N(V_L2_Cuotas),IF((135-N(V_L2_Mes)+1)=1,N(V_L2_Monto),EI$223),PMT(N(V_L2_Tasa)/12,N(V_L2_Cuotas),-N(V_L2_Monto))-EJ$221),0)*EJ$9</f>
        <v>0</v>
      </c>
      <c r="EK222" s="34" t="n">
        <f aca="false">IF(AND((136-N(V_L2_Mes)+1)&gt;N(V_L2_Gracia),(136-N(V_L2_Mes)+1)&lt;=N(V_L2_Gracia)+N(V_L2_Cuotas),N(V_L2_Cuotas)&gt;0),IF((136-N(V_L2_Mes)+1)=N(V_L2_Gracia)+N(V_L2_Cuotas),IF((136-N(V_L2_Mes)+1)=1,N(V_L2_Monto),EJ$223),PMT(N(V_L2_Tasa)/12,N(V_L2_Cuotas),-N(V_L2_Monto))-EK$221),0)*EK$9</f>
        <v>0</v>
      </c>
      <c r="EL222" s="34" t="n">
        <f aca="false">IF(AND((137-N(V_L2_Mes)+1)&gt;N(V_L2_Gracia),(137-N(V_L2_Mes)+1)&lt;=N(V_L2_Gracia)+N(V_L2_Cuotas),N(V_L2_Cuotas)&gt;0),IF((137-N(V_L2_Mes)+1)=N(V_L2_Gracia)+N(V_L2_Cuotas),IF((137-N(V_L2_Mes)+1)=1,N(V_L2_Monto),EK$223),PMT(N(V_L2_Tasa)/12,N(V_L2_Cuotas),-N(V_L2_Monto))-EL$221),0)*EL$9</f>
        <v>0</v>
      </c>
      <c r="EM222" s="34" t="n">
        <f aca="false">IF(AND((138-N(V_L2_Mes)+1)&gt;N(V_L2_Gracia),(138-N(V_L2_Mes)+1)&lt;=N(V_L2_Gracia)+N(V_L2_Cuotas),N(V_L2_Cuotas)&gt;0),IF((138-N(V_L2_Mes)+1)=N(V_L2_Gracia)+N(V_L2_Cuotas),IF((138-N(V_L2_Mes)+1)=1,N(V_L2_Monto),EL$223),PMT(N(V_L2_Tasa)/12,N(V_L2_Cuotas),-N(V_L2_Monto))-EM$221),0)*EM$9</f>
        <v>0</v>
      </c>
      <c r="EN222" s="34" t="n">
        <f aca="false">IF(AND((139-N(V_L2_Mes)+1)&gt;N(V_L2_Gracia),(139-N(V_L2_Mes)+1)&lt;=N(V_L2_Gracia)+N(V_L2_Cuotas),N(V_L2_Cuotas)&gt;0),IF((139-N(V_L2_Mes)+1)=N(V_L2_Gracia)+N(V_L2_Cuotas),IF((139-N(V_L2_Mes)+1)=1,N(V_L2_Monto),EM$223),PMT(N(V_L2_Tasa)/12,N(V_L2_Cuotas),-N(V_L2_Monto))-EN$221),0)*EN$9</f>
        <v>0</v>
      </c>
      <c r="EO222" s="34" t="n">
        <f aca="false">IF(AND((140-N(V_L2_Mes)+1)&gt;N(V_L2_Gracia),(140-N(V_L2_Mes)+1)&lt;=N(V_L2_Gracia)+N(V_L2_Cuotas),N(V_L2_Cuotas)&gt;0),IF((140-N(V_L2_Mes)+1)=N(V_L2_Gracia)+N(V_L2_Cuotas),IF((140-N(V_L2_Mes)+1)=1,N(V_L2_Monto),EN$223),PMT(N(V_L2_Tasa)/12,N(V_L2_Cuotas),-N(V_L2_Monto))-EO$221),0)*EO$9</f>
        <v>0</v>
      </c>
      <c r="EP222" s="34" t="n">
        <f aca="false">IF(AND((141-N(V_L2_Mes)+1)&gt;N(V_L2_Gracia),(141-N(V_L2_Mes)+1)&lt;=N(V_L2_Gracia)+N(V_L2_Cuotas),N(V_L2_Cuotas)&gt;0),IF((141-N(V_L2_Mes)+1)=N(V_L2_Gracia)+N(V_L2_Cuotas),IF((141-N(V_L2_Mes)+1)=1,N(V_L2_Monto),EO$223),PMT(N(V_L2_Tasa)/12,N(V_L2_Cuotas),-N(V_L2_Monto))-EP$221),0)*EP$9</f>
        <v>0</v>
      </c>
      <c r="EQ222" s="34" t="n">
        <f aca="false">IF(AND((142-N(V_L2_Mes)+1)&gt;N(V_L2_Gracia),(142-N(V_L2_Mes)+1)&lt;=N(V_L2_Gracia)+N(V_L2_Cuotas),N(V_L2_Cuotas)&gt;0),IF((142-N(V_L2_Mes)+1)=N(V_L2_Gracia)+N(V_L2_Cuotas),IF((142-N(V_L2_Mes)+1)=1,N(V_L2_Monto),EP$223),PMT(N(V_L2_Tasa)/12,N(V_L2_Cuotas),-N(V_L2_Monto))-EQ$221),0)*EQ$9</f>
        <v>0</v>
      </c>
      <c r="ER222" s="34" t="n">
        <f aca="false">IF(AND((143-N(V_L2_Mes)+1)&gt;N(V_L2_Gracia),(143-N(V_L2_Mes)+1)&lt;=N(V_L2_Gracia)+N(V_L2_Cuotas),N(V_L2_Cuotas)&gt;0),IF((143-N(V_L2_Mes)+1)=N(V_L2_Gracia)+N(V_L2_Cuotas),IF((143-N(V_L2_Mes)+1)=1,N(V_L2_Monto),EQ$223),PMT(N(V_L2_Tasa)/12,N(V_L2_Cuotas),-N(V_L2_Monto))-ER$221),0)*ER$9</f>
        <v>0</v>
      </c>
      <c r="ES222" s="34" t="n">
        <f aca="false">IF(AND((144-N(V_L2_Mes)+1)&gt;N(V_L2_Gracia),(144-N(V_L2_Mes)+1)&lt;=N(V_L2_Gracia)+N(V_L2_Cuotas),N(V_L2_Cuotas)&gt;0),IF((144-N(V_L2_Mes)+1)=N(V_L2_Gracia)+N(V_L2_Cuotas),IF((144-N(V_L2_Mes)+1)=1,N(V_L2_Monto),ER$223),PMT(N(V_L2_Tasa)/12,N(V_L2_Cuotas),-N(V_L2_Monto))-ES$221),0)*ES$9</f>
        <v>0</v>
      </c>
    </row>
    <row r="223" customFormat="false" ht="15" hidden="false" customHeight="false" outlineLevel="0" collapsed="false">
      <c r="A223" s="2" t="s">
        <v>697</v>
      </c>
      <c r="B223" s="6" t="s">
        <v>566</v>
      </c>
      <c r="C223" s="6" t="s">
        <v>212</v>
      </c>
      <c r="E223" s="40" t="n">
        <f aca="false">INDEX(F223:ES223,1,MIN(144,Fin))</f>
        <v>0</v>
      </c>
      <c r="F223" s="34" t="n">
        <f aca="false">IF((1-N(V_L2_Mes)+1)&lt;1,0,IF((1-N(V_L2_Mes)+1)=1,N(V_L2_Monto),0)-F$222)</f>
        <v>0</v>
      </c>
      <c r="G223" s="34" t="n">
        <f aca="false">IF((2-N(V_L2_Mes)+1)&lt;1,0,IF((2-N(V_L2_Mes)+1)=1,N(V_L2_Monto),F$223)-G$222)</f>
        <v>0</v>
      </c>
      <c r="H223" s="34" t="n">
        <f aca="false">IF((3-N(V_L2_Mes)+1)&lt;1,0,IF((3-N(V_L2_Mes)+1)=1,N(V_L2_Monto),G$223)-H$222)</f>
        <v>0</v>
      </c>
      <c r="I223" s="34" t="n">
        <f aca="false">IF((4-N(V_L2_Mes)+1)&lt;1,0,IF((4-N(V_L2_Mes)+1)=1,N(V_L2_Monto),H$223)-I$222)</f>
        <v>0</v>
      </c>
      <c r="J223" s="34" t="n">
        <f aca="false">IF((5-N(V_L2_Mes)+1)&lt;1,0,IF((5-N(V_L2_Mes)+1)=1,N(V_L2_Monto),I$223)-J$222)</f>
        <v>0</v>
      </c>
      <c r="K223" s="34" t="n">
        <f aca="false">IF((6-N(V_L2_Mes)+1)&lt;1,0,IF((6-N(V_L2_Mes)+1)=1,N(V_L2_Monto),J$223)-K$222)</f>
        <v>0</v>
      </c>
      <c r="L223" s="34" t="n">
        <f aca="false">IF((7-N(V_L2_Mes)+1)&lt;1,0,IF((7-N(V_L2_Mes)+1)=1,N(V_L2_Monto),K$223)-L$222)</f>
        <v>0</v>
      </c>
      <c r="M223" s="34" t="n">
        <f aca="false">IF((8-N(V_L2_Mes)+1)&lt;1,0,IF((8-N(V_L2_Mes)+1)=1,N(V_L2_Monto),L$223)-M$222)</f>
        <v>0</v>
      </c>
      <c r="N223" s="34" t="n">
        <f aca="false">IF((9-N(V_L2_Mes)+1)&lt;1,0,IF((9-N(V_L2_Mes)+1)=1,N(V_L2_Monto),M$223)-N$222)</f>
        <v>0</v>
      </c>
      <c r="O223" s="34" t="n">
        <f aca="false">IF((10-N(V_L2_Mes)+1)&lt;1,0,IF((10-N(V_L2_Mes)+1)=1,N(V_L2_Monto),N$223)-O$222)</f>
        <v>0</v>
      </c>
      <c r="P223" s="34" t="n">
        <f aca="false">IF((11-N(V_L2_Mes)+1)&lt;1,0,IF((11-N(V_L2_Mes)+1)=1,N(V_L2_Monto),O$223)-P$222)</f>
        <v>0</v>
      </c>
      <c r="Q223" s="34" t="n">
        <f aca="false">IF((12-N(V_L2_Mes)+1)&lt;1,0,IF((12-N(V_L2_Mes)+1)=1,N(V_L2_Monto),P$223)-Q$222)</f>
        <v>0</v>
      </c>
      <c r="R223" s="34" t="n">
        <f aca="false">IF((13-N(V_L2_Mes)+1)&lt;1,0,IF((13-N(V_L2_Mes)+1)=1,N(V_L2_Monto),Q$223)-R$222)</f>
        <v>0</v>
      </c>
      <c r="S223" s="34" t="n">
        <f aca="false">IF((14-N(V_L2_Mes)+1)&lt;1,0,IF((14-N(V_L2_Mes)+1)=1,N(V_L2_Monto),R$223)-S$222)</f>
        <v>0</v>
      </c>
      <c r="T223" s="34" t="n">
        <f aca="false">IF((15-N(V_L2_Mes)+1)&lt;1,0,IF((15-N(V_L2_Mes)+1)=1,N(V_L2_Monto),S$223)-T$222)</f>
        <v>0</v>
      </c>
      <c r="U223" s="34" t="n">
        <f aca="false">IF((16-N(V_L2_Mes)+1)&lt;1,0,IF((16-N(V_L2_Mes)+1)=1,N(V_L2_Monto),T$223)-U$222)</f>
        <v>0</v>
      </c>
      <c r="V223" s="34" t="n">
        <f aca="false">IF((17-N(V_L2_Mes)+1)&lt;1,0,IF((17-N(V_L2_Mes)+1)=1,N(V_L2_Monto),U$223)-V$222)</f>
        <v>0</v>
      </c>
      <c r="W223" s="34" t="n">
        <f aca="false">IF((18-N(V_L2_Mes)+1)&lt;1,0,IF((18-N(V_L2_Mes)+1)=1,N(V_L2_Monto),V$223)-W$222)</f>
        <v>0</v>
      </c>
      <c r="X223" s="34" t="n">
        <f aca="false">IF((19-N(V_L2_Mes)+1)&lt;1,0,IF((19-N(V_L2_Mes)+1)=1,N(V_L2_Monto),W$223)-X$222)</f>
        <v>0</v>
      </c>
      <c r="Y223" s="34" t="n">
        <f aca="false">IF((20-N(V_L2_Mes)+1)&lt;1,0,IF((20-N(V_L2_Mes)+1)=1,N(V_L2_Monto),X$223)-Y$222)</f>
        <v>0</v>
      </c>
      <c r="Z223" s="34" t="n">
        <f aca="false">IF((21-N(V_L2_Mes)+1)&lt;1,0,IF((21-N(V_L2_Mes)+1)=1,N(V_L2_Monto),Y$223)-Z$222)</f>
        <v>0</v>
      </c>
      <c r="AA223" s="34" t="n">
        <f aca="false">IF((22-N(V_L2_Mes)+1)&lt;1,0,IF((22-N(V_L2_Mes)+1)=1,N(V_L2_Monto),Z$223)-AA$222)</f>
        <v>0</v>
      </c>
      <c r="AB223" s="34" t="n">
        <f aca="false">IF((23-N(V_L2_Mes)+1)&lt;1,0,IF((23-N(V_L2_Mes)+1)=1,N(V_L2_Monto),AA$223)-AB$222)</f>
        <v>0</v>
      </c>
      <c r="AC223" s="34" t="n">
        <f aca="false">IF((24-N(V_L2_Mes)+1)&lt;1,0,IF((24-N(V_L2_Mes)+1)=1,N(V_L2_Monto),AB$223)-AC$222)</f>
        <v>0</v>
      </c>
      <c r="AD223" s="34" t="n">
        <f aca="false">IF((25-N(V_L2_Mes)+1)&lt;1,0,IF((25-N(V_L2_Mes)+1)=1,N(V_L2_Monto),AC$223)-AD$222)</f>
        <v>0</v>
      </c>
      <c r="AE223" s="34" t="n">
        <f aca="false">IF((26-N(V_L2_Mes)+1)&lt;1,0,IF((26-N(V_L2_Mes)+1)=1,N(V_L2_Monto),AD$223)-AE$222)</f>
        <v>0</v>
      </c>
      <c r="AF223" s="34" t="n">
        <f aca="false">IF((27-N(V_L2_Mes)+1)&lt;1,0,IF((27-N(V_L2_Mes)+1)=1,N(V_L2_Monto),AE$223)-AF$222)</f>
        <v>0</v>
      </c>
      <c r="AG223" s="34" t="n">
        <f aca="false">IF((28-N(V_L2_Mes)+1)&lt;1,0,IF((28-N(V_L2_Mes)+1)=1,N(V_L2_Monto),AF$223)-AG$222)</f>
        <v>0</v>
      </c>
      <c r="AH223" s="34" t="n">
        <f aca="false">IF((29-N(V_L2_Mes)+1)&lt;1,0,IF((29-N(V_L2_Mes)+1)=1,N(V_L2_Monto),AG$223)-AH$222)</f>
        <v>0</v>
      </c>
      <c r="AI223" s="34" t="n">
        <f aca="false">IF((30-N(V_L2_Mes)+1)&lt;1,0,IF((30-N(V_L2_Mes)+1)=1,N(V_L2_Monto),AH$223)-AI$222)</f>
        <v>0</v>
      </c>
      <c r="AJ223" s="34" t="n">
        <f aca="false">IF((31-N(V_L2_Mes)+1)&lt;1,0,IF((31-N(V_L2_Mes)+1)=1,N(V_L2_Monto),AI$223)-AJ$222)</f>
        <v>0</v>
      </c>
      <c r="AK223" s="34" t="n">
        <f aca="false">IF((32-N(V_L2_Mes)+1)&lt;1,0,IF((32-N(V_L2_Mes)+1)=1,N(V_L2_Monto),AJ$223)-AK$222)</f>
        <v>0</v>
      </c>
      <c r="AL223" s="34" t="n">
        <f aca="false">IF((33-N(V_L2_Mes)+1)&lt;1,0,IF((33-N(V_L2_Mes)+1)=1,N(V_L2_Monto),AK$223)-AL$222)</f>
        <v>0</v>
      </c>
      <c r="AM223" s="34" t="n">
        <f aca="false">IF((34-N(V_L2_Mes)+1)&lt;1,0,IF((34-N(V_L2_Mes)+1)=1,N(V_L2_Monto),AL$223)-AM$222)</f>
        <v>0</v>
      </c>
      <c r="AN223" s="34" t="n">
        <f aca="false">IF((35-N(V_L2_Mes)+1)&lt;1,0,IF((35-N(V_L2_Mes)+1)=1,N(V_L2_Monto),AM$223)-AN$222)</f>
        <v>0</v>
      </c>
      <c r="AO223" s="34" t="n">
        <f aca="false">IF((36-N(V_L2_Mes)+1)&lt;1,0,IF((36-N(V_L2_Mes)+1)=1,N(V_L2_Monto),AN$223)-AO$222)</f>
        <v>0</v>
      </c>
      <c r="AP223" s="34" t="n">
        <f aca="false">IF((37-N(V_L2_Mes)+1)&lt;1,0,IF((37-N(V_L2_Mes)+1)=1,N(V_L2_Monto),AO$223)-AP$222)</f>
        <v>0</v>
      </c>
      <c r="AQ223" s="34" t="n">
        <f aca="false">IF((38-N(V_L2_Mes)+1)&lt;1,0,IF((38-N(V_L2_Mes)+1)=1,N(V_L2_Monto),AP$223)-AQ$222)</f>
        <v>0</v>
      </c>
      <c r="AR223" s="34" t="n">
        <f aca="false">IF((39-N(V_L2_Mes)+1)&lt;1,0,IF((39-N(V_L2_Mes)+1)=1,N(V_L2_Monto),AQ$223)-AR$222)</f>
        <v>0</v>
      </c>
      <c r="AS223" s="34" t="n">
        <f aca="false">IF((40-N(V_L2_Mes)+1)&lt;1,0,IF((40-N(V_L2_Mes)+1)=1,N(V_L2_Monto),AR$223)-AS$222)</f>
        <v>0</v>
      </c>
      <c r="AT223" s="34" t="n">
        <f aca="false">IF((41-N(V_L2_Mes)+1)&lt;1,0,IF((41-N(V_L2_Mes)+1)=1,N(V_L2_Monto),AS$223)-AT$222)</f>
        <v>0</v>
      </c>
      <c r="AU223" s="34" t="n">
        <f aca="false">IF((42-N(V_L2_Mes)+1)&lt;1,0,IF((42-N(V_L2_Mes)+1)=1,N(V_L2_Monto),AT$223)-AU$222)</f>
        <v>0</v>
      </c>
      <c r="AV223" s="34" t="n">
        <f aca="false">IF((43-N(V_L2_Mes)+1)&lt;1,0,IF((43-N(V_L2_Mes)+1)=1,N(V_L2_Monto),AU$223)-AV$222)</f>
        <v>0</v>
      </c>
      <c r="AW223" s="34" t="n">
        <f aca="false">IF((44-N(V_L2_Mes)+1)&lt;1,0,IF((44-N(V_L2_Mes)+1)=1,N(V_L2_Monto),AV$223)-AW$222)</f>
        <v>0</v>
      </c>
      <c r="AX223" s="34" t="n">
        <f aca="false">IF((45-N(V_L2_Mes)+1)&lt;1,0,IF((45-N(V_L2_Mes)+1)=1,N(V_L2_Monto),AW$223)-AX$222)</f>
        <v>0</v>
      </c>
      <c r="AY223" s="34" t="n">
        <f aca="false">IF((46-N(V_L2_Mes)+1)&lt;1,0,IF((46-N(V_L2_Mes)+1)=1,N(V_L2_Monto),AX$223)-AY$222)</f>
        <v>0</v>
      </c>
      <c r="AZ223" s="34" t="n">
        <f aca="false">IF((47-N(V_L2_Mes)+1)&lt;1,0,IF((47-N(V_L2_Mes)+1)=1,N(V_L2_Monto),AY$223)-AZ$222)</f>
        <v>0</v>
      </c>
      <c r="BA223" s="34" t="n">
        <f aca="false">IF((48-N(V_L2_Mes)+1)&lt;1,0,IF((48-N(V_L2_Mes)+1)=1,N(V_L2_Monto),AZ$223)-BA$222)</f>
        <v>0</v>
      </c>
      <c r="BB223" s="34" t="n">
        <f aca="false">IF((49-N(V_L2_Mes)+1)&lt;1,0,IF((49-N(V_L2_Mes)+1)=1,N(V_L2_Monto),BA$223)-BB$222)</f>
        <v>0</v>
      </c>
      <c r="BC223" s="34" t="n">
        <f aca="false">IF((50-N(V_L2_Mes)+1)&lt;1,0,IF((50-N(V_L2_Mes)+1)=1,N(V_L2_Monto),BB$223)-BC$222)</f>
        <v>0</v>
      </c>
      <c r="BD223" s="34" t="n">
        <f aca="false">IF((51-N(V_L2_Mes)+1)&lt;1,0,IF((51-N(V_L2_Mes)+1)=1,N(V_L2_Monto),BC$223)-BD$222)</f>
        <v>0</v>
      </c>
      <c r="BE223" s="34" t="n">
        <f aca="false">IF((52-N(V_L2_Mes)+1)&lt;1,0,IF((52-N(V_L2_Mes)+1)=1,N(V_L2_Monto),BD$223)-BE$222)</f>
        <v>0</v>
      </c>
      <c r="BF223" s="34" t="n">
        <f aca="false">IF((53-N(V_L2_Mes)+1)&lt;1,0,IF((53-N(V_L2_Mes)+1)=1,N(V_L2_Monto),BE$223)-BF$222)</f>
        <v>0</v>
      </c>
      <c r="BG223" s="34" t="n">
        <f aca="false">IF((54-N(V_L2_Mes)+1)&lt;1,0,IF((54-N(V_L2_Mes)+1)=1,N(V_L2_Monto),BF$223)-BG$222)</f>
        <v>0</v>
      </c>
      <c r="BH223" s="34" t="n">
        <f aca="false">IF((55-N(V_L2_Mes)+1)&lt;1,0,IF((55-N(V_L2_Mes)+1)=1,N(V_L2_Monto),BG$223)-BH$222)</f>
        <v>0</v>
      </c>
      <c r="BI223" s="34" t="n">
        <f aca="false">IF((56-N(V_L2_Mes)+1)&lt;1,0,IF((56-N(V_L2_Mes)+1)=1,N(V_L2_Monto),BH$223)-BI$222)</f>
        <v>0</v>
      </c>
      <c r="BJ223" s="34" t="n">
        <f aca="false">IF((57-N(V_L2_Mes)+1)&lt;1,0,IF((57-N(V_L2_Mes)+1)=1,N(V_L2_Monto),BI$223)-BJ$222)</f>
        <v>0</v>
      </c>
      <c r="BK223" s="34" t="n">
        <f aca="false">IF((58-N(V_L2_Mes)+1)&lt;1,0,IF((58-N(V_L2_Mes)+1)=1,N(V_L2_Monto),BJ$223)-BK$222)</f>
        <v>0</v>
      </c>
      <c r="BL223" s="34" t="n">
        <f aca="false">IF((59-N(V_L2_Mes)+1)&lt;1,0,IF((59-N(V_L2_Mes)+1)=1,N(V_L2_Monto),BK$223)-BL$222)</f>
        <v>0</v>
      </c>
      <c r="BM223" s="34" t="n">
        <f aca="false">IF((60-N(V_L2_Mes)+1)&lt;1,0,IF((60-N(V_L2_Mes)+1)=1,N(V_L2_Monto),BL$223)-BM$222)</f>
        <v>0</v>
      </c>
      <c r="BN223" s="34" t="n">
        <f aca="false">IF((61-N(V_L2_Mes)+1)&lt;1,0,IF((61-N(V_L2_Mes)+1)=1,N(V_L2_Monto),BM$223)-BN$222)</f>
        <v>0</v>
      </c>
      <c r="BO223" s="34" t="n">
        <f aca="false">IF((62-N(V_L2_Mes)+1)&lt;1,0,IF((62-N(V_L2_Mes)+1)=1,N(V_L2_Monto),BN$223)-BO$222)</f>
        <v>0</v>
      </c>
      <c r="BP223" s="34" t="n">
        <f aca="false">IF((63-N(V_L2_Mes)+1)&lt;1,0,IF((63-N(V_L2_Mes)+1)=1,N(V_L2_Monto),BO$223)-BP$222)</f>
        <v>0</v>
      </c>
      <c r="BQ223" s="34" t="n">
        <f aca="false">IF((64-N(V_L2_Mes)+1)&lt;1,0,IF((64-N(V_L2_Mes)+1)=1,N(V_L2_Monto),BP$223)-BQ$222)</f>
        <v>0</v>
      </c>
      <c r="BR223" s="34" t="n">
        <f aca="false">IF((65-N(V_L2_Mes)+1)&lt;1,0,IF((65-N(V_L2_Mes)+1)=1,N(V_L2_Monto),BQ$223)-BR$222)</f>
        <v>0</v>
      </c>
      <c r="BS223" s="34" t="n">
        <f aca="false">IF((66-N(V_L2_Mes)+1)&lt;1,0,IF((66-N(V_L2_Mes)+1)=1,N(V_L2_Monto),BR$223)-BS$222)</f>
        <v>0</v>
      </c>
      <c r="BT223" s="34" t="n">
        <f aca="false">IF((67-N(V_L2_Mes)+1)&lt;1,0,IF((67-N(V_L2_Mes)+1)=1,N(V_L2_Monto),BS$223)-BT$222)</f>
        <v>0</v>
      </c>
      <c r="BU223" s="34" t="n">
        <f aca="false">IF((68-N(V_L2_Mes)+1)&lt;1,0,IF((68-N(V_L2_Mes)+1)=1,N(V_L2_Monto),BT$223)-BU$222)</f>
        <v>0</v>
      </c>
      <c r="BV223" s="34" t="n">
        <f aca="false">IF((69-N(V_L2_Mes)+1)&lt;1,0,IF((69-N(V_L2_Mes)+1)=1,N(V_L2_Monto),BU$223)-BV$222)</f>
        <v>0</v>
      </c>
      <c r="BW223" s="34" t="n">
        <f aca="false">IF((70-N(V_L2_Mes)+1)&lt;1,0,IF((70-N(V_L2_Mes)+1)=1,N(V_L2_Monto),BV$223)-BW$222)</f>
        <v>0</v>
      </c>
      <c r="BX223" s="34" t="n">
        <f aca="false">IF((71-N(V_L2_Mes)+1)&lt;1,0,IF((71-N(V_L2_Mes)+1)=1,N(V_L2_Monto),BW$223)-BX$222)</f>
        <v>0</v>
      </c>
      <c r="BY223" s="34" t="n">
        <f aca="false">IF((72-N(V_L2_Mes)+1)&lt;1,0,IF((72-N(V_L2_Mes)+1)=1,N(V_L2_Monto),BX$223)-BY$222)</f>
        <v>0</v>
      </c>
      <c r="BZ223" s="34" t="n">
        <f aca="false">IF((73-N(V_L2_Mes)+1)&lt;1,0,IF((73-N(V_L2_Mes)+1)=1,N(V_L2_Monto),BY$223)-BZ$222)</f>
        <v>0</v>
      </c>
      <c r="CA223" s="34" t="n">
        <f aca="false">IF((74-N(V_L2_Mes)+1)&lt;1,0,IF((74-N(V_L2_Mes)+1)=1,N(V_L2_Monto),BZ$223)-CA$222)</f>
        <v>0</v>
      </c>
      <c r="CB223" s="34" t="n">
        <f aca="false">IF((75-N(V_L2_Mes)+1)&lt;1,0,IF((75-N(V_L2_Mes)+1)=1,N(V_L2_Monto),CA$223)-CB$222)</f>
        <v>0</v>
      </c>
      <c r="CC223" s="34" t="n">
        <f aca="false">IF((76-N(V_L2_Mes)+1)&lt;1,0,IF((76-N(V_L2_Mes)+1)=1,N(V_L2_Monto),CB$223)-CC$222)</f>
        <v>0</v>
      </c>
      <c r="CD223" s="34" t="n">
        <f aca="false">IF((77-N(V_L2_Mes)+1)&lt;1,0,IF((77-N(V_L2_Mes)+1)=1,N(V_L2_Monto),CC$223)-CD$222)</f>
        <v>0</v>
      </c>
      <c r="CE223" s="34" t="n">
        <f aca="false">IF((78-N(V_L2_Mes)+1)&lt;1,0,IF((78-N(V_L2_Mes)+1)=1,N(V_L2_Monto),CD$223)-CE$222)</f>
        <v>0</v>
      </c>
      <c r="CF223" s="34" t="n">
        <f aca="false">IF((79-N(V_L2_Mes)+1)&lt;1,0,IF((79-N(V_L2_Mes)+1)=1,N(V_L2_Monto),CE$223)-CF$222)</f>
        <v>0</v>
      </c>
      <c r="CG223" s="34" t="n">
        <f aca="false">IF((80-N(V_L2_Mes)+1)&lt;1,0,IF((80-N(V_L2_Mes)+1)=1,N(V_L2_Monto),CF$223)-CG$222)</f>
        <v>0</v>
      </c>
      <c r="CH223" s="34" t="n">
        <f aca="false">IF((81-N(V_L2_Mes)+1)&lt;1,0,IF((81-N(V_L2_Mes)+1)=1,N(V_L2_Monto),CG$223)-CH$222)</f>
        <v>0</v>
      </c>
      <c r="CI223" s="34" t="n">
        <f aca="false">IF((82-N(V_L2_Mes)+1)&lt;1,0,IF((82-N(V_L2_Mes)+1)=1,N(V_L2_Monto),CH$223)-CI$222)</f>
        <v>0</v>
      </c>
      <c r="CJ223" s="34" t="n">
        <f aca="false">IF((83-N(V_L2_Mes)+1)&lt;1,0,IF((83-N(V_L2_Mes)+1)=1,N(V_L2_Monto),CI$223)-CJ$222)</f>
        <v>0</v>
      </c>
      <c r="CK223" s="34" t="n">
        <f aca="false">IF((84-N(V_L2_Mes)+1)&lt;1,0,IF((84-N(V_L2_Mes)+1)=1,N(V_L2_Monto),CJ$223)-CK$222)</f>
        <v>0</v>
      </c>
      <c r="CL223" s="34" t="n">
        <f aca="false">IF((85-N(V_L2_Mes)+1)&lt;1,0,IF((85-N(V_L2_Mes)+1)=1,N(V_L2_Monto),CK$223)-CL$222)</f>
        <v>0</v>
      </c>
      <c r="CM223" s="34" t="n">
        <f aca="false">IF((86-N(V_L2_Mes)+1)&lt;1,0,IF((86-N(V_L2_Mes)+1)=1,N(V_L2_Monto),CL$223)-CM$222)</f>
        <v>0</v>
      </c>
      <c r="CN223" s="34" t="n">
        <f aca="false">IF((87-N(V_L2_Mes)+1)&lt;1,0,IF((87-N(V_L2_Mes)+1)=1,N(V_L2_Monto),CM$223)-CN$222)</f>
        <v>0</v>
      </c>
      <c r="CO223" s="34" t="n">
        <f aca="false">IF((88-N(V_L2_Mes)+1)&lt;1,0,IF((88-N(V_L2_Mes)+1)=1,N(V_L2_Monto),CN$223)-CO$222)</f>
        <v>0</v>
      </c>
      <c r="CP223" s="34" t="n">
        <f aca="false">IF((89-N(V_L2_Mes)+1)&lt;1,0,IF((89-N(V_L2_Mes)+1)=1,N(V_L2_Monto),CO$223)-CP$222)</f>
        <v>0</v>
      </c>
      <c r="CQ223" s="34" t="n">
        <f aca="false">IF((90-N(V_L2_Mes)+1)&lt;1,0,IF((90-N(V_L2_Mes)+1)=1,N(V_L2_Monto),CP$223)-CQ$222)</f>
        <v>0</v>
      </c>
      <c r="CR223" s="34" t="n">
        <f aca="false">IF((91-N(V_L2_Mes)+1)&lt;1,0,IF((91-N(V_L2_Mes)+1)=1,N(V_L2_Monto),CQ$223)-CR$222)</f>
        <v>0</v>
      </c>
      <c r="CS223" s="34" t="n">
        <f aca="false">IF((92-N(V_L2_Mes)+1)&lt;1,0,IF((92-N(V_L2_Mes)+1)=1,N(V_L2_Monto),CR$223)-CS$222)</f>
        <v>0</v>
      </c>
      <c r="CT223" s="34" t="n">
        <f aca="false">IF((93-N(V_L2_Mes)+1)&lt;1,0,IF((93-N(V_L2_Mes)+1)=1,N(V_L2_Monto),CS$223)-CT$222)</f>
        <v>0</v>
      </c>
      <c r="CU223" s="34" t="n">
        <f aca="false">IF((94-N(V_L2_Mes)+1)&lt;1,0,IF((94-N(V_L2_Mes)+1)=1,N(V_L2_Monto),CT$223)-CU$222)</f>
        <v>0</v>
      </c>
      <c r="CV223" s="34" t="n">
        <f aca="false">IF((95-N(V_L2_Mes)+1)&lt;1,0,IF((95-N(V_L2_Mes)+1)=1,N(V_L2_Monto),CU$223)-CV$222)</f>
        <v>0</v>
      </c>
      <c r="CW223" s="34" t="n">
        <f aca="false">IF((96-N(V_L2_Mes)+1)&lt;1,0,IF((96-N(V_L2_Mes)+1)=1,N(V_L2_Monto),CV$223)-CW$222)</f>
        <v>0</v>
      </c>
      <c r="CX223" s="34" t="n">
        <f aca="false">IF((97-N(V_L2_Mes)+1)&lt;1,0,IF((97-N(V_L2_Mes)+1)=1,N(V_L2_Monto),CW$223)-CX$222)</f>
        <v>0</v>
      </c>
      <c r="CY223" s="34" t="n">
        <f aca="false">IF((98-N(V_L2_Mes)+1)&lt;1,0,IF((98-N(V_L2_Mes)+1)=1,N(V_L2_Monto),CX$223)-CY$222)</f>
        <v>0</v>
      </c>
      <c r="CZ223" s="34" t="n">
        <f aca="false">IF((99-N(V_L2_Mes)+1)&lt;1,0,IF((99-N(V_L2_Mes)+1)=1,N(V_L2_Monto),CY$223)-CZ$222)</f>
        <v>0</v>
      </c>
      <c r="DA223" s="34" t="n">
        <f aca="false">IF((100-N(V_L2_Mes)+1)&lt;1,0,IF((100-N(V_L2_Mes)+1)=1,N(V_L2_Monto),CZ$223)-DA$222)</f>
        <v>0</v>
      </c>
      <c r="DB223" s="34" t="n">
        <f aca="false">IF((101-N(V_L2_Mes)+1)&lt;1,0,IF((101-N(V_L2_Mes)+1)=1,N(V_L2_Monto),DA$223)-DB$222)</f>
        <v>0</v>
      </c>
      <c r="DC223" s="34" t="n">
        <f aca="false">IF((102-N(V_L2_Mes)+1)&lt;1,0,IF((102-N(V_L2_Mes)+1)=1,N(V_L2_Monto),DB$223)-DC$222)</f>
        <v>0</v>
      </c>
      <c r="DD223" s="34" t="n">
        <f aca="false">IF((103-N(V_L2_Mes)+1)&lt;1,0,IF((103-N(V_L2_Mes)+1)=1,N(V_L2_Monto),DC$223)-DD$222)</f>
        <v>0</v>
      </c>
      <c r="DE223" s="34" t="n">
        <f aca="false">IF((104-N(V_L2_Mes)+1)&lt;1,0,IF((104-N(V_L2_Mes)+1)=1,N(V_L2_Monto),DD$223)-DE$222)</f>
        <v>0</v>
      </c>
      <c r="DF223" s="34" t="n">
        <f aca="false">IF((105-N(V_L2_Mes)+1)&lt;1,0,IF((105-N(V_L2_Mes)+1)=1,N(V_L2_Monto),DE$223)-DF$222)</f>
        <v>0</v>
      </c>
      <c r="DG223" s="34" t="n">
        <f aca="false">IF((106-N(V_L2_Mes)+1)&lt;1,0,IF((106-N(V_L2_Mes)+1)=1,N(V_L2_Monto),DF$223)-DG$222)</f>
        <v>0</v>
      </c>
      <c r="DH223" s="34" t="n">
        <f aca="false">IF((107-N(V_L2_Mes)+1)&lt;1,0,IF((107-N(V_L2_Mes)+1)=1,N(V_L2_Monto),DG$223)-DH$222)</f>
        <v>0</v>
      </c>
      <c r="DI223" s="34" t="n">
        <f aca="false">IF((108-N(V_L2_Mes)+1)&lt;1,0,IF((108-N(V_L2_Mes)+1)=1,N(V_L2_Monto),DH$223)-DI$222)</f>
        <v>0</v>
      </c>
      <c r="DJ223" s="34" t="n">
        <f aca="false">IF((109-N(V_L2_Mes)+1)&lt;1,0,IF((109-N(V_L2_Mes)+1)=1,N(V_L2_Monto),DI$223)-DJ$222)</f>
        <v>0</v>
      </c>
      <c r="DK223" s="34" t="n">
        <f aca="false">IF((110-N(V_L2_Mes)+1)&lt;1,0,IF((110-N(V_L2_Mes)+1)=1,N(V_L2_Monto),DJ$223)-DK$222)</f>
        <v>0</v>
      </c>
      <c r="DL223" s="34" t="n">
        <f aca="false">IF((111-N(V_L2_Mes)+1)&lt;1,0,IF((111-N(V_L2_Mes)+1)=1,N(V_L2_Monto),DK$223)-DL$222)</f>
        <v>0</v>
      </c>
      <c r="DM223" s="34" t="n">
        <f aca="false">IF((112-N(V_L2_Mes)+1)&lt;1,0,IF((112-N(V_L2_Mes)+1)=1,N(V_L2_Monto),DL$223)-DM$222)</f>
        <v>0</v>
      </c>
      <c r="DN223" s="34" t="n">
        <f aca="false">IF((113-N(V_L2_Mes)+1)&lt;1,0,IF((113-N(V_L2_Mes)+1)=1,N(V_L2_Monto),DM$223)-DN$222)</f>
        <v>0</v>
      </c>
      <c r="DO223" s="34" t="n">
        <f aca="false">IF((114-N(V_L2_Mes)+1)&lt;1,0,IF((114-N(V_L2_Mes)+1)=1,N(V_L2_Monto),DN$223)-DO$222)</f>
        <v>0</v>
      </c>
      <c r="DP223" s="34" t="n">
        <f aca="false">IF((115-N(V_L2_Mes)+1)&lt;1,0,IF((115-N(V_L2_Mes)+1)=1,N(V_L2_Monto),DO$223)-DP$222)</f>
        <v>0</v>
      </c>
      <c r="DQ223" s="34" t="n">
        <f aca="false">IF((116-N(V_L2_Mes)+1)&lt;1,0,IF((116-N(V_L2_Mes)+1)=1,N(V_L2_Monto),DP$223)-DQ$222)</f>
        <v>0</v>
      </c>
      <c r="DR223" s="34" t="n">
        <f aca="false">IF((117-N(V_L2_Mes)+1)&lt;1,0,IF((117-N(V_L2_Mes)+1)=1,N(V_L2_Monto),DQ$223)-DR$222)</f>
        <v>0</v>
      </c>
      <c r="DS223" s="34" t="n">
        <f aca="false">IF((118-N(V_L2_Mes)+1)&lt;1,0,IF((118-N(V_L2_Mes)+1)=1,N(V_L2_Monto),DR$223)-DS$222)</f>
        <v>0</v>
      </c>
      <c r="DT223" s="34" t="n">
        <f aca="false">IF((119-N(V_L2_Mes)+1)&lt;1,0,IF((119-N(V_L2_Mes)+1)=1,N(V_L2_Monto),DS$223)-DT$222)</f>
        <v>0</v>
      </c>
      <c r="DU223" s="34" t="n">
        <f aca="false">IF((120-N(V_L2_Mes)+1)&lt;1,0,IF((120-N(V_L2_Mes)+1)=1,N(V_L2_Monto),DT$223)-DU$222)</f>
        <v>0</v>
      </c>
      <c r="DV223" s="34" t="n">
        <f aca="false">IF((121-N(V_L2_Mes)+1)&lt;1,0,IF((121-N(V_L2_Mes)+1)=1,N(V_L2_Monto),DU$223)-DV$222)</f>
        <v>0</v>
      </c>
      <c r="DW223" s="34" t="n">
        <f aca="false">IF((122-N(V_L2_Mes)+1)&lt;1,0,IF((122-N(V_L2_Mes)+1)=1,N(V_L2_Monto),DV$223)-DW$222)</f>
        <v>0</v>
      </c>
      <c r="DX223" s="34" t="n">
        <f aca="false">IF((123-N(V_L2_Mes)+1)&lt;1,0,IF((123-N(V_L2_Mes)+1)=1,N(V_L2_Monto),DW$223)-DX$222)</f>
        <v>0</v>
      </c>
      <c r="DY223" s="34" t="n">
        <f aca="false">IF((124-N(V_L2_Mes)+1)&lt;1,0,IF((124-N(V_L2_Mes)+1)=1,N(V_L2_Monto),DX$223)-DY$222)</f>
        <v>0</v>
      </c>
      <c r="DZ223" s="34" t="n">
        <f aca="false">IF((125-N(V_L2_Mes)+1)&lt;1,0,IF((125-N(V_L2_Mes)+1)=1,N(V_L2_Monto),DY$223)-DZ$222)</f>
        <v>0</v>
      </c>
      <c r="EA223" s="34" t="n">
        <f aca="false">IF((126-N(V_L2_Mes)+1)&lt;1,0,IF((126-N(V_L2_Mes)+1)=1,N(V_L2_Monto),DZ$223)-EA$222)</f>
        <v>0</v>
      </c>
      <c r="EB223" s="34" t="n">
        <f aca="false">IF((127-N(V_L2_Mes)+1)&lt;1,0,IF((127-N(V_L2_Mes)+1)=1,N(V_L2_Monto),EA$223)-EB$222)</f>
        <v>0</v>
      </c>
      <c r="EC223" s="34" t="n">
        <f aca="false">IF((128-N(V_L2_Mes)+1)&lt;1,0,IF((128-N(V_L2_Mes)+1)=1,N(V_L2_Monto),EB$223)-EC$222)</f>
        <v>0</v>
      </c>
      <c r="ED223" s="34" t="n">
        <f aca="false">IF((129-N(V_L2_Mes)+1)&lt;1,0,IF((129-N(V_L2_Mes)+1)=1,N(V_L2_Monto),EC$223)-ED$222)</f>
        <v>0</v>
      </c>
      <c r="EE223" s="34" t="n">
        <f aca="false">IF((130-N(V_L2_Mes)+1)&lt;1,0,IF((130-N(V_L2_Mes)+1)=1,N(V_L2_Monto),ED$223)-EE$222)</f>
        <v>0</v>
      </c>
      <c r="EF223" s="34" t="n">
        <f aca="false">IF((131-N(V_L2_Mes)+1)&lt;1,0,IF((131-N(V_L2_Mes)+1)=1,N(V_L2_Monto),EE$223)-EF$222)</f>
        <v>0</v>
      </c>
      <c r="EG223" s="34" t="n">
        <f aca="false">IF((132-N(V_L2_Mes)+1)&lt;1,0,IF((132-N(V_L2_Mes)+1)=1,N(V_L2_Monto),EF$223)-EG$222)</f>
        <v>0</v>
      </c>
      <c r="EH223" s="34" t="n">
        <f aca="false">IF((133-N(V_L2_Mes)+1)&lt;1,0,IF((133-N(V_L2_Mes)+1)=1,N(V_L2_Monto),EG$223)-EH$222)</f>
        <v>0</v>
      </c>
      <c r="EI223" s="34" t="n">
        <f aca="false">IF((134-N(V_L2_Mes)+1)&lt;1,0,IF((134-N(V_L2_Mes)+1)=1,N(V_L2_Monto),EH$223)-EI$222)</f>
        <v>0</v>
      </c>
      <c r="EJ223" s="34" t="n">
        <f aca="false">IF((135-N(V_L2_Mes)+1)&lt;1,0,IF((135-N(V_L2_Mes)+1)=1,N(V_L2_Monto),EI$223)-EJ$222)</f>
        <v>0</v>
      </c>
      <c r="EK223" s="34" t="n">
        <f aca="false">IF((136-N(V_L2_Mes)+1)&lt;1,0,IF((136-N(V_L2_Mes)+1)=1,N(V_L2_Monto),EJ$223)-EK$222)</f>
        <v>0</v>
      </c>
      <c r="EL223" s="34" t="n">
        <f aca="false">IF((137-N(V_L2_Mes)+1)&lt;1,0,IF((137-N(V_L2_Mes)+1)=1,N(V_L2_Monto),EK$223)-EL$222)</f>
        <v>0</v>
      </c>
      <c r="EM223" s="34" t="n">
        <f aca="false">IF((138-N(V_L2_Mes)+1)&lt;1,0,IF((138-N(V_L2_Mes)+1)=1,N(V_L2_Monto),EL$223)-EM$222)</f>
        <v>0</v>
      </c>
      <c r="EN223" s="34" t="n">
        <f aca="false">IF((139-N(V_L2_Mes)+1)&lt;1,0,IF((139-N(V_L2_Mes)+1)=1,N(V_L2_Monto),EM$223)-EN$222)</f>
        <v>0</v>
      </c>
      <c r="EO223" s="34" t="n">
        <f aca="false">IF((140-N(V_L2_Mes)+1)&lt;1,0,IF((140-N(V_L2_Mes)+1)=1,N(V_L2_Monto),EN$223)-EO$222)</f>
        <v>0</v>
      </c>
      <c r="EP223" s="34" t="n">
        <f aca="false">IF((141-N(V_L2_Mes)+1)&lt;1,0,IF((141-N(V_L2_Mes)+1)=1,N(V_L2_Monto),EO$223)-EP$222)</f>
        <v>0</v>
      </c>
      <c r="EQ223" s="34" t="n">
        <f aca="false">IF((142-N(V_L2_Mes)+1)&lt;1,0,IF((142-N(V_L2_Mes)+1)=1,N(V_L2_Monto),EP$223)-EQ$222)</f>
        <v>0</v>
      </c>
      <c r="ER223" s="34" t="n">
        <f aca="false">IF((143-N(V_L2_Mes)+1)&lt;1,0,IF((143-N(V_L2_Mes)+1)=1,N(V_L2_Monto),EQ$223)-ER$222)</f>
        <v>0</v>
      </c>
      <c r="ES223" s="34" t="n">
        <f aca="false">IF((144-N(V_L2_Mes)+1)&lt;1,0,IF((144-N(V_L2_Mes)+1)=1,N(V_L2_Monto),ER$223)-ES$222)</f>
        <v>0</v>
      </c>
    </row>
    <row r="224" customFormat="false" ht="15" hidden="false" customHeight="false" outlineLevel="0" collapsed="false">
      <c r="A224" s="2" t="s">
        <v>698</v>
      </c>
      <c r="B224" s="6" t="s">
        <v>568</v>
      </c>
      <c r="C224" s="6" t="s">
        <v>212</v>
      </c>
      <c r="E224" s="40" t="n">
        <f aca="false">SUM(F224:ES224)</f>
        <v>0</v>
      </c>
      <c r="F224" s="34" t="n">
        <f aca="false">IF((1-N(V_L3_Mes)+1)=1,N(V_L3_Monto),0)*F$9</f>
        <v>0</v>
      </c>
      <c r="G224" s="34" t="n">
        <f aca="false">IF((2-N(V_L3_Mes)+1)=1,N(V_L3_Monto),0)*G$9</f>
        <v>0</v>
      </c>
      <c r="H224" s="34" t="n">
        <f aca="false">IF((3-N(V_L3_Mes)+1)=1,N(V_L3_Monto),0)*H$9</f>
        <v>0</v>
      </c>
      <c r="I224" s="34" t="n">
        <f aca="false">IF((4-N(V_L3_Mes)+1)=1,N(V_L3_Monto),0)*I$9</f>
        <v>0</v>
      </c>
      <c r="J224" s="34" t="n">
        <f aca="false">IF((5-N(V_L3_Mes)+1)=1,N(V_L3_Monto),0)*J$9</f>
        <v>0</v>
      </c>
      <c r="K224" s="34" t="n">
        <f aca="false">IF((6-N(V_L3_Mes)+1)=1,N(V_L3_Monto),0)*K$9</f>
        <v>0</v>
      </c>
      <c r="L224" s="34" t="n">
        <f aca="false">IF((7-N(V_L3_Mes)+1)=1,N(V_L3_Monto),0)*L$9</f>
        <v>0</v>
      </c>
      <c r="M224" s="34" t="n">
        <f aca="false">IF((8-N(V_L3_Mes)+1)=1,N(V_L3_Monto),0)*M$9</f>
        <v>0</v>
      </c>
      <c r="N224" s="34" t="n">
        <f aca="false">IF((9-N(V_L3_Mes)+1)=1,N(V_L3_Monto),0)*N$9</f>
        <v>0</v>
      </c>
      <c r="O224" s="34" t="n">
        <f aca="false">IF((10-N(V_L3_Mes)+1)=1,N(V_L3_Monto),0)*O$9</f>
        <v>0</v>
      </c>
      <c r="P224" s="34" t="n">
        <f aca="false">IF((11-N(V_L3_Mes)+1)=1,N(V_L3_Monto),0)*P$9</f>
        <v>0</v>
      </c>
      <c r="Q224" s="34" t="n">
        <f aca="false">IF((12-N(V_L3_Mes)+1)=1,N(V_L3_Monto),0)*Q$9</f>
        <v>0</v>
      </c>
      <c r="R224" s="34" t="n">
        <f aca="false">IF((13-N(V_L3_Mes)+1)=1,N(V_L3_Monto),0)*R$9</f>
        <v>0</v>
      </c>
      <c r="S224" s="34" t="n">
        <f aca="false">IF((14-N(V_L3_Mes)+1)=1,N(V_L3_Monto),0)*S$9</f>
        <v>0</v>
      </c>
      <c r="T224" s="34" t="n">
        <f aca="false">IF((15-N(V_L3_Mes)+1)=1,N(V_L3_Monto),0)*T$9</f>
        <v>0</v>
      </c>
      <c r="U224" s="34" t="n">
        <f aca="false">IF((16-N(V_L3_Mes)+1)=1,N(V_L3_Monto),0)*U$9</f>
        <v>0</v>
      </c>
      <c r="V224" s="34" t="n">
        <f aca="false">IF((17-N(V_L3_Mes)+1)=1,N(V_L3_Monto),0)*V$9</f>
        <v>0</v>
      </c>
      <c r="W224" s="34" t="n">
        <f aca="false">IF((18-N(V_L3_Mes)+1)=1,N(V_L3_Monto),0)*W$9</f>
        <v>0</v>
      </c>
      <c r="X224" s="34" t="n">
        <f aca="false">IF((19-N(V_L3_Mes)+1)=1,N(V_L3_Monto),0)*X$9</f>
        <v>0</v>
      </c>
      <c r="Y224" s="34" t="n">
        <f aca="false">IF((20-N(V_L3_Mes)+1)=1,N(V_L3_Monto),0)*Y$9</f>
        <v>0</v>
      </c>
      <c r="Z224" s="34" t="n">
        <f aca="false">IF((21-N(V_L3_Mes)+1)=1,N(V_L3_Monto),0)*Z$9</f>
        <v>0</v>
      </c>
      <c r="AA224" s="34" t="n">
        <f aca="false">IF((22-N(V_L3_Mes)+1)=1,N(V_L3_Monto),0)*AA$9</f>
        <v>0</v>
      </c>
      <c r="AB224" s="34" t="n">
        <f aca="false">IF((23-N(V_L3_Mes)+1)=1,N(V_L3_Monto),0)*AB$9</f>
        <v>0</v>
      </c>
      <c r="AC224" s="34" t="n">
        <f aca="false">IF((24-N(V_L3_Mes)+1)=1,N(V_L3_Monto),0)*AC$9</f>
        <v>0</v>
      </c>
      <c r="AD224" s="34" t="n">
        <f aca="false">IF((25-N(V_L3_Mes)+1)=1,N(V_L3_Monto),0)*AD$9</f>
        <v>0</v>
      </c>
      <c r="AE224" s="34" t="n">
        <f aca="false">IF((26-N(V_L3_Mes)+1)=1,N(V_L3_Monto),0)*AE$9</f>
        <v>0</v>
      </c>
      <c r="AF224" s="34" t="n">
        <f aca="false">IF((27-N(V_L3_Mes)+1)=1,N(V_L3_Monto),0)*AF$9</f>
        <v>0</v>
      </c>
      <c r="AG224" s="34" t="n">
        <f aca="false">IF((28-N(V_L3_Mes)+1)=1,N(V_L3_Monto),0)*AG$9</f>
        <v>0</v>
      </c>
      <c r="AH224" s="34" t="n">
        <f aca="false">IF((29-N(V_L3_Mes)+1)=1,N(V_L3_Monto),0)*AH$9</f>
        <v>0</v>
      </c>
      <c r="AI224" s="34" t="n">
        <f aca="false">IF((30-N(V_L3_Mes)+1)=1,N(V_L3_Monto),0)*AI$9</f>
        <v>0</v>
      </c>
      <c r="AJ224" s="34" t="n">
        <f aca="false">IF((31-N(V_L3_Mes)+1)=1,N(V_L3_Monto),0)*AJ$9</f>
        <v>0</v>
      </c>
      <c r="AK224" s="34" t="n">
        <f aca="false">IF((32-N(V_L3_Mes)+1)=1,N(V_L3_Monto),0)*AK$9</f>
        <v>0</v>
      </c>
      <c r="AL224" s="34" t="n">
        <f aca="false">IF((33-N(V_L3_Mes)+1)=1,N(V_L3_Monto),0)*AL$9</f>
        <v>0</v>
      </c>
      <c r="AM224" s="34" t="n">
        <f aca="false">IF((34-N(V_L3_Mes)+1)=1,N(V_L3_Monto),0)*AM$9</f>
        <v>0</v>
      </c>
      <c r="AN224" s="34" t="n">
        <f aca="false">IF((35-N(V_L3_Mes)+1)=1,N(V_L3_Monto),0)*AN$9</f>
        <v>0</v>
      </c>
      <c r="AO224" s="34" t="n">
        <f aca="false">IF((36-N(V_L3_Mes)+1)=1,N(V_L3_Monto),0)*AO$9</f>
        <v>0</v>
      </c>
      <c r="AP224" s="34" t="n">
        <f aca="false">IF((37-N(V_L3_Mes)+1)=1,N(V_L3_Monto),0)*AP$9</f>
        <v>0</v>
      </c>
      <c r="AQ224" s="34" t="n">
        <f aca="false">IF((38-N(V_L3_Mes)+1)=1,N(V_L3_Monto),0)*AQ$9</f>
        <v>0</v>
      </c>
      <c r="AR224" s="34" t="n">
        <f aca="false">IF((39-N(V_L3_Mes)+1)=1,N(V_L3_Monto),0)*AR$9</f>
        <v>0</v>
      </c>
      <c r="AS224" s="34" t="n">
        <f aca="false">IF((40-N(V_L3_Mes)+1)=1,N(V_L3_Monto),0)*AS$9</f>
        <v>0</v>
      </c>
      <c r="AT224" s="34" t="n">
        <f aca="false">IF((41-N(V_L3_Mes)+1)=1,N(V_L3_Monto),0)*AT$9</f>
        <v>0</v>
      </c>
      <c r="AU224" s="34" t="n">
        <f aca="false">IF((42-N(V_L3_Mes)+1)=1,N(V_L3_Monto),0)*AU$9</f>
        <v>0</v>
      </c>
      <c r="AV224" s="34" t="n">
        <f aca="false">IF((43-N(V_L3_Mes)+1)=1,N(V_L3_Monto),0)*AV$9</f>
        <v>0</v>
      </c>
      <c r="AW224" s="34" t="n">
        <f aca="false">IF((44-N(V_L3_Mes)+1)=1,N(V_L3_Monto),0)*AW$9</f>
        <v>0</v>
      </c>
      <c r="AX224" s="34" t="n">
        <f aca="false">IF((45-N(V_L3_Mes)+1)=1,N(V_L3_Monto),0)*AX$9</f>
        <v>0</v>
      </c>
      <c r="AY224" s="34" t="n">
        <f aca="false">IF((46-N(V_L3_Mes)+1)=1,N(V_L3_Monto),0)*AY$9</f>
        <v>0</v>
      </c>
      <c r="AZ224" s="34" t="n">
        <f aca="false">IF((47-N(V_L3_Mes)+1)=1,N(V_L3_Monto),0)*AZ$9</f>
        <v>0</v>
      </c>
      <c r="BA224" s="34" t="n">
        <f aca="false">IF((48-N(V_L3_Mes)+1)=1,N(V_L3_Monto),0)*BA$9</f>
        <v>0</v>
      </c>
      <c r="BB224" s="34" t="n">
        <f aca="false">IF((49-N(V_L3_Mes)+1)=1,N(V_L3_Monto),0)*BB$9</f>
        <v>0</v>
      </c>
      <c r="BC224" s="34" t="n">
        <f aca="false">IF((50-N(V_L3_Mes)+1)=1,N(V_L3_Monto),0)*BC$9</f>
        <v>0</v>
      </c>
      <c r="BD224" s="34" t="n">
        <f aca="false">IF((51-N(V_L3_Mes)+1)=1,N(V_L3_Monto),0)*BD$9</f>
        <v>0</v>
      </c>
      <c r="BE224" s="34" t="n">
        <f aca="false">IF((52-N(V_L3_Mes)+1)=1,N(V_L3_Monto),0)*BE$9</f>
        <v>0</v>
      </c>
      <c r="BF224" s="34" t="n">
        <f aca="false">IF((53-N(V_L3_Mes)+1)=1,N(V_L3_Monto),0)*BF$9</f>
        <v>0</v>
      </c>
      <c r="BG224" s="34" t="n">
        <f aca="false">IF((54-N(V_L3_Mes)+1)=1,N(V_L3_Monto),0)*BG$9</f>
        <v>0</v>
      </c>
      <c r="BH224" s="34" t="n">
        <f aca="false">IF((55-N(V_L3_Mes)+1)=1,N(V_L3_Monto),0)*BH$9</f>
        <v>0</v>
      </c>
      <c r="BI224" s="34" t="n">
        <f aca="false">IF((56-N(V_L3_Mes)+1)=1,N(V_L3_Monto),0)*BI$9</f>
        <v>0</v>
      </c>
      <c r="BJ224" s="34" t="n">
        <f aca="false">IF((57-N(V_L3_Mes)+1)=1,N(V_L3_Monto),0)*BJ$9</f>
        <v>0</v>
      </c>
      <c r="BK224" s="34" t="n">
        <f aca="false">IF((58-N(V_L3_Mes)+1)=1,N(V_L3_Monto),0)*BK$9</f>
        <v>0</v>
      </c>
      <c r="BL224" s="34" t="n">
        <f aca="false">IF((59-N(V_L3_Mes)+1)=1,N(V_L3_Monto),0)*BL$9</f>
        <v>0</v>
      </c>
      <c r="BM224" s="34" t="n">
        <f aca="false">IF((60-N(V_L3_Mes)+1)=1,N(V_L3_Monto),0)*BM$9</f>
        <v>0</v>
      </c>
      <c r="BN224" s="34" t="n">
        <f aca="false">IF((61-N(V_L3_Mes)+1)=1,N(V_L3_Monto),0)*BN$9</f>
        <v>0</v>
      </c>
      <c r="BO224" s="34" t="n">
        <f aca="false">IF((62-N(V_L3_Mes)+1)=1,N(V_L3_Monto),0)*BO$9</f>
        <v>0</v>
      </c>
      <c r="BP224" s="34" t="n">
        <f aca="false">IF((63-N(V_L3_Mes)+1)=1,N(V_L3_Monto),0)*BP$9</f>
        <v>0</v>
      </c>
      <c r="BQ224" s="34" t="n">
        <f aca="false">IF((64-N(V_L3_Mes)+1)=1,N(V_L3_Monto),0)*BQ$9</f>
        <v>0</v>
      </c>
      <c r="BR224" s="34" t="n">
        <f aca="false">IF((65-N(V_L3_Mes)+1)=1,N(V_L3_Monto),0)*BR$9</f>
        <v>0</v>
      </c>
      <c r="BS224" s="34" t="n">
        <f aca="false">IF((66-N(V_L3_Mes)+1)=1,N(V_L3_Monto),0)*BS$9</f>
        <v>0</v>
      </c>
      <c r="BT224" s="34" t="n">
        <f aca="false">IF((67-N(V_L3_Mes)+1)=1,N(V_L3_Monto),0)*BT$9</f>
        <v>0</v>
      </c>
      <c r="BU224" s="34" t="n">
        <f aca="false">IF((68-N(V_L3_Mes)+1)=1,N(V_L3_Monto),0)*BU$9</f>
        <v>0</v>
      </c>
      <c r="BV224" s="34" t="n">
        <f aca="false">IF((69-N(V_L3_Mes)+1)=1,N(V_L3_Monto),0)*BV$9</f>
        <v>0</v>
      </c>
      <c r="BW224" s="34" t="n">
        <f aca="false">IF((70-N(V_L3_Mes)+1)=1,N(V_L3_Monto),0)*BW$9</f>
        <v>0</v>
      </c>
      <c r="BX224" s="34" t="n">
        <f aca="false">IF((71-N(V_L3_Mes)+1)=1,N(V_L3_Monto),0)*BX$9</f>
        <v>0</v>
      </c>
      <c r="BY224" s="34" t="n">
        <f aca="false">IF((72-N(V_L3_Mes)+1)=1,N(V_L3_Monto),0)*BY$9</f>
        <v>0</v>
      </c>
      <c r="BZ224" s="34" t="n">
        <f aca="false">IF((73-N(V_L3_Mes)+1)=1,N(V_L3_Monto),0)*BZ$9</f>
        <v>0</v>
      </c>
      <c r="CA224" s="34" t="n">
        <f aca="false">IF((74-N(V_L3_Mes)+1)=1,N(V_L3_Monto),0)*CA$9</f>
        <v>0</v>
      </c>
      <c r="CB224" s="34" t="n">
        <f aca="false">IF((75-N(V_L3_Mes)+1)=1,N(V_L3_Monto),0)*CB$9</f>
        <v>0</v>
      </c>
      <c r="CC224" s="34" t="n">
        <f aca="false">IF((76-N(V_L3_Mes)+1)=1,N(V_L3_Monto),0)*CC$9</f>
        <v>0</v>
      </c>
      <c r="CD224" s="34" t="n">
        <f aca="false">IF((77-N(V_L3_Mes)+1)=1,N(V_L3_Monto),0)*CD$9</f>
        <v>0</v>
      </c>
      <c r="CE224" s="34" t="n">
        <f aca="false">IF((78-N(V_L3_Mes)+1)=1,N(V_L3_Monto),0)*CE$9</f>
        <v>0</v>
      </c>
      <c r="CF224" s="34" t="n">
        <f aca="false">IF((79-N(V_L3_Mes)+1)=1,N(V_L3_Monto),0)*CF$9</f>
        <v>0</v>
      </c>
      <c r="CG224" s="34" t="n">
        <f aca="false">IF((80-N(V_L3_Mes)+1)=1,N(V_L3_Monto),0)*CG$9</f>
        <v>0</v>
      </c>
      <c r="CH224" s="34" t="n">
        <f aca="false">IF((81-N(V_L3_Mes)+1)=1,N(V_L3_Monto),0)*CH$9</f>
        <v>0</v>
      </c>
      <c r="CI224" s="34" t="n">
        <f aca="false">IF((82-N(V_L3_Mes)+1)=1,N(V_L3_Monto),0)*CI$9</f>
        <v>0</v>
      </c>
      <c r="CJ224" s="34" t="n">
        <f aca="false">IF((83-N(V_L3_Mes)+1)=1,N(V_L3_Monto),0)*CJ$9</f>
        <v>0</v>
      </c>
      <c r="CK224" s="34" t="n">
        <f aca="false">IF((84-N(V_L3_Mes)+1)=1,N(V_L3_Monto),0)*CK$9</f>
        <v>0</v>
      </c>
      <c r="CL224" s="34" t="n">
        <f aca="false">IF((85-N(V_L3_Mes)+1)=1,N(V_L3_Monto),0)*CL$9</f>
        <v>0</v>
      </c>
      <c r="CM224" s="34" t="n">
        <f aca="false">IF((86-N(V_L3_Mes)+1)=1,N(V_L3_Monto),0)*CM$9</f>
        <v>0</v>
      </c>
      <c r="CN224" s="34" t="n">
        <f aca="false">IF((87-N(V_L3_Mes)+1)=1,N(V_L3_Monto),0)*CN$9</f>
        <v>0</v>
      </c>
      <c r="CO224" s="34" t="n">
        <f aca="false">IF((88-N(V_L3_Mes)+1)=1,N(V_L3_Monto),0)*CO$9</f>
        <v>0</v>
      </c>
      <c r="CP224" s="34" t="n">
        <f aca="false">IF((89-N(V_L3_Mes)+1)=1,N(V_L3_Monto),0)*CP$9</f>
        <v>0</v>
      </c>
      <c r="CQ224" s="34" t="n">
        <f aca="false">IF((90-N(V_L3_Mes)+1)=1,N(V_L3_Monto),0)*CQ$9</f>
        <v>0</v>
      </c>
      <c r="CR224" s="34" t="n">
        <f aca="false">IF((91-N(V_L3_Mes)+1)=1,N(V_L3_Monto),0)*CR$9</f>
        <v>0</v>
      </c>
      <c r="CS224" s="34" t="n">
        <f aca="false">IF((92-N(V_L3_Mes)+1)=1,N(V_L3_Monto),0)*CS$9</f>
        <v>0</v>
      </c>
      <c r="CT224" s="34" t="n">
        <f aca="false">IF((93-N(V_L3_Mes)+1)=1,N(V_L3_Monto),0)*CT$9</f>
        <v>0</v>
      </c>
      <c r="CU224" s="34" t="n">
        <f aca="false">IF((94-N(V_L3_Mes)+1)=1,N(V_L3_Monto),0)*CU$9</f>
        <v>0</v>
      </c>
      <c r="CV224" s="34" t="n">
        <f aca="false">IF((95-N(V_L3_Mes)+1)=1,N(V_L3_Monto),0)*CV$9</f>
        <v>0</v>
      </c>
      <c r="CW224" s="34" t="n">
        <f aca="false">IF((96-N(V_L3_Mes)+1)=1,N(V_L3_Monto),0)*CW$9</f>
        <v>0</v>
      </c>
      <c r="CX224" s="34" t="n">
        <f aca="false">IF((97-N(V_L3_Mes)+1)=1,N(V_L3_Monto),0)*CX$9</f>
        <v>0</v>
      </c>
      <c r="CY224" s="34" t="n">
        <f aca="false">IF((98-N(V_L3_Mes)+1)=1,N(V_L3_Monto),0)*CY$9</f>
        <v>0</v>
      </c>
      <c r="CZ224" s="34" t="n">
        <f aca="false">IF((99-N(V_L3_Mes)+1)=1,N(V_L3_Monto),0)*CZ$9</f>
        <v>0</v>
      </c>
      <c r="DA224" s="34" t="n">
        <f aca="false">IF((100-N(V_L3_Mes)+1)=1,N(V_L3_Monto),0)*DA$9</f>
        <v>0</v>
      </c>
      <c r="DB224" s="34" t="n">
        <f aca="false">IF((101-N(V_L3_Mes)+1)=1,N(V_L3_Monto),0)*DB$9</f>
        <v>0</v>
      </c>
      <c r="DC224" s="34" t="n">
        <f aca="false">IF((102-N(V_L3_Mes)+1)=1,N(V_L3_Monto),0)*DC$9</f>
        <v>0</v>
      </c>
      <c r="DD224" s="34" t="n">
        <f aca="false">IF((103-N(V_L3_Mes)+1)=1,N(V_L3_Monto),0)*DD$9</f>
        <v>0</v>
      </c>
      <c r="DE224" s="34" t="n">
        <f aca="false">IF((104-N(V_L3_Mes)+1)=1,N(V_L3_Monto),0)*DE$9</f>
        <v>0</v>
      </c>
      <c r="DF224" s="34" t="n">
        <f aca="false">IF((105-N(V_L3_Mes)+1)=1,N(V_L3_Monto),0)*DF$9</f>
        <v>0</v>
      </c>
      <c r="DG224" s="34" t="n">
        <f aca="false">IF((106-N(V_L3_Mes)+1)=1,N(V_L3_Monto),0)*DG$9</f>
        <v>0</v>
      </c>
      <c r="DH224" s="34" t="n">
        <f aca="false">IF((107-N(V_L3_Mes)+1)=1,N(V_L3_Monto),0)*DH$9</f>
        <v>0</v>
      </c>
      <c r="DI224" s="34" t="n">
        <f aca="false">IF((108-N(V_L3_Mes)+1)=1,N(V_L3_Monto),0)*DI$9</f>
        <v>0</v>
      </c>
      <c r="DJ224" s="34" t="n">
        <f aca="false">IF((109-N(V_L3_Mes)+1)=1,N(V_L3_Monto),0)*DJ$9</f>
        <v>0</v>
      </c>
      <c r="DK224" s="34" t="n">
        <f aca="false">IF((110-N(V_L3_Mes)+1)=1,N(V_L3_Monto),0)*DK$9</f>
        <v>0</v>
      </c>
      <c r="DL224" s="34" t="n">
        <f aca="false">IF((111-N(V_L3_Mes)+1)=1,N(V_L3_Monto),0)*DL$9</f>
        <v>0</v>
      </c>
      <c r="DM224" s="34" t="n">
        <f aca="false">IF((112-N(V_L3_Mes)+1)=1,N(V_L3_Monto),0)*DM$9</f>
        <v>0</v>
      </c>
      <c r="DN224" s="34" t="n">
        <f aca="false">IF((113-N(V_L3_Mes)+1)=1,N(V_L3_Monto),0)*DN$9</f>
        <v>0</v>
      </c>
      <c r="DO224" s="34" t="n">
        <f aca="false">IF((114-N(V_L3_Mes)+1)=1,N(V_L3_Monto),0)*DO$9</f>
        <v>0</v>
      </c>
      <c r="DP224" s="34" t="n">
        <f aca="false">IF((115-N(V_L3_Mes)+1)=1,N(V_L3_Monto),0)*DP$9</f>
        <v>0</v>
      </c>
      <c r="DQ224" s="34" t="n">
        <f aca="false">IF((116-N(V_L3_Mes)+1)=1,N(V_L3_Monto),0)*DQ$9</f>
        <v>0</v>
      </c>
      <c r="DR224" s="34" t="n">
        <f aca="false">IF((117-N(V_L3_Mes)+1)=1,N(V_L3_Monto),0)*DR$9</f>
        <v>0</v>
      </c>
      <c r="DS224" s="34" t="n">
        <f aca="false">IF((118-N(V_L3_Mes)+1)=1,N(V_L3_Monto),0)*DS$9</f>
        <v>0</v>
      </c>
      <c r="DT224" s="34" t="n">
        <f aca="false">IF((119-N(V_L3_Mes)+1)=1,N(V_L3_Monto),0)*DT$9</f>
        <v>0</v>
      </c>
      <c r="DU224" s="34" t="n">
        <f aca="false">IF((120-N(V_L3_Mes)+1)=1,N(V_L3_Monto),0)*DU$9</f>
        <v>0</v>
      </c>
      <c r="DV224" s="34" t="n">
        <f aca="false">IF((121-N(V_L3_Mes)+1)=1,N(V_L3_Monto),0)*DV$9</f>
        <v>0</v>
      </c>
      <c r="DW224" s="34" t="n">
        <f aca="false">IF((122-N(V_L3_Mes)+1)=1,N(V_L3_Monto),0)*DW$9</f>
        <v>0</v>
      </c>
      <c r="DX224" s="34" t="n">
        <f aca="false">IF((123-N(V_L3_Mes)+1)=1,N(V_L3_Monto),0)*DX$9</f>
        <v>0</v>
      </c>
      <c r="DY224" s="34" t="n">
        <f aca="false">IF((124-N(V_L3_Mes)+1)=1,N(V_L3_Monto),0)*DY$9</f>
        <v>0</v>
      </c>
      <c r="DZ224" s="34" t="n">
        <f aca="false">IF((125-N(V_L3_Mes)+1)=1,N(V_L3_Monto),0)*DZ$9</f>
        <v>0</v>
      </c>
      <c r="EA224" s="34" t="n">
        <f aca="false">IF((126-N(V_L3_Mes)+1)=1,N(V_L3_Monto),0)*EA$9</f>
        <v>0</v>
      </c>
      <c r="EB224" s="34" t="n">
        <f aca="false">IF((127-N(V_L3_Mes)+1)=1,N(V_L3_Monto),0)*EB$9</f>
        <v>0</v>
      </c>
      <c r="EC224" s="34" t="n">
        <f aca="false">IF((128-N(V_L3_Mes)+1)=1,N(V_L3_Monto),0)*EC$9</f>
        <v>0</v>
      </c>
      <c r="ED224" s="34" t="n">
        <f aca="false">IF((129-N(V_L3_Mes)+1)=1,N(V_L3_Monto),0)*ED$9</f>
        <v>0</v>
      </c>
      <c r="EE224" s="34" t="n">
        <f aca="false">IF((130-N(V_L3_Mes)+1)=1,N(V_L3_Monto),0)*EE$9</f>
        <v>0</v>
      </c>
      <c r="EF224" s="34" t="n">
        <f aca="false">IF((131-N(V_L3_Mes)+1)=1,N(V_L3_Monto),0)*EF$9</f>
        <v>0</v>
      </c>
      <c r="EG224" s="34" t="n">
        <f aca="false">IF((132-N(V_L3_Mes)+1)=1,N(V_L3_Monto),0)*EG$9</f>
        <v>0</v>
      </c>
      <c r="EH224" s="34" t="n">
        <f aca="false">IF((133-N(V_L3_Mes)+1)=1,N(V_L3_Monto),0)*EH$9</f>
        <v>0</v>
      </c>
      <c r="EI224" s="34" t="n">
        <f aca="false">IF((134-N(V_L3_Mes)+1)=1,N(V_L3_Monto),0)*EI$9</f>
        <v>0</v>
      </c>
      <c r="EJ224" s="34" t="n">
        <f aca="false">IF((135-N(V_L3_Mes)+1)=1,N(V_L3_Monto),0)*EJ$9</f>
        <v>0</v>
      </c>
      <c r="EK224" s="34" t="n">
        <f aca="false">IF((136-N(V_L3_Mes)+1)=1,N(V_L3_Monto),0)*EK$9</f>
        <v>0</v>
      </c>
      <c r="EL224" s="34" t="n">
        <f aca="false">IF((137-N(V_L3_Mes)+1)=1,N(V_L3_Monto),0)*EL$9</f>
        <v>0</v>
      </c>
      <c r="EM224" s="34" t="n">
        <f aca="false">IF((138-N(V_L3_Mes)+1)=1,N(V_L3_Monto),0)*EM$9</f>
        <v>0</v>
      </c>
      <c r="EN224" s="34" t="n">
        <f aca="false">IF((139-N(V_L3_Mes)+1)=1,N(V_L3_Monto),0)*EN$9</f>
        <v>0</v>
      </c>
      <c r="EO224" s="34" t="n">
        <f aca="false">IF((140-N(V_L3_Mes)+1)=1,N(V_L3_Monto),0)*EO$9</f>
        <v>0</v>
      </c>
      <c r="EP224" s="34" t="n">
        <f aca="false">IF((141-N(V_L3_Mes)+1)=1,N(V_L3_Monto),0)*EP$9</f>
        <v>0</v>
      </c>
      <c r="EQ224" s="34" t="n">
        <f aca="false">IF((142-N(V_L3_Mes)+1)=1,N(V_L3_Monto),0)*EQ$9</f>
        <v>0</v>
      </c>
      <c r="ER224" s="34" t="n">
        <f aca="false">IF((143-N(V_L3_Mes)+1)=1,N(V_L3_Monto),0)*ER$9</f>
        <v>0</v>
      </c>
      <c r="ES224" s="34" t="n">
        <f aca="false">IF((144-N(V_L3_Mes)+1)=1,N(V_L3_Monto),0)*ES$9</f>
        <v>0</v>
      </c>
    </row>
    <row r="225" customFormat="false" ht="15" hidden="false" customHeight="false" outlineLevel="0" collapsed="false">
      <c r="A225" s="2" t="s">
        <v>699</v>
      </c>
      <c r="B225" s="6" t="s">
        <v>570</v>
      </c>
      <c r="C225" s="6" t="s">
        <v>212</v>
      </c>
      <c r="E225" s="40" t="n">
        <f aca="false">SUM(F225:ES225)</f>
        <v>0</v>
      </c>
      <c r="F225" s="34" t="n">
        <f aca="false">IF((1-N(V_L3_Mes)+1)&gt;=1,IF((1-N(V_L3_Mes)+1)=1,N(V_L3_Monto),0)*N(V_L3_Tasa)/12,0)*F$9</f>
        <v>0</v>
      </c>
      <c r="G225" s="34" t="n">
        <f aca="false">IF((2-N(V_L3_Mes)+1)&gt;=1,IF((2-N(V_L3_Mes)+1)=1,N(V_L3_Monto),F$227)*N(V_L3_Tasa)/12,0)*G$9</f>
        <v>0</v>
      </c>
      <c r="H225" s="34" t="n">
        <f aca="false">IF((3-N(V_L3_Mes)+1)&gt;=1,IF((3-N(V_L3_Mes)+1)=1,N(V_L3_Monto),G$227)*N(V_L3_Tasa)/12,0)*H$9</f>
        <v>0</v>
      </c>
      <c r="I225" s="34" t="n">
        <f aca="false">IF((4-N(V_L3_Mes)+1)&gt;=1,IF((4-N(V_L3_Mes)+1)=1,N(V_L3_Monto),H$227)*N(V_L3_Tasa)/12,0)*I$9</f>
        <v>0</v>
      </c>
      <c r="J225" s="34" t="n">
        <f aca="false">IF((5-N(V_L3_Mes)+1)&gt;=1,IF((5-N(V_L3_Mes)+1)=1,N(V_L3_Monto),I$227)*N(V_L3_Tasa)/12,0)*J$9</f>
        <v>0</v>
      </c>
      <c r="K225" s="34" t="n">
        <f aca="false">IF((6-N(V_L3_Mes)+1)&gt;=1,IF((6-N(V_L3_Mes)+1)=1,N(V_L3_Monto),J$227)*N(V_L3_Tasa)/12,0)*K$9</f>
        <v>0</v>
      </c>
      <c r="L225" s="34" t="n">
        <f aca="false">IF((7-N(V_L3_Mes)+1)&gt;=1,IF((7-N(V_L3_Mes)+1)=1,N(V_L3_Monto),K$227)*N(V_L3_Tasa)/12,0)*L$9</f>
        <v>0</v>
      </c>
      <c r="M225" s="34" t="n">
        <f aca="false">IF((8-N(V_L3_Mes)+1)&gt;=1,IF((8-N(V_L3_Mes)+1)=1,N(V_L3_Monto),L$227)*N(V_L3_Tasa)/12,0)*M$9</f>
        <v>0</v>
      </c>
      <c r="N225" s="34" t="n">
        <f aca="false">IF((9-N(V_L3_Mes)+1)&gt;=1,IF((9-N(V_L3_Mes)+1)=1,N(V_L3_Monto),M$227)*N(V_L3_Tasa)/12,0)*N$9</f>
        <v>0</v>
      </c>
      <c r="O225" s="34" t="n">
        <f aca="false">IF((10-N(V_L3_Mes)+1)&gt;=1,IF((10-N(V_L3_Mes)+1)=1,N(V_L3_Monto),N$227)*N(V_L3_Tasa)/12,0)*O$9</f>
        <v>0</v>
      </c>
      <c r="P225" s="34" t="n">
        <f aca="false">IF((11-N(V_L3_Mes)+1)&gt;=1,IF((11-N(V_L3_Mes)+1)=1,N(V_L3_Monto),O$227)*N(V_L3_Tasa)/12,0)*P$9</f>
        <v>0</v>
      </c>
      <c r="Q225" s="34" t="n">
        <f aca="false">IF((12-N(V_L3_Mes)+1)&gt;=1,IF((12-N(V_L3_Mes)+1)=1,N(V_L3_Monto),P$227)*N(V_L3_Tasa)/12,0)*Q$9</f>
        <v>0</v>
      </c>
      <c r="R225" s="34" t="n">
        <f aca="false">IF((13-N(V_L3_Mes)+1)&gt;=1,IF((13-N(V_L3_Mes)+1)=1,N(V_L3_Monto),Q$227)*N(V_L3_Tasa)/12,0)*R$9</f>
        <v>0</v>
      </c>
      <c r="S225" s="34" t="n">
        <f aca="false">IF((14-N(V_L3_Mes)+1)&gt;=1,IF((14-N(V_L3_Mes)+1)=1,N(V_L3_Monto),R$227)*N(V_L3_Tasa)/12,0)*S$9</f>
        <v>0</v>
      </c>
      <c r="T225" s="34" t="n">
        <f aca="false">IF((15-N(V_L3_Mes)+1)&gt;=1,IF((15-N(V_L3_Mes)+1)=1,N(V_L3_Monto),S$227)*N(V_L3_Tasa)/12,0)*T$9</f>
        <v>0</v>
      </c>
      <c r="U225" s="34" t="n">
        <f aca="false">IF((16-N(V_L3_Mes)+1)&gt;=1,IF((16-N(V_L3_Mes)+1)=1,N(V_L3_Monto),T$227)*N(V_L3_Tasa)/12,0)*U$9</f>
        <v>0</v>
      </c>
      <c r="V225" s="34" t="n">
        <f aca="false">IF((17-N(V_L3_Mes)+1)&gt;=1,IF((17-N(V_L3_Mes)+1)=1,N(V_L3_Monto),U$227)*N(V_L3_Tasa)/12,0)*V$9</f>
        <v>0</v>
      </c>
      <c r="W225" s="34" t="n">
        <f aca="false">IF((18-N(V_L3_Mes)+1)&gt;=1,IF((18-N(V_L3_Mes)+1)=1,N(V_L3_Monto),V$227)*N(V_L3_Tasa)/12,0)*W$9</f>
        <v>0</v>
      </c>
      <c r="X225" s="34" t="n">
        <f aca="false">IF((19-N(V_L3_Mes)+1)&gt;=1,IF((19-N(V_L3_Mes)+1)=1,N(V_L3_Monto),W$227)*N(V_L3_Tasa)/12,0)*X$9</f>
        <v>0</v>
      </c>
      <c r="Y225" s="34" t="n">
        <f aca="false">IF((20-N(V_L3_Mes)+1)&gt;=1,IF((20-N(V_L3_Mes)+1)=1,N(V_L3_Monto),X$227)*N(V_L3_Tasa)/12,0)*Y$9</f>
        <v>0</v>
      </c>
      <c r="Z225" s="34" t="n">
        <f aca="false">IF((21-N(V_L3_Mes)+1)&gt;=1,IF((21-N(V_L3_Mes)+1)=1,N(V_L3_Monto),Y$227)*N(V_L3_Tasa)/12,0)*Z$9</f>
        <v>0</v>
      </c>
      <c r="AA225" s="34" t="n">
        <f aca="false">IF((22-N(V_L3_Mes)+1)&gt;=1,IF((22-N(V_L3_Mes)+1)=1,N(V_L3_Monto),Z$227)*N(V_L3_Tasa)/12,0)*AA$9</f>
        <v>0</v>
      </c>
      <c r="AB225" s="34" t="n">
        <f aca="false">IF((23-N(V_L3_Mes)+1)&gt;=1,IF((23-N(V_L3_Mes)+1)=1,N(V_L3_Monto),AA$227)*N(V_L3_Tasa)/12,0)*AB$9</f>
        <v>0</v>
      </c>
      <c r="AC225" s="34" t="n">
        <f aca="false">IF((24-N(V_L3_Mes)+1)&gt;=1,IF((24-N(V_L3_Mes)+1)=1,N(V_L3_Monto),AB$227)*N(V_L3_Tasa)/12,0)*AC$9</f>
        <v>0</v>
      </c>
      <c r="AD225" s="34" t="n">
        <f aca="false">IF((25-N(V_L3_Mes)+1)&gt;=1,IF((25-N(V_L3_Mes)+1)=1,N(V_L3_Monto),AC$227)*N(V_L3_Tasa)/12,0)*AD$9</f>
        <v>0</v>
      </c>
      <c r="AE225" s="34" t="n">
        <f aca="false">IF((26-N(V_L3_Mes)+1)&gt;=1,IF((26-N(V_L3_Mes)+1)=1,N(V_L3_Monto),AD$227)*N(V_L3_Tasa)/12,0)*AE$9</f>
        <v>0</v>
      </c>
      <c r="AF225" s="34" t="n">
        <f aca="false">IF((27-N(V_L3_Mes)+1)&gt;=1,IF((27-N(V_L3_Mes)+1)=1,N(V_L3_Monto),AE$227)*N(V_L3_Tasa)/12,0)*AF$9</f>
        <v>0</v>
      </c>
      <c r="AG225" s="34" t="n">
        <f aca="false">IF((28-N(V_L3_Mes)+1)&gt;=1,IF((28-N(V_L3_Mes)+1)=1,N(V_L3_Monto),AF$227)*N(V_L3_Tasa)/12,0)*AG$9</f>
        <v>0</v>
      </c>
      <c r="AH225" s="34" t="n">
        <f aca="false">IF((29-N(V_L3_Mes)+1)&gt;=1,IF((29-N(V_L3_Mes)+1)=1,N(V_L3_Monto),AG$227)*N(V_L3_Tasa)/12,0)*AH$9</f>
        <v>0</v>
      </c>
      <c r="AI225" s="34" t="n">
        <f aca="false">IF((30-N(V_L3_Mes)+1)&gt;=1,IF((30-N(V_L3_Mes)+1)=1,N(V_L3_Monto),AH$227)*N(V_L3_Tasa)/12,0)*AI$9</f>
        <v>0</v>
      </c>
      <c r="AJ225" s="34" t="n">
        <f aca="false">IF((31-N(V_L3_Mes)+1)&gt;=1,IF((31-N(V_L3_Mes)+1)=1,N(V_L3_Monto),AI$227)*N(V_L3_Tasa)/12,0)*AJ$9</f>
        <v>0</v>
      </c>
      <c r="AK225" s="34" t="n">
        <f aca="false">IF((32-N(V_L3_Mes)+1)&gt;=1,IF((32-N(V_L3_Mes)+1)=1,N(V_L3_Monto),AJ$227)*N(V_L3_Tasa)/12,0)*AK$9</f>
        <v>0</v>
      </c>
      <c r="AL225" s="34" t="n">
        <f aca="false">IF((33-N(V_L3_Mes)+1)&gt;=1,IF((33-N(V_L3_Mes)+1)=1,N(V_L3_Monto),AK$227)*N(V_L3_Tasa)/12,0)*AL$9</f>
        <v>0</v>
      </c>
      <c r="AM225" s="34" t="n">
        <f aca="false">IF((34-N(V_L3_Mes)+1)&gt;=1,IF((34-N(V_L3_Mes)+1)=1,N(V_L3_Monto),AL$227)*N(V_L3_Tasa)/12,0)*AM$9</f>
        <v>0</v>
      </c>
      <c r="AN225" s="34" t="n">
        <f aca="false">IF((35-N(V_L3_Mes)+1)&gt;=1,IF((35-N(V_L3_Mes)+1)=1,N(V_L3_Monto),AM$227)*N(V_L3_Tasa)/12,0)*AN$9</f>
        <v>0</v>
      </c>
      <c r="AO225" s="34" t="n">
        <f aca="false">IF((36-N(V_L3_Mes)+1)&gt;=1,IF((36-N(V_L3_Mes)+1)=1,N(V_L3_Monto),AN$227)*N(V_L3_Tasa)/12,0)*AO$9</f>
        <v>0</v>
      </c>
      <c r="AP225" s="34" t="n">
        <f aca="false">IF((37-N(V_L3_Mes)+1)&gt;=1,IF((37-N(V_L3_Mes)+1)=1,N(V_L3_Monto),AO$227)*N(V_L3_Tasa)/12,0)*AP$9</f>
        <v>0</v>
      </c>
      <c r="AQ225" s="34" t="n">
        <f aca="false">IF((38-N(V_L3_Mes)+1)&gt;=1,IF((38-N(V_L3_Mes)+1)=1,N(V_L3_Monto),AP$227)*N(V_L3_Tasa)/12,0)*AQ$9</f>
        <v>0</v>
      </c>
      <c r="AR225" s="34" t="n">
        <f aca="false">IF((39-N(V_L3_Mes)+1)&gt;=1,IF((39-N(V_L3_Mes)+1)=1,N(V_L3_Monto),AQ$227)*N(V_L3_Tasa)/12,0)*AR$9</f>
        <v>0</v>
      </c>
      <c r="AS225" s="34" t="n">
        <f aca="false">IF((40-N(V_L3_Mes)+1)&gt;=1,IF((40-N(V_L3_Mes)+1)=1,N(V_L3_Monto),AR$227)*N(V_L3_Tasa)/12,0)*AS$9</f>
        <v>0</v>
      </c>
      <c r="AT225" s="34" t="n">
        <f aca="false">IF((41-N(V_L3_Mes)+1)&gt;=1,IF((41-N(V_L3_Mes)+1)=1,N(V_L3_Monto),AS$227)*N(V_L3_Tasa)/12,0)*AT$9</f>
        <v>0</v>
      </c>
      <c r="AU225" s="34" t="n">
        <f aca="false">IF((42-N(V_L3_Mes)+1)&gt;=1,IF((42-N(V_L3_Mes)+1)=1,N(V_L3_Monto),AT$227)*N(V_L3_Tasa)/12,0)*AU$9</f>
        <v>0</v>
      </c>
      <c r="AV225" s="34" t="n">
        <f aca="false">IF((43-N(V_L3_Mes)+1)&gt;=1,IF((43-N(V_L3_Mes)+1)=1,N(V_L3_Monto),AU$227)*N(V_L3_Tasa)/12,0)*AV$9</f>
        <v>0</v>
      </c>
      <c r="AW225" s="34" t="n">
        <f aca="false">IF((44-N(V_L3_Mes)+1)&gt;=1,IF((44-N(V_L3_Mes)+1)=1,N(V_L3_Monto),AV$227)*N(V_L3_Tasa)/12,0)*AW$9</f>
        <v>0</v>
      </c>
      <c r="AX225" s="34" t="n">
        <f aca="false">IF((45-N(V_L3_Mes)+1)&gt;=1,IF((45-N(V_L3_Mes)+1)=1,N(V_L3_Monto),AW$227)*N(V_L3_Tasa)/12,0)*AX$9</f>
        <v>0</v>
      </c>
      <c r="AY225" s="34" t="n">
        <f aca="false">IF((46-N(V_L3_Mes)+1)&gt;=1,IF((46-N(V_L3_Mes)+1)=1,N(V_L3_Monto),AX$227)*N(V_L3_Tasa)/12,0)*AY$9</f>
        <v>0</v>
      </c>
      <c r="AZ225" s="34" t="n">
        <f aca="false">IF((47-N(V_L3_Mes)+1)&gt;=1,IF((47-N(V_L3_Mes)+1)=1,N(V_L3_Monto),AY$227)*N(V_L3_Tasa)/12,0)*AZ$9</f>
        <v>0</v>
      </c>
      <c r="BA225" s="34" t="n">
        <f aca="false">IF((48-N(V_L3_Mes)+1)&gt;=1,IF((48-N(V_L3_Mes)+1)=1,N(V_L3_Monto),AZ$227)*N(V_L3_Tasa)/12,0)*BA$9</f>
        <v>0</v>
      </c>
      <c r="BB225" s="34" t="n">
        <f aca="false">IF((49-N(V_L3_Mes)+1)&gt;=1,IF((49-N(V_L3_Mes)+1)=1,N(V_L3_Monto),BA$227)*N(V_L3_Tasa)/12,0)*BB$9</f>
        <v>0</v>
      </c>
      <c r="BC225" s="34" t="n">
        <f aca="false">IF((50-N(V_L3_Mes)+1)&gt;=1,IF((50-N(V_L3_Mes)+1)=1,N(V_L3_Monto),BB$227)*N(V_L3_Tasa)/12,0)*BC$9</f>
        <v>0</v>
      </c>
      <c r="BD225" s="34" t="n">
        <f aca="false">IF((51-N(V_L3_Mes)+1)&gt;=1,IF((51-N(V_L3_Mes)+1)=1,N(V_L3_Monto),BC$227)*N(V_L3_Tasa)/12,0)*BD$9</f>
        <v>0</v>
      </c>
      <c r="BE225" s="34" t="n">
        <f aca="false">IF((52-N(V_L3_Mes)+1)&gt;=1,IF((52-N(V_L3_Mes)+1)=1,N(V_L3_Monto),BD$227)*N(V_L3_Tasa)/12,0)*BE$9</f>
        <v>0</v>
      </c>
      <c r="BF225" s="34" t="n">
        <f aca="false">IF((53-N(V_L3_Mes)+1)&gt;=1,IF((53-N(V_L3_Mes)+1)=1,N(V_L3_Monto),BE$227)*N(V_L3_Tasa)/12,0)*BF$9</f>
        <v>0</v>
      </c>
      <c r="BG225" s="34" t="n">
        <f aca="false">IF((54-N(V_L3_Mes)+1)&gt;=1,IF((54-N(V_L3_Mes)+1)=1,N(V_L3_Monto),BF$227)*N(V_L3_Tasa)/12,0)*BG$9</f>
        <v>0</v>
      </c>
      <c r="BH225" s="34" t="n">
        <f aca="false">IF((55-N(V_L3_Mes)+1)&gt;=1,IF((55-N(V_L3_Mes)+1)=1,N(V_L3_Monto),BG$227)*N(V_L3_Tasa)/12,0)*BH$9</f>
        <v>0</v>
      </c>
      <c r="BI225" s="34" t="n">
        <f aca="false">IF((56-N(V_L3_Mes)+1)&gt;=1,IF((56-N(V_L3_Mes)+1)=1,N(V_L3_Monto),BH$227)*N(V_L3_Tasa)/12,0)*BI$9</f>
        <v>0</v>
      </c>
      <c r="BJ225" s="34" t="n">
        <f aca="false">IF((57-N(V_L3_Mes)+1)&gt;=1,IF((57-N(V_L3_Mes)+1)=1,N(V_L3_Monto),BI$227)*N(V_L3_Tasa)/12,0)*BJ$9</f>
        <v>0</v>
      </c>
      <c r="BK225" s="34" t="n">
        <f aca="false">IF((58-N(V_L3_Mes)+1)&gt;=1,IF((58-N(V_L3_Mes)+1)=1,N(V_L3_Monto),BJ$227)*N(V_L3_Tasa)/12,0)*BK$9</f>
        <v>0</v>
      </c>
      <c r="BL225" s="34" t="n">
        <f aca="false">IF((59-N(V_L3_Mes)+1)&gt;=1,IF((59-N(V_L3_Mes)+1)=1,N(V_L3_Monto),BK$227)*N(V_L3_Tasa)/12,0)*BL$9</f>
        <v>0</v>
      </c>
      <c r="BM225" s="34" t="n">
        <f aca="false">IF((60-N(V_L3_Mes)+1)&gt;=1,IF((60-N(V_L3_Mes)+1)=1,N(V_L3_Monto),BL$227)*N(V_L3_Tasa)/12,0)*BM$9</f>
        <v>0</v>
      </c>
      <c r="BN225" s="34" t="n">
        <f aca="false">IF((61-N(V_L3_Mes)+1)&gt;=1,IF((61-N(V_L3_Mes)+1)=1,N(V_L3_Monto),BM$227)*N(V_L3_Tasa)/12,0)*BN$9</f>
        <v>0</v>
      </c>
      <c r="BO225" s="34" t="n">
        <f aca="false">IF((62-N(V_L3_Mes)+1)&gt;=1,IF((62-N(V_L3_Mes)+1)=1,N(V_L3_Monto),BN$227)*N(V_L3_Tasa)/12,0)*BO$9</f>
        <v>0</v>
      </c>
      <c r="BP225" s="34" t="n">
        <f aca="false">IF((63-N(V_L3_Mes)+1)&gt;=1,IF((63-N(V_L3_Mes)+1)=1,N(V_L3_Monto),BO$227)*N(V_L3_Tasa)/12,0)*BP$9</f>
        <v>0</v>
      </c>
      <c r="BQ225" s="34" t="n">
        <f aca="false">IF((64-N(V_L3_Mes)+1)&gt;=1,IF((64-N(V_L3_Mes)+1)=1,N(V_L3_Monto),BP$227)*N(V_L3_Tasa)/12,0)*BQ$9</f>
        <v>0</v>
      </c>
      <c r="BR225" s="34" t="n">
        <f aca="false">IF((65-N(V_L3_Mes)+1)&gt;=1,IF((65-N(V_L3_Mes)+1)=1,N(V_L3_Monto),BQ$227)*N(V_L3_Tasa)/12,0)*BR$9</f>
        <v>0</v>
      </c>
      <c r="BS225" s="34" t="n">
        <f aca="false">IF((66-N(V_L3_Mes)+1)&gt;=1,IF((66-N(V_L3_Mes)+1)=1,N(V_L3_Monto),BR$227)*N(V_L3_Tasa)/12,0)*BS$9</f>
        <v>0</v>
      </c>
      <c r="BT225" s="34" t="n">
        <f aca="false">IF((67-N(V_L3_Mes)+1)&gt;=1,IF((67-N(V_L3_Mes)+1)=1,N(V_L3_Monto),BS$227)*N(V_L3_Tasa)/12,0)*BT$9</f>
        <v>0</v>
      </c>
      <c r="BU225" s="34" t="n">
        <f aca="false">IF((68-N(V_L3_Mes)+1)&gt;=1,IF((68-N(V_L3_Mes)+1)=1,N(V_L3_Monto),BT$227)*N(V_L3_Tasa)/12,0)*BU$9</f>
        <v>0</v>
      </c>
      <c r="BV225" s="34" t="n">
        <f aca="false">IF((69-N(V_L3_Mes)+1)&gt;=1,IF((69-N(V_L3_Mes)+1)=1,N(V_L3_Monto),BU$227)*N(V_L3_Tasa)/12,0)*BV$9</f>
        <v>0</v>
      </c>
      <c r="BW225" s="34" t="n">
        <f aca="false">IF((70-N(V_L3_Mes)+1)&gt;=1,IF((70-N(V_L3_Mes)+1)=1,N(V_L3_Monto),BV$227)*N(V_L3_Tasa)/12,0)*BW$9</f>
        <v>0</v>
      </c>
      <c r="BX225" s="34" t="n">
        <f aca="false">IF((71-N(V_L3_Mes)+1)&gt;=1,IF((71-N(V_L3_Mes)+1)=1,N(V_L3_Monto),BW$227)*N(V_L3_Tasa)/12,0)*BX$9</f>
        <v>0</v>
      </c>
      <c r="BY225" s="34" t="n">
        <f aca="false">IF((72-N(V_L3_Mes)+1)&gt;=1,IF((72-N(V_L3_Mes)+1)=1,N(V_L3_Monto),BX$227)*N(V_L3_Tasa)/12,0)*BY$9</f>
        <v>0</v>
      </c>
      <c r="BZ225" s="34" t="n">
        <f aca="false">IF((73-N(V_L3_Mes)+1)&gt;=1,IF((73-N(V_L3_Mes)+1)=1,N(V_L3_Monto),BY$227)*N(V_L3_Tasa)/12,0)*BZ$9</f>
        <v>0</v>
      </c>
      <c r="CA225" s="34" t="n">
        <f aca="false">IF((74-N(V_L3_Mes)+1)&gt;=1,IF((74-N(V_L3_Mes)+1)=1,N(V_L3_Monto),BZ$227)*N(V_L3_Tasa)/12,0)*CA$9</f>
        <v>0</v>
      </c>
      <c r="CB225" s="34" t="n">
        <f aca="false">IF((75-N(V_L3_Mes)+1)&gt;=1,IF((75-N(V_L3_Mes)+1)=1,N(V_L3_Monto),CA$227)*N(V_L3_Tasa)/12,0)*CB$9</f>
        <v>0</v>
      </c>
      <c r="CC225" s="34" t="n">
        <f aca="false">IF((76-N(V_L3_Mes)+1)&gt;=1,IF((76-N(V_L3_Mes)+1)=1,N(V_L3_Monto),CB$227)*N(V_L3_Tasa)/12,0)*CC$9</f>
        <v>0</v>
      </c>
      <c r="CD225" s="34" t="n">
        <f aca="false">IF((77-N(V_L3_Mes)+1)&gt;=1,IF((77-N(V_L3_Mes)+1)=1,N(V_L3_Monto),CC$227)*N(V_L3_Tasa)/12,0)*CD$9</f>
        <v>0</v>
      </c>
      <c r="CE225" s="34" t="n">
        <f aca="false">IF((78-N(V_L3_Mes)+1)&gt;=1,IF((78-N(V_L3_Mes)+1)=1,N(V_L3_Monto),CD$227)*N(V_L3_Tasa)/12,0)*CE$9</f>
        <v>0</v>
      </c>
      <c r="CF225" s="34" t="n">
        <f aca="false">IF((79-N(V_L3_Mes)+1)&gt;=1,IF((79-N(V_L3_Mes)+1)=1,N(V_L3_Monto),CE$227)*N(V_L3_Tasa)/12,0)*CF$9</f>
        <v>0</v>
      </c>
      <c r="CG225" s="34" t="n">
        <f aca="false">IF((80-N(V_L3_Mes)+1)&gt;=1,IF((80-N(V_L3_Mes)+1)=1,N(V_L3_Monto),CF$227)*N(V_L3_Tasa)/12,0)*CG$9</f>
        <v>0</v>
      </c>
      <c r="CH225" s="34" t="n">
        <f aca="false">IF((81-N(V_L3_Mes)+1)&gt;=1,IF((81-N(V_L3_Mes)+1)=1,N(V_L3_Monto),CG$227)*N(V_L3_Tasa)/12,0)*CH$9</f>
        <v>0</v>
      </c>
      <c r="CI225" s="34" t="n">
        <f aca="false">IF((82-N(V_L3_Mes)+1)&gt;=1,IF((82-N(V_L3_Mes)+1)=1,N(V_L3_Monto),CH$227)*N(V_L3_Tasa)/12,0)*CI$9</f>
        <v>0</v>
      </c>
      <c r="CJ225" s="34" t="n">
        <f aca="false">IF((83-N(V_L3_Mes)+1)&gt;=1,IF((83-N(V_L3_Mes)+1)=1,N(V_L3_Monto),CI$227)*N(V_L3_Tasa)/12,0)*CJ$9</f>
        <v>0</v>
      </c>
      <c r="CK225" s="34" t="n">
        <f aca="false">IF((84-N(V_L3_Mes)+1)&gt;=1,IF((84-N(V_L3_Mes)+1)=1,N(V_L3_Monto),CJ$227)*N(V_L3_Tasa)/12,0)*CK$9</f>
        <v>0</v>
      </c>
      <c r="CL225" s="34" t="n">
        <f aca="false">IF((85-N(V_L3_Mes)+1)&gt;=1,IF((85-N(V_L3_Mes)+1)=1,N(V_L3_Monto),CK$227)*N(V_L3_Tasa)/12,0)*CL$9</f>
        <v>0</v>
      </c>
      <c r="CM225" s="34" t="n">
        <f aca="false">IF((86-N(V_L3_Mes)+1)&gt;=1,IF((86-N(V_L3_Mes)+1)=1,N(V_L3_Monto),CL$227)*N(V_L3_Tasa)/12,0)*CM$9</f>
        <v>0</v>
      </c>
      <c r="CN225" s="34" t="n">
        <f aca="false">IF((87-N(V_L3_Mes)+1)&gt;=1,IF((87-N(V_L3_Mes)+1)=1,N(V_L3_Monto),CM$227)*N(V_L3_Tasa)/12,0)*CN$9</f>
        <v>0</v>
      </c>
      <c r="CO225" s="34" t="n">
        <f aca="false">IF((88-N(V_L3_Mes)+1)&gt;=1,IF((88-N(V_L3_Mes)+1)=1,N(V_L3_Monto),CN$227)*N(V_L3_Tasa)/12,0)*CO$9</f>
        <v>0</v>
      </c>
      <c r="CP225" s="34" t="n">
        <f aca="false">IF((89-N(V_L3_Mes)+1)&gt;=1,IF((89-N(V_L3_Mes)+1)=1,N(V_L3_Monto),CO$227)*N(V_L3_Tasa)/12,0)*CP$9</f>
        <v>0</v>
      </c>
      <c r="CQ225" s="34" t="n">
        <f aca="false">IF((90-N(V_L3_Mes)+1)&gt;=1,IF((90-N(V_L3_Mes)+1)=1,N(V_L3_Monto),CP$227)*N(V_L3_Tasa)/12,0)*CQ$9</f>
        <v>0</v>
      </c>
      <c r="CR225" s="34" t="n">
        <f aca="false">IF((91-N(V_L3_Mes)+1)&gt;=1,IF((91-N(V_L3_Mes)+1)=1,N(V_L3_Monto),CQ$227)*N(V_L3_Tasa)/12,0)*CR$9</f>
        <v>0</v>
      </c>
      <c r="CS225" s="34" t="n">
        <f aca="false">IF((92-N(V_L3_Mes)+1)&gt;=1,IF((92-N(V_L3_Mes)+1)=1,N(V_L3_Monto),CR$227)*N(V_L3_Tasa)/12,0)*CS$9</f>
        <v>0</v>
      </c>
      <c r="CT225" s="34" t="n">
        <f aca="false">IF((93-N(V_L3_Mes)+1)&gt;=1,IF((93-N(V_L3_Mes)+1)=1,N(V_L3_Monto),CS$227)*N(V_L3_Tasa)/12,0)*CT$9</f>
        <v>0</v>
      </c>
      <c r="CU225" s="34" t="n">
        <f aca="false">IF((94-N(V_L3_Mes)+1)&gt;=1,IF((94-N(V_L3_Mes)+1)=1,N(V_L3_Monto),CT$227)*N(V_L3_Tasa)/12,0)*CU$9</f>
        <v>0</v>
      </c>
      <c r="CV225" s="34" t="n">
        <f aca="false">IF((95-N(V_L3_Mes)+1)&gt;=1,IF((95-N(V_L3_Mes)+1)=1,N(V_L3_Monto),CU$227)*N(V_L3_Tasa)/12,0)*CV$9</f>
        <v>0</v>
      </c>
      <c r="CW225" s="34" t="n">
        <f aca="false">IF((96-N(V_L3_Mes)+1)&gt;=1,IF((96-N(V_L3_Mes)+1)=1,N(V_L3_Monto),CV$227)*N(V_L3_Tasa)/12,0)*CW$9</f>
        <v>0</v>
      </c>
      <c r="CX225" s="34" t="n">
        <f aca="false">IF((97-N(V_L3_Mes)+1)&gt;=1,IF((97-N(V_L3_Mes)+1)=1,N(V_L3_Monto),CW$227)*N(V_L3_Tasa)/12,0)*CX$9</f>
        <v>0</v>
      </c>
      <c r="CY225" s="34" t="n">
        <f aca="false">IF((98-N(V_L3_Mes)+1)&gt;=1,IF((98-N(V_L3_Mes)+1)=1,N(V_L3_Monto),CX$227)*N(V_L3_Tasa)/12,0)*CY$9</f>
        <v>0</v>
      </c>
      <c r="CZ225" s="34" t="n">
        <f aca="false">IF((99-N(V_L3_Mes)+1)&gt;=1,IF((99-N(V_L3_Mes)+1)=1,N(V_L3_Monto),CY$227)*N(V_L3_Tasa)/12,0)*CZ$9</f>
        <v>0</v>
      </c>
      <c r="DA225" s="34" t="n">
        <f aca="false">IF((100-N(V_L3_Mes)+1)&gt;=1,IF((100-N(V_L3_Mes)+1)=1,N(V_L3_Monto),CZ$227)*N(V_L3_Tasa)/12,0)*DA$9</f>
        <v>0</v>
      </c>
      <c r="DB225" s="34" t="n">
        <f aca="false">IF((101-N(V_L3_Mes)+1)&gt;=1,IF((101-N(V_L3_Mes)+1)=1,N(V_L3_Monto),DA$227)*N(V_L3_Tasa)/12,0)*DB$9</f>
        <v>0</v>
      </c>
      <c r="DC225" s="34" t="n">
        <f aca="false">IF((102-N(V_L3_Mes)+1)&gt;=1,IF((102-N(V_L3_Mes)+1)=1,N(V_L3_Monto),DB$227)*N(V_L3_Tasa)/12,0)*DC$9</f>
        <v>0</v>
      </c>
      <c r="DD225" s="34" t="n">
        <f aca="false">IF((103-N(V_L3_Mes)+1)&gt;=1,IF((103-N(V_L3_Mes)+1)=1,N(V_L3_Monto),DC$227)*N(V_L3_Tasa)/12,0)*DD$9</f>
        <v>0</v>
      </c>
      <c r="DE225" s="34" t="n">
        <f aca="false">IF((104-N(V_L3_Mes)+1)&gt;=1,IF((104-N(V_L3_Mes)+1)=1,N(V_L3_Monto),DD$227)*N(V_L3_Tasa)/12,0)*DE$9</f>
        <v>0</v>
      </c>
      <c r="DF225" s="34" t="n">
        <f aca="false">IF((105-N(V_L3_Mes)+1)&gt;=1,IF((105-N(V_L3_Mes)+1)=1,N(V_L3_Monto),DE$227)*N(V_L3_Tasa)/12,0)*DF$9</f>
        <v>0</v>
      </c>
      <c r="DG225" s="34" t="n">
        <f aca="false">IF((106-N(V_L3_Mes)+1)&gt;=1,IF((106-N(V_L3_Mes)+1)=1,N(V_L3_Monto),DF$227)*N(V_L3_Tasa)/12,0)*DG$9</f>
        <v>0</v>
      </c>
      <c r="DH225" s="34" t="n">
        <f aca="false">IF((107-N(V_L3_Mes)+1)&gt;=1,IF((107-N(V_L3_Mes)+1)=1,N(V_L3_Monto),DG$227)*N(V_L3_Tasa)/12,0)*DH$9</f>
        <v>0</v>
      </c>
      <c r="DI225" s="34" t="n">
        <f aca="false">IF((108-N(V_L3_Mes)+1)&gt;=1,IF((108-N(V_L3_Mes)+1)=1,N(V_L3_Monto),DH$227)*N(V_L3_Tasa)/12,0)*DI$9</f>
        <v>0</v>
      </c>
      <c r="DJ225" s="34" t="n">
        <f aca="false">IF((109-N(V_L3_Mes)+1)&gt;=1,IF((109-N(V_L3_Mes)+1)=1,N(V_L3_Monto),DI$227)*N(V_L3_Tasa)/12,0)*DJ$9</f>
        <v>0</v>
      </c>
      <c r="DK225" s="34" t="n">
        <f aca="false">IF((110-N(V_L3_Mes)+1)&gt;=1,IF((110-N(V_L3_Mes)+1)=1,N(V_L3_Monto),DJ$227)*N(V_L3_Tasa)/12,0)*DK$9</f>
        <v>0</v>
      </c>
      <c r="DL225" s="34" t="n">
        <f aca="false">IF((111-N(V_L3_Mes)+1)&gt;=1,IF((111-N(V_L3_Mes)+1)=1,N(V_L3_Monto),DK$227)*N(V_L3_Tasa)/12,0)*DL$9</f>
        <v>0</v>
      </c>
      <c r="DM225" s="34" t="n">
        <f aca="false">IF((112-N(V_L3_Mes)+1)&gt;=1,IF((112-N(V_L3_Mes)+1)=1,N(V_L3_Monto),DL$227)*N(V_L3_Tasa)/12,0)*DM$9</f>
        <v>0</v>
      </c>
      <c r="DN225" s="34" t="n">
        <f aca="false">IF((113-N(V_L3_Mes)+1)&gt;=1,IF((113-N(V_L3_Mes)+1)=1,N(V_L3_Monto),DM$227)*N(V_L3_Tasa)/12,0)*DN$9</f>
        <v>0</v>
      </c>
      <c r="DO225" s="34" t="n">
        <f aca="false">IF((114-N(V_L3_Mes)+1)&gt;=1,IF((114-N(V_L3_Mes)+1)=1,N(V_L3_Monto),DN$227)*N(V_L3_Tasa)/12,0)*DO$9</f>
        <v>0</v>
      </c>
      <c r="DP225" s="34" t="n">
        <f aca="false">IF((115-N(V_L3_Mes)+1)&gt;=1,IF((115-N(V_L3_Mes)+1)=1,N(V_L3_Monto),DO$227)*N(V_L3_Tasa)/12,0)*DP$9</f>
        <v>0</v>
      </c>
      <c r="DQ225" s="34" t="n">
        <f aca="false">IF((116-N(V_L3_Mes)+1)&gt;=1,IF((116-N(V_L3_Mes)+1)=1,N(V_L3_Monto),DP$227)*N(V_L3_Tasa)/12,0)*DQ$9</f>
        <v>0</v>
      </c>
      <c r="DR225" s="34" t="n">
        <f aca="false">IF((117-N(V_L3_Mes)+1)&gt;=1,IF((117-N(V_L3_Mes)+1)=1,N(V_L3_Monto),DQ$227)*N(V_L3_Tasa)/12,0)*DR$9</f>
        <v>0</v>
      </c>
      <c r="DS225" s="34" t="n">
        <f aca="false">IF((118-N(V_L3_Mes)+1)&gt;=1,IF((118-N(V_L3_Mes)+1)=1,N(V_L3_Monto),DR$227)*N(V_L3_Tasa)/12,0)*DS$9</f>
        <v>0</v>
      </c>
      <c r="DT225" s="34" t="n">
        <f aca="false">IF((119-N(V_L3_Mes)+1)&gt;=1,IF((119-N(V_L3_Mes)+1)=1,N(V_L3_Monto),DS$227)*N(V_L3_Tasa)/12,0)*DT$9</f>
        <v>0</v>
      </c>
      <c r="DU225" s="34" t="n">
        <f aca="false">IF((120-N(V_L3_Mes)+1)&gt;=1,IF((120-N(V_L3_Mes)+1)=1,N(V_L3_Monto),DT$227)*N(V_L3_Tasa)/12,0)*DU$9</f>
        <v>0</v>
      </c>
      <c r="DV225" s="34" t="n">
        <f aca="false">IF((121-N(V_L3_Mes)+1)&gt;=1,IF((121-N(V_L3_Mes)+1)=1,N(V_L3_Monto),DU$227)*N(V_L3_Tasa)/12,0)*DV$9</f>
        <v>0</v>
      </c>
      <c r="DW225" s="34" t="n">
        <f aca="false">IF((122-N(V_L3_Mes)+1)&gt;=1,IF((122-N(V_L3_Mes)+1)=1,N(V_L3_Monto),DV$227)*N(V_L3_Tasa)/12,0)*DW$9</f>
        <v>0</v>
      </c>
      <c r="DX225" s="34" t="n">
        <f aca="false">IF((123-N(V_L3_Mes)+1)&gt;=1,IF((123-N(V_L3_Mes)+1)=1,N(V_L3_Monto),DW$227)*N(V_L3_Tasa)/12,0)*DX$9</f>
        <v>0</v>
      </c>
      <c r="DY225" s="34" t="n">
        <f aca="false">IF((124-N(V_L3_Mes)+1)&gt;=1,IF((124-N(V_L3_Mes)+1)=1,N(V_L3_Monto),DX$227)*N(V_L3_Tasa)/12,0)*DY$9</f>
        <v>0</v>
      </c>
      <c r="DZ225" s="34" t="n">
        <f aca="false">IF((125-N(V_L3_Mes)+1)&gt;=1,IF((125-N(V_L3_Mes)+1)=1,N(V_L3_Monto),DY$227)*N(V_L3_Tasa)/12,0)*DZ$9</f>
        <v>0</v>
      </c>
      <c r="EA225" s="34" t="n">
        <f aca="false">IF((126-N(V_L3_Mes)+1)&gt;=1,IF((126-N(V_L3_Mes)+1)=1,N(V_L3_Monto),DZ$227)*N(V_L3_Tasa)/12,0)*EA$9</f>
        <v>0</v>
      </c>
      <c r="EB225" s="34" t="n">
        <f aca="false">IF((127-N(V_L3_Mes)+1)&gt;=1,IF((127-N(V_L3_Mes)+1)=1,N(V_L3_Monto),EA$227)*N(V_L3_Tasa)/12,0)*EB$9</f>
        <v>0</v>
      </c>
      <c r="EC225" s="34" t="n">
        <f aca="false">IF((128-N(V_L3_Mes)+1)&gt;=1,IF((128-N(V_L3_Mes)+1)=1,N(V_L3_Monto),EB$227)*N(V_L3_Tasa)/12,0)*EC$9</f>
        <v>0</v>
      </c>
      <c r="ED225" s="34" t="n">
        <f aca="false">IF((129-N(V_L3_Mes)+1)&gt;=1,IF((129-N(V_L3_Mes)+1)=1,N(V_L3_Monto),EC$227)*N(V_L3_Tasa)/12,0)*ED$9</f>
        <v>0</v>
      </c>
      <c r="EE225" s="34" t="n">
        <f aca="false">IF((130-N(V_L3_Mes)+1)&gt;=1,IF((130-N(V_L3_Mes)+1)=1,N(V_L3_Monto),ED$227)*N(V_L3_Tasa)/12,0)*EE$9</f>
        <v>0</v>
      </c>
      <c r="EF225" s="34" t="n">
        <f aca="false">IF((131-N(V_L3_Mes)+1)&gt;=1,IF((131-N(V_L3_Mes)+1)=1,N(V_L3_Monto),EE$227)*N(V_L3_Tasa)/12,0)*EF$9</f>
        <v>0</v>
      </c>
      <c r="EG225" s="34" t="n">
        <f aca="false">IF((132-N(V_L3_Mes)+1)&gt;=1,IF((132-N(V_L3_Mes)+1)=1,N(V_L3_Monto),EF$227)*N(V_L3_Tasa)/12,0)*EG$9</f>
        <v>0</v>
      </c>
      <c r="EH225" s="34" t="n">
        <f aca="false">IF((133-N(V_L3_Mes)+1)&gt;=1,IF((133-N(V_L3_Mes)+1)=1,N(V_L3_Monto),EG$227)*N(V_L3_Tasa)/12,0)*EH$9</f>
        <v>0</v>
      </c>
      <c r="EI225" s="34" t="n">
        <f aca="false">IF((134-N(V_L3_Mes)+1)&gt;=1,IF((134-N(V_L3_Mes)+1)=1,N(V_L3_Monto),EH$227)*N(V_L3_Tasa)/12,0)*EI$9</f>
        <v>0</v>
      </c>
      <c r="EJ225" s="34" t="n">
        <f aca="false">IF((135-N(V_L3_Mes)+1)&gt;=1,IF((135-N(V_L3_Mes)+1)=1,N(V_L3_Monto),EI$227)*N(V_L3_Tasa)/12,0)*EJ$9</f>
        <v>0</v>
      </c>
      <c r="EK225" s="34" t="n">
        <f aca="false">IF((136-N(V_L3_Mes)+1)&gt;=1,IF((136-N(V_L3_Mes)+1)=1,N(V_L3_Monto),EJ$227)*N(V_L3_Tasa)/12,0)*EK$9</f>
        <v>0</v>
      </c>
      <c r="EL225" s="34" t="n">
        <f aca="false">IF((137-N(V_L3_Mes)+1)&gt;=1,IF((137-N(V_L3_Mes)+1)=1,N(V_L3_Monto),EK$227)*N(V_L3_Tasa)/12,0)*EL$9</f>
        <v>0</v>
      </c>
      <c r="EM225" s="34" t="n">
        <f aca="false">IF((138-N(V_L3_Mes)+1)&gt;=1,IF((138-N(V_L3_Mes)+1)=1,N(V_L3_Monto),EL$227)*N(V_L3_Tasa)/12,0)*EM$9</f>
        <v>0</v>
      </c>
      <c r="EN225" s="34" t="n">
        <f aca="false">IF((139-N(V_L3_Mes)+1)&gt;=1,IF((139-N(V_L3_Mes)+1)=1,N(V_L3_Monto),EM$227)*N(V_L3_Tasa)/12,0)*EN$9</f>
        <v>0</v>
      </c>
      <c r="EO225" s="34" t="n">
        <f aca="false">IF((140-N(V_L3_Mes)+1)&gt;=1,IF((140-N(V_L3_Mes)+1)=1,N(V_L3_Monto),EN$227)*N(V_L3_Tasa)/12,0)*EO$9</f>
        <v>0</v>
      </c>
      <c r="EP225" s="34" t="n">
        <f aca="false">IF((141-N(V_L3_Mes)+1)&gt;=1,IF((141-N(V_L3_Mes)+1)=1,N(V_L3_Monto),EO$227)*N(V_L3_Tasa)/12,0)*EP$9</f>
        <v>0</v>
      </c>
      <c r="EQ225" s="34" t="n">
        <f aca="false">IF((142-N(V_L3_Mes)+1)&gt;=1,IF((142-N(V_L3_Mes)+1)=1,N(V_L3_Monto),EP$227)*N(V_L3_Tasa)/12,0)*EQ$9</f>
        <v>0</v>
      </c>
      <c r="ER225" s="34" t="n">
        <f aca="false">IF((143-N(V_L3_Mes)+1)&gt;=1,IF((143-N(V_L3_Mes)+1)=1,N(V_L3_Monto),EQ$227)*N(V_L3_Tasa)/12,0)*ER$9</f>
        <v>0</v>
      </c>
      <c r="ES225" s="34" t="n">
        <f aca="false">IF((144-N(V_L3_Mes)+1)&gt;=1,IF((144-N(V_L3_Mes)+1)=1,N(V_L3_Monto),ER$227)*N(V_L3_Tasa)/12,0)*ES$9</f>
        <v>0</v>
      </c>
    </row>
    <row r="226" customFormat="false" ht="15" hidden="false" customHeight="false" outlineLevel="0" collapsed="false">
      <c r="A226" s="2" t="s">
        <v>700</v>
      </c>
      <c r="B226" s="6" t="s">
        <v>572</v>
      </c>
      <c r="C226" s="6" t="s">
        <v>212</v>
      </c>
      <c r="E226" s="40" t="n">
        <f aca="false">SUM(F226:ES226)</f>
        <v>0</v>
      </c>
      <c r="F226" s="34" t="n">
        <f aca="false">IF(AND((1-N(V_L3_Mes)+1)&gt;N(V_L3_Gracia),(1-N(V_L3_Mes)+1)&lt;=N(V_L3_Gracia)+N(V_L3_Cuotas),N(V_L3_Cuotas)&gt;0),IF((1-N(V_L3_Mes)+1)=N(V_L3_Gracia)+N(V_L3_Cuotas),IF((1-N(V_L3_Mes)+1)=1,N(V_L3_Monto),0),PMT(N(V_L3_Tasa)/12,N(V_L3_Cuotas),-N(V_L3_Monto))-F$225),0)*F$9</f>
        <v>0</v>
      </c>
      <c r="G226" s="34" t="n">
        <f aca="false">IF(AND((2-N(V_L3_Mes)+1)&gt;N(V_L3_Gracia),(2-N(V_L3_Mes)+1)&lt;=N(V_L3_Gracia)+N(V_L3_Cuotas),N(V_L3_Cuotas)&gt;0),IF((2-N(V_L3_Mes)+1)=N(V_L3_Gracia)+N(V_L3_Cuotas),IF((2-N(V_L3_Mes)+1)=1,N(V_L3_Monto),F$227),PMT(N(V_L3_Tasa)/12,N(V_L3_Cuotas),-N(V_L3_Monto))-G$225),0)*G$9</f>
        <v>0</v>
      </c>
      <c r="H226" s="34" t="n">
        <f aca="false">IF(AND((3-N(V_L3_Mes)+1)&gt;N(V_L3_Gracia),(3-N(V_L3_Mes)+1)&lt;=N(V_L3_Gracia)+N(V_L3_Cuotas),N(V_L3_Cuotas)&gt;0),IF((3-N(V_L3_Mes)+1)=N(V_L3_Gracia)+N(V_L3_Cuotas),IF((3-N(V_L3_Mes)+1)=1,N(V_L3_Monto),G$227),PMT(N(V_L3_Tasa)/12,N(V_L3_Cuotas),-N(V_L3_Monto))-H$225),0)*H$9</f>
        <v>0</v>
      </c>
      <c r="I226" s="34" t="n">
        <f aca="false">IF(AND((4-N(V_L3_Mes)+1)&gt;N(V_L3_Gracia),(4-N(V_L3_Mes)+1)&lt;=N(V_L3_Gracia)+N(V_L3_Cuotas),N(V_L3_Cuotas)&gt;0),IF((4-N(V_L3_Mes)+1)=N(V_L3_Gracia)+N(V_L3_Cuotas),IF((4-N(V_L3_Mes)+1)=1,N(V_L3_Monto),H$227),PMT(N(V_L3_Tasa)/12,N(V_L3_Cuotas),-N(V_L3_Monto))-I$225),0)*I$9</f>
        <v>0</v>
      </c>
      <c r="J226" s="34" t="n">
        <f aca="false">IF(AND((5-N(V_L3_Mes)+1)&gt;N(V_L3_Gracia),(5-N(V_L3_Mes)+1)&lt;=N(V_L3_Gracia)+N(V_L3_Cuotas),N(V_L3_Cuotas)&gt;0),IF((5-N(V_L3_Mes)+1)=N(V_L3_Gracia)+N(V_L3_Cuotas),IF((5-N(V_L3_Mes)+1)=1,N(V_L3_Monto),I$227),PMT(N(V_L3_Tasa)/12,N(V_L3_Cuotas),-N(V_L3_Monto))-J$225),0)*J$9</f>
        <v>0</v>
      </c>
      <c r="K226" s="34" t="n">
        <f aca="false">IF(AND((6-N(V_L3_Mes)+1)&gt;N(V_L3_Gracia),(6-N(V_L3_Mes)+1)&lt;=N(V_L3_Gracia)+N(V_L3_Cuotas),N(V_L3_Cuotas)&gt;0),IF((6-N(V_L3_Mes)+1)=N(V_L3_Gracia)+N(V_L3_Cuotas),IF((6-N(V_L3_Mes)+1)=1,N(V_L3_Monto),J$227),PMT(N(V_L3_Tasa)/12,N(V_L3_Cuotas),-N(V_L3_Monto))-K$225),0)*K$9</f>
        <v>0</v>
      </c>
      <c r="L226" s="34" t="n">
        <f aca="false">IF(AND((7-N(V_L3_Mes)+1)&gt;N(V_L3_Gracia),(7-N(V_L3_Mes)+1)&lt;=N(V_L3_Gracia)+N(V_L3_Cuotas),N(V_L3_Cuotas)&gt;0),IF((7-N(V_L3_Mes)+1)=N(V_L3_Gracia)+N(V_L3_Cuotas),IF((7-N(V_L3_Mes)+1)=1,N(V_L3_Monto),K$227),PMT(N(V_L3_Tasa)/12,N(V_L3_Cuotas),-N(V_L3_Monto))-L$225),0)*L$9</f>
        <v>0</v>
      </c>
      <c r="M226" s="34" t="n">
        <f aca="false">IF(AND((8-N(V_L3_Mes)+1)&gt;N(V_L3_Gracia),(8-N(V_L3_Mes)+1)&lt;=N(V_L3_Gracia)+N(V_L3_Cuotas),N(V_L3_Cuotas)&gt;0),IF((8-N(V_L3_Mes)+1)=N(V_L3_Gracia)+N(V_L3_Cuotas),IF((8-N(V_L3_Mes)+1)=1,N(V_L3_Monto),L$227),PMT(N(V_L3_Tasa)/12,N(V_L3_Cuotas),-N(V_L3_Monto))-M$225),0)*M$9</f>
        <v>0</v>
      </c>
      <c r="N226" s="34" t="n">
        <f aca="false">IF(AND((9-N(V_L3_Mes)+1)&gt;N(V_L3_Gracia),(9-N(V_L3_Mes)+1)&lt;=N(V_L3_Gracia)+N(V_L3_Cuotas),N(V_L3_Cuotas)&gt;0),IF((9-N(V_L3_Mes)+1)=N(V_L3_Gracia)+N(V_L3_Cuotas),IF((9-N(V_L3_Mes)+1)=1,N(V_L3_Monto),M$227),PMT(N(V_L3_Tasa)/12,N(V_L3_Cuotas),-N(V_L3_Monto))-N$225),0)*N$9</f>
        <v>0</v>
      </c>
      <c r="O226" s="34" t="n">
        <f aca="false">IF(AND((10-N(V_L3_Mes)+1)&gt;N(V_L3_Gracia),(10-N(V_L3_Mes)+1)&lt;=N(V_L3_Gracia)+N(V_L3_Cuotas),N(V_L3_Cuotas)&gt;0),IF((10-N(V_L3_Mes)+1)=N(V_L3_Gracia)+N(V_L3_Cuotas),IF((10-N(V_L3_Mes)+1)=1,N(V_L3_Monto),N$227),PMT(N(V_L3_Tasa)/12,N(V_L3_Cuotas),-N(V_L3_Monto))-O$225),0)*O$9</f>
        <v>0</v>
      </c>
      <c r="P226" s="34" t="n">
        <f aca="false">IF(AND((11-N(V_L3_Mes)+1)&gt;N(V_L3_Gracia),(11-N(V_L3_Mes)+1)&lt;=N(V_L3_Gracia)+N(V_L3_Cuotas),N(V_L3_Cuotas)&gt;0),IF((11-N(V_L3_Mes)+1)=N(V_L3_Gracia)+N(V_L3_Cuotas),IF((11-N(V_L3_Mes)+1)=1,N(V_L3_Monto),O$227),PMT(N(V_L3_Tasa)/12,N(V_L3_Cuotas),-N(V_L3_Monto))-P$225),0)*P$9</f>
        <v>0</v>
      </c>
      <c r="Q226" s="34" t="n">
        <f aca="false">IF(AND((12-N(V_L3_Mes)+1)&gt;N(V_L3_Gracia),(12-N(V_L3_Mes)+1)&lt;=N(V_L3_Gracia)+N(V_L3_Cuotas),N(V_L3_Cuotas)&gt;0),IF((12-N(V_L3_Mes)+1)=N(V_L3_Gracia)+N(V_L3_Cuotas),IF((12-N(V_L3_Mes)+1)=1,N(V_L3_Monto),P$227),PMT(N(V_L3_Tasa)/12,N(V_L3_Cuotas),-N(V_L3_Monto))-Q$225),0)*Q$9</f>
        <v>0</v>
      </c>
      <c r="R226" s="34" t="n">
        <f aca="false">IF(AND((13-N(V_L3_Mes)+1)&gt;N(V_L3_Gracia),(13-N(V_L3_Mes)+1)&lt;=N(V_L3_Gracia)+N(V_L3_Cuotas),N(V_L3_Cuotas)&gt;0),IF((13-N(V_L3_Mes)+1)=N(V_L3_Gracia)+N(V_L3_Cuotas),IF((13-N(V_L3_Mes)+1)=1,N(V_L3_Monto),Q$227),PMT(N(V_L3_Tasa)/12,N(V_L3_Cuotas),-N(V_L3_Monto))-R$225),0)*R$9</f>
        <v>0</v>
      </c>
      <c r="S226" s="34" t="n">
        <f aca="false">IF(AND((14-N(V_L3_Mes)+1)&gt;N(V_L3_Gracia),(14-N(V_L3_Mes)+1)&lt;=N(V_L3_Gracia)+N(V_L3_Cuotas),N(V_L3_Cuotas)&gt;0),IF((14-N(V_L3_Mes)+1)=N(V_L3_Gracia)+N(V_L3_Cuotas),IF((14-N(V_L3_Mes)+1)=1,N(V_L3_Monto),R$227),PMT(N(V_L3_Tasa)/12,N(V_L3_Cuotas),-N(V_L3_Monto))-S$225),0)*S$9</f>
        <v>0</v>
      </c>
      <c r="T226" s="34" t="n">
        <f aca="false">IF(AND((15-N(V_L3_Mes)+1)&gt;N(V_L3_Gracia),(15-N(V_L3_Mes)+1)&lt;=N(V_L3_Gracia)+N(V_L3_Cuotas),N(V_L3_Cuotas)&gt;0),IF((15-N(V_L3_Mes)+1)=N(V_L3_Gracia)+N(V_L3_Cuotas),IF((15-N(V_L3_Mes)+1)=1,N(V_L3_Monto),S$227),PMT(N(V_L3_Tasa)/12,N(V_L3_Cuotas),-N(V_L3_Monto))-T$225),0)*T$9</f>
        <v>0</v>
      </c>
      <c r="U226" s="34" t="n">
        <f aca="false">IF(AND((16-N(V_L3_Mes)+1)&gt;N(V_L3_Gracia),(16-N(V_L3_Mes)+1)&lt;=N(V_L3_Gracia)+N(V_L3_Cuotas),N(V_L3_Cuotas)&gt;0),IF((16-N(V_L3_Mes)+1)=N(V_L3_Gracia)+N(V_L3_Cuotas),IF((16-N(V_L3_Mes)+1)=1,N(V_L3_Monto),T$227),PMT(N(V_L3_Tasa)/12,N(V_L3_Cuotas),-N(V_L3_Monto))-U$225),0)*U$9</f>
        <v>0</v>
      </c>
      <c r="V226" s="34" t="n">
        <f aca="false">IF(AND((17-N(V_L3_Mes)+1)&gt;N(V_L3_Gracia),(17-N(V_L3_Mes)+1)&lt;=N(V_L3_Gracia)+N(V_L3_Cuotas),N(V_L3_Cuotas)&gt;0),IF((17-N(V_L3_Mes)+1)=N(V_L3_Gracia)+N(V_L3_Cuotas),IF((17-N(V_L3_Mes)+1)=1,N(V_L3_Monto),U$227),PMT(N(V_L3_Tasa)/12,N(V_L3_Cuotas),-N(V_L3_Monto))-V$225),0)*V$9</f>
        <v>0</v>
      </c>
      <c r="W226" s="34" t="n">
        <f aca="false">IF(AND((18-N(V_L3_Mes)+1)&gt;N(V_L3_Gracia),(18-N(V_L3_Mes)+1)&lt;=N(V_L3_Gracia)+N(V_L3_Cuotas),N(V_L3_Cuotas)&gt;0),IF((18-N(V_L3_Mes)+1)=N(V_L3_Gracia)+N(V_L3_Cuotas),IF((18-N(V_L3_Mes)+1)=1,N(V_L3_Monto),V$227),PMT(N(V_L3_Tasa)/12,N(V_L3_Cuotas),-N(V_L3_Monto))-W$225),0)*W$9</f>
        <v>0</v>
      </c>
      <c r="X226" s="34" t="n">
        <f aca="false">IF(AND((19-N(V_L3_Mes)+1)&gt;N(V_L3_Gracia),(19-N(V_L3_Mes)+1)&lt;=N(V_L3_Gracia)+N(V_L3_Cuotas),N(V_L3_Cuotas)&gt;0),IF((19-N(V_L3_Mes)+1)=N(V_L3_Gracia)+N(V_L3_Cuotas),IF((19-N(V_L3_Mes)+1)=1,N(V_L3_Monto),W$227),PMT(N(V_L3_Tasa)/12,N(V_L3_Cuotas),-N(V_L3_Monto))-X$225),0)*X$9</f>
        <v>0</v>
      </c>
      <c r="Y226" s="34" t="n">
        <f aca="false">IF(AND((20-N(V_L3_Mes)+1)&gt;N(V_L3_Gracia),(20-N(V_L3_Mes)+1)&lt;=N(V_L3_Gracia)+N(V_L3_Cuotas),N(V_L3_Cuotas)&gt;0),IF((20-N(V_L3_Mes)+1)=N(V_L3_Gracia)+N(V_L3_Cuotas),IF((20-N(V_L3_Mes)+1)=1,N(V_L3_Monto),X$227),PMT(N(V_L3_Tasa)/12,N(V_L3_Cuotas),-N(V_L3_Monto))-Y$225),0)*Y$9</f>
        <v>0</v>
      </c>
      <c r="Z226" s="34" t="n">
        <f aca="false">IF(AND((21-N(V_L3_Mes)+1)&gt;N(V_L3_Gracia),(21-N(V_L3_Mes)+1)&lt;=N(V_L3_Gracia)+N(V_L3_Cuotas),N(V_L3_Cuotas)&gt;0),IF((21-N(V_L3_Mes)+1)=N(V_L3_Gracia)+N(V_L3_Cuotas),IF((21-N(V_L3_Mes)+1)=1,N(V_L3_Monto),Y$227),PMT(N(V_L3_Tasa)/12,N(V_L3_Cuotas),-N(V_L3_Monto))-Z$225),0)*Z$9</f>
        <v>0</v>
      </c>
      <c r="AA226" s="34" t="n">
        <f aca="false">IF(AND((22-N(V_L3_Mes)+1)&gt;N(V_L3_Gracia),(22-N(V_L3_Mes)+1)&lt;=N(V_L3_Gracia)+N(V_L3_Cuotas),N(V_L3_Cuotas)&gt;0),IF((22-N(V_L3_Mes)+1)=N(V_L3_Gracia)+N(V_L3_Cuotas),IF((22-N(V_L3_Mes)+1)=1,N(V_L3_Monto),Z$227),PMT(N(V_L3_Tasa)/12,N(V_L3_Cuotas),-N(V_L3_Monto))-AA$225),0)*AA$9</f>
        <v>0</v>
      </c>
      <c r="AB226" s="34" t="n">
        <f aca="false">IF(AND((23-N(V_L3_Mes)+1)&gt;N(V_L3_Gracia),(23-N(V_L3_Mes)+1)&lt;=N(V_L3_Gracia)+N(V_L3_Cuotas),N(V_L3_Cuotas)&gt;0),IF((23-N(V_L3_Mes)+1)=N(V_L3_Gracia)+N(V_L3_Cuotas),IF((23-N(V_L3_Mes)+1)=1,N(V_L3_Monto),AA$227),PMT(N(V_L3_Tasa)/12,N(V_L3_Cuotas),-N(V_L3_Monto))-AB$225),0)*AB$9</f>
        <v>0</v>
      </c>
      <c r="AC226" s="34" t="n">
        <f aca="false">IF(AND((24-N(V_L3_Mes)+1)&gt;N(V_L3_Gracia),(24-N(V_L3_Mes)+1)&lt;=N(V_L3_Gracia)+N(V_L3_Cuotas),N(V_L3_Cuotas)&gt;0),IF((24-N(V_L3_Mes)+1)=N(V_L3_Gracia)+N(V_L3_Cuotas),IF((24-N(V_L3_Mes)+1)=1,N(V_L3_Monto),AB$227),PMT(N(V_L3_Tasa)/12,N(V_L3_Cuotas),-N(V_L3_Monto))-AC$225),0)*AC$9</f>
        <v>0</v>
      </c>
      <c r="AD226" s="34" t="n">
        <f aca="false">IF(AND((25-N(V_L3_Mes)+1)&gt;N(V_L3_Gracia),(25-N(V_L3_Mes)+1)&lt;=N(V_L3_Gracia)+N(V_L3_Cuotas),N(V_L3_Cuotas)&gt;0),IF((25-N(V_L3_Mes)+1)=N(V_L3_Gracia)+N(V_L3_Cuotas),IF((25-N(V_L3_Mes)+1)=1,N(V_L3_Monto),AC$227),PMT(N(V_L3_Tasa)/12,N(V_L3_Cuotas),-N(V_L3_Monto))-AD$225),0)*AD$9</f>
        <v>0</v>
      </c>
      <c r="AE226" s="34" t="n">
        <f aca="false">IF(AND((26-N(V_L3_Mes)+1)&gt;N(V_L3_Gracia),(26-N(V_L3_Mes)+1)&lt;=N(V_L3_Gracia)+N(V_L3_Cuotas),N(V_L3_Cuotas)&gt;0),IF((26-N(V_L3_Mes)+1)=N(V_L3_Gracia)+N(V_L3_Cuotas),IF((26-N(V_L3_Mes)+1)=1,N(V_L3_Monto),AD$227),PMT(N(V_L3_Tasa)/12,N(V_L3_Cuotas),-N(V_L3_Monto))-AE$225),0)*AE$9</f>
        <v>0</v>
      </c>
      <c r="AF226" s="34" t="n">
        <f aca="false">IF(AND((27-N(V_L3_Mes)+1)&gt;N(V_L3_Gracia),(27-N(V_L3_Mes)+1)&lt;=N(V_L3_Gracia)+N(V_L3_Cuotas),N(V_L3_Cuotas)&gt;0),IF((27-N(V_L3_Mes)+1)=N(V_L3_Gracia)+N(V_L3_Cuotas),IF((27-N(V_L3_Mes)+1)=1,N(V_L3_Monto),AE$227),PMT(N(V_L3_Tasa)/12,N(V_L3_Cuotas),-N(V_L3_Monto))-AF$225),0)*AF$9</f>
        <v>0</v>
      </c>
      <c r="AG226" s="34" t="n">
        <f aca="false">IF(AND((28-N(V_L3_Mes)+1)&gt;N(V_L3_Gracia),(28-N(V_L3_Mes)+1)&lt;=N(V_L3_Gracia)+N(V_L3_Cuotas),N(V_L3_Cuotas)&gt;0),IF((28-N(V_L3_Mes)+1)=N(V_L3_Gracia)+N(V_L3_Cuotas),IF((28-N(V_L3_Mes)+1)=1,N(V_L3_Monto),AF$227),PMT(N(V_L3_Tasa)/12,N(V_L3_Cuotas),-N(V_L3_Monto))-AG$225),0)*AG$9</f>
        <v>0</v>
      </c>
      <c r="AH226" s="34" t="n">
        <f aca="false">IF(AND((29-N(V_L3_Mes)+1)&gt;N(V_L3_Gracia),(29-N(V_L3_Mes)+1)&lt;=N(V_L3_Gracia)+N(V_L3_Cuotas),N(V_L3_Cuotas)&gt;0),IF((29-N(V_L3_Mes)+1)=N(V_L3_Gracia)+N(V_L3_Cuotas),IF((29-N(V_L3_Mes)+1)=1,N(V_L3_Monto),AG$227),PMT(N(V_L3_Tasa)/12,N(V_L3_Cuotas),-N(V_L3_Monto))-AH$225),0)*AH$9</f>
        <v>0</v>
      </c>
      <c r="AI226" s="34" t="n">
        <f aca="false">IF(AND((30-N(V_L3_Mes)+1)&gt;N(V_L3_Gracia),(30-N(V_L3_Mes)+1)&lt;=N(V_L3_Gracia)+N(V_L3_Cuotas),N(V_L3_Cuotas)&gt;0),IF((30-N(V_L3_Mes)+1)=N(V_L3_Gracia)+N(V_L3_Cuotas),IF((30-N(V_L3_Mes)+1)=1,N(V_L3_Monto),AH$227),PMT(N(V_L3_Tasa)/12,N(V_L3_Cuotas),-N(V_L3_Monto))-AI$225),0)*AI$9</f>
        <v>0</v>
      </c>
      <c r="AJ226" s="34" t="n">
        <f aca="false">IF(AND((31-N(V_L3_Mes)+1)&gt;N(V_L3_Gracia),(31-N(V_L3_Mes)+1)&lt;=N(V_L3_Gracia)+N(V_L3_Cuotas),N(V_L3_Cuotas)&gt;0),IF((31-N(V_L3_Mes)+1)=N(V_L3_Gracia)+N(V_L3_Cuotas),IF((31-N(V_L3_Mes)+1)=1,N(V_L3_Monto),AI$227),PMT(N(V_L3_Tasa)/12,N(V_L3_Cuotas),-N(V_L3_Monto))-AJ$225),0)*AJ$9</f>
        <v>0</v>
      </c>
      <c r="AK226" s="34" t="n">
        <f aca="false">IF(AND((32-N(V_L3_Mes)+1)&gt;N(V_L3_Gracia),(32-N(V_L3_Mes)+1)&lt;=N(V_L3_Gracia)+N(V_L3_Cuotas),N(V_L3_Cuotas)&gt;0),IF((32-N(V_L3_Mes)+1)=N(V_L3_Gracia)+N(V_L3_Cuotas),IF((32-N(V_L3_Mes)+1)=1,N(V_L3_Monto),AJ$227),PMT(N(V_L3_Tasa)/12,N(V_L3_Cuotas),-N(V_L3_Monto))-AK$225),0)*AK$9</f>
        <v>0</v>
      </c>
      <c r="AL226" s="34" t="n">
        <f aca="false">IF(AND((33-N(V_L3_Mes)+1)&gt;N(V_L3_Gracia),(33-N(V_L3_Mes)+1)&lt;=N(V_L3_Gracia)+N(V_L3_Cuotas),N(V_L3_Cuotas)&gt;0),IF((33-N(V_L3_Mes)+1)=N(V_L3_Gracia)+N(V_L3_Cuotas),IF((33-N(V_L3_Mes)+1)=1,N(V_L3_Monto),AK$227),PMT(N(V_L3_Tasa)/12,N(V_L3_Cuotas),-N(V_L3_Monto))-AL$225),0)*AL$9</f>
        <v>0</v>
      </c>
      <c r="AM226" s="34" t="n">
        <f aca="false">IF(AND((34-N(V_L3_Mes)+1)&gt;N(V_L3_Gracia),(34-N(V_L3_Mes)+1)&lt;=N(V_L3_Gracia)+N(V_L3_Cuotas),N(V_L3_Cuotas)&gt;0),IF((34-N(V_L3_Mes)+1)=N(V_L3_Gracia)+N(V_L3_Cuotas),IF((34-N(V_L3_Mes)+1)=1,N(V_L3_Monto),AL$227),PMT(N(V_L3_Tasa)/12,N(V_L3_Cuotas),-N(V_L3_Monto))-AM$225),0)*AM$9</f>
        <v>0</v>
      </c>
      <c r="AN226" s="34" t="n">
        <f aca="false">IF(AND((35-N(V_L3_Mes)+1)&gt;N(V_L3_Gracia),(35-N(V_L3_Mes)+1)&lt;=N(V_L3_Gracia)+N(V_L3_Cuotas),N(V_L3_Cuotas)&gt;0),IF((35-N(V_L3_Mes)+1)=N(V_L3_Gracia)+N(V_L3_Cuotas),IF((35-N(V_L3_Mes)+1)=1,N(V_L3_Monto),AM$227),PMT(N(V_L3_Tasa)/12,N(V_L3_Cuotas),-N(V_L3_Monto))-AN$225),0)*AN$9</f>
        <v>0</v>
      </c>
      <c r="AO226" s="34" t="n">
        <f aca="false">IF(AND((36-N(V_L3_Mes)+1)&gt;N(V_L3_Gracia),(36-N(V_L3_Mes)+1)&lt;=N(V_L3_Gracia)+N(V_L3_Cuotas),N(V_L3_Cuotas)&gt;0),IF((36-N(V_L3_Mes)+1)=N(V_L3_Gracia)+N(V_L3_Cuotas),IF((36-N(V_L3_Mes)+1)=1,N(V_L3_Monto),AN$227),PMT(N(V_L3_Tasa)/12,N(V_L3_Cuotas),-N(V_L3_Monto))-AO$225),0)*AO$9</f>
        <v>0</v>
      </c>
      <c r="AP226" s="34" t="n">
        <f aca="false">IF(AND((37-N(V_L3_Mes)+1)&gt;N(V_L3_Gracia),(37-N(V_L3_Mes)+1)&lt;=N(V_L3_Gracia)+N(V_L3_Cuotas),N(V_L3_Cuotas)&gt;0),IF((37-N(V_L3_Mes)+1)=N(V_L3_Gracia)+N(V_L3_Cuotas),IF((37-N(V_L3_Mes)+1)=1,N(V_L3_Monto),AO$227),PMT(N(V_L3_Tasa)/12,N(V_L3_Cuotas),-N(V_L3_Monto))-AP$225),0)*AP$9</f>
        <v>0</v>
      </c>
      <c r="AQ226" s="34" t="n">
        <f aca="false">IF(AND((38-N(V_L3_Mes)+1)&gt;N(V_L3_Gracia),(38-N(V_L3_Mes)+1)&lt;=N(V_L3_Gracia)+N(V_L3_Cuotas),N(V_L3_Cuotas)&gt;0),IF((38-N(V_L3_Mes)+1)=N(V_L3_Gracia)+N(V_L3_Cuotas),IF((38-N(V_L3_Mes)+1)=1,N(V_L3_Monto),AP$227),PMT(N(V_L3_Tasa)/12,N(V_L3_Cuotas),-N(V_L3_Monto))-AQ$225),0)*AQ$9</f>
        <v>0</v>
      </c>
      <c r="AR226" s="34" t="n">
        <f aca="false">IF(AND((39-N(V_L3_Mes)+1)&gt;N(V_L3_Gracia),(39-N(V_L3_Mes)+1)&lt;=N(V_L3_Gracia)+N(V_L3_Cuotas),N(V_L3_Cuotas)&gt;0),IF((39-N(V_L3_Mes)+1)=N(V_L3_Gracia)+N(V_L3_Cuotas),IF((39-N(V_L3_Mes)+1)=1,N(V_L3_Monto),AQ$227),PMT(N(V_L3_Tasa)/12,N(V_L3_Cuotas),-N(V_L3_Monto))-AR$225),0)*AR$9</f>
        <v>0</v>
      </c>
      <c r="AS226" s="34" t="n">
        <f aca="false">IF(AND((40-N(V_L3_Mes)+1)&gt;N(V_L3_Gracia),(40-N(V_L3_Mes)+1)&lt;=N(V_L3_Gracia)+N(V_L3_Cuotas),N(V_L3_Cuotas)&gt;0),IF((40-N(V_L3_Mes)+1)=N(V_L3_Gracia)+N(V_L3_Cuotas),IF((40-N(V_L3_Mes)+1)=1,N(V_L3_Monto),AR$227),PMT(N(V_L3_Tasa)/12,N(V_L3_Cuotas),-N(V_L3_Monto))-AS$225),0)*AS$9</f>
        <v>0</v>
      </c>
      <c r="AT226" s="34" t="n">
        <f aca="false">IF(AND((41-N(V_L3_Mes)+1)&gt;N(V_L3_Gracia),(41-N(V_L3_Mes)+1)&lt;=N(V_L3_Gracia)+N(V_L3_Cuotas),N(V_L3_Cuotas)&gt;0),IF((41-N(V_L3_Mes)+1)=N(V_L3_Gracia)+N(V_L3_Cuotas),IF((41-N(V_L3_Mes)+1)=1,N(V_L3_Monto),AS$227),PMT(N(V_L3_Tasa)/12,N(V_L3_Cuotas),-N(V_L3_Monto))-AT$225),0)*AT$9</f>
        <v>0</v>
      </c>
      <c r="AU226" s="34" t="n">
        <f aca="false">IF(AND((42-N(V_L3_Mes)+1)&gt;N(V_L3_Gracia),(42-N(V_L3_Mes)+1)&lt;=N(V_L3_Gracia)+N(V_L3_Cuotas),N(V_L3_Cuotas)&gt;0),IF((42-N(V_L3_Mes)+1)=N(V_L3_Gracia)+N(V_L3_Cuotas),IF((42-N(V_L3_Mes)+1)=1,N(V_L3_Monto),AT$227),PMT(N(V_L3_Tasa)/12,N(V_L3_Cuotas),-N(V_L3_Monto))-AU$225),0)*AU$9</f>
        <v>0</v>
      </c>
      <c r="AV226" s="34" t="n">
        <f aca="false">IF(AND((43-N(V_L3_Mes)+1)&gt;N(V_L3_Gracia),(43-N(V_L3_Mes)+1)&lt;=N(V_L3_Gracia)+N(V_L3_Cuotas),N(V_L3_Cuotas)&gt;0),IF((43-N(V_L3_Mes)+1)=N(V_L3_Gracia)+N(V_L3_Cuotas),IF((43-N(V_L3_Mes)+1)=1,N(V_L3_Monto),AU$227),PMT(N(V_L3_Tasa)/12,N(V_L3_Cuotas),-N(V_L3_Monto))-AV$225),0)*AV$9</f>
        <v>0</v>
      </c>
      <c r="AW226" s="34" t="n">
        <f aca="false">IF(AND((44-N(V_L3_Mes)+1)&gt;N(V_L3_Gracia),(44-N(V_L3_Mes)+1)&lt;=N(V_L3_Gracia)+N(V_L3_Cuotas),N(V_L3_Cuotas)&gt;0),IF((44-N(V_L3_Mes)+1)=N(V_L3_Gracia)+N(V_L3_Cuotas),IF((44-N(V_L3_Mes)+1)=1,N(V_L3_Monto),AV$227),PMT(N(V_L3_Tasa)/12,N(V_L3_Cuotas),-N(V_L3_Monto))-AW$225),0)*AW$9</f>
        <v>0</v>
      </c>
      <c r="AX226" s="34" t="n">
        <f aca="false">IF(AND((45-N(V_L3_Mes)+1)&gt;N(V_L3_Gracia),(45-N(V_L3_Mes)+1)&lt;=N(V_L3_Gracia)+N(V_L3_Cuotas),N(V_L3_Cuotas)&gt;0),IF((45-N(V_L3_Mes)+1)=N(V_L3_Gracia)+N(V_L3_Cuotas),IF((45-N(V_L3_Mes)+1)=1,N(V_L3_Monto),AW$227),PMT(N(V_L3_Tasa)/12,N(V_L3_Cuotas),-N(V_L3_Monto))-AX$225),0)*AX$9</f>
        <v>0</v>
      </c>
      <c r="AY226" s="34" t="n">
        <f aca="false">IF(AND((46-N(V_L3_Mes)+1)&gt;N(V_L3_Gracia),(46-N(V_L3_Mes)+1)&lt;=N(V_L3_Gracia)+N(V_L3_Cuotas),N(V_L3_Cuotas)&gt;0),IF((46-N(V_L3_Mes)+1)=N(V_L3_Gracia)+N(V_L3_Cuotas),IF((46-N(V_L3_Mes)+1)=1,N(V_L3_Monto),AX$227),PMT(N(V_L3_Tasa)/12,N(V_L3_Cuotas),-N(V_L3_Monto))-AY$225),0)*AY$9</f>
        <v>0</v>
      </c>
      <c r="AZ226" s="34" t="n">
        <f aca="false">IF(AND((47-N(V_L3_Mes)+1)&gt;N(V_L3_Gracia),(47-N(V_L3_Mes)+1)&lt;=N(V_L3_Gracia)+N(V_L3_Cuotas),N(V_L3_Cuotas)&gt;0),IF((47-N(V_L3_Mes)+1)=N(V_L3_Gracia)+N(V_L3_Cuotas),IF((47-N(V_L3_Mes)+1)=1,N(V_L3_Monto),AY$227),PMT(N(V_L3_Tasa)/12,N(V_L3_Cuotas),-N(V_L3_Monto))-AZ$225),0)*AZ$9</f>
        <v>0</v>
      </c>
      <c r="BA226" s="34" t="n">
        <f aca="false">IF(AND((48-N(V_L3_Mes)+1)&gt;N(V_L3_Gracia),(48-N(V_L3_Mes)+1)&lt;=N(V_L3_Gracia)+N(V_L3_Cuotas),N(V_L3_Cuotas)&gt;0),IF((48-N(V_L3_Mes)+1)=N(V_L3_Gracia)+N(V_L3_Cuotas),IF((48-N(V_L3_Mes)+1)=1,N(V_L3_Monto),AZ$227),PMT(N(V_L3_Tasa)/12,N(V_L3_Cuotas),-N(V_L3_Monto))-BA$225),0)*BA$9</f>
        <v>0</v>
      </c>
      <c r="BB226" s="34" t="n">
        <f aca="false">IF(AND((49-N(V_L3_Mes)+1)&gt;N(V_L3_Gracia),(49-N(V_L3_Mes)+1)&lt;=N(V_L3_Gracia)+N(V_L3_Cuotas),N(V_L3_Cuotas)&gt;0),IF((49-N(V_L3_Mes)+1)=N(V_L3_Gracia)+N(V_L3_Cuotas),IF((49-N(V_L3_Mes)+1)=1,N(V_L3_Monto),BA$227),PMT(N(V_L3_Tasa)/12,N(V_L3_Cuotas),-N(V_L3_Monto))-BB$225),0)*BB$9</f>
        <v>0</v>
      </c>
      <c r="BC226" s="34" t="n">
        <f aca="false">IF(AND((50-N(V_L3_Mes)+1)&gt;N(V_L3_Gracia),(50-N(V_L3_Mes)+1)&lt;=N(V_L3_Gracia)+N(V_L3_Cuotas),N(V_L3_Cuotas)&gt;0),IF((50-N(V_L3_Mes)+1)=N(V_L3_Gracia)+N(V_L3_Cuotas),IF((50-N(V_L3_Mes)+1)=1,N(V_L3_Monto),BB$227),PMT(N(V_L3_Tasa)/12,N(V_L3_Cuotas),-N(V_L3_Monto))-BC$225),0)*BC$9</f>
        <v>0</v>
      </c>
      <c r="BD226" s="34" t="n">
        <f aca="false">IF(AND((51-N(V_L3_Mes)+1)&gt;N(V_L3_Gracia),(51-N(V_L3_Mes)+1)&lt;=N(V_L3_Gracia)+N(V_L3_Cuotas),N(V_L3_Cuotas)&gt;0),IF((51-N(V_L3_Mes)+1)=N(V_L3_Gracia)+N(V_L3_Cuotas),IF((51-N(V_L3_Mes)+1)=1,N(V_L3_Monto),BC$227),PMT(N(V_L3_Tasa)/12,N(V_L3_Cuotas),-N(V_L3_Monto))-BD$225),0)*BD$9</f>
        <v>0</v>
      </c>
      <c r="BE226" s="34" t="n">
        <f aca="false">IF(AND((52-N(V_L3_Mes)+1)&gt;N(V_L3_Gracia),(52-N(V_L3_Mes)+1)&lt;=N(V_L3_Gracia)+N(V_L3_Cuotas),N(V_L3_Cuotas)&gt;0),IF((52-N(V_L3_Mes)+1)=N(V_L3_Gracia)+N(V_L3_Cuotas),IF((52-N(V_L3_Mes)+1)=1,N(V_L3_Monto),BD$227),PMT(N(V_L3_Tasa)/12,N(V_L3_Cuotas),-N(V_L3_Monto))-BE$225),0)*BE$9</f>
        <v>0</v>
      </c>
      <c r="BF226" s="34" t="n">
        <f aca="false">IF(AND((53-N(V_L3_Mes)+1)&gt;N(V_L3_Gracia),(53-N(V_L3_Mes)+1)&lt;=N(V_L3_Gracia)+N(V_L3_Cuotas),N(V_L3_Cuotas)&gt;0),IF((53-N(V_L3_Mes)+1)=N(V_L3_Gracia)+N(V_L3_Cuotas),IF((53-N(V_L3_Mes)+1)=1,N(V_L3_Monto),BE$227),PMT(N(V_L3_Tasa)/12,N(V_L3_Cuotas),-N(V_L3_Monto))-BF$225),0)*BF$9</f>
        <v>0</v>
      </c>
      <c r="BG226" s="34" t="n">
        <f aca="false">IF(AND((54-N(V_L3_Mes)+1)&gt;N(V_L3_Gracia),(54-N(V_L3_Mes)+1)&lt;=N(V_L3_Gracia)+N(V_L3_Cuotas),N(V_L3_Cuotas)&gt;0),IF((54-N(V_L3_Mes)+1)=N(V_L3_Gracia)+N(V_L3_Cuotas),IF((54-N(V_L3_Mes)+1)=1,N(V_L3_Monto),BF$227),PMT(N(V_L3_Tasa)/12,N(V_L3_Cuotas),-N(V_L3_Monto))-BG$225),0)*BG$9</f>
        <v>0</v>
      </c>
      <c r="BH226" s="34" t="n">
        <f aca="false">IF(AND((55-N(V_L3_Mes)+1)&gt;N(V_L3_Gracia),(55-N(V_L3_Mes)+1)&lt;=N(V_L3_Gracia)+N(V_L3_Cuotas),N(V_L3_Cuotas)&gt;0),IF((55-N(V_L3_Mes)+1)=N(V_L3_Gracia)+N(V_L3_Cuotas),IF((55-N(V_L3_Mes)+1)=1,N(V_L3_Monto),BG$227),PMT(N(V_L3_Tasa)/12,N(V_L3_Cuotas),-N(V_L3_Monto))-BH$225),0)*BH$9</f>
        <v>0</v>
      </c>
      <c r="BI226" s="34" t="n">
        <f aca="false">IF(AND((56-N(V_L3_Mes)+1)&gt;N(V_L3_Gracia),(56-N(V_L3_Mes)+1)&lt;=N(V_L3_Gracia)+N(V_L3_Cuotas),N(V_L3_Cuotas)&gt;0),IF((56-N(V_L3_Mes)+1)=N(V_L3_Gracia)+N(V_L3_Cuotas),IF((56-N(V_L3_Mes)+1)=1,N(V_L3_Monto),BH$227),PMT(N(V_L3_Tasa)/12,N(V_L3_Cuotas),-N(V_L3_Monto))-BI$225),0)*BI$9</f>
        <v>0</v>
      </c>
      <c r="BJ226" s="34" t="n">
        <f aca="false">IF(AND((57-N(V_L3_Mes)+1)&gt;N(V_L3_Gracia),(57-N(V_L3_Mes)+1)&lt;=N(V_L3_Gracia)+N(V_L3_Cuotas),N(V_L3_Cuotas)&gt;0),IF((57-N(V_L3_Mes)+1)=N(V_L3_Gracia)+N(V_L3_Cuotas),IF((57-N(V_L3_Mes)+1)=1,N(V_L3_Monto),BI$227),PMT(N(V_L3_Tasa)/12,N(V_L3_Cuotas),-N(V_L3_Monto))-BJ$225),0)*BJ$9</f>
        <v>0</v>
      </c>
      <c r="BK226" s="34" t="n">
        <f aca="false">IF(AND((58-N(V_L3_Mes)+1)&gt;N(V_L3_Gracia),(58-N(V_L3_Mes)+1)&lt;=N(V_L3_Gracia)+N(V_L3_Cuotas),N(V_L3_Cuotas)&gt;0),IF((58-N(V_L3_Mes)+1)=N(V_L3_Gracia)+N(V_L3_Cuotas),IF((58-N(V_L3_Mes)+1)=1,N(V_L3_Monto),BJ$227),PMT(N(V_L3_Tasa)/12,N(V_L3_Cuotas),-N(V_L3_Monto))-BK$225),0)*BK$9</f>
        <v>0</v>
      </c>
      <c r="BL226" s="34" t="n">
        <f aca="false">IF(AND((59-N(V_L3_Mes)+1)&gt;N(V_L3_Gracia),(59-N(V_L3_Mes)+1)&lt;=N(V_L3_Gracia)+N(V_L3_Cuotas),N(V_L3_Cuotas)&gt;0),IF((59-N(V_L3_Mes)+1)=N(V_L3_Gracia)+N(V_L3_Cuotas),IF((59-N(V_L3_Mes)+1)=1,N(V_L3_Monto),BK$227),PMT(N(V_L3_Tasa)/12,N(V_L3_Cuotas),-N(V_L3_Monto))-BL$225),0)*BL$9</f>
        <v>0</v>
      </c>
      <c r="BM226" s="34" t="n">
        <f aca="false">IF(AND((60-N(V_L3_Mes)+1)&gt;N(V_L3_Gracia),(60-N(V_L3_Mes)+1)&lt;=N(V_L3_Gracia)+N(V_L3_Cuotas),N(V_L3_Cuotas)&gt;0),IF((60-N(V_L3_Mes)+1)=N(V_L3_Gracia)+N(V_L3_Cuotas),IF((60-N(V_L3_Mes)+1)=1,N(V_L3_Monto),BL$227),PMT(N(V_L3_Tasa)/12,N(V_L3_Cuotas),-N(V_L3_Monto))-BM$225),0)*BM$9</f>
        <v>0</v>
      </c>
      <c r="BN226" s="34" t="n">
        <f aca="false">IF(AND((61-N(V_L3_Mes)+1)&gt;N(V_L3_Gracia),(61-N(V_L3_Mes)+1)&lt;=N(V_L3_Gracia)+N(V_L3_Cuotas),N(V_L3_Cuotas)&gt;0),IF((61-N(V_L3_Mes)+1)=N(V_L3_Gracia)+N(V_L3_Cuotas),IF((61-N(V_L3_Mes)+1)=1,N(V_L3_Monto),BM$227),PMT(N(V_L3_Tasa)/12,N(V_L3_Cuotas),-N(V_L3_Monto))-BN$225),0)*BN$9</f>
        <v>0</v>
      </c>
      <c r="BO226" s="34" t="n">
        <f aca="false">IF(AND((62-N(V_L3_Mes)+1)&gt;N(V_L3_Gracia),(62-N(V_L3_Mes)+1)&lt;=N(V_L3_Gracia)+N(V_L3_Cuotas),N(V_L3_Cuotas)&gt;0),IF((62-N(V_L3_Mes)+1)=N(V_L3_Gracia)+N(V_L3_Cuotas),IF((62-N(V_L3_Mes)+1)=1,N(V_L3_Monto),BN$227),PMT(N(V_L3_Tasa)/12,N(V_L3_Cuotas),-N(V_L3_Monto))-BO$225),0)*BO$9</f>
        <v>0</v>
      </c>
      <c r="BP226" s="34" t="n">
        <f aca="false">IF(AND((63-N(V_L3_Mes)+1)&gt;N(V_L3_Gracia),(63-N(V_L3_Mes)+1)&lt;=N(V_L3_Gracia)+N(V_L3_Cuotas),N(V_L3_Cuotas)&gt;0),IF((63-N(V_L3_Mes)+1)=N(V_L3_Gracia)+N(V_L3_Cuotas),IF((63-N(V_L3_Mes)+1)=1,N(V_L3_Monto),BO$227),PMT(N(V_L3_Tasa)/12,N(V_L3_Cuotas),-N(V_L3_Monto))-BP$225),0)*BP$9</f>
        <v>0</v>
      </c>
      <c r="BQ226" s="34" t="n">
        <f aca="false">IF(AND((64-N(V_L3_Mes)+1)&gt;N(V_L3_Gracia),(64-N(V_L3_Mes)+1)&lt;=N(V_L3_Gracia)+N(V_L3_Cuotas),N(V_L3_Cuotas)&gt;0),IF((64-N(V_L3_Mes)+1)=N(V_L3_Gracia)+N(V_L3_Cuotas),IF((64-N(V_L3_Mes)+1)=1,N(V_L3_Monto),BP$227),PMT(N(V_L3_Tasa)/12,N(V_L3_Cuotas),-N(V_L3_Monto))-BQ$225),0)*BQ$9</f>
        <v>0</v>
      </c>
      <c r="BR226" s="34" t="n">
        <f aca="false">IF(AND((65-N(V_L3_Mes)+1)&gt;N(V_L3_Gracia),(65-N(V_L3_Mes)+1)&lt;=N(V_L3_Gracia)+N(V_L3_Cuotas),N(V_L3_Cuotas)&gt;0),IF((65-N(V_L3_Mes)+1)=N(V_L3_Gracia)+N(V_L3_Cuotas),IF((65-N(V_L3_Mes)+1)=1,N(V_L3_Monto),BQ$227),PMT(N(V_L3_Tasa)/12,N(V_L3_Cuotas),-N(V_L3_Monto))-BR$225),0)*BR$9</f>
        <v>0</v>
      </c>
      <c r="BS226" s="34" t="n">
        <f aca="false">IF(AND((66-N(V_L3_Mes)+1)&gt;N(V_L3_Gracia),(66-N(V_L3_Mes)+1)&lt;=N(V_L3_Gracia)+N(V_L3_Cuotas),N(V_L3_Cuotas)&gt;0),IF((66-N(V_L3_Mes)+1)=N(V_L3_Gracia)+N(V_L3_Cuotas),IF((66-N(V_L3_Mes)+1)=1,N(V_L3_Monto),BR$227),PMT(N(V_L3_Tasa)/12,N(V_L3_Cuotas),-N(V_L3_Monto))-BS$225),0)*BS$9</f>
        <v>0</v>
      </c>
      <c r="BT226" s="34" t="n">
        <f aca="false">IF(AND((67-N(V_L3_Mes)+1)&gt;N(V_L3_Gracia),(67-N(V_L3_Mes)+1)&lt;=N(V_L3_Gracia)+N(V_L3_Cuotas),N(V_L3_Cuotas)&gt;0),IF((67-N(V_L3_Mes)+1)=N(V_L3_Gracia)+N(V_L3_Cuotas),IF((67-N(V_L3_Mes)+1)=1,N(V_L3_Monto),BS$227),PMT(N(V_L3_Tasa)/12,N(V_L3_Cuotas),-N(V_L3_Monto))-BT$225),0)*BT$9</f>
        <v>0</v>
      </c>
      <c r="BU226" s="34" t="n">
        <f aca="false">IF(AND((68-N(V_L3_Mes)+1)&gt;N(V_L3_Gracia),(68-N(V_L3_Mes)+1)&lt;=N(V_L3_Gracia)+N(V_L3_Cuotas),N(V_L3_Cuotas)&gt;0),IF((68-N(V_L3_Mes)+1)=N(V_L3_Gracia)+N(V_L3_Cuotas),IF((68-N(V_L3_Mes)+1)=1,N(V_L3_Monto),BT$227),PMT(N(V_L3_Tasa)/12,N(V_L3_Cuotas),-N(V_L3_Monto))-BU$225),0)*BU$9</f>
        <v>0</v>
      </c>
      <c r="BV226" s="34" t="n">
        <f aca="false">IF(AND((69-N(V_L3_Mes)+1)&gt;N(V_L3_Gracia),(69-N(V_L3_Mes)+1)&lt;=N(V_L3_Gracia)+N(V_L3_Cuotas),N(V_L3_Cuotas)&gt;0),IF((69-N(V_L3_Mes)+1)=N(V_L3_Gracia)+N(V_L3_Cuotas),IF((69-N(V_L3_Mes)+1)=1,N(V_L3_Monto),BU$227),PMT(N(V_L3_Tasa)/12,N(V_L3_Cuotas),-N(V_L3_Monto))-BV$225),0)*BV$9</f>
        <v>0</v>
      </c>
      <c r="BW226" s="34" t="n">
        <f aca="false">IF(AND((70-N(V_L3_Mes)+1)&gt;N(V_L3_Gracia),(70-N(V_L3_Mes)+1)&lt;=N(V_L3_Gracia)+N(V_L3_Cuotas),N(V_L3_Cuotas)&gt;0),IF((70-N(V_L3_Mes)+1)=N(V_L3_Gracia)+N(V_L3_Cuotas),IF((70-N(V_L3_Mes)+1)=1,N(V_L3_Monto),BV$227),PMT(N(V_L3_Tasa)/12,N(V_L3_Cuotas),-N(V_L3_Monto))-BW$225),0)*BW$9</f>
        <v>0</v>
      </c>
      <c r="BX226" s="34" t="n">
        <f aca="false">IF(AND((71-N(V_L3_Mes)+1)&gt;N(V_L3_Gracia),(71-N(V_L3_Mes)+1)&lt;=N(V_L3_Gracia)+N(V_L3_Cuotas),N(V_L3_Cuotas)&gt;0),IF((71-N(V_L3_Mes)+1)=N(V_L3_Gracia)+N(V_L3_Cuotas),IF((71-N(V_L3_Mes)+1)=1,N(V_L3_Monto),BW$227),PMT(N(V_L3_Tasa)/12,N(V_L3_Cuotas),-N(V_L3_Monto))-BX$225),0)*BX$9</f>
        <v>0</v>
      </c>
      <c r="BY226" s="34" t="n">
        <f aca="false">IF(AND((72-N(V_L3_Mes)+1)&gt;N(V_L3_Gracia),(72-N(V_L3_Mes)+1)&lt;=N(V_L3_Gracia)+N(V_L3_Cuotas),N(V_L3_Cuotas)&gt;0),IF((72-N(V_L3_Mes)+1)=N(V_L3_Gracia)+N(V_L3_Cuotas),IF((72-N(V_L3_Mes)+1)=1,N(V_L3_Monto),BX$227),PMT(N(V_L3_Tasa)/12,N(V_L3_Cuotas),-N(V_L3_Monto))-BY$225),0)*BY$9</f>
        <v>0</v>
      </c>
      <c r="BZ226" s="34" t="n">
        <f aca="false">IF(AND((73-N(V_L3_Mes)+1)&gt;N(V_L3_Gracia),(73-N(V_L3_Mes)+1)&lt;=N(V_L3_Gracia)+N(V_L3_Cuotas),N(V_L3_Cuotas)&gt;0),IF((73-N(V_L3_Mes)+1)=N(V_L3_Gracia)+N(V_L3_Cuotas),IF((73-N(V_L3_Mes)+1)=1,N(V_L3_Monto),BY$227),PMT(N(V_L3_Tasa)/12,N(V_L3_Cuotas),-N(V_L3_Monto))-BZ$225),0)*BZ$9</f>
        <v>0</v>
      </c>
      <c r="CA226" s="34" t="n">
        <f aca="false">IF(AND((74-N(V_L3_Mes)+1)&gt;N(V_L3_Gracia),(74-N(V_L3_Mes)+1)&lt;=N(V_L3_Gracia)+N(V_L3_Cuotas),N(V_L3_Cuotas)&gt;0),IF((74-N(V_L3_Mes)+1)=N(V_L3_Gracia)+N(V_L3_Cuotas),IF((74-N(V_L3_Mes)+1)=1,N(V_L3_Monto),BZ$227),PMT(N(V_L3_Tasa)/12,N(V_L3_Cuotas),-N(V_L3_Monto))-CA$225),0)*CA$9</f>
        <v>0</v>
      </c>
      <c r="CB226" s="34" t="n">
        <f aca="false">IF(AND((75-N(V_L3_Mes)+1)&gt;N(V_L3_Gracia),(75-N(V_L3_Mes)+1)&lt;=N(V_L3_Gracia)+N(V_L3_Cuotas),N(V_L3_Cuotas)&gt;0),IF((75-N(V_L3_Mes)+1)=N(V_L3_Gracia)+N(V_L3_Cuotas),IF((75-N(V_L3_Mes)+1)=1,N(V_L3_Monto),CA$227),PMT(N(V_L3_Tasa)/12,N(V_L3_Cuotas),-N(V_L3_Monto))-CB$225),0)*CB$9</f>
        <v>0</v>
      </c>
      <c r="CC226" s="34" t="n">
        <f aca="false">IF(AND((76-N(V_L3_Mes)+1)&gt;N(V_L3_Gracia),(76-N(V_L3_Mes)+1)&lt;=N(V_L3_Gracia)+N(V_L3_Cuotas),N(V_L3_Cuotas)&gt;0),IF((76-N(V_L3_Mes)+1)=N(V_L3_Gracia)+N(V_L3_Cuotas),IF((76-N(V_L3_Mes)+1)=1,N(V_L3_Monto),CB$227),PMT(N(V_L3_Tasa)/12,N(V_L3_Cuotas),-N(V_L3_Monto))-CC$225),0)*CC$9</f>
        <v>0</v>
      </c>
      <c r="CD226" s="34" t="n">
        <f aca="false">IF(AND((77-N(V_L3_Mes)+1)&gt;N(V_L3_Gracia),(77-N(V_L3_Mes)+1)&lt;=N(V_L3_Gracia)+N(V_L3_Cuotas),N(V_L3_Cuotas)&gt;0),IF((77-N(V_L3_Mes)+1)=N(V_L3_Gracia)+N(V_L3_Cuotas),IF((77-N(V_L3_Mes)+1)=1,N(V_L3_Monto),CC$227),PMT(N(V_L3_Tasa)/12,N(V_L3_Cuotas),-N(V_L3_Monto))-CD$225),0)*CD$9</f>
        <v>0</v>
      </c>
      <c r="CE226" s="34" t="n">
        <f aca="false">IF(AND((78-N(V_L3_Mes)+1)&gt;N(V_L3_Gracia),(78-N(V_L3_Mes)+1)&lt;=N(V_L3_Gracia)+N(V_L3_Cuotas),N(V_L3_Cuotas)&gt;0),IF((78-N(V_L3_Mes)+1)=N(V_L3_Gracia)+N(V_L3_Cuotas),IF((78-N(V_L3_Mes)+1)=1,N(V_L3_Monto),CD$227),PMT(N(V_L3_Tasa)/12,N(V_L3_Cuotas),-N(V_L3_Monto))-CE$225),0)*CE$9</f>
        <v>0</v>
      </c>
      <c r="CF226" s="34" t="n">
        <f aca="false">IF(AND((79-N(V_L3_Mes)+1)&gt;N(V_L3_Gracia),(79-N(V_L3_Mes)+1)&lt;=N(V_L3_Gracia)+N(V_L3_Cuotas),N(V_L3_Cuotas)&gt;0),IF((79-N(V_L3_Mes)+1)=N(V_L3_Gracia)+N(V_L3_Cuotas),IF((79-N(V_L3_Mes)+1)=1,N(V_L3_Monto),CE$227),PMT(N(V_L3_Tasa)/12,N(V_L3_Cuotas),-N(V_L3_Monto))-CF$225),0)*CF$9</f>
        <v>0</v>
      </c>
      <c r="CG226" s="34" t="n">
        <f aca="false">IF(AND((80-N(V_L3_Mes)+1)&gt;N(V_L3_Gracia),(80-N(V_L3_Mes)+1)&lt;=N(V_L3_Gracia)+N(V_L3_Cuotas),N(V_L3_Cuotas)&gt;0),IF((80-N(V_L3_Mes)+1)=N(V_L3_Gracia)+N(V_L3_Cuotas),IF((80-N(V_L3_Mes)+1)=1,N(V_L3_Monto),CF$227),PMT(N(V_L3_Tasa)/12,N(V_L3_Cuotas),-N(V_L3_Monto))-CG$225),0)*CG$9</f>
        <v>0</v>
      </c>
      <c r="CH226" s="34" t="n">
        <f aca="false">IF(AND((81-N(V_L3_Mes)+1)&gt;N(V_L3_Gracia),(81-N(V_L3_Mes)+1)&lt;=N(V_L3_Gracia)+N(V_L3_Cuotas),N(V_L3_Cuotas)&gt;0),IF((81-N(V_L3_Mes)+1)=N(V_L3_Gracia)+N(V_L3_Cuotas),IF((81-N(V_L3_Mes)+1)=1,N(V_L3_Monto),CG$227),PMT(N(V_L3_Tasa)/12,N(V_L3_Cuotas),-N(V_L3_Monto))-CH$225),0)*CH$9</f>
        <v>0</v>
      </c>
      <c r="CI226" s="34" t="n">
        <f aca="false">IF(AND((82-N(V_L3_Mes)+1)&gt;N(V_L3_Gracia),(82-N(V_L3_Mes)+1)&lt;=N(V_L3_Gracia)+N(V_L3_Cuotas),N(V_L3_Cuotas)&gt;0),IF((82-N(V_L3_Mes)+1)=N(V_L3_Gracia)+N(V_L3_Cuotas),IF((82-N(V_L3_Mes)+1)=1,N(V_L3_Monto),CH$227),PMT(N(V_L3_Tasa)/12,N(V_L3_Cuotas),-N(V_L3_Monto))-CI$225),0)*CI$9</f>
        <v>0</v>
      </c>
      <c r="CJ226" s="34" t="n">
        <f aca="false">IF(AND((83-N(V_L3_Mes)+1)&gt;N(V_L3_Gracia),(83-N(V_L3_Mes)+1)&lt;=N(V_L3_Gracia)+N(V_L3_Cuotas),N(V_L3_Cuotas)&gt;0),IF((83-N(V_L3_Mes)+1)=N(V_L3_Gracia)+N(V_L3_Cuotas),IF((83-N(V_L3_Mes)+1)=1,N(V_L3_Monto),CI$227),PMT(N(V_L3_Tasa)/12,N(V_L3_Cuotas),-N(V_L3_Monto))-CJ$225),0)*CJ$9</f>
        <v>0</v>
      </c>
      <c r="CK226" s="34" t="n">
        <f aca="false">IF(AND((84-N(V_L3_Mes)+1)&gt;N(V_L3_Gracia),(84-N(V_L3_Mes)+1)&lt;=N(V_L3_Gracia)+N(V_L3_Cuotas),N(V_L3_Cuotas)&gt;0),IF((84-N(V_L3_Mes)+1)=N(V_L3_Gracia)+N(V_L3_Cuotas),IF((84-N(V_L3_Mes)+1)=1,N(V_L3_Monto),CJ$227),PMT(N(V_L3_Tasa)/12,N(V_L3_Cuotas),-N(V_L3_Monto))-CK$225),0)*CK$9</f>
        <v>0</v>
      </c>
      <c r="CL226" s="34" t="n">
        <f aca="false">IF(AND((85-N(V_L3_Mes)+1)&gt;N(V_L3_Gracia),(85-N(V_L3_Mes)+1)&lt;=N(V_L3_Gracia)+N(V_L3_Cuotas),N(V_L3_Cuotas)&gt;0),IF((85-N(V_L3_Mes)+1)=N(V_L3_Gracia)+N(V_L3_Cuotas),IF((85-N(V_L3_Mes)+1)=1,N(V_L3_Monto),CK$227),PMT(N(V_L3_Tasa)/12,N(V_L3_Cuotas),-N(V_L3_Monto))-CL$225),0)*CL$9</f>
        <v>0</v>
      </c>
      <c r="CM226" s="34" t="n">
        <f aca="false">IF(AND((86-N(V_L3_Mes)+1)&gt;N(V_L3_Gracia),(86-N(V_L3_Mes)+1)&lt;=N(V_L3_Gracia)+N(V_L3_Cuotas),N(V_L3_Cuotas)&gt;0),IF((86-N(V_L3_Mes)+1)=N(V_L3_Gracia)+N(V_L3_Cuotas),IF((86-N(V_L3_Mes)+1)=1,N(V_L3_Monto),CL$227),PMT(N(V_L3_Tasa)/12,N(V_L3_Cuotas),-N(V_L3_Monto))-CM$225),0)*CM$9</f>
        <v>0</v>
      </c>
      <c r="CN226" s="34" t="n">
        <f aca="false">IF(AND((87-N(V_L3_Mes)+1)&gt;N(V_L3_Gracia),(87-N(V_L3_Mes)+1)&lt;=N(V_L3_Gracia)+N(V_L3_Cuotas),N(V_L3_Cuotas)&gt;0),IF((87-N(V_L3_Mes)+1)=N(V_L3_Gracia)+N(V_L3_Cuotas),IF((87-N(V_L3_Mes)+1)=1,N(V_L3_Monto),CM$227),PMT(N(V_L3_Tasa)/12,N(V_L3_Cuotas),-N(V_L3_Monto))-CN$225),0)*CN$9</f>
        <v>0</v>
      </c>
      <c r="CO226" s="34" t="n">
        <f aca="false">IF(AND((88-N(V_L3_Mes)+1)&gt;N(V_L3_Gracia),(88-N(V_L3_Mes)+1)&lt;=N(V_L3_Gracia)+N(V_L3_Cuotas),N(V_L3_Cuotas)&gt;0),IF((88-N(V_L3_Mes)+1)=N(V_L3_Gracia)+N(V_L3_Cuotas),IF((88-N(V_L3_Mes)+1)=1,N(V_L3_Monto),CN$227),PMT(N(V_L3_Tasa)/12,N(V_L3_Cuotas),-N(V_L3_Monto))-CO$225),0)*CO$9</f>
        <v>0</v>
      </c>
      <c r="CP226" s="34" t="n">
        <f aca="false">IF(AND((89-N(V_L3_Mes)+1)&gt;N(V_L3_Gracia),(89-N(V_L3_Mes)+1)&lt;=N(V_L3_Gracia)+N(V_L3_Cuotas),N(V_L3_Cuotas)&gt;0),IF((89-N(V_L3_Mes)+1)=N(V_L3_Gracia)+N(V_L3_Cuotas),IF((89-N(V_L3_Mes)+1)=1,N(V_L3_Monto),CO$227),PMT(N(V_L3_Tasa)/12,N(V_L3_Cuotas),-N(V_L3_Monto))-CP$225),0)*CP$9</f>
        <v>0</v>
      </c>
      <c r="CQ226" s="34" t="n">
        <f aca="false">IF(AND((90-N(V_L3_Mes)+1)&gt;N(V_L3_Gracia),(90-N(V_L3_Mes)+1)&lt;=N(V_L3_Gracia)+N(V_L3_Cuotas),N(V_L3_Cuotas)&gt;0),IF((90-N(V_L3_Mes)+1)=N(V_L3_Gracia)+N(V_L3_Cuotas),IF((90-N(V_L3_Mes)+1)=1,N(V_L3_Monto),CP$227),PMT(N(V_L3_Tasa)/12,N(V_L3_Cuotas),-N(V_L3_Monto))-CQ$225),0)*CQ$9</f>
        <v>0</v>
      </c>
      <c r="CR226" s="34" t="n">
        <f aca="false">IF(AND((91-N(V_L3_Mes)+1)&gt;N(V_L3_Gracia),(91-N(V_L3_Mes)+1)&lt;=N(V_L3_Gracia)+N(V_L3_Cuotas),N(V_L3_Cuotas)&gt;0),IF((91-N(V_L3_Mes)+1)=N(V_L3_Gracia)+N(V_L3_Cuotas),IF((91-N(V_L3_Mes)+1)=1,N(V_L3_Monto),CQ$227),PMT(N(V_L3_Tasa)/12,N(V_L3_Cuotas),-N(V_L3_Monto))-CR$225),0)*CR$9</f>
        <v>0</v>
      </c>
      <c r="CS226" s="34" t="n">
        <f aca="false">IF(AND((92-N(V_L3_Mes)+1)&gt;N(V_L3_Gracia),(92-N(V_L3_Mes)+1)&lt;=N(V_L3_Gracia)+N(V_L3_Cuotas),N(V_L3_Cuotas)&gt;0),IF((92-N(V_L3_Mes)+1)=N(V_L3_Gracia)+N(V_L3_Cuotas),IF((92-N(V_L3_Mes)+1)=1,N(V_L3_Monto),CR$227),PMT(N(V_L3_Tasa)/12,N(V_L3_Cuotas),-N(V_L3_Monto))-CS$225),0)*CS$9</f>
        <v>0</v>
      </c>
      <c r="CT226" s="34" t="n">
        <f aca="false">IF(AND((93-N(V_L3_Mes)+1)&gt;N(V_L3_Gracia),(93-N(V_L3_Mes)+1)&lt;=N(V_L3_Gracia)+N(V_L3_Cuotas),N(V_L3_Cuotas)&gt;0),IF((93-N(V_L3_Mes)+1)=N(V_L3_Gracia)+N(V_L3_Cuotas),IF((93-N(V_L3_Mes)+1)=1,N(V_L3_Monto),CS$227),PMT(N(V_L3_Tasa)/12,N(V_L3_Cuotas),-N(V_L3_Monto))-CT$225),0)*CT$9</f>
        <v>0</v>
      </c>
      <c r="CU226" s="34" t="n">
        <f aca="false">IF(AND((94-N(V_L3_Mes)+1)&gt;N(V_L3_Gracia),(94-N(V_L3_Mes)+1)&lt;=N(V_L3_Gracia)+N(V_L3_Cuotas),N(V_L3_Cuotas)&gt;0),IF((94-N(V_L3_Mes)+1)=N(V_L3_Gracia)+N(V_L3_Cuotas),IF((94-N(V_L3_Mes)+1)=1,N(V_L3_Monto),CT$227),PMT(N(V_L3_Tasa)/12,N(V_L3_Cuotas),-N(V_L3_Monto))-CU$225),0)*CU$9</f>
        <v>0</v>
      </c>
      <c r="CV226" s="34" t="n">
        <f aca="false">IF(AND((95-N(V_L3_Mes)+1)&gt;N(V_L3_Gracia),(95-N(V_L3_Mes)+1)&lt;=N(V_L3_Gracia)+N(V_L3_Cuotas),N(V_L3_Cuotas)&gt;0),IF((95-N(V_L3_Mes)+1)=N(V_L3_Gracia)+N(V_L3_Cuotas),IF((95-N(V_L3_Mes)+1)=1,N(V_L3_Monto),CU$227),PMT(N(V_L3_Tasa)/12,N(V_L3_Cuotas),-N(V_L3_Monto))-CV$225),0)*CV$9</f>
        <v>0</v>
      </c>
      <c r="CW226" s="34" t="n">
        <f aca="false">IF(AND((96-N(V_L3_Mes)+1)&gt;N(V_L3_Gracia),(96-N(V_L3_Mes)+1)&lt;=N(V_L3_Gracia)+N(V_L3_Cuotas),N(V_L3_Cuotas)&gt;0),IF((96-N(V_L3_Mes)+1)=N(V_L3_Gracia)+N(V_L3_Cuotas),IF((96-N(V_L3_Mes)+1)=1,N(V_L3_Monto),CV$227),PMT(N(V_L3_Tasa)/12,N(V_L3_Cuotas),-N(V_L3_Monto))-CW$225),0)*CW$9</f>
        <v>0</v>
      </c>
      <c r="CX226" s="34" t="n">
        <f aca="false">IF(AND((97-N(V_L3_Mes)+1)&gt;N(V_L3_Gracia),(97-N(V_L3_Mes)+1)&lt;=N(V_L3_Gracia)+N(V_L3_Cuotas),N(V_L3_Cuotas)&gt;0),IF((97-N(V_L3_Mes)+1)=N(V_L3_Gracia)+N(V_L3_Cuotas),IF((97-N(V_L3_Mes)+1)=1,N(V_L3_Monto),CW$227),PMT(N(V_L3_Tasa)/12,N(V_L3_Cuotas),-N(V_L3_Monto))-CX$225),0)*CX$9</f>
        <v>0</v>
      </c>
      <c r="CY226" s="34" t="n">
        <f aca="false">IF(AND((98-N(V_L3_Mes)+1)&gt;N(V_L3_Gracia),(98-N(V_L3_Mes)+1)&lt;=N(V_L3_Gracia)+N(V_L3_Cuotas),N(V_L3_Cuotas)&gt;0),IF((98-N(V_L3_Mes)+1)=N(V_L3_Gracia)+N(V_L3_Cuotas),IF((98-N(V_L3_Mes)+1)=1,N(V_L3_Monto),CX$227),PMT(N(V_L3_Tasa)/12,N(V_L3_Cuotas),-N(V_L3_Monto))-CY$225),0)*CY$9</f>
        <v>0</v>
      </c>
      <c r="CZ226" s="34" t="n">
        <f aca="false">IF(AND((99-N(V_L3_Mes)+1)&gt;N(V_L3_Gracia),(99-N(V_L3_Mes)+1)&lt;=N(V_L3_Gracia)+N(V_L3_Cuotas),N(V_L3_Cuotas)&gt;0),IF((99-N(V_L3_Mes)+1)=N(V_L3_Gracia)+N(V_L3_Cuotas),IF((99-N(V_L3_Mes)+1)=1,N(V_L3_Monto),CY$227),PMT(N(V_L3_Tasa)/12,N(V_L3_Cuotas),-N(V_L3_Monto))-CZ$225),0)*CZ$9</f>
        <v>0</v>
      </c>
      <c r="DA226" s="34" t="n">
        <f aca="false">IF(AND((100-N(V_L3_Mes)+1)&gt;N(V_L3_Gracia),(100-N(V_L3_Mes)+1)&lt;=N(V_L3_Gracia)+N(V_L3_Cuotas),N(V_L3_Cuotas)&gt;0),IF((100-N(V_L3_Mes)+1)=N(V_L3_Gracia)+N(V_L3_Cuotas),IF((100-N(V_L3_Mes)+1)=1,N(V_L3_Monto),CZ$227),PMT(N(V_L3_Tasa)/12,N(V_L3_Cuotas),-N(V_L3_Monto))-DA$225),0)*DA$9</f>
        <v>0</v>
      </c>
      <c r="DB226" s="34" t="n">
        <f aca="false">IF(AND((101-N(V_L3_Mes)+1)&gt;N(V_L3_Gracia),(101-N(V_L3_Mes)+1)&lt;=N(V_L3_Gracia)+N(V_L3_Cuotas),N(V_L3_Cuotas)&gt;0),IF((101-N(V_L3_Mes)+1)=N(V_L3_Gracia)+N(V_L3_Cuotas),IF((101-N(V_L3_Mes)+1)=1,N(V_L3_Monto),DA$227),PMT(N(V_L3_Tasa)/12,N(V_L3_Cuotas),-N(V_L3_Monto))-DB$225),0)*DB$9</f>
        <v>0</v>
      </c>
      <c r="DC226" s="34" t="n">
        <f aca="false">IF(AND((102-N(V_L3_Mes)+1)&gt;N(V_L3_Gracia),(102-N(V_L3_Mes)+1)&lt;=N(V_L3_Gracia)+N(V_L3_Cuotas),N(V_L3_Cuotas)&gt;0),IF((102-N(V_L3_Mes)+1)=N(V_L3_Gracia)+N(V_L3_Cuotas),IF((102-N(V_L3_Mes)+1)=1,N(V_L3_Monto),DB$227),PMT(N(V_L3_Tasa)/12,N(V_L3_Cuotas),-N(V_L3_Monto))-DC$225),0)*DC$9</f>
        <v>0</v>
      </c>
      <c r="DD226" s="34" t="n">
        <f aca="false">IF(AND((103-N(V_L3_Mes)+1)&gt;N(V_L3_Gracia),(103-N(V_L3_Mes)+1)&lt;=N(V_L3_Gracia)+N(V_L3_Cuotas),N(V_L3_Cuotas)&gt;0),IF((103-N(V_L3_Mes)+1)=N(V_L3_Gracia)+N(V_L3_Cuotas),IF((103-N(V_L3_Mes)+1)=1,N(V_L3_Monto),DC$227),PMT(N(V_L3_Tasa)/12,N(V_L3_Cuotas),-N(V_L3_Monto))-DD$225),0)*DD$9</f>
        <v>0</v>
      </c>
      <c r="DE226" s="34" t="n">
        <f aca="false">IF(AND((104-N(V_L3_Mes)+1)&gt;N(V_L3_Gracia),(104-N(V_L3_Mes)+1)&lt;=N(V_L3_Gracia)+N(V_L3_Cuotas),N(V_L3_Cuotas)&gt;0),IF((104-N(V_L3_Mes)+1)=N(V_L3_Gracia)+N(V_L3_Cuotas),IF((104-N(V_L3_Mes)+1)=1,N(V_L3_Monto),DD$227),PMT(N(V_L3_Tasa)/12,N(V_L3_Cuotas),-N(V_L3_Monto))-DE$225),0)*DE$9</f>
        <v>0</v>
      </c>
      <c r="DF226" s="34" t="n">
        <f aca="false">IF(AND((105-N(V_L3_Mes)+1)&gt;N(V_L3_Gracia),(105-N(V_L3_Mes)+1)&lt;=N(V_L3_Gracia)+N(V_L3_Cuotas),N(V_L3_Cuotas)&gt;0),IF((105-N(V_L3_Mes)+1)=N(V_L3_Gracia)+N(V_L3_Cuotas),IF((105-N(V_L3_Mes)+1)=1,N(V_L3_Monto),DE$227),PMT(N(V_L3_Tasa)/12,N(V_L3_Cuotas),-N(V_L3_Monto))-DF$225),0)*DF$9</f>
        <v>0</v>
      </c>
      <c r="DG226" s="34" t="n">
        <f aca="false">IF(AND((106-N(V_L3_Mes)+1)&gt;N(V_L3_Gracia),(106-N(V_L3_Mes)+1)&lt;=N(V_L3_Gracia)+N(V_L3_Cuotas),N(V_L3_Cuotas)&gt;0),IF((106-N(V_L3_Mes)+1)=N(V_L3_Gracia)+N(V_L3_Cuotas),IF((106-N(V_L3_Mes)+1)=1,N(V_L3_Monto),DF$227),PMT(N(V_L3_Tasa)/12,N(V_L3_Cuotas),-N(V_L3_Monto))-DG$225),0)*DG$9</f>
        <v>0</v>
      </c>
      <c r="DH226" s="34" t="n">
        <f aca="false">IF(AND((107-N(V_L3_Mes)+1)&gt;N(V_L3_Gracia),(107-N(V_L3_Mes)+1)&lt;=N(V_L3_Gracia)+N(V_L3_Cuotas),N(V_L3_Cuotas)&gt;0),IF((107-N(V_L3_Mes)+1)=N(V_L3_Gracia)+N(V_L3_Cuotas),IF((107-N(V_L3_Mes)+1)=1,N(V_L3_Monto),DG$227),PMT(N(V_L3_Tasa)/12,N(V_L3_Cuotas),-N(V_L3_Monto))-DH$225),0)*DH$9</f>
        <v>0</v>
      </c>
      <c r="DI226" s="34" t="n">
        <f aca="false">IF(AND((108-N(V_L3_Mes)+1)&gt;N(V_L3_Gracia),(108-N(V_L3_Mes)+1)&lt;=N(V_L3_Gracia)+N(V_L3_Cuotas),N(V_L3_Cuotas)&gt;0),IF((108-N(V_L3_Mes)+1)=N(V_L3_Gracia)+N(V_L3_Cuotas),IF((108-N(V_L3_Mes)+1)=1,N(V_L3_Monto),DH$227),PMT(N(V_L3_Tasa)/12,N(V_L3_Cuotas),-N(V_L3_Monto))-DI$225),0)*DI$9</f>
        <v>0</v>
      </c>
      <c r="DJ226" s="34" t="n">
        <f aca="false">IF(AND((109-N(V_L3_Mes)+1)&gt;N(V_L3_Gracia),(109-N(V_L3_Mes)+1)&lt;=N(V_L3_Gracia)+N(V_L3_Cuotas),N(V_L3_Cuotas)&gt;0),IF((109-N(V_L3_Mes)+1)=N(V_L3_Gracia)+N(V_L3_Cuotas),IF((109-N(V_L3_Mes)+1)=1,N(V_L3_Monto),DI$227),PMT(N(V_L3_Tasa)/12,N(V_L3_Cuotas),-N(V_L3_Monto))-DJ$225),0)*DJ$9</f>
        <v>0</v>
      </c>
      <c r="DK226" s="34" t="n">
        <f aca="false">IF(AND((110-N(V_L3_Mes)+1)&gt;N(V_L3_Gracia),(110-N(V_L3_Mes)+1)&lt;=N(V_L3_Gracia)+N(V_L3_Cuotas),N(V_L3_Cuotas)&gt;0),IF((110-N(V_L3_Mes)+1)=N(V_L3_Gracia)+N(V_L3_Cuotas),IF((110-N(V_L3_Mes)+1)=1,N(V_L3_Monto),DJ$227),PMT(N(V_L3_Tasa)/12,N(V_L3_Cuotas),-N(V_L3_Monto))-DK$225),0)*DK$9</f>
        <v>0</v>
      </c>
      <c r="DL226" s="34" t="n">
        <f aca="false">IF(AND((111-N(V_L3_Mes)+1)&gt;N(V_L3_Gracia),(111-N(V_L3_Mes)+1)&lt;=N(V_L3_Gracia)+N(V_L3_Cuotas),N(V_L3_Cuotas)&gt;0),IF((111-N(V_L3_Mes)+1)=N(V_L3_Gracia)+N(V_L3_Cuotas),IF((111-N(V_L3_Mes)+1)=1,N(V_L3_Monto),DK$227),PMT(N(V_L3_Tasa)/12,N(V_L3_Cuotas),-N(V_L3_Monto))-DL$225),0)*DL$9</f>
        <v>0</v>
      </c>
      <c r="DM226" s="34" t="n">
        <f aca="false">IF(AND((112-N(V_L3_Mes)+1)&gt;N(V_L3_Gracia),(112-N(V_L3_Mes)+1)&lt;=N(V_L3_Gracia)+N(V_L3_Cuotas),N(V_L3_Cuotas)&gt;0),IF((112-N(V_L3_Mes)+1)=N(V_L3_Gracia)+N(V_L3_Cuotas),IF((112-N(V_L3_Mes)+1)=1,N(V_L3_Monto),DL$227),PMT(N(V_L3_Tasa)/12,N(V_L3_Cuotas),-N(V_L3_Monto))-DM$225),0)*DM$9</f>
        <v>0</v>
      </c>
      <c r="DN226" s="34" t="n">
        <f aca="false">IF(AND((113-N(V_L3_Mes)+1)&gt;N(V_L3_Gracia),(113-N(V_L3_Mes)+1)&lt;=N(V_L3_Gracia)+N(V_L3_Cuotas),N(V_L3_Cuotas)&gt;0),IF((113-N(V_L3_Mes)+1)=N(V_L3_Gracia)+N(V_L3_Cuotas),IF((113-N(V_L3_Mes)+1)=1,N(V_L3_Monto),DM$227),PMT(N(V_L3_Tasa)/12,N(V_L3_Cuotas),-N(V_L3_Monto))-DN$225),0)*DN$9</f>
        <v>0</v>
      </c>
      <c r="DO226" s="34" t="n">
        <f aca="false">IF(AND((114-N(V_L3_Mes)+1)&gt;N(V_L3_Gracia),(114-N(V_L3_Mes)+1)&lt;=N(V_L3_Gracia)+N(V_L3_Cuotas),N(V_L3_Cuotas)&gt;0),IF((114-N(V_L3_Mes)+1)=N(V_L3_Gracia)+N(V_L3_Cuotas),IF((114-N(V_L3_Mes)+1)=1,N(V_L3_Monto),DN$227),PMT(N(V_L3_Tasa)/12,N(V_L3_Cuotas),-N(V_L3_Monto))-DO$225),0)*DO$9</f>
        <v>0</v>
      </c>
      <c r="DP226" s="34" t="n">
        <f aca="false">IF(AND((115-N(V_L3_Mes)+1)&gt;N(V_L3_Gracia),(115-N(V_L3_Mes)+1)&lt;=N(V_L3_Gracia)+N(V_L3_Cuotas),N(V_L3_Cuotas)&gt;0),IF((115-N(V_L3_Mes)+1)=N(V_L3_Gracia)+N(V_L3_Cuotas),IF((115-N(V_L3_Mes)+1)=1,N(V_L3_Monto),DO$227),PMT(N(V_L3_Tasa)/12,N(V_L3_Cuotas),-N(V_L3_Monto))-DP$225),0)*DP$9</f>
        <v>0</v>
      </c>
      <c r="DQ226" s="34" t="n">
        <f aca="false">IF(AND((116-N(V_L3_Mes)+1)&gt;N(V_L3_Gracia),(116-N(V_L3_Mes)+1)&lt;=N(V_L3_Gracia)+N(V_L3_Cuotas),N(V_L3_Cuotas)&gt;0),IF((116-N(V_L3_Mes)+1)=N(V_L3_Gracia)+N(V_L3_Cuotas),IF((116-N(V_L3_Mes)+1)=1,N(V_L3_Monto),DP$227),PMT(N(V_L3_Tasa)/12,N(V_L3_Cuotas),-N(V_L3_Monto))-DQ$225),0)*DQ$9</f>
        <v>0</v>
      </c>
      <c r="DR226" s="34" t="n">
        <f aca="false">IF(AND((117-N(V_L3_Mes)+1)&gt;N(V_L3_Gracia),(117-N(V_L3_Mes)+1)&lt;=N(V_L3_Gracia)+N(V_L3_Cuotas),N(V_L3_Cuotas)&gt;0),IF((117-N(V_L3_Mes)+1)=N(V_L3_Gracia)+N(V_L3_Cuotas),IF((117-N(V_L3_Mes)+1)=1,N(V_L3_Monto),DQ$227),PMT(N(V_L3_Tasa)/12,N(V_L3_Cuotas),-N(V_L3_Monto))-DR$225),0)*DR$9</f>
        <v>0</v>
      </c>
      <c r="DS226" s="34" t="n">
        <f aca="false">IF(AND((118-N(V_L3_Mes)+1)&gt;N(V_L3_Gracia),(118-N(V_L3_Mes)+1)&lt;=N(V_L3_Gracia)+N(V_L3_Cuotas),N(V_L3_Cuotas)&gt;0),IF((118-N(V_L3_Mes)+1)=N(V_L3_Gracia)+N(V_L3_Cuotas),IF((118-N(V_L3_Mes)+1)=1,N(V_L3_Monto),DR$227),PMT(N(V_L3_Tasa)/12,N(V_L3_Cuotas),-N(V_L3_Monto))-DS$225),0)*DS$9</f>
        <v>0</v>
      </c>
      <c r="DT226" s="34" t="n">
        <f aca="false">IF(AND((119-N(V_L3_Mes)+1)&gt;N(V_L3_Gracia),(119-N(V_L3_Mes)+1)&lt;=N(V_L3_Gracia)+N(V_L3_Cuotas),N(V_L3_Cuotas)&gt;0),IF((119-N(V_L3_Mes)+1)=N(V_L3_Gracia)+N(V_L3_Cuotas),IF((119-N(V_L3_Mes)+1)=1,N(V_L3_Monto),DS$227),PMT(N(V_L3_Tasa)/12,N(V_L3_Cuotas),-N(V_L3_Monto))-DT$225),0)*DT$9</f>
        <v>0</v>
      </c>
      <c r="DU226" s="34" t="n">
        <f aca="false">IF(AND((120-N(V_L3_Mes)+1)&gt;N(V_L3_Gracia),(120-N(V_L3_Mes)+1)&lt;=N(V_L3_Gracia)+N(V_L3_Cuotas),N(V_L3_Cuotas)&gt;0),IF((120-N(V_L3_Mes)+1)=N(V_L3_Gracia)+N(V_L3_Cuotas),IF((120-N(V_L3_Mes)+1)=1,N(V_L3_Monto),DT$227),PMT(N(V_L3_Tasa)/12,N(V_L3_Cuotas),-N(V_L3_Monto))-DU$225),0)*DU$9</f>
        <v>0</v>
      </c>
      <c r="DV226" s="34" t="n">
        <f aca="false">IF(AND((121-N(V_L3_Mes)+1)&gt;N(V_L3_Gracia),(121-N(V_L3_Mes)+1)&lt;=N(V_L3_Gracia)+N(V_L3_Cuotas),N(V_L3_Cuotas)&gt;0),IF((121-N(V_L3_Mes)+1)=N(V_L3_Gracia)+N(V_L3_Cuotas),IF((121-N(V_L3_Mes)+1)=1,N(V_L3_Monto),DU$227),PMT(N(V_L3_Tasa)/12,N(V_L3_Cuotas),-N(V_L3_Monto))-DV$225),0)*DV$9</f>
        <v>0</v>
      </c>
      <c r="DW226" s="34" t="n">
        <f aca="false">IF(AND((122-N(V_L3_Mes)+1)&gt;N(V_L3_Gracia),(122-N(V_L3_Mes)+1)&lt;=N(V_L3_Gracia)+N(V_L3_Cuotas),N(V_L3_Cuotas)&gt;0),IF((122-N(V_L3_Mes)+1)=N(V_L3_Gracia)+N(V_L3_Cuotas),IF((122-N(V_L3_Mes)+1)=1,N(V_L3_Monto),DV$227),PMT(N(V_L3_Tasa)/12,N(V_L3_Cuotas),-N(V_L3_Monto))-DW$225),0)*DW$9</f>
        <v>0</v>
      </c>
      <c r="DX226" s="34" t="n">
        <f aca="false">IF(AND((123-N(V_L3_Mes)+1)&gt;N(V_L3_Gracia),(123-N(V_L3_Mes)+1)&lt;=N(V_L3_Gracia)+N(V_L3_Cuotas),N(V_L3_Cuotas)&gt;0),IF((123-N(V_L3_Mes)+1)=N(V_L3_Gracia)+N(V_L3_Cuotas),IF((123-N(V_L3_Mes)+1)=1,N(V_L3_Monto),DW$227),PMT(N(V_L3_Tasa)/12,N(V_L3_Cuotas),-N(V_L3_Monto))-DX$225),0)*DX$9</f>
        <v>0</v>
      </c>
      <c r="DY226" s="34" t="n">
        <f aca="false">IF(AND((124-N(V_L3_Mes)+1)&gt;N(V_L3_Gracia),(124-N(V_L3_Mes)+1)&lt;=N(V_L3_Gracia)+N(V_L3_Cuotas),N(V_L3_Cuotas)&gt;0),IF((124-N(V_L3_Mes)+1)=N(V_L3_Gracia)+N(V_L3_Cuotas),IF((124-N(V_L3_Mes)+1)=1,N(V_L3_Monto),DX$227),PMT(N(V_L3_Tasa)/12,N(V_L3_Cuotas),-N(V_L3_Monto))-DY$225),0)*DY$9</f>
        <v>0</v>
      </c>
      <c r="DZ226" s="34" t="n">
        <f aca="false">IF(AND((125-N(V_L3_Mes)+1)&gt;N(V_L3_Gracia),(125-N(V_L3_Mes)+1)&lt;=N(V_L3_Gracia)+N(V_L3_Cuotas),N(V_L3_Cuotas)&gt;0),IF((125-N(V_L3_Mes)+1)=N(V_L3_Gracia)+N(V_L3_Cuotas),IF((125-N(V_L3_Mes)+1)=1,N(V_L3_Monto),DY$227),PMT(N(V_L3_Tasa)/12,N(V_L3_Cuotas),-N(V_L3_Monto))-DZ$225),0)*DZ$9</f>
        <v>0</v>
      </c>
      <c r="EA226" s="34" t="n">
        <f aca="false">IF(AND((126-N(V_L3_Mes)+1)&gt;N(V_L3_Gracia),(126-N(V_L3_Mes)+1)&lt;=N(V_L3_Gracia)+N(V_L3_Cuotas),N(V_L3_Cuotas)&gt;0),IF((126-N(V_L3_Mes)+1)=N(V_L3_Gracia)+N(V_L3_Cuotas),IF((126-N(V_L3_Mes)+1)=1,N(V_L3_Monto),DZ$227),PMT(N(V_L3_Tasa)/12,N(V_L3_Cuotas),-N(V_L3_Monto))-EA$225),0)*EA$9</f>
        <v>0</v>
      </c>
      <c r="EB226" s="34" t="n">
        <f aca="false">IF(AND((127-N(V_L3_Mes)+1)&gt;N(V_L3_Gracia),(127-N(V_L3_Mes)+1)&lt;=N(V_L3_Gracia)+N(V_L3_Cuotas),N(V_L3_Cuotas)&gt;0),IF((127-N(V_L3_Mes)+1)=N(V_L3_Gracia)+N(V_L3_Cuotas),IF((127-N(V_L3_Mes)+1)=1,N(V_L3_Monto),EA$227),PMT(N(V_L3_Tasa)/12,N(V_L3_Cuotas),-N(V_L3_Monto))-EB$225),0)*EB$9</f>
        <v>0</v>
      </c>
      <c r="EC226" s="34" t="n">
        <f aca="false">IF(AND((128-N(V_L3_Mes)+1)&gt;N(V_L3_Gracia),(128-N(V_L3_Mes)+1)&lt;=N(V_L3_Gracia)+N(V_L3_Cuotas),N(V_L3_Cuotas)&gt;0),IF((128-N(V_L3_Mes)+1)=N(V_L3_Gracia)+N(V_L3_Cuotas),IF((128-N(V_L3_Mes)+1)=1,N(V_L3_Monto),EB$227),PMT(N(V_L3_Tasa)/12,N(V_L3_Cuotas),-N(V_L3_Monto))-EC$225),0)*EC$9</f>
        <v>0</v>
      </c>
      <c r="ED226" s="34" t="n">
        <f aca="false">IF(AND((129-N(V_L3_Mes)+1)&gt;N(V_L3_Gracia),(129-N(V_L3_Mes)+1)&lt;=N(V_L3_Gracia)+N(V_L3_Cuotas),N(V_L3_Cuotas)&gt;0),IF((129-N(V_L3_Mes)+1)=N(V_L3_Gracia)+N(V_L3_Cuotas),IF((129-N(V_L3_Mes)+1)=1,N(V_L3_Monto),EC$227),PMT(N(V_L3_Tasa)/12,N(V_L3_Cuotas),-N(V_L3_Monto))-ED$225),0)*ED$9</f>
        <v>0</v>
      </c>
      <c r="EE226" s="34" t="n">
        <f aca="false">IF(AND((130-N(V_L3_Mes)+1)&gt;N(V_L3_Gracia),(130-N(V_L3_Mes)+1)&lt;=N(V_L3_Gracia)+N(V_L3_Cuotas),N(V_L3_Cuotas)&gt;0),IF((130-N(V_L3_Mes)+1)=N(V_L3_Gracia)+N(V_L3_Cuotas),IF((130-N(V_L3_Mes)+1)=1,N(V_L3_Monto),ED$227),PMT(N(V_L3_Tasa)/12,N(V_L3_Cuotas),-N(V_L3_Monto))-EE$225),0)*EE$9</f>
        <v>0</v>
      </c>
      <c r="EF226" s="34" t="n">
        <f aca="false">IF(AND((131-N(V_L3_Mes)+1)&gt;N(V_L3_Gracia),(131-N(V_L3_Mes)+1)&lt;=N(V_L3_Gracia)+N(V_L3_Cuotas),N(V_L3_Cuotas)&gt;0),IF((131-N(V_L3_Mes)+1)=N(V_L3_Gracia)+N(V_L3_Cuotas),IF((131-N(V_L3_Mes)+1)=1,N(V_L3_Monto),EE$227),PMT(N(V_L3_Tasa)/12,N(V_L3_Cuotas),-N(V_L3_Monto))-EF$225),0)*EF$9</f>
        <v>0</v>
      </c>
      <c r="EG226" s="34" t="n">
        <f aca="false">IF(AND((132-N(V_L3_Mes)+1)&gt;N(V_L3_Gracia),(132-N(V_L3_Mes)+1)&lt;=N(V_L3_Gracia)+N(V_L3_Cuotas),N(V_L3_Cuotas)&gt;0),IF((132-N(V_L3_Mes)+1)=N(V_L3_Gracia)+N(V_L3_Cuotas),IF((132-N(V_L3_Mes)+1)=1,N(V_L3_Monto),EF$227),PMT(N(V_L3_Tasa)/12,N(V_L3_Cuotas),-N(V_L3_Monto))-EG$225),0)*EG$9</f>
        <v>0</v>
      </c>
      <c r="EH226" s="34" t="n">
        <f aca="false">IF(AND((133-N(V_L3_Mes)+1)&gt;N(V_L3_Gracia),(133-N(V_L3_Mes)+1)&lt;=N(V_L3_Gracia)+N(V_L3_Cuotas),N(V_L3_Cuotas)&gt;0),IF((133-N(V_L3_Mes)+1)=N(V_L3_Gracia)+N(V_L3_Cuotas),IF((133-N(V_L3_Mes)+1)=1,N(V_L3_Monto),EG$227),PMT(N(V_L3_Tasa)/12,N(V_L3_Cuotas),-N(V_L3_Monto))-EH$225),0)*EH$9</f>
        <v>0</v>
      </c>
      <c r="EI226" s="34" t="n">
        <f aca="false">IF(AND((134-N(V_L3_Mes)+1)&gt;N(V_L3_Gracia),(134-N(V_L3_Mes)+1)&lt;=N(V_L3_Gracia)+N(V_L3_Cuotas),N(V_L3_Cuotas)&gt;0),IF((134-N(V_L3_Mes)+1)=N(V_L3_Gracia)+N(V_L3_Cuotas),IF((134-N(V_L3_Mes)+1)=1,N(V_L3_Monto),EH$227),PMT(N(V_L3_Tasa)/12,N(V_L3_Cuotas),-N(V_L3_Monto))-EI$225),0)*EI$9</f>
        <v>0</v>
      </c>
      <c r="EJ226" s="34" t="n">
        <f aca="false">IF(AND((135-N(V_L3_Mes)+1)&gt;N(V_L3_Gracia),(135-N(V_L3_Mes)+1)&lt;=N(V_L3_Gracia)+N(V_L3_Cuotas),N(V_L3_Cuotas)&gt;0),IF((135-N(V_L3_Mes)+1)=N(V_L3_Gracia)+N(V_L3_Cuotas),IF((135-N(V_L3_Mes)+1)=1,N(V_L3_Monto),EI$227),PMT(N(V_L3_Tasa)/12,N(V_L3_Cuotas),-N(V_L3_Monto))-EJ$225),0)*EJ$9</f>
        <v>0</v>
      </c>
      <c r="EK226" s="34" t="n">
        <f aca="false">IF(AND((136-N(V_L3_Mes)+1)&gt;N(V_L3_Gracia),(136-N(V_L3_Mes)+1)&lt;=N(V_L3_Gracia)+N(V_L3_Cuotas),N(V_L3_Cuotas)&gt;0),IF((136-N(V_L3_Mes)+1)=N(V_L3_Gracia)+N(V_L3_Cuotas),IF((136-N(V_L3_Mes)+1)=1,N(V_L3_Monto),EJ$227),PMT(N(V_L3_Tasa)/12,N(V_L3_Cuotas),-N(V_L3_Monto))-EK$225),0)*EK$9</f>
        <v>0</v>
      </c>
      <c r="EL226" s="34" t="n">
        <f aca="false">IF(AND((137-N(V_L3_Mes)+1)&gt;N(V_L3_Gracia),(137-N(V_L3_Mes)+1)&lt;=N(V_L3_Gracia)+N(V_L3_Cuotas),N(V_L3_Cuotas)&gt;0),IF((137-N(V_L3_Mes)+1)=N(V_L3_Gracia)+N(V_L3_Cuotas),IF((137-N(V_L3_Mes)+1)=1,N(V_L3_Monto),EK$227),PMT(N(V_L3_Tasa)/12,N(V_L3_Cuotas),-N(V_L3_Monto))-EL$225),0)*EL$9</f>
        <v>0</v>
      </c>
      <c r="EM226" s="34" t="n">
        <f aca="false">IF(AND((138-N(V_L3_Mes)+1)&gt;N(V_L3_Gracia),(138-N(V_L3_Mes)+1)&lt;=N(V_L3_Gracia)+N(V_L3_Cuotas),N(V_L3_Cuotas)&gt;0),IF((138-N(V_L3_Mes)+1)=N(V_L3_Gracia)+N(V_L3_Cuotas),IF((138-N(V_L3_Mes)+1)=1,N(V_L3_Monto),EL$227),PMT(N(V_L3_Tasa)/12,N(V_L3_Cuotas),-N(V_L3_Monto))-EM$225),0)*EM$9</f>
        <v>0</v>
      </c>
      <c r="EN226" s="34" t="n">
        <f aca="false">IF(AND((139-N(V_L3_Mes)+1)&gt;N(V_L3_Gracia),(139-N(V_L3_Mes)+1)&lt;=N(V_L3_Gracia)+N(V_L3_Cuotas),N(V_L3_Cuotas)&gt;0),IF((139-N(V_L3_Mes)+1)=N(V_L3_Gracia)+N(V_L3_Cuotas),IF((139-N(V_L3_Mes)+1)=1,N(V_L3_Monto),EM$227),PMT(N(V_L3_Tasa)/12,N(V_L3_Cuotas),-N(V_L3_Monto))-EN$225),0)*EN$9</f>
        <v>0</v>
      </c>
      <c r="EO226" s="34" t="n">
        <f aca="false">IF(AND((140-N(V_L3_Mes)+1)&gt;N(V_L3_Gracia),(140-N(V_L3_Mes)+1)&lt;=N(V_L3_Gracia)+N(V_L3_Cuotas),N(V_L3_Cuotas)&gt;0),IF((140-N(V_L3_Mes)+1)=N(V_L3_Gracia)+N(V_L3_Cuotas),IF((140-N(V_L3_Mes)+1)=1,N(V_L3_Monto),EN$227),PMT(N(V_L3_Tasa)/12,N(V_L3_Cuotas),-N(V_L3_Monto))-EO$225),0)*EO$9</f>
        <v>0</v>
      </c>
      <c r="EP226" s="34" t="n">
        <f aca="false">IF(AND((141-N(V_L3_Mes)+1)&gt;N(V_L3_Gracia),(141-N(V_L3_Mes)+1)&lt;=N(V_L3_Gracia)+N(V_L3_Cuotas),N(V_L3_Cuotas)&gt;0),IF((141-N(V_L3_Mes)+1)=N(V_L3_Gracia)+N(V_L3_Cuotas),IF((141-N(V_L3_Mes)+1)=1,N(V_L3_Monto),EO$227),PMT(N(V_L3_Tasa)/12,N(V_L3_Cuotas),-N(V_L3_Monto))-EP$225),0)*EP$9</f>
        <v>0</v>
      </c>
      <c r="EQ226" s="34" t="n">
        <f aca="false">IF(AND((142-N(V_L3_Mes)+1)&gt;N(V_L3_Gracia),(142-N(V_L3_Mes)+1)&lt;=N(V_L3_Gracia)+N(V_L3_Cuotas),N(V_L3_Cuotas)&gt;0),IF((142-N(V_L3_Mes)+1)=N(V_L3_Gracia)+N(V_L3_Cuotas),IF((142-N(V_L3_Mes)+1)=1,N(V_L3_Monto),EP$227),PMT(N(V_L3_Tasa)/12,N(V_L3_Cuotas),-N(V_L3_Monto))-EQ$225),0)*EQ$9</f>
        <v>0</v>
      </c>
      <c r="ER226" s="34" t="n">
        <f aca="false">IF(AND((143-N(V_L3_Mes)+1)&gt;N(V_L3_Gracia),(143-N(V_L3_Mes)+1)&lt;=N(V_L3_Gracia)+N(V_L3_Cuotas),N(V_L3_Cuotas)&gt;0),IF((143-N(V_L3_Mes)+1)=N(V_L3_Gracia)+N(V_L3_Cuotas),IF((143-N(V_L3_Mes)+1)=1,N(V_L3_Monto),EQ$227),PMT(N(V_L3_Tasa)/12,N(V_L3_Cuotas),-N(V_L3_Monto))-ER$225),0)*ER$9</f>
        <v>0</v>
      </c>
      <c r="ES226" s="34" t="n">
        <f aca="false">IF(AND((144-N(V_L3_Mes)+1)&gt;N(V_L3_Gracia),(144-N(V_L3_Mes)+1)&lt;=N(V_L3_Gracia)+N(V_L3_Cuotas),N(V_L3_Cuotas)&gt;0),IF((144-N(V_L3_Mes)+1)=N(V_L3_Gracia)+N(V_L3_Cuotas),IF((144-N(V_L3_Mes)+1)=1,N(V_L3_Monto),ER$227),PMT(N(V_L3_Tasa)/12,N(V_L3_Cuotas),-N(V_L3_Monto))-ES$225),0)*ES$9</f>
        <v>0</v>
      </c>
    </row>
    <row r="227" customFormat="false" ht="15" hidden="false" customHeight="false" outlineLevel="0" collapsed="false">
      <c r="A227" s="2" t="s">
        <v>701</v>
      </c>
      <c r="B227" s="6" t="s">
        <v>574</v>
      </c>
      <c r="C227" s="6" t="s">
        <v>212</v>
      </c>
      <c r="E227" s="40" t="n">
        <f aca="false">INDEX(F227:ES227,1,MIN(144,Fin))</f>
        <v>0</v>
      </c>
      <c r="F227" s="34" t="n">
        <f aca="false">IF((1-N(V_L3_Mes)+1)&lt;1,0,IF((1-N(V_L3_Mes)+1)=1,N(V_L3_Monto),0)-F$226)</f>
        <v>0</v>
      </c>
      <c r="G227" s="34" t="n">
        <f aca="false">IF((2-N(V_L3_Mes)+1)&lt;1,0,IF((2-N(V_L3_Mes)+1)=1,N(V_L3_Monto),F$227)-G$226)</f>
        <v>0</v>
      </c>
      <c r="H227" s="34" t="n">
        <f aca="false">IF((3-N(V_L3_Mes)+1)&lt;1,0,IF((3-N(V_L3_Mes)+1)=1,N(V_L3_Monto),G$227)-H$226)</f>
        <v>0</v>
      </c>
      <c r="I227" s="34" t="n">
        <f aca="false">IF((4-N(V_L3_Mes)+1)&lt;1,0,IF((4-N(V_L3_Mes)+1)=1,N(V_L3_Monto),H$227)-I$226)</f>
        <v>0</v>
      </c>
      <c r="J227" s="34" t="n">
        <f aca="false">IF((5-N(V_L3_Mes)+1)&lt;1,0,IF((5-N(V_L3_Mes)+1)=1,N(V_L3_Monto),I$227)-J$226)</f>
        <v>0</v>
      </c>
      <c r="K227" s="34" t="n">
        <f aca="false">IF((6-N(V_L3_Mes)+1)&lt;1,0,IF((6-N(V_L3_Mes)+1)=1,N(V_L3_Monto),J$227)-K$226)</f>
        <v>0</v>
      </c>
      <c r="L227" s="34" t="n">
        <f aca="false">IF((7-N(V_L3_Mes)+1)&lt;1,0,IF((7-N(V_L3_Mes)+1)=1,N(V_L3_Monto),K$227)-L$226)</f>
        <v>0</v>
      </c>
      <c r="M227" s="34" t="n">
        <f aca="false">IF((8-N(V_L3_Mes)+1)&lt;1,0,IF((8-N(V_L3_Mes)+1)=1,N(V_L3_Monto),L$227)-M$226)</f>
        <v>0</v>
      </c>
      <c r="N227" s="34" t="n">
        <f aca="false">IF((9-N(V_L3_Mes)+1)&lt;1,0,IF((9-N(V_L3_Mes)+1)=1,N(V_L3_Monto),M$227)-N$226)</f>
        <v>0</v>
      </c>
      <c r="O227" s="34" t="n">
        <f aca="false">IF((10-N(V_L3_Mes)+1)&lt;1,0,IF((10-N(V_L3_Mes)+1)=1,N(V_L3_Monto),N$227)-O$226)</f>
        <v>0</v>
      </c>
      <c r="P227" s="34" t="n">
        <f aca="false">IF((11-N(V_L3_Mes)+1)&lt;1,0,IF((11-N(V_L3_Mes)+1)=1,N(V_L3_Monto),O$227)-P$226)</f>
        <v>0</v>
      </c>
      <c r="Q227" s="34" t="n">
        <f aca="false">IF((12-N(V_L3_Mes)+1)&lt;1,0,IF((12-N(V_L3_Mes)+1)=1,N(V_L3_Monto),P$227)-Q$226)</f>
        <v>0</v>
      </c>
      <c r="R227" s="34" t="n">
        <f aca="false">IF((13-N(V_L3_Mes)+1)&lt;1,0,IF((13-N(V_L3_Mes)+1)=1,N(V_L3_Monto),Q$227)-R$226)</f>
        <v>0</v>
      </c>
      <c r="S227" s="34" t="n">
        <f aca="false">IF((14-N(V_L3_Mes)+1)&lt;1,0,IF((14-N(V_L3_Mes)+1)=1,N(V_L3_Monto),R$227)-S$226)</f>
        <v>0</v>
      </c>
      <c r="T227" s="34" t="n">
        <f aca="false">IF((15-N(V_L3_Mes)+1)&lt;1,0,IF((15-N(V_L3_Mes)+1)=1,N(V_L3_Monto),S$227)-T$226)</f>
        <v>0</v>
      </c>
      <c r="U227" s="34" t="n">
        <f aca="false">IF((16-N(V_L3_Mes)+1)&lt;1,0,IF((16-N(V_L3_Mes)+1)=1,N(V_L3_Monto),T$227)-U$226)</f>
        <v>0</v>
      </c>
      <c r="V227" s="34" t="n">
        <f aca="false">IF((17-N(V_L3_Mes)+1)&lt;1,0,IF((17-N(V_L3_Mes)+1)=1,N(V_L3_Monto),U$227)-V$226)</f>
        <v>0</v>
      </c>
      <c r="W227" s="34" t="n">
        <f aca="false">IF((18-N(V_L3_Mes)+1)&lt;1,0,IF((18-N(V_L3_Mes)+1)=1,N(V_L3_Monto),V$227)-W$226)</f>
        <v>0</v>
      </c>
      <c r="X227" s="34" t="n">
        <f aca="false">IF((19-N(V_L3_Mes)+1)&lt;1,0,IF((19-N(V_L3_Mes)+1)=1,N(V_L3_Monto),W$227)-X$226)</f>
        <v>0</v>
      </c>
      <c r="Y227" s="34" t="n">
        <f aca="false">IF((20-N(V_L3_Mes)+1)&lt;1,0,IF((20-N(V_L3_Mes)+1)=1,N(V_L3_Monto),X$227)-Y$226)</f>
        <v>0</v>
      </c>
      <c r="Z227" s="34" t="n">
        <f aca="false">IF((21-N(V_L3_Mes)+1)&lt;1,0,IF((21-N(V_L3_Mes)+1)=1,N(V_L3_Monto),Y$227)-Z$226)</f>
        <v>0</v>
      </c>
      <c r="AA227" s="34" t="n">
        <f aca="false">IF((22-N(V_L3_Mes)+1)&lt;1,0,IF((22-N(V_L3_Mes)+1)=1,N(V_L3_Monto),Z$227)-AA$226)</f>
        <v>0</v>
      </c>
      <c r="AB227" s="34" t="n">
        <f aca="false">IF((23-N(V_L3_Mes)+1)&lt;1,0,IF((23-N(V_L3_Mes)+1)=1,N(V_L3_Monto),AA$227)-AB$226)</f>
        <v>0</v>
      </c>
      <c r="AC227" s="34" t="n">
        <f aca="false">IF((24-N(V_L3_Mes)+1)&lt;1,0,IF((24-N(V_L3_Mes)+1)=1,N(V_L3_Monto),AB$227)-AC$226)</f>
        <v>0</v>
      </c>
      <c r="AD227" s="34" t="n">
        <f aca="false">IF((25-N(V_L3_Mes)+1)&lt;1,0,IF((25-N(V_L3_Mes)+1)=1,N(V_L3_Monto),AC$227)-AD$226)</f>
        <v>0</v>
      </c>
      <c r="AE227" s="34" t="n">
        <f aca="false">IF((26-N(V_L3_Mes)+1)&lt;1,0,IF((26-N(V_L3_Mes)+1)=1,N(V_L3_Monto),AD$227)-AE$226)</f>
        <v>0</v>
      </c>
      <c r="AF227" s="34" t="n">
        <f aca="false">IF((27-N(V_L3_Mes)+1)&lt;1,0,IF((27-N(V_L3_Mes)+1)=1,N(V_L3_Monto),AE$227)-AF$226)</f>
        <v>0</v>
      </c>
      <c r="AG227" s="34" t="n">
        <f aca="false">IF((28-N(V_L3_Mes)+1)&lt;1,0,IF((28-N(V_L3_Mes)+1)=1,N(V_L3_Monto),AF$227)-AG$226)</f>
        <v>0</v>
      </c>
      <c r="AH227" s="34" t="n">
        <f aca="false">IF((29-N(V_L3_Mes)+1)&lt;1,0,IF((29-N(V_L3_Mes)+1)=1,N(V_L3_Monto),AG$227)-AH$226)</f>
        <v>0</v>
      </c>
      <c r="AI227" s="34" t="n">
        <f aca="false">IF((30-N(V_L3_Mes)+1)&lt;1,0,IF((30-N(V_L3_Mes)+1)=1,N(V_L3_Monto),AH$227)-AI$226)</f>
        <v>0</v>
      </c>
      <c r="AJ227" s="34" t="n">
        <f aca="false">IF((31-N(V_L3_Mes)+1)&lt;1,0,IF((31-N(V_L3_Mes)+1)=1,N(V_L3_Monto),AI$227)-AJ$226)</f>
        <v>0</v>
      </c>
      <c r="AK227" s="34" t="n">
        <f aca="false">IF((32-N(V_L3_Mes)+1)&lt;1,0,IF((32-N(V_L3_Mes)+1)=1,N(V_L3_Monto),AJ$227)-AK$226)</f>
        <v>0</v>
      </c>
      <c r="AL227" s="34" t="n">
        <f aca="false">IF((33-N(V_L3_Mes)+1)&lt;1,0,IF((33-N(V_L3_Mes)+1)=1,N(V_L3_Monto),AK$227)-AL$226)</f>
        <v>0</v>
      </c>
      <c r="AM227" s="34" t="n">
        <f aca="false">IF((34-N(V_L3_Mes)+1)&lt;1,0,IF((34-N(V_L3_Mes)+1)=1,N(V_L3_Monto),AL$227)-AM$226)</f>
        <v>0</v>
      </c>
      <c r="AN227" s="34" t="n">
        <f aca="false">IF((35-N(V_L3_Mes)+1)&lt;1,0,IF((35-N(V_L3_Mes)+1)=1,N(V_L3_Monto),AM$227)-AN$226)</f>
        <v>0</v>
      </c>
      <c r="AO227" s="34" t="n">
        <f aca="false">IF((36-N(V_L3_Mes)+1)&lt;1,0,IF((36-N(V_L3_Mes)+1)=1,N(V_L3_Monto),AN$227)-AO$226)</f>
        <v>0</v>
      </c>
      <c r="AP227" s="34" t="n">
        <f aca="false">IF((37-N(V_L3_Mes)+1)&lt;1,0,IF((37-N(V_L3_Mes)+1)=1,N(V_L3_Monto),AO$227)-AP$226)</f>
        <v>0</v>
      </c>
      <c r="AQ227" s="34" t="n">
        <f aca="false">IF((38-N(V_L3_Mes)+1)&lt;1,0,IF((38-N(V_L3_Mes)+1)=1,N(V_L3_Monto),AP$227)-AQ$226)</f>
        <v>0</v>
      </c>
      <c r="AR227" s="34" t="n">
        <f aca="false">IF((39-N(V_L3_Mes)+1)&lt;1,0,IF((39-N(V_L3_Mes)+1)=1,N(V_L3_Monto),AQ$227)-AR$226)</f>
        <v>0</v>
      </c>
      <c r="AS227" s="34" t="n">
        <f aca="false">IF((40-N(V_L3_Mes)+1)&lt;1,0,IF((40-N(V_L3_Mes)+1)=1,N(V_L3_Monto),AR$227)-AS$226)</f>
        <v>0</v>
      </c>
      <c r="AT227" s="34" t="n">
        <f aca="false">IF((41-N(V_L3_Mes)+1)&lt;1,0,IF((41-N(V_L3_Mes)+1)=1,N(V_L3_Monto),AS$227)-AT$226)</f>
        <v>0</v>
      </c>
      <c r="AU227" s="34" t="n">
        <f aca="false">IF((42-N(V_L3_Mes)+1)&lt;1,0,IF((42-N(V_L3_Mes)+1)=1,N(V_L3_Monto),AT$227)-AU$226)</f>
        <v>0</v>
      </c>
      <c r="AV227" s="34" t="n">
        <f aca="false">IF((43-N(V_L3_Mes)+1)&lt;1,0,IF((43-N(V_L3_Mes)+1)=1,N(V_L3_Monto),AU$227)-AV$226)</f>
        <v>0</v>
      </c>
      <c r="AW227" s="34" t="n">
        <f aca="false">IF((44-N(V_L3_Mes)+1)&lt;1,0,IF((44-N(V_L3_Mes)+1)=1,N(V_L3_Monto),AV$227)-AW$226)</f>
        <v>0</v>
      </c>
      <c r="AX227" s="34" t="n">
        <f aca="false">IF((45-N(V_L3_Mes)+1)&lt;1,0,IF((45-N(V_L3_Mes)+1)=1,N(V_L3_Monto),AW$227)-AX$226)</f>
        <v>0</v>
      </c>
      <c r="AY227" s="34" t="n">
        <f aca="false">IF((46-N(V_L3_Mes)+1)&lt;1,0,IF((46-N(V_L3_Mes)+1)=1,N(V_L3_Monto),AX$227)-AY$226)</f>
        <v>0</v>
      </c>
      <c r="AZ227" s="34" t="n">
        <f aca="false">IF((47-N(V_L3_Mes)+1)&lt;1,0,IF((47-N(V_L3_Mes)+1)=1,N(V_L3_Monto),AY$227)-AZ$226)</f>
        <v>0</v>
      </c>
      <c r="BA227" s="34" t="n">
        <f aca="false">IF((48-N(V_L3_Mes)+1)&lt;1,0,IF((48-N(V_L3_Mes)+1)=1,N(V_L3_Monto),AZ$227)-BA$226)</f>
        <v>0</v>
      </c>
      <c r="BB227" s="34" t="n">
        <f aca="false">IF((49-N(V_L3_Mes)+1)&lt;1,0,IF((49-N(V_L3_Mes)+1)=1,N(V_L3_Monto),BA$227)-BB$226)</f>
        <v>0</v>
      </c>
      <c r="BC227" s="34" t="n">
        <f aca="false">IF((50-N(V_L3_Mes)+1)&lt;1,0,IF((50-N(V_L3_Mes)+1)=1,N(V_L3_Monto),BB$227)-BC$226)</f>
        <v>0</v>
      </c>
      <c r="BD227" s="34" t="n">
        <f aca="false">IF((51-N(V_L3_Mes)+1)&lt;1,0,IF((51-N(V_L3_Mes)+1)=1,N(V_L3_Monto),BC$227)-BD$226)</f>
        <v>0</v>
      </c>
      <c r="BE227" s="34" t="n">
        <f aca="false">IF((52-N(V_L3_Mes)+1)&lt;1,0,IF((52-N(V_L3_Mes)+1)=1,N(V_L3_Monto),BD$227)-BE$226)</f>
        <v>0</v>
      </c>
      <c r="BF227" s="34" t="n">
        <f aca="false">IF((53-N(V_L3_Mes)+1)&lt;1,0,IF((53-N(V_L3_Mes)+1)=1,N(V_L3_Monto),BE$227)-BF$226)</f>
        <v>0</v>
      </c>
      <c r="BG227" s="34" t="n">
        <f aca="false">IF((54-N(V_L3_Mes)+1)&lt;1,0,IF((54-N(V_L3_Mes)+1)=1,N(V_L3_Monto),BF$227)-BG$226)</f>
        <v>0</v>
      </c>
      <c r="BH227" s="34" t="n">
        <f aca="false">IF((55-N(V_L3_Mes)+1)&lt;1,0,IF((55-N(V_L3_Mes)+1)=1,N(V_L3_Monto),BG$227)-BH$226)</f>
        <v>0</v>
      </c>
      <c r="BI227" s="34" t="n">
        <f aca="false">IF((56-N(V_L3_Mes)+1)&lt;1,0,IF((56-N(V_L3_Mes)+1)=1,N(V_L3_Monto),BH$227)-BI$226)</f>
        <v>0</v>
      </c>
      <c r="BJ227" s="34" t="n">
        <f aca="false">IF((57-N(V_L3_Mes)+1)&lt;1,0,IF((57-N(V_L3_Mes)+1)=1,N(V_L3_Monto),BI$227)-BJ$226)</f>
        <v>0</v>
      </c>
      <c r="BK227" s="34" t="n">
        <f aca="false">IF((58-N(V_L3_Mes)+1)&lt;1,0,IF((58-N(V_L3_Mes)+1)=1,N(V_L3_Monto),BJ$227)-BK$226)</f>
        <v>0</v>
      </c>
      <c r="BL227" s="34" t="n">
        <f aca="false">IF((59-N(V_L3_Mes)+1)&lt;1,0,IF((59-N(V_L3_Mes)+1)=1,N(V_L3_Monto),BK$227)-BL$226)</f>
        <v>0</v>
      </c>
      <c r="BM227" s="34" t="n">
        <f aca="false">IF((60-N(V_L3_Mes)+1)&lt;1,0,IF((60-N(V_L3_Mes)+1)=1,N(V_L3_Monto),BL$227)-BM$226)</f>
        <v>0</v>
      </c>
      <c r="BN227" s="34" t="n">
        <f aca="false">IF((61-N(V_L3_Mes)+1)&lt;1,0,IF((61-N(V_L3_Mes)+1)=1,N(V_L3_Monto),BM$227)-BN$226)</f>
        <v>0</v>
      </c>
      <c r="BO227" s="34" t="n">
        <f aca="false">IF((62-N(V_L3_Mes)+1)&lt;1,0,IF((62-N(V_L3_Mes)+1)=1,N(V_L3_Monto),BN$227)-BO$226)</f>
        <v>0</v>
      </c>
      <c r="BP227" s="34" t="n">
        <f aca="false">IF((63-N(V_L3_Mes)+1)&lt;1,0,IF((63-N(V_L3_Mes)+1)=1,N(V_L3_Monto),BO$227)-BP$226)</f>
        <v>0</v>
      </c>
      <c r="BQ227" s="34" t="n">
        <f aca="false">IF((64-N(V_L3_Mes)+1)&lt;1,0,IF((64-N(V_L3_Mes)+1)=1,N(V_L3_Monto),BP$227)-BQ$226)</f>
        <v>0</v>
      </c>
      <c r="BR227" s="34" t="n">
        <f aca="false">IF((65-N(V_L3_Mes)+1)&lt;1,0,IF((65-N(V_L3_Mes)+1)=1,N(V_L3_Monto),BQ$227)-BR$226)</f>
        <v>0</v>
      </c>
      <c r="BS227" s="34" t="n">
        <f aca="false">IF((66-N(V_L3_Mes)+1)&lt;1,0,IF((66-N(V_L3_Mes)+1)=1,N(V_L3_Monto),BR$227)-BS$226)</f>
        <v>0</v>
      </c>
      <c r="BT227" s="34" t="n">
        <f aca="false">IF((67-N(V_L3_Mes)+1)&lt;1,0,IF((67-N(V_L3_Mes)+1)=1,N(V_L3_Monto),BS$227)-BT$226)</f>
        <v>0</v>
      </c>
      <c r="BU227" s="34" t="n">
        <f aca="false">IF((68-N(V_L3_Mes)+1)&lt;1,0,IF((68-N(V_L3_Mes)+1)=1,N(V_L3_Monto),BT$227)-BU$226)</f>
        <v>0</v>
      </c>
      <c r="BV227" s="34" t="n">
        <f aca="false">IF((69-N(V_L3_Mes)+1)&lt;1,0,IF((69-N(V_L3_Mes)+1)=1,N(V_L3_Monto),BU$227)-BV$226)</f>
        <v>0</v>
      </c>
      <c r="BW227" s="34" t="n">
        <f aca="false">IF((70-N(V_L3_Mes)+1)&lt;1,0,IF((70-N(V_L3_Mes)+1)=1,N(V_L3_Monto),BV$227)-BW$226)</f>
        <v>0</v>
      </c>
      <c r="BX227" s="34" t="n">
        <f aca="false">IF((71-N(V_L3_Mes)+1)&lt;1,0,IF((71-N(V_L3_Mes)+1)=1,N(V_L3_Monto),BW$227)-BX$226)</f>
        <v>0</v>
      </c>
      <c r="BY227" s="34" t="n">
        <f aca="false">IF((72-N(V_L3_Mes)+1)&lt;1,0,IF((72-N(V_L3_Mes)+1)=1,N(V_L3_Monto),BX$227)-BY$226)</f>
        <v>0</v>
      </c>
      <c r="BZ227" s="34" t="n">
        <f aca="false">IF((73-N(V_L3_Mes)+1)&lt;1,0,IF((73-N(V_L3_Mes)+1)=1,N(V_L3_Monto),BY$227)-BZ$226)</f>
        <v>0</v>
      </c>
      <c r="CA227" s="34" t="n">
        <f aca="false">IF((74-N(V_L3_Mes)+1)&lt;1,0,IF((74-N(V_L3_Mes)+1)=1,N(V_L3_Monto),BZ$227)-CA$226)</f>
        <v>0</v>
      </c>
      <c r="CB227" s="34" t="n">
        <f aca="false">IF((75-N(V_L3_Mes)+1)&lt;1,0,IF((75-N(V_L3_Mes)+1)=1,N(V_L3_Monto),CA$227)-CB$226)</f>
        <v>0</v>
      </c>
      <c r="CC227" s="34" t="n">
        <f aca="false">IF((76-N(V_L3_Mes)+1)&lt;1,0,IF((76-N(V_L3_Mes)+1)=1,N(V_L3_Monto),CB$227)-CC$226)</f>
        <v>0</v>
      </c>
      <c r="CD227" s="34" t="n">
        <f aca="false">IF((77-N(V_L3_Mes)+1)&lt;1,0,IF((77-N(V_L3_Mes)+1)=1,N(V_L3_Monto),CC$227)-CD$226)</f>
        <v>0</v>
      </c>
      <c r="CE227" s="34" t="n">
        <f aca="false">IF((78-N(V_L3_Mes)+1)&lt;1,0,IF((78-N(V_L3_Mes)+1)=1,N(V_L3_Monto),CD$227)-CE$226)</f>
        <v>0</v>
      </c>
      <c r="CF227" s="34" t="n">
        <f aca="false">IF((79-N(V_L3_Mes)+1)&lt;1,0,IF((79-N(V_L3_Mes)+1)=1,N(V_L3_Monto),CE$227)-CF$226)</f>
        <v>0</v>
      </c>
      <c r="CG227" s="34" t="n">
        <f aca="false">IF((80-N(V_L3_Mes)+1)&lt;1,0,IF((80-N(V_L3_Mes)+1)=1,N(V_L3_Monto),CF$227)-CG$226)</f>
        <v>0</v>
      </c>
      <c r="CH227" s="34" t="n">
        <f aca="false">IF((81-N(V_L3_Mes)+1)&lt;1,0,IF((81-N(V_L3_Mes)+1)=1,N(V_L3_Monto),CG$227)-CH$226)</f>
        <v>0</v>
      </c>
      <c r="CI227" s="34" t="n">
        <f aca="false">IF((82-N(V_L3_Mes)+1)&lt;1,0,IF((82-N(V_L3_Mes)+1)=1,N(V_L3_Monto),CH$227)-CI$226)</f>
        <v>0</v>
      </c>
      <c r="CJ227" s="34" t="n">
        <f aca="false">IF((83-N(V_L3_Mes)+1)&lt;1,0,IF((83-N(V_L3_Mes)+1)=1,N(V_L3_Monto),CI$227)-CJ$226)</f>
        <v>0</v>
      </c>
      <c r="CK227" s="34" t="n">
        <f aca="false">IF((84-N(V_L3_Mes)+1)&lt;1,0,IF((84-N(V_L3_Mes)+1)=1,N(V_L3_Monto),CJ$227)-CK$226)</f>
        <v>0</v>
      </c>
      <c r="CL227" s="34" t="n">
        <f aca="false">IF((85-N(V_L3_Mes)+1)&lt;1,0,IF((85-N(V_L3_Mes)+1)=1,N(V_L3_Monto),CK$227)-CL$226)</f>
        <v>0</v>
      </c>
      <c r="CM227" s="34" t="n">
        <f aca="false">IF((86-N(V_L3_Mes)+1)&lt;1,0,IF((86-N(V_L3_Mes)+1)=1,N(V_L3_Monto),CL$227)-CM$226)</f>
        <v>0</v>
      </c>
      <c r="CN227" s="34" t="n">
        <f aca="false">IF((87-N(V_L3_Mes)+1)&lt;1,0,IF((87-N(V_L3_Mes)+1)=1,N(V_L3_Monto),CM$227)-CN$226)</f>
        <v>0</v>
      </c>
      <c r="CO227" s="34" t="n">
        <f aca="false">IF((88-N(V_L3_Mes)+1)&lt;1,0,IF((88-N(V_L3_Mes)+1)=1,N(V_L3_Monto),CN$227)-CO$226)</f>
        <v>0</v>
      </c>
      <c r="CP227" s="34" t="n">
        <f aca="false">IF((89-N(V_L3_Mes)+1)&lt;1,0,IF((89-N(V_L3_Mes)+1)=1,N(V_L3_Monto),CO$227)-CP$226)</f>
        <v>0</v>
      </c>
      <c r="CQ227" s="34" t="n">
        <f aca="false">IF((90-N(V_L3_Mes)+1)&lt;1,0,IF((90-N(V_L3_Mes)+1)=1,N(V_L3_Monto),CP$227)-CQ$226)</f>
        <v>0</v>
      </c>
      <c r="CR227" s="34" t="n">
        <f aca="false">IF((91-N(V_L3_Mes)+1)&lt;1,0,IF((91-N(V_L3_Mes)+1)=1,N(V_L3_Monto),CQ$227)-CR$226)</f>
        <v>0</v>
      </c>
      <c r="CS227" s="34" t="n">
        <f aca="false">IF((92-N(V_L3_Mes)+1)&lt;1,0,IF((92-N(V_L3_Mes)+1)=1,N(V_L3_Monto),CR$227)-CS$226)</f>
        <v>0</v>
      </c>
      <c r="CT227" s="34" t="n">
        <f aca="false">IF((93-N(V_L3_Mes)+1)&lt;1,0,IF((93-N(V_L3_Mes)+1)=1,N(V_L3_Monto),CS$227)-CT$226)</f>
        <v>0</v>
      </c>
      <c r="CU227" s="34" t="n">
        <f aca="false">IF((94-N(V_L3_Mes)+1)&lt;1,0,IF((94-N(V_L3_Mes)+1)=1,N(V_L3_Monto),CT$227)-CU$226)</f>
        <v>0</v>
      </c>
      <c r="CV227" s="34" t="n">
        <f aca="false">IF((95-N(V_L3_Mes)+1)&lt;1,0,IF((95-N(V_L3_Mes)+1)=1,N(V_L3_Monto),CU$227)-CV$226)</f>
        <v>0</v>
      </c>
      <c r="CW227" s="34" t="n">
        <f aca="false">IF((96-N(V_L3_Mes)+1)&lt;1,0,IF((96-N(V_L3_Mes)+1)=1,N(V_L3_Monto),CV$227)-CW$226)</f>
        <v>0</v>
      </c>
      <c r="CX227" s="34" t="n">
        <f aca="false">IF((97-N(V_L3_Mes)+1)&lt;1,0,IF((97-N(V_L3_Mes)+1)=1,N(V_L3_Monto),CW$227)-CX$226)</f>
        <v>0</v>
      </c>
      <c r="CY227" s="34" t="n">
        <f aca="false">IF((98-N(V_L3_Mes)+1)&lt;1,0,IF((98-N(V_L3_Mes)+1)=1,N(V_L3_Monto),CX$227)-CY$226)</f>
        <v>0</v>
      </c>
      <c r="CZ227" s="34" t="n">
        <f aca="false">IF((99-N(V_L3_Mes)+1)&lt;1,0,IF((99-N(V_L3_Mes)+1)=1,N(V_L3_Monto),CY$227)-CZ$226)</f>
        <v>0</v>
      </c>
      <c r="DA227" s="34" t="n">
        <f aca="false">IF((100-N(V_L3_Mes)+1)&lt;1,0,IF((100-N(V_L3_Mes)+1)=1,N(V_L3_Monto),CZ$227)-DA$226)</f>
        <v>0</v>
      </c>
      <c r="DB227" s="34" t="n">
        <f aca="false">IF((101-N(V_L3_Mes)+1)&lt;1,0,IF((101-N(V_L3_Mes)+1)=1,N(V_L3_Monto),DA$227)-DB$226)</f>
        <v>0</v>
      </c>
      <c r="DC227" s="34" t="n">
        <f aca="false">IF((102-N(V_L3_Mes)+1)&lt;1,0,IF((102-N(V_L3_Mes)+1)=1,N(V_L3_Monto),DB$227)-DC$226)</f>
        <v>0</v>
      </c>
      <c r="DD227" s="34" t="n">
        <f aca="false">IF((103-N(V_L3_Mes)+1)&lt;1,0,IF((103-N(V_L3_Mes)+1)=1,N(V_L3_Monto),DC$227)-DD$226)</f>
        <v>0</v>
      </c>
      <c r="DE227" s="34" t="n">
        <f aca="false">IF((104-N(V_L3_Mes)+1)&lt;1,0,IF((104-N(V_L3_Mes)+1)=1,N(V_L3_Monto),DD$227)-DE$226)</f>
        <v>0</v>
      </c>
      <c r="DF227" s="34" t="n">
        <f aca="false">IF((105-N(V_L3_Mes)+1)&lt;1,0,IF((105-N(V_L3_Mes)+1)=1,N(V_L3_Monto),DE$227)-DF$226)</f>
        <v>0</v>
      </c>
      <c r="DG227" s="34" t="n">
        <f aca="false">IF((106-N(V_L3_Mes)+1)&lt;1,0,IF((106-N(V_L3_Mes)+1)=1,N(V_L3_Monto),DF$227)-DG$226)</f>
        <v>0</v>
      </c>
      <c r="DH227" s="34" t="n">
        <f aca="false">IF((107-N(V_L3_Mes)+1)&lt;1,0,IF((107-N(V_L3_Mes)+1)=1,N(V_L3_Monto),DG$227)-DH$226)</f>
        <v>0</v>
      </c>
      <c r="DI227" s="34" t="n">
        <f aca="false">IF((108-N(V_L3_Mes)+1)&lt;1,0,IF((108-N(V_L3_Mes)+1)=1,N(V_L3_Monto),DH$227)-DI$226)</f>
        <v>0</v>
      </c>
      <c r="DJ227" s="34" t="n">
        <f aca="false">IF((109-N(V_L3_Mes)+1)&lt;1,0,IF((109-N(V_L3_Mes)+1)=1,N(V_L3_Monto),DI$227)-DJ$226)</f>
        <v>0</v>
      </c>
      <c r="DK227" s="34" t="n">
        <f aca="false">IF((110-N(V_L3_Mes)+1)&lt;1,0,IF((110-N(V_L3_Mes)+1)=1,N(V_L3_Monto),DJ$227)-DK$226)</f>
        <v>0</v>
      </c>
      <c r="DL227" s="34" t="n">
        <f aca="false">IF((111-N(V_L3_Mes)+1)&lt;1,0,IF((111-N(V_L3_Mes)+1)=1,N(V_L3_Monto),DK$227)-DL$226)</f>
        <v>0</v>
      </c>
      <c r="DM227" s="34" t="n">
        <f aca="false">IF((112-N(V_L3_Mes)+1)&lt;1,0,IF((112-N(V_L3_Mes)+1)=1,N(V_L3_Monto),DL$227)-DM$226)</f>
        <v>0</v>
      </c>
      <c r="DN227" s="34" t="n">
        <f aca="false">IF((113-N(V_L3_Mes)+1)&lt;1,0,IF((113-N(V_L3_Mes)+1)=1,N(V_L3_Monto),DM$227)-DN$226)</f>
        <v>0</v>
      </c>
      <c r="DO227" s="34" t="n">
        <f aca="false">IF((114-N(V_L3_Mes)+1)&lt;1,0,IF((114-N(V_L3_Mes)+1)=1,N(V_L3_Monto),DN$227)-DO$226)</f>
        <v>0</v>
      </c>
      <c r="DP227" s="34" t="n">
        <f aca="false">IF((115-N(V_L3_Mes)+1)&lt;1,0,IF((115-N(V_L3_Mes)+1)=1,N(V_L3_Monto),DO$227)-DP$226)</f>
        <v>0</v>
      </c>
      <c r="DQ227" s="34" t="n">
        <f aca="false">IF((116-N(V_L3_Mes)+1)&lt;1,0,IF((116-N(V_L3_Mes)+1)=1,N(V_L3_Monto),DP$227)-DQ$226)</f>
        <v>0</v>
      </c>
      <c r="DR227" s="34" t="n">
        <f aca="false">IF((117-N(V_L3_Mes)+1)&lt;1,0,IF((117-N(V_L3_Mes)+1)=1,N(V_L3_Monto),DQ$227)-DR$226)</f>
        <v>0</v>
      </c>
      <c r="DS227" s="34" t="n">
        <f aca="false">IF((118-N(V_L3_Mes)+1)&lt;1,0,IF((118-N(V_L3_Mes)+1)=1,N(V_L3_Monto),DR$227)-DS$226)</f>
        <v>0</v>
      </c>
      <c r="DT227" s="34" t="n">
        <f aca="false">IF((119-N(V_L3_Mes)+1)&lt;1,0,IF((119-N(V_L3_Mes)+1)=1,N(V_L3_Monto),DS$227)-DT$226)</f>
        <v>0</v>
      </c>
      <c r="DU227" s="34" t="n">
        <f aca="false">IF((120-N(V_L3_Mes)+1)&lt;1,0,IF((120-N(V_L3_Mes)+1)=1,N(V_L3_Monto),DT$227)-DU$226)</f>
        <v>0</v>
      </c>
      <c r="DV227" s="34" t="n">
        <f aca="false">IF((121-N(V_L3_Mes)+1)&lt;1,0,IF((121-N(V_L3_Mes)+1)=1,N(V_L3_Monto),DU$227)-DV$226)</f>
        <v>0</v>
      </c>
      <c r="DW227" s="34" t="n">
        <f aca="false">IF((122-N(V_L3_Mes)+1)&lt;1,0,IF((122-N(V_L3_Mes)+1)=1,N(V_L3_Monto),DV$227)-DW$226)</f>
        <v>0</v>
      </c>
      <c r="DX227" s="34" t="n">
        <f aca="false">IF((123-N(V_L3_Mes)+1)&lt;1,0,IF((123-N(V_L3_Mes)+1)=1,N(V_L3_Monto),DW$227)-DX$226)</f>
        <v>0</v>
      </c>
      <c r="DY227" s="34" t="n">
        <f aca="false">IF((124-N(V_L3_Mes)+1)&lt;1,0,IF((124-N(V_L3_Mes)+1)=1,N(V_L3_Monto),DX$227)-DY$226)</f>
        <v>0</v>
      </c>
      <c r="DZ227" s="34" t="n">
        <f aca="false">IF((125-N(V_L3_Mes)+1)&lt;1,0,IF((125-N(V_L3_Mes)+1)=1,N(V_L3_Monto),DY$227)-DZ$226)</f>
        <v>0</v>
      </c>
      <c r="EA227" s="34" t="n">
        <f aca="false">IF((126-N(V_L3_Mes)+1)&lt;1,0,IF((126-N(V_L3_Mes)+1)=1,N(V_L3_Monto),DZ$227)-EA$226)</f>
        <v>0</v>
      </c>
      <c r="EB227" s="34" t="n">
        <f aca="false">IF((127-N(V_L3_Mes)+1)&lt;1,0,IF((127-N(V_L3_Mes)+1)=1,N(V_L3_Monto),EA$227)-EB$226)</f>
        <v>0</v>
      </c>
      <c r="EC227" s="34" t="n">
        <f aca="false">IF((128-N(V_L3_Mes)+1)&lt;1,0,IF((128-N(V_L3_Mes)+1)=1,N(V_L3_Monto),EB$227)-EC$226)</f>
        <v>0</v>
      </c>
      <c r="ED227" s="34" t="n">
        <f aca="false">IF((129-N(V_L3_Mes)+1)&lt;1,0,IF((129-N(V_L3_Mes)+1)=1,N(V_L3_Monto),EC$227)-ED$226)</f>
        <v>0</v>
      </c>
      <c r="EE227" s="34" t="n">
        <f aca="false">IF((130-N(V_L3_Mes)+1)&lt;1,0,IF((130-N(V_L3_Mes)+1)=1,N(V_L3_Monto),ED$227)-EE$226)</f>
        <v>0</v>
      </c>
      <c r="EF227" s="34" t="n">
        <f aca="false">IF((131-N(V_L3_Mes)+1)&lt;1,0,IF((131-N(V_L3_Mes)+1)=1,N(V_L3_Monto),EE$227)-EF$226)</f>
        <v>0</v>
      </c>
      <c r="EG227" s="34" t="n">
        <f aca="false">IF((132-N(V_L3_Mes)+1)&lt;1,0,IF((132-N(V_L3_Mes)+1)=1,N(V_L3_Monto),EF$227)-EG$226)</f>
        <v>0</v>
      </c>
      <c r="EH227" s="34" t="n">
        <f aca="false">IF((133-N(V_L3_Mes)+1)&lt;1,0,IF((133-N(V_L3_Mes)+1)=1,N(V_L3_Monto),EG$227)-EH$226)</f>
        <v>0</v>
      </c>
      <c r="EI227" s="34" t="n">
        <f aca="false">IF((134-N(V_L3_Mes)+1)&lt;1,0,IF((134-N(V_L3_Mes)+1)=1,N(V_L3_Monto),EH$227)-EI$226)</f>
        <v>0</v>
      </c>
      <c r="EJ227" s="34" t="n">
        <f aca="false">IF((135-N(V_L3_Mes)+1)&lt;1,0,IF((135-N(V_L3_Mes)+1)=1,N(V_L3_Monto),EI$227)-EJ$226)</f>
        <v>0</v>
      </c>
      <c r="EK227" s="34" t="n">
        <f aca="false">IF((136-N(V_L3_Mes)+1)&lt;1,0,IF((136-N(V_L3_Mes)+1)=1,N(V_L3_Monto),EJ$227)-EK$226)</f>
        <v>0</v>
      </c>
      <c r="EL227" s="34" t="n">
        <f aca="false">IF((137-N(V_L3_Mes)+1)&lt;1,0,IF((137-N(V_L3_Mes)+1)=1,N(V_L3_Monto),EK$227)-EL$226)</f>
        <v>0</v>
      </c>
      <c r="EM227" s="34" t="n">
        <f aca="false">IF((138-N(V_L3_Mes)+1)&lt;1,0,IF((138-N(V_L3_Mes)+1)=1,N(V_L3_Monto),EL$227)-EM$226)</f>
        <v>0</v>
      </c>
      <c r="EN227" s="34" t="n">
        <f aca="false">IF((139-N(V_L3_Mes)+1)&lt;1,0,IF((139-N(V_L3_Mes)+1)=1,N(V_L3_Monto),EM$227)-EN$226)</f>
        <v>0</v>
      </c>
      <c r="EO227" s="34" t="n">
        <f aca="false">IF((140-N(V_L3_Mes)+1)&lt;1,0,IF((140-N(V_L3_Mes)+1)=1,N(V_L3_Monto),EN$227)-EO$226)</f>
        <v>0</v>
      </c>
      <c r="EP227" s="34" t="n">
        <f aca="false">IF((141-N(V_L3_Mes)+1)&lt;1,0,IF((141-N(V_L3_Mes)+1)=1,N(V_L3_Monto),EO$227)-EP$226)</f>
        <v>0</v>
      </c>
      <c r="EQ227" s="34" t="n">
        <f aca="false">IF((142-N(V_L3_Mes)+1)&lt;1,0,IF((142-N(V_L3_Mes)+1)=1,N(V_L3_Monto),EP$227)-EQ$226)</f>
        <v>0</v>
      </c>
      <c r="ER227" s="34" t="n">
        <f aca="false">IF((143-N(V_L3_Mes)+1)&lt;1,0,IF((143-N(V_L3_Mes)+1)=1,N(V_L3_Monto),EQ$227)-ER$226)</f>
        <v>0</v>
      </c>
      <c r="ES227" s="34" t="n">
        <f aca="false">IF((144-N(V_L3_Mes)+1)&lt;1,0,IF((144-N(V_L3_Mes)+1)=1,N(V_L3_Monto),ER$227)-ES$226)</f>
        <v>0</v>
      </c>
    </row>
    <row r="228" customFormat="false" ht="15" hidden="false" customHeight="false" outlineLevel="0" collapsed="false">
      <c r="A228" s="4"/>
      <c r="B228" s="3" t="s">
        <v>575</v>
      </c>
      <c r="C228" s="4"/>
      <c r="D228" s="4"/>
      <c r="E228" s="4"/>
    </row>
    <row r="229" customFormat="false" ht="15" hidden="false" customHeight="false" outlineLevel="0" collapsed="false">
      <c r="A229" s="2" t="s">
        <v>702</v>
      </c>
      <c r="B229" s="6" t="s">
        <v>577</v>
      </c>
      <c r="C229" s="6" t="s">
        <v>212</v>
      </c>
      <c r="E229" s="40" t="n">
        <f aca="false">SUM(F229:ES229)</f>
        <v>0</v>
      </c>
      <c r="F229" s="34" t="n">
        <f aca="false">IF(F$8=1,IF(Reales!$C$47="PYG",IF(F$10&gt;0,N(Reales!F47)/F$10,0),N(Reales!F47)),F$216+F$220+F$224)</f>
        <v>0</v>
      </c>
      <c r="G229" s="34" t="n">
        <f aca="false">IF(G$8=1,IF(Reales!$C$47="PYG",IF(G$10&gt;0,N(Reales!G47)/G$10,0),N(Reales!G47)),G$216+G$220+G$224)</f>
        <v>0</v>
      </c>
      <c r="H229" s="34" t="n">
        <f aca="false">IF(H$8=1,IF(Reales!$C$47="PYG",IF(H$10&gt;0,N(Reales!H47)/H$10,0),N(Reales!H47)),H$216+H$220+H$224)</f>
        <v>0</v>
      </c>
      <c r="I229" s="34" t="n">
        <f aca="false">IF(I$8=1,IF(Reales!$C$47="PYG",IF(I$10&gt;0,N(Reales!I47)/I$10,0),N(Reales!I47)),I$216+I$220+I$224)</f>
        <v>0</v>
      </c>
      <c r="J229" s="34" t="n">
        <f aca="false">IF(J$8=1,IF(Reales!$C$47="PYG",IF(J$10&gt;0,N(Reales!J47)/J$10,0),N(Reales!J47)),J$216+J$220+J$224)</f>
        <v>0</v>
      </c>
      <c r="K229" s="34" t="n">
        <f aca="false">IF(K$8=1,IF(Reales!$C$47="PYG",IF(K$10&gt;0,N(Reales!K47)/K$10,0),N(Reales!K47)),K$216+K$220+K$224)</f>
        <v>0</v>
      </c>
      <c r="L229" s="34" t="n">
        <f aca="false">IF(L$8=1,IF(Reales!$C$47="PYG",IF(L$10&gt;0,N(Reales!L47)/L$10,0),N(Reales!L47)),L$216+L$220+L$224)</f>
        <v>0</v>
      </c>
      <c r="M229" s="34" t="n">
        <f aca="false">IF(M$8=1,IF(Reales!$C$47="PYG",IF(M$10&gt;0,N(Reales!M47)/M$10,0),N(Reales!M47)),M$216+M$220+M$224)</f>
        <v>0</v>
      </c>
      <c r="N229" s="34" t="n">
        <f aca="false">IF(N$8=1,IF(Reales!$C$47="PYG",IF(N$10&gt;0,N(Reales!N47)/N$10,0),N(Reales!N47)),N$216+N$220+N$224)</f>
        <v>0</v>
      </c>
      <c r="O229" s="34" t="n">
        <f aca="false">IF(O$8=1,IF(Reales!$C$47="PYG",IF(O$10&gt;0,N(Reales!O47)/O$10,0),N(Reales!O47)),O$216+O$220+O$224)</f>
        <v>0</v>
      </c>
      <c r="P229" s="34" t="n">
        <f aca="false">IF(P$8=1,IF(Reales!$C$47="PYG",IF(P$10&gt;0,N(Reales!P47)/P$10,0),N(Reales!P47)),P$216+P$220+P$224)</f>
        <v>0</v>
      </c>
      <c r="Q229" s="34" t="n">
        <f aca="false">IF(Q$8=1,IF(Reales!$C$47="PYG",IF(Q$10&gt;0,N(Reales!Q47)/Q$10,0),N(Reales!Q47)),Q$216+Q$220+Q$224)</f>
        <v>0</v>
      </c>
      <c r="R229" s="34" t="n">
        <f aca="false">IF(R$8=1,IF(Reales!$C$47="PYG",IF(R$10&gt;0,N(Reales!R47)/R$10,0),N(Reales!R47)),R$216+R$220+R$224)</f>
        <v>0</v>
      </c>
      <c r="S229" s="34" t="n">
        <f aca="false">IF(S$8=1,IF(Reales!$C$47="PYG",IF(S$10&gt;0,N(Reales!S47)/S$10,0),N(Reales!S47)),S$216+S$220+S$224)</f>
        <v>0</v>
      </c>
      <c r="T229" s="34" t="n">
        <f aca="false">IF(T$8=1,IF(Reales!$C$47="PYG",IF(T$10&gt;0,N(Reales!T47)/T$10,0),N(Reales!T47)),T$216+T$220+T$224)</f>
        <v>0</v>
      </c>
      <c r="U229" s="34" t="n">
        <f aca="false">IF(U$8=1,IF(Reales!$C$47="PYG",IF(U$10&gt;0,N(Reales!U47)/U$10,0),N(Reales!U47)),U$216+U$220+U$224)</f>
        <v>0</v>
      </c>
      <c r="V229" s="34" t="n">
        <f aca="false">IF(V$8=1,IF(Reales!$C$47="PYG",IF(V$10&gt;0,N(Reales!V47)/V$10,0),N(Reales!V47)),V$216+V$220+V$224)</f>
        <v>0</v>
      </c>
      <c r="W229" s="34" t="n">
        <f aca="false">IF(W$8=1,IF(Reales!$C$47="PYG",IF(W$10&gt;0,N(Reales!W47)/W$10,0),N(Reales!W47)),W$216+W$220+W$224)</f>
        <v>0</v>
      </c>
      <c r="X229" s="34" t="n">
        <f aca="false">IF(X$8=1,IF(Reales!$C$47="PYG",IF(X$10&gt;0,N(Reales!X47)/X$10,0),N(Reales!X47)),X$216+X$220+X$224)</f>
        <v>0</v>
      </c>
      <c r="Y229" s="34" t="n">
        <f aca="false">IF(Y$8=1,IF(Reales!$C$47="PYG",IF(Y$10&gt;0,N(Reales!Y47)/Y$10,0),N(Reales!Y47)),Y$216+Y$220+Y$224)</f>
        <v>0</v>
      </c>
      <c r="Z229" s="34" t="n">
        <f aca="false">IF(Z$8=1,IF(Reales!$C$47="PYG",IF(Z$10&gt;0,N(Reales!Z47)/Z$10,0),N(Reales!Z47)),Z$216+Z$220+Z$224)</f>
        <v>0</v>
      </c>
      <c r="AA229" s="34" t="n">
        <f aca="false">IF(AA$8=1,IF(Reales!$C$47="PYG",IF(AA$10&gt;0,N(Reales!AA47)/AA$10,0),N(Reales!AA47)),AA$216+AA$220+AA$224)</f>
        <v>0</v>
      </c>
      <c r="AB229" s="34" t="n">
        <f aca="false">IF(AB$8=1,IF(Reales!$C$47="PYG",IF(AB$10&gt;0,N(Reales!AB47)/AB$10,0),N(Reales!AB47)),AB$216+AB$220+AB$224)</f>
        <v>0</v>
      </c>
      <c r="AC229" s="34" t="n">
        <f aca="false">IF(AC$8=1,IF(Reales!$C$47="PYG",IF(AC$10&gt;0,N(Reales!AC47)/AC$10,0),N(Reales!AC47)),AC$216+AC$220+AC$224)</f>
        <v>0</v>
      </c>
      <c r="AD229" s="34" t="n">
        <f aca="false">IF(AD$8=1,IF(Reales!$C$47="PYG",IF(AD$10&gt;0,N(Reales!AD47)/AD$10,0),N(Reales!AD47)),AD$216+AD$220+AD$224)</f>
        <v>0</v>
      </c>
      <c r="AE229" s="34" t="n">
        <f aca="false">IF(AE$8=1,IF(Reales!$C$47="PYG",IF(AE$10&gt;0,N(Reales!AE47)/AE$10,0),N(Reales!AE47)),AE$216+AE$220+AE$224)</f>
        <v>0</v>
      </c>
      <c r="AF229" s="34" t="n">
        <f aca="false">IF(AF$8=1,IF(Reales!$C$47="PYG",IF(AF$10&gt;0,N(Reales!AF47)/AF$10,0),N(Reales!AF47)),AF$216+AF$220+AF$224)</f>
        <v>0</v>
      </c>
      <c r="AG229" s="34" t="n">
        <f aca="false">IF(AG$8=1,IF(Reales!$C$47="PYG",IF(AG$10&gt;0,N(Reales!AG47)/AG$10,0),N(Reales!AG47)),AG$216+AG$220+AG$224)</f>
        <v>0</v>
      </c>
      <c r="AH229" s="34" t="n">
        <f aca="false">IF(AH$8=1,IF(Reales!$C$47="PYG",IF(AH$10&gt;0,N(Reales!AH47)/AH$10,0),N(Reales!AH47)),AH$216+AH$220+AH$224)</f>
        <v>0</v>
      </c>
      <c r="AI229" s="34" t="n">
        <f aca="false">IF(AI$8=1,IF(Reales!$C$47="PYG",IF(AI$10&gt;0,N(Reales!AI47)/AI$10,0),N(Reales!AI47)),AI$216+AI$220+AI$224)</f>
        <v>0</v>
      </c>
      <c r="AJ229" s="34" t="n">
        <f aca="false">IF(AJ$8=1,IF(Reales!$C$47="PYG",IF(AJ$10&gt;0,N(Reales!AJ47)/AJ$10,0),N(Reales!AJ47)),AJ$216+AJ$220+AJ$224)</f>
        <v>0</v>
      </c>
      <c r="AK229" s="34" t="n">
        <f aca="false">IF(AK$8=1,IF(Reales!$C$47="PYG",IF(AK$10&gt;0,N(Reales!AK47)/AK$10,0),N(Reales!AK47)),AK$216+AK$220+AK$224)</f>
        <v>0</v>
      </c>
      <c r="AL229" s="34" t="n">
        <f aca="false">IF(AL$8=1,IF(Reales!$C$47="PYG",IF(AL$10&gt;0,N(Reales!AL47)/AL$10,0),N(Reales!AL47)),AL$216+AL$220+AL$224)</f>
        <v>0</v>
      </c>
      <c r="AM229" s="34" t="n">
        <f aca="false">IF(AM$8=1,IF(Reales!$C$47="PYG",IF(AM$10&gt;0,N(Reales!AM47)/AM$10,0),N(Reales!AM47)),AM$216+AM$220+AM$224)</f>
        <v>0</v>
      </c>
      <c r="AN229" s="34" t="n">
        <f aca="false">IF(AN$8=1,IF(Reales!$C$47="PYG",IF(AN$10&gt;0,N(Reales!AN47)/AN$10,0),N(Reales!AN47)),AN$216+AN$220+AN$224)</f>
        <v>0</v>
      </c>
      <c r="AO229" s="34" t="n">
        <f aca="false">IF(AO$8=1,IF(Reales!$C$47="PYG",IF(AO$10&gt;0,N(Reales!AO47)/AO$10,0),N(Reales!AO47)),AO$216+AO$220+AO$224)</f>
        <v>0</v>
      </c>
      <c r="AP229" s="34" t="n">
        <f aca="false">IF(AP$8=1,IF(Reales!$C$47="PYG",IF(AP$10&gt;0,N(Reales!AP47)/AP$10,0),N(Reales!AP47)),AP$216+AP$220+AP$224)</f>
        <v>0</v>
      </c>
      <c r="AQ229" s="34" t="n">
        <f aca="false">IF(AQ$8=1,IF(Reales!$C$47="PYG",IF(AQ$10&gt;0,N(Reales!AQ47)/AQ$10,0),N(Reales!AQ47)),AQ$216+AQ$220+AQ$224)</f>
        <v>0</v>
      </c>
      <c r="AR229" s="34" t="n">
        <f aca="false">IF(AR$8=1,IF(Reales!$C$47="PYG",IF(AR$10&gt;0,N(Reales!AR47)/AR$10,0),N(Reales!AR47)),AR$216+AR$220+AR$224)</f>
        <v>0</v>
      </c>
      <c r="AS229" s="34" t="n">
        <f aca="false">IF(AS$8=1,IF(Reales!$C$47="PYG",IF(AS$10&gt;0,N(Reales!AS47)/AS$10,0),N(Reales!AS47)),AS$216+AS$220+AS$224)</f>
        <v>0</v>
      </c>
      <c r="AT229" s="34" t="n">
        <f aca="false">IF(AT$8=1,IF(Reales!$C$47="PYG",IF(AT$10&gt;0,N(Reales!AT47)/AT$10,0),N(Reales!AT47)),AT$216+AT$220+AT$224)</f>
        <v>0</v>
      </c>
      <c r="AU229" s="34" t="n">
        <f aca="false">IF(AU$8=1,IF(Reales!$C$47="PYG",IF(AU$10&gt;0,N(Reales!AU47)/AU$10,0),N(Reales!AU47)),AU$216+AU$220+AU$224)</f>
        <v>0</v>
      </c>
      <c r="AV229" s="34" t="n">
        <f aca="false">IF(AV$8=1,IF(Reales!$C$47="PYG",IF(AV$10&gt;0,N(Reales!AV47)/AV$10,0),N(Reales!AV47)),AV$216+AV$220+AV$224)</f>
        <v>0</v>
      </c>
      <c r="AW229" s="34" t="n">
        <f aca="false">IF(AW$8=1,IF(Reales!$C$47="PYG",IF(AW$10&gt;0,N(Reales!AW47)/AW$10,0),N(Reales!AW47)),AW$216+AW$220+AW$224)</f>
        <v>0</v>
      </c>
      <c r="AX229" s="34" t="n">
        <f aca="false">IF(AX$8=1,IF(Reales!$C$47="PYG",IF(AX$10&gt;0,N(Reales!AX47)/AX$10,0),N(Reales!AX47)),AX$216+AX$220+AX$224)</f>
        <v>0</v>
      </c>
      <c r="AY229" s="34" t="n">
        <f aca="false">IF(AY$8=1,IF(Reales!$C$47="PYG",IF(AY$10&gt;0,N(Reales!AY47)/AY$10,0),N(Reales!AY47)),AY$216+AY$220+AY$224)</f>
        <v>0</v>
      </c>
      <c r="AZ229" s="34" t="n">
        <f aca="false">IF(AZ$8=1,IF(Reales!$C$47="PYG",IF(AZ$10&gt;0,N(Reales!AZ47)/AZ$10,0),N(Reales!AZ47)),AZ$216+AZ$220+AZ$224)</f>
        <v>0</v>
      </c>
      <c r="BA229" s="34" t="n">
        <f aca="false">IF(BA$8=1,IF(Reales!$C$47="PYG",IF(BA$10&gt;0,N(Reales!BA47)/BA$10,0),N(Reales!BA47)),BA$216+BA$220+BA$224)</f>
        <v>0</v>
      </c>
      <c r="BB229" s="34" t="n">
        <f aca="false">IF(BB$8=1,IF(Reales!$C$47="PYG",IF(BB$10&gt;0,N(Reales!BB47)/BB$10,0),N(Reales!BB47)),BB$216+BB$220+BB$224)</f>
        <v>0</v>
      </c>
      <c r="BC229" s="34" t="n">
        <f aca="false">IF(BC$8=1,IF(Reales!$C$47="PYG",IF(BC$10&gt;0,N(Reales!BC47)/BC$10,0),N(Reales!BC47)),BC$216+BC$220+BC$224)</f>
        <v>0</v>
      </c>
      <c r="BD229" s="34" t="n">
        <f aca="false">IF(BD$8=1,IF(Reales!$C$47="PYG",IF(BD$10&gt;0,N(Reales!BD47)/BD$10,0),N(Reales!BD47)),BD$216+BD$220+BD$224)</f>
        <v>0</v>
      </c>
      <c r="BE229" s="34" t="n">
        <f aca="false">IF(BE$8=1,IF(Reales!$C$47="PYG",IF(BE$10&gt;0,N(Reales!BE47)/BE$10,0),N(Reales!BE47)),BE$216+BE$220+BE$224)</f>
        <v>0</v>
      </c>
      <c r="BF229" s="34" t="n">
        <f aca="false">IF(BF$8=1,IF(Reales!$C$47="PYG",IF(BF$10&gt;0,N(Reales!BF47)/BF$10,0),N(Reales!BF47)),BF$216+BF$220+BF$224)</f>
        <v>0</v>
      </c>
      <c r="BG229" s="34" t="n">
        <f aca="false">IF(BG$8=1,IF(Reales!$C$47="PYG",IF(BG$10&gt;0,N(Reales!BG47)/BG$10,0),N(Reales!BG47)),BG$216+BG$220+BG$224)</f>
        <v>0</v>
      </c>
      <c r="BH229" s="34" t="n">
        <f aca="false">IF(BH$8=1,IF(Reales!$C$47="PYG",IF(BH$10&gt;0,N(Reales!BH47)/BH$10,0),N(Reales!BH47)),BH$216+BH$220+BH$224)</f>
        <v>0</v>
      </c>
      <c r="BI229" s="34" t="n">
        <f aca="false">IF(BI$8=1,IF(Reales!$C$47="PYG",IF(BI$10&gt;0,N(Reales!BI47)/BI$10,0),N(Reales!BI47)),BI$216+BI$220+BI$224)</f>
        <v>0</v>
      </c>
      <c r="BJ229" s="34" t="n">
        <f aca="false">IF(BJ$8=1,IF(Reales!$C$47="PYG",IF(BJ$10&gt;0,N(Reales!BJ47)/BJ$10,0),N(Reales!BJ47)),BJ$216+BJ$220+BJ$224)</f>
        <v>0</v>
      </c>
      <c r="BK229" s="34" t="n">
        <f aca="false">IF(BK$8=1,IF(Reales!$C$47="PYG",IF(BK$10&gt;0,N(Reales!BK47)/BK$10,0),N(Reales!BK47)),BK$216+BK$220+BK$224)</f>
        <v>0</v>
      </c>
      <c r="BL229" s="34" t="n">
        <f aca="false">IF(BL$8=1,IF(Reales!$C$47="PYG",IF(BL$10&gt;0,N(Reales!BL47)/BL$10,0),N(Reales!BL47)),BL$216+BL$220+BL$224)</f>
        <v>0</v>
      </c>
      <c r="BM229" s="34" t="n">
        <f aca="false">IF(BM$8=1,IF(Reales!$C$47="PYG",IF(BM$10&gt;0,N(Reales!BM47)/BM$10,0),N(Reales!BM47)),BM$216+BM$220+BM$224)</f>
        <v>0</v>
      </c>
      <c r="BN229" s="34" t="n">
        <f aca="false">IF(BN$8=1,IF(Reales!$C$47="PYG",IF(BN$10&gt;0,N(Reales!BN47)/BN$10,0),N(Reales!BN47)),BN$216+BN$220+BN$224)</f>
        <v>0</v>
      </c>
      <c r="BO229" s="34" t="n">
        <f aca="false">IF(BO$8=1,IF(Reales!$C$47="PYG",IF(BO$10&gt;0,N(Reales!BO47)/BO$10,0),N(Reales!BO47)),BO$216+BO$220+BO$224)</f>
        <v>0</v>
      </c>
      <c r="BP229" s="34" t="n">
        <f aca="false">IF(BP$8=1,IF(Reales!$C$47="PYG",IF(BP$10&gt;0,N(Reales!BP47)/BP$10,0),N(Reales!BP47)),BP$216+BP$220+BP$224)</f>
        <v>0</v>
      </c>
      <c r="BQ229" s="34" t="n">
        <f aca="false">IF(BQ$8=1,IF(Reales!$C$47="PYG",IF(BQ$10&gt;0,N(Reales!BQ47)/BQ$10,0),N(Reales!BQ47)),BQ$216+BQ$220+BQ$224)</f>
        <v>0</v>
      </c>
      <c r="BR229" s="34" t="n">
        <f aca="false">IF(BR$8=1,IF(Reales!$C$47="PYG",IF(BR$10&gt;0,N(Reales!BR47)/BR$10,0),N(Reales!BR47)),BR$216+BR$220+BR$224)</f>
        <v>0</v>
      </c>
      <c r="BS229" s="34" t="n">
        <f aca="false">IF(BS$8=1,IF(Reales!$C$47="PYG",IF(BS$10&gt;0,N(Reales!BS47)/BS$10,0),N(Reales!BS47)),BS$216+BS$220+BS$224)</f>
        <v>0</v>
      </c>
      <c r="BT229" s="34" t="n">
        <f aca="false">IF(BT$8=1,IF(Reales!$C$47="PYG",IF(BT$10&gt;0,N(Reales!BT47)/BT$10,0),N(Reales!BT47)),BT$216+BT$220+BT$224)</f>
        <v>0</v>
      </c>
      <c r="BU229" s="34" t="n">
        <f aca="false">IF(BU$8=1,IF(Reales!$C$47="PYG",IF(BU$10&gt;0,N(Reales!BU47)/BU$10,0),N(Reales!BU47)),BU$216+BU$220+BU$224)</f>
        <v>0</v>
      </c>
      <c r="BV229" s="34" t="n">
        <f aca="false">IF(BV$8=1,IF(Reales!$C$47="PYG",IF(BV$10&gt;0,N(Reales!BV47)/BV$10,0),N(Reales!BV47)),BV$216+BV$220+BV$224)</f>
        <v>0</v>
      </c>
      <c r="BW229" s="34" t="n">
        <f aca="false">IF(BW$8=1,IF(Reales!$C$47="PYG",IF(BW$10&gt;0,N(Reales!BW47)/BW$10,0),N(Reales!BW47)),BW$216+BW$220+BW$224)</f>
        <v>0</v>
      </c>
      <c r="BX229" s="34" t="n">
        <f aca="false">IF(BX$8=1,IF(Reales!$C$47="PYG",IF(BX$10&gt;0,N(Reales!BX47)/BX$10,0),N(Reales!BX47)),BX$216+BX$220+BX$224)</f>
        <v>0</v>
      </c>
      <c r="BY229" s="34" t="n">
        <f aca="false">IF(BY$8=1,IF(Reales!$C$47="PYG",IF(BY$10&gt;0,N(Reales!BY47)/BY$10,0),N(Reales!BY47)),BY$216+BY$220+BY$224)</f>
        <v>0</v>
      </c>
      <c r="BZ229" s="34" t="n">
        <f aca="false">IF(BZ$8=1,IF(Reales!$C$47="PYG",IF(BZ$10&gt;0,N(Reales!BZ47)/BZ$10,0),N(Reales!BZ47)),BZ$216+BZ$220+BZ$224)</f>
        <v>0</v>
      </c>
      <c r="CA229" s="34" t="n">
        <f aca="false">IF(CA$8=1,IF(Reales!$C$47="PYG",IF(CA$10&gt;0,N(Reales!CA47)/CA$10,0),N(Reales!CA47)),CA$216+CA$220+CA$224)</f>
        <v>0</v>
      </c>
      <c r="CB229" s="34" t="n">
        <f aca="false">IF(CB$8=1,IF(Reales!$C$47="PYG",IF(CB$10&gt;0,N(Reales!CB47)/CB$10,0),N(Reales!CB47)),CB$216+CB$220+CB$224)</f>
        <v>0</v>
      </c>
      <c r="CC229" s="34" t="n">
        <f aca="false">IF(CC$8=1,IF(Reales!$C$47="PYG",IF(CC$10&gt;0,N(Reales!CC47)/CC$10,0),N(Reales!CC47)),CC$216+CC$220+CC$224)</f>
        <v>0</v>
      </c>
      <c r="CD229" s="34" t="n">
        <f aca="false">IF(CD$8=1,IF(Reales!$C$47="PYG",IF(CD$10&gt;0,N(Reales!CD47)/CD$10,0),N(Reales!CD47)),CD$216+CD$220+CD$224)</f>
        <v>0</v>
      </c>
      <c r="CE229" s="34" t="n">
        <f aca="false">IF(CE$8=1,IF(Reales!$C$47="PYG",IF(CE$10&gt;0,N(Reales!CE47)/CE$10,0),N(Reales!CE47)),CE$216+CE$220+CE$224)</f>
        <v>0</v>
      </c>
      <c r="CF229" s="34" t="n">
        <f aca="false">IF(CF$8=1,IF(Reales!$C$47="PYG",IF(CF$10&gt;0,N(Reales!CF47)/CF$10,0),N(Reales!CF47)),CF$216+CF$220+CF$224)</f>
        <v>0</v>
      </c>
      <c r="CG229" s="34" t="n">
        <f aca="false">IF(CG$8=1,IF(Reales!$C$47="PYG",IF(CG$10&gt;0,N(Reales!CG47)/CG$10,0),N(Reales!CG47)),CG$216+CG$220+CG$224)</f>
        <v>0</v>
      </c>
      <c r="CH229" s="34" t="n">
        <f aca="false">IF(CH$8=1,IF(Reales!$C$47="PYG",IF(CH$10&gt;0,N(Reales!CH47)/CH$10,0),N(Reales!CH47)),CH$216+CH$220+CH$224)</f>
        <v>0</v>
      </c>
      <c r="CI229" s="34" t="n">
        <f aca="false">IF(CI$8=1,IF(Reales!$C$47="PYG",IF(CI$10&gt;0,N(Reales!CI47)/CI$10,0),N(Reales!CI47)),CI$216+CI$220+CI$224)</f>
        <v>0</v>
      </c>
      <c r="CJ229" s="34" t="n">
        <f aca="false">IF(CJ$8=1,IF(Reales!$C$47="PYG",IF(CJ$10&gt;0,N(Reales!CJ47)/CJ$10,0),N(Reales!CJ47)),CJ$216+CJ$220+CJ$224)</f>
        <v>0</v>
      </c>
      <c r="CK229" s="34" t="n">
        <f aca="false">IF(CK$8=1,IF(Reales!$C$47="PYG",IF(CK$10&gt;0,N(Reales!CK47)/CK$10,0),N(Reales!CK47)),CK$216+CK$220+CK$224)</f>
        <v>0</v>
      </c>
      <c r="CL229" s="34" t="n">
        <f aca="false">IF(CL$8=1,IF(Reales!$C$47="PYG",IF(CL$10&gt;0,N(Reales!CL47)/CL$10,0),N(Reales!CL47)),CL$216+CL$220+CL$224)</f>
        <v>0</v>
      </c>
      <c r="CM229" s="34" t="n">
        <f aca="false">IF(CM$8=1,IF(Reales!$C$47="PYG",IF(CM$10&gt;0,N(Reales!CM47)/CM$10,0),N(Reales!CM47)),CM$216+CM$220+CM$224)</f>
        <v>0</v>
      </c>
      <c r="CN229" s="34" t="n">
        <f aca="false">IF(CN$8=1,IF(Reales!$C$47="PYG",IF(CN$10&gt;0,N(Reales!CN47)/CN$10,0),N(Reales!CN47)),CN$216+CN$220+CN$224)</f>
        <v>0</v>
      </c>
      <c r="CO229" s="34" t="n">
        <f aca="false">IF(CO$8=1,IF(Reales!$C$47="PYG",IF(CO$10&gt;0,N(Reales!CO47)/CO$10,0),N(Reales!CO47)),CO$216+CO$220+CO$224)</f>
        <v>0</v>
      </c>
      <c r="CP229" s="34" t="n">
        <f aca="false">IF(CP$8=1,IF(Reales!$C$47="PYG",IF(CP$10&gt;0,N(Reales!CP47)/CP$10,0),N(Reales!CP47)),CP$216+CP$220+CP$224)</f>
        <v>0</v>
      </c>
      <c r="CQ229" s="34" t="n">
        <f aca="false">IF(CQ$8=1,IF(Reales!$C$47="PYG",IF(CQ$10&gt;0,N(Reales!CQ47)/CQ$10,0),N(Reales!CQ47)),CQ$216+CQ$220+CQ$224)</f>
        <v>0</v>
      </c>
      <c r="CR229" s="34" t="n">
        <f aca="false">IF(CR$8=1,IF(Reales!$C$47="PYG",IF(CR$10&gt;0,N(Reales!CR47)/CR$10,0),N(Reales!CR47)),CR$216+CR$220+CR$224)</f>
        <v>0</v>
      </c>
      <c r="CS229" s="34" t="n">
        <f aca="false">IF(CS$8=1,IF(Reales!$C$47="PYG",IF(CS$10&gt;0,N(Reales!CS47)/CS$10,0),N(Reales!CS47)),CS$216+CS$220+CS$224)</f>
        <v>0</v>
      </c>
      <c r="CT229" s="34" t="n">
        <f aca="false">IF(CT$8=1,IF(Reales!$C$47="PYG",IF(CT$10&gt;0,N(Reales!CT47)/CT$10,0),N(Reales!CT47)),CT$216+CT$220+CT$224)</f>
        <v>0</v>
      </c>
      <c r="CU229" s="34" t="n">
        <f aca="false">IF(CU$8=1,IF(Reales!$C$47="PYG",IF(CU$10&gt;0,N(Reales!CU47)/CU$10,0),N(Reales!CU47)),CU$216+CU$220+CU$224)</f>
        <v>0</v>
      </c>
      <c r="CV229" s="34" t="n">
        <f aca="false">IF(CV$8=1,IF(Reales!$C$47="PYG",IF(CV$10&gt;0,N(Reales!CV47)/CV$10,0),N(Reales!CV47)),CV$216+CV$220+CV$224)</f>
        <v>0</v>
      </c>
      <c r="CW229" s="34" t="n">
        <f aca="false">IF(CW$8=1,IF(Reales!$C$47="PYG",IF(CW$10&gt;0,N(Reales!CW47)/CW$10,0),N(Reales!CW47)),CW$216+CW$220+CW$224)</f>
        <v>0</v>
      </c>
      <c r="CX229" s="34" t="n">
        <f aca="false">IF(CX$8=1,IF(Reales!$C$47="PYG",IF(CX$10&gt;0,N(Reales!CX47)/CX$10,0),N(Reales!CX47)),CX$216+CX$220+CX$224)</f>
        <v>0</v>
      </c>
      <c r="CY229" s="34" t="n">
        <f aca="false">IF(CY$8=1,IF(Reales!$C$47="PYG",IF(CY$10&gt;0,N(Reales!CY47)/CY$10,0),N(Reales!CY47)),CY$216+CY$220+CY$224)</f>
        <v>0</v>
      </c>
      <c r="CZ229" s="34" t="n">
        <f aca="false">IF(CZ$8=1,IF(Reales!$C$47="PYG",IF(CZ$10&gt;0,N(Reales!CZ47)/CZ$10,0),N(Reales!CZ47)),CZ$216+CZ$220+CZ$224)</f>
        <v>0</v>
      </c>
      <c r="DA229" s="34" t="n">
        <f aca="false">IF(DA$8=1,IF(Reales!$C$47="PYG",IF(DA$10&gt;0,N(Reales!DA47)/DA$10,0),N(Reales!DA47)),DA$216+DA$220+DA$224)</f>
        <v>0</v>
      </c>
      <c r="DB229" s="34" t="n">
        <f aca="false">IF(DB$8=1,IF(Reales!$C$47="PYG",IF(DB$10&gt;0,N(Reales!DB47)/DB$10,0),N(Reales!DB47)),DB$216+DB$220+DB$224)</f>
        <v>0</v>
      </c>
      <c r="DC229" s="34" t="n">
        <f aca="false">IF(DC$8=1,IF(Reales!$C$47="PYG",IF(DC$10&gt;0,N(Reales!DC47)/DC$10,0),N(Reales!DC47)),DC$216+DC$220+DC$224)</f>
        <v>0</v>
      </c>
      <c r="DD229" s="34" t="n">
        <f aca="false">IF(DD$8=1,IF(Reales!$C$47="PYG",IF(DD$10&gt;0,N(Reales!DD47)/DD$10,0),N(Reales!DD47)),DD$216+DD$220+DD$224)</f>
        <v>0</v>
      </c>
      <c r="DE229" s="34" t="n">
        <f aca="false">IF(DE$8=1,IF(Reales!$C$47="PYG",IF(DE$10&gt;0,N(Reales!DE47)/DE$10,0),N(Reales!DE47)),DE$216+DE$220+DE$224)</f>
        <v>0</v>
      </c>
      <c r="DF229" s="34" t="n">
        <f aca="false">IF(DF$8=1,IF(Reales!$C$47="PYG",IF(DF$10&gt;0,N(Reales!DF47)/DF$10,0),N(Reales!DF47)),DF$216+DF$220+DF$224)</f>
        <v>0</v>
      </c>
      <c r="DG229" s="34" t="n">
        <f aca="false">IF(DG$8=1,IF(Reales!$C$47="PYG",IF(DG$10&gt;0,N(Reales!DG47)/DG$10,0),N(Reales!DG47)),DG$216+DG$220+DG$224)</f>
        <v>0</v>
      </c>
      <c r="DH229" s="34" t="n">
        <f aca="false">IF(DH$8=1,IF(Reales!$C$47="PYG",IF(DH$10&gt;0,N(Reales!DH47)/DH$10,0),N(Reales!DH47)),DH$216+DH$220+DH$224)</f>
        <v>0</v>
      </c>
      <c r="DI229" s="34" t="n">
        <f aca="false">IF(DI$8=1,IF(Reales!$C$47="PYG",IF(DI$10&gt;0,N(Reales!DI47)/DI$10,0),N(Reales!DI47)),DI$216+DI$220+DI$224)</f>
        <v>0</v>
      </c>
      <c r="DJ229" s="34" t="n">
        <f aca="false">IF(DJ$8=1,IF(Reales!$C$47="PYG",IF(DJ$10&gt;0,N(Reales!DJ47)/DJ$10,0),N(Reales!DJ47)),DJ$216+DJ$220+DJ$224)</f>
        <v>0</v>
      </c>
      <c r="DK229" s="34" t="n">
        <f aca="false">IF(DK$8=1,IF(Reales!$C$47="PYG",IF(DK$10&gt;0,N(Reales!DK47)/DK$10,0),N(Reales!DK47)),DK$216+DK$220+DK$224)</f>
        <v>0</v>
      </c>
      <c r="DL229" s="34" t="n">
        <f aca="false">IF(DL$8=1,IF(Reales!$C$47="PYG",IF(DL$10&gt;0,N(Reales!DL47)/DL$10,0),N(Reales!DL47)),DL$216+DL$220+DL$224)</f>
        <v>0</v>
      </c>
      <c r="DM229" s="34" t="n">
        <f aca="false">IF(DM$8=1,IF(Reales!$C$47="PYG",IF(DM$10&gt;0,N(Reales!DM47)/DM$10,0),N(Reales!DM47)),DM$216+DM$220+DM$224)</f>
        <v>0</v>
      </c>
      <c r="DN229" s="34" t="n">
        <f aca="false">IF(DN$8=1,IF(Reales!$C$47="PYG",IF(DN$10&gt;0,N(Reales!DN47)/DN$10,0),N(Reales!DN47)),DN$216+DN$220+DN$224)</f>
        <v>0</v>
      </c>
      <c r="DO229" s="34" t="n">
        <f aca="false">IF(DO$8=1,IF(Reales!$C$47="PYG",IF(DO$10&gt;0,N(Reales!DO47)/DO$10,0),N(Reales!DO47)),DO$216+DO$220+DO$224)</f>
        <v>0</v>
      </c>
      <c r="DP229" s="34" t="n">
        <f aca="false">IF(DP$8=1,IF(Reales!$C$47="PYG",IF(DP$10&gt;0,N(Reales!DP47)/DP$10,0),N(Reales!DP47)),DP$216+DP$220+DP$224)</f>
        <v>0</v>
      </c>
      <c r="DQ229" s="34" t="n">
        <f aca="false">IF(DQ$8=1,IF(Reales!$C$47="PYG",IF(DQ$10&gt;0,N(Reales!DQ47)/DQ$10,0),N(Reales!DQ47)),DQ$216+DQ$220+DQ$224)</f>
        <v>0</v>
      </c>
      <c r="DR229" s="34" t="n">
        <f aca="false">IF(DR$8=1,IF(Reales!$C$47="PYG",IF(DR$10&gt;0,N(Reales!DR47)/DR$10,0),N(Reales!DR47)),DR$216+DR$220+DR$224)</f>
        <v>0</v>
      </c>
      <c r="DS229" s="34" t="n">
        <f aca="false">IF(DS$8=1,IF(Reales!$C$47="PYG",IF(DS$10&gt;0,N(Reales!DS47)/DS$10,0),N(Reales!DS47)),DS$216+DS$220+DS$224)</f>
        <v>0</v>
      </c>
      <c r="DT229" s="34" t="n">
        <f aca="false">IF(DT$8=1,IF(Reales!$C$47="PYG",IF(DT$10&gt;0,N(Reales!DT47)/DT$10,0),N(Reales!DT47)),DT$216+DT$220+DT$224)</f>
        <v>0</v>
      </c>
      <c r="DU229" s="34" t="n">
        <f aca="false">IF(DU$8=1,IF(Reales!$C$47="PYG",IF(DU$10&gt;0,N(Reales!DU47)/DU$10,0),N(Reales!DU47)),DU$216+DU$220+DU$224)</f>
        <v>0</v>
      </c>
      <c r="DV229" s="34" t="n">
        <f aca="false">IF(DV$8=1,IF(Reales!$C$47="PYG",IF(DV$10&gt;0,N(Reales!DV47)/DV$10,0),N(Reales!DV47)),DV$216+DV$220+DV$224)</f>
        <v>0</v>
      </c>
      <c r="DW229" s="34" t="n">
        <f aca="false">IF(DW$8=1,IF(Reales!$C$47="PYG",IF(DW$10&gt;0,N(Reales!DW47)/DW$10,0),N(Reales!DW47)),DW$216+DW$220+DW$224)</f>
        <v>0</v>
      </c>
      <c r="DX229" s="34" t="n">
        <f aca="false">IF(DX$8=1,IF(Reales!$C$47="PYG",IF(DX$10&gt;0,N(Reales!DX47)/DX$10,0),N(Reales!DX47)),DX$216+DX$220+DX$224)</f>
        <v>0</v>
      </c>
      <c r="DY229" s="34" t="n">
        <f aca="false">IF(DY$8=1,IF(Reales!$C$47="PYG",IF(DY$10&gt;0,N(Reales!DY47)/DY$10,0),N(Reales!DY47)),DY$216+DY$220+DY$224)</f>
        <v>0</v>
      </c>
      <c r="DZ229" s="34" t="n">
        <f aca="false">IF(DZ$8=1,IF(Reales!$C$47="PYG",IF(DZ$10&gt;0,N(Reales!DZ47)/DZ$10,0),N(Reales!DZ47)),DZ$216+DZ$220+DZ$224)</f>
        <v>0</v>
      </c>
      <c r="EA229" s="34" t="n">
        <f aca="false">IF(EA$8=1,IF(Reales!$C$47="PYG",IF(EA$10&gt;0,N(Reales!EA47)/EA$10,0),N(Reales!EA47)),EA$216+EA$220+EA$224)</f>
        <v>0</v>
      </c>
      <c r="EB229" s="34" t="n">
        <f aca="false">IF(EB$8=1,IF(Reales!$C$47="PYG",IF(EB$10&gt;0,N(Reales!EB47)/EB$10,0),N(Reales!EB47)),EB$216+EB$220+EB$224)</f>
        <v>0</v>
      </c>
      <c r="EC229" s="34" t="n">
        <f aca="false">IF(EC$8=1,IF(Reales!$C$47="PYG",IF(EC$10&gt;0,N(Reales!EC47)/EC$10,0),N(Reales!EC47)),EC$216+EC$220+EC$224)</f>
        <v>0</v>
      </c>
      <c r="ED229" s="34" t="n">
        <f aca="false">IF(ED$8=1,IF(Reales!$C$47="PYG",IF(ED$10&gt;0,N(Reales!ED47)/ED$10,0),N(Reales!ED47)),ED$216+ED$220+ED$224)</f>
        <v>0</v>
      </c>
      <c r="EE229" s="34" t="n">
        <f aca="false">IF(EE$8=1,IF(Reales!$C$47="PYG",IF(EE$10&gt;0,N(Reales!EE47)/EE$10,0),N(Reales!EE47)),EE$216+EE$220+EE$224)</f>
        <v>0</v>
      </c>
      <c r="EF229" s="34" t="n">
        <f aca="false">IF(EF$8=1,IF(Reales!$C$47="PYG",IF(EF$10&gt;0,N(Reales!EF47)/EF$10,0),N(Reales!EF47)),EF$216+EF$220+EF$224)</f>
        <v>0</v>
      </c>
      <c r="EG229" s="34" t="n">
        <f aca="false">IF(EG$8=1,IF(Reales!$C$47="PYG",IF(EG$10&gt;0,N(Reales!EG47)/EG$10,0),N(Reales!EG47)),EG$216+EG$220+EG$224)</f>
        <v>0</v>
      </c>
      <c r="EH229" s="34" t="n">
        <f aca="false">IF(EH$8=1,IF(Reales!$C$47="PYG",IF(EH$10&gt;0,N(Reales!EH47)/EH$10,0),N(Reales!EH47)),EH$216+EH$220+EH$224)</f>
        <v>0</v>
      </c>
      <c r="EI229" s="34" t="n">
        <f aca="false">IF(EI$8=1,IF(Reales!$C$47="PYG",IF(EI$10&gt;0,N(Reales!EI47)/EI$10,0),N(Reales!EI47)),EI$216+EI$220+EI$224)</f>
        <v>0</v>
      </c>
      <c r="EJ229" s="34" t="n">
        <f aca="false">IF(EJ$8=1,IF(Reales!$C$47="PYG",IF(EJ$10&gt;0,N(Reales!EJ47)/EJ$10,0),N(Reales!EJ47)),EJ$216+EJ$220+EJ$224)</f>
        <v>0</v>
      </c>
      <c r="EK229" s="34" t="n">
        <f aca="false">IF(EK$8=1,IF(Reales!$C$47="PYG",IF(EK$10&gt;0,N(Reales!EK47)/EK$10,0),N(Reales!EK47)),EK$216+EK$220+EK$224)</f>
        <v>0</v>
      </c>
      <c r="EL229" s="34" t="n">
        <f aca="false">IF(EL$8=1,IF(Reales!$C$47="PYG",IF(EL$10&gt;0,N(Reales!EL47)/EL$10,0),N(Reales!EL47)),EL$216+EL$220+EL$224)</f>
        <v>0</v>
      </c>
      <c r="EM229" s="34" t="n">
        <f aca="false">IF(EM$8=1,IF(Reales!$C$47="PYG",IF(EM$10&gt;0,N(Reales!EM47)/EM$10,0),N(Reales!EM47)),EM$216+EM$220+EM$224)</f>
        <v>0</v>
      </c>
      <c r="EN229" s="34" t="n">
        <f aca="false">IF(EN$8=1,IF(Reales!$C$47="PYG",IF(EN$10&gt;0,N(Reales!EN47)/EN$10,0),N(Reales!EN47)),EN$216+EN$220+EN$224)</f>
        <v>0</v>
      </c>
      <c r="EO229" s="34" t="n">
        <f aca="false">IF(EO$8=1,IF(Reales!$C$47="PYG",IF(EO$10&gt;0,N(Reales!EO47)/EO$10,0),N(Reales!EO47)),EO$216+EO$220+EO$224)</f>
        <v>0</v>
      </c>
      <c r="EP229" s="34" t="n">
        <f aca="false">IF(EP$8=1,IF(Reales!$C$47="PYG",IF(EP$10&gt;0,N(Reales!EP47)/EP$10,0),N(Reales!EP47)),EP$216+EP$220+EP$224)</f>
        <v>0</v>
      </c>
      <c r="EQ229" s="34" t="n">
        <f aca="false">IF(EQ$8=1,IF(Reales!$C$47="PYG",IF(EQ$10&gt;0,N(Reales!EQ47)/EQ$10,0),N(Reales!EQ47)),EQ$216+EQ$220+EQ$224)</f>
        <v>0</v>
      </c>
      <c r="ER229" s="34" t="n">
        <f aca="false">IF(ER$8=1,IF(Reales!$C$47="PYG",IF(ER$10&gt;0,N(Reales!ER47)/ER$10,0),N(Reales!ER47)),ER$216+ER$220+ER$224)</f>
        <v>0</v>
      </c>
      <c r="ES229" s="34" t="n">
        <f aca="false">IF(ES$8=1,IF(Reales!$C$47="PYG",IF(ES$10&gt;0,N(Reales!ES47)/ES$10,0),N(Reales!ES47)),ES$216+ES$220+ES$224)</f>
        <v>0</v>
      </c>
    </row>
    <row r="230" customFormat="false" ht="15" hidden="false" customHeight="false" outlineLevel="0" collapsed="false">
      <c r="A230" s="2" t="s">
        <v>703</v>
      </c>
      <c r="B230" s="6" t="s">
        <v>579</v>
      </c>
      <c r="C230" s="6" t="s">
        <v>212</v>
      </c>
      <c r="E230" s="40" t="n">
        <f aca="false">SUM(F230:ES230)</f>
        <v>0</v>
      </c>
      <c r="F230" s="34" t="n">
        <f aca="false">IF(F$8=1,IF(Reales!$C$49="PYG",IF(F$10&gt;0,N(Reales!F49)/F$10,0),N(Reales!F49)),MIN(0+F$229,F$218+F$222+F$226))</f>
        <v>0</v>
      </c>
      <c r="G230" s="34" t="n">
        <f aca="false">IF(G$8=1,IF(Reales!$C$49="PYG",IF(G$10&gt;0,N(Reales!G49)/G$10,0),N(Reales!G49)),MIN(F$231+G$229,G$218+G$222+G$226))</f>
        <v>0</v>
      </c>
      <c r="H230" s="34" t="n">
        <f aca="false">IF(H$8=1,IF(Reales!$C$49="PYG",IF(H$10&gt;0,N(Reales!H49)/H$10,0),N(Reales!H49)),MIN(G$231+H$229,H$218+H$222+H$226))</f>
        <v>0</v>
      </c>
      <c r="I230" s="34" t="n">
        <f aca="false">IF(I$8=1,IF(Reales!$C$49="PYG",IF(I$10&gt;0,N(Reales!I49)/I$10,0),N(Reales!I49)),MIN(H$231+I$229,I$218+I$222+I$226))</f>
        <v>0</v>
      </c>
      <c r="J230" s="34" t="n">
        <f aca="false">IF(J$8=1,IF(Reales!$C$49="PYG",IF(J$10&gt;0,N(Reales!J49)/J$10,0),N(Reales!J49)),MIN(I$231+J$229,J$218+J$222+J$226))</f>
        <v>0</v>
      </c>
      <c r="K230" s="34" t="n">
        <f aca="false">IF(K$8=1,IF(Reales!$C$49="PYG",IF(K$10&gt;0,N(Reales!K49)/K$10,0),N(Reales!K49)),MIN(J$231+K$229,K$218+K$222+K$226))</f>
        <v>0</v>
      </c>
      <c r="L230" s="34" t="n">
        <f aca="false">IF(L$8=1,IF(Reales!$C$49="PYG",IF(L$10&gt;0,N(Reales!L49)/L$10,0),N(Reales!L49)),MIN(K$231+L$229,L$218+L$222+L$226))</f>
        <v>0</v>
      </c>
      <c r="M230" s="34" t="n">
        <f aca="false">IF(M$8=1,IF(Reales!$C$49="PYG",IF(M$10&gt;0,N(Reales!M49)/M$10,0),N(Reales!M49)),MIN(L$231+M$229,M$218+M$222+M$226))</f>
        <v>0</v>
      </c>
      <c r="N230" s="34" t="n">
        <f aca="false">IF(N$8=1,IF(Reales!$C$49="PYG",IF(N$10&gt;0,N(Reales!N49)/N$10,0),N(Reales!N49)),MIN(M$231+N$229,N$218+N$222+N$226))</f>
        <v>0</v>
      </c>
      <c r="O230" s="34" t="n">
        <f aca="false">IF(O$8=1,IF(Reales!$C$49="PYG",IF(O$10&gt;0,N(Reales!O49)/O$10,0),N(Reales!O49)),MIN(N$231+O$229,O$218+O$222+O$226))</f>
        <v>0</v>
      </c>
      <c r="P230" s="34" t="n">
        <f aca="false">IF(P$8=1,IF(Reales!$C$49="PYG",IF(P$10&gt;0,N(Reales!P49)/P$10,0),N(Reales!P49)),MIN(O$231+P$229,P$218+P$222+P$226))</f>
        <v>0</v>
      </c>
      <c r="Q230" s="34" t="n">
        <f aca="false">IF(Q$8=1,IF(Reales!$C$49="PYG",IF(Q$10&gt;0,N(Reales!Q49)/Q$10,0),N(Reales!Q49)),MIN(P$231+Q$229,Q$218+Q$222+Q$226))</f>
        <v>0</v>
      </c>
      <c r="R230" s="34" t="n">
        <f aca="false">IF(R$8=1,IF(Reales!$C$49="PYG",IF(R$10&gt;0,N(Reales!R49)/R$10,0),N(Reales!R49)),MIN(Q$231+R$229,R$218+R$222+R$226))</f>
        <v>0</v>
      </c>
      <c r="S230" s="34" t="n">
        <f aca="false">IF(S$8=1,IF(Reales!$C$49="PYG",IF(S$10&gt;0,N(Reales!S49)/S$10,0),N(Reales!S49)),MIN(R$231+S$229,S$218+S$222+S$226))</f>
        <v>0</v>
      </c>
      <c r="T230" s="34" t="n">
        <f aca="false">IF(T$8=1,IF(Reales!$C$49="PYG",IF(T$10&gt;0,N(Reales!T49)/T$10,0),N(Reales!T49)),MIN(S$231+T$229,T$218+T$222+T$226))</f>
        <v>0</v>
      </c>
      <c r="U230" s="34" t="n">
        <f aca="false">IF(U$8=1,IF(Reales!$C$49="PYG",IF(U$10&gt;0,N(Reales!U49)/U$10,0),N(Reales!U49)),MIN(T$231+U$229,U$218+U$222+U$226))</f>
        <v>0</v>
      </c>
      <c r="V230" s="34" t="n">
        <f aca="false">IF(V$8=1,IF(Reales!$C$49="PYG",IF(V$10&gt;0,N(Reales!V49)/V$10,0),N(Reales!V49)),MIN(U$231+V$229,V$218+V$222+V$226))</f>
        <v>0</v>
      </c>
      <c r="W230" s="34" t="n">
        <f aca="false">IF(W$8=1,IF(Reales!$C$49="PYG",IF(W$10&gt;0,N(Reales!W49)/W$10,0),N(Reales!W49)),MIN(V$231+W$229,W$218+W$222+W$226))</f>
        <v>0</v>
      </c>
      <c r="X230" s="34" t="n">
        <f aca="false">IF(X$8=1,IF(Reales!$C$49="PYG",IF(X$10&gt;0,N(Reales!X49)/X$10,0),N(Reales!X49)),MIN(W$231+X$229,X$218+X$222+X$226))</f>
        <v>0</v>
      </c>
      <c r="Y230" s="34" t="n">
        <f aca="false">IF(Y$8=1,IF(Reales!$C$49="PYG",IF(Y$10&gt;0,N(Reales!Y49)/Y$10,0),N(Reales!Y49)),MIN(X$231+Y$229,Y$218+Y$222+Y$226))</f>
        <v>0</v>
      </c>
      <c r="Z230" s="34" t="n">
        <f aca="false">IF(Z$8=1,IF(Reales!$C$49="PYG",IF(Z$10&gt;0,N(Reales!Z49)/Z$10,0),N(Reales!Z49)),MIN(Y$231+Z$229,Z$218+Z$222+Z$226))</f>
        <v>0</v>
      </c>
      <c r="AA230" s="34" t="n">
        <f aca="false">IF(AA$8=1,IF(Reales!$C$49="PYG",IF(AA$10&gt;0,N(Reales!AA49)/AA$10,0),N(Reales!AA49)),MIN(Z$231+AA$229,AA$218+AA$222+AA$226))</f>
        <v>0</v>
      </c>
      <c r="AB230" s="34" t="n">
        <f aca="false">IF(AB$8=1,IF(Reales!$C$49="PYG",IF(AB$10&gt;0,N(Reales!AB49)/AB$10,0),N(Reales!AB49)),MIN(AA$231+AB$229,AB$218+AB$222+AB$226))</f>
        <v>0</v>
      </c>
      <c r="AC230" s="34" t="n">
        <f aca="false">IF(AC$8=1,IF(Reales!$C$49="PYG",IF(AC$10&gt;0,N(Reales!AC49)/AC$10,0),N(Reales!AC49)),MIN(AB$231+AC$229,AC$218+AC$222+AC$226))</f>
        <v>0</v>
      </c>
      <c r="AD230" s="34" t="n">
        <f aca="false">IF(AD$8=1,IF(Reales!$C$49="PYG",IF(AD$10&gt;0,N(Reales!AD49)/AD$10,0),N(Reales!AD49)),MIN(AC$231+AD$229,AD$218+AD$222+AD$226))</f>
        <v>0</v>
      </c>
      <c r="AE230" s="34" t="n">
        <f aca="false">IF(AE$8=1,IF(Reales!$C$49="PYG",IF(AE$10&gt;0,N(Reales!AE49)/AE$10,0),N(Reales!AE49)),MIN(AD$231+AE$229,AE$218+AE$222+AE$226))</f>
        <v>0</v>
      </c>
      <c r="AF230" s="34" t="n">
        <f aca="false">IF(AF$8=1,IF(Reales!$C$49="PYG",IF(AF$10&gt;0,N(Reales!AF49)/AF$10,0),N(Reales!AF49)),MIN(AE$231+AF$229,AF$218+AF$222+AF$226))</f>
        <v>0</v>
      </c>
      <c r="AG230" s="34" t="n">
        <f aca="false">IF(AG$8=1,IF(Reales!$C$49="PYG",IF(AG$10&gt;0,N(Reales!AG49)/AG$10,0),N(Reales!AG49)),MIN(AF$231+AG$229,AG$218+AG$222+AG$226))</f>
        <v>0</v>
      </c>
      <c r="AH230" s="34" t="n">
        <f aca="false">IF(AH$8=1,IF(Reales!$C$49="PYG",IF(AH$10&gt;0,N(Reales!AH49)/AH$10,0),N(Reales!AH49)),MIN(AG$231+AH$229,AH$218+AH$222+AH$226))</f>
        <v>0</v>
      </c>
      <c r="AI230" s="34" t="n">
        <f aca="false">IF(AI$8=1,IF(Reales!$C$49="PYG",IF(AI$10&gt;0,N(Reales!AI49)/AI$10,0),N(Reales!AI49)),MIN(AH$231+AI$229,AI$218+AI$222+AI$226))</f>
        <v>0</v>
      </c>
      <c r="AJ230" s="34" t="n">
        <f aca="false">IF(AJ$8=1,IF(Reales!$C$49="PYG",IF(AJ$10&gt;0,N(Reales!AJ49)/AJ$10,0),N(Reales!AJ49)),MIN(AI$231+AJ$229,AJ$218+AJ$222+AJ$226))</f>
        <v>0</v>
      </c>
      <c r="AK230" s="34" t="n">
        <f aca="false">IF(AK$8=1,IF(Reales!$C$49="PYG",IF(AK$10&gt;0,N(Reales!AK49)/AK$10,0),N(Reales!AK49)),MIN(AJ$231+AK$229,AK$218+AK$222+AK$226))</f>
        <v>0</v>
      </c>
      <c r="AL230" s="34" t="n">
        <f aca="false">IF(AL$8=1,IF(Reales!$C$49="PYG",IF(AL$10&gt;0,N(Reales!AL49)/AL$10,0),N(Reales!AL49)),MIN(AK$231+AL$229,AL$218+AL$222+AL$226))</f>
        <v>0</v>
      </c>
      <c r="AM230" s="34" t="n">
        <f aca="false">IF(AM$8=1,IF(Reales!$C$49="PYG",IF(AM$10&gt;0,N(Reales!AM49)/AM$10,0),N(Reales!AM49)),MIN(AL$231+AM$229,AM$218+AM$222+AM$226))</f>
        <v>0</v>
      </c>
      <c r="AN230" s="34" t="n">
        <f aca="false">IF(AN$8=1,IF(Reales!$C$49="PYG",IF(AN$10&gt;0,N(Reales!AN49)/AN$10,0),N(Reales!AN49)),MIN(AM$231+AN$229,AN$218+AN$222+AN$226))</f>
        <v>0</v>
      </c>
      <c r="AO230" s="34" t="n">
        <f aca="false">IF(AO$8=1,IF(Reales!$C$49="PYG",IF(AO$10&gt;0,N(Reales!AO49)/AO$10,0),N(Reales!AO49)),MIN(AN$231+AO$229,AO$218+AO$222+AO$226))</f>
        <v>0</v>
      </c>
      <c r="AP230" s="34" t="n">
        <f aca="false">IF(AP$8=1,IF(Reales!$C$49="PYG",IF(AP$10&gt;0,N(Reales!AP49)/AP$10,0),N(Reales!AP49)),MIN(AO$231+AP$229,AP$218+AP$222+AP$226))</f>
        <v>0</v>
      </c>
      <c r="AQ230" s="34" t="n">
        <f aca="false">IF(AQ$8=1,IF(Reales!$C$49="PYG",IF(AQ$10&gt;0,N(Reales!AQ49)/AQ$10,0),N(Reales!AQ49)),MIN(AP$231+AQ$229,AQ$218+AQ$222+AQ$226))</f>
        <v>0</v>
      </c>
      <c r="AR230" s="34" t="n">
        <f aca="false">IF(AR$8=1,IF(Reales!$C$49="PYG",IF(AR$10&gt;0,N(Reales!AR49)/AR$10,0),N(Reales!AR49)),MIN(AQ$231+AR$229,AR$218+AR$222+AR$226))</f>
        <v>0</v>
      </c>
      <c r="AS230" s="34" t="n">
        <f aca="false">IF(AS$8=1,IF(Reales!$C$49="PYG",IF(AS$10&gt;0,N(Reales!AS49)/AS$10,0),N(Reales!AS49)),MIN(AR$231+AS$229,AS$218+AS$222+AS$226))</f>
        <v>0</v>
      </c>
      <c r="AT230" s="34" t="n">
        <f aca="false">IF(AT$8=1,IF(Reales!$C$49="PYG",IF(AT$10&gt;0,N(Reales!AT49)/AT$10,0),N(Reales!AT49)),MIN(AS$231+AT$229,AT$218+AT$222+AT$226))</f>
        <v>0</v>
      </c>
      <c r="AU230" s="34" t="n">
        <f aca="false">IF(AU$8=1,IF(Reales!$C$49="PYG",IF(AU$10&gt;0,N(Reales!AU49)/AU$10,0),N(Reales!AU49)),MIN(AT$231+AU$229,AU$218+AU$222+AU$226))</f>
        <v>0</v>
      </c>
      <c r="AV230" s="34" t="n">
        <f aca="false">IF(AV$8=1,IF(Reales!$C$49="PYG",IF(AV$10&gt;0,N(Reales!AV49)/AV$10,0),N(Reales!AV49)),MIN(AU$231+AV$229,AV$218+AV$222+AV$226))</f>
        <v>0</v>
      </c>
      <c r="AW230" s="34" t="n">
        <f aca="false">IF(AW$8=1,IF(Reales!$C$49="PYG",IF(AW$10&gt;0,N(Reales!AW49)/AW$10,0),N(Reales!AW49)),MIN(AV$231+AW$229,AW$218+AW$222+AW$226))</f>
        <v>0</v>
      </c>
      <c r="AX230" s="34" t="n">
        <f aca="false">IF(AX$8=1,IF(Reales!$C$49="PYG",IF(AX$10&gt;0,N(Reales!AX49)/AX$10,0),N(Reales!AX49)),MIN(AW$231+AX$229,AX$218+AX$222+AX$226))</f>
        <v>0</v>
      </c>
      <c r="AY230" s="34" t="n">
        <f aca="false">IF(AY$8=1,IF(Reales!$C$49="PYG",IF(AY$10&gt;0,N(Reales!AY49)/AY$10,0),N(Reales!AY49)),MIN(AX$231+AY$229,AY$218+AY$222+AY$226))</f>
        <v>0</v>
      </c>
      <c r="AZ230" s="34" t="n">
        <f aca="false">IF(AZ$8=1,IF(Reales!$C$49="PYG",IF(AZ$10&gt;0,N(Reales!AZ49)/AZ$10,0),N(Reales!AZ49)),MIN(AY$231+AZ$229,AZ$218+AZ$222+AZ$226))</f>
        <v>0</v>
      </c>
      <c r="BA230" s="34" t="n">
        <f aca="false">IF(BA$8=1,IF(Reales!$C$49="PYG",IF(BA$10&gt;0,N(Reales!BA49)/BA$10,0),N(Reales!BA49)),MIN(AZ$231+BA$229,BA$218+BA$222+BA$226))</f>
        <v>0</v>
      </c>
      <c r="BB230" s="34" t="n">
        <f aca="false">IF(BB$8=1,IF(Reales!$C$49="PYG",IF(BB$10&gt;0,N(Reales!BB49)/BB$10,0),N(Reales!BB49)),MIN(BA$231+BB$229,BB$218+BB$222+BB$226))</f>
        <v>0</v>
      </c>
      <c r="BC230" s="34" t="n">
        <f aca="false">IF(BC$8=1,IF(Reales!$C$49="PYG",IF(BC$10&gt;0,N(Reales!BC49)/BC$10,0),N(Reales!BC49)),MIN(BB$231+BC$229,BC$218+BC$222+BC$226))</f>
        <v>0</v>
      </c>
      <c r="BD230" s="34" t="n">
        <f aca="false">IF(BD$8=1,IF(Reales!$C$49="PYG",IF(BD$10&gt;0,N(Reales!BD49)/BD$10,0),N(Reales!BD49)),MIN(BC$231+BD$229,BD$218+BD$222+BD$226))</f>
        <v>0</v>
      </c>
      <c r="BE230" s="34" t="n">
        <f aca="false">IF(BE$8=1,IF(Reales!$C$49="PYG",IF(BE$10&gt;0,N(Reales!BE49)/BE$10,0),N(Reales!BE49)),MIN(BD$231+BE$229,BE$218+BE$222+BE$226))</f>
        <v>0</v>
      </c>
      <c r="BF230" s="34" t="n">
        <f aca="false">IF(BF$8=1,IF(Reales!$C$49="PYG",IF(BF$10&gt;0,N(Reales!BF49)/BF$10,0),N(Reales!BF49)),MIN(BE$231+BF$229,BF$218+BF$222+BF$226))</f>
        <v>0</v>
      </c>
      <c r="BG230" s="34" t="n">
        <f aca="false">IF(BG$8=1,IF(Reales!$C$49="PYG",IF(BG$10&gt;0,N(Reales!BG49)/BG$10,0),N(Reales!BG49)),MIN(BF$231+BG$229,BG$218+BG$222+BG$226))</f>
        <v>0</v>
      </c>
      <c r="BH230" s="34" t="n">
        <f aca="false">IF(BH$8=1,IF(Reales!$C$49="PYG",IF(BH$10&gt;0,N(Reales!BH49)/BH$10,0),N(Reales!BH49)),MIN(BG$231+BH$229,BH$218+BH$222+BH$226))</f>
        <v>0</v>
      </c>
      <c r="BI230" s="34" t="n">
        <f aca="false">IF(BI$8=1,IF(Reales!$C$49="PYG",IF(BI$10&gt;0,N(Reales!BI49)/BI$10,0),N(Reales!BI49)),MIN(BH$231+BI$229,BI$218+BI$222+BI$226))</f>
        <v>0</v>
      </c>
      <c r="BJ230" s="34" t="n">
        <f aca="false">IF(BJ$8=1,IF(Reales!$C$49="PYG",IF(BJ$10&gt;0,N(Reales!BJ49)/BJ$10,0),N(Reales!BJ49)),MIN(BI$231+BJ$229,BJ$218+BJ$222+BJ$226))</f>
        <v>0</v>
      </c>
      <c r="BK230" s="34" t="n">
        <f aca="false">IF(BK$8=1,IF(Reales!$C$49="PYG",IF(BK$10&gt;0,N(Reales!BK49)/BK$10,0),N(Reales!BK49)),MIN(BJ$231+BK$229,BK$218+BK$222+BK$226))</f>
        <v>0</v>
      </c>
      <c r="BL230" s="34" t="n">
        <f aca="false">IF(BL$8=1,IF(Reales!$C$49="PYG",IF(BL$10&gt;0,N(Reales!BL49)/BL$10,0),N(Reales!BL49)),MIN(BK$231+BL$229,BL$218+BL$222+BL$226))</f>
        <v>0</v>
      </c>
      <c r="BM230" s="34" t="n">
        <f aca="false">IF(BM$8=1,IF(Reales!$C$49="PYG",IF(BM$10&gt;0,N(Reales!BM49)/BM$10,0),N(Reales!BM49)),MIN(BL$231+BM$229,BM$218+BM$222+BM$226))</f>
        <v>0</v>
      </c>
      <c r="BN230" s="34" t="n">
        <f aca="false">IF(BN$8=1,IF(Reales!$C$49="PYG",IF(BN$10&gt;0,N(Reales!BN49)/BN$10,0),N(Reales!BN49)),MIN(BM$231+BN$229,BN$218+BN$222+BN$226))</f>
        <v>0</v>
      </c>
      <c r="BO230" s="34" t="n">
        <f aca="false">IF(BO$8=1,IF(Reales!$C$49="PYG",IF(BO$10&gt;0,N(Reales!BO49)/BO$10,0),N(Reales!BO49)),MIN(BN$231+BO$229,BO$218+BO$222+BO$226))</f>
        <v>0</v>
      </c>
      <c r="BP230" s="34" t="n">
        <f aca="false">IF(BP$8=1,IF(Reales!$C$49="PYG",IF(BP$10&gt;0,N(Reales!BP49)/BP$10,0),N(Reales!BP49)),MIN(BO$231+BP$229,BP$218+BP$222+BP$226))</f>
        <v>0</v>
      </c>
      <c r="BQ230" s="34" t="n">
        <f aca="false">IF(BQ$8=1,IF(Reales!$C$49="PYG",IF(BQ$10&gt;0,N(Reales!BQ49)/BQ$10,0),N(Reales!BQ49)),MIN(BP$231+BQ$229,BQ$218+BQ$222+BQ$226))</f>
        <v>0</v>
      </c>
      <c r="BR230" s="34" t="n">
        <f aca="false">IF(BR$8=1,IF(Reales!$C$49="PYG",IF(BR$10&gt;0,N(Reales!BR49)/BR$10,0),N(Reales!BR49)),MIN(BQ$231+BR$229,BR$218+BR$222+BR$226))</f>
        <v>0</v>
      </c>
      <c r="BS230" s="34" t="n">
        <f aca="false">IF(BS$8=1,IF(Reales!$C$49="PYG",IF(BS$10&gt;0,N(Reales!BS49)/BS$10,0),N(Reales!BS49)),MIN(BR$231+BS$229,BS$218+BS$222+BS$226))</f>
        <v>0</v>
      </c>
      <c r="BT230" s="34" t="n">
        <f aca="false">IF(BT$8=1,IF(Reales!$C$49="PYG",IF(BT$10&gt;0,N(Reales!BT49)/BT$10,0),N(Reales!BT49)),MIN(BS$231+BT$229,BT$218+BT$222+BT$226))</f>
        <v>0</v>
      </c>
      <c r="BU230" s="34" t="n">
        <f aca="false">IF(BU$8=1,IF(Reales!$C$49="PYG",IF(BU$10&gt;0,N(Reales!BU49)/BU$10,0),N(Reales!BU49)),MIN(BT$231+BU$229,BU$218+BU$222+BU$226))</f>
        <v>0</v>
      </c>
      <c r="BV230" s="34" t="n">
        <f aca="false">IF(BV$8=1,IF(Reales!$C$49="PYG",IF(BV$10&gt;0,N(Reales!BV49)/BV$10,0),N(Reales!BV49)),MIN(BU$231+BV$229,BV$218+BV$222+BV$226))</f>
        <v>0</v>
      </c>
      <c r="BW230" s="34" t="n">
        <f aca="false">IF(BW$8=1,IF(Reales!$C$49="PYG",IF(BW$10&gt;0,N(Reales!BW49)/BW$10,0),N(Reales!BW49)),MIN(BV$231+BW$229,BW$218+BW$222+BW$226))</f>
        <v>0</v>
      </c>
      <c r="BX230" s="34" t="n">
        <f aca="false">IF(BX$8=1,IF(Reales!$C$49="PYG",IF(BX$10&gt;0,N(Reales!BX49)/BX$10,0),N(Reales!BX49)),MIN(BW$231+BX$229,BX$218+BX$222+BX$226))</f>
        <v>0</v>
      </c>
      <c r="BY230" s="34" t="n">
        <f aca="false">IF(BY$8=1,IF(Reales!$C$49="PYG",IF(BY$10&gt;0,N(Reales!BY49)/BY$10,0),N(Reales!BY49)),MIN(BX$231+BY$229,BY$218+BY$222+BY$226))</f>
        <v>0</v>
      </c>
      <c r="BZ230" s="34" t="n">
        <f aca="false">IF(BZ$8=1,IF(Reales!$C$49="PYG",IF(BZ$10&gt;0,N(Reales!BZ49)/BZ$10,0),N(Reales!BZ49)),MIN(BY$231+BZ$229,BZ$218+BZ$222+BZ$226))</f>
        <v>0</v>
      </c>
      <c r="CA230" s="34" t="n">
        <f aca="false">IF(CA$8=1,IF(Reales!$C$49="PYG",IF(CA$10&gt;0,N(Reales!CA49)/CA$10,0),N(Reales!CA49)),MIN(BZ$231+CA$229,CA$218+CA$222+CA$226))</f>
        <v>0</v>
      </c>
      <c r="CB230" s="34" t="n">
        <f aca="false">IF(CB$8=1,IF(Reales!$C$49="PYG",IF(CB$10&gt;0,N(Reales!CB49)/CB$10,0),N(Reales!CB49)),MIN(CA$231+CB$229,CB$218+CB$222+CB$226))</f>
        <v>0</v>
      </c>
      <c r="CC230" s="34" t="n">
        <f aca="false">IF(CC$8=1,IF(Reales!$C$49="PYG",IF(CC$10&gt;0,N(Reales!CC49)/CC$10,0),N(Reales!CC49)),MIN(CB$231+CC$229,CC$218+CC$222+CC$226))</f>
        <v>0</v>
      </c>
      <c r="CD230" s="34" t="n">
        <f aca="false">IF(CD$8=1,IF(Reales!$C$49="PYG",IF(CD$10&gt;0,N(Reales!CD49)/CD$10,0),N(Reales!CD49)),MIN(CC$231+CD$229,CD$218+CD$222+CD$226))</f>
        <v>0</v>
      </c>
      <c r="CE230" s="34" t="n">
        <f aca="false">IF(CE$8=1,IF(Reales!$C$49="PYG",IF(CE$10&gt;0,N(Reales!CE49)/CE$10,0),N(Reales!CE49)),MIN(CD$231+CE$229,CE$218+CE$222+CE$226))</f>
        <v>0</v>
      </c>
      <c r="CF230" s="34" t="n">
        <f aca="false">IF(CF$8=1,IF(Reales!$C$49="PYG",IF(CF$10&gt;0,N(Reales!CF49)/CF$10,0),N(Reales!CF49)),MIN(CE$231+CF$229,CF$218+CF$222+CF$226))</f>
        <v>0</v>
      </c>
      <c r="CG230" s="34" t="n">
        <f aca="false">IF(CG$8=1,IF(Reales!$C$49="PYG",IF(CG$10&gt;0,N(Reales!CG49)/CG$10,0),N(Reales!CG49)),MIN(CF$231+CG$229,CG$218+CG$222+CG$226))</f>
        <v>0</v>
      </c>
      <c r="CH230" s="34" t="n">
        <f aca="false">IF(CH$8=1,IF(Reales!$C$49="PYG",IF(CH$10&gt;0,N(Reales!CH49)/CH$10,0),N(Reales!CH49)),MIN(CG$231+CH$229,CH$218+CH$222+CH$226))</f>
        <v>0</v>
      </c>
      <c r="CI230" s="34" t="n">
        <f aca="false">IF(CI$8=1,IF(Reales!$C$49="PYG",IF(CI$10&gt;0,N(Reales!CI49)/CI$10,0),N(Reales!CI49)),MIN(CH$231+CI$229,CI$218+CI$222+CI$226))</f>
        <v>0</v>
      </c>
      <c r="CJ230" s="34" t="n">
        <f aca="false">IF(CJ$8=1,IF(Reales!$C$49="PYG",IF(CJ$10&gt;0,N(Reales!CJ49)/CJ$10,0),N(Reales!CJ49)),MIN(CI$231+CJ$229,CJ$218+CJ$222+CJ$226))</f>
        <v>0</v>
      </c>
      <c r="CK230" s="34" t="n">
        <f aca="false">IF(CK$8=1,IF(Reales!$C$49="PYG",IF(CK$10&gt;0,N(Reales!CK49)/CK$10,0),N(Reales!CK49)),MIN(CJ$231+CK$229,CK$218+CK$222+CK$226))</f>
        <v>0</v>
      </c>
      <c r="CL230" s="34" t="n">
        <f aca="false">IF(CL$8=1,IF(Reales!$C$49="PYG",IF(CL$10&gt;0,N(Reales!CL49)/CL$10,0),N(Reales!CL49)),MIN(CK$231+CL$229,CL$218+CL$222+CL$226))</f>
        <v>0</v>
      </c>
      <c r="CM230" s="34" t="n">
        <f aca="false">IF(CM$8=1,IF(Reales!$C$49="PYG",IF(CM$10&gt;0,N(Reales!CM49)/CM$10,0),N(Reales!CM49)),MIN(CL$231+CM$229,CM$218+CM$222+CM$226))</f>
        <v>0</v>
      </c>
      <c r="CN230" s="34" t="n">
        <f aca="false">IF(CN$8=1,IF(Reales!$C$49="PYG",IF(CN$10&gt;0,N(Reales!CN49)/CN$10,0),N(Reales!CN49)),MIN(CM$231+CN$229,CN$218+CN$222+CN$226))</f>
        <v>0</v>
      </c>
      <c r="CO230" s="34" t="n">
        <f aca="false">IF(CO$8=1,IF(Reales!$C$49="PYG",IF(CO$10&gt;0,N(Reales!CO49)/CO$10,0),N(Reales!CO49)),MIN(CN$231+CO$229,CO$218+CO$222+CO$226))</f>
        <v>0</v>
      </c>
      <c r="CP230" s="34" t="n">
        <f aca="false">IF(CP$8=1,IF(Reales!$C$49="PYG",IF(CP$10&gt;0,N(Reales!CP49)/CP$10,0),N(Reales!CP49)),MIN(CO$231+CP$229,CP$218+CP$222+CP$226))</f>
        <v>0</v>
      </c>
      <c r="CQ230" s="34" t="n">
        <f aca="false">IF(CQ$8=1,IF(Reales!$C$49="PYG",IF(CQ$10&gt;0,N(Reales!CQ49)/CQ$10,0),N(Reales!CQ49)),MIN(CP$231+CQ$229,CQ$218+CQ$222+CQ$226))</f>
        <v>0</v>
      </c>
      <c r="CR230" s="34" t="n">
        <f aca="false">IF(CR$8=1,IF(Reales!$C$49="PYG",IF(CR$10&gt;0,N(Reales!CR49)/CR$10,0),N(Reales!CR49)),MIN(CQ$231+CR$229,CR$218+CR$222+CR$226))</f>
        <v>0</v>
      </c>
      <c r="CS230" s="34" t="n">
        <f aca="false">IF(CS$8=1,IF(Reales!$C$49="PYG",IF(CS$10&gt;0,N(Reales!CS49)/CS$10,0),N(Reales!CS49)),MIN(CR$231+CS$229,CS$218+CS$222+CS$226))</f>
        <v>0</v>
      </c>
      <c r="CT230" s="34" t="n">
        <f aca="false">IF(CT$8=1,IF(Reales!$C$49="PYG",IF(CT$10&gt;0,N(Reales!CT49)/CT$10,0),N(Reales!CT49)),MIN(CS$231+CT$229,CT$218+CT$222+CT$226))</f>
        <v>0</v>
      </c>
      <c r="CU230" s="34" t="n">
        <f aca="false">IF(CU$8=1,IF(Reales!$C$49="PYG",IF(CU$10&gt;0,N(Reales!CU49)/CU$10,0),N(Reales!CU49)),MIN(CT$231+CU$229,CU$218+CU$222+CU$226))</f>
        <v>0</v>
      </c>
      <c r="CV230" s="34" t="n">
        <f aca="false">IF(CV$8=1,IF(Reales!$C$49="PYG",IF(CV$10&gt;0,N(Reales!CV49)/CV$10,0),N(Reales!CV49)),MIN(CU$231+CV$229,CV$218+CV$222+CV$226))</f>
        <v>0</v>
      </c>
      <c r="CW230" s="34" t="n">
        <f aca="false">IF(CW$8=1,IF(Reales!$C$49="PYG",IF(CW$10&gt;0,N(Reales!CW49)/CW$10,0),N(Reales!CW49)),MIN(CV$231+CW$229,CW$218+CW$222+CW$226))</f>
        <v>0</v>
      </c>
      <c r="CX230" s="34" t="n">
        <f aca="false">IF(CX$8=1,IF(Reales!$C$49="PYG",IF(CX$10&gt;0,N(Reales!CX49)/CX$10,0),N(Reales!CX49)),MIN(CW$231+CX$229,CX$218+CX$222+CX$226))</f>
        <v>0</v>
      </c>
      <c r="CY230" s="34" t="n">
        <f aca="false">IF(CY$8=1,IF(Reales!$C$49="PYG",IF(CY$10&gt;0,N(Reales!CY49)/CY$10,0),N(Reales!CY49)),MIN(CX$231+CY$229,CY$218+CY$222+CY$226))</f>
        <v>0</v>
      </c>
      <c r="CZ230" s="34" t="n">
        <f aca="false">IF(CZ$8=1,IF(Reales!$C$49="PYG",IF(CZ$10&gt;0,N(Reales!CZ49)/CZ$10,0),N(Reales!CZ49)),MIN(CY$231+CZ$229,CZ$218+CZ$222+CZ$226))</f>
        <v>0</v>
      </c>
      <c r="DA230" s="34" t="n">
        <f aca="false">IF(DA$8=1,IF(Reales!$C$49="PYG",IF(DA$10&gt;0,N(Reales!DA49)/DA$10,0),N(Reales!DA49)),MIN(CZ$231+DA$229,DA$218+DA$222+DA$226))</f>
        <v>0</v>
      </c>
      <c r="DB230" s="34" t="n">
        <f aca="false">IF(DB$8=1,IF(Reales!$C$49="PYG",IF(DB$10&gt;0,N(Reales!DB49)/DB$10,0),N(Reales!DB49)),MIN(DA$231+DB$229,DB$218+DB$222+DB$226))</f>
        <v>0</v>
      </c>
      <c r="DC230" s="34" t="n">
        <f aca="false">IF(DC$8=1,IF(Reales!$C$49="PYG",IF(DC$10&gt;0,N(Reales!DC49)/DC$10,0),N(Reales!DC49)),MIN(DB$231+DC$229,DC$218+DC$222+DC$226))</f>
        <v>0</v>
      </c>
      <c r="DD230" s="34" t="n">
        <f aca="false">IF(DD$8=1,IF(Reales!$C$49="PYG",IF(DD$10&gt;0,N(Reales!DD49)/DD$10,0),N(Reales!DD49)),MIN(DC$231+DD$229,DD$218+DD$222+DD$226))</f>
        <v>0</v>
      </c>
      <c r="DE230" s="34" t="n">
        <f aca="false">IF(DE$8=1,IF(Reales!$C$49="PYG",IF(DE$10&gt;0,N(Reales!DE49)/DE$10,0),N(Reales!DE49)),MIN(DD$231+DE$229,DE$218+DE$222+DE$226))</f>
        <v>0</v>
      </c>
      <c r="DF230" s="34" t="n">
        <f aca="false">IF(DF$8=1,IF(Reales!$C$49="PYG",IF(DF$10&gt;0,N(Reales!DF49)/DF$10,0),N(Reales!DF49)),MIN(DE$231+DF$229,DF$218+DF$222+DF$226))</f>
        <v>0</v>
      </c>
      <c r="DG230" s="34" t="n">
        <f aca="false">IF(DG$8=1,IF(Reales!$C$49="PYG",IF(DG$10&gt;0,N(Reales!DG49)/DG$10,0),N(Reales!DG49)),MIN(DF$231+DG$229,DG$218+DG$222+DG$226))</f>
        <v>0</v>
      </c>
      <c r="DH230" s="34" t="n">
        <f aca="false">IF(DH$8=1,IF(Reales!$C$49="PYG",IF(DH$10&gt;0,N(Reales!DH49)/DH$10,0),N(Reales!DH49)),MIN(DG$231+DH$229,DH$218+DH$222+DH$226))</f>
        <v>0</v>
      </c>
      <c r="DI230" s="34" t="n">
        <f aca="false">IF(DI$8=1,IF(Reales!$C$49="PYG",IF(DI$10&gt;0,N(Reales!DI49)/DI$10,0),N(Reales!DI49)),MIN(DH$231+DI$229,DI$218+DI$222+DI$226))</f>
        <v>0</v>
      </c>
      <c r="DJ230" s="34" t="n">
        <f aca="false">IF(DJ$8=1,IF(Reales!$C$49="PYG",IF(DJ$10&gt;0,N(Reales!DJ49)/DJ$10,0),N(Reales!DJ49)),MIN(DI$231+DJ$229,DJ$218+DJ$222+DJ$226))</f>
        <v>0</v>
      </c>
      <c r="DK230" s="34" t="n">
        <f aca="false">IF(DK$8=1,IF(Reales!$C$49="PYG",IF(DK$10&gt;0,N(Reales!DK49)/DK$10,0),N(Reales!DK49)),MIN(DJ$231+DK$229,DK$218+DK$222+DK$226))</f>
        <v>0</v>
      </c>
      <c r="DL230" s="34" t="n">
        <f aca="false">IF(DL$8=1,IF(Reales!$C$49="PYG",IF(DL$10&gt;0,N(Reales!DL49)/DL$10,0),N(Reales!DL49)),MIN(DK$231+DL$229,DL$218+DL$222+DL$226))</f>
        <v>0</v>
      </c>
      <c r="DM230" s="34" t="n">
        <f aca="false">IF(DM$8=1,IF(Reales!$C$49="PYG",IF(DM$10&gt;0,N(Reales!DM49)/DM$10,0),N(Reales!DM49)),MIN(DL$231+DM$229,DM$218+DM$222+DM$226))</f>
        <v>0</v>
      </c>
      <c r="DN230" s="34" t="n">
        <f aca="false">IF(DN$8=1,IF(Reales!$C$49="PYG",IF(DN$10&gt;0,N(Reales!DN49)/DN$10,0),N(Reales!DN49)),MIN(DM$231+DN$229,DN$218+DN$222+DN$226))</f>
        <v>0</v>
      </c>
      <c r="DO230" s="34" t="n">
        <f aca="false">IF(DO$8=1,IF(Reales!$C$49="PYG",IF(DO$10&gt;0,N(Reales!DO49)/DO$10,0),N(Reales!DO49)),MIN(DN$231+DO$229,DO$218+DO$222+DO$226))</f>
        <v>0</v>
      </c>
      <c r="DP230" s="34" t="n">
        <f aca="false">IF(DP$8=1,IF(Reales!$C$49="PYG",IF(DP$10&gt;0,N(Reales!DP49)/DP$10,0),N(Reales!DP49)),MIN(DO$231+DP$229,DP$218+DP$222+DP$226))</f>
        <v>0</v>
      </c>
      <c r="DQ230" s="34" t="n">
        <f aca="false">IF(DQ$8=1,IF(Reales!$C$49="PYG",IF(DQ$10&gt;0,N(Reales!DQ49)/DQ$10,0),N(Reales!DQ49)),MIN(DP$231+DQ$229,DQ$218+DQ$222+DQ$226))</f>
        <v>0</v>
      </c>
      <c r="DR230" s="34" t="n">
        <f aca="false">IF(DR$8=1,IF(Reales!$C$49="PYG",IF(DR$10&gt;0,N(Reales!DR49)/DR$10,0),N(Reales!DR49)),MIN(DQ$231+DR$229,DR$218+DR$222+DR$226))</f>
        <v>0</v>
      </c>
      <c r="DS230" s="34" t="n">
        <f aca="false">IF(DS$8=1,IF(Reales!$C$49="PYG",IF(DS$10&gt;0,N(Reales!DS49)/DS$10,0),N(Reales!DS49)),MIN(DR$231+DS$229,DS$218+DS$222+DS$226))</f>
        <v>0</v>
      </c>
      <c r="DT230" s="34" t="n">
        <f aca="false">IF(DT$8=1,IF(Reales!$C$49="PYG",IF(DT$10&gt;0,N(Reales!DT49)/DT$10,0),N(Reales!DT49)),MIN(DS$231+DT$229,DT$218+DT$222+DT$226))</f>
        <v>0</v>
      </c>
      <c r="DU230" s="34" t="n">
        <f aca="false">IF(DU$8=1,IF(Reales!$C$49="PYG",IF(DU$10&gt;0,N(Reales!DU49)/DU$10,0),N(Reales!DU49)),MIN(DT$231+DU$229,DU$218+DU$222+DU$226))</f>
        <v>0</v>
      </c>
      <c r="DV230" s="34" t="n">
        <f aca="false">IF(DV$8=1,IF(Reales!$C$49="PYG",IF(DV$10&gt;0,N(Reales!DV49)/DV$10,0),N(Reales!DV49)),MIN(DU$231+DV$229,DV$218+DV$222+DV$226))</f>
        <v>0</v>
      </c>
      <c r="DW230" s="34" t="n">
        <f aca="false">IF(DW$8=1,IF(Reales!$C$49="PYG",IF(DW$10&gt;0,N(Reales!DW49)/DW$10,0),N(Reales!DW49)),MIN(DV$231+DW$229,DW$218+DW$222+DW$226))</f>
        <v>0</v>
      </c>
      <c r="DX230" s="34" t="n">
        <f aca="false">IF(DX$8=1,IF(Reales!$C$49="PYG",IF(DX$10&gt;0,N(Reales!DX49)/DX$10,0),N(Reales!DX49)),MIN(DW$231+DX$229,DX$218+DX$222+DX$226))</f>
        <v>0</v>
      </c>
      <c r="DY230" s="34" t="n">
        <f aca="false">IF(DY$8=1,IF(Reales!$C$49="PYG",IF(DY$10&gt;0,N(Reales!DY49)/DY$10,0),N(Reales!DY49)),MIN(DX$231+DY$229,DY$218+DY$222+DY$226))</f>
        <v>0</v>
      </c>
      <c r="DZ230" s="34" t="n">
        <f aca="false">IF(DZ$8=1,IF(Reales!$C$49="PYG",IF(DZ$10&gt;0,N(Reales!DZ49)/DZ$10,0),N(Reales!DZ49)),MIN(DY$231+DZ$229,DZ$218+DZ$222+DZ$226))</f>
        <v>0</v>
      </c>
      <c r="EA230" s="34" t="n">
        <f aca="false">IF(EA$8=1,IF(Reales!$C$49="PYG",IF(EA$10&gt;0,N(Reales!EA49)/EA$10,0),N(Reales!EA49)),MIN(DZ$231+EA$229,EA$218+EA$222+EA$226))</f>
        <v>0</v>
      </c>
      <c r="EB230" s="34" t="n">
        <f aca="false">IF(EB$8=1,IF(Reales!$C$49="PYG",IF(EB$10&gt;0,N(Reales!EB49)/EB$10,0),N(Reales!EB49)),MIN(EA$231+EB$229,EB$218+EB$222+EB$226))</f>
        <v>0</v>
      </c>
      <c r="EC230" s="34" t="n">
        <f aca="false">IF(EC$8=1,IF(Reales!$C$49="PYG",IF(EC$10&gt;0,N(Reales!EC49)/EC$10,0),N(Reales!EC49)),MIN(EB$231+EC$229,EC$218+EC$222+EC$226))</f>
        <v>0</v>
      </c>
      <c r="ED230" s="34" t="n">
        <f aca="false">IF(ED$8=1,IF(Reales!$C$49="PYG",IF(ED$10&gt;0,N(Reales!ED49)/ED$10,0),N(Reales!ED49)),MIN(EC$231+ED$229,ED$218+ED$222+ED$226))</f>
        <v>0</v>
      </c>
      <c r="EE230" s="34" t="n">
        <f aca="false">IF(EE$8=1,IF(Reales!$C$49="PYG",IF(EE$10&gt;0,N(Reales!EE49)/EE$10,0),N(Reales!EE49)),MIN(ED$231+EE$229,EE$218+EE$222+EE$226))</f>
        <v>0</v>
      </c>
      <c r="EF230" s="34" t="n">
        <f aca="false">IF(EF$8=1,IF(Reales!$C$49="PYG",IF(EF$10&gt;0,N(Reales!EF49)/EF$10,0),N(Reales!EF49)),MIN(EE$231+EF$229,EF$218+EF$222+EF$226))</f>
        <v>0</v>
      </c>
      <c r="EG230" s="34" t="n">
        <f aca="false">IF(EG$8=1,IF(Reales!$C$49="PYG",IF(EG$10&gt;0,N(Reales!EG49)/EG$10,0),N(Reales!EG49)),MIN(EF$231+EG$229,EG$218+EG$222+EG$226))</f>
        <v>0</v>
      </c>
      <c r="EH230" s="34" t="n">
        <f aca="false">IF(EH$8=1,IF(Reales!$C$49="PYG",IF(EH$10&gt;0,N(Reales!EH49)/EH$10,0),N(Reales!EH49)),MIN(EG$231+EH$229,EH$218+EH$222+EH$226))</f>
        <v>0</v>
      </c>
      <c r="EI230" s="34" t="n">
        <f aca="false">IF(EI$8=1,IF(Reales!$C$49="PYG",IF(EI$10&gt;0,N(Reales!EI49)/EI$10,0),N(Reales!EI49)),MIN(EH$231+EI$229,EI$218+EI$222+EI$226))</f>
        <v>0</v>
      </c>
      <c r="EJ230" s="34" t="n">
        <f aca="false">IF(EJ$8=1,IF(Reales!$C$49="PYG",IF(EJ$10&gt;0,N(Reales!EJ49)/EJ$10,0),N(Reales!EJ49)),MIN(EI$231+EJ$229,EJ$218+EJ$222+EJ$226))</f>
        <v>0</v>
      </c>
      <c r="EK230" s="34" t="n">
        <f aca="false">IF(EK$8=1,IF(Reales!$C$49="PYG",IF(EK$10&gt;0,N(Reales!EK49)/EK$10,0),N(Reales!EK49)),MIN(EJ$231+EK$229,EK$218+EK$222+EK$226))</f>
        <v>0</v>
      </c>
      <c r="EL230" s="34" t="n">
        <f aca="false">IF(EL$8=1,IF(Reales!$C$49="PYG",IF(EL$10&gt;0,N(Reales!EL49)/EL$10,0),N(Reales!EL49)),MIN(EK$231+EL$229,EL$218+EL$222+EL$226))</f>
        <v>0</v>
      </c>
      <c r="EM230" s="34" t="n">
        <f aca="false">IF(EM$8=1,IF(Reales!$C$49="PYG",IF(EM$10&gt;0,N(Reales!EM49)/EM$10,0),N(Reales!EM49)),MIN(EL$231+EM$229,EM$218+EM$222+EM$226))</f>
        <v>0</v>
      </c>
      <c r="EN230" s="34" t="n">
        <f aca="false">IF(EN$8=1,IF(Reales!$C$49="PYG",IF(EN$10&gt;0,N(Reales!EN49)/EN$10,0),N(Reales!EN49)),MIN(EM$231+EN$229,EN$218+EN$222+EN$226))</f>
        <v>0</v>
      </c>
      <c r="EO230" s="34" t="n">
        <f aca="false">IF(EO$8=1,IF(Reales!$C$49="PYG",IF(EO$10&gt;0,N(Reales!EO49)/EO$10,0),N(Reales!EO49)),MIN(EN$231+EO$229,EO$218+EO$222+EO$226))</f>
        <v>0</v>
      </c>
      <c r="EP230" s="34" t="n">
        <f aca="false">IF(EP$8=1,IF(Reales!$C$49="PYG",IF(EP$10&gt;0,N(Reales!EP49)/EP$10,0),N(Reales!EP49)),MIN(EO$231+EP$229,EP$218+EP$222+EP$226))</f>
        <v>0</v>
      </c>
      <c r="EQ230" s="34" t="n">
        <f aca="false">IF(EQ$8=1,IF(Reales!$C$49="PYG",IF(EQ$10&gt;0,N(Reales!EQ49)/EQ$10,0),N(Reales!EQ49)),MIN(EP$231+EQ$229,EQ$218+EQ$222+EQ$226))</f>
        <v>0</v>
      </c>
      <c r="ER230" s="34" t="n">
        <f aca="false">IF(ER$8=1,IF(Reales!$C$49="PYG",IF(ER$10&gt;0,N(Reales!ER49)/ER$10,0),N(Reales!ER49)),MIN(EQ$231+ER$229,ER$218+ER$222+ER$226))</f>
        <v>0</v>
      </c>
      <c r="ES230" s="34" t="n">
        <f aca="false">IF(ES$8=1,IF(Reales!$C$49="PYG",IF(ES$10&gt;0,N(Reales!ES49)/ES$10,0),N(Reales!ES49)),MIN(ER$231+ES$229,ES$218+ES$222+ES$226))</f>
        <v>0</v>
      </c>
    </row>
    <row r="231" customFormat="false" ht="15" hidden="false" customHeight="false" outlineLevel="0" collapsed="false">
      <c r="A231" s="2" t="s">
        <v>704</v>
      </c>
      <c r="B231" s="52" t="s">
        <v>581</v>
      </c>
      <c r="C231" s="6" t="s">
        <v>212</v>
      </c>
      <c r="E231" s="40" t="n">
        <f aca="false">MAX(F231:ES231)</f>
        <v>0</v>
      </c>
      <c r="F231" s="10" t="n">
        <f aca="false">0+F$229-F$230</f>
        <v>0</v>
      </c>
      <c r="G231" s="10" t="n">
        <f aca="false">F$231+G$229-G$230</f>
        <v>0</v>
      </c>
      <c r="H231" s="10" t="n">
        <f aca="false">G$231+H$229-H$230</f>
        <v>0</v>
      </c>
      <c r="I231" s="10" t="n">
        <f aca="false">H$231+I$229-I$230</f>
        <v>0</v>
      </c>
      <c r="J231" s="10" t="n">
        <f aca="false">I$231+J$229-J$230</f>
        <v>0</v>
      </c>
      <c r="K231" s="10" t="n">
        <f aca="false">J$231+K$229-K$230</f>
        <v>0</v>
      </c>
      <c r="L231" s="10" t="n">
        <f aca="false">K$231+L$229-L$230</f>
        <v>0</v>
      </c>
      <c r="M231" s="10" t="n">
        <f aca="false">L$231+M$229-M$230</f>
        <v>0</v>
      </c>
      <c r="N231" s="10" t="n">
        <f aca="false">M$231+N$229-N$230</f>
        <v>0</v>
      </c>
      <c r="O231" s="10" t="n">
        <f aca="false">N$231+O$229-O$230</f>
        <v>0</v>
      </c>
      <c r="P231" s="10" t="n">
        <f aca="false">O$231+P$229-P$230</f>
        <v>0</v>
      </c>
      <c r="Q231" s="10" t="n">
        <f aca="false">P$231+Q$229-Q$230</f>
        <v>0</v>
      </c>
      <c r="R231" s="10" t="n">
        <f aca="false">Q$231+R$229-R$230</f>
        <v>0</v>
      </c>
      <c r="S231" s="10" t="n">
        <f aca="false">R$231+S$229-S$230</f>
        <v>0</v>
      </c>
      <c r="T231" s="10" t="n">
        <f aca="false">S$231+T$229-T$230</f>
        <v>0</v>
      </c>
      <c r="U231" s="10" t="n">
        <f aca="false">T$231+U$229-U$230</f>
        <v>0</v>
      </c>
      <c r="V231" s="10" t="n">
        <f aca="false">U$231+V$229-V$230</f>
        <v>0</v>
      </c>
      <c r="W231" s="10" t="n">
        <f aca="false">V$231+W$229-W$230</f>
        <v>0</v>
      </c>
      <c r="X231" s="10" t="n">
        <f aca="false">W$231+X$229-X$230</f>
        <v>0</v>
      </c>
      <c r="Y231" s="10" t="n">
        <f aca="false">X$231+Y$229-Y$230</f>
        <v>0</v>
      </c>
      <c r="Z231" s="10" t="n">
        <f aca="false">Y$231+Z$229-Z$230</f>
        <v>0</v>
      </c>
      <c r="AA231" s="10" t="n">
        <f aca="false">Z$231+AA$229-AA$230</f>
        <v>0</v>
      </c>
      <c r="AB231" s="10" t="n">
        <f aca="false">AA$231+AB$229-AB$230</f>
        <v>0</v>
      </c>
      <c r="AC231" s="10" t="n">
        <f aca="false">AB$231+AC$229-AC$230</f>
        <v>0</v>
      </c>
      <c r="AD231" s="10" t="n">
        <f aca="false">AC$231+AD$229-AD$230</f>
        <v>0</v>
      </c>
      <c r="AE231" s="10" t="n">
        <f aca="false">AD$231+AE$229-AE$230</f>
        <v>0</v>
      </c>
      <c r="AF231" s="10" t="n">
        <f aca="false">AE$231+AF$229-AF$230</f>
        <v>0</v>
      </c>
      <c r="AG231" s="10" t="n">
        <f aca="false">AF$231+AG$229-AG$230</f>
        <v>0</v>
      </c>
      <c r="AH231" s="10" t="n">
        <f aca="false">AG$231+AH$229-AH$230</f>
        <v>0</v>
      </c>
      <c r="AI231" s="10" t="n">
        <f aca="false">AH$231+AI$229-AI$230</f>
        <v>0</v>
      </c>
      <c r="AJ231" s="10" t="n">
        <f aca="false">AI$231+AJ$229-AJ$230</f>
        <v>0</v>
      </c>
      <c r="AK231" s="10" t="n">
        <f aca="false">AJ$231+AK$229-AK$230</f>
        <v>0</v>
      </c>
      <c r="AL231" s="10" t="n">
        <f aca="false">AK$231+AL$229-AL$230</f>
        <v>0</v>
      </c>
      <c r="AM231" s="10" t="n">
        <f aca="false">AL$231+AM$229-AM$230</f>
        <v>0</v>
      </c>
      <c r="AN231" s="10" t="n">
        <f aca="false">AM$231+AN$229-AN$230</f>
        <v>0</v>
      </c>
      <c r="AO231" s="10" t="n">
        <f aca="false">AN$231+AO$229-AO$230</f>
        <v>0</v>
      </c>
      <c r="AP231" s="10" t="n">
        <f aca="false">AO$231+AP$229-AP$230</f>
        <v>0</v>
      </c>
      <c r="AQ231" s="10" t="n">
        <f aca="false">AP$231+AQ$229-AQ$230</f>
        <v>0</v>
      </c>
      <c r="AR231" s="10" t="n">
        <f aca="false">AQ$231+AR$229-AR$230</f>
        <v>0</v>
      </c>
      <c r="AS231" s="10" t="n">
        <f aca="false">AR$231+AS$229-AS$230</f>
        <v>0</v>
      </c>
      <c r="AT231" s="10" t="n">
        <f aca="false">AS$231+AT$229-AT$230</f>
        <v>0</v>
      </c>
      <c r="AU231" s="10" t="n">
        <f aca="false">AT$231+AU$229-AU$230</f>
        <v>0</v>
      </c>
      <c r="AV231" s="10" t="n">
        <f aca="false">AU$231+AV$229-AV$230</f>
        <v>0</v>
      </c>
      <c r="AW231" s="10" t="n">
        <f aca="false">AV$231+AW$229-AW$230</f>
        <v>0</v>
      </c>
      <c r="AX231" s="10" t="n">
        <f aca="false">AW$231+AX$229-AX$230</f>
        <v>0</v>
      </c>
      <c r="AY231" s="10" t="n">
        <f aca="false">AX$231+AY$229-AY$230</f>
        <v>0</v>
      </c>
      <c r="AZ231" s="10" t="n">
        <f aca="false">AY$231+AZ$229-AZ$230</f>
        <v>0</v>
      </c>
      <c r="BA231" s="10" t="n">
        <f aca="false">AZ$231+BA$229-BA$230</f>
        <v>0</v>
      </c>
      <c r="BB231" s="10" t="n">
        <f aca="false">BA$231+BB$229-BB$230</f>
        <v>0</v>
      </c>
      <c r="BC231" s="10" t="n">
        <f aca="false">BB$231+BC$229-BC$230</f>
        <v>0</v>
      </c>
      <c r="BD231" s="10" t="n">
        <f aca="false">BC$231+BD$229-BD$230</f>
        <v>0</v>
      </c>
      <c r="BE231" s="10" t="n">
        <f aca="false">BD$231+BE$229-BE$230</f>
        <v>0</v>
      </c>
      <c r="BF231" s="10" t="n">
        <f aca="false">BE$231+BF$229-BF$230</f>
        <v>0</v>
      </c>
      <c r="BG231" s="10" t="n">
        <f aca="false">BF$231+BG$229-BG$230</f>
        <v>0</v>
      </c>
      <c r="BH231" s="10" t="n">
        <f aca="false">BG$231+BH$229-BH$230</f>
        <v>0</v>
      </c>
      <c r="BI231" s="10" t="n">
        <f aca="false">BH$231+BI$229-BI$230</f>
        <v>0</v>
      </c>
      <c r="BJ231" s="10" t="n">
        <f aca="false">BI$231+BJ$229-BJ$230</f>
        <v>0</v>
      </c>
      <c r="BK231" s="10" t="n">
        <f aca="false">BJ$231+BK$229-BK$230</f>
        <v>0</v>
      </c>
      <c r="BL231" s="10" t="n">
        <f aca="false">BK$231+BL$229-BL$230</f>
        <v>0</v>
      </c>
      <c r="BM231" s="10" t="n">
        <f aca="false">BL$231+BM$229-BM$230</f>
        <v>0</v>
      </c>
      <c r="BN231" s="10" t="n">
        <f aca="false">BM$231+BN$229-BN$230</f>
        <v>0</v>
      </c>
      <c r="BO231" s="10" t="n">
        <f aca="false">BN$231+BO$229-BO$230</f>
        <v>0</v>
      </c>
      <c r="BP231" s="10" t="n">
        <f aca="false">BO$231+BP$229-BP$230</f>
        <v>0</v>
      </c>
      <c r="BQ231" s="10" t="n">
        <f aca="false">BP$231+BQ$229-BQ$230</f>
        <v>0</v>
      </c>
      <c r="BR231" s="10" t="n">
        <f aca="false">BQ$231+BR$229-BR$230</f>
        <v>0</v>
      </c>
      <c r="BS231" s="10" t="n">
        <f aca="false">BR$231+BS$229-BS$230</f>
        <v>0</v>
      </c>
      <c r="BT231" s="10" t="n">
        <f aca="false">BS$231+BT$229-BT$230</f>
        <v>0</v>
      </c>
      <c r="BU231" s="10" t="n">
        <f aca="false">BT$231+BU$229-BU$230</f>
        <v>0</v>
      </c>
      <c r="BV231" s="10" t="n">
        <f aca="false">BU$231+BV$229-BV$230</f>
        <v>0</v>
      </c>
      <c r="BW231" s="10" t="n">
        <f aca="false">BV$231+BW$229-BW$230</f>
        <v>0</v>
      </c>
      <c r="BX231" s="10" t="n">
        <f aca="false">BW$231+BX$229-BX$230</f>
        <v>0</v>
      </c>
      <c r="BY231" s="10" t="n">
        <f aca="false">BX$231+BY$229-BY$230</f>
        <v>0</v>
      </c>
      <c r="BZ231" s="10" t="n">
        <f aca="false">BY$231+BZ$229-BZ$230</f>
        <v>0</v>
      </c>
      <c r="CA231" s="10" t="n">
        <f aca="false">BZ$231+CA$229-CA$230</f>
        <v>0</v>
      </c>
      <c r="CB231" s="10" t="n">
        <f aca="false">CA$231+CB$229-CB$230</f>
        <v>0</v>
      </c>
      <c r="CC231" s="10" t="n">
        <f aca="false">CB$231+CC$229-CC$230</f>
        <v>0</v>
      </c>
      <c r="CD231" s="10" t="n">
        <f aca="false">CC$231+CD$229-CD$230</f>
        <v>0</v>
      </c>
      <c r="CE231" s="10" t="n">
        <f aca="false">CD$231+CE$229-CE$230</f>
        <v>0</v>
      </c>
      <c r="CF231" s="10" t="n">
        <f aca="false">CE$231+CF$229-CF$230</f>
        <v>0</v>
      </c>
      <c r="CG231" s="10" t="n">
        <f aca="false">CF$231+CG$229-CG$230</f>
        <v>0</v>
      </c>
      <c r="CH231" s="10" t="n">
        <f aca="false">CG$231+CH$229-CH$230</f>
        <v>0</v>
      </c>
      <c r="CI231" s="10" t="n">
        <f aca="false">CH$231+CI$229-CI$230</f>
        <v>0</v>
      </c>
      <c r="CJ231" s="10" t="n">
        <f aca="false">CI$231+CJ$229-CJ$230</f>
        <v>0</v>
      </c>
      <c r="CK231" s="10" t="n">
        <f aca="false">CJ$231+CK$229-CK$230</f>
        <v>0</v>
      </c>
      <c r="CL231" s="10" t="n">
        <f aca="false">CK$231+CL$229-CL$230</f>
        <v>0</v>
      </c>
      <c r="CM231" s="10" t="n">
        <f aca="false">CL$231+CM$229-CM$230</f>
        <v>0</v>
      </c>
      <c r="CN231" s="10" t="n">
        <f aca="false">CM$231+CN$229-CN$230</f>
        <v>0</v>
      </c>
      <c r="CO231" s="10" t="n">
        <f aca="false">CN$231+CO$229-CO$230</f>
        <v>0</v>
      </c>
      <c r="CP231" s="10" t="n">
        <f aca="false">CO$231+CP$229-CP$230</f>
        <v>0</v>
      </c>
      <c r="CQ231" s="10" t="n">
        <f aca="false">CP$231+CQ$229-CQ$230</f>
        <v>0</v>
      </c>
      <c r="CR231" s="10" t="n">
        <f aca="false">CQ$231+CR$229-CR$230</f>
        <v>0</v>
      </c>
      <c r="CS231" s="10" t="n">
        <f aca="false">CR$231+CS$229-CS$230</f>
        <v>0</v>
      </c>
      <c r="CT231" s="10" t="n">
        <f aca="false">CS$231+CT$229-CT$230</f>
        <v>0</v>
      </c>
      <c r="CU231" s="10" t="n">
        <f aca="false">CT$231+CU$229-CU$230</f>
        <v>0</v>
      </c>
      <c r="CV231" s="10" t="n">
        <f aca="false">CU$231+CV$229-CV$230</f>
        <v>0</v>
      </c>
      <c r="CW231" s="10" t="n">
        <f aca="false">CV$231+CW$229-CW$230</f>
        <v>0</v>
      </c>
      <c r="CX231" s="10" t="n">
        <f aca="false">CW$231+CX$229-CX$230</f>
        <v>0</v>
      </c>
      <c r="CY231" s="10" t="n">
        <f aca="false">CX$231+CY$229-CY$230</f>
        <v>0</v>
      </c>
      <c r="CZ231" s="10" t="n">
        <f aca="false">CY$231+CZ$229-CZ$230</f>
        <v>0</v>
      </c>
      <c r="DA231" s="10" t="n">
        <f aca="false">CZ$231+DA$229-DA$230</f>
        <v>0</v>
      </c>
      <c r="DB231" s="10" t="n">
        <f aca="false">DA$231+DB$229-DB$230</f>
        <v>0</v>
      </c>
      <c r="DC231" s="10" t="n">
        <f aca="false">DB$231+DC$229-DC$230</f>
        <v>0</v>
      </c>
      <c r="DD231" s="10" t="n">
        <f aca="false">DC$231+DD$229-DD$230</f>
        <v>0</v>
      </c>
      <c r="DE231" s="10" t="n">
        <f aca="false">DD$231+DE$229-DE$230</f>
        <v>0</v>
      </c>
      <c r="DF231" s="10" t="n">
        <f aca="false">DE$231+DF$229-DF$230</f>
        <v>0</v>
      </c>
      <c r="DG231" s="10" t="n">
        <f aca="false">DF$231+DG$229-DG$230</f>
        <v>0</v>
      </c>
      <c r="DH231" s="10" t="n">
        <f aca="false">DG$231+DH$229-DH$230</f>
        <v>0</v>
      </c>
      <c r="DI231" s="10" t="n">
        <f aca="false">DH$231+DI$229-DI$230</f>
        <v>0</v>
      </c>
      <c r="DJ231" s="10" t="n">
        <f aca="false">DI$231+DJ$229-DJ$230</f>
        <v>0</v>
      </c>
      <c r="DK231" s="10" t="n">
        <f aca="false">DJ$231+DK$229-DK$230</f>
        <v>0</v>
      </c>
      <c r="DL231" s="10" t="n">
        <f aca="false">DK$231+DL$229-DL$230</f>
        <v>0</v>
      </c>
      <c r="DM231" s="10" t="n">
        <f aca="false">DL$231+DM$229-DM$230</f>
        <v>0</v>
      </c>
      <c r="DN231" s="10" t="n">
        <f aca="false">DM$231+DN$229-DN$230</f>
        <v>0</v>
      </c>
      <c r="DO231" s="10" t="n">
        <f aca="false">DN$231+DO$229-DO$230</f>
        <v>0</v>
      </c>
      <c r="DP231" s="10" t="n">
        <f aca="false">DO$231+DP$229-DP$230</f>
        <v>0</v>
      </c>
      <c r="DQ231" s="10" t="n">
        <f aca="false">DP$231+DQ$229-DQ$230</f>
        <v>0</v>
      </c>
      <c r="DR231" s="10" t="n">
        <f aca="false">DQ$231+DR$229-DR$230</f>
        <v>0</v>
      </c>
      <c r="DS231" s="10" t="n">
        <f aca="false">DR$231+DS$229-DS$230</f>
        <v>0</v>
      </c>
      <c r="DT231" s="10" t="n">
        <f aca="false">DS$231+DT$229-DT$230</f>
        <v>0</v>
      </c>
      <c r="DU231" s="10" t="n">
        <f aca="false">DT$231+DU$229-DU$230</f>
        <v>0</v>
      </c>
      <c r="DV231" s="10" t="n">
        <f aca="false">DU$231+DV$229-DV$230</f>
        <v>0</v>
      </c>
      <c r="DW231" s="10" t="n">
        <f aca="false">DV$231+DW$229-DW$230</f>
        <v>0</v>
      </c>
      <c r="DX231" s="10" t="n">
        <f aca="false">DW$231+DX$229-DX$230</f>
        <v>0</v>
      </c>
      <c r="DY231" s="10" t="n">
        <f aca="false">DX$231+DY$229-DY$230</f>
        <v>0</v>
      </c>
      <c r="DZ231" s="10" t="n">
        <f aca="false">DY$231+DZ$229-DZ$230</f>
        <v>0</v>
      </c>
      <c r="EA231" s="10" t="n">
        <f aca="false">DZ$231+EA$229-EA$230</f>
        <v>0</v>
      </c>
      <c r="EB231" s="10" t="n">
        <f aca="false">EA$231+EB$229-EB$230</f>
        <v>0</v>
      </c>
      <c r="EC231" s="10" t="n">
        <f aca="false">EB$231+EC$229-EC$230</f>
        <v>0</v>
      </c>
      <c r="ED231" s="10" t="n">
        <f aca="false">EC$231+ED$229-ED$230</f>
        <v>0</v>
      </c>
      <c r="EE231" s="10" t="n">
        <f aca="false">ED$231+EE$229-EE$230</f>
        <v>0</v>
      </c>
      <c r="EF231" s="10" t="n">
        <f aca="false">EE$231+EF$229-EF$230</f>
        <v>0</v>
      </c>
      <c r="EG231" s="10" t="n">
        <f aca="false">EF$231+EG$229-EG$230</f>
        <v>0</v>
      </c>
      <c r="EH231" s="10" t="n">
        <f aca="false">EG$231+EH$229-EH$230</f>
        <v>0</v>
      </c>
      <c r="EI231" s="10" t="n">
        <f aca="false">EH$231+EI$229-EI$230</f>
        <v>0</v>
      </c>
      <c r="EJ231" s="10" t="n">
        <f aca="false">EI$231+EJ$229-EJ$230</f>
        <v>0</v>
      </c>
      <c r="EK231" s="10" t="n">
        <f aca="false">EJ$231+EK$229-EK$230</f>
        <v>0</v>
      </c>
      <c r="EL231" s="10" t="n">
        <f aca="false">EK$231+EL$229-EL$230</f>
        <v>0</v>
      </c>
      <c r="EM231" s="10" t="n">
        <f aca="false">EL$231+EM$229-EM$230</f>
        <v>0</v>
      </c>
      <c r="EN231" s="10" t="n">
        <f aca="false">EM$231+EN$229-EN$230</f>
        <v>0</v>
      </c>
      <c r="EO231" s="10" t="n">
        <f aca="false">EN$231+EO$229-EO$230</f>
        <v>0</v>
      </c>
      <c r="EP231" s="10" t="n">
        <f aca="false">EO$231+EP$229-EP$230</f>
        <v>0</v>
      </c>
      <c r="EQ231" s="10" t="n">
        <f aca="false">EP$231+EQ$229-EQ$230</f>
        <v>0</v>
      </c>
      <c r="ER231" s="10" t="n">
        <f aca="false">EQ$231+ER$229-ER$230</f>
        <v>0</v>
      </c>
      <c r="ES231" s="10" t="n">
        <f aca="false">ER$231+ES$229-ES$230</f>
        <v>0</v>
      </c>
    </row>
    <row r="232" customFormat="false" ht="15" hidden="false" customHeight="false" outlineLevel="0" collapsed="false">
      <c r="A232" s="2" t="s">
        <v>705</v>
      </c>
      <c r="B232" s="6" t="s">
        <v>583</v>
      </c>
      <c r="C232" s="6" t="s">
        <v>212</v>
      </c>
      <c r="E232" s="40" t="n">
        <f aca="false">SUM(F232:ES232)</f>
        <v>0</v>
      </c>
      <c r="F232" s="34" t="n">
        <f aca="false">IF(F$8=1,IF(Reales!$C$50="PYG",IF(F$10&gt;0,N(Reales!F50)/F$10,0),N(Reales!F50)),SUMIF(Ap_MesV,1,Ap_MontoV)*F$9)</f>
        <v>0</v>
      </c>
      <c r="G232" s="34" t="n">
        <f aca="false">IF(G$8=1,IF(Reales!$C$50="PYG",IF(G$10&gt;0,N(Reales!G50)/G$10,0),N(Reales!G50)),SUMIF(Ap_MesV,2,Ap_MontoV)*G$9)</f>
        <v>0</v>
      </c>
      <c r="H232" s="34" t="n">
        <f aca="false">IF(H$8=1,IF(Reales!$C$50="PYG",IF(H$10&gt;0,N(Reales!H50)/H$10,0),N(Reales!H50)),SUMIF(Ap_MesV,3,Ap_MontoV)*H$9)</f>
        <v>0</v>
      </c>
      <c r="I232" s="34" t="n">
        <f aca="false">IF(I$8=1,IF(Reales!$C$50="PYG",IF(I$10&gt;0,N(Reales!I50)/I$10,0),N(Reales!I50)),SUMIF(Ap_MesV,4,Ap_MontoV)*I$9)</f>
        <v>0</v>
      </c>
      <c r="J232" s="34" t="n">
        <f aca="false">IF(J$8=1,IF(Reales!$C$50="PYG",IF(J$10&gt;0,N(Reales!J50)/J$10,0),N(Reales!J50)),SUMIF(Ap_MesV,5,Ap_MontoV)*J$9)</f>
        <v>0</v>
      </c>
      <c r="K232" s="34" t="n">
        <f aca="false">IF(K$8=1,IF(Reales!$C$50="PYG",IF(K$10&gt;0,N(Reales!K50)/K$10,0),N(Reales!K50)),SUMIF(Ap_MesV,6,Ap_MontoV)*K$9)</f>
        <v>0</v>
      </c>
      <c r="L232" s="34" t="n">
        <f aca="false">IF(L$8=1,IF(Reales!$C$50="PYG",IF(L$10&gt;0,N(Reales!L50)/L$10,0),N(Reales!L50)),SUMIF(Ap_MesV,7,Ap_MontoV)*L$9)</f>
        <v>0</v>
      </c>
      <c r="M232" s="34" t="n">
        <f aca="false">IF(M$8=1,IF(Reales!$C$50="PYG",IF(M$10&gt;0,N(Reales!M50)/M$10,0),N(Reales!M50)),SUMIF(Ap_MesV,8,Ap_MontoV)*M$9)</f>
        <v>0</v>
      </c>
      <c r="N232" s="34" t="n">
        <f aca="false">IF(N$8=1,IF(Reales!$C$50="PYG",IF(N$10&gt;0,N(Reales!N50)/N$10,0),N(Reales!N50)),SUMIF(Ap_MesV,9,Ap_MontoV)*N$9)</f>
        <v>0</v>
      </c>
      <c r="O232" s="34" t="n">
        <f aca="false">IF(O$8=1,IF(Reales!$C$50="PYG",IF(O$10&gt;0,N(Reales!O50)/O$10,0),N(Reales!O50)),SUMIF(Ap_MesV,10,Ap_MontoV)*O$9)</f>
        <v>0</v>
      </c>
      <c r="P232" s="34" t="n">
        <f aca="false">IF(P$8=1,IF(Reales!$C$50="PYG",IF(P$10&gt;0,N(Reales!P50)/P$10,0),N(Reales!P50)),SUMIF(Ap_MesV,11,Ap_MontoV)*P$9)</f>
        <v>0</v>
      </c>
      <c r="Q232" s="34" t="n">
        <f aca="false">IF(Q$8=1,IF(Reales!$C$50="PYG",IF(Q$10&gt;0,N(Reales!Q50)/Q$10,0),N(Reales!Q50)),SUMIF(Ap_MesV,12,Ap_MontoV)*Q$9)</f>
        <v>0</v>
      </c>
      <c r="R232" s="34" t="n">
        <f aca="false">IF(R$8=1,IF(Reales!$C$50="PYG",IF(R$10&gt;0,N(Reales!R50)/R$10,0),N(Reales!R50)),SUMIF(Ap_MesV,13,Ap_MontoV)*R$9)</f>
        <v>0</v>
      </c>
      <c r="S232" s="34" t="n">
        <f aca="false">IF(S$8=1,IF(Reales!$C$50="PYG",IF(S$10&gt;0,N(Reales!S50)/S$10,0),N(Reales!S50)),SUMIF(Ap_MesV,14,Ap_MontoV)*S$9)</f>
        <v>0</v>
      </c>
      <c r="T232" s="34" t="n">
        <f aca="false">IF(T$8=1,IF(Reales!$C$50="PYG",IF(T$10&gt;0,N(Reales!T50)/T$10,0),N(Reales!T50)),SUMIF(Ap_MesV,15,Ap_MontoV)*T$9)</f>
        <v>0</v>
      </c>
      <c r="U232" s="34" t="n">
        <f aca="false">IF(U$8=1,IF(Reales!$C$50="PYG",IF(U$10&gt;0,N(Reales!U50)/U$10,0),N(Reales!U50)),SUMIF(Ap_MesV,16,Ap_MontoV)*U$9)</f>
        <v>0</v>
      </c>
      <c r="V232" s="34" t="n">
        <f aca="false">IF(V$8=1,IF(Reales!$C$50="PYG",IF(V$10&gt;0,N(Reales!V50)/V$10,0),N(Reales!V50)),SUMIF(Ap_MesV,17,Ap_MontoV)*V$9)</f>
        <v>0</v>
      </c>
      <c r="W232" s="34" t="n">
        <f aca="false">IF(W$8=1,IF(Reales!$C$50="PYG",IF(W$10&gt;0,N(Reales!W50)/W$10,0),N(Reales!W50)),SUMIF(Ap_MesV,18,Ap_MontoV)*W$9)</f>
        <v>0</v>
      </c>
      <c r="X232" s="34" t="n">
        <f aca="false">IF(X$8=1,IF(Reales!$C$50="PYG",IF(X$10&gt;0,N(Reales!X50)/X$10,0),N(Reales!X50)),SUMIF(Ap_MesV,19,Ap_MontoV)*X$9)</f>
        <v>0</v>
      </c>
      <c r="Y232" s="34" t="n">
        <f aca="false">IF(Y$8=1,IF(Reales!$C$50="PYG",IF(Y$10&gt;0,N(Reales!Y50)/Y$10,0),N(Reales!Y50)),SUMIF(Ap_MesV,20,Ap_MontoV)*Y$9)</f>
        <v>0</v>
      </c>
      <c r="Z232" s="34" t="n">
        <f aca="false">IF(Z$8=1,IF(Reales!$C$50="PYG",IF(Z$10&gt;0,N(Reales!Z50)/Z$10,0),N(Reales!Z50)),SUMIF(Ap_MesV,21,Ap_MontoV)*Z$9)</f>
        <v>0</v>
      </c>
      <c r="AA232" s="34" t="n">
        <f aca="false">IF(AA$8=1,IF(Reales!$C$50="PYG",IF(AA$10&gt;0,N(Reales!AA50)/AA$10,0),N(Reales!AA50)),SUMIF(Ap_MesV,22,Ap_MontoV)*AA$9)</f>
        <v>0</v>
      </c>
      <c r="AB232" s="34" t="n">
        <f aca="false">IF(AB$8=1,IF(Reales!$C$50="PYG",IF(AB$10&gt;0,N(Reales!AB50)/AB$10,0),N(Reales!AB50)),SUMIF(Ap_MesV,23,Ap_MontoV)*AB$9)</f>
        <v>0</v>
      </c>
      <c r="AC232" s="34" t="n">
        <f aca="false">IF(AC$8=1,IF(Reales!$C$50="PYG",IF(AC$10&gt;0,N(Reales!AC50)/AC$10,0),N(Reales!AC50)),SUMIF(Ap_MesV,24,Ap_MontoV)*AC$9)</f>
        <v>0</v>
      </c>
      <c r="AD232" s="34" t="n">
        <f aca="false">IF(AD$8=1,IF(Reales!$C$50="PYG",IF(AD$10&gt;0,N(Reales!AD50)/AD$10,0),N(Reales!AD50)),SUMIF(Ap_MesV,25,Ap_MontoV)*AD$9)</f>
        <v>0</v>
      </c>
      <c r="AE232" s="34" t="n">
        <f aca="false">IF(AE$8=1,IF(Reales!$C$50="PYG",IF(AE$10&gt;0,N(Reales!AE50)/AE$10,0),N(Reales!AE50)),SUMIF(Ap_MesV,26,Ap_MontoV)*AE$9)</f>
        <v>0</v>
      </c>
      <c r="AF232" s="34" t="n">
        <f aca="false">IF(AF$8=1,IF(Reales!$C$50="PYG",IF(AF$10&gt;0,N(Reales!AF50)/AF$10,0),N(Reales!AF50)),SUMIF(Ap_MesV,27,Ap_MontoV)*AF$9)</f>
        <v>0</v>
      </c>
      <c r="AG232" s="34" t="n">
        <f aca="false">IF(AG$8=1,IF(Reales!$C$50="PYG",IF(AG$10&gt;0,N(Reales!AG50)/AG$10,0),N(Reales!AG50)),SUMIF(Ap_MesV,28,Ap_MontoV)*AG$9)</f>
        <v>0</v>
      </c>
      <c r="AH232" s="34" t="n">
        <f aca="false">IF(AH$8=1,IF(Reales!$C$50="PYG",IF(AH$10&gt;0,N(Reales!AH50)/AH$10,0),N(Reales!AH50)),SUMIF(Ap_MesV,29,Ap_MontoV)*AH$9)</f>
        <v>0</v>
      </c>
      <c r="AI232" s="34" t="n">
        <f aca="false">IF(AI$8=1,IF(Reales!$C$50="PYG",IF(AI$10&gt;0,N(Reales!AI50)/AI$10,0),N(Reales!AI50)),SUMIF(Ap_MesV,30,Ap_MontoV)*AI$9)</f>
        <v>0</v>
      </c>
      <c r="AJ232" s="34" t="n">
        <f aca="false">IF(AJ$8=1,IF(Reales!$C$50="PYG",IF(AJ$10&gt;0,N(Reales!AJ50)/AJ$10,0),N(Reales!AJ50)),SUMIF(Ap_MesV,31,Ap_MontoV)*AJ$9)</f>
        <v>0</v>
      </c>
      <c r="AK232" s="34" t="n">
        <f aca="false">IF(AK$8=1,IF(Reales!$C$50="PYG",IF(AK$10&gt;0,N(Reales!AK50)/AK$10,0),N(Reales!AK50)),SUMIF(Ap_MesV,32,Ap_MontoV)*AK$9)</f>
        <v>0</v>
      </c>
      <c r="AL232" s="34" t="n">
        <f aca="false">IF(AL$8=1,IF(Reales!$C$50="PYG",IF(AL$10&gt;0,N(Reales!AL50)/AL$10,0),N(Reales!AL50)),SUMIF(Ap_MesV,33,Ap_MontoV)*AL$9)</f>
        <v>0</v>
      </c>
      <c r="AM232" s="34" t="n">
        <f aca="false">IF(AM$8=1,IF(Reales!$C$50="PYG",IF(AM$10&gt;0,N(Reales!AM50)/AM$10,0),N(Reales!AM50)),SUMIF(Ap_MesV,34,Ap_MontoV)*AM$9)</f>
        <v>0</v>
      </c>
      <c r="AN232" s="34" t="n">
        <f aca="false">IF(AN$8=1,IF(Reales!$C$50="PYG",IF(AN$10&gt;0,N(Reales!AN50)/AN$10,0),N(Reales!AN50)),SUMIF(Ap_MesV,35,Ap_MontoV)*AN$9)</f>
        <v>0</v>
      </c>
      <c r="AO232" s="34" t="n">
        <f aca="false">IF(AO$8=1,IF(Reales!$C$50="PYG",IF(AO$10&gt;0,N(Reales!AO50)/AO$10,0),N(Reales!AO50)),SUMIF(Ap_MesV,36,Ap_MontoV)*AO$9)</f>
        <v>0</v>
      </c>
      <c r="AP232" s="34" t="n">
        <f aca="false">IF(AP$8=1,IF(Reales!$C$50="PYG",IF(AP$10&gt;0,N(Reales!AP50)/AP$10,0),N(Reales!AP50)),SUMIF(Ap_MesV,37,Ap_MontoV)*AP$9)</f>
        <v>0</v>
      </c>
      <c r="AQ232" s="34" t="n">
        <f aca="false">IF(AQ$8=1,IF(Reales!$C$50="PYG",IF(AQ$10&gt;0,N(Reales!AQ50)/AQ$10,0),N(Reales!AQ50)),SUMIF(Ap_MesV,38,Ap_MontoV)*AQ$9)</f>
        <v>0</v>
      </c>
      <c r="AR232" s="34" t="n">
        <f aca="false">IF(AR$8=1,IF(Reales!$C$50="PYG",IF(AR$10&gt;0,N(Reales!AR50)/AR$10,0),N(Reales!AR50)),SUMIF(Ap_MesV,39,Ap_MontoV)*AR$9)</f>
        <v>0</v>
      </c>
      <c r="AS232" s="34" t="n">
        <f aca="false">IF(AS$8=1,IF(Reales!$C$50="PYG",IF(AS$10&gt;0,N(Reales!AS50)/AS$10,0),N(Reales!AS50)),SUMIF(Ap_MesV,40,Ap_MontoV)*AS$9)</f>
        <v>0</v>
      </c>
      <c r="AT232" s="34" t="n">
        <f aca="false">IF(AT$8=1,IF(Reales!$C$50="PYG",IF(AT$10&gt;0,N(Reales!AT50)/AT$10,0),N(Reales!AT50)),SUMIF(Ap_MesV,41,Ap_MontoV)*AT$9)</f>
        <v>0</v>
      </c>
      <c r="AU232" s="34" t="n">
        <f aca="false">IF(AU$8=1,IF(Reales!$C$50="PYG",IF(AU$10&gt;0,N(Reales!AU50)/AU$10,0),N(Reales!AU50)),SUMIF(Ap_MesV,42,Ap_MontoV)*AU$9)</f>
        <v>0</v>
      </c>
      <c r="AV232" s="34" t="n">
        <f aca="false">IF(AV$8=1,IF(Reales!$C$50="PYG",IF(AV$10&gt;0,N(Reales!AV50)/AV$10,0),N(Reales!AV50)),SUMIF(Ap_MesV,43,Ap_MontoV)*AV$9)</f>
        <v>0</v>
      </c>
      <c r="AW232" s="34" t="n">
        <f aca="false">IF(AW$8=1,IF(Reales!$C$50="PYG",IF(AW$10&gt;0,N(Reales!AW50)/AW$10,0),N(Reales!AW50)),SUMIF(Ap_MesV,44,Ap_MontoV)*AW$9)</f>
        <v>0</v>
      </c>
      <c r="AX232" s="34" t="n">
        <f aca="false">IF(AX$8=1,IF(Reales!$C$50="PYG",IF(AX$10&gt;0,N(Reales!AX50)/AX$10,0),N(Reales!AX50)),SUMIF(Ap_MesV,45,Ap_MontoV)*AX$9)</f>
        <v>0</v>
      </c>
      <c r="AY232" s="34" t="n">
        <f aca="false">IF(AY$8=1,IF(Reales!$C$50="PYG",IF(AY$10&gt;0,N(Reales!AY50)/AY$10,0),N(Reales!AY50)),SUMIF(Ap_MesV,46,Ap_MontoV)*AY$9)</f>
        <v>0</v>
      </c>
      <c r="AZ232" s="34" t="n">
        <f aca="false">IF(AZ$8=1,IF(Reales!$C$50="PYG",IF(AZ$10&gt;0,N(Reales!AZ50)/AZ$10,0),N(Reales!AZ50)),SUMIF(Ap_MesV,47,Ap_MontoV)*AZ$9)</f>
        <v>0</v>
      </c>
      <c r="BA232" s="34" t="n">
        <f aca="false">IF(BA$8=1,IF(Reales!$C$50="PYG",IF(BA$10&gt;0,N(Reales!BA50)/BA$10,0),N(Reales!BA50)),SUMIF(Ap_MesV,48,Ap_MontoV)*BA$9)</f>
        <v>0</v>
      </c>
      <c r="BB232" s="34" t="n">
        <f aca="false">IF(BB$8=1,IF(Reales!$C$50="PYG",IF(BB$10&gt;0,N(Reales!BB50)/BB$10,0),N(Reales!BB50)),SUMIF(Ap_MesV,49,Ap_MontoV)*BB$9)</f>
        <v>0</v>
      </c>
      <c r="BC232" s="34" t="n">
        <f aca="false">IF(BC$8=1,IF(Reales!$C$50="PYG",IF(BC$10&gt;0,N(Reales!BC50)/BC$10,0),N(Reales!BC50)),SUMIF(Ap_MesV,50,Ap_MontoV)*BC$9)</f>
        <v>0</v>
      </c>
      <c r="BD232" s="34" t="n">
        <f aca="false">IF(BD$8=1,IF(Reales!$C$50="PYG",IF(BD$10&gt;0,N(Reales!BD50)/BD$10,0),N(Reales!BD50)),SUMIF(Ap_MesV,51,Ap_MontoV)*BD$9)</f>
        <v>0</v>
      </c>
      <c r="BE232" s="34" t="n">
        <f aca="false">IF(BE$8=1,IF(Reales!$C$50="PYG",IF(BE$10&gt;0,N(Reales!BE50)/BE$10,0),N(Reales!BE50)),SUMIF(Ap_MesV,52,Ap_MontoV)*BE$9)</f>
        <v>0</v>
      </c>
      <c r="BF232" s="34" t="n">
        <f aca="false">IF(BF$8=1,IF(Reales!$C$50="PYG",IF(BF$10&gt;0,N(Reales!BF50)/BF$10,0),N(Reales!BF50)),SUMIF(Ap_MesV,53,Ap_MontoV)*BF$9)</f>
        <v>0</v>
      </c>
      <c r="BG232" s="34" t="n">
        <f aca="false">IF(BG$8=1,IF(Reales!$C$50="PYG",IF(BG$10&gt;0,N(Reales!BG50)/BG$10,0),N(Reales!BG50)),SUMIF(Ap_MesV,54,Ap_MontoV)*BG$9)</f>
        <v>0</v>
      </c>
      <c r="BH232" s="34" t="n">
        <f aca="false">IF(BH$8=1,IF(Reales!$C$50="PYG",IF(BH$10&gt;0,N(Reales!BH50)/BH$10,0),N(Reales!BH50)),SUMIF(Ap_MesV,55,Ap_MontoV)*BH$9)</f>
        <v>0</v>
      </c>
      <c r="BI232" s="34" t="n">
        <f aca="false">IF(BI$8=1,IF(Reales!$C$50="PYG",IF(BI$10&gt;0,N(Reales!BI50)/BI$10,0),N(Reales!BI50)),SUMIF(Ap_MesV,56,Ap_MontoV)*BI$9)</f>
        <v>0</v>
      </c>
      <c r="BJ232" s="34" t="n">
        <f aca="false">IF(BJ$8=1,IF(Reales!$C$50="PYG",IF(BJ$10&gt;0,N(Reales!BJ50)/BJ$10,0),N(Reales!BJ50)),SUMIF(Ap_MesV,57,Ap_MontoV)*BJ$9)</f>
        <v>0</v>
      </c>
      <c r="BK232" s="34" t="n">
        <f aca="false">IF(BK$8=1,IF(Reales!$C$50="PYG",IF(BK$10&gt;0,N(Reales!BK50)/BK$10,0),N(Reales!BK50)),SUMIF(Ap_MesV,58,Ap_MontoV)*BK$9)</f>
        <v>0</v>
      </c>
      <c r="BL232" s="34" t="n">
        <f aca="false">IF(BL$8=1,IF(Reales!$C$50="PYG",IF(BL$10&gt;0,N(Reales!BL50)/BL$10,0),N(Reales!BL50)),SUMIF(Ap_MesV,59,Ap_MontoV)*BL$9)</f>
        <v>0</v>
      </c>
      <c r="BM232" s="34" t="n">
        <f aca="false">IF(BM$8=1,IF(Reales!$C$50="PYG",IF(BM$10&gt;0,N(Reales!BM50)/BM$10,0),N(Reales!BM50)),SUMIF(Ap_MesV,60,Ap_MontoV)*BM$9)</f>
        <v>0</v>
      </c>
      <c r="BN232" s="34" t="n">
        <f aca="false">IF(BN$8=1,IF(Reales!$C$50="PYG",IF(BN$10&gt;0,N(Reales!BN50)/BN$10,0),N(Reales!BN50)),SUMIF(Ap_MesV,61,Ap_MontoV)*BN$9)</f>
        <v>0</v>
      </c>
      <c r="BO232" s="34" t="n">
        <f aca="false">IF(BO$8=1,IF(Reales!$C$50="PYG",IF(BO$10&gt;0,N(Reales!BO50)/BO$10,0),N(Reales!BO50)),SUMIF(Ap_MesV,62,Ap_MontoV)*BO$9)</f>
        <v>0</v>
      </c>
      <c r="BP232" s="34" t="n">
        <f aca="false">IF(BP$8=1,IF(Reales!$C$50="PYG",IF(BP$10&gt;0,N(Reales!BP50)/BP$10,0),N(Reales!BP50)),SUMIF(Ap_MesV,63,Ap_MontoV)*BP$9)</f>
        <v>0</v>
      </c>
      <c r="BQ232" s="34" t="n">
        <f aca="false">IF(BQ$8=1,IF(Reales!$C$50="PYG",IF(BQ$10&gt;0,N(Reales!BQ50)/BQ$10,0),N(Reales!BQ50)),SUMIF(Ap_MesV,64,Ap_MontoV)*BQ$9)</f>
        <v>0</v>
      </c>
      <c r="BR232" s="34" t="n">
        <f aca="false">IF(BR$8=1,IF(Reales!$C$50="PYG",IF(BR$10&gt;0,N(Reales!BR50)/BR$10,0),N(Reales!BR50)),SUMIF(Ap_MesV,65,Ap_MontoV)*BR$9)</f>
        <v>0</v>
      </c>
      <c r="BS232" s="34" t="n">
        <f aca="false">IF(BS$8=1,IF(Reales!$C$50="PYG",IF(BS$10&gt;0,N(Reales!BS50)/BS$10,0),N(Reales!BS50)),SUMIF(Ap_MesV,66,Ap_MontoV)*BS$9)</f>
        <v>0</v>
      </c>
      <c r="BT232" s="34" t="n">
        <f aca="false">IF(BT$8=1,IF(Reales!$C$50="PYG",IF(BT$10&gt;0,N(Reales!BT50)/BT$10,0),N(Reales!BT50)),SUMIF(Ap_MesV,67,Ap_MontoV)*BT$9)</f>
        <v>0</v>
      </c>
      <c r="BU232" s="34" t="n">
        <f aca="false">IF(BU$8=1,IF(Reales!$C$50="PYG",IF(BU$10&gt;0,N(Reales!BU50)/BU$10,0),N(Reales!BU50)),SUMIF(Ap_MesV,68,Ap_MontoV)*BU$9)</f>
        <v>0</v>
      </c>
      <c r="BV232" s="34" t="n">
        <f aca="false">IF(BV$8=1,IF(Reales!$C$50="PYG",IF(BV$10&gt;0,N(Reales!BV50)/BV$10,0),N(Reales!BV50)),SUMIF(Ap_MesV,69,Ap_MontoV)*BV$9)</f>
        <v>0</v>
      </c>
      <c r="BW232" s="34" t="n">
        <f aca="false">IF(BW$8=1,IF(Reales!$C$50="PYG",IF(BW$10&gt;0,N(Reales!BW50)/BW$10,0),N(Reales!BW50)),SUMIF(Ap_MesV,70,Ap_MontoV)*BW$9)</f>
        <v>0</v>
      </c>
      <c r="BX232" s="34" t="n">
        <f aca="false">IF(BX$8=1,IF(Reales!$C$50="PYG",IF(BX$10&gt;0,N(Reales!BX50)/BX$10,0),N(Reales!BX50)),SUMIF(Ap_MesV,71,Ap_MontoV)*BX$9)</f>
        <v>0</v>
      </c>
      <c r="BY232" s="34" t="n">
        <f aca="false">IF(BY$8=1,IF(Reales!$C$50="PYG",IF(BY$10&gt;0,N(Reales!BY50)/BY$10,0),N(Reales!BY50)),SUMIF(Ap_MesV,72,Ap_MontoV)*BY$9)</f>
        <v>0</v>
      </c>
      <c r="BZ232" s="34" t="n">
        <f aca="false">IF(BZ$8=1,IF(Reales!$C$50="PYG",IF(BZ$10&gt;0,N(Reales!BZ50)/BZ$10,0),N(Reales!BZ50)),SUMIF(Ap_MesV,73,Ap_MontoV)*BZ$9)</f>
        <v>0</v>
      </c>
      <c r="CA232" s="34" t="n">
        <f aca="false">IF(CA$8=1,IF(Reales!$C$50="PYG",IF(CA$10&gt;0,N(Reales!CA50)/CA$10,0),N(Reales!CA50)),SUMIF(Ap_MesV,74,Ap_MontoV)*CA$9)</f>
        <v>0</v>
      </c>
      <c r="CB232" s="34" t="n">
        <f aca="false">IF(CB$8=1,IF(Reales!$C$50="PYG",IF(CB$10&gt;0,N(Reales!CB50)/CB$10,0),N(Reales!CB50)),SUMIF(Ap_MesV,75,Ap_MontoV)*CB$9)</f>
        <v>0</v>
      </c>
      <c r="CC232" s="34" t="n">
        <f aca="false">IF(CC$8=1,IF(Reales!$C$50="PYG",IF(CC$10&gt;0,N(Reales!CC50)/CC$10,0),N(Reales!CC50)),SUMIF(Ap_MesV,76,Ap_MontoV)*CC$9)</f>
        <v>0</v>
      </c>
      <c r="CD232" s="34" t="n">
        <f aca="false">IF(CD$8=1,IF(Reales!$C$50="PYG",IF(CD$10&gt;0,N(Reales!CD50)/CD$10,0),N(Reales!CD50)),SUMIF(Ap_MesV,77,Ap_MontoV)*CD$9)</f>
        <v>0</v>
      </c>
      <c r="CE232" s="34" t="n">
        <f aca="false">IF(CE$8=1,IF(Reales!$C$50="PYG",IF(CE$10&gt;0,N(Reales!CE50)/CE$10,0),N(Reales!CE50)),SUMIF(Ap_MesV,78,Ap_MontoV)*CE$9)</f>
        <v>0</v>
      </c>
      <c r="CF232" s="34" t="n">
        <f aca="false">IF(CF$8=1,IF(Reales!$C$50="PYG",IF(CF$10&gt;0,N(Reales!CF50)/CF$10,0),N(Reales!CF50)),SUMIF(Ap_MesV,79,Ap_MontoV)*CF$9)</f>
        <v>0</v>
      </c>
      <c r="CG232" s="34" t="n">
        <f aca="false">IF(CG$8=1,IF(Reales!$C$50="PYG",IF(CG$10&gt;0,N(Reales!CG50)/CG$10,0),N(Reales!CG50)),SUMIF(Ap_MesV,80,Ap_MontoV)*CG$9)</f>
        <v>0</v>
      </c>
      <c r="CH232" s="34" t="n">
        <f aca="false">IF(CH$8=1,IF(Reales!$C$50="PYG",IF(CH$10&gt;0,N(Reales!CH50)/CH$10,0),N(Reales!CH50)),SUMIF(Ap_MesV,81,Ap_MontoV)*CH$9)</f>
        <v>0</v>
      </c>
      <c r="CI232" s="34" t="n">
        <f aca="false">IF(CI$8=1,IF(Reales!$C$50="PYG",IF(CI$10&gt;0,N(Reales!CI50)/CI$10,0),N(Reales!CI50)),SUMIF(Ap_MesV,82,Ap_MontoV)*CI$9)</f>
        <v>0</v>
      </c>
      <c r="CJ232" s="34" t="n">
        <f aca="false">IF(CJ$8=1,IF(Reales!$C$50="PYG",IF(CJ$10&gt;0,N(Reales!CJ50)/CJ$10,0),N(Reales!CJ50)),SUMIF(Ap_MesV,83,Ap_MontoV)*CJ$9)</f>
        <v>0</v>
      </c>
      <c r="CK232" s="34" t="n">
        <f aca="false">IF(CK$8=1,IF(Reales!$C$50="PYG",IF(CK$10&gt;0,N(Reales!CK50)/CK$10,0),N(Reales!CK50)),SUMIF(Ap_MesV,84,Ap_MontoV)*CK$9)</f>
        <v>0</v>
      </c>
      <c r="CL232" s="34" t="n">
        <f aca="false">IF(CL$8=1,IF(Reales!$C$50="PYG",IF(CL$10&gt;0,N(Reales!CL50)/CL$10,0),N(Reales!CL50)),SUMIF(Ap_MesV,85,Ap_MontoV)*CL$9)</f>
        <v>0</v>
      </c>
      <c r="CM232" s="34" t="n">
        <f aca="false">IF(CM$8=1,IF(Reales!$C$50="PYG",IF(CM$10&gt;0,N(Reales!CM50)/CM$10,0),N(Reales!CM50)),SUMIF(Ap_MesV,86,Ap_MontoV)*CM$9)</f>
        <v>0</v>
      </c>
      <c r="CN232" s="34" t="n">
        <f aca="false">IF(CN$8=1,IF(Reales!$C$50="PYG",IF(CN$10&gt;0,N(Reales!CN50)/CN$10,0),N(Reales!CN50)),SUMIF(Ap_MesV,87,Ap_MontoV)*CN$9)</f>
        <v>0</v>
      </c>
      <c r="CO232" s="34" t="n">
        <f aca="false">IF(CO$8=1,IF(Reales!$C$50="PYG",IF(CO$10&gt;0,N(Reales!CO50)/CO$10,0),N(Reales!CO50)),SUMIF(Ap_MesV,88,Ap_MontoV)*CO$9)</f>
        <v>0</v>
      </c>
      <c r="CP232" s="34" t="n">
        <f aca="false">IF(CP$8=1,IF(Reales!$C$50="PYG",IF(CP$10&gt;0,N(Reales!CP50)/CP$10,0),N(Reales!CP50)),SUMIF(Ap_MesV,89,Ap_MontoV)*CP$9)</f>
        <v>0</v>
      </c>
      <c r="CQ232" s="34" t="n">
        <f aca="false">IF(CQ$8=1,IF(Reales!$C$50="PYG",IF(CQ$10&gt;0,N(Reales!CQ50)/CQ$10,0),N(Reales!CQ50)),SUMIF(Ap_MesV,90,Ap_MontoV)*CQ$9)</f>
        <v>0</v>
      </c>
      <c r="CR232" s="34" t="n">
        <f aca="false">IF(CR$8=1,IF(Reales!$C$50="PYG",IF(CR$10&gt;0,N(Reales!CR50)/CR$10,0),N(Reales!CR50)),SUMIF(Ap_MesV,91,Ap_MontoV)*CR$9)</f>
        <v>0</v>
      </c>
      <c r="CS232" s="34" t="n">
        <f aca="false">IF(CS$8=1,IF(Reales!$C$50="PYG",IF(CS$10&gt;0,N(Reales!CS50)/CS$10,0),N(Reales!CS50)),SUMIF(Ap_MesV,92,Ap_MontoV)*CS$9)</f>
        <v>0</v>
      </c>
      <c r="CT232" s="34" t="n">
        <f aca="false">IF(CT$8=1,IF(Reales!$C$50="PYG",IF(CT$10&gt;0,N(Reales!CT50)/CT$10,0),N(Reales!CT50)),SUMIF(Ap_MesV,93,Ap_MontoV)*CT$9)</f>
        <v>0</v>
      </c>
      <c r="CU232" s="34" t="n">
        <f aca="false">IF(CU$8=1,IF(Reales!$C$50="PYG",IF(CU$10&gt;0,N(Reales!CU50)/CU$10,0),N(Reales!CU50)),SUMIF(Ap_MesV,94,Ap_MontoV)*CU$9)</f>
        <v>0</v>
      </c>
      <c r="CV232" s="34" t="n">
        <f aca="false">IF(CV$8=1,IF(Reales!$C$50="PYG",IF(CV$10&gt;0,N(Reales!CV50)/CV$10,0),N(Reales!CV50)),SUMIF(Ap_MesV,95,Ap_MontoV)*CV$9)</f>
        <v>0</v>
      </c>
      <c r="CW232" s="34" t="n">
        <f aca="false">IF(CW$8=1,IF(Reales!$C$50="PYG",IF(CW$10&gt;0,N(Reales!CW50)/CW$10,0),N(Reales!CW50)),SUMIF(Ap_MesV,96,Ap_MontoV)*CW$9)</f>
        <v>0</v>
      </c>
      <c r="CX232" s="34" t="n">
        <f aca="false">IF(CX$8=1,IF(Reales!$C$50="PYG",IF(CX$10&gt;0,N(Reales!CX50)/CX$10,0),N(Reales!CX50)),SUMIF(Ap_MesV,97,Ap_MontoV)*CX$9)</f>
        <v>0</v>
      </c>
      <c r="CY232" s="34" t="n">
        <f aca="false">IF(CY$8=1,IF(Reales!$C$50="PYG",IF(CY$10&gt;0,N(Reales!CY50)/CY$10,0),N(Reales!CY50)),SUMIF(Ap_MesV,98,Ap_MontoV)*CY$9)</f>
        <v>0</v>
      </c>
      <c r="CZ232" s="34" t="n">
        <f aca="false">IF(CZ$8=1,IF(Reales!$C$50="PYG",IF(CZ$10&gt;0,N(Reales!CZ50)/CZ$10,0),N(Reales!CZ50)),SUMIF(Ap_MesV,99,Ap_MontoV)*CZ$9)</f>
        <v>0</v>
      </c>
      <c r="DA232" s="34" t="n">
        <f aca="false">IF(DA$8=1,IF(Reales!$C$50="PYG",IF(DA$10&gt;0,N(Reales!DA50)/DA$10,0),N(Reales!DA50)),SUMIF(Ap_MesV,100,Ap_MontoV)*DA$9)</f>
        <v>0</v>
      </c>
      <c r="DB232" s="34" t="n">
        <f aca="false">IF(DB$8=1,IF(Reales!$C$50="PYG",IF(DB$10&gt;0,N(Reales!DB50)/DB$10,0),N(Reales!DB50)),SUMIF(Ap_MesV,101,Ap_MontoV)*DB$9)</f>
        <v>0</v>
      </c>
      <c r="DC232" s="34" t="n">
        <f aca="false">IF(DC$8=1,IF(Reales!$C$50="PYG",IF(DC$10&gt;0,N(Reales!DC50)/DC$10,0),N(Reales!DC50)),SUMIF(Ap_MesV,102,Ap_MontoV)*DC$9)</f>
        <v>0</v>
      </c>
      <c r="DD232" s="34" t="n">
        <f aca="false">IF(DD$8=1,IF(Reales!$C$50="PYG",IF(DD$10&gt;0,N(Reales!DD50)/DD$10,0),N(Reales!DD50)),SUMIF(Ap_MesV,103,Ap_MontoV)*DD$9)</f>
        <v>0</v>
      </c>
      <c r="DE232" s="34" t="n">
        <f aca="false">IF(DE$8=1,IF(Reales!$C$50="PYG",IF(DE$10&gt;0,N(Reales!DE50)/DE$10,0),N(Reales!DE50)),SUMIF(Ap_MesV,104,Ap_MontoV)*DE$9)</f>
        <v>0</v>
      </c>
      <c r="DF232" s="34" t="n">
        <f aca="false">IF(DF$8=1,IF(Reales!$C$50="PYG",IF(DF$10&gt;0,N(Reales!DF50)/DF$10,0),N(Reales!DF50)),SUMIF(Ap_MesV,105,Ap_MontoV)*DF$9)</f>
        <v>0</v>
      </c>
      <c r="DG232" s="34" t="n">
        <f aca="false">IF(DG$8=1,IF(Reales!$C$50="PYG",IF(DG$10&gt;0,N(Reales!DG50)/DG$10,0),N(Reales!DG50)),SUMIF(Ap_MesV,106,Ap_MontoV)*DG$9)</f>
        <v>0</v>
      </c>
      <c r="DH232" s="34" t="n">
        <f aca="false">IF(DH$8=1,IF(Reales!$C$50="PYG",IF(DH$10&gt;0,N(Reales!DH50)/DH$10,0),N(Reales!DH50)),SUMIF(Ap_MesV,107,Ap_MontoV)*DH$9)</f>
        <v>0</v>
      </c>
      <c r="DI232" s="34" t="n">
        <f aca="false">IF(DI$8=1,IF(Reales!$C$50="PYG",IF(DI$10&gt;0,N(Reales!DI50)/DI$10,0),N(Reales!DI50)),SUMIF(Ap_MesV,108,Ap_MontoV)*DI$9)</f>
        <v>0</v>
      </c>
      <c r="DJ232" s="34" t="n">
        <f aca="false">IF(DJ$8=1,IF(Reales!$C$50="PYG",IF(DJ$10&gt;0,N(Reales!DJ50)/DJ$10,0),N(Reales!DJ50)),SUMIF(Ap_MesV,109,Ap_MontoV)*DJ$9)</f>
        <v>0</v>
      </c>
      <c r="DK232" s="34" t="n">
        <f aca="false">IF(DK$8=1,IF(Reales!$C$50="PYG",IF(DK$10&gt;0,N(Reales!DK50)/DK$10,0),N(Reales!DK50)),SUMIF(Ap_MesV,110,Ap_MontoV)*DK$9)</f>
        <v>0</v>
      </c>
      <c r="DL232" s="34" t="n">
        <f aca="false">IF(DL$8=1,IF(Reales!$C$50="PYG",IF(DL$10&gt;0,N(Reales!DL50)/DL$10,0),N(Reales!DL50)),SUMIF(Ap_MesV,111,Ap_MontoV)*DL$9)</f>
        <v>0</v>
      </c>
      <c r="DM232" s="34" t="n">
        <f aca="false">IF(DM$8=1,IF(Reales!$C$50="PYG",IF(DM$10&gt;0,N(Reales!DM50)/DM$10,0),N(Reales!DM50)),SUMIF(Ap_MesV,112,Ap_MontoV)*DM$9)</f>
        <v>0</v>
      </c>
      <c r="DN232" s="34" t="n">
        <f aca="false">IF(DN$8=1,IF(Reales!$C$50="PYG",IF(DN$10&gt;0,N(Reales!DN50)/DN$10,0),N(Reales!DN50)),SUMIF(Ap_MesV,113,Ap_MontoV)*DN$9)</f>
        <v>0</v>
      </c>
      <c r="DO232" s="34" t="n">
        <f aca="false">IF(DO$8=1,IF(Reales!$C$50="PYG",IF(DO$10&gt;0,N(Reales!DO50)/DO$10,0),N(Reales!DO50)),SUMIF(Ap_MesV,114,Ap_MontoV)*DO$9)</f>
        <v>0</v>
      </c>
      <c r="DP232" s="34" t="n">
        <f aca="false">IF(DP$8=1,IF(Reales!$C$50="PYG",IF(DP$10&gt;0,N(Reales!DP50)/DP$10,0),N(Reales!DP50)),SUMIF(Ap_MesV,115,Ap_MontoV)*DP$9)</f>
        <v>0</v>
      </c>
      <c r="DQ232" s="34" t="n">
        <f aca="false">IF(DQ$8=1,IF(Reales!$C$50="PYG",IF(DQ$10&gt;0,N(Reales!DQ50)/DQ$10,0),N(Reales!DQ50)),SUMIF(Ap_MesV,116,Ap_MontoV)*DQ$9)</f>
        <v>0</v>
      </c>
      <c r="DR232" s="34" t="n">
        <f aca="false">IF(DR$8=1,IF(Reales!$C$50="PYG",IF(DR$10&gt;0,N(Reales!DR50)/DR$10,0),N(Reales!DR50)),SUMIF(Ap_MesV,117,Ap_MontoV)*DR$9)</f>
        <v>0</v>
      </c>
      <c r="DS232" s="34" t="n">
        <f aca="false">IF(DS$8=1,IF(Reales!$C$50="PYG",IF(DS$10&gt;0,N(Reales!DS50)/DS$10,0),N(Reales!DS50)),SUMIF(Ap_MesV,118,Ap_MontoV)*DS$9)</f>
        <v>0</v>
      </c>
      <c r="DT232" s="34" t="n">
        <f aca="false">IF(DT$8=1,IF(Reales!$C$50="PYG",IF(DT$10&gt;0,N(Reales!DT50)/DT$10,0),N(Reales!DT50)),SUMIF(Ap_MesV,119,Ap_MontoV)*DT$9)</f>
        <v>0</v>
      </c>
      <c r="DU232" s="34" t="n">
        <f aca="false">IF(DU$8=1,IF(Reales!$C$50="PYG",IF(DU$10&gt;0,N(Reales!DU50)/DU$10,0),N(Reales!DU50)),SUMIF(Ap_MesV,120,Ap_MontoV)*DU$9)</f>
        <v>0</v>
      </c>
      <c r="DV232" s="34" t="n">
        <f aca="false">IF(DV$8=1,IF(Reales!$C$50="PYG",IF(DV$10&gt;0,N(Reales!DV50)/DV$10,0),N(Reales!DV50)),SUMIF(Ap_MesV,121,Ap_MontoV)*DV$9)</f>
        <v>0</v>
      </c>
      <c r="DW232" s="34" t="n">
        <f aca="false">IF(DW$8=1,IF(Reales!$C$50="PYG",IF(DW$10&gt;0,N(Reales!DW50)/DW$10,0),N(Reales!DW50)),SUMIF(Ap_MesV,122,Ap_MontoV)*DW$9)</f>
        <v>0</v>
      </c>
      <c r="DX232" s="34" t="n">
        <f aca="false">IF(DX$8=1,IF(Reales!$C$50="PYG",IF(DX$10&gt;0,N(Reales!DX50)/DX$10,0),N(Reales!DX50)),SUMIF(Ap_MesV,123,Ap_MontoV)*DX$9)</f>
        <v>0</v>
      </c>
      <c r="DY232" s="34" t="n">
        <f aca="false">IF(DY$8=1,IF(Reales!$C$50="PYG",IF(DY$10&gt;0,N(Reales!DY50)/DY$10,0),N(Reales!DY50)),SUMIF(Ap_MesV,124,Ap_MontoV)*DY$9)</f>
        <v>0</v>
      </c>
      <c r="DZ232" s="34" t="n">
        <f aca="false">IF(DZ$8=1,IF(Reales!$C$50="PYG",IF(DZ$10&gt;0,N(Reales!DZ50)/DZ$10,0),N(Reales!DZ50)),SUMIF(Ap_MesV,125,Ap_MontoV)*DZ$9)</f>
        <v>0</v>
      </c>
      <c r="EA232" s="34" t="n">
        <f aca="false">IF(EA$8=1,IF(Reales!$C$50="PYG",IF(EA$10&gt;0,N(Reales!EA50)/EA$10,0),N(Reales!EA50)),SUMIF(Ap_MesV,126,Ap_MontoV)*EA$9)</f>
        <v>0</v>
      </c>
      <c r="EB232" s="34" t="n">
        <f aca="false">IF(EB$8=1,IF(Reales!$C$50="PYG",IF(EB$10&gt;0,N(Reales!EB50)/EB$10,0),N(Reales!EB50)),SUMIF(Ap_MesV,127,Ap_MontoV)*EB$9)</f>
        <v>0</v>
      </c>
      <c r="EC232" s="34" t="n">
        <f aca="false">IF(EC$8=1,IF(Reales!$C$50="PYG",IF(EC$10&gt;0,N(Reales!EC50)/EC$10,0),N(Reales!EC50)),SUMIF(Ap_MesV,128,Ap_MontoV)*EC$9)</f>
        <v>0</v>
      </c>
      <c r="ED232" s="34" t="n">
        <f aca="false">IF(ED$8=1,IF(Reales!$C$50="PYG",IF(ED$10&gt;0,N(Reales!ED50)/ED$10,0),N(Reales!ED50)),SUMIF(Ap_MesV,129,Ap_MontoV)*ED$9)</f>
        <v>0</v>
      </c>
      <c r="EE232" s="34" t="n">
        <f aca="false">IF(EE$8=1,IF(Reales!$C$50="PYG",IF(EE$10&gt;0,N(Reales!EE50)/EE$10,0),N(Reales!EE50)),SUMIF(Ap_MesV,130,Ap_MontoV)*EE$9)</f>
        <v>0</v>
      </c>
      <c r="EF232" s="34" t="n">
        <f aca="false">IF(EF$8=1,IF(Reales!$C$50="PYG",IF(EF$10&gt;0,N(Reales!EF50)/EF$10,0),N(Reales!EF50)),SUMIF(Ap_MesV,131,Ap_MontoV)*EF$9)</f>
        <v>0</v>
      </c>
      <c r="EG232" s="34" t="n">
        <f aca="false">IF(EG$8=1,IF(Reales!$C$50="PYG",IF(EG$10&gt;0,N(Reales!EG50)/EG$10,0),N(Reales!EG50)),SUMIF(Ap_MesV,132,Ap_MontoV)*EG$9)</f>
        <v>0</v>
      </c>
      <c r="EH232" s="34" t="n">
        <f aca="false">IF(EH$8=1,IF(Reales!$C$50="PYG",IF(EH$10&gt;0,N(Reales!EH50)/EH$10,0),N(Reales!EH50)),SUMIF(Ap_MesV,133,Ap_MontoV)*EH$9)</f>
        <v>0</v>
      </c>
      <c r="EI232" s="34" t="n">
        <f aca="false">IF(EI$8=1,IF(Reales!$C$50="PYG",IF(EI$10&gt;0,N(Reales!EI50)/EI$10,0),N(Reales!EI50)),SUMIF(Ap_MesV,134,Ap_MontoV)*EI$9)</f>
        <v>0</v>
      </c>
      <c r="EJ232" s="34" t="n">
        <f aca="false">IF(EJ$8=1,IF(Reales!$C$50="PYG",IF(EJ$10&gt;0,N(Reales!EJ50)/EJ$10,0),N(Reales!EJ50)),SUMIF(Ap_MesV,135,Ap_MontoV)*EJ$9)</f>
        <v>0</v>
      </c>
      <c r="EK232" s="34" t="n">
        <f aca="false">IF(EK$8=1,IF(Reales!$C$50="PYG",IF(EK$10&gt;0,N(Reales!EK50)/EK$10,0),N(Reales!EK50)),SUMIF(Ap_MesV,136,Ap_MontoV)*EK$9)</f>
        <v>0</v>
      </c>
      <c r="EL232" s="34" t="n">
        <f aca="false">IF(EL$8=1,IF(Reales!$C$50="PYG",IF(EL$10&gt;0,N(Reales!EL50)/EL$10,0),N(Reales!EL50)),SUMIF(Ap_MesV,137,Ap_MontoV)*EL$9)</f>
        <v>0</v>
      </c>
      <c r="EM232" s="34" t="n">
        <f aca="false">IF(EM$8=1,IF(Reales!$C$50="PYG",IF(EM$10&gt;0,N(Reales!EM50)/EM$10,0),N(Reales!EM50)),SUMIF(Ap_MesV,138,Ap_MontoV)*EM$9)</f>
        <v>0</v>
      </c>
      <c r="EN232" s="34" t="n">
        <f aca="false">IF(EN$8=1,IF(Reales!$C$50="PYG",IF(EN$10&gt;0,N(Reales!EN50)/EN$10,0),N(Reales!EN50)),SUMIF(Ap_MesV,139,Ap_MontoV)*EN$9)</f>
        <v>0</v>
      </c>
      <c r="EO232" s="34" t="n">
        <f aca="false">IF(EO$8=1,IF(Reales!$C$50="PYG",IF(EO$10&gt;0,N(Reales!EO50)/EO$10,0),N(Reales!EO50)),SUMIF(Ap_MesV,140,Ap_MontoV)*EO$9)</f>
        <v>0</v>
      </c>
      <c r="EP232" s="34" t="n">
        <f aca="false">IF(EP$8=1,IF(Reales!$C$50="PYG",IF(EP$10&gt;0,N(Reales!EP50)/EP$10,0),N(Reales!EP50)),SUMIF(Ap_MesV,141,Ap_MontoV)*EP$9)</f>
        <v>0</v>
      </c>
      <c r="EQ232" s="34" t="n">
        <f aca="false">IF(EQ$8=1,IF(Reales!$C$50="PYG",IF(EQ$10&gt;0,N(Reales!EQ50)/EQ$10,0),N(Reales!EQ50)),SUMIF(Ap_MesV,142,Ap_MontoV)*EQ$9)</f>
        <v>0</v>
      </c>
      <c r="ER232" s="34" t="n">
        <f aca="false">IF(ER$8=1,IF(Reales!$C$50="PYG",IF(ER$10&gt;0,N(Reales!ER50)/ER$10,0),N(Reales!ER50)),SUMIF(Ap_MesV,143,Ap_MontoV)*ER$9)</f>
        <v>0</v>
      </c>
      <c r="ES232" s="34" t="n">
        <f aca="false">IF(ES$8=1,IF(Reales!$C$50="PYG",IF(ES$10&gt;0,N(Reales!ES50)/ES$10,0),N(Reales!ES50)),SUMIF(Ap_MesV,144,Ap_MontoV)*ES$9)</f>
        <v>0</v>
      </c>
    </row>
    <row r="233" customFormat="false" ht="15" hidden="false" customHeight="false" outlineLevel="0" collapsed="false">
      <c r="A233" s="2" t="s">
        <v>706</v>
      </c>
      <c r="B233" s="6" t="s">
        <v>585</v>
      </c>
      <c r="C233" s="6" t="s">
        <v>212</v>
      </c>
      <c r="E233" s="40" t="n">
        <f aca="false">MIN(F233:ES233)</f>
        <v>0</v>
      </c>
      <c r="F233" s="34" t="n">
        <f aca="false">0+F$209-F$210+F$229-F$230-F$198*F$9+F$232</f>
        <v>0</v>
      </c>
      <c r="G233" s="34" t="n">
        <f aca="false">F$237+G$209-G$210+G$229-G$230-G$198*G$9+G$232</f>
        <v>0</v>
      </c>
      <c r="H233" s="34" t="n">
        <f aca="false">G$237+H$209-H$210+H$229-H$230-H$198*H$9+H$232</f>
        <v>0</v>
      </c>
      <c r="I233" s="34" t="n">
        <f aca="false">H$237+I$209-I$210+I$229-I$230-I$198*I$9+I$232</f>
        <v>0</v>
      </c>
      <c r="J233" s="34" t="n">
        <f aca="false">I$237+J$209-J$210+J$229-J$230-J$198*J$9+J$232</f>
        <v>0</v>
      </c>
      <c r="K233" s="34" t="n">
        <f aca="false">J$237+K$209-K$210+K$229-K$230-K$198*K$9+K$232</f>
        <v>0</v>
      </c>
      <c r="L233" s="34" t="n">
        <f aca="false">K$237+L$209-L$210+L$229-L$230-L$198*L$9+L$232</f>
        <v>0</v>
      </c>
      <c r="M233" s="34" t="n">
        <f aca="false">L$237+M$209-M$210+M$229-M$230-M$198*M$9+M$232</f>
        <v>0</v>
      </c>
      <c r="N233" s="34" t="n">
        <f aca="false">M$237+N$209-N$210+N$229-N$230-N$198*N$9+N$232</f>
        <v>0</v>
      </c>
      <c r="O233" s="34" t="n">
        <f aca="false">N$237+O$209-O$210+O$229-O$230-O$198*O$9+O$232</f>
        <v>0</v>
      </c>
      <c r="P233" s="34" t="n">
        <f aca="false">O$237+P$209-P$210+P$229-P$230-P$198*P$9+P$232</f>
        <v>0</v>
      </c>
      <c r="Q233" s="34" t="n">
        <f aca="false">P$237+Q$209-Q$210+Q$229-Q$230-Q$198*Q$9+Q$232</f>
        <v>0</v>
      </c>
      <c r="R233" s="34" t="n">
        <f aca="false">Q$237+R$209-R$210+R$229-R$230-R$198*R$9+R$232</f>
        <v>0</v>
      </c>
      <c r="S233" s="34" t="n">
        <f aca="false">R$237+S$209-S$210+S$229-S$230-S$198*S$9+S$232</f>
        <v>0</v>
      </c>
      <c r="T233" s="34" t="n">
        <f aca="false">S$237+T$209-T$210+T$229-T$230-T$198*T$9+T$232</f>
        <v>0</v>
      </c>
      <c r="U233" s="34" t="n">
        <f aca="false">T$237+U$209-U$210+U$229-U$230-U$198*U$9+U$232</f>
        <v>0</v>
      </c>
      <c r="V233" s="34" t="n">
        <f aca="false">U$237+V$209-V$210+V$229-V$230-V$198*V$9+V$232</f>
        <v>0</v>
      </c>
      <c r="W233" s="34" t="n">
        <f aca="false">V$237+W$209-W$210+W$229-W$230-W$198*W$9+W$232</f>
        <v>0</v>
      </c>
      <c r="X233" s="34" t="n">
        <f aca="false">W$237+X$209-X$210+X$229-X$230-X$198*X$9+X$232</f>
        <v>0</v>
      </c>
      <c r="Y233" s="34" t="n">
        <f aca="false">X$237+Y$209-Y$210+Y$229-Y$230-Y$198*Y$9+Y$232</f>
        <v>0</v>
      </c>
      <c r="Z233" s="34" t="n">
        <f aca="false">Y$237+Z$209-Z$210+Z$229-Z$230-Z$198*Z$9+Z$232</f>
        <v>0</v>
      </c>
      <c r="AA233" s="34" t="n">
        <f aca="false">Z$237+AA$209-AA$210+AA$229-AA$230-AA$198*AA$9+AA$232</f>
        <v>0</v>
      </c>
      <c r="AB233" s="34" t="n">
        <f aca="false">AA$237+AB$209-AB$210+AB$229-AB$230-AB$198*AB$9+AB$232</f>
        <v>0</v>
      </c>
      <c r="AC233" s="34" t="n">
        <f aca="false">AB$237+AC$209-AC$210+AC$229-AC$230-AC$198*AC$9+AC$232</f>
        <v>0</v>
      </c>
      <c r="AD233" s="34" t="n">
        <f aca="false">AC$237+AD$209-AD$210+AD$229-AD$230-AD$198*AD$9+AD$232</f>
        <v>0</v>
      </c>
      <c r="AE233" s="34" t="n">
        <f aca="false">AD$237+AE$209-AE$210+AE$229-AE$230-AE$198*AE$9+AE$232</f>
        <v>0</v>
      </c>
      <c r="AF233" s="34" t="n">
        <f aca="false">AE$237+AF$209-AF$210+AF$229-AF$230-AF$198*AF$9+AF$232</f>
        <v>0</v>
      </c>
      <c r="AG233" s="34" t="n">
        <f aca="false">AF$237+AG$209-AG$210+AG$229-AG$230-AG$198*AG$9+AG$232</f>
        <v>0</v>
      </c>
      <c r="AH233" s="34" t="n">
        <f aca="false">AG$237+AH$209-AH$210+AH$229-AH$230-AH$198*AH$9+AH$232</f>
        <v>0</v>
      </c>
      <c r="AI233" s="34" t="n">
        <f aca="false">AH$237+AI$209-AI$210+AI$229-AI$230-AI$198*AI$9+AI$232</f>
        <v>0</v>
      </c>
      <c r="AJ233" s="34" t="n">
        <f aca="false">AI$237+AJ$209-AJ$210+AJ$229-AJ$230-AJ$198*AJ$9+AJ$232</f>
        <v>0</v>
      </c>
      <c r="AK233" s="34" t="n">
        <f aca="false">AJ$237+AK$209-AK$210+AK$229-AK$230-AK$198*AK$9+AK$232</f>
        <v>0</v>
      </c>
      <c r="AL233" s="34" t="n">
        <f aca="false">AK$237+AL$209-AL$210+AL$229-AL$230-AL$198*AL$9+AL$232</f>
        <v>0</v>
      </c>
      <c r="AM233" s="34" t="n">
        <f aca="false">AL$237+AM$209-AM$210+AM$229-AM$230-AM$198*AM$9+AM$232</f>
        <v>0</v>
      </c>
      <c r="AN233" s="34" t="n">
        <f aca="false">AM$237+AN$209-AN$210+AN$229-AN$230-AN$198*AN$9+AN$232</f>
        <v>0</v>
      </c>
      <c r="AO233" s="34" t="n">
        <f aca="false">AN$237+AO$209-AO$210+AO$229-AO$230-AO$198*AO$9+AO$232</f>
        <v>0</v>
      </c>
      <c r="AP233" s="34" t="n">
        <f aca="false">AO$237+AP$209-AP$210+AP$229-AP$230-AP$198*AP$9+AP$232</f>
        <v>0</v>
      </c>
      <c r="AQ233" s="34" t="n">
        <f aca="false">AP$237+AQ$209-AQ$210+AQ$229-AQ$230-AQ$198*AQ$9+AQ$232</f>
        <v>0</v>
      </c>
      <c r="AR233" s="34" t="n">
        <f aca="false">AQ$237+AR$209-AR$210+AR$229-AR$230-AR$198*AR$9+AR$232</f>
        <v>0</v>
      </c>
      <c r="AS233" s="34" t="n">
        <f aca="false">AR$237+AS$209-AS$210+AS$229-AS$230-AS$198*AS$9+AS$232</f>
        <v>0</v>
      </c>
      <c r="AT233" s="34" t="n">
        <f aca="false">AS$237+AT$209-AT$210+AT$229-AT$230-AT$198*AT$9+AT$232</f>
        <v>0</v>
      </c>
      <c r="AU233" s="34" t="n">
        <f aca="false">AT$237+AU$209-AU$210+AU$229-AU$230-AU$198*AU$9+AU$232</f>
        <v>0</v>
      </c>
      <c r="AV233" s="34" t="n">
        <f aca="false">AU$237+AV$209-AV$210+AV$229-AV$230-AV$198*AV$9+AV$232</f>
        <v>0</v>
      </c>
      <c r="AW233" s="34" t="n">
        <f aca="false">AV$237+AW$209-AW$210+AW$229-AW$230-AW$198*AW$9+AW$232</f>
        <v>0</v>
      </c>
      <c r="AX233" s="34" t="n">
        <f aca="false">AW$237+AX$209-AX$210+AX$229-AX$230-AX$198*AX$9+AX$232</f>
        <v>0</v>
      </c>
      <c r="AY233" s="34" t="n">
        <f aca="false">AX$237+AY$209-AY$210+AY$229-AY$230-AY$198*AY$9+AY$232</f>
        <v>0</v>
      </c>
      <c r="AZ233" s="34" t="n">
        <f aca="false">AY$237+AZ$209-AZ$210+AZ$229-AZ$230-AZ$198*AZ$9+AZ$232</f>
        <v>0</v>
      </c>
      <c r="BA233" s="34" t="n">
        <f aca="false">AZ$237+BA$209-BA$210+BA$229-BA$230-BA$198*BA$9+BA$232</f>
        <v>0</v>
      </c>
      <c r="BB233" s="34" t="n">
        <f aca="false">BA$237+BB$209-BB$210+BB$229-BB$230-BB$198*BB$9+BB$232</f>
        <v>0</v>
      </c>
      <c r="BC233" s="34" t="n">
        <f aca="false">BB$237+BC$209-BC$210+BC$229-BC$230-BC$198*BC$9+BC$232</f>
        <v>0</v>
      </c>
      <c r="BD233" s="34" t="n">
        <f aca="false">BC$237+BD$209-BD$210+BD$229-BD$230-BD$198*BD$9+BD$232</f>
        <v>0</v>
      </c>
      <c r="BE233" s="34" t="n">
        <f aca="false">BD$237+BE$209-BE$210+BE$229-BE$230-BE$198*BE$9+BE$232</f>
        <v>0</v>
      </c>
      <c r="BF233" s="34" t="n">
        <f aca="false">BE$237+BF$209-BF$210+BF$229-BF$230-BF$198*BF$9+BF$232</f>
        <v>0</v>
      </c>
      <c r="BG233" s="34" t="n">
        <f aca="false">BF$237+BG$209-BG$210+BG$229-BG$230-BG$198*BG$9+BG$232</f>
        <v>0</v>
      </c>
      <c r="BH233" s="34" t="n">
        <f aca="false">BG$237+BH$209-BH$210+BH$229-BH$230-BH$198*BH$9+BH$232</f>
        <v>0</v>
      </c>
      <c r="BI233" s="34" t="n">
        <f aca="false">BH$237+BI$209-BI$210+BI$229-BI$230-BI$198*BI$9+BI$232</f>
        <v>0</v>
      </c>
      <c r="BJ233" s="34" t="n">
        <f aca="false">BI$237+BJ$209-BJ$210+BJ$229-BJ$230-BJ$198*BJ$9+BJ$232</f>
        <v>0</v>
      </c>
      <c r="BK233" s="34" t="n">
        <f aca="false">BJ$237+BK$209-BK$210+BK$229-BK$230-BK$198*BK$9+BK$232</f>
        <v>0</v>
      </c>
      <c r="BL233" s="34" t="n">
        <f aca="false">BK$237+BL$209-BL$210+BL$229-BL$230-BL$198*BL$9+BL$232</f>
        <v>0</v>
      </c>
      <c r="BM233" s="34" t="n">
        <f aca="false">BL$237+BM$209-BM$210+BM$229-BM$230-BM$198*BM$9+BM$232</f>
        <v>0</v>
      </c>
      <c r="BN233" s="34" t="n">
        <f aca="false">BM$237+BN$209-BN$210+BN$229-BN$230-BN$198*BN$9+BN$232</f>
        <v>0</v>
      </c>
      <c r="BO233" s="34" t="n">
        <f aca="false">BN$237+BO$209-BO$210+BO$229-BO$230-BO$198*BO$9+BO$232</f>
        <v>0</v>
      </c>
      <c r="BP233" s="34" t="n">
        <f aca="false">BO$237+BP$209-BP$210+BP$229-BP$230-BP$198*BP$9+BP$232</f>
        <v>0</v>
      </c>
      <c r="BQ233" s="34" t="n">
        <f aca="false">BP$237+BQ$209-BQ$210+BQ$229-BQ$230-BQ$198*BQ$9+BQ$232</f>
        <v>0</v>
      </c>
      <c r="BR233" s="34" t="n">
        <f aca="false">BQ$237+BR$209-BR$210+BR$229-BR$230-BR$198*BR$9+BR$232</f>
        <v>0</v>
      </c>
      <c r="BS233" s="34" t="n">
        <f aca="false">BR$237+BS$209-BS$210+BS$229-BS$230-BS$198*BS$9+BS$232</f>
        <v>0</v>
      </c>
      <c r="BT233" s="34" t="n">
        <f aca="false">BS$237+BT$209-BT$210+BT$229-BT$230-BT$198*BT$9+BT$232</f>
        <v>0</v>
      </c>
      <c r="BU233" s="34" t="n">
        <f aca="false">BT$237+BU$209-BU$210+BU$229-BU$230-BU$198*BU$9+BU$232</f>
        <v>0</v>
      </c>
      <c r="BV233" s="34" t="n">
        <f aca="false">BU$237+BV$209-BV$210+BV$229-BV$230-BV$198*BV$9+BV$232</f>
        <v>0</v>
      </c>
      <c r="BW233" s="34" t="n">
        <f aca="false">BV$237+BW$209-BW$210+BW$229-BW$230-BW$198*BW$9+BW$232</f>
        <v>0</v>
      </c>
      <c r="BX233" s="34" t="n">
        <f aca="false">BW$237+BX$209-BX$210+BX$229-BX$230-BX$198*BX$9+BX$232</f>
        <v>0</v>
      </c>
      <c r="BY233" s="34" t="n">
        <f aca="false">BX$237+BY$209-BY$210+BY$229-BY$230-BY$198*BY$9+BY$232</f>
        <v>0</v>
      </c>
      <c r="BZ233" s="34" t="n">
        <f aca="false">BY$237+BZ$209-BZ$210+BZ$229-BZ$230-BZ$198*BZ$9+BZ$232</f>
        <v>0</v>
      </c>
      <c r="CA233" s="34" t="n">
        <f aca="false">BZ$237+CA$209-CA$210+CA$229-CA$230-CA$198*CA$9+CA$232</f>
        <v>0</v>
      </c>
      <c r="CB233" s="34" t="n">
        <f aca="false">CA$237+CB$209-CB$210+CB$229-CB$230-CB$198*CB$9+CB$232</f>
        <v>0</v>
      </c>
      <c r="CC233" s="34" t="n">
        <f aca="false">CB$237+CC$209-CC$210+CC$229-CC$230-CC$198*CC$9+CC$232</f>
        <v>0</v>
      </c>
      <c r="CD233" s="34" t="n">
        <f aca="false">CC$237+CD$209-CD$210+CD$229-CD$230-CD$198*CD$9+CD$232</f>
        <v>0</v>
      </c>
      <c r="CE233" s="34" t="n">
        <f aca="false">CD$237+CE$209-CE$210+CE$229-CE$230-CE$198*CE$9+CE$232</f>
        <v>0</v>
      </c>
      <c r="CF233" s="34" t="n">
        <f aca="false">CE$237+CF$209-CF$210+CF$229-CF$230-CF$198*CF$9+CF$232</f>
        <v>0</v>
      </c>
      <c r="CG233" s="34" t="n">
        <f aca="false">CF$237+CG$209-CG$210+CG$229-CG$230-CG$198*CG$9+CG$232</f>
        <v>0</v>
      </c>
      <c r="CH233" s="34" t="n">
        <f aca="false">CG$237+CH$209-CH$210+CH$229-CH$230-CH$198*CH$9+CH$232</f>
        <v>0</v>
      </c>
      <c r="CI233" s="34" t="n">
        <f aca="false">CH$237+CI$209-CI$210+CI$229-CI$230-CI$198*CI$9+CI$232</f>
        <v>0</v>
      </c>
      <c r="CJ233" s="34" t="n">
        <f aca="false">CI$237+CJ$209-CJ$210+CJ$229-CJ$230-CJ$198*CJ$9+CJ$232</f>
        <v>0</v>
      </c>
      <c r="CK233" s="34" t="n">
        <f aca="false">CJ$237+CK$209-CK$210+CK$229-CK$230-CK$198*CK$9+CK$232</f>
        <v>0</v>
      </c>
      <c r="CL233" s="34" t="n">
        <f aca="false">CK$237+CL$209-CL$210+CL$229-CL$230-CL$198*CL$9+CL$232</f>
        <v>0</v>
      </c>
      <c r="CM233" s="34" t="n">
        <f aca="false">CL$237+CM$209-CM$210+CM$229-CM$230-CM$198*CM$9+CM$232</f>
        <v>0</v>
      </c>
      <c r="CN233" s="34" t="n">
        <f aca="false">CM$237+CN$209-CN$210+CN$229-CN$230-CN$198*CN$9+CN$232</f>
        <v>0</v>
      </c>
      <c r="CO233" s="34" t="n">
        <f aca="false">CN$237+CO$209-CO$210+CO$229-CO$230-CO$198*CO$9+CO$232</f>
        <v>0</v>
      </c>
      <c r="CP233" s="34" t="n">
        <f aca="false">CO$237+CP$209-CP$210+CP$229-CP$230-CP$198*CP$9+CP$232</f>
        <v>0</v>
      </c>
      <c r="CQ233" s="34" t="n">
        <f aca="false">CP$237+CQ$209-CQ$210+CQ$229-CQ$230-CQ$198*CQ$9+CQ$232</f>
        <v>0</v>
      </c>
      <c r="CR233" s="34" t="n">
        <f aca="false">CQ$237+CR$209-CR$210+CR$229-CR$230-CR$198*CR$9+CR$232</f>
        <v>0</v>
      </c>
      <c r="CS233" s="34" t="n">
        <f aca="false">CR$237+CS$209-CS$210+CS$229-CS$230-CS$198*CS$9+CS$232</f>
        <v>0</v>
      </c>
      <c r="CT233" s="34" t="n">
        <f aca="false">CS$237+CT$209-CT$210+CT$229-CT$230-CT$198*CT$9+CT$232</f>
        <v>0</v>
      </c>
      <c r="CU233" s="34" t="n">
        <f aca="false">CT$237+CU$209-CU$210+CU$229-CU$230-CU$198*CU$9+CU$232</f>
        <v>0</v>
      </c>
      <c r="CV233" s="34" t="n">
        <f aca="false">CU$237+CV$209-CV$210+CV$229-CV$230-CV$198*CV$9+CV$232</f>
        <v>0</v>
      </c>
      <c r="CW233" s="34" t="n">
        <f aca="false">CV$237+CW$209-CW$210+CW$229-CW$230-CW$198*CW$9+CW$232</f>
        <v>0</v>
      </c>
      <c r="CX233" s="34" t="n">
        <f aca="false">CW$237+CX$209-CX$210+CX$229-CX$230-CX$198*CX$9+CX$232</f>
        <v>0</v>
      </c>
      <c r="CY233" s="34" t="n">
        <f aca="false">CX$237+CY$209-CY$210+CY$229-CY$230-CY$198*CY$9+CY$232</f>
        <v>0</v>
      </c>
      <c r="CZ233" s="34" t="n">
        <f aca="false">CY$237+CZ$209-CZ$210+CZ$229-CZ$230-CZ$198*CZ$9+CZ$232</f>
        <v>0</v>
      </c>
      <c r="DA233" s="34" t="n">
        <f aca="false">CZ$237+DA$209-DA$210+DA$229-DA$230-DA$198*DA$9+DA$232</f>
        <v>0</v>
      </c>
      <c r="DB233" s="34" t="n">
        <f aca="false">DA$237+DB$209-DB$210+DB$229-DB$230-DB$198*DB$9+DB$232</f>
        <v>0</v>
      </c>
      <c r="DC233" s="34" t="n">
        <f aca="false">DB$237+DC$209-DC$210+DC$229-DC$230-DC$198*DC$9+DC$232</f>
        <v>0</v>
      </c>
      <c r="DD233" s="34" t="n">
        <f aca="false">DC$237+DD$209-DD$210+DD$229-DD$230-DD$198*DD$9+DD$232</f>
        <v>0</v>
      </c>
      <c r="DE233" s="34" t="n">
        <f aca="false">DD$237+DE$209-DE$210+DE$229-DE$230-DE$198*DE$9+DE$232</f>
        <v>0</v>
      </c>
      <c r="DF233" s="34" t="n">
        <f aca="false">DE$237+DF$209-DF$210+DF$229-DF$230-DF$198*DF$9+DF$232</f>
        <v>0</v>
      </c>
      <c r="DG233" s="34" t="n">
        <f aca="false">DF$237+DG$209-DG$210+DG$229-DG$230-DG$198*DG$9+DG$232</f>
        <v>0</v>
      </c>
      <c r="DH233" s="34" t="n">
        <f aca="false">DG$237+DH$209-DH$210+DH$229-DH$230-DH$198*DH$9+DH$232</f>
        <v>0</v>
      </c>
      <c r="DI233" s="34" t="n">
        <f aca="false">DH$237+DI$209-DI$210+DI$229-DI$230-DI$198*DI$9+DI$232</f>
        <v>0</v>
      </c>
      <c r="DJ233" s="34" t="n">
        <f aca="false">DI$237+DJ$209-DJ$210+DJ$229-DJ$230-DJ$198*DJ$9+DJ$232</f>
        <v>0</v>
      </c>
      <c r="DK233" s="34" t="n">
        <f aca="false">DJ$237+DK$209-DK$210+DK$229-DK$230-DK$198*DK$9+DK$232</f>
        <v>0</v>
      </c>
      <c r="DL233" s="34" t="n">
        <f aca="false">DK$237+DL$209-DL$210+DL$229-DL$230-DL$198*DL$9+DL$232</f>
        <v>0</v>
      </c>
      <c r="DM233" s="34" t="n">
        <f aca="false">DL$237+DM$209-DM$210+DM$229-DM$230-DM$198*DM$9+DM$232</f>
        <v>0</v>
      </c>
      <c r="DN233" s="34" t="n">
        <f aca="false">DM$237+DN$209-DN$210+DN$229-DN$230-DN$198*DN$9+DN$232</f>
        <v>0</v>
      </c>
      <c r="DO233" s="34" t="n">
        <f aca="false">DN$237+DO$209-DO$210+DO$229-DO$230-DO$198*DO$9+DO$232</f>
        <v>0</v>
      </c>
      <c r="DP233" s="34" t="n">
        <f aca="false">DO$237+DP$209-DP$210+DP$229-DP$230-DP$198*DP$9+DP$232</f>
        <v>0</v>
      </c>
      <c r="DQ233" s="34" t="n">
        <f aca="false">DP$237+DQ$209-DQ$210+DQ$229-DQ$230-DQ$198*DQ$9+DQ$232</f>
        <v>0</v>
      </c>
      <c r="DR233" s="34" t="n">
        <f aca="false">DQ$237+DR$209-DR$210+DR$229-DR$230-DR$198*DR$9+DR$232</f>
        <v>0</v>
      </c>
      <c r="DS233" s="34" t="n">
        <f aca="false">DR$237+DS$209-DS$210+DS$229-DS$230-DS$198*DS$9+DS$232</f>
        <v>0</v>
      </c>
      <c r="DT233" s="34" t="n">
        <f aca="false">DS$237+DT$209-DT$210+DT$229-DT$230-DT$198*DT$9+DT$232</f>
        <v>0</v>
      </c>
      <c r="DU233" s="34" t="n">
        <f aca="false">DT$237+DU$209-DU$210+DU$229-DU$230-DU$198*DU$9+DU$232</f>
        <v>0</v>
      </c>
      <c r="DV233" s="34" t="n">
        <f aca="false">DU$237+DV$209-DV$210+DV$229-DV$230-DV$198*DV$9+DV$232</f>
        <v>0</v>
      </c>
      <c r="DW233" s="34" t="n">
        <f aca="false">DV$237+DW$209-DW$210+DW$229-DW$230-DW$198*DW$9+DW$232</f>
        <v>0</v>
      </c>
      <c r="DX233" s="34" t="n">
        <f aca="false">DW$237+DX$209-DX$210+DX$229-DX$230-DX$198*DX$9+DX$232</f>
        <v>0</v>
      </c>
      <c r="DY233" s="34" t="n">
        <f aca="false">DX$237+DY$209-DY$210+DY$229-DY$230-DY$198*DY$9+DY$232</f>
        <v>0</v>
      </c>
      <c r="DZ233" s="34" t="n">
        <f aca="false">DY$237+DZ$209-DZ$210+DZ$229-DZ$230-DZ$198*DZ$9+DZ$232</f>
        <v>0</v>
      </c>
      <c r="EA233" s="34" t="n">
        <f aca="false">DZ$237+EA$209-EA$210+EA$229-EA$230-EA$198*EA$9+EA$232</f>
        <v>0</v>
      </c>
      <c r="EB233" s="34" t="n">
        <f aca="false">EA$237+EB$209-EB$210+EB$229-EB$230-EB$198*EB$9+EB$232</f>
        <v>0</v>
      </c>
      <c r="EC233" s="34" t="n">
        <f aca="false">EB$237+EC$209-EC$210+EC$229-EC$230-EC$198*EC$9+EC$232</f>
        <v>0</v>
      </c>
      <c r="ED233" s="34" t="n">
        <f aca="false">EC$237+ED$209-ED$210+ED$229-ED$230-ED$198*ED$9+ED$232</f>
        <v>0</v>
      </c>
      <c r="EE233" s="34" t="n">
        <f aca="false">ED$237+EE$209-EE$210+EE$229-EE$230-EE$198*EE$9+EE$232</f>
        <v>0</v>
      </c>
      <c r="EF233" s="34" t="n">
        <f aca="false">EE$237+EF$209-EF$210+EF$229-EF$230-EF$198*EF$9+EF$232</f>
        <v>0</v>
      </c>
      <c r="EG233" s="34" t="n">
        <f aca="false">EF$237+EG$209-EG$210+EG$229-EG$230-EG$198*EG$9+EG$232</f>
        <v>0</v>
      </c>
      <c r="EH233" s="34" t="n">
        <f aca="false">EG$237+EH$209-EH$210+EH$229-EH$230-EH$198*EH$9+EH$232</f>
        <v>0</v>
      </c>
      <c r="EI233" s="34" t="n">
        <f aca="false">EH$237+EI$209-EI$210+EI$229-EI$230-EI$198*EI$9+EI$232</f>
        <v>0</v>
      </c>
      <c r="EJ233" s="34" t="n">
        <f aca="false">EI$237+EJ$209-EJ$210+EJ$229-EJ$230-EJ$198*EJ$9+EJ$232</f>
        <v>0</v>
      </c>
      <c r="EK233" s="34" t="n">
        <f aca="false">EJ$237+EK$209-EK$210+EK$229-EK$230-EK$198*EK$9+EK$232</f>
        <v>0</v>
      </c>
      <c r="EL233" s="34" t="n">
        <f aca="false">EK$237+EL$209-EL$210+EL$229-EL$230-EL$198*EL$9+EL$232</f>
        <v>0</v>
      </c>
      <c r="EM233" s="34" t="n">
        <f aca="false">EL$237+EM$209-EM$210+EM$229-EM$230-EM$198*EM$9+EM$232</f>
        <v>0</v>
      </c>
      <c r="EN233" s="34" t="n">
        <f aca="false">EM$237+EN$209-EN$210+EN$229-EN$230-EN$198*EN$9+EN$232</f>
        <v>0</v>
      </c>
      <c r="EO233" s="34" t="n">
        <f aca="false">EN$237+EO$209-EO$210+EO$229-EO$230-EO$198*EO$9+EO$232</f>
        <v>0</v>
      </c>
      <c r="EP233" s="34" t="n">
        <f aca="false">EO$237+EP$209-EP$210+EP$229-EP$230-EP$198*EP$9+EP$232</f>
        <v>0</v>
      </c>
      <c r="EQ233" s="34" t="n">
        <f aca="false">EP$237+EQ$209-EQ$210+EQ$229-EQ$230-EQ$198*EQ$9+EQ$232</f>
        <v>0</v>
      </c>
      <c r="ER233" s="34" t="n">
        <f aca="false">EQ$237+ER$209-ER$210+ER$229-ER$230-ER$198*ER$9+ER$232</f>
        <v>0</v>
      </c>
      <c r="ES233" s="34" t="n">
        <f aca="false">ER$237+ES$209-ES$210+ES$229-ES$230-ES$198*ES$9+ES$232</f>
        <v>0</v>
      </c>
    </row>
    <row r="234" customFormat="false" ht="15" hidden="false" customHeight="false" outlineLevel="0" collapsed="false">
      <c r="A234" s="2" t="s">
        <v>707</v>
      </c>
      <c r="B234" s="6" t="s">
        <v>135</v>
      </c>
      <c r="C234" s="6" t="s">
        <v>212</v>
      </c>
      <c r="F234" s="34" t="n">
        <f aca="false">F$164*V_CajaMin/DiasMes*F$9</f>
        <v>0</v>
      </c>
      <c r="G234" s="34" t="n">
        <f aca="false">G$164*V_CajaMin/DiasMes*G$9</f>
        <v>0</v>
      </c>
      <c r="H234" s="34" t="n">
        <f aca="false">H$164*V_CajaMin/DiasMes*H$9</f>
        <v>0</v>
      </c>
      <c r="I234" s="34" t="n">
        <f aca="false">I$164*V_CajaMin/DiasMes*I$9</f>
        <v>0</v>
      </c>
      <c r="J234" s="34" t="n">
        <f aca="false">J$164*V_CajaMin/DiasMes*J$9</f>
        <v>0</v>
      </c>
      <c r="K234" s="34" t="n">
        <f aca="false">K$164*V_CajaMin/DiasMes*K$9</f>
        <v>0</v>
      </c>
      <c r="L234" s="34" t="n">
        <f aca="false">L$164*V_CajaMin/DiasMes*L$9</f>
        <v>0</v>
      </c>
      <c r="M234" s="34" t="n">
        <f aca="false">M$164*V_CajaMin/DiasMes*M$9</f>
        <v>0</v>
      </c>
      <c r="N234" s="34" t="n">
        <f aca="false">N$164*V_CajaMin/DiasMes*N$9</f>
        <v>0</v>
      </c>
      <c r="O234" s="34" t="n">
        <f aca="false">O$164*V_CajaMin/DiasMes*O$9</f>
        <v>0</v>
      </c>
      <c r="P234" s="34" t="n">
        <f aca="false">P$164*V_CajaMin/DiasMes*P$9</f>
        <v>0</v>
      </c>
      <c r="Q234" s="34" t="n">
        <f aca="false">Q$164*V_CajaMin/DiasMes*Q$9</f>
        <v>0</v>
      </c>
      <c r="R234" s="34" t="n">
        <f aca="false">R$164*V_CajaMin/DiasMes*R$9</f>
        <v>0</v>
      </c>
      <c r="S234" s="34" t="n">
        <f aca="false">S$164*V_CajaMin/DiasMes*S$9</f>
        <v>0</v>
      </c>
      <c r="T234" s="34" t="n">
        <f aca="false">T$164*V_CajaMin/DiasMes*T$9</f>
        <v>0</v>
      </c>
      <c r="U234" s="34" t="n">
        <f aca="false">U$164*V_CajaMin/DiasMes*U$9</f>
        <v>0</v>
      </c>
      <c r="V234" s="34" t="n">
        <f aca="false">V$164*V_CajaMin/DiasMes*V$9</f>
        <v>0</v>
      </c>
      <c r="W234" s="34" t="n">
        <f aca="false">W$164*V_CajaMin/DiasMes*W$9</f>
        <v>0</v>
      </c>
      <c r="X234" s="34" t="n">
        <f aca="false">X$164*V_CajaMin/DiasMes*X$9</f>
        <v>0</v>
      </c>
      <c r="Y234" s="34" t="n">
        <f aca="false">Y$164*V_CajaMin/DiasMes*Y$9</f>
        <v>0</v>
      </c>
      <c r="Z234" s="34" t="n">
        <f aca="false">Z$164*V_CajaMin/DiasMes*Z$9</f>
        <v>0</v>
      </c>
      <c r="AA234" s="34" t="n">
        <f aca="false">AA$164*V_CajaMin/DiasMes*AA$9</f>
        <v>0</v>
      </c>
      <c r="AB234" s="34" t="n">
        <f aca="false">AB$164*V_CajaMin/DiasMes*AB$9</f>
        <v>0</v>
      </c>
      <c r="AC234" s="34" t="n">
        <f aca="false">AC$164*V_CajaMin/DiasMes*AC$9</f>
        <v>0</v>
      </c>
      <c r="AD234" s="34" t="n">
        <f aca="false">AD$164*V_CajaMin/DiasMes*AD$9</f>
        <v>0</v>
      </c>
      <c r="AE234" s="34" t="n">
        <f aca="false">AE$164*V_CajaMin/DiasMes*AE$9</f>
        <v>0</v>
      </c>
      <c r="AF234" s="34" t="n">
        <f aca="false">AF$164*V_CajaMin/DiasMes*AF$9</f>
        <v>0</v>
      </c>
      <c r="AG234" s="34" t="n">
        <f aca="false">AG$164*V_CajaMin/DiasMes*AG$9</f>
        <v>0</v>
      </c>
      <c r="AH234" s="34" t="n">
        <f aca="false">AH$164*V_CajaMin/DiasMes*AH$9</f>
        <v>0</v>
      </c>
      <c r="AI234" s="34" t="n">
        <f aca="false">AI$164*V_CajaMin/DiasMes*AI$9</f>
        <v>0</v>
      </c>
      <c r="AJ234" s="34" t="n">
        <f aca="false">AJ$164*V_CajaMin/DiasMes*AJ$9</f>
        <v>0</v>
      </c>
      <c r="AK234" s="34" t="n">
        <f aca="false">AK$164*V_CajaMin/DiasMes*AK$9</f>
        <v>0</v>
      </c>
      <c r="AL234" s="34" t="n">
        <f aca="false">AL$164*V_CajaMin/DiasMes*AL$9</f>
        <v>0</v>
      </c>
      <c r="AM234" s="34" t="n">
        <f aca="false">AM$164*V_CajaMin/DiasMes*AM$9</f>
        <v>0</v>
      </c>
      <c r="AN234" s="34" t="n">
        <f aca="false">AN$164*V_CajaMin/DiasMes*AN$9</f>
        <v>0</v>
      </c>
      <c r="AO234" s="34" t="n">
        <f aca="false">AO$164*V_CajaMin/DiasMes*AO$9</f>
        <v>0</v>
      </c>
      <c r="AP234" s="34" t="n">
        <f aca="false">AP$164*V_CajaMin/DiasMes*AP$9</f>
        <v>0</v>
      </c>
      <c r="AQ234" s="34" t="n">
        <f aca="false">AQ$164*V_CajaMin/DiasMes*AQ$9</f>
        <v>0</v>
      </c>
      <c r="AR234" s="34" t="n">
        <f aca="false">AR$164*V_CajaMin/DiasMes*AR$9</f>
        <v>0</v>
      </c>
      <c r="AS234" s="34" t="n">
        <f aca="false">AS$164*V_CajaMin/DiasMes*AS$9</f>
        <v>0</v>
      </c>
      <c r="AT234" s="34" t="n">
        <f aca="false">AT$164*V_CajaMin/DiasMes*AT$9</f>
        <v>0</v>
      </c>
      <c r="AU234" s="34" t="n">
        <f aca="false">AU$164*V_CajaMin/DiasMes*AU$9</f>
        <v>0</v>
      </c>
      <c r="AV234" s="34" t="n">
        <f aca="false">AV$164*V_CajaMin/DiasMes*AV$9</f>
        <v>0</v>
      </c>
      <c r="AW234" s="34" t="n">
        <f aca="false">AW$164*V_CajaMin/DiasMes*AW$9</f>
        <v>0</v>
      </c>
      <c r="AX234" s="34" t="n">
        <f aca="false">AX$164*V_CajaMin/DiasMes*AX$9</f>
        <v>0</v>
      </c>
      <c r="AY234" s="34" t="n">
        <f aca="false">AY$164*V_CajaMin/DiasMes*AY$9</f>
        <v>0</v>
      </c>
      <c r="AZ234" s="34" t="n">
        <f aca="false">AZ$164*V_CajaMin/DiasMes*AZ$9</f>
        <v>0</v>
      </c>
      <c r="BA234" s="34" t="n">
        <f aca="false">BA$164*V_CajaMin/DiasMes*BA$9</f>
        <v>0</v>
      </c>
      <c r="BB234" s="34" t="n">
        <f aca="false">BB$164*V_CajaMin/DiasMes*BB$9</f>
        <v>0</v>
      </c>
      <c r="BC234" s="34" t="n">
        <f aca="false">BC$164*V_CajaMin/DiasMes*BC$9</f>
        <v>0</v>
      </c>
      <c r="BD234" s="34" t="n">
        <f aca="false">BD$164*V_CajaMin/DiasMes*BD$9</f>
        <v>0</v>
      </c>
      <c r="BE234" s="34" t="n">
        <f aca="false">BE$164*V_CajaMin/DiasMes*BE$9</f>
        <v>0</v>
      </c>
      <c r="BF234" s="34" t="n">
        <f aca="false">BF$164*V_CajaMin/DiasMes*BF$9</f>
        <v>0</v>
      </c>
      <c r="BG234" s="34" t="n">
        <f aca="false">BG$164*V_CajaMin/DiasMes*BG$9</f>
        <v>0</v>
      </c>
      <c r="BH234" s="34" t="n">
        <f aca="false">BH$164*V_CajaMin/DiasMes*BH$9</f>
        <v>0</v>
      </c>
      <c r="BI234" s="34" t="n">
        <f aca="false">BI$164*V_CajaMin/DiasMes*BI$9</f>
        <v>0</v>
      </c>
      <c r="BJ234" s="34" t="n">
        <f aca="false">BJ$164*V_CajaMin/DiasMes*BJ$9</f>
        <v>0</v>
      </c>
      <c r="BK234" s="34" t="n">
        <f aca="false">BK$164*V_CajaMin/DiasMes*BK$9</f>
        <v>0</v>
      </c>
      <c r="BL234" s="34" t="n">
        <f aca="false">BL$164*V_CajaMin/DiasMes*BL$9</f>
        <v>0</v>
      </c>
      <c r="BM234" s="34" t="n">
        <f aca="false">BM$164*V_CajaMin/DiasMes*BM$9</f>
        <v>0</v>
      </c>
      <c r="BN234" s="34" t="n">
        <f aca="false">BN$164*V_CajaMin/DiasMes*BN$9</f>
        <v>0</v>
      </c>
      <c r="BO234" s="34" t="n">
        <f aca="false">BO$164*V_CajaMin/DiasMes*BO$9</f>
        <v>0</v>
      </c>
      <c r="BP234" s="34" t="n">
        <f aca="false">BP$164*V_CajaMin/DiasMes*BP$9</f>
        <v>0</v>
      </c>
      <c r="BQ234" s="34" t="n">
        <f aca="false">BQ$164*V_CajaMin/DiasMes*BQ$9</f>
        <v>0</v>
      </c>
      <c r="BR234" s="34" t="n">
        <f aca="false">BR$164*V_CajaMin/DiasMes*BR$9</f>
        <v>0</v>
      </c>
      <c r="BS234" s="34" t="n">
        <f aca="false">BS$164*V_CajaMin/DiasMes*BS$9</f>
        <v>0</v>
      </c>
      <c r="BT234" s="34" t="n">
        <f aca="false">BT$164*V_CajaMin/DiasMes*BT$9</f>
        <v>0</v>
      </c>
      <c r="BU234" s="34" t="n">
        <f aca="false">BU$164*V_CajaMin/DiasMes*BU$9</f>
        <v>0</v>
      </c>
      <c r="BV234" s="34" t="n">
        <f aca="false">BV$164*V_CajaMin/DiasMes*BV$9</f>
        <v>0</v>
      </c>
      <c r="BW234" s="34" t="n">
        <f aca="false">BW$164*V_CajaMin/DiasMes*BW$9</f>
        <v>0</v>
      </c>
      <c r="BX234" s="34" t="n">
        <f aca="false">BX$164*V_CajaMin/DiasMes*BX$9</f>
        <v>0</v>
      </c>
      <c r="BY234" s="34" t="n">
        <f aca="false">BY$164*V_CajaMin/DiasMes*BY$9</f>
        <v>0</v>
      </c>
      <c r="BZ234" s="34" t="n">
        <f aca="false">BZ$164*V_CajaMin/DiasMes*BZ$9</f>
        <v>0</v>
      </c>
      <c r="CA234" s="34" t="n">
        <f aca="false">CA$164*V_CajaMin/DiasMes*CA$9</f>
        <v>0</v>
      </c>
      <c r="CB234" s="34" t="n">
        <f aca="false">CB$164*V_CajaMin/DiasMes*CB$9</f>
        <v>0</v>
      </c>
      <c r="CC234" s="34" t="n">
        <f aca="false">CC$164*V_CajaMin/DiasMes*CC$9</f>
        <v>0</v>
      </c>
      <c r="CD234" s="34" t="n">
        <f aca="false">CD$164*V_CajaMin/DiasMes*CD$9</f>
        <v>0</v>
      </c>
      <c r="CE234" s="34" t="n">
        <f aca="false">CE$164*V_CajaMin/DiasMes*CE$9</f>
        <v>0</v>
      </c>
      <c r="CF234" s="34" t="n">
        <f aca="false">CF$164*V_CajaMin/DiasMes*CF$9</f>
        <v>0</v>
      </c>
      <c r="CG234" s="34" t="n">
        <f aca="false">CG$164*V_CajaMin/DiasMes*CG$9</f>
        <v>0</v>
      </c>
      <c r="CH234" s="34" t="n">
        <f aca="false">CH$164*V_CajaMin/DiasMes*CH$9</f>
        <v>0</v>
      </c>
      <c r="CI234" s="34" t="n">
        <f aca="false">CI$164*V_CajaMin/DiasMes*CI$9</f>
        <v>0</v>
      </c>
      <c r="CJ234" s="34" t="n">
        <f aca="false">CJ$164*V_CajaMin/DiasMes*CJ$9</f>
        <v>0</v>
      </c>
      <c r="CK234" s="34" t="n">
        <f aca="false">CK$164*V_CajaMin/DiasMes*CK$9</f>
        <v>0</v>
      </c>
      <c r="CL234" s="34" t="n">
        <f aca="false">CL$164*V_CajaMin/DiasMes*CL$9</f>
        <v>0</v>
      </c>
      <c r="CM234" s="34" t="n">
        <f aca="false">CM$164*V_CajaMin/DiasMes*CM$9</f>
        <v>0</v>
      </c>
      <c r="CN234" s="34" t="n">
        <f aca="false">CN$164*V_CajaMin/DiasMes*CN$9</f>
        <v>0</v>
      </c>
      <c r="CO234" s="34" t="n">
        <f aca="false">CO$164*V_CajaMin/DiasMes*CO$9</f>
        <v>0</v>
      </c>
      <c r="CP234" s="34" t="n">
        <f aca="false">CP$164*V_CajaMin/DiasMes*CP$9</f>
        <v>0</v>
      </c>
      <c r="CQ234" s="34" t="n">
        <f aca="false">CQ$164*V_CajaMin/DiasMes*CQ$9</f>
        <v>0</v>
      </c>
      <c r="CR234" s="34" t="n">
        <f aca="false">CR$164*V_CajaMin/DiasMes*CR$9</f>
        <v>0</v>
      </c>
      <c r="CS234" s="34" t="n">
        <f aca="false">CS$164*V_CajaMin/DiasMes*CS$9</f>
        <v>0</v>
      </c>
      <c r="CT234" s="34" t="n">
        <f aca="false">CT$164*V_CajaMin/DiasMes*CT$9</f>
        <v>0</v>
      </c>
      <c r="CU234" s="34" t="n">
        <f aca="false">CU$164*V_CajaMin/DiasMes*CU$9</f>
        <v>0</v>
      </c>
      <c r="CV234" s="34" t="n">
        <f aca="false">CV$164*V_CajaMin/DiasMes*CV$9</f>
        <v>0</v>
      </c>
      <c r="CW234" s="34" t="n">
        <f aca="false">CW$164*V_CajaMin/DiasMes*CW$9</f>
        <v>0</v>
      </c>
      <c r="CX234" s="34" t="n">
        <f aca="false">CX$164*V_CajaMin/DiasMes*CX$9</f>
        <v>0</v>
      </c>
      <c r="CY234" s="34" t="n">
        <f aca="false">CY$164*V_CajaMin/DiasMes*CY$9</f>
        <v>0</v>
      </c>
      <c r="CZ234" s="34" t="n">
        <f aca="false">CZ$164*V_CajaMin/DiasMes*CZ$9</f>
        <v>0</v>
      </c>
      <c r="DA234" s="34" t="n">
        <f aca="false">DA$164*V_CajaMin/DiasMes*DA$9</f>
        <v>0</v>
      </c>
      <c r="DB234" s="34" t="n">
        <f aca="false">DB$164*V_CajaMin/DiasMes*DB$9</f>
        <v>0</v>
      </c>
      <c r="DC234" s="34" t="n">
        <f aca="false">DC$164*V_CajaMin/DiasMes*DC$9</f>
        <v>0</v>
      </c>
      <c r="DD234" s="34" t="n">
        <f aca="false">DD$164*V_CajaMin/DiasMes*DD$9</f>
        <v>0</v>
      </c>
      <c r="DE234" s="34" t="n">
        <f aca="false">DE$164*V_CajaMin/DiasMes*DE$9</f>
        <v>0</v>
      </c>
      <c r="DF234" s="34" t="n">
        <f aca="false">DF$164*V_CajaMin/DiasMes*DF$9</f>
        <v>0</v>
      </c>
      <c r="DG234" s="34" t="n">
        <f aca="false">DG$164*V_CajaMin/DiasMes*DG$9</f>
        <v>0</v>
      </c>
      <c r="DH234" s="34" t="n">
        <f aca="false">DH$164*V_CajaMin/DiasMes*DH$9</f>
        <v>0</v>
      </c>
      <c r="DI234" s="34" t="n">
        <f aca="false">DI$164*V_CajaMin/DiasMes*DI$9</f>
        <v>0</v>
      </c>
      <c r="DJ234" s="34" t="n">
        <f aca="false">DJ$164*V_CajaMin/DiasMes*DJ$9</f>
        <v>0</v>
      </c>
      <c r="DK234" s="34" t="n">
        <f aca="false">DK$164*V_CajaMin/DiasMes*DK$9</f>
        <v>0</v>
      </c>
      <c r="DL234" s="34" t="n">
        <f aca="false">DL$164*V_CajaMin/DiasMes*DL$9</f>
        <v>0</v>
      </c>
      <c r="DM234" s="34" t="n">
        <f aca="false">DM$164*V_CajaMin/DiasMes*DM$9</f>
        <v>0</v>
      </c>
      <c r="DN234" s="34" t="n">
        <f aca="false">DN$164*V_CajaMin/DiasMes*DN$9</f>
        <v>0</v>
      </c>
      <c r="DO234" s="34" t="n">
        <f aca="false">DO$164*V_CajaMin/DiasMes*DO$9</f>
        <v>0</v>
      </c>
      <c r="DP234" s="34" t="n">
        <f aca="false">DP$164*V_CajaMin/DiasMes*DP$9</f>
        <v>0</v>
      </c>
      <c r="DQ234" s="34" t="n">
        <f aca="false">DQ$164*V_CajaMin/DiasMes*DQ$9</f>
        <v>0</v>
      </c>
      <c r="DR234" s="34" t="n">
        <f aca="false">DR$164*V_CajaMin/DiasMes*DR$9</f>
        <v>0</v>
      </c>
      <c r="DS234" s="34" t="n">
        <f aca="false">DS$164*V_CajaMin/DiasMes*DS$9</f>
        <v>0</v>
      </c>
      <c r="DT234" s="34" t="n">
        <f aca="false">DT$164*V_CajaMin/DiasMes*DT$9</f>
        <v>0</v>
      </c>
      <c r="DU234" s="34" t="n">
        <f aca="false">DU$164*V_CajaMin/DiasMes*DU$9</f>
        <v>0</v>
      </c>
      <c r="DV234" s="34" t="n">
        <f aca="false">DV$164*V_CajaMin/DiasMes*DV$9</f>
        <v>0</v>
      </c>
      <c r="DW234" s="34" t="n">
        <f aca="false">DW$164*V_CajaMin/DiasMes*DW$9</f>
        <v>0</v>
      </c>
      <c r="DX234" s="34" t="n">
        <f aca="false">DX$164*V_CajaMin/DiasMes*DX$9</f>
        <v>0</v>
      </c>
      <c r="DY234" s="34" t="n">
        <f aca="false">DY$164*V_CajaMin/DiasMes*DY$9</f>
        <v>0</v>
      </c>
      <c r="DZ234" s="34" t="n">
        <f aca="false">DZ$164*V_CajaMin/DiasMes*DZ$9</f>
        <v>0</v>
      </c>
      <c r="EA234" s="34" t="n">
        <f aca="false">EA$164*V_CajaMin/DiasMes*EA$9</f>
        <v>0</v>
      </c>
      <c r="EB234" s="34" t="n">
        <f aca="false">EB$164*V_CajaMin/DiasMes*EB$9</f>
        <v>0</v>
      </c>
      <c r="EC234" s="34" t="n">
        <f aca="false">EC$164*V_CajaMin/DiasMes*EC$9</f>
        <v>0</v>
      </c>
      <c r="ED234" s="34" t="n">
        <f aca="false">ED$164*V_CajaMin/DiasMes*ED$9</f>
        <v>0</v>
      </c>
      <c r="EE234" s="34" t="n">
        <f aca="false">EE$164*V_CajaMin/DiasMes*EE$9</f>
        <v>0</v>
      </c>
      <c r="EF234" s="34" t="n">
        <f aca="false">EF$164*V_CajaMin/DiasMes*EF$9</f>
        <v>0</v>
      </c>
      <c r="EG234" s="34" t="n">
        <f aca="false">EG$164*V_CajaMin/DiasMes*EG$9</f>
        <v>0</v>
      </c>
      <c r="EH234" s="34" t="n">
        <f aca="false">EH$164*V_CajaMin/DiasMes*EH$9</f>
        <v>0</v>
      </c>
      <c r="EI234" s="34" t="n">
        <f aca="false">EI$164*V_CajaMin/DiasMes*EI$9</f>
        <v>0</v>
      </c>
      <c r="EJ234" s="34" t="n">
        <f aca="false">EJ$164*V_CajaMin/DiasMes*EJ$9</f>
        <v>0</v>
      </c>
      <c r="EK234" s="34" t="n">
        <f aca="false">EK$164*V_CajaMin/DiasMes*EK$9</f>
        <v>0</v>
      </c>
      <c r="EL234" s="34" t="n">
        <f aca="false">EL$164*V_CajaMin/DiasMes*EL$9</f>
        <v>0</v>
      </c>
      <c r="EM234" s="34" t="n">
        <f aca="false">EM$164*V_CajaMin/DiasMes*EM$9</f>
        <v>0</v>
      </c>
      <c r="EN234" s="34" t="n">
        <f aca="false">EN$164*V_CajaMin/DiasMes*EN$9</f>
        <v>0</v>
      </c>
      <c r="EO234" s="34" t="n">
        <f aca="false">EO$164*V_CajaMin/DiasMes*EO$9</f>
        <v>0</v>
      </c>
      <c r="EP234" s="34" t="n">
        <f aca="false">EP$164*V_CajaMin/DiasMes*EP$9</f>
        <v>0</v>
      </c>
      <c r="EQ234" s="34" t="n">
        <f aca="false">EQ$164*V_CajaMin/DiasMes*EQ$9</f>
        <v>0</v>
      </c>
      <c r="ER234" s="34" t="n">
        <f aca="false">ER$164*V_CajaMin/DiasMes*ER$9</f>
        <v>0</v>
      </c>
      <c r="ES234" s="34" t="n">
        <f aca="false">ES$164*V_CajaMin/DiasMes*ES$9</f>
        <v>0</v>
      </c>
    </row>
    <row r="235" customFormat="false" ht="15" hidden="false" customHeight="false" outlineLevel="0" collapsed="false">
      <c r="A235" s="2" t="s">
        <v>708</v>
      </c>
      <c r="B235" s="6" t="s">
        <v>588</v>
      </c>
      <c r="C235" s="6" t="s">
        <v>212</v>
      </c>
      <c r="E235" s="40" t="n">
        <f aca="false">SUM(F235:ES235)</f>
        <v>0</v>
      </c>
      <c r="F235" s="34" t="n">
        <f aca="false">IF(AND(F$7=MAX(1,V_MesDiv),F$6&gt;=2),INDEX(Payout_V,1,MIN(10,F$6-1))*MAX(0,SUMIFS($F$200:$ES$200,$F$6:$ES$6,F$6-1)),0)*F$9</f>
        <v>0</v>
      </c>
      <c r="G235" s="34" t="n">
        <f aca="false">IF(AND(G$7=MAX(1,V_MesDiv),G$6&gt;=2),INDEX(Payout_V,1,MIN(10,G$6-1))*MAX(0,SUMIFS($F$200:$ES$200,$F$6:$ES$6,G$6-1)),0)*G$9</f>
        <v>0</v>
      </c>
      <c r="H235" s="34" t="n">
        <f aca="false">IF(AND(H$7=MAX(1,V_MesDiv),H$6&gt;=2),INDEX(Payout_V,1,MIN(10,H$6-1))*MAX(0,SUMIFS($F$200:$ES$200,$F$6:$ES$6,H$6-1)),0)*H$9</f>
        <v>0</v>
      </c>
      <c r="I235" s="34" t="n">
        <f aca="false">IF(AND(I$7=MAX(1,V_MesDiv),I$6&gt;=2),INDEX(Payout_V,1,MIN(10,I$6-1))*MAX(0,SUMIFS($F$200:$ES$200,$F$6:$ES$6,I$6-1)),0)*I$9</f>
        <v>0</v>
      </c>
      <c r="J235" s="34" t="n">
        <f aca="false">IF(AND(J$7=MAX(1,V_MesDiv),J$6&gt;=2),INDEX(Payout_V,1,MIN(10,J$6-1))*MAX(0,SUMIFS($F$200:$ES$200,$F$6:$ES$6,J$6-1)),0)*J$9</f>
        <v>0</v>
      </c>
      <c r="K235" s="34" t="n">
        <f aca="false">IF(AND(K$7=MAX(1,V_MesDiv),K$6&gt;=2),INDEX(Payout_V,1,MIN(10,K$6-1))*MAX(0,SUMIFS($F$200:$ES$200,$F$6:$ES$6,K$6-1)),0)*K$9</f>
        <v>0</v>
      </c>
      <c r="L235" s="34" t="n">
        <f aca="false">IF(AND(L$7=MAX(1,V_MesDiv),L$6&gt;=2),INDEX(Payout_V,1,MIN(10,L$6-1))*MAX(0,SUMIFS($F$200:$ES$200,$F$6:$ES$6,L$6-1)),0)*L$9</f>
        <v>0</v>
      </c>
      <c r="M235" s="34" t="n">
        <f aca="false">IF(AND(M$7=MAX(1,V_MesDiv),M$6&gt;=2),INDEX(Payout_V,1,MIN(10,M$6-1))*MAX(0,SUMIFS($F$200:$ES$200,$F$6:$ES$6,M$6-1)),0)*M$9</f>
        <v>0</v>
      </c>
      <c r="N235" s="34" t="n">
        <f aca="false">IF(AND(N$7=MAX(1,V_MesDiv),N$6&gt;=2),INDEX(Payout_V,1,MIN(10,N$6-1))*MAX(0,SUMIFS($F$200:$ES$200,$F$6:$ES$6,N$6-1)),0)*N$9</f>
        <v>0</v>
      </c>
      <c r="O235" s="34" t="n">
        <f aca="false">IF(AND(O$7=MAX(1,V_MesDiv),O$6&gt;=2),INDEX(Payout_V,1,MIN(10,O$6-1))*MAX(0,SUMIFS($F$200:$ES$200,$F$6:$ES$6,O$6-1)),0)*O$9</f>
        <v>0</v>
      </c>
      <c r="P235" s="34" t="n">
        <f aca="false">IF(AND(P$7=MAX(1,V_MesDiv),P$6&gt;=2),INDEX(Payout_V,1,MIN(10,P$6-1))*MAX(0,SUMIFS($F$200:$ES$200,$F$6:$ES$6,P$6-1)),0)*P$9</f>
        <v>0</v>
      </c>
      <c r="Q235" s="34" t="n">
        <f aca="false">IF(AND(Q$7=MAX(1,V_MesDiv),Q$6&gt;=2),INDEX(Payout_V,1,MIN(10,Q$6-1))*MAX(0,SUMIFS($F$200:$ES$200,$F$6:$ES$6,Q$6-1)),0)*Q$9</f>
        <v>0</v>
      </c>
      <c r="R235" s="34" t="n">
        <f aca="false">IF(AND(R$7=MAX(1,V_MesDiv),R$6&gt;=2),INDEX(Payout_V,1,MIN(10,R$6-1))*MAX(0,SUMIFS($F$200:$ES$200,$F$6:$ES$6,R$6-1)),0)*R$9</f>
        <v>0</v>
      </c>
      <c r="S235" s="34" t="n">
        <f aca="false">IF(AND(S$7=MAX(1,V_MesDiv),S$6&gt;=2),INDEX(Payout_V,1,MIN(10,S$6-1))*MAX(0,SUMIFS($F$200:$ES$200,$F$6:$ES$6,S$6-1)),0)*S$9</f>
        <v>0</v>
      </c>
      <c r="T235" s="34" t="n">
        <f aca="false">IF(AND(T$7=MAX(1,V_MesDiv),T$6&gt;=2),INDEX(Payout_V,1,MIN(10,T$6-1))*MAX(0,SUMIFS($F$200:$ES$200,$F$6:$ES$6,T$6-1)),0)*T$9</f>
        <v>0</v>
      </c>
      <c r="U235" s="34" t="n">
        <f aca="false">IF(AND(U$7=MAX(1,V_MesDiv),U$6&gt;=2),INDEX(Payout_V,1,MIN(10,U$6-1))*MAX(0,SUMIFS($F$200:$ES$200,$F$6:$ES$6,U$6-1)),0)*U$9</f>
        <v>0</v>
      </c>
      <c r="V235" s="34" t="n">
        <f aca="false">IF(AND(V$7=MAX(1,V_MesDiv),V$6&gt;=2),INDEX(Payout_V,1,MIN(10,V$6-1))*MAX(0,SUMIFS($F$200:$ES$200,$F$6:$ES$6,V$6-1)),0)*V$9</f>
        <v>0</v>
      </c>
      <c r="W235" s="34" t="n">
        <f aca="false">IF(AND(W$7=MAX(1,V_MesDiv),W$6&gt;=2),INDEX(Payout_V,1,MIN(10,W$6-1))*MAX(0,SUMIFS($F$200:$ES$200,$F$6:$ES$6,W$6-1)),0)*W$9</f>
        <v>0</v>
      </c>
      <c r="X235" s="34" t="n">
        <f aca="false">IF(AND(X$7=MAX(1,V_MesDiv),X$6&gt;=2),INDEX(Payout_V,1,MIN(10,X$6-1))*MAX(0,SUMIFS($F$200:$ES$200,$F$6:$ES$6,X$6-1)),0)*X$9</f>
        <v>0</v>
      </c>
      <c r="Y235" s="34" t="n">
        <f aca="false">IF(AND(Y$7=MAX(1,V_MesDiv),Y$6&gt;=2),INDEX(Payout_V,1,MIN(10,Y$6-1))*MAX(0,SUMIFS($F$200:$ES$200,$F$6:$ES$6,Y$6-1)),0)*Y$9</f>
        <v>0</v>
      </c>
      <c r="Z235" s="34" t="n">
        <f aca="false">IF(AND(Z$7=MAX(1,V_MesDiv),Z$6&gt;=2),INDEX(Payout_V,1,MIN(10,Z$6-1))*MAX(0,SUMIFS($F$200:$ES$200,$F$6:$ES$6,Z$6-1)),0)*Z$9</f>
        <v>0</v>
      </c>
      <c r="AA235" s="34" t="n">
        <f aca="false">IF(AND(AA$7=MAX(1,V_MesDiv),AA$6&gt;=2),INDEX(Payout_V,1,MIN(10,AA$6-1))*MAX(0,SUMIFS($F$200:$ES$200,$F$6:$ES$6,AA$6-1)),0)*AA$9</f>
        <v>0</v>
      </c>
      <c r="AB235" s="34" t="n">
        <f aca="false">IF(AND(AB$7=MAX(1,V_MesDiv),AB$6&gt;=2),INDEX(Payout_V,1,MIN(10,AB$6-1))*MAX(0,SUMIFS($F$200:$ES$200,$F$6:$ES$6,AB$6-1)),0)*AB$9</f>
        <v>0</v>
      </c>
      <c r="AC235" s="34" t="n">
        <f aca="false">IF(AND(AC$7=MAX(1,V_MesDiv),AC$6&gt;=2),INDEX(Payout_V,1,MIN(10,AC$6-1))*MAX(0,SUMIFS($F$200:$ES$200,$F$6:$ES$6,AC$6-1)),0)*AC$9</f>
        <v>0</v>
      </c>
      <c r="AD235" s="34" t="n">
        <f aca="false">IF(AND(AD$7=MAX(1,V_MesDiv),AD$6&gt;=2),INDEX(Payout_V,1,MIN(10,AD$6-1))*MAX(0,SUMIFS($F$200:$ES$200,$F$6:$ES$6,AD$6-1)),0)*AD$9</f>
        <v>0</v>
      </c>
      <c r="AE235" s="34" t="n">
        <f aca="false">IF(AND(AE$7=MAX(1,V_MesDiv),AE$6&gt;=2),INDEX(Payout_V,1,MIN(10,AE$6-1))*MAX(0,SUMIFS($F$200:$ES$200,$F$6:$ES$6,AE$6-1)),0)*AE$9</f>
        <v>0</v>
      </c>
      <c r="AF235" s="34" t="n">
        <f aca="false">IF(AND(AF$7=MAX(1,V_MesDiv),AF$6&gt;=2),INDEX(Payout_V,1,MIN(10,AF$6-1))*MAX(0,SUMIFS($F$200:$ES$200,$F$6:$ES$6,AF$6-1)),0)*AF$9</f>
        <v>0</v>
      </c>
      <c r="AG235" s="34" t="n">
        <f aca="false">IF(AND(AG$7=MAX(1,V_MesDiv),AG$6&gt;=2),INDEX(Payout_V,1,MIN(10,AG$6-1))*MAX(0,SUMIFS($F$200:$ES$200,$F$6:$ES$6,AG$6-1)),0)*AG$9</f>
        <v>0</v>
      </c>
      <c r="AH235" s="34" t="n">
        <f aca="false">IF(AND(AH$7=MAX(1,V_MesDiv),AH$6&gt;=2),INDEX(Payout_V,1,MIN(10,AH$6-1))*MAX(0,SUMIFS($F$200:$ES$200,$F$6:$ES$6,AH$6-1)),0)*AH$9</f>
        <v>0</v>
      </c>
      <c r="AI235" s="34" t="n">
        <f aca="false">IF(AND(AI$7=MAX(1,V_MesDiv),AI$6&gt;=2),INDEX(Payout_V,1,MIN(10,AI$6-1))*MAX(0,SUMIFS($F$200:$ES$200,$F$6:$ES$6,AI$6-1)),0)*AI$9</f>
        <v>0</v>
      </c>
      <c r="AJ235" s="34" t="n">
        <f aca="false">IF(AND(AJ$7=MAX(1,V_MesDiv),AJ$6&gt;=2),INDEX(Payout_V,1,MIN(10,AJ$6-1))*MAX(0,SUMIFS($F$200:$ES$200,$F$6:$ES$6,AJ$6-1)),0)*AJ$9</f>
        <v>0</v>
      </c>
      <c r="AK235" s="34" t="n">
        <f aca="false">IF(AND(AK$7=MAX(1,V_MesDiv),AK$6&gt;=2),INDEX(Payout_V,1,MIN(10,AK$6-1))*MAX(0,SUMIFS($F$200:$ES$200,$F$6:$ES$6,AK$6-1)),0)*AK$9</f>
        <v>0</v>
      </c>
      <c r="AL235" s="34" t="n">
        <f aca="false">IF(AND(AL$7=MAX(1,V_MesDiv),AL$6&gt;=2),INDEX(Payout_V,1,MIN(10,AL$6-1))*MAX(0,SUMIFS($F$200:$ES$200,$F$6:$ES$6,AL$6-1)),0)*AL$9</f>
        <v>0</v>
      </c>
      <c r="AM235" s="34" t="n">
        <f aca="false">IF(AND(AM$7=MAX(1,V_MesDiv),AM$6&gt;=2),INDEX(Payout_V,1,MIN(10,AM$6-1))*MAX(0,SUMIFS($F$200:$ES$200,$F$6:$ES$6,AM$6-1)),0)*AM$9</f>
        <v>0</v>
      </c>
      <c r="AN235" s="34" t="n">
        <f aca="false">IF(AND(AN$7=MAX(1,V_MesDiv),AN$6&gt;=2),INDEX(Payout_V,1,MIN(10,AN$6-1))*MAX(0,SUMIFS($F$200:$ES$200,$F$6:$ES$6,AN$6-1)),0)*AN$9</f>
        <v>0</v>
      </c>
      <c r="AO235" s="34" t="n">
        <f aca="false">IF(AND(AO$7=MAX(1,V_MesDiv),AO$6&gt;=2),INDEX(Payout_V,1,MIN(10,AO$6-1))*MAX(0,SUMIFS($F$200:$ES$200,$F$6:$ES$6,AO$6-1)),0)*AO$9</f>
        <v>0</v>
      </c>
      <c r="AP235" s="34" t="n">
        <f aca="false">IF(AND(AP$7=MAX(1,V_MesDiv),AP$6&gt;=2),INDEX(Payout_V,1,MIN(10,AP$6-1))*MAX(0,SUMIFS($F$200:$ES$200,$F$6:$ES$6,AP$6-1)),0)*AP$9</f>
        <v>0</v>
      </c>
      <c r="AQ235" s="34" t="n">
        <f aca="false">IF(AND(AQ$7=MAX(1,V_MesDiv),AQ$6&gt;=2),INDEX(Payout_V,1,MIN(10,AQ$6-1))*MAX(0,SUMIFS($F$200:$ES$200,$F$6:$ES$6,AQ$6-1)),0)*AQ$9</f>
        <v>0</v>
      </c>
      <c r="AR235" s="34" t="n">
        <f aca="false">IF(AND(AR$7=MAX(1,V_MesDiv),AR$6&gt;=2),INDEX(Payout_V,1,MIN(10,AR$6-1))*MAX(0,SUMIFS($F$200:$ES$200,$F$6:$ES$6,AR$6-1)),0)*AR$9</f>
        <v>0</v>
      </c>
      <c r="AS235" s="34" t="n">
        <f aca="false">IF(AND(AS$7=MAX(1,V_MesDiv),AS$6&gt;=2),INDEX(Payout_V,1,MIN(10,AS$6-1))*MAX(0,SUMIFS($F$200:$ES$200,$F$6:$ES$6,AS$6-1)),0)*AS$9</f>
        <v>0</v>
      </c>
      <c r="AT235" s="34" t="n">
        <f aca="false">IF(AND(AT$7=MAX(1,V_MesDiv),AT$6&gt;=2),INDEX(Payout_V,1,MIN(10,AT$6-1))*MAX(0,SUMIFS($F$200:$ES$200,$F$6:$ES$6,AT$6-1)),0)*AT$9</f>
        <v>0</v>
      </c>
      <c r="AU235" s="34" t="n">
        <f aca="false">IF(AND(AU$7=MAX(1,V_MesDiv),AU$6&gt;=2),INDEX(Payout_V,1,MIN(10,AU$6-1))*MAX(0,SUMIFS($F$200:$ES$200,$F$6:$ES$6,AU$6-1)),0)*AU$9</f>
        <v>0</v>
      </c>
      <c r="AV235" s="34" t="n">
        <f aca="false">IF(AND(AV$7=MAX(1,V_MesDiv),AV$6&gt;=2),INDEX(Payout_V,1,MIN(10,AV$6-1))*MAX(0,SUMIFS($F$200:$ES$200,$F$6:$ES$6,AV$6-1)),0)*AV$9</f>
        <v>0</v>
      </c>
      <c r="AW235" s="34" t="n">
        <f aca="false">IF(AND(AW$7=MAX(1,V_MesDiv),AW$6&gt;=2),INDEX(Payout_V,1,MIN(10,AW$6-1))*MAX(0,SUMIFS($F$200:$ES$200,$F$6:$ES$6,AW$6-1)),0)*AW$9</f>
        <v>0</v>
      </c>
      <c r="AX235" s="34" t="n">
        <f aca="false">IF(AND(AX$7=MAX(1,V_MesDiv),AX$6&gt;=2),INDEX(Payout_V,1,MIN(10,AX$6-1))*MAX(0,SUMIFS($F$200:$ES$200,$F$6:$ES$6,AX$6-1)),0)*AX$9</f>
        <v>0</v>
      </c>
      <c r="AY235" s="34" t="n">
        <f aca="false">IF(AND(AY$7=MAX(1,V_MesDiv),AY$6&gt;=2),INDEX(Payout_V,1,MIN(10,AY$6-1))*MAX(0,SUMIFS($F$200:$ES$200,$F$6:$ES$6,AY$6-1)),0)*AY$9</f>
        <v>0</v>
      </c>
      <c r="AZ235" s="34" t="n">
        <f aca="false">IF(AND(AZ$7=MAX(1,V_MesDiv),AZ$6&gt;=2),INDEX(Payout_V,1,MIN(10,AZ$6-1))*MAX(0,SUMIFS($F$200:$ES$200,$F$6:$ES$6,AZ$6-1)),0)*AZ$9</f>
        <v>0</v>
      </c>
      <c r="BA235" s="34" t="n">
        <f aca="false">IF(AND(BA$7=MAX(1,V_MesDiv),BA$6&gt;=2),INDEX(Payout_V,1,MIN(10,BA$6-1))*MAX(0,SUMIFS($F$200:$ES$200,$F$6:$ES$6,BA$6-1)),0)*BA$9</f>
        <v>0</v>
      </c>
      <c r="BB235" s="34" t="n">
        <f aca="false">IF(AND(BB$7=MAX(1,V_MesDiv),BB$6&gt;=2),INDEX(Payout_V,1,MIN(10,BB$6-1))*MAX(0,SUMIFS($F$200:$ES$200,$F$6:$ES$6,BB$6-1)),0)*BB$9</f>
        <v>0</v>
      </c>
      <c r="BC235" s="34" t="n">
        <f aca="false">IF(AND(BC$7=MAX(1,V_MesDiv),BC$6&gt;=2),INDEX(Payout_V,1,MIN(10,BC$6-1))*MAX(0,SUMIFS($F$200:$ES$200,$F$6:$ES$6,BC$6-1)),0)*BC$9</f>
        <v>0</v>
      </c>
      <c r="BD235" s="34" t="n">
        <f aca="false">IF(AND(BD$7=MAX(1,V_MesDiv),BD$6&gt;=2),INDEX(Payout_V,1,MIN(10,BD$6-1))*MAX(0,SUMIFS($F$200:$ES$200,$F$6:$ES$6,BD$6-1)),0)*BD$9</f>
        <v>0</v>
      </c>
      <c r="BE235" s="34" t="n">
        <f aca="false">IF(AND(BE$7=MAX(1,V_MesDiv),BE$6&gt;=2),INDEX(Payout_V,1,MIN(10,BE$6-1))*MAX(0,SUMIFS($F$200:$ES$200,$F$6:$ES$6,BE$6-1)),0)*BE$9</f>
        <v>0</v>
      </c>
      <c r="BF235" s="34" t="n">
        <f aca="false">IF(AND(BF$7=MAX(1,V_MesDiv),BF$6&gt;=2),INDEX(Payout_V,1,MIN(10,BF$6-1))*MAX(0,SUMIFS($F$200:$ES$200,$F$6:$ES$6,BF$6-1)),0)*BF$9</f>
        <v>0</v>
      </c>
      <c r="BG235" s="34" t="n">
        <f aca="false">IF(AND(BG$7=MAX(1,V_MesDiv),BG$6&gt;=2),INDEX(Payout_V,1,MIN(10,BG$6-1))*MAX(0,SUMIFS($F$200:$ES$200,$F$6:$ES$6,BG$6-1)),0)*BG$9</f>
        <v>0</v>
      </c>
      <c r="BH235" s="34" t="n">
        <f aca="false">IF(AND(BH$7=MAX(1,V_MesDiv),BH$6&gt;=2),INDEX(Payout_V,1,MIN(10,BH$6-1))*MAX(0,SUMIFS($F$200:$ES$200,$F$6:$ES$6,BH$6-1)),0)*BH$9</f>
        <v>0</v>
      </c>
      <c r="BI235" s="34" t="n">
        <f aca="false">IF(AND(BI$7=MAX(1,V_MesDiv),BI$6&gt;=2),INDEX(Payout_V,1,MIN(10,BI$6-1))*MAX(0,SUMIFS($F$200:$ES$200,$F$6:$ES$6,BI$6-1)),0)*BI$9</f>
        <v>0</v>
      </c>
      <c r="BJ235" s="34" t="n">
        <f aca="false">IF(AND(BJ$7=MAX(1,V_MesDiv),BJ$6&gt;=2),INDEX(Payout_V,1,MIN(10,BJ$6-1))*MAX(0,SUMIFS($F$200:$ES$200,$F$6:$ES$6,BJ$6-1)),0)*BJ$9</f>
        <v>0</v>
      </c>
      <c r="BK235" s="34" t="n">
        <f aca="false">IF(AND(BK$7=MAX(1,V_MesDiv),BK$6&gt;=2),INDEX(Payout_V,1,MIN(10,BK$6-1))*MAX(0,SUMIFS($F$200:$ES$200,$F$6:$ES$6,BK$6-1)),0)*BK$9</f>
        <v>0</v>
      </c>
      <c r="BL235" s="34" t="n">
        <f aca="false">IF(AND(BL$7=MAX(1,V_MesDiv),BL$6&gt;=2),INDEX(Payout_V,1,MIN(10,BL$6-1))*MAX(0,SUMIFS($F$200:$ES$200,$F$6:$ES$6,BL$6-1)),0)*BL$9</f>
        <v>0</v>
      </c>
      <c r="BM235" s="34" t="n">
        <f aca="false">IF(AND(BM$7=MAX(1,V_MesDiv),BM$6&gt;=2),INDEX(Payout_V,1,MIN(10,BM$6-1))*MAX(0,SUMIFS($F$200:$ES$200,$F$6:$ES$6,BM$6-1)),0)*BM$9</f>
        <v>0</v>
      </c>
      <c r="BN235" s="34" t="n">
        <f aca="false">IF(AND(BN$7=MAX(1,V_MesDiv),BN$6&gt;=2),INDEX(Payout_V,1,MIN(10,BN$6-1))*MAX(0,SUMIFS($F$200:$ES$200,$F$6:$ES$6,BN$6-1)),0)*BN$9</f>
        <v>0</v>
      </c>
      <c r="BO235" s="34" t="n">
        <f aca="false">IF(AND(BO$7=MAX(1,V_MesDiv),BO$6&gt;=2),INDEX(Payout_V,1,MIN(10,BO$6-1))*MAX(0,SUMIFS($F$200:$ES$200,$F$6:$ES$6,BO$6-1)),0)*BO$9</f>
        <v>0</v>
      </c>
      <c r="BP235" s="34" t="n">
        <f aca="false">IF(AND(BP$7=MAX(1,V_MesDiv),BP$6&gt;=2),INDEX(Payout_V,1,MIN(10,BP$6-1))*MAX(0,SUMIFS($F$200:$ES$200,$F$6:$ES$6,BP$6-1)),0)*BP$9</f>
        <v>0</v>
      </c>
      <c r="BQ235" s="34" t="n">
        <f aca="false">IF(AND(BQ$7=MAX(1,V_MesDiv),BQ$6&gt;=2),INDEX(Payout_V,1,MIN(10,BQ$6-1))*MAX(0,SUMIFS($F$200:$ES$200,$F$6:$ES$6,BQ$6-1)),0)*BQ$9</f>
        <v>0</v>
      </c>
      <c r="BR235" s="34" t="n">
        <f aca="false">IF(AND(BR$7=MAX(1,V_MesDiv),BR$6&gt;=2),INDEX(Payout_V,1,MIN(10,BR$6-1))*MAX(0,SUMIFS($F$200:$ES$200,$F$6:$ES$6,BR$6-1)),0)*BR$9</f>
        <v>0</v>
      </c>
      <c r="BS235" s="34" t="n">
        <f aca="false">IF(AND(BS$7=MAX(1,V_MesDiv),BS$6&gt;=2),INDEX(Payout_V,1,MIN(10,BS$6-1))*MAX(0,SUMIFS($F$200:$ES$200,$F$6:$ES$6,BS$6-1)),0)*BS$9</f>
        <v>0</v>
      </c>
      <c r="BT235" s="34" t="n">
        <f aca="false">IF(AND(BT$7=MAX(1,V_MesDiv),BT$6&gt;=2),INDEX(Payout_V,1,MIN(10,BT$6-1))*MAX(0,SUMIFS($F$200:$ES$200,$F$6:$ES$6,BT$6-1)),0)*BT$9</f>
        <v>0</v>
      </c>
      <c r="BU235" s="34" t="n">
        <f aca="false">IF(AND(BU$7=MAX(1,V_MesDiv),BU$6&gt;=2),INDEX(Payout_V,1,MIN(10,BU$6-1))*MAX(0,SUMIFS($F$200:$ES$200,$F$6:$ES$6,BU$6-1)),0)*BU$9</f>
        <v>0</v>
      </c>
      <c r="BV235" s="34" t="n">
        <f aca="false">IF(AND(BV$7=MAX(1,V_MesDiv),BV$6&gt;=2),INDEX(Payout_V,1,MIN(10,BV$6-1))*MAX(0,SUMIFS($F$200:$ES$200,$F$6:$ES$6,BV$6-1)),0)*BV$9</f>
        <v>0</v>
      </c>
      <c r="BW235" s="34" t="n">
        <f aca="false">IF(AND(BW$7=MAX(1,V_MesDiv),BW$6&gt;=2),INDEX(Payout_V,1,MIN(10,BW$6-1))*MAX(0,SUMIFS($F$200:$ES$200,$F$6:$ES$6,BW$6-1)),0)*BW$9</f>
        <v>0</v>
      </c>
      <c r="BX235" s="34" t="n">
        <f aca="false">IF(AND(BX$7=MAX(1,V_MesDiv),BX$6&gt;=2),INDEX(Payout_V,1,MIN(10,BX$6-1))*MAX(0,SUMIFS($F$200:$ES$200,$F$6:$ES$6,BX$6-1)),0)*BX$9</f>
        <v>0</v>
      </c>
      <c r="BY235" s="34" t="n">
        <f aca="false">IF(AND(BY$7=MAX(1,V_MesDiv),BY$6&gt;=2),INDEX(Payout_V,1,MIN(10,BY$6-1))*MAX(0,SUMIFS($F$200:$ES$200,$F$6:$ES$6,BY$6-1)),0)*BY$9</f>
        <v>0</v>
      </c>
      <c r="BZ235" s="34" t="n">
        <f aca="false">IF(AND(BZ$7=MAX(1,V_MesDiv),BZ$6&gt;=2),INDEX(Payout_V,1,MIN(10,BZ$6-1))*MAX(0,SUMIFS($F$200:$ES$200,$F$6:$ES$6,BZ$6-1)),0)*BZ$9</f>
        <v>0</v>
      </c>
      <c r="CA235" s="34" t="n">
        <f aca="false">IF(AND(CA$7=MAX(1,V_MesDiv),CA$6&gt;=2),INDEX(Payout_V,1,MIN(10,CA$6-1))*MAX(0,SUMIFS($F$200:$ES$200,$F$6:$ES$6,CA$6-1)),0)*CA$9</f>
        <v>0</v>
      </c>
      <c r="CB235" s="34" t="n">
        <f aca="false">IF(AND(CB$7=MAX(1,V_MesDiv),CB$6&gt;=2),INDEX(Payout_V,1,MIN(10,CB$6-1))*MAX(0,SUMIFS($F$200:$ES$200,$F$6:$ES$6,CB$6-1)),0)*CB$9</f>
        <v>0</v>
      </c>
      <c r="CC235" s="34" t="n">
        <f aca="false">IF(AND(CC$7=MAX(1,V_MesDiv),CC$6&gt;=2),INDEX(Payout_V,1,MIN(10,CC$6-1))*MAX(0,SUMIFS($F$200:$ES$200,$F$6:$ES$6,CC$6-1)),0)*CC$9</f>
        <v>0</v>
      </c>
      <c r="CD235" s="34" t="n">
        <f aca="false">IF(AND(CD$7=MAX(1,V_MesDiv),CD$6&gt;=2),INDEX(Payout_V,1,MIN(10,CD$6-1))*MAX(0,SUMIFS($F$200:$ES$200,$F$6:$ES$6,CD$6-1)),0)*CD$9</f>
        <v>0</v>
      </c>
      <c r="CE235" s="34" t="n">
        <f aca="false">IF(AND(CE$7=MAX(1,V_MesDiv),CE$6&gt;=2),INDEX(Payout_V,1,MIN(10,CE$6-1))*MAX(0,SUMIFS($F$200:$ES$200,$F$6:$ES$6,CE$6-1)),0)*CE$9</f>
        <v>0</v>
      </c>
      <c r="CF235" s="34" t="n">
        <f aca="false">IF(AND(CF$7=MAX(1,V_MesDiv),CF$6&gt;=2),INDEX(Payout_V,1,MIN(10,CF$6-1))*MAX(0,SUMIFS($F$200:$ES$200,$F$6:$ES$6,CF$6-1)),0)*CF$9</f>
        <v>0</v>
      </c>
      <c r="CG235" s="34" t="n">
        <f aca="false">IF(AND(CG$7=MAX(1,V_MesDiv),CG$6&gt;=2),INDEX(Payout_V,1,MIN(10,CG$6-1))*MAX(0,SUMIFS($F$200:$ES$200,$F$6:$ES$6,CG$6-1)),0)*CG$9</f>
        <v>0</v>
      </c>
      <c r="CH235" s="34" t="n">
        <f aca="false">IF(AND(CH$7=MAX(1,V_MesDiv),CH$6&gt;=2),INDEX(Payout_V,1,MIN(10,CH$6-1))*MAX(0,SUMIFS($F$200:$ES$200,$F$6:$ES$6,CH$6-1)),0)*CH$9</f>
        <v>0</v>
      </c>
      <c r="CI235" s="34" t="n">
        <f aca="false">IF(AND(CI$7=MAX(1,V_MesDiv),CI$6&gt;=2),INDEX(Payout_V,1,MIN(10,CI$6-1))*MAX(0,SUMIFS($F$200:$ES$200,$F$6:$ES$6,CI$6-1)),0)*CI$9</f>
        <v>0</v>
      </c>
      <c r="CJ235" s="34" t="n">
        <f aca="false">IF(AND(CJ$7=MAX(1,V_MesDiv),CJ$6&gt;=2),INDEX(Payout_V,1,MIN(10,CJ$6-1))*MAX(0,SUMIFS($F$200:$ES$200,$F$6:$ES$6,CJ$6-1)),0)*CJ$9</f>
        <v>0</v>
      </c>
      <c r="CK235" s="34" t="n">
        <f aca="false">IF(AND(CK$7=MAX(1,V_MesDiv),CK$6&gt;=2),INDEX(Payout_V,1,MIN(10,CK$6-1))*MAX(0,SUMIFS($F$200:$ES$200,$F$6:$ES$6,CK$6-1)),0)*CK$9</f>
        <v>0</v>
      </c>
      <c r="CL235" s="34" t="n">
        <f aca="false">IF(AND(CL$7=MAX(1,V_MesDiv),CL$6&gt;=2),INDEX(Payout_V,1,MIN(10,CL$6-1))*MAX(0,SUMIFS($F$200:$ES$200,$F$6:$ES$6,CL$6-1)),0)*CL$9</f>
        <v>0</v>
      </c>
      <c r="CM235" s="34" t="n">
        <f aca="false">IF(AND(CM$7=MAX(1,V_MesDiv),CM$6&gt;=2),INDEX(Payout_V,1,MIN(10,CM$6-1))*MAX(0,SUMIFS($F$200:$ES$200,$F$6:$ES$6,CM$6-1)),0)*CM$9</f>
        <v>0</v>
      </c>
      <c r="CN235" s="34" t="n">
        <f aca="false">IF(AND(CN$7=MAX(1,V_MesDiv),CN$6&gt;=2),INDEX(Payout_V,1,MIN(10,CN$6-1))*MAX(0,SUMIFS($F$200:$ES$200,$F$6:$ES$6,CN$6-1)),0)*CN$9</f>
        <v>0</v>
      </c>
      <c r="CO235" s="34" t="n">
        <f aca="false">IF(AND(CO$7=MAX(1,V_MesDiv),CO$6&gt;=2),INDEX(Payout_V,1,MIN(10,CO$6-1))*MAX(0,SUMIFS($F$200:$ES$200,$F$6:$ES$6,CO$6-1)),0)*CO$9</f>
        <v>0</v>
      </c>
      <c r="CP235" s="34" t="n">
        <f aca="false">IF(AND(CP$7=MAX(1,V_MesDiv),CP$6&gt;=2),INDEX(Payout_V,1,MIN(10,CP$6-1))*MAX(0,SUMIFS($F$200:$ES$200,$F$6:$ES$6,CP$6-1)),0)*CP$9</f>
        <v>0</v>
      </c>
      <c r="CQ235" s="34" t="n">
        <f aca="false">IF(AND(CQ$7=MAX(1,V_MesDiv),CQ$6&gt;=2),INDEX(Payout_V,1,MIN(10,CQ$6-1))*MAX(0,SUMIFS($F$200:$ES$200,$F$6:$ES$6,CQ$6-1)),0)*CQ$9</f>
        <v>0</v>
      </c>
      <c r="CR235" s="34" t="n">
        <f aca="false">IF(AND(CR$7=MAX(1,V_MesDiv),CR$6&gt;=2),INDEX(Payout_V,1,MIN(10,CR$6-1))*MAX(0,SUMIFS($F$200:$ES$200,$F$6:$ES$6,CR$6-1)),0)*CR$9</f>
        <v>0</v>
      </c>
      <c r="CS235" s="34" t="n">
        <f aca="false">IF(AND(CS$7=MAX(1,V_MesDiv),CS$6&gt;=2),INDEX(Payout_V,1,MIN(10,CS$6-1))*MAX(0,SUMIFS($F$200:$ES$200,$F$6:$ES$6,CS$6-1)),0)*CS$9</f>
        <v>0</v>
      </c>
      <c r="CT235" s="34" t="n">
        <f aca="false">IF(AND(CT$7=MAX(1,V_MesDiv),CT$6&gt;=2),INDEX(Payout_V,1,MIN(10,CT$6-1))*MAX(0,SUMIFS($F$200:$ES$200,$F$6:$ES$6,CT$6-1)),0)*CT$9</f>
        <v>0</v>
      </c>
      <c r="CU235" s="34" t="n">
        <f aca="false">IF(AND(CU$7=MAX(1,V_MesDiv),CU$6&gt;=2),INDEX(Payout_V,1,MIN(10,CU$6-1))*MAX(0,SUMIFS($F$200:$ES$200,$F$6:$ES$6,CU$6-1)),0)*CU$9</f>
        <v>0</v>
      </c>
      <c r="CV235" s="34" t="n">
        <f aca="false">IF(AND(CV$7=MAX(1,V_MesDiv),CV$6&gt;=2),INDEX(Payout_V,1,MIN(10,CV$6-1))*MAX(0,SUMIFS($F$200:$ES$200,$F$6:$ES$6,CV$6-1)),0)*CV$9</f>
        <v>0</v>
      </c>
      <c r="CW235" s="34" t="n">
        <f aca="false">IF(AND(CW$7=MAX(1,V_MesDiv),CW$6&gt;=2),INDEX(Payout_V,1,MIN(10,CW$6-1))*MAX(0,SUMIFS($F$200:$ES$200,$F$6:$ES$6,CW$6-1)),0)*CW$9</f>
        <v>0</v>
      </c>
      <c r="CX235" s="34" t="n">
        <f aca="false">IF(AND(CX$7=MAX(1,V_MesDiv),CX$6&gt;=2),INDEX(Payout_V,1,MIN(10,CX$6-1))*MAX(0,SUMIFS($F$200:$ES$200,$F$6:$ES$6,CX$6-1)),0)*CX$9</f>
        <v>0</v>
      </c>
      <c r="CY235" s="34" t="n">
        <f aca="false">IF(AND(CY$7=MAX(1,V_MesDiv),CY$6&gt;=2),INDEX(Payout_V,1,MIN(10,CY$6-1))*MAX(0,SUMIFS($F$200:$ES$200,$F$6:$ES$6,CY$6-1)),0)*CY$9</f>
        <v>0</v>
      </c>
      <c r="CZ235" s="34" t="n">
        <f aca="false">IF(AND(CZ$7=MAX(1,V_MesDiv),CZ$6&gt;=2),INDEX(Payout_V,1,MIN(10,CZ$6-1))*MAX(0,SUMIFS($F$200:$ES$200,$F$6:$ES$6,CZ$6-1)),0)*CZ$9</f>
        <v>0</v>
      </c>
      <c r="DA235" s="34" t="n">
        <f aca="false">IF(AND(DA$7=MAX(1,V_MesDiv),DA$6&gt;=2),INDEX(Payout_V,1,MIN(10,DA$6-1))*MAX(0,SUMIFS($F$200:$ES$200,$F$6:$ES$6,DA$6-1)),0)*DA$9</f>
        <v>0</v>
      </c>
      <c r="DB235" s="34" t="n">
        <f aca="false">IF(AND(DB$7=MAX(1,V_MesDiv),DB$6&gt;=2),INDEX(Payout_V,1,MIN(10,DB$6-1))*MAX(0,SUMIFS($F$200:$ES$200,$F$6:$ES$6,DB$6-1)),0)*DB$9</f>
        <v>0</v>
      </c>
      <c r="DC235" s="34" t="n">
        <f aca="false">IF(AND(DC$7=MAX(1,V_MesDiv),DC$6&gt;=2),INDEX(Payout_V,1,MIN(10,DC$6-1))*MAX(0,SUMIFS($F$200:$ES$200,$F$6:$ES$6,DC$6-1)),0)*DC$9</f>
        <v>0</v>
      </c>
      <c r="DD235" s="34" t="n">
        <f aca="false">IF(AND(DD$7=MAX(1,V_MesDiv),DD$6&gt;=2),INDEX(Payout_V,1,MIN(10,DD$6-1))*MAX(0,SUMIFS($F$200:$ES$200,$F$6:$ES$6,DD$6-1)),0)*DD$9</f>
        <v>0</v>
      </c>
      <c r="DE235" s="34" t="n">
        <f aca="false">IF(AND(DE$7=MAX(1,V_MesDiv),DE$6&gt;=2),INDEX(Payout_V,1,MIN(10,DE$6-1))*MAX(0,SUMIFS($F$200:$ES$200,$F$6:$ES$6,DE$6-1)),0)*DE$9</f>
        <v>0</v>
      </c>
      <c r="DF235" s="34" t="n">
        <f aca="false">IF(AND(DF$7=MAX(1,V_MesDiv),DF$6&gt;=2),INDEX(Payout_V,1,MIN(10,DF$6-1))*MAX(0,SUMIFS($F$200:$ES$200,$F$6:$ES$6,DF$6-1)),0)*DF$9</f>
        <v>0</v>
      </c>
      <c r="DG235" s="34" t="n">
        <f aca="false">IF(AND(DG$7=MAX(1,V_MesDiv),DG$6&gt;=2),INDEX(Payout_V,1,MIN(10,DG$6-1))*MAX(0,SUMIFS($F$200:$ES$200,$F$6:$ES$6,DG$6-1)),0)*DG$9</f>
        <v>0</v>
      </c>
      <c r="DH235" s="34" t="n">
        <f aca="false">IF(AND(DH$7=MAX(1,V_MesDiv),DH$6&gt;=2),INDEX(Payout_V,1,MIN(10,DH$6-1))*MAX(0,SUMIFS($F$200:$ES$200,$F$6:$ES$6,DH$6-1)),0)*DH$9</f>
        <v>0</v>
      </c>
      <c r="DI235" s="34" t="n">
        <f aca="false">IF(AND(DI$7=MAX(1,V_MesDiv),DI$6&gt;=2),INDEX(Payout_V,1,MIN(10,DI$6-1))*MAX(0,SUMIFS($F$200:$ES$200,$F$6:$ES$6,DI$6-1)),0)*DI$9</f>
        <v>0</v>
      </c>
      <c r="DJ235" s="34" t="n">
        <f aca="false">IF(AND(DJ$7=MAX(1,V_MesDiv),DJ$6&gt;=2),INDEX(Payout_V,1,MIN(10,DJ$6-1))*MAX(0,SUMIFS($F$200:$ES$200,$F$6:$ES$6,DJ$6-1)),0)*DJ$9</f>
        <v>0</v>
      </c>
      <c r="DK235" s="34" t="n">
        <f aca="false">IF(AND(DK$7=MAX(1,V_MesDiv),DK$6&gt;=2),INDEX(Payout_V,1,MIN(10,DK$6-1))*MAX(0,SUMIFS($F$200:$ES$200,$F$6:$ES$6,DK$6-1)),0)*DK$9</f>
        <v>0</v>
      </c>
      <c r="DL235" s="34" t="n">
        <f aca="false">IF(AND(DL$7=MAX(1,V_MesDiv),DL$6&gt;=2),INDEX(Payout_V,1,MIN(10,DL$6-1))*MAX(0,SUMIFS($F$200:$ES$200,$F$6:$ES$6,DL$6-1)),0)*DL$9</f>
        <v>0</v>
      </c>
      <c r="DM235" s="34" t="n">
        <f aca="false">IF(AND(DM$7=MAX(1,V_MesDiv),DM$6&gt;=2),INDEX(Payout_V,1,MIN(10,DM$6-1))*MAX(0,SUMIFS($F$200:$ES$200,$F$6:$ES$6,DM$6-1)),0)*DM$9</f>
        <v>0</v>
      </c>
      <c r="DN235" s="34" t="n">
        <f aca="false">IF(AND(DN$7=MAX(1,V_MesDiv),DN$6&gt;=2),INDEX(Payout_V,1,MIN(10,DN$6-1))*MAX(0,SUMIFS($F$200:$ES$200,$F$6:$ES$6,DN$6-1)),0)*DN$9</f>
        <v>0</v>
      </c>
      <c r="DO235" s="34" t="n">
        <f aca="false">IF(AND(DO$7=MAX(1,V_MesDiv),DO$6&gt;=2),INDEX(Payout_V,1,MIN(10,DO$6-1))*MAX(0,SUMIFS($F$200:$ES$200,$F$6:$ES$6,DO$6-1)),0)*DO$9</f>
        <v>0</v>
      </c>
      <c r="DP235" s="34" t="n">
        <f aca="false">IF(AND(DP$7=MAX(1,V_MesDiv),DP$6&gt;=2),INDEX(Payout_V,1,MIN(10,DP$6-1))*MAX(0,SUMIFS($F$200:$ES$200,$F$6:$ES$6,DP$6-1)),0)*DP$9</f>
        <v>0</v>
      </c>
      <c r="DQ235" s="34" t="n">
        <f aca="false">IF(AND(DQ$7=MAX(1,V_MesDiv),DQ$6&gt;=2),INDEX(Payout_V,1,MIN(10,DQ$6-1))*MAX(0,SUMIFS($F$200:$ES$200,$F$6:$ES$6,DQ$6-1)),0)*DQ$9</f>
        <v>0</v>
      </c>
      <c r="DR235" s="34" t="n">
        <f aca="false">IF(AND(DR$7=MAX(1,V_MesDiv),DR$6&gt;=2),INDEX(Payout_V,1,MIN(10,DR$6-1))*MAX(0,SUMIFS($F$200:$ES$200,$F$6:$ES$6,DR$6-1)),0)*DR$9</f>
        <v>0</v>
      </c>
      <c r="DS235" s="34" t="n">
        <f aca="false">IF(AND(DS$7=MAX(1,V_MesDiv),DS$6&gt;=2),INDEX(Payout_V,1,MIN(10,DS$6-1))*MAX(0,SUMIFS($F$200:$ES$200,$F$6:$ES$6,DS$6-1)),0)*DS$9</f>
        <v>0</v>
      </c>
      <c r="DT235" s="34" t="n">
        <f aca="false">IF(AND(DT$7=MAX(1,V_MesDiv),DT$6&gt;=2),INDEX(Payout_V,1,MIN(10,DT$6-1))*MAX(0,SUMIFS($F$200:$ES$200,$F$6:$ES$6,DT$6-1)),0)*DT$9</f>
        <v>0</v>
      </c>
      <c r="DU235" s="34" t="n">
        <f aca="false">IF(AND(DU$7=MAX(1,V_MesDiv),DU$6&gt;=2),INDEX(Payout_V,1,MIN(10,DU$6-1))*MAX(0,SUMIFS($F$200:$ES$200,$F$6:$ES$6,DU$6-1)),0)*DU$9</f>
        <v>0</v>
      </c>
      <c r="DV235" s="34" t="n">
        <f aca="false">IF(AND(DV$7=MAX(1,V_MesDiv),DV$6&gt;=2),INDEX(Payout_V,1,MIN(10,DV$6-1))*MAX(0,SUMIFS($F$200:$ES$200,$F$6:$ES$6,DV$6-1)),0)*DV$9</f>
        <v>0</v>
      </c>
      <c r="DW235" s="34" t="n">
        <f aca="false">IF(AND(DW$7=MAX(1,V_MesDiv),DW$6&gt;=2),INDEX(Payout_V,1,MIN(10,DW$6-1))*MAX(0,SUMIFS($F$200:$ES$200,$F$6:$ES$6,DW$6-1)),0)*DW$9</f>
        <v>0</v>
      </c>
      <c r="DX235" s="34" t="n">
        <f aca="false">IF(AND(DX$7=MAX(1,V_MesDiv),DX$6&gt;=2),INDEX(Payout_V,1,MIN(10,DX$6-1))*MAX(0,SUMIFS($F$200:$ES$200,$F$6:$ES$6,DX$6-1)),0)*DX$9</f>
        <v>0</v>
      </c>
      <c r="DY235" s="34" t="n">
        <f aca="false">IF(AND(DY$7=MAX(1,V_MesDiv),DY$6&gt;=2),INDEX(Payout_V,1,MIN(10,DY$6-1))*MAX(0,SUMIFS($F$200:$ES$200,$F$6:$ES$6,DY$6-1)),0)*DY$9</f>
        <v>0</v>
      </c>
      <c r="DZ235" s="34" t="n">
        <f aca="false">IF(AND(DZ$7=MAX(1,V_MesDiv),DZ$6&gt;=2),INDEX(Payout_V,1,MIN(10,DZ$6-1))*MAX(0,SUMIFS($F$200:$ES$200,$F$6:$ES$6,DZ$6-1)),0)*DZ$9</f>
        <v>0</v>
      </c>
      <c r="EA235" s="34" t="n">
        <f aca="false">IF(AND(EA$7=MAX(1,V_MesDiv),EA$6&gt;=2),INDEX(Payout_V,1,MIN(10,EA$6-1))*MAX(0,SUMIFS($F$200:$ES$200,$F$6:$ES$6,EA$6-1)),0)*EA$9</f>
        <v>0</v>
      </c>
      <c r="EB235" s="34" t="n">
        <f aca="false">IF(AND(EB$7=MAX(1,V_MesDiv),EB$6&gt;=2),INDEX(Payout_V,1,MIN(10,EB$6-1))*MAX(0,SUMIFS($F$200:$ES$200,$F$6:$ES$6,EB$6-1)),0)*EB$9</f>
        <v>0</v>
      </c>
      <c r="EC235" s="34" t="n">
        <f aca="false">IF(AND(EC$7=MAX(1,V_MesDiv),EC$6&gt;=2),INDEX(Payout_V,1,MIN(10,EC$6-1))*MAX(0,SUMIFS($F$200:$ES$200,$F$6:$ES$6,EC$6-1)),0)*EC$9</f>
        <v>0</v>
      </c>
      <c r="ED235" s="34" t="n">
        <f aca="false">IF(AND(ED$7=MAX(1,V_MesDiv),ED$6&gt;=2),INDEX(Payout_V,1,MIN(10,ED$6-1))*MAX(0,SUMIFS($F$200:$ES$200,$F$6:$ES$6,ED$6-1)),0)*ED$9</f>
        <v>0</v>
      </c>
      <c r="EE235" s="34" t="n">
        <f aca="false">IF(AND(EE$7=MAX(1,V_MesDiv),EE$6&gt;=2),INDEX(Payout_V,1,MIN(10,EE$6-1))*MAX(0,SUMIFS($F$200:$ES$200,$F$6:$ES$6,EE$6-1)),0)*EE$9</f>
        <v>0</v>
      </c>
      <c r="EF235" s="34" t="n">
        <f aca="false">IF(AND(EF$7=MAX(1,V_MesDiv),EF$6&gt;=2),INDEX(Payout_V,1,MIN(10,EF$6-1))*MAX(0,SUMIFS($F$200:$ES$200,$F$6:$ES$6,EF$6-1)),0)*EF$9</f>
        <v>0</v>
      </c>
      <c r="EG235" s="34" t="n">
        <f aca="false">IF(AND(EG$7=MAX(1,V_MesDiv),EG$6&gt;=2),INDEX(Payout_V,1,MIN(10,EG$6-1))*MAX(0,SUMIFS($F$200:$ES$200,$F$6:$ES$6,EG$6-1)),0)*EG$9</f>
        <v>0</v>
      </c>
      <c r="EH235" s="34" t="n">
        <f aca="false">IF(AND(EH$7=MAX(1,V_MesDiv),EH$6&gt;=2),INDEX(Payout_V,1,MIN(10,EH$6-1))*MAX(0,SUMIFS($F$200:$ES$200,$F$6:$ES$6,EH$6-1)),0)*EH$9</f>
        <v>0</v>
      </c>
      <c r="EI235" s="34" t="n">
        <f aca="false">IF(AND(EI$7=MAX(1,V_MesDiv),EI$6&gt;=2),INDEX(Payout_V,1,MIN(10,EI$6-1))*MAX(0,SUMIFS($F$200:$ES$200,$F$6:$ES$6,EI$6-1)),0)*EI$9</f>
        <v>0</v>
      </c>
      <c r="EJ235" s="34" t="n">
        <f aca="false">IF(AND(EJ$7=MAX(1,V_MesDiv),EJ$6&gt;=2),INDEX(Payout_V,1,MIN(10,EJ$6-1))*MAX(0,SUMIFS($F$200:$ES$200,$F$6:$ES$6,EJ$6-1)),0)*EJ$9</f>
        <v>0</v>
      </c>
      <c r="EK235" s="34" t="n">
        <f aca="false">IF(AND(EK$7=MAX(1,V_MesDiv),EK$6&gt;=2),INDEX(Payout_V,1,MIN(10,EK$6-1))*MAX(0,SUMIFS($F$200:$ES$200,$F$6:$ES$6,EK$6-1)),0)*EK$9</f>
        <v>0</v>
      </c>
      <c r="EL235" s="34" t="n">
        <f aca="false">IF(AND(EL$7=MAX(1,V_MesDiv),EL$6&gt;=2),INDEX(Payout_V,1,MIN(10,EL$6-1))*MAX(0,SUMIFS($F$200:$ES$200,$F$6:$ES$6,EL$6-1)),0)*EL$9</f>
        <v>0</v>
      </c>
      <c r="EM235" s="34" t="n">
        <f aca="false">IF(AND(EM$7=MAX(1,V_MesDiv),EM$6&gt;=2),INDEX(Payout_V,1,MIN(10,EM$6-1))*MAX(0,SUMIFS($F$200:$ES$200,$F$6:$ES$6,EM$6-1)),0)*EM$9</f>
        <v>0</v>
      </c>
      <c r="EN235" s="34" t="n">
        <f aca="false">IF(AND(EN$7=MAX(1,V_MesDiv),EN$6&gt;=2),INDEX(Payout_V,1,MIN(10,EN$6-1))*MAX(0,SUMIFS($F$200:$ES$200,$F$6:$ES$6,EN$6-1)),0)*EN$9</f>
        <v>0</v>
      </c>
      <c r="EO235" s="34" t="n">
        <f aca="false">IF(AND(EO$7=MAX(1,V_MesDiv),EO$6&gt;=2),INDEX(Payout_V,1,MIN(10,EO$6-1))*MAX(0,SUMIFS($F$200:$ES$200,$F$6:$ES$6,EO$6-1)),0)*EO$9</f>
        <v>0</v>
      </c>
      <c r="EP235" s="34" t="n">
        <f aca="false">IF(AND(EP$7=MAX(1,V_MesDiv),EP$6&gt;=2),INDEX(Payout_V,1,MIN(10,EP$6-1))*MAX(0,SUMIFS($F$200:$ES$200,$F$6:$ES$6,EP$6-1)),0)*EP$9</f>
        <v>0</v>
      </c>
      <c r="EQ235" s="34" t="n">
        <f aca="false">IF(AND(EQ$7=MAX(1,V_MesDiv),EQ$6&gt;=2),INDEX(Payout_V,1,MIN(10,EQ$6-1))*MAX(0,SUMIFS($F$200:$ES$200,$F$6:$ES$6,EQ$6-1)),0)*EQ$9</f>
        <v>0</v>
      </c>
      <c r="ER235" s="34" t="n">
        <f aca="false">IF(AND(ER$7=MAX(1,V_MesDiv),ER$6&gt;=2),INDEX(Payout_V,1,MIN(10,ER$6-1))*MAX(0,SUMIFS($F$200:$ES$200,$F$6:$ES$6,ER$6-1)),0)*ER$9</f>
        <v>0</v>
      </c>
      <c r="ES235" s="34" t="n">
        <f aca="false">IF(AND(ES$7=MAX(1,V_MesDiv),ES$6&gt;=2),INDEX(Payout_V,1,MIN(10,ES$6-1))*MAX(0,SUMIFS($F$200:$ES$200,$F$6:$ES$6,ES$6-1)),0)*ES$9</f>
        <v>0</v>
      </c>
    </row>
    <row r="236" customFormat="false" ht="15" hidden="false" customHeight="false" outlineLevel="0" collapsed="false">
      <c r="A236" s="2" t="s">
        <v>709</v>
      </c>
      <c r="B236" s="6" t="s">
        <v>590</v>
      </c>
      <c r="C236" s="6" t="s">
        <v>212</v>
      </c>
      <c r="E236" s="40" t="n">
        <f aca="false">SUM(F236:ES236)</f>
        <v>0</v>
      </c>
      <c r="F236" s="34" t="n">
        <f aca="false">IF(F$8=1,IF(Reales!$C$51="PYG",IF(F$10&gt;0,N(Reales!F51)/F$10,0),N(Reales!F51)),MIN(F$235,MAX(0,F$233-F$234)))</f>
        <v>0</v>
      </c>
      <c r="G236" s="34" t="n">
        <f aca="false">IF(G$8=1,IF(Reales!$C$51="PYG",IF(G$10&gt;0,N(Reales!G51)/G$10,0),N(Reales!G51)),MIN(G$235,MAX(0,G$233-G$234)))</f>
        <v>0</v>
      </c>
      <c r="H236" s="34" t="n">
        <f aca="false">IF(H$8=1,IF(Reales!$C$51="PYG",IF(H$10&gt;0,N(Reales!H51)/H$10,0),N(Reales!H51)),MIN(H$235,MAX(0,H$233-H$234)))</f>
        <v>0</v>
      </c>
      <c r="I236" s="34" t="n">
        <f aca="false">IF(I$8=1,IF(Reales!$C$51="PYG",IF(I$10&gt;0,N(Reales!I51)/I$10,0),N(Reales!I51)),MIN(I$235,MAX(0,I$233-I$234)))</f>
        <v>0</v>
      </c>
      <c r="J236" s="34" t="n">
        <f aca="false">IF(J$8=1,IF(Reales!$C$51="PYG",IF(J$10&gt;0,N(Reales!J51)/J$10,0),N(Reales!J51)),MIN(J$235,MAX(0,J$233-J$234)))</f>
        <v>0</v>
      </c>
      <c r="K236" s="34" t="n">
        <f aca="false">IF(K$8=1,IF(Reales!$C$51="PYG",IF(K$10&gt;0,N(Reales!K51)/K$10,0),N(Reales!K51)),MIN(K$235,MAX(0,K$233-K$234)))</f>
        <v>0</v>
      </c>
      <c r="L236" s="34" t="n">
        <f aca="false">IF(L$8=1,IF(Reales!$C$51="PYG",IF(L$10&gt;0,N(Reales!L51)/L$10,0),N(Reales!L51)),MIN(L$235,MAX(0,L$233-L$234)))</f>
        <v>0</v>
      </c>
      <c r="M236" s="34" t="n">
        <f aca="false">IF(M$8=1,IF(Reales!$C$51="PYG",IF(M$10&gt;0,N(Reales!M51)/M$10,0),N(Reales!M51)),MIN(M$235,MAX(0,M$233-M$234)))</f>
        <v>0</v>
      </c>
      <c r="N236" s="34" t="n">
        <f aca="false">IF(N$8=1,IF(Reales!$C$51="PYG",IF(N$10&gt;0,N(Reales!N51)/N$10,0),N(Reales!N51)),MIN(N$235,MAX(0,N$233-N$234)))</f>
        <v>0</v>
      </c>
      <c r="O236" s="34" t="n">
        <f aca="false">IF(O$8=1,IF(Reales!$C$51="PYG",IF(O$10&gt;0,N(Reales!O51)/O$10,0),N(Reales!O51)),MIN(O$235,MAX(0,O$233-O$234)))</f>
        <v>0</v>
      </c>
      <c r="P236" s="34" t="n">
        <f aca="false">IF(P$8=1,IF(Reales!$C$51="PYG",IF(P$10&gt;0,N(Reales!P51)/P$10,0),N(Reales!P51)),MIN(P$235,MAX(0,P$233-P$234)))</f>
        <v>0</v>
      </c>
      <c r="Q236" s="34" t="n">
        <f aca="false">IF(Q$8=1,IF(Reales!$C$51="PYG",IF(Q$10&gt;0,N(Reales!Q51)/Q$10,0),N(Reales!Q51)),MIN(Q$235,MAX(0,Q$233-Q$234)))</f>
        <v>0</v>
      </c>
      <c r="R236" s="34" t="n">
        <f aca="false">IF(R$8=1,IF(Reales!$C$51="PYG",IF(R$10&gt;0,N(Reales!R51)/R$10,0),N(Reales!R51)),MIN(R$235,MAX(0,R$233-R$234)))</f>
        <v>0</v>
      </c>
      <c r="S236" s="34" t="n">
        <f aca="false">IF(S$8=1,IF(Reales!$C$51="PYG",IF(S$10&gt;0,N(Reales!S51)/S$10,0),N(Reales!S51)),MIN(S$235,MAX(0,S$233-S$234)))</f>
        <v>0</v>
      </c>
      <c r="T236" s="34" t="n">
        <f aca="false">IF(T$8=1,IF(Reales!$C$51="PYG",IF(T$10&gt;0,N(Reales!T51)/T$10,0),N(Reales!T51)),MIN(T$235,MAX(0,T$233-T$234)))</f>
        <v>0</v>
      </c>
      <c r="U236" s="34" t="n">
        <f aca="false">IF(U$8=1,IF(Reales!$C$51="PYG",IF(U$10&gt;0,N(Reales!U51)/U$10,0),N(Reales!U51)),MIN(U$235,MAX(0,U$233-U$234)))</f>
        <v>0</v>
      </c>
      <c r="V236" s="34" t="n">
        <f aca="false">IF(V$8=1,IF(Reales!$C$51="PYG",IF(V$10&gt;0,N(Reales!V51)/V$10,0),N(Reales!V51)),MIN(V$235,MAX(0,V$233-V$234)))</f>
        <v>0</v>
      </c>
      <c r="W236" s="34" t="n">
        <f aca="false">IF(W$8=1,IF(Reales!$C$51="PYG",IF(W$10&gt;0,N(Reales!W51)/W$10,0),N(Reales!W51)),MIN(W$235,MAX(0,W$233-W$234)))</f>
        <v>0</v>
      </c>
      <c r="X236" s="34" t="n">
        <f aca="false">IF(X$8=1,IF(Reales!$C$51="PYG",IF(X$10&gt;0,N(Reales!X51)/X$10,0),N(Reales!X51)),MIN(X$235,MAX(0,X$233-X$234)))</f>
        <v>0</v>
      </c>
      <c r="Y236" s="34" t="n">
        <f aca="false">IF(Y$8=1,IF(Reales!$C$51="PYG",IF(Y$10&gt;0,N(Reales!Y51)/Y$10,0),N(Reales!Y51)),MIN(Y$235,MAX(0,Y$233-Y$234)))</f>
        <v>0</v>
      </c>
      <c r="Z236" s="34" t="n">
        <f aca="false">IF(Z$8=1,IF(Reales!$C$51="PYG",IF(Z$10&gt;0,N(Reales!Z51)/Z$10,0),N(Reales!Z51)),MIN(Z$235,MAX(0,Z$233-Z$234)))</f>
        <v>0</v>
      </c>
      <c r="AA236" s="34" t="n">
        <f aca="false">IF(AA$8=1,IF(Reales!$C$51="PYG",IF(AA$10&gt;0,N(Reales!AA51)/AA$10,0),N(Reales!AA51)),MIN(AA$235,MAX(0,AA$233-AA$234)))</f>
        <v>0</v>
      </c>
      <c r="AB236" s="34" t="n">
        <f aca="false">IF(AB$8=1,IF(Reales!$C$51="PYG",IF(AB$10&gt;0,N(Reales!AB51)/AB$10,0),N(Reales!AB51)),MIN(AB$235,MAX(0,AB$233-AB$234)))</f>
        <v>0</v>
      </c>
      <c r="AC236" s="34" t="n">
        <f aca="false">IF(AC$8=1,IF(Reales!$C$51="PYG",IF(AC$10&gt;0,N(Reales!AC51)/AC$10,0),N(Reales!AC51)),MIN(AC$235,MAX(0,AC$233-AC$234)))</f>
        <v>0</v>
      </c>
      <c r="AD236" s="34" t="n">
        <f aca="false">IF(AD$8=1,IF(Reales!$C$51="PYG",IF(AD$10&gt;0,N(Reales!AD51)/AD$10,0),N(Reales!AD51)),MIN(AD$235,MAX(0,AD$233-AD$234)))</f>
        <v>0</v>
      </c>
      <c r="AE236" s="34" t="n">
        <f aca="false">IF(AE$8=1,IF(Reales!$C$51="PYG",IF(AE$10&gt;0,N(Reales!AE51)/AE$10,0),N(Reales!AE51)),MIN(AE$235,MAX(0,AE$233-AE$234)))</f>
        <v>0</v>
      </c>
      <c r="AF236" s="34" t="n">
        <f aca="false">IF(AF$8=1,IF(Reales!$C$51="PYG",IF(AF$10&gt;0,N(Reales!AF51)/AF$10,0),N(Reales!AF51)),MIN(AF$235,MAX(0,AF$233-AF$234)))</f>
        <v>0</v>
      </c>
      <c r="AG236" s="34" t="n">
        <f aca="false">IF(AG$8=1,IF(Reales!$C$51="PYG",IF(AG$10&gt;0,N(Reales!AG51)/AG$10,0),N(Reales!AG51)),MIN(AG$235,MAX(0,AG$233-AG$234)))</f>
        <v>0</v>
      </c>
      <c r="AH236" s="34" t="n">
        <f aca="false">IF(AH$8=1,IF(Reales!$C$51="PYG",IF(AH$10&gt;0,N(Reales!AH51)/AH$10,0),N(Reales!AH51)),MIN(AH$235,MAX(0,AH$233-AH$234)))</f>
        <v>0</v>
      </c>
      <c r="AI236" s="34" t="n">
        <f aca="false">IF(AI$8=1,IF(Reales!$C$51="PYG",IF(AI$10&gt;0,N(Reales!AI51)/AI$10,0),N(Reales!AI51)),MIN(AI$235,MAX(0,AI$233-AI$234)))</f>
        <v>0</v>
      </c>
      <c r="AJ236" s="34" t="n">
        <f aca="false">IF(AJ$8=1,IF(Reales!$C$51="PYG",IF(AJ$10&gt;0,N(Reales!AJ51)/AJ$10,0),N(Reales!AJ51)),MIN(AJ$235,MAX(0,AJ$233-AJ$234)))</f>
        <v>0</v>
      </c>
      <c r="AK236" s="34" t="n">
        <f aca="false">IF(AK$8=1,IF(Reales!$C$51="PYG",IF(AK$10&gt;0,N(Reales!AK51)/AK$10,0),N(Reales!AK51)),MIN(AK$235,MAX(0,AK$233-AK$234)))</f>
        <v>0</v>
      </c>
      <c r="AL236" s="34" t="n">
        <f aca="false">IF(AL$8=1,IF(Reales!$C$51="PYG",IF(AL$10&gt;0,N(Reales!AL51)/AL$10,0),N(Reales!AL51)),MIN(AL$235,MAX(0,AL$233-AL$234)))</f>
        <v>0</v>
      </c>
      <c r="AM236" s="34" t="n">
        <f aca="false">IF(AM$8=1,IF(Reales!$C$51="PYG",IF(AM$10&gt;0,N(Reales!AM51)/AM$10,0),N(Reales!AM51)),MIN(AM$235,MAX(0,AM$233-AM$234)))</f>
        <v>0</v>
      </c>
      <c r="AN236" s="34" t="n">
        <f aca="false">IF(AN$8=1,IF(Reales!$C$51="PYG",IF(AN$10&gt;0,N(Reales!AN51)/AN$10,0),N(Reales!AN51)),MIN(AN$235,MAX(0,AN$233-AN$234)))</f>
        <v>0</v>
      </c>
      <c r="AO236" s="34" t="n">
        <f aca="false">IF(AO$8=1,IF(Reales!$C$51="PYG",IF(AO$10&gt;0,N(Reales!AO51)/AO$10,0),N(Reales!AO51)),MIN(AO$235,MAX(0,AO$233-AO$234)))</f>
        <v>0</v>
      </c>
      <c r="AP236" s="34" t="n">
        <f aca="false">IF(AP$8=1,IF(Reales!$C$51="PYG",IF(AP$10&gt;0,N(Reales!AP51)/AP$10,0),N(Reales!AP51)),MIN(AP$235,MAX(0,AP$233-AP$234)))</f>
        <v>0</v>
      </c>
      <c r="AQ236" s="34" t="n">
        <f aca="false">IF(AQ$8=1,IF(Reales!$C$51="PYG",IF(AQ$10&gt;0,N(Reales!AQ51)/AQ$10,0),N(Reales!AQ51)),MIN(AQ$235,MAX(0,AQ$233-AQ$234)))</f>
        <v>0</v>
      </c>
      <c r="AR236" s="34" t="n">
        <f aca="false">IF(AR$8=1,IF(Reales!$C$51="PYG",IF(AR$10&gt;0,N(Reales!AR51)/AR$10,0),N(Reales!AR51)),MIN(AR$235,MAX(0,AR$233-AR$234)))</f>
        <v>0</v>
      </c>
      <c r="AS236" s="34" t="n">
        <f aca="false">IF(AS$8=1,IF(Reales!$C$51="PYG",IF(AS$10&gt;0,N(Reales!AS51)/AS$10,0),N(Reales!AS51)),MIN(AS$235,MAX(0,AS$233-AS$234)))</f>
        <v>0</v>
      </c>
      <c r="AT236" s="34" t="n">
        <f aca="false">IF(AT$8=1,IF(Reales!$C$51="PYG",IF(AT$10&gt;0,N(Reales!AT51)/AT$10,0),N(Reales!AT51)),MIN(AT$235,MAX(0,AT$233-AT$234)))</f>
        <v>0</v>
      </c>
      <c r="AU236" s="34" t="n">
        <f aca="false">IF(AU$8=1,IF(Reales!$C$51="PYG",IF(AU$10&gt;0,N(Reales!AU51)/AU$10,0),N(Reales!AU51)),MIN(AU$235,MAX(0,AU$233-AU$234)))</f>
        <v>0</v>
      </c>
      <c r="AV236" s="34" t="n">
        <f aca="false">IF(AV$8=1,IF(Reales!$C$51="PYG",IF(AV$10&gt;0,N(Reales!AV51)/AV$10,0),N(Reales!AV51)),MIN(AV$235,MAX(0,AV$233-AV$234)))</f>
        <v>0</v>
      </c>
      <c r="AW236" s="34" t="n">
        <f aca="false">IF(AW$8=1,IF(Reales!$C$51="PYG",IF(AW$10&gt;0,N(Reales!AW51)/AW$10,0),N(Reales!AW51)),MIN(AW$235,MAX(0,AW$233-AW$234)))</f>
        <v>0</v>
      </c>
      <c r="AX236" s="34" t="n">
        <f aca="false">IF(AX$8=1,IF(Reales!$C$51="PYG",IF(AX$10&gt;0,N(Reales!AX51)/AX$10,0),N(Reales!AX51)),MIN(AX$235,MAX(0,AX$233-AX$234)))</f>
        <v>0</v>
      </c>
      <c r="AY236" s="34" t="n">
        <f aca="false">IF(AY$8=1,IF(Reales!$C$51="PYG",IF(AY$10&gt;0,N(Reales!AY51)/AY$10,0),N(Reales!AY51)),MIN(AY$235,MAX(0,AY$233-AY$234)))</f>
        <v>0</v>
      </c>
      <c r="AZ236" s="34" t="n">
        <f aca="false">IF(AZ$8=1,IF(Reales!$C$51="PYG",IF(AZ$10&gt;0,N(Reales!AZ51)/AZ$10,0),N(Reales!AZ51)),MIN(AZ$235,MAX(0,AZ$233-AZ$234)))</f>
        <v>0</v>
      </c>
      <c r="BA236" s="34" t="n">
        <f aca="false">IF(BA$8=1,IF(Reales!$C$51="PYG",IF(BA$10&gt;0,N(Reales!BA51)/BA$10,0),N(Reales!BA51)),MIN(BA$235,MAX(0,BA$233-BA$234)))</f>
        <v>0</v>
      </c>
      <c r="BB236" s="34" t="n">
        <f aca="false">IF(BB$8=1,IF(Reales!$C$51="PYG",IF(BB$10&gt;0,N(Reales!BB51)/BB$10,0),N(Reales!BB51)),MIN(BB$235,MAX(0,BB$233-BB$234)))</f>
        <v>0</v>
      </c>
      <c r="BC236" s="34" t="n">
        <f aca="false">IF(BC$8=1,IF(Reales!$C$51="PYG",IF(BC$10&gt;0,N(Reales!BC51)/BC$10,0),N(Reales!BC51)),MIN(BC$235,MAX(0,BC$233-BC$234)))</f>
        <v>0</v>
      </c>
      <c r="BD236" s="34" t="n">
        <f aca="false">IF(BD$8=1,IF(Reales!$C$51="PYG",IF(BD$10&gt;0,N(Reales!BD51)/BD$10,0),N(Reales!BD51)),MIN(BD$235,MAX(0,BD$233-BD$234)))</f>
        <v>0</v>
      </c>
      <c r="BE236" s="34" t="n">
        <f aca="false">IF(BE$8=1,IF(Reales!$C$51="PYG",IF(BE$10&gt;0,N(Reales!BE51)/BE$10,0),N(Reales!BE51)),MIN(BE$235,MAX(0,BE$233-BE$234)))</f>
        <v>0</v>
      </c>
      <c r="BF236" s="34" t="n">
        <f aca="false">IF(BF$8=1,IF(Reales!$C$51="PYG",IF(BF$10&gt;0,N(Reales!BF51)/BF$10,0),N(Reales!BF51)),MIN(BF$235,MAX(0,BF$233-BF$234)))</f>
        <v>0</v>
      </c>
      <c r="BG236" s="34" t="n">
        <f aca="false">IF(BG$8=1,IF(Reales!$C$51="PYG",IF(BG$10&gt;0,N(Reales!BG51)/BG$10,0),N(Reales!BG51)),MIN(BG$235,MAX(0,BG$233-BG$234)))</f>
        <v>0</v>
      </c>
      <c r="BH236" s="34" t="n">
        <f aca="false">IF(BH$8=1,IF(Reales!$C$51="PYG",IF(BH$10&gt;0,N(Reales!BH51)/BH$10,0),N(Reales!BH51)),MIN(BH$235,MAX(0,BH$233-BH$234)))</f>
        <v>0</v>
      </c>
      <c r="BI236" s="34" t="n">
        <f aca="false">IF(BI$8=1,IF(Reales!$C$51="PYG",IF(BI$10&gt;0,N(Reales!BI51)/BI$10,0),N(Reales!BI51)),MIN(BI$235,MAX(0,BI$233-BI$234)))</f>
        <v>0</v>
      </c>
      <c r="BJ236" s="34" t="n">
        <f aca="false">IF(BJ$8=1,IF(Reales!$C$51="PYG",IF(BJ$10&gt;0,N(Reales!BJ51)/BJ$10,0),N(Reales!BJ51)),MIN(BJ$235,MAX(0,BJ$233-BJ$234)))</f>
        <v>0</v>
      </c>
      <c r="BK236" s="34" t="n">
        <f aca="false">IF(BK$8=1,IF(Reales!$C$51="PYG",IF(BK$10&gt;0,N(Reales!BK51)/BK$10,0),N(Reales!BK51)),MIN(BK$235,MAX(0,BK$233-BK$234)))</f>
        <v>0</v>
      </c>
      <c r="BL236" s="34" t="n">
        <f aca="false">IF(BL$8=1,IF(Reales!$C$51="PYG",IF(BL$10&gt;0,N(Reales!BL51)/BL$10,0),N(Reales!BL51)),MIN(BL$235,MAX(0,BL$233-BL$234)))</f>
        <v>0</v>
      </c>
      <c r="BM236" s="34" t="n">
        <f aca="false">IF(BM$8=1,IF(Reales!$C$51="PYG",IF(BM$10&gt;0,N(Reales!BM51)/BM$10,0),N(Reales!BM51)),MIN(BM$235,MAX(0,BM$233-BM$234)))</f>
        <v>0</v>
      </c>
      <c r="BN236" s="34" t="n">
        <f aca="false">IF(BN$8=1,IF(Reales!$C$51="PYG",IF(BN$10&gt;0,N(Reales!BN51)/BN$10,0),N(Reales!BN51)),MIN(BN$235,MAX(0,BN$233-BN$234)))</f>
        <v>0</v>
      </c>
      <c r="BO236" s="34" t="n">
        <f aca="false">IF(BO$8=1,IF(Reales!$C$51="PYG",IF(BO$10&gt;0,N(Reales!BO51)/BO$10,0),N(Reales!BO51)),MIN(BO$235,MAX(0,BO$233-BO$234)))</f>
        <v>0</v>
      </c>
      <c r="BP236" s="34" t="n">
        <f aca="false">IF(BP$8=1,IF(Reales!$C$51="PYG",IF(BP$10&gt;0,N(Reales!BP51)/BP$10,0),N(Reales!BP51)),MIN(BP$235,MAX(0,BP$233-BP$234)))</f>
        <v>0</v>
      </c>
      <c r="BQ236" s="34" t="n">
        <f aca="false">IF(BQ$8=1,IF(Reales!$C$51="PYG",IF(BQ$10&gt;0,N(Reales!BQ51)/BQ$10,0),N(Reales!BQ51)),MIN(BQ$235,MAX(0,BQ$233-BQ$234)))</f>
        <v>0</v>
      </c>
      <c r="BR236" s="34" t="n">
        <f aca="false">IF(BR$8=1,IF(Reales!$C$51="PYG",IF(BR$10&gt;0,N(Reales!BR51)/BR$10,0),N(Reales!BR51)),MIN(BR$235,MAX(0,BR$233-BR$234)))</f>
        <v>0</v>
      </c>
      <c r="BS236" s="34" t="n">
        <f aca="false">IF(BS$8=1,IF(Reales!$C$51="PYG",IF(BS$10&gt;0,N(Reales!BS51)/BS$10,0),N(Reales!BS51)),MIN(BS$235,MAX(0,BS$233-BS$234)))</f>
        <v>0</v>
      </c>
      <c r="BT236" s="34" t="n">
        <f aca="false">IF(BT$8=1,IF(Reales!$C$51="PYG",IF(BT$10&gt;0,N(Reales!BT51)/BT$10,0),N(Reales!BT51)),MIN(BT$235,MAX(0,BT$233-BT$234)))</f>
        <v>0</v>
      </c>
      <c r="BU236" s="34" t="n">
        <f aca="false">IF(BU$8=1,IF(Reales!$C$51="PYG",IF(BU$10&gt;0,N(Reales!BU51)/BU$10,0),N(Reales!BU51)),MIN(BU$235,MAX(0,BU$233-BU$234)))</f>
        <v>0</v>
      </c>
      <c r="BV236" s="34" t="n">
        <f aca="false">IF(BV$8=1,IF(Reales!$C$51="PYG",IF(BV$10&gt;0,N(Reales!BV51)/BV$10,0),N(Reales!BV51)),MIN(BV$235,MAX(0,BV$233-BV$234)))</f>
        <v>0</v>
      </c>
      <c r="BW236" s="34" t="n">
        <f aca="false">IF(BW$8=1,IF(Reales!$C$51="PYG",IF(BW$10&gt;0,N(Reales!BW51)/BW$10,0),N(Reales!BW51)),MIN(BW$235,MAX(0,BW$233-BW$234)))</f>
        <v>0</v>
      </c>
      <c r="BX236" s="34" t="n">
        <f aca="false">IF(BX$8=1,IF(Reales!$C$51="PYG",IF(BX$10&gt;0,N(Reales!BX51)/BX$10,0),N(Reales!BX51)),MIN(BX$235,MAX(0,BX$233-BX$234)))</f>
        <v>0</v>
      </c>
      <c r="BY236" s="34" t="n">
        <f aca="false">IF(BY$8=1,IF(Reales!$C$51="PYG",IF(BY$10&gt;0,N(Reales!BY51)/BY$10,0),N(Reales!BY51)),MIN(BY$235,MAX(0,BY$233-BY$234)))</f>
        <v>0</v>
      </c>
      <c r="BZ236" s="34" t="n">
        <f aca="false">IF(BZ$8=1,IF(Reales!$C$51="PYG",IF(BZ$10&gt;0,N(Reales!BZ51)/BZ$10,0),N(Reales!BZ51)),MIN(BZ$235,MAX(0,BZ$233-BZ$234)))</f>
        <v>0</v>
      </c>
      <c r="CA236" s="34" t="n">
        <f aca="false">IF(CA$8=1,IF(Reales!$C$51="PYG",IF(CA$10&gt;0,N(Reales!CA51)/CA$10,0),N(Reales!CA51)),MIN(CA$235,MAX(0,CA$233-CA$234)))</f>
        <v>0</v>
      </c>
      <c r="CB236" s="34" t="n">
        <f aca="false">IF(CB$8=1,IF(Reales!$C$51="PYG",IF(CB$10&gt;0,N(Reales!CB51)/CB$10,0),N(Reales!CB51)),MIN(CB$235,MAX(0,CB$233-CB$234)))</f>
        <v>0</v>
      </c>
      <c r="CC236" s="34" t="n">
        <f aca="false">IF(CC$8=1,IF(Reales!$C$51="PYG",IF(CC$10&gt;0,N(Reales!CC51)/CC$10,0),N(Reales!CC51)),MIN(CC$235,MAX(0,CC$233-CC$234)))</f>
        <v>0</v>
      </c>
      <c r="CD236" s="34" t="n">
        <f aca="false">IF(CD$8=1,IF(Reales!$C$51="PYG",IF(CD$10&gt;0,N(Reales!CD51)/CD$10,0),N(Reales!CD51)),MIN(CD$235,MAX(0,CD$233-CD$234)))</f>
        <v>0</v>
      </c>
      <c r="CE236" s="34" t="n">
        <f aca="false">IF(CE$8=1,IF(Reales!$C$51="PYG",IF(CE$10&gt;0,N(Reales!CE51)/CE$10,0),N(Reales!CE51)),MIN(CE$235,MAX(0,CE$233-CE$234)))</f>
        <v>0</v>
      </c>
      <c r="CF236" s="34" t="n">
        <f aca="false">IF(CF$8=1,IF(Reales!$C$51="PYG",IF(CF$10&gt;0,N(Reales!CF51)/CF$10,0),N(Reales!CF51)),MIN(CF$235,MAX(0,CF$233-CF$234)))</f>
        <v>0</v>
      </c>
      <c r="CG236" s="34" t="n">
        <f aca="false">IF(CG$8=1,IF(Reales!$C$51="PYG",IF(CG$10&gt;0,N(Reales!CG51)/CG$10,0),N(Reales!CG51)),MIN(CG$235,MAX(0,CG$233-CG$234)))</f>
        <v>0</v>
      </c>
      <c r="CH236" s="34" t="n">
        <f aca="false">IF(CH$8=1,IF(Reales!$C$51="PYG",IF(CH$10&gt;0,N(Reales!CH51)/CH$10,0),N(Reales!CH51)),MIN(CH$235,MAX(0,CH$233-CH$234)))</f>
        <v>0</v>
      </c>
      <c r="CI236" s="34" t="n">
        <f aca="false">IF(CI$8=1,IF(Reales!$C$51="PYG",IF(CI$10&gt;0,N(Reales!CI51)/CI$10,0),N(Reales!CI51)),MIN(CI$235,MAX(0,CI$233-CI$234)))</f>
        <v>0</v>
      </c>
      <c r="CJ236" s="34" t="n">
        <f aca="false">IF(CJ$8=1,IF(Reales!$C$51="PYG",IF(CJ$10&gt;0,N(Reales!CJ51)/CJ$10,0),N(Reales!CJ51)),MIN(CJ$235,MAX(0,CJ$233-CJ$234)))</f>
        <v>0</v>
      </c>
      <c r="CK236" s="34" t="n">
        <f aca="false">IF(CK$8=1,IF(Reales!$C$51="PYG",IF(CK$10&gt;0,N(Reales!CK51)/CK$10,0),N(Reales!CK51)),MIN(CK$235,MAX(0,CK$233-CK$234)))</f>
        <v>0</v>
      </c>
      <c r="CL236" s="34" t="n">
        <f aca="false">IF(CL$8=1,IF(Reales!$C$51="PYG",IF(CL$10&gt;0,N(Reales!CL51)/CL$10,0),N(Reales!CL51)),MIN(CL$235,MAX(0,CL$233-CL$234)))</f>
        <v>0</v>
      </c>
      <c r="CM236" s="34" t="n">
        <f aca="false">IF(CM$8=1,IF(Reales!$C$51="PYG",IF(CM$10&gt;0,N(Reales!CM51)/CM$10,0),N(Reales!CM51)),MIN(CM$235,MAX(0,CM$233-CM$234)))</f>
        <v>0</v>
      </c>
      <c r="CN236" s="34" t="n">
        <f aca="false">IF(CN$8=1,IF(Reales!$C$51="PYG",IF(CN$10&gt;0,N(Reales!CN51)/CN$10,0),N(Reales!CN51)),MIN(CN$235,MAX(0,CN$233-CN$234)))</f>
        <v>0</v>
      </c>
      <c r="CO236" s="34" t="n">
        <f aca="false">IF(CO$8=1,IF(Reales!$C$51="PYG",IF(CO$10&gt;0,N(Reales!CO51)/CO$10,0),N(Reales!CO51)),MIN(CO$235,MAX(0,CO$233-CO$234)))</f>
        <v>0</v>
      </c>
      <c r="CP236" s="34" t="n">
        <f aca="false">IF(CP$8=1,IF(Reales!$C$51="PYG",IF(CP$10&gt;0,N(Reales!CP51)/CP$10,0),N(Reales!CP51)),MIN(CP$235,MAX(0,CP$233-CP$234)))</f>
        <v>0</v>
      </c>
      <c r="CQ236" s="34" t="n">
        <f aca="false">IF(CQ$8=1,IF(Reales!$C$51="PYG",IF(CQ$10&gt;0,N(Reales!CQ51)/CQ$10,0),N(Reales!CQ51)),MIN(CQ$235,MAX(0,CQ$233-CQ$234)))</f>
        <v>0</v>
      </c>
      <c r="CR236" s="34" t="n">
        <f aca="false">IF(CR$8=1,IF(Reales!$C$51="PYG",IF(CR$10&gt;0,N(Reales!CR51)/CR$10,0),N(Reales!CR51)),MIN(CR$235,MAX(0,CR$233-CR$234)))</f>
        <v>0</v>
      </c>
      <c r="CS236" s="34" t="n">
        <f aca="false">IF(CS$8=1,IF(Reales!$C$51="PYG",IF(CS$10&gt;0,N(Reales!CS51)/CS$10,0),N(Reales!CS51)),MIN(CS$235,MAX(0,CS$233-CS$234)))</f>
        <v>0</v>
      </c>
      <c r="CT236" s="34" t="n">
        <f aca="false">IF(CT$8=1,IF(Reales!$C$51="PYG",IF(CT$10&gt;0,N(Reales!CT51)/CT$10,0),N(Reales!CT51)),MIN(CT$235,MAX(0,CT$233-CT$234)))</f>
        <v>0</v>
      </c>
      <c r="CU236" s="34" t="n">
        <f aca="false">IF(CU$8=1,IF(Reales!$C$51="PYG",IF(CU$10&gt;0,N(Reales!CU51)/CU$10,0),N(Reales!CU51)),MIN(CU$235,MAX(0,CU$233-CU$234)))</f>
        <v>0</v>
      </c>
      <c r="CV236" s="34" t="n">
        <f aca="false">IF(CV$8=1,IF(Reales!$C$51="PYG",IF(CV$10&gt;0,N(Reales!CV51)/CV$10,0),N(Reales!CV51)),MIN(CV$235,MAX(0,CV$233-CV$234)))</f>
        <v>0</v>
      </c>
      <c r="CW236" s="34" t="n">
        <f aca="false">IF(CW$8=1,IF(Reales!$C$51="PYG",IF(CW$10&gt;0,N(Reales!CW51)/CW$10,0),N(Reales!CW51)),MIN(CW$235,MAX(0,CW$233-CW$234)))</f>
        <v>0</v>
      </c>
      <c r="CX236" s="34" t="n">
        <f aca="false">IF(CX$8=1,IF(Reales!$C$51="PYG",IF(CX$10&gt;0,N(Reales!CX51)/CX$10,0),N(Reales!CX51)),MIN(CX$235,MAX(0,CX$233-CX$234)))</f>
        <v>0</v>
      </c>
      <c r="CY236" s="34" t="n">
        <f aca="false">IF(CY$8=1,IF(Reales!$C$51="PYG",IF(CY$10&gt;0,N(Reales!CY51)/CY$10,0),N(Reales!CY51)),MIN(CY$235,MAX(0,CY$233-CY$234)))</f>
        <v>0</v>
      </c>
      <c r="CZ236" s="34" t="n">
        <f aca="false">IF(CZ$8=1,IF(Reales!$C$51="PYG",IF(CZ$10&gt;0,N(Reales!CZ51)/CZ$10,0),N(Reales!CZ51)),MIN(CZ$235,MAX(0,CZ$233-CZ$234)))</f>
        <v>0</v>
      </c>
      <c r="DA236" s="34" t="n">
        <f aca="false">IF(DA$8=1,IF(Reales!$C$51="PYG",IF(DA$10&gt;0,N(Reales!DA51)/DA$10,0),N(Reales!DA51)),MIN(DA$235,MAX(0,DA$233-DA$234)))</f>
        <v>0</v>
      </c>
      <c r="DB236" s="34" t="n">
        <f aca="false">IF(DB$8=1,IF(Reales!$C$51="PYG",IF(DB$10&gt;0,N(Reales!DB51)/DB$10,0),N(Reales!DB51)),MIN(DB$235,MAX(0,DB$233-DB$234)))</f>
        <v>0</v>
      </c>
      <c r="DC236" s="34" t="n">
        <f aca="false">IF(DC$8=1,IF(Reales!$C$51="PYG",IF(DC$10&gt;0,N(Reales!DC51)/DC$10,0),N(Reales!DC51)),MIN(DC$235,MAX(0,DC$233-DC$234)))</f>
        <v>0</v>
      </c>
      <c r="DD236" s="34" t="n">
        <f aca="false">IF(DD$8=1,IF(Reales!$C$51="PYG",IF(DD$10&gt;0,N(Reales!DD51)/DD$10,0),N(Reales!DD51)),MIN(DD$235,MAX(0,DD$233-DD$234)))</f>
        <v>0</v>
      </c>
      <c r="DE236" s="34" t="n">
        <f aca="false">IF(DE$8=1,IF(Reales!$C$51="PYG",IF(DE$10&gt;0,N(Reales!DE51)/DE$10,0),N(Reales!DE51)),MIN(DE$235,MAX(0,DE$233-DE$234)))</f>
        <v>0</v>
      </c>
      <c r="DF236" s="34" t="n">
        <f aca="false">IF(DF$8=1,IF(Reales!$C$51="PYG",IF(DF$10&gt;0,N(Reales!DF51)/DF$10,0),N(Reales!DF51)),MIN(DF$235,MAX(0,DF$233-DF$234)))</f>
        <v>0</v>
      </c>
      <c r="DG236" s="34" t="n">
        <f aca="false">IF(DG$8=1,IF(Reales!$C$51="PYG",IF(DG$10&gt;0,N(Reales!DG51)/DG$10,0),N(Reales!DG51)),MIN(DG$235,MAX(0,DG$233-DG$234)))</f>
        <v>0</v>
      </c>
      <c r="DH236" s="34" t="n">
        <f aca="false">IF(DH$8=1,IF(Reales!$C$51="PYG",IF(DH$10&gt;0,N(Reales!DH51)/DH$10,0),N(Reales!DH51)),MIN(DH$235,MAX(0,DH$233-DH$234)))</f>
        <v>0</v>
      </c>
      <c r="DI236" s="34" t="n">
        <f aca="false">IF(DI$8=1,IF(Reales!$C$51="PYG",IF(DI$10&gt;0,N(Reales!DI51)/DI$10,0),N(Reales!DI51)),MIN(DI$235,MAX(0,DI$233-DI$234)))</f>
        <v>0</v>
      </c>
      <c r="DJ236" s="34" t="n">
        <f aca="false">IF(DJ$8=1,IF(Reales!$C$51="PYG",IF(DJ$10&gt;0,N(Reales!DJ51)/DJ$10,0),N(Reales!DJ51)),MIN(DJ$235,MAX(0,DJ$233-DJ$234)))</f>
        <v>0</v>
      </c>
      <c r="DK236" s="34" t="n">
        <f aca="false">IF(DK$8=1,IF(Reales!$C$51="PYG",IF(DK$10&gt;0,N(Reales!DK51)/DK$10,0),N(Reales!DK51)),MIN(DK$235,MAX(0,DK$233-DK$234)))</f>
        <v>0</v>
      </c>
      <c r="DL236" s="34" t="n">
        <f aca="false">IF(DL$8=1,IF(Reales!$C$51="PYG",IF(DL$10&gt;0,N(Reales!DL51)/DL$10,0),N(Reales!DL51)),MIN(DL$235,MAX(0,DL$233-DL$234)))</f>
        <v>0</v>
      </c>
      <c r="DM236" s="34" t="n">
        <f aca="false">IF(DM$8=1,IF(Reales!$C$51="PYG",IF(DM$10&gt;0,N(Reales!DM51)/DM$10,0),N(Reales!DM51)),MIN(DM$235,MAX(0,DM$233-DM$234)))</f>
        <v>0</v>
      </c>
      <c r="DN236" s="34" t="n">
        <f aca="false">IF(DN$8=1,IF(Reales!$C$51="PYG",IF(DN$10&gt;0,N(Reales!DN51)/DN$10,0),N(Reales!DN51)),MIN(DN$235,MAX(0,DN$233-DN$234)))</f>
        <v>0</v>
      </c>
      <c r="DO236" s="34" t="n">
        <f aca="false">IF(DO$8=1,IF(Reales!$C$51="PYG",IF(DO$10&gt;0,N(Reales!DO51)/DO$10,0),N(Reales!DO51)),MIN(DO$235,MAX(0,DO$233-DO$234)))</f>
        <v>0</v>
      </c>
      <c r="DP236" s="34" t="n">
        <f aca="false">IF(DP$8=1,IF(Reales!$C$51="PYG",IF(DP$10&gt;0,N(Reales!DP51)/DP$10,0),N(Reales!DP51)),MIN(DP$235,MAX(0,DP$233-DP$234)))</f>
        <v>0</v>
      </c>
      <c r="DQ236" s="34" t="n">
        <f aca="false">IF(DQ$8=1,IF(Reales!$C$51="PYG",IF(DQ$10&gt;0,N(Reales!DQ51)/DQ$10,0),N(Reales!DQ51)),MIN(DQ$235,MAX(0,DQ$233-DQ$234)))</f>
        <v>0</v>
      </c>
      <c r="DR236" s="34" t="n">
        <f aca="false">IF(DR$8=1,IF(Reales!$C$51="PYG",IF(DR$10&gt;0,N(Reales!DR51)/DR$10,0),N(Reales!DR51)),MIN(DR$235,MAX(0,DR$233-DR$234)))</f>
        <v>0</v>
      </c>
      <c r="DS236" s="34" t="n">
        <f aca="false">IF(DS$8=1,IF(Reales!$C$51="PYG",IF(DS$10&gt;0,N(Reales!DS51)/DS$10,0),N(Reales!DS51)),MIN(DS$235,MAX(0,DS$233-DS$234)))</f>
        <v>0</v>
      </c>
      <c r="DT236" s="34" t="n">
        <f aca="false">IF(DT$8=1,IF(Reales!$C$51="PYG",IF(DT$10&gt;0,N(Reales!DT51)/DT$10,0),N(Reales!DT51)),MIN(DT$235,MAX(0,DT$233-DT$234)))</f>
        <v>0</v>
      </c>
      <c r="DU236" s="34" t="n">
        <f aca="false">IF(DU$8=1,IF(Reales!$C$51="PYG",IF(DU$10&gt;0,N(Reales!DU51)/DU$10,0),N(Reales!DU51)),MIN(DU$235,MAX(0,DU$233-DU$234)))</f>
        <v>0</v>
      </c>
      <c r="DV236" s="34" t="n">
        <f aca="false">IF(DV$8=1,IF(Reales!$C$51="PYG",IF(DV$10&gt;0,N(Reales!DV51)/DV$10,0),N(Reales!DV51)),MIN(DV$235,MAX(0,DV$233-DV$234)))</f>
        <v>0</v>
      </c>
      <c r="DW236" s="34" t="n">
        <f aca="false">IF(DW$8=1,IF(Reales!$C$51="PYG",IF(DW$10&gt;0,N(Reales!DW51)/DW$10,0),N(Reales!DW51)),MIN(DW$235,MAX(0,DW$233-DW$234)))</f>
        <v>0</v>
      </c>
      <c r="DX236" s="34" t="n">
        <f aca="false">IF(DX$8=1,IF(Reales!$C$51="PYG",IF(DX$10&gt;0,N(Reales!DX51)/DX$10,0),N(Reales!DX51)),MIN(DX$235,MAX(0,DX$233-DX$234)))</f>
        <v>0</v>
      </c>
      <c r="DY236" s="34" t="n">
        <f aca="false">IF(DY$8=1,IF(Reales!$C$51="PYG",IF(DY$10&gt;0,N(Reales!DY51)/DY$10,0),N(Reales!DY51)),MIN(DY$235,MAX(0,DY$233-DY$234)))</f>
        <v>0</v>
      </c>
      <c r="DZ236" s="34" t="n">
        <f aca="false">IF(DZ$8=1,IF(Reales!$C$51="PYG",IF(DZ$10&gt;0,N(Reales!DZ51)/DZ$10,0),N(Reales!DZ51)),MIN(DZ$235,MAX(0,DZ$233-DZ$234)))</f>
        <v>0</v>
      </c>
      <c r="EA236" s="34" t="n">
        <f aca="false">IF(EA$8=1,IF(Reales!$C$51="PYG",IF(EA$10&gt;0,N(Reales!EA51)/EA$10,0),N(Reales!EA51)),MIN(EA$235,MAX(0,EA$233-EA$234)))</f>
        <v>0</v>
      </c>
      <c r="EB236" s="34" t="n">
        <f aca="false">IF(EB$8=1,IF(Reales!$C$51="PYG",IF(EB$10&gt;0,N(Reales!EB51)/EB$10,0),N(Reales!EB51)),MIN(EB$235,MAX(0,EB$233-EB$234)))</f>
        <v>0</v>
      </c>
      <c r="EC236" s="34" t="n">
        <f aca="false">IF(EC$8=1,IF(Reales!$C$51="PYG",IF(EC$10&gt;0,N(Reales!EC51)/EC$10,0),N(Reales!EC51)),MIN(EC$235,MAX(0,EC$233-EC$234)))</f>
        <v>0</v>
      </c>
      <c r="ED236" s="34" t="n">
        <f aca="false">IF(ED$8=1,IF(Reales!$C$51="PYG",IF(ED$10&gt;0,N(Reales!ED51)/ED$10,0),N(Reales!ED51)),MIN(ED$235,MAX(0,ED$233-ED$234)))</f>
        <v>0</v>
      </c>
      <c r="EE236" s="34" t="n">
        <f aca="false">IF(EE$8=1,IF(Reales!$C$51="PYG",IF(EE$10&gt;0,N(Reales!EE51)/EE$10,0),N(Reales!EE51)),MIN(EE$235,MAX(0,EE$233-EE$234)))</f>
        <v>0</v>
      </c>
      <c r="EF236" s="34" t="n">
        <f aca="false">IF(EF$8=1,IF(Reales!$C$51="PYG",IF(EF$10&gt;0,N(Reales!EF51)/EF$10,0),N(Reales!EF51)),MIN(EF$235,MAX(0,EF$233-EF$234)))</f>
        <v>0</v>
      </c>
      <c r="EG236" s="34" t="n">
        <f aca="false">IF(EG$8=1,IF(Reales!$C$51="PYG",IF(EG$10&gt;0,N(Reales!EG51)/EG$10,0),N(Reales!EG51)),MIN(EG$235,MAX(0,EG$233-EG$234)))</f>
        <v>0</v>
      </c>
      <c r="EH236" s="34" t="n">
        <f aca="false">IF(EH$8=1,IF(Reales!$C$51="PYG",IF(EH$10&gt;0,N(Reales!EH51)/EH$10,0),N(Reales!EH51)),MIN(EH$235,MAX(0,EH$233-EH$234)))</f>
        <v>0</v>
      </c>
      <c r="EI236" s="34" t="n">
        <f aca="false">IF(EI$8=1,IF(Reales!$C$51="PYG",IF(EI$10&gt;0,N(Reales!EI51)/EI$10,0),N(Reales!EI51)),MIN(EI$235,MAX(0,EI$233-EI$234)))</f>
        <v>0</v>
      </c>
      <c r="EJ236" s="34" t="n">
        <f aca="false">IF(EJ$8=1,IF(Reales!$C$51="PYG",IF(EJ$10&gt;0,N(Reales!EJ51)/EJ$10,0),N(Reales!EJ51)),MIN(EJ$235,MAX(0,EJ$233-EJ$234)))</f>
        <v>0</v>
      </c>
      <c r="EK236" s="34" t="n">
        <f aca="false">IF(EK$8=1,IF(Reales!$C$51="PYG",IF(EK$10&gt;0,N(Reales!EK51)/EK$10,0),N(Reales!EK51)),MIN(EK$235,MAX(0,EK$233-EK$234)))</f>
        <v>0</v>
      </c>
      <c r="EL236" s="34" t="n">
        <f aca="false">IF(EL$8=1,IF(Reales!$C$51="PYG",IF(EL$10&gt;0,N(Reales!EL51)/EL$10,0),N(Reales!EL51)),MIN(EL$235,MAX(0,EL$233-EL$234)))</f>
        <v>0</v>
      </c>
      <c r="EM236" s="34" t="n">
        <f aca="false">IF(EM$8=1,IF(Reales!$C$51="PYG",IF(EM$10&gt;0,N(Reales!EM51)/EM$10,0),N(Reales!EM51)),MIN(EM$235,MAX(0,EM$233-EM$234)))</f>
        <v>0</v>
      </c>
      <c r="EN236" s="34" t="n">
        <f aca="false">IF(EN$8=1,IF(Reales!$C$51="PYG",IF(EN$10&gt;0,N(Reales!EN51)/EN$10,0),N(Reales!EN51)),MIN(EN$235,MAX(0,EN$233-EN$234)))</f>
        <v>0</v>
      </c>
      <c r="EO236" s="34" t="n">
        <f aca="false">IF(EO$8=1,IF(Reales!$C$51="PYG",IF(EO$10&gt;0,N(Reales!EO51)/EO$10,0),N(Reales!EO51)),MIN(EO$235,MAX(0,EO$233-EO$234)))</f>
        <v>0</v>
      </c>
      <c r="EP236" s="34" t="n">
        <f aca="false">IF(EP$8=1,IF(Reales!$C$51="PYG",IF(EP$10&gt;0,N(Reales!EP51)/EP$10,0),N(Reales!EP51)),MIN(EP$235,MAX(0,EP$233-EP$234)))</f>
        <v>0</v>
      </c>
      <c r="EQ236" s="34" t="n">
        <f aca="false">IF(EQ$8=1,IF(Reales!$C$51="PYG",IF(EQ$10&gt;0,N(Reales!EQ51)/EQ$10,0),N(Reales!EQ51)),MIN(EQ$235,MAX(0,EQ$233-EQ$234)))</f>
        <v>0</v>
      </c>
      <c r="ER236" s="34" t="n">
        <f aca="false">IF(ER$8=1,IF(Reales!$C$51="PYG",IF(ER$10&gt;0,N(Reales!ER51)/ER$10,0),N(Reales!ER51)),MIN(ER$235,MAX(0,ER$233-ER$234)))</f>
        <v>0</v>
      </c>
      <c r="ES236" s="34" t="n">
        <f aca="false">IF(ES$8=1,IF(Reales!$C$51="PYG",IF(ES$10&gt;0,N(Reales!ES51)/ES$10,0),N(Reales!ES51)),MIN(ES$235,MAX(0,ES$233-ES$234)))</f>
        <v>0</v>
      </c>
    </row>
    <row r="237" customFormat="false" ht="15" hidden="false" customHeight="false" outlineLevel="0" collapsed="false">
      <c r="A237" s="2" t="s">
        <v>710</v>
      </c>
      <c r="B237" s="52" t="s">
        <v>592</v>
      </c>
      <c r="C237" s="6" t="s">
        <v>212</v>
      </c>
      <c r="E237" s="40" t="n">
        <f aca="false">MIN(F237:ES237)</f>
        <v>0</v>
      </c>
      <c r="F237" s="10" t="n">
        <f aca="false">IF(AND(F$8=1,ISNUMBER(Reales!F53)),IF(Reales!$C$53="PYG",IF(F$10&gt;0,N(Reales!F53)/F$10,0),N(Reales!F53)),F$233-F$236)</f>
        <v>0</v>
      </c>
      <c r="G237" s="10" t="n">
        <f aca="false">IF(AND(G$8=1,ISNUMBER(Reales!G53)),IF(Reales!$C$53="PYG",IF(G$10&gt;0,N(Reales!G53)/G$10,0),N(Reales!G53)),G$233-G$236)</f>
        <v>0</v>
      </c>
      <c r="H237" s="10" t="n">
        <f aca="false">IF(AND(H$8=1,ISNUMBER(Reales!H53)),IF(Reales!$C$53="PYG",IF(H$10&gt;0,N(Reales!H53)/H$10,0),N(Reales!H53)),H$233-H$236)</f>
        <v>0</v>
      </c>
      <c r="I237" s="10" t="n">
        <f aca="false">IF(AND(I$8=1,ISNUMBER(Reales!I53)),IF(Reales!$C$53="PYG",IF(I$10&gt;0,N(Reales!I53)/I$10,0),N(Reales!I53)),I$233-I$236)</f>
        <v>0</v>
      </c>
      <c r="J237" s="10" t="n">
        <f aca="false">IF(AND(J$8=1,ISNUMBER(Reales!J53)),IF(Reales!$C$53="PYG",IF(J$10&gt;0,N(Reales!J53)/J$10,0),N(Reales!J53)),J$233-J$236)</f>
        <v>0</v>
      </c>
      <c r="K237" s="10" t="n">
        <f aca="false">IF(AND(K$8=1,ISNUMBER(Reales!K53)),IF(Reales!$C$53="PYG",IF(K$10&gt;0,N(Reales!K53)/K$10,0),N(Reales!K53)),K$233-K$236)</f>
        <v>0</v>
      </c>
      <c r="L237" s="10" t="n">
        <f aca="false">IF(AND(L$8=1,ISNUMBER(Reales!L53)),IF(Reales!$C$53="PYG",IF(L$10&gt;0,N(Reales!L53)/L$10,0),N(Reales!L53)),L$233-L$236)</f>
        <v>0</v>
      </c>
      <c r="M237" s="10" t="n">
        <f aca="false">IF(AND(M$8=1,ISNUMBER(Reales!M53)),IF(Reales!$C$53="PYG",IF(M$10&gt;0,N(Reales!M53)/M$10,0),N(Reales!M53)),M$233-M$236)</f>
        <v>0</v>
      </c>
      <c r="N237" s="10" t="n">
        <f aca="false">IF(AND(N$8=1,ISNUMBER(Reales!N53)),IF(Reales!$C$53="PYG",IF(N$10&gt;0,N(Reales!N53)/N$10,0),N(Reales!N53)),N$233-N$236)</f>
        <v>0</v>
      </c>
      <c r="O237" s="10" t="n">
        <f aca="false">IF(AND(O$8=1,ISNUMBER(Reales!O53)),IF(Reales!$C$53="PYG",IF(O$10&gt;0,N(Reales!O53)/O$10,0),N(Reales!O53)),O$233-O$236)</f>
        <v>0</v>
      </c>
      <c r="P237" s="10" t="n">
        <f aca="false">IF(AND(P$8=1,ISNUMBER(Reales!P53)),IF(Reales!$C$53="PYG",IF(P$10&gt;0,N(Reales!P53)/P$10,0),N(Reales!P53)),P$233-P$236)</f>
        <v>0</v>
      </c>
      <c r="Q237" s="10" t="n">
        <f aca="false">IF(AND(Q$8=1,ISNUMBER(Reales!Q53)),IF(Reales!$C$53="PYG",IF(Q$10&gt;0,N(Reales!Q53)/Q$10,0),N(Reales!Q53)),Q$233-Q$236)</f>
        <v>0</v>
      </c>
      <c r="R237" s="10" t="n">
        <f aca="false">IF(AND(R$8=1,ISNUMBER(Reales!R53)),IF(Reales!$C$53="PYG",IF(R$10&gt;0,N(Reales!R53)/R$10,0),N(Reales!R53)),R$233-R$236)</f>
        <v>0</v>
      </c>
      <c r="S237" s="10" t="n">
        <f aca="false">IF(AND(S$8=1,ISNUMBER(Reales!S53)),IF(Reales!$C$53="PYG",IF(S$10&gt;0,N(Reales!S53)/S$10,0),N(Reales!S53)),S$233-S$236)</f>
        <v>0</v>
      </c>
      <c r="T237" s="10" t="n">
        <f aca="false">IF(AND(T$8=1,ISNUMBER(Reales!T53)),IF(Reales!$C$53="PYG",IF(T$10&gt;0,N(Reales!T53)/T$10,0),N(Reales!T53)),T$233-T$236)</f>
        <v>0</v>
      </c>
      <c r="U237" s="10" t="n">
        <f aca="false">IF(AND(U$8=1,ISNUMBER(Reales!U53)),IF(Reales!$C$53="PYG",IF(U$10&gt;0,N(Reales!U53)/U$10,0),N(Reales!U53)),U$233-U$236)</f>
        <v>0</v>
      </c>
      <c r="V237" s="10" t="n">
        <f aca="false">IF(AND(V$8=1,ISNUMBER(Reales!V53)),IF(Reales!$C$53="PYG",IF(V$10&gt;0,N(Reales!V53)/V$10,0),N(Reales!V53)),V$233-V$236)</f>
        <v>0</v>
      </c>
      <c r="W237" s="10" t="n">
        <f aca="false">IF(AND(W$8=1,ISNUMBER(Reales!W53)),IF(Reales!$C$53="PYG",IF(W$10&gt;0,N(Reales!W53)/W$10,0),N(Reales!W53)),W$233-W$236)</f>
        <v>0</v>
      </c>
      <c r="X237" s="10" t="n">
        <f aca="false">IF(AND(X$8=1,ISNUMBER(Reales!X53)),IF(Reales!$C$53="PYG",IF(X$10&gt;0,N(Reales!X53)/X$10,0),N(Reales!X53)),X$233-X$236)</f>
        <v>0</v>
      </c>
      <c r="Y237" s="10" t="n">
        <f aca="false">IF(AND(Y$8=1,ISNUMBER(Reales!Y53)),IF(Reales!$C$53="PYG",IF(Y$10&gt;0,N(Reales!Y53)/Y$10,0),N(Reales!Y53)),Y$233-Y$236)</f>
        <v>0</v>
      </c>
      <c r="Z237" s="10" t="n">
        <f aca="false">IF(AND(Z$8=1,ISNUMBER(Reales!Z53)),IF(Reales!$C$53="PYG",IF(Z$10&gt;0,N(Reales!Z53)/Z$10,0),N(Reales!Z53)),Z$233-Z$236)</f>
        <v>0</v>
      </c>
      <c r="AA237" s="10" t="n">
        <f aca="false">IF(AND(AA$8=1,ISNUMBER(Reales!AA53)),IF(Reales!$C$53="PYG",IF(AA$10&gt;0,N(Reales!AA53)/AA$10,0),N(Reales!AA53)),AA$233-AA$236)</f>
        <v>0</v>
      </c>
      <c r="AB237" s="10" t="n">
        <f aca="false">IF(AND(AB$8=1,ISNUMBER(Reales!AB53)),IF(Reales!$C$53="PYG",IF(AB$10&gt;0,N(Reales!AB53)/AB$10,0),N(Reales!AB53)),AB$233-AB$236)</f>
        <v>0</v>
      </c>
      <c r="AC237" s="10" t="n">
        <f aca="false">IF(AND(AC$8=1,ISNUMBER(Reales!AC53)),IF(Reales!$C$53="PYG",IF(AC$10&gt;0,N(Reales!AC53)/AC$10,0),N(Reales!AC53)),AC$233-AC$236)</f>
        <v>0</v>
      </c>
      <c r="AD237" s="10" t="n">
        <f aca="false">IF(AND(AD$8=1,ISNUMBER(Reales!AD53)),IF(Reales!$C$53="PYG",IF(AD$10&gt;0,N(Reales!AD53)/AD$10,0),N(Reales!AD53)),AD$233-AD$236)</f>
        <v>0</v>
      </c>
      <c r="AE237" s="10" t="n">
        <f aca="false">IF(AND(AE$8=1,ISNUMBER(Reales!AE53)),IF(Reales!$C$53="PYG",IF(AE$10&gt;0,N(Reales!AE53)/AE$10,0),N(Reales!AE53)),AE$233-AE$236)</f>
        <v>0</v>
      </c>
      <c r="AF237" s="10" t="n">
        <f aca="false">IF(AND(AF$8=1,ISNUMBER(Reales!AF53)),IF(Reales!$C$53="PYG",IF(AF$10&gt;0,N(Reales!AF53)/AF$10,0),N(Reales!AF53)),AF$233-AF$236)</f>
        <v>0</v>
      </c>
      <c r="AG237" s="10" t="n">
        <f aca="false">IF(AND(AG$8=1,ISNUMBER(Reales!AG53)),IF(Reales!$C$53="PYG",IF(AG$10&gt;0,N(Reales!AG53)/AG$10,0),N(Reales!AG53)),AG$233-AG$236)</f>
        <v>0</v>
      </c>
      <c r="AH237" s="10" t="n">
        <f aca="false">IF(AND(AH$8=1,ISNUMBER(Reales!AH53)),IF(Reales!$C$53="PYG",IF(AH$10&gt;0,N(Reales!AH53)/AH$10,0),N(Reales!AH53)),AH$233-AH$236)</f>
        <v>0</v>
      </c>
      <c r="AI237" s="10" t="n">
        <f aca="false">IF(AND(AI$8=1,ISNUMBER(Reales!AI53)),IF(Reales!$C$53="PYG",IF(AI$10&gt;0,N(Reales!AI53)/AI$10,0),N(Reales!AI53)),AI$233-AI$236)</f>
        <v>0</v>
      </c>
      <c r="AJ237" s="10" t="n">
        <f aca="false">IF(AND(AJ$8=1,ISNUMBER(Reales!AJ53)),IF(Reales!$C$53="PYG",IF(AJ$10&gt;0,N(Reales!AJ53)/AJ$10,0),N(Reales!AJ53)),AJ$233-AJ$236)</f>
        <v>0</v>
      </c>
      <c r="AK237" s="10" t="n">
        <f aca="false">IF(AND(AK$8=1,ISNUMBER(Reales!AK53)),IF(Reales!$C$53="PYG",IF(AK$10&gt;0,N(Reales!AK53)/AK$10,0),N(Reales!AK53)),AK$233-AK$236)</f>
        <v>0</v>
      </c>
      <c r="AL237" s="10" t="n">
        <f aca="false">IF(AND(AL$8=1,ISNUMBER(Reales!AL53)),IF(Reales!$C$53="PYG",IF(AL$10&gt;0,N(Reales!AL53)/AL$10,0),N(Reales!AL53)),AL$233-AL$236)</f>
        <v>0</v>
      </c>
      <c r="AM237" s="10" t="n">
        <f aca="false">IF(AND(AM$8=1,ISNUMBER(Reales!AM53)),IF(Reales!$C$53="PYG",IF(AM$10&gt;0,N(Reales!AM53)/AM$10,0),N(Reales!AM53)),AM$233-AM$236)</f>
        <v>0</v>
      </c>
      <c r="AN237" s="10" t="n">
        <f aca="false">IF(AND(AN$8=1,ISNUMBER(Reales!AN53)),IF(Reales!$C$53="PYG",IF(AN$10&gt;0,N(Reales!AN53)/AN$10,0),N(Reales!AN53)),AN$233-AN$236)</f>
        <v>0</v>
      </c>
      <c r="AO237" s="10" t="n">
        <f aca="false">IF(AND(AO$8=1,ISNUMBER(Reales!AO53)),IF(Reales!$C$53="PYG",IF(AO$10&gt;0,N(Reales!AO53)/AO$10,0),N(Reales!AO53)),AO$233-AO$236)</f>
        <v>0</v>
      </c>
      <c r="AP237" s="10" t="n">
        <f aca="false">IF(AND(AP$8=1,ISNUMBER(Reales!AP53)),IF(Reales!$C$53="PYG",IF(AP$10&gt;0,N(Reales!AP53)/AP$10,0),N(Reales!AP53)),AP$233-AP$236)</f>
        <v>0</v>
      </c>
      <c r="AQ237" s="10" t="n">
        <f aca="false">IF(AND(AQ$8=1,ISNUMBER(Reales!AQ53)),IF(Reales!$C$53="PYG",IF(AQ$10&gt;0,N(Reales!AQ53)/AQ$10,0),N(Reales!AQ53)),AQ$233-AQ$236)</f>
        <v>0</v>
      </c>
      <c r="AR237" s="10" t="n">
        <f aca="false">IF(AND(AR$8=1,ISNUMBER(Reales!AR53)),IF(Reales!$C$53="PYG",IF(AR$10&gt;0,N(Reales!AR53)/AR$10,0),N(Reales!AR53)),AR$233-AR$236)</f>
        <v>0</v>
      </c>
      <c r="AS237" s="10" t="n">
        <f aca="false">IF(AND(AS$8=1,ISNUMBER(Reales!AS53)),IF(Reales!$C$53="PYG",IF(AS$10&gt;0,N(Reales!AS53)/AS$10,0),N(Reales!AS53)),AS$233-AS$236)</f>
        <v>0</v>
      </c>
      <c r="AT237" s="10" t="n">
        <f aca="false">IF(AND(AT$8=1,ISNUMBER(Reales!AT53)),IF(Reales!$C$53="PYG",IF(AT$10&gt;0,N(Reales!AT53)/AT$10,0),N(Reales!AT53)),AT$233-AT$236)</f>
        <v>0</v>
      </c>
      <c r="AU237" s="10" t="n">
        <f aca="false">IF(AND(AU$8=1,ISNUMBER(Reales!AU53)),IF(Reales!$C$53="PYG",IF(AU$10&gt;0,N(Reales!AU53)/AU$10,0),N(Reales!AU53)),AU$233-AU$236)</f>
        <v>0</v>
      </c>
      <c r="AV237" s="10" t="n">
        <f aca="false">IF(AND(AV$8=1,ISNUMBER(Reales!AV53)),IF(Reales!$C$53="PYG",IF(AV$10&gt;0,N(Reales!AV53)/AV$10,0),N(Reales!AV53)),AV$233-AV$236)</f>
        <v>0</v>
      </c>
      <c r="AW237" s="10" t="n">
        <f aca="false">IF(AND(AW$8=1,ISNUMBER(Reales!AW53)),IF(Reales!$C$53="PYG",IF(AW$10&gt;0,N(Reales!AW53)/AW$10,0),N(Reales!AW53)),AW$233-AW$236)</f>
        <v>0</v>
      </c>
      <c r="AX237" s="10" t="n">
        <f aca="false">IF(AND(AX$8=1,ISNUMBER(Reales!AX53)),IF(Reales!$C$53="PYG",IF(AX$10&gt;0,N(Reales!AX53)/AX$10,0),N(Reales!AX53)),AX$233-AX$236)</f>
        <v>0</v>
      </c>
      <c r="AY237" s="10" t="n">
        <f aca="false">IF(AND(AY$8=1,ISNUMBER(Reales!AY53)),IF(Reales!$C$53="PYG",IF(AY$10&gt;0,N(Reales!AY53)/AY$10,0),N(Reales!AY53)),AY$233-AY$236)</f>
        <v>0</v>
      </c>
      <c r="AZ237" s="10" t="n">
        <f aca="false">IF(AND(AZ$8=1,ISNUMBER(Reales!AZ53)),IF(Reales!$C$53="PYG",IF(AZ$10&gt;0,N(Reales!AZ53)/AZ$10,0),N(Reales!AZ53)),AZ$233-AZ$236)</f>
        <v>0</v>
      </c>
      <c r="BA237" s="10" t="n">
        <f aca="false">IF(AND(BA$8=1,ISNUMBER(Reales!BA53)),IF(Reales!$C$53="PYG",IF(BA$10&gt;0,N(Reales!BA53)/BA$10,0),N(Reales!BA53)),BA$233-BA$236)</f>
        <v>0</v>
      </c>
      <c r="BB237" s="10" t="n">
        <f aca="false">IF(AND(BB$8=1,ISNUMBER(Reales!BB53)),IF(Reales!$C$53="PYG",IF(BB$10&gt;0,N(Reales!BB53)/BB$10,0),N(Reales!BB53)),BB$233-BB$236)</f>
        <v>0</v>
      </c>
      <c r="BC237" s="10" t="n">
        <f aca="false">IF(AND(BC$8=1,ISNUMBER(Reales!BC53)),IF(Reales!$C$53="PYG",IF(BC$10&gt;0,N(Reales!BC53)/BC$10,0),N(Reales!BC53)),BC$233-BC$236)</f>
        <v>0</v>
      </c>
      <c r="BD237" s="10" t="n">
        <f aca="false">IF(AND(BD$8=1,ISNUMBER(Reales!BD53)),IF(Reales!$C$53="PYG",IF(BD$10&gt;0,N(Reales!BD53)/BD$10,0),N(Reales!BD53)),BD$233-BD$236)</f>
        <v>0</v>
      </c>
      <c r="BE237" s="10" t="n">
        <f aca="false">IF(AND(BE$8=1,ISNUMBER(Reales!BE53)),IF(Reales!$C$53="PYG",IF(BE$10&gt;0,N(Reales!BE53)/BE$10,0),N(Reales!BE53)),BE$233-BE$236)</f>
        <v>0</v>
      </c>
      <c r="BF237" s="10" t="n">
        <f aca="false">IF(AND(BF$8=1,ISNUMBER(Reales!BF53)),IF(Reales!$C$53="PYG",IF(BF$10&gt;0,N(Reales!BF53)/BF$10,0),N(Reales!BF53)),BF$233-BF$236)</f>
        <v>0</v>
      </c>
      <c r="BG237" s="10" t="n">
        <f aca="false">IF(AND(BG$8=1,ISNUMBER(Reales!BG53)),IF(Reales!$C$53="PYG",IF(BG$10&gt;0,N(Reales!BG53)/BG$10,0),N(Reales!BG53)),BG$233-BG$236)</f>
        <v>0</v>
      </c>
      <c r="BH237" s="10" t="n">
        <f aca="false">IF(AND(BH$8=1,ISNUMBER(Reales!BH53)),IF(Reales!$C$53="PYG",IF(BH$10&gt;0,N(Reales!BH53)/BH$10,0),N(Reales!BH53)),BH$233-BH$236)</f>
        <v>0</v>
      </c>
      <c r="BI237" s="10" t="n">
        <f aca="false">IF(AND(BI$8=1,ISNUMBER(Reales!BI53)),IF(Reales!$C$53="PYG",IF(BI$10&gt;0,N(Reales!BI53)/BI$10,0),N(Reales!BI53)),BI$233-BI$236)</f>
        <v>0</v>
      </c>
      <c r="BJ237" s="10" t="n">
        <f aca="false">IF(AND(BJ$8=1,ISNUMBER(Reales!BJ53)),IF(Reales!$C$53="PYG",IF(BJ$10&gt;0,N(Reales!BJ53)/BJ$10,0),N(Reales!BJ53)),BJ$233-BJ$236)</f>
        <v>0</v>
      </c>
      <c r="BK237" s="10" t="n">
        <f aca="false">IF(AND(BK$8=1,ISNUMBER(Reales!BK53)),IF(Reales!$C$53="PYG",IF(BK$10&gt;0,N(Reales!BK53)/BK$10,0),N(Reales!BK53)),BK$233-BK$236)</f>
        <v>0</v>
      </c>
      <c r="BL237" s="10" t="n">
        <f aca="false">IF(AND(BL$8=1,ISNUMBER(Reales!BL53)),IF(Reales!$C$53="PYG",IF(BL$10&gt;0,N(Reales!BL53)/BL$10,0),N(Reales!BL53)),BL$233-BL$236)</f>
        <v>0</v>
      </c>
      <c r="BM237" s="10" t="n">
        <f aca="false">IF(AND(BM$8=1,ISNUMBER(Reales!BM53)),IF(Reales!$C$53="PYG",IF(BM$10&gt;0,N(Reales!BM53)/BM$10,0),N(Reales!BM53)),BM$233-BM$236)</f>
        <v>0</v>
      </c>
      <c r="BN237" s="10" t="n">
        <f aca="false">IF(AND(BN$8=1,ISNUMBER(Reales!BN53)),IF(Reales!$C$53="PYG",IF(BN$10&gt;0,N(Reales!BN53)/BN$10,0),N(Reales!BN53)),BN$233-BN$236)</f>
        <v>0</v>
      </c>
      <c r="BO237" s="10" t="n">
        <f aca="false">IF(AND(BO$8=1,ISNUMBER(Reales!BO53)),IF(Reales!$C$53="PYG",IF(BO$10&gt;0,N(Reales!BO53)/BO$10,0),N(Reales!BO53)),BO$233-BO$236)</f>
        <v>0</v>
      </c>
      <c r="BP237" s="10" t="n">
        <f aca="false">IF(AND(BP$8=1,ISNUMBER(Reales!BP53)),IF(Reales!$C$53="PYG",IF(BP$10&gt;0,N(Reales!BP53)/BP$10,0),N(Reales!BP53)),BP$233-BP$236)</f>
        <v>0</v>
      </c>
      <c r="BQ237" s="10" t="n">
        <f aca="false">IF(AND(BQ$8=1,ISNUMBER(Reales!BQ53)),IF(Reales!$C$53="PYG",IF(BQ$10&gt;0,N(Reales!BQ53)/BQ$10,0),N(Reales!BQ53)),BQ$233-BQ$236)</f>
        <v>0</v>
      </c>
      <c r="BR237" s="10" t="n">
        <f aca="false">IF(AND(BR$8=1,ISNUMBER(Reales!BR53)),IF(Reales!$C$53="PYG",IF(BR$10&gt;0,N(Reales!BR53)/BR$10,0),N(Reales!BR53)),BR$233-BR$236)</f>
        <v>0</v>
      </c>
      <c r="BS237" s="10" t="n">
        <f aca="false">IF(AND(BS$8=1,ISNUMBER(Reales!BS53)),IF(Reales!$C$53="PYG",IF(BS$10&gt;0,N(Reales!BS53)/BS$10,0),N(Reales!BS53)),BS$233-BS$236)</f>
        <v>0</v>
      </c>
      <c r="BT237" s="10" t="n">
        <f aca="false">IF(AND(BT$8=1,ISNUMBER(Reales!BT53)),IF(Reales!$C$53="PYG",IF(BT$10&gt;0,N(Reales!BT53)/BT$10,0),N(Reales!BT53)),BT$233-BT$236)</f>
        <v>0</v>
      </c>
      <c r="BU237" s="10" t="n">
        <f aca="false">IF(AND(BU$8=1,ISNUMBER(Reales!BU53)),IF(Reales!$C$53="PYG",IF(BU$10&gt;0,N(Reales!BU53)/BU$10,0),N(Reales!BU53)),BU$233-BU$236)</f>
        <v>0</v>
      </c>
      <c r="BV237" s="10" t="n">
        <f aca="false">IF(AND(BV$8=1,ISNUMBER(Reales!BV53)),IF(Reales!$C$53="PYG",IF(BV$10&gt;0,N(Reales!BV53)/BV$10,0),N(Reales!BV53)),BV$233-BV$236)</f>
        <v>0</v>
      </c>
      <c r="BW237" s="10" t="n">
        <f aca="false">IF(AND(BW$8=1,ISNUMBER(Reales!BW53)),IF(Reales!$C$53="PYG",IF(BW$10&gt;0,N(Reales!BW53)/BW$10,0),N(Reales!BW53)),BW$233-BW$236)</f>
        <v>0</v>
      </c>
      <c r="BX237" s="10" t="n">
        <f aca="false">IF(AND(BX$8=1,ISNUMBER(Reales!BX53)),IF(Reales!$C$53="PYG",IF(BX$10&gt;0,N(Reales!BX53)/BX$10,0),N(Reales!BX53)),BX$233-BX$236)</f>
        <v>0</v>
      </c>
      <c r="BY237" s="10" t="n">
        <f aca="false">IF(AND(BY$8=1,ISNUMBER(Reales!BY53)),IF(Reales!$C$53="PYG",IF(BY$10&gt;0,N(Reales!BY53)/BY$10,0),N(Reales!BY53)),BY$233-BY$236)</f>
        <v>0</v>
      </c>
      <c r="BZ237" s="10" t="n">
        <f aca="false">IF(AND(BZ$8=1,ISNUMBER(Reales!BZ53)),IF(Reales!$C$53="PYG",IF(BZ$10&gt;0,N(Reales!BZ53)/BZ$10,0),N(Reales!BZ53)),BZ$233-BZ$236)</f>
        <v>0</v>
      </c>
      <c r="CA237" s="10" t="n">
        <f aca="false">IF(AND(CA$8=1,ISNUMBER(Reales!CA53)),IF(Reales!$C$53="PYG",IF(CA$10&gt;0,N(Reales!CA53)/CA$10,0),N(Reales!CA53)),CA$233-CA$236)</f>
        <v>0</v>
      </c>
      <c r="CB237" s="10" t="n">
        <f aca="false">IF(AND(CB$8=1,ISNUMBER(Reales!CB53)),IF(Reales!$C$53="PYG",IF(CB$10&gt;0,N(Reales!CB53)/CB$10,0),N(Reales!CB53)),CB$233-CB$236)</f>
        <v>0</v>
      </c>
      <c r="CC237" s="10" t="n">
        <f aca="false">IF(AND(CC$8=1,ISNUMBER(Reales!CC53)),IF(Reales!$C$53="PYG",IF(CC$10&gt;0,N(Reales!CC53)/CC$10,0),N(Reales!CC53)),CC$233-CC$236)</f>
        <v>0</v>
      </c>
      <c r="CD237" s="10" t="n">
        <f aca="false">IF(AND(CD$8=1,ISNUMBER(Reales!CD53)),IF(Reales!$C$53="PYG",IF(CD$10&gt;0,N(Reales!CD53)/CD$10,0),N(Reales!CD53)),CD$233-CD$236)</f>
        <v>0</v>
      </c>
      <c r="CE237" s="10" t="n">
        <f aca="false">IF(AND(CE$8=1,ISNUMBER(Reales!CE53)),IF(Reales!$C$53="PYG",IF(CE$10&gt;0,N(Reales!CE53)/CE$10,0),N(Reales!CE53)),CE$233-CE$236)</f>
        <v>0</v>
      </c>
      <c r="CF237" s="10" t="n">
        <f aca="false">IF(AND(CF$8=1,ISNUMBER(Reales!CF53)),IF(Reales!$C$53="PYG",IF(CF$10&gt;0,N(Reales!CF53)/CF$10,0),N(Reales!CF53)),CF$233-CF$236)</f>
        <v>0</v>
      </c>
      <c r="CG237" s="10" t="n">
        <f aca="false">IF(AND(CG$8=1,ISNUMBER(Reales!CG53)),IF(Reales!$C$53="PYG",IF(CG$10&gt;0,N(Reales!CG53)/CG$10,0),N(Reales!CG53)),CG$233-CG$236)</f>
        <v>0</v>
      </c>
      <c r="CH237" s="10" t="n">
        <f aca="false">IF(AND(CH$8=1,ISNUMBER(Reales!CH53)),IF(Reales!$C$53="PYG",IF(CH$10&gt;0,N(Reales!CH53)/CH$10,0),N(Reales!CH53)),CH$233-CH$236)</f>
        <v>0</v>
      </c>
      <c r="CI237" s="10" t="n">
        <f aca="false">IF(AND(CI$8=1,ISNUMBER(Reales!CI53)),IF(Reales!$C$53="PYG",IF(CI$10&gt;0,N(Reales!CI53)/CI$10,0),N(Reales!CI53)),CI$233-CI$236)</f>
        <v>0</v>
      </c>
      <c r="CJ237" s="10" t="n">
        <f aca="false">IF(AND(CJ$8=1,ISNUMBER(Reales!CJ53)),IF(Reales!$C$53="PYG",IF(CJ$10&gt;0,N(Reales!CJ53)/CJ$10,0),N(Reales!CJ53)),CJ$233-CJ$236)</f>
        <v>0</v>
      </c>
      <c r="CK237" s="10" t="n">
        <f aca="false">IF(AND(CK$8=1,ISNUMBER(Reales!CK53)),IF(Reales!$C$53="PYG",IF(CK$10&gt;0,N(Reales!CK53)/CK$10,0),N(Reales!CK53)),CK$233-CK$236)</f>
        <v>0</v>
      </c>
      <c r="CL237" s="10" t="n">
        <f aca="false">IF(AND(CL$8=1,ISNUMBER(Reales!CL53)),IF(Reales!$C$53="PYG",IF(CL$10&gt;0,N(Reales!CL53)/CL$10,0),N(Reales!CL53)),CL$233-CL$236)</f>
        <v>0</v>
      </c>
      <c r="CM237" s="10" t="n">
        <f aca="false">IF(AND(CM$8=1,ISNUMBER(Reales!CM53)),IF(Reales!$C$53="PYG",IF(CM$10&gt;0,N(Reales!CM53)/CM$10,0),N(Reales!CM53)),CM$233-CM$236)</f>
        <v>0</v>
      </c>
      <c r="CN237" s="10" t="n">
        <f aca="false">IF(AND(CN$8=1,ISNUMBER(Reales!CN53)),IF(Reales!$C$53="PYG",IF(CN$10&gt;0,N(Reales!CN53)/CN$10,0),N(Reales!CN53)),CN$233-CN$236)</f>
        <v>0</v>
      </c>
      <c r="CO237" s="10" t="n">
        <f aca="false">IF(AND(CO$8=1,ISNUMBER(Reales!CO53)),IF(Reales!$C$53="PYG",IF(CO$10&gt;0,N(Reales!CO53)/CO$10,0),N(Reales!CO53)),CO$233-CO$236)</f>
        <v>0</v>
      </c>
      <c r="CP237" s="10" t="n">
        <f aca="false">IF(AND(CP$8=1,ISNUMBER(Reales!CP53)),IF(Reales!$C$53="PYG",IF(CP$10&gt;0,N(Reales!CP53)/CP$10,0),N(Reales!CP53)),CP$233-CP$236)</f>
        <v>0</v>
      </c>
      <c r="CQ237" s="10" t="n">
        <f aca="false">IF(AND(CQ$8=1,ISNUMBER(Reales!CQ53)),IF(Reales!$C$53="PYG",IF(CQ$10&gt;0,N(Reales!CQ53)/CQ$10,0),N(Reales!CQ53)),CQ$233-CQ$236)</f>
        <v>0</v>
      </c>
      <c r="CR237" s="10" t="n">
        <f aca="false">IF(AND(CR$8=1,ISNUMBER(Reales!CR53)),IF(Reales!$C$53="PYG",IF(CR$10&gt;0,N(Reales!CR53)/CR$10,0),N(Reales!CR53)),CR$233-CR$236)</f>
        <v>0</v>
      </c>
      <c r="CS237" s="10" t="n">
        <f aca="false">IF(AND(CS$8=1,ISNUMBER(Reales!CS53)),IF(Reales!$C$53="PYG",IF(CS$10&gt;0,N(Reales!CS53)/CS$10,0),N(Reales!CS53)),CS$233-CS$236)</f>
        <v>0</v>
      </c>
      <c r="CT237" s="10" t="n">
        <f aca="false">IF(AND(CT$8=1,ISNUMBER(Reales!CT53)),IF(Reales!$C$53="PYG",IF(CT$10&gt;0,N(Reales!CT53)/CT$10,0),N(Reales!CT53)),CT$233-CT$236)</f>
        <v>0</v>
      </c>
      <c r="CU237" s="10" t="n">
        <f aca="false">IF(AND(CU$8=1,ISNUMBER(Reales!CU53)),IF(Reales!$C$53="PYG",IF(CU$10&gt;0,N(Reales!CU53)/CU$10,0),N(Reales!CU53)),CU$233-CU$236)</f>
        <v>0</v>
      </c>
      <c r="CV237" s="10" t="n">
        <f aca="false">IF(AND(CV$8=1,ISNUMBER(Reales!CV53)),IF(Reales!$C$53="PYG",IF(CV$10&gt;0,N(Reales!CV53)/CV$10,0),N(Reales!CV53)),CV$233-CV$236)</f>
        <v>0</v>
      </c>
      <c r="CW237" s="10" t="n">
        <f aca="false">IF(AND(CW$8=1,ISNUMBER(Reales!CW53)),IF(Reales!$C$53="PYG",IF(CW$10&gt;0,N(Reales!CW53)/CW$10,0),N(Reales!CW53)),CW$233-CW$236)</f>
        <v>0</v>
      </c>
      <c r="CX237" s="10" t="n">
        <f aca="false">IF(AND(CX$8=1,ISNUMBER(Reales!CX53)),IF(Reales!$C$53="PYG",IF(CX$10&gt;0,N(Reales!CX53)/CX$10,0),N(Reales!CX53)),CX$233-CX$236)</f>
        <v>0</v>
      </c>
      <c r="CY237" s="10" t="n">
        <f aca="false">IF(AND(CY$8=1,ISNUMBER(Reales!CY53)),IF(Reales!$C$53="PYG",IF(CY$10&gt;0,N(Reales!CY53)/CY$10,0),N(Reales!CY53)),CY$233-CY$236)</f>
        <v>0</v>
      </c>
      <c r="CZ237" s="10" t="n">
        <f aca="false">IF(AND(CZ$8=1,ISNUMBER(Reales!CZ53)),IF(Reales!$C$53="PYG",IF(CZ$10&gt;0,N(Reales!CZ53)/CZ$10,0),N(Reales!CZ53)),CZ$233-CZ$236)</f>
        <v>0</v>
      </c>
      <c r="DA237" s="10" t="n">
        <f aca="false">IF(AND(DA$8=1,ISNUMBER(Reales!DA53)),IF(Reales!$C$53="PYG",IF(DA$10&gt;0,N(Reales!DA53)/DA$10,0),N(Reales!DA53)),DA$233-DA$236)</f>
        <v>0</v>
      </c>
      <c r="DB237" s="10" t="n">
        <f aca="false">IF(AND(DB$8=1,ISNUMBER(Reales!DB53)),IF(Reales!$C$53="PYG",IF(DB$10&gt;0,N(Reales!DB53)/DB$10,0),N(Reales!DB53)),DB$233-DB$236)</f>
        <v>0</v>
      </c>
      <c r="DC237" s="10" t="n">
        <f aca="false">IF(AND(DC$8=1,ISNUMBER(Reales!DC53)),IF(Reales!$C$53="PYG",IF(DC$10&gt;0,N(Reales!DC53)/DC$10,0),N(Reales!DC53)),DC$233-DC$236)</f>
        <v>0</v>
      </c>
      <c r="DD237" s="10" t="n">
        <f aca="false">IF(AND(DD$8=1,ISNUMBER(Reales!DD53)),IF(Reales!$C$53="PYG",IF(DD$10&gt;0,N(Reales!DD53)/DD$10,0),N(Reales!DD53)),DD$233-DD$236)</f>
        <v>0</v>
      </c>
      <c r="DE237" s="10" t="n">
        <f aca="false">IF(AND(DE$8=1,ISNUMBER(Reales!DE53)),IF(Reales!$C$53="PYG",IF(DE$10&gt;0,N(Reales!DE53)/DE$10,0),N(Reales!DE53)),DE$233-DE$236)</f>
        <v>0</v>
      </c>
      <c r="DF237" s="10" t="n">
        <f aca="false">IF(AND(DF$8=1,ISNUMBER(Reales!DF53)),IF(Reales!$C$53="PYG",IF(DF$10&gt;0,N(Reales!DF53)/DF$10,0),N(Reales!DF53)),DF$233-DF$236)</f>
        <v>0</v>
      </c>
      <c r="DG237" s="10" t="n">
        <f aca="false">IF(AND(DG$8=1,ISNUMBER(Reales!DG53)),IF(Reales!$C$53="PYG",IF(DG$10&gt;0,N(Reales!DG53)/DG$10,0),N(Reales!DG53)),DG$233-DG$236)</f>
        <v>0</v>
      </c>
      <c r="DH237" s="10" t="n">
        <f aca="false">IF(AND(DH$8=1,ISNUMBER(Reales!DH53)),IF(Reales!$C$53="PYG",IF(DH$10&gt;0,N(Reales!DH53)/DH$10,0),N(Reales!DH53)),DH$233-DH$236)</f>
        <v>0</v>
      </c>
      <c r="DI237" s="10" t="n">
        <f aca="false">IF(AND(DI$8=1,ISNUMBER(Reales!DI53)),IF(Reales!$C$53="PYG",IF(DI$10&gt;0,N(Reales!DI53)/DI$10,0),N(Reales!DI53)),DI$233-DI$236)</f>
        <v>0</v>
      </c>
      <c r="DJ237" s="10" t="n">
        <f aca="false">IF(AND(DJ$8=1,ISNUMBER(Reales!DJ53)),IF(Reales!$C$53="PYG",IF(DJ$10&gt;0,N(Reales!DJ53)/DJ$10,0),N(Reales!DJ53)),DJ$233-DJ$236)</f>
        <v>0</v>
      </c>
      <c r="DK237" s="10" t="n">
        <f aca="false">IF(AND(DK$8=1,ISNUMBER(Reales!DK53)),IF(Reales!$C$53="PYG",IF(DK$10&gt;0,N(Reales!DK53)/DK$10,0),N(Reales!DK53)),DK$233-DK$236)</f>
        <v>0</v>
      </c>
      <c r="DL237" s="10" t="n">
        <f aca="false">IF(AND(DL$8=1,ISNUMBER(Reales!DL53)),IF(Reales!$C$53="PYG",IF(DL$10&gt;0,N(Reales!DL53)/DL$10,0),N(Reales!DL53)),DL$233-DL$236)</f>
        <v>0</v>
      </c>
      <c r="DM237" s="10" t="n">
        <f aca="false">IF(AND(DM$8=1,ISNUMBER(Reales!DM53)),IF(Reales!$C$53="PYG",IF(DM$10&gt;0,N(Reales!DM53)/DM$10,0),N(Reales!DM53)),DM$233-DM$236)</f>
        <v>0</v>
      </c>
      <c r="DN237" s="10" t="n">
        <f aca="false">IF(AND(DN$8=1,ISNUMBER(Reales!DN53)),IF(Reales!$C$53="PYG",IF(DN$10&gt;0,N(Reales!DN53)/DN$10,0),N(Reales!DN53)),DN$233-DN$236)</f>
        <v>0</v>
      </c>
      <c r="DO237" s="10" t="n">
        <f aca="false">IF(AND(DO$8=1,ISNUMBER(Reales!DO53)),IF(Reales!$C$53="PYG",IF(DO$10&gt;0,N(Reales!DO53)/DO$10,0),N(Reales!DO53)),DO$233-DO$236)</f>
        <v>0</v>
      </c>
      <c r="DP237" s="10" t="n">
        <f aca="false">IF(AND(DP$8=1,ISNUMBER(Reales!DP53)),IF(Reales!$C$53="PYG",IF(DP$10&gt;0,N(Reales!DP53)/DP$10,0),N(Reales!DP53)),DP$233-DP$236)</f>
        <v>0</v>
      </c>
      <c r="DQ237" s="10" t="n">
        <f aca="false">IF(AND(DQ$8=1,ISNUMBER(Reales!DQ53)),IF(Reales!$C$53="PYG",IF(DQ$10&gt;0,N(Reales!DQ53)/DQ$10,0),N(Reales!DQ53)),DQ$233-DQ$236)</f>
        <v>0</v>
      </c>
      <c r="DR237" s="10" t="n">
        <f aca="false">IF(AND(DR$8=1,ISNUMBER(Reales!DR53)),IF(Reales!$C$53="PYG",IF(DR$10&gt;0,N(Reales!DR53)/DR$10,0),N(Reales!DR53)),DR$233-DR$236)</f>
        <v>0</v>
      </c>
      <c r="DS237" s="10" t="n">
        <f aca="false">IF(AND(DS$8=1,ISNUMBER(Reales!DS53)),IF(Reales!$C$53="PYG",IF(DS$10&gt;0,N(Reales!DS53)/DS$10,0),N(Reales!DS53)),DS$233-DS$236)</f>
        <v>0</v>
      </c>
      <c r="DT237" s="10" t="n">
        <f aca="false">IF(AND(DT$8=1,ISNUMBER(Reales!DT53)),IF(Reales!$C$53="PYG",IF(DT$10&gt;0,N(Reales!DT53)/DT$10,0),N(Reales!DT53)),DT$233-DT$236)</f>
        <v>0</v>
      </c>
      <c r="DU237" s="10" t="n">
        <f aca="false">IF(AND(DU$8=1,ISNUMBER(Reales!DU53)),IF(Reales!$C$53="PYG",IF(DU$10&gt;0,N(Reales!DU53)/DU$10,0),N(Reales!DU53)),DU$233-DU$236)</f>
        <v>0</v>
      </c>
      <c r="DV237" s="10" t="n">
        <f aca="false">IF(AND(DV$8=1,ISNUMBER(Reales!DV53)),IF(Reales!$C$53="PYG",IF(DV$10&gt;0,N(Reales!DV53)/DV$10,0),N(Reales!DV53)),DV$233-DV$236)</f>
        <v>0</v>
      </c>
      <c r="DW237" s="10" t="n">
        <f aca="false">IF(AND(DW$8=1,ISNUMBER(Reales!DW53)),IF(Reales!$C$53="PYG",IF(DW$10&gt;0,N(Reales!DW53)/DW$10,0),N(Reales!DW53)),DW$233-DW$236)</f>
        <v>0</v>
      </c>
      <c r="DX237" s="10" t="n">
        <f aca="false">IF(AND(DX$8=1,ISNUMBER(Reales!DX53)),IF(Reales!$C$53="PYG",IF(DX$10&gt;0,N(Reales!DX53)/DX$10,0),N(Reales!DX53)),DX$233-DX$236)</f>
        <v>0</v>
      </c>
      <c r="DY237" s="10" t="n">
        <f aca="false">IF(AND(DY$8=1,ISNUMBER(Reales!DY53)),IF(Reales!$C$53="PYG",IF(DY$10&gt;0,N(Reales!DY53)/DY$10,0),N(Reales!DY53)),DY$233-DY$236)</f>
        <v>0</v>
      </c>
      <c r="DZ237" s="10" t="n">
        <f aca="false">IF(AND(DZ$8=1,ISNUMBER(Reales!DZ53)),IF(Reales!$C$53="PYG",IF(DZ$10&gt;0,N(Reales!DZ53)/DZ$10,0),N(Reales!DZ53)),DZ$233-DZ$236)</f>
        <v>0</v>
      </c>
      <c r="EA237" s="10" t="n">
        <f aca="false">IF(AND(EA$8=1,ISNUMBER(Reales!EA53)),IF(Reales!$C$53="PYG",IF(EA$10&gt;0,N(Reales!EA53)/EA$10,0),N(Reales!EA53)),EA$233-EA$236)</f>
        <v>0</v>
      </c>
      <c r="EB237" s="10" t="n">
        <f aca="false">IF(AND(EB$8=1,ISNUMBER(Reales!EB53)),IF(Reales!$C$53="PYG",IF(EB$10&gt;0,N(Reales!EB53)/EB$10,0),N(Reales!EB53)),EB$233-EB$236)</f>
        <v>0</v>
      </c>
      <c r="EC237" s="10" t="n">
        <f aca="false">IF(AND(EC$8=1,ISNUMBER(Reales!EC53)),IF(Reales!$C$53="PYG",IF(EC$10&gt;0,N(Reales!EC53)/EC$10,0),N(Reales!EC53)),EC$233-EC$236)</f>
        <v>0</v>
      </c>
      <c r="ED237" s="10" t="n">
        <f aca="false">IF(AND(ED$8=1,ISNUMBER(Reales!ED53)),IF(Reales!$C$53="PYG",IF(ED$10&gt;0,N(Reales!ED53)/ED$10,0),N(Reales!ED53)),ED$233-ED$236)</f>
        <v>0</v>
      </c>
      <c r="EE237" s="10" t="n">
        <f aca="false">IF(AND(EE$8=1,ISNUMBER(Reales!EE53)),IF(Reales!$C$53="PYG",IF(EE$10&gt;0,N(Reales!EE53)/EE$10,0),N(Reales!EE53)),EE$233-EE$236)</f>
        <v>0</v>
      </c>
      <c r="EF237" s="10" t="n">
        <f aca="false">IF(AND(EF$8=1,ISNUMBER(Reales!EF53)),IF(Reales!$C$53="PYG",IF(EF$10&gt;0,N(Reales!EF53)/EF$10,0),N(Reales!EF53)),EF$233-EF$236)</f>
        <v>0</v>
      </c>
      <c r="EG237" s="10" t="n">
        <f aca="false">IF(AND(EG$8=1,ISNUMBER(Reales!EG53)),IF(Reales!$C$53="PYG",IF(EG$10&gt;0,N(Reales!EG53)/EG$10,0),N(Reales!EG53)),EG$233-EG$236)</f>
        <v>0</v>
      </c>
      <c r="EH237" s="10" t="n">
        <f aca="false">IF(AND(EH$8=1,ISNUMBER(Reales!EH53)),IF(Reales!$C$53="PYG",IF(EH$10&gt;0,N(Reales!EH53)/EH$10,0),N(Reales!EH53)),EH$233-EH$236)</f>
        <v>0</v>
      </c>
      <c r="EI237" s="10" t="n">
        <f aca="false">IF(AND(EI$8=1,ISNUMBER(Reales!EI53)),IF(Reales!$C$53="PYG",IF(EI$10&gt;0,N(Reales!EI53)/EI$10,0),N(Reales!EI53)),EI$233-EI$236)</f>
        <v>0</v>
      </c>
      <c r="EJ237" s="10" t="n">
        <f aca="false">IF(AND(EJ$8=1,ISNUMBER(Reales!EJ53)),IF(Reales!$C$53="PYG",IF(EJ$10&gt;0,N(Reales!EJ53)/EJ$10,0),N(Reales!EJ53)),EJ$233-EJ$236)</f>
        <v>0</v>
      </c>
      <c r="EK237" s="10" t="n">
        <f aca="false">IF(AND(EK$8=1,ISNUMBER(Reales!EK53)),IF(Reales!$C$53="PYG",IF(EK$10&gt;0,N(Reales!EK53)/EK$10,0),N(Reales!EK53)),EK$233-EK$236)</f>
        <v>0</v>
      </c>
      <c r="EL237" s="10" t="n">
        <f aca="false">IF(AND(EL$8=1,ISNUMBER(Reales!EL53)),IF(Reales!$C$53="PYG",IF(EL$10&gt;0,N(Reales!EL53)/EL$10,0),N(Reales!EL53)),EL$233-EL$236)</f>
        <v>0</v>
      </c>
      <c r="EM237" s="10" t="n">
        <f aca="false">IF(AND(EM$8=1,ISNUMBER(Reales!EM53)),IF(Reales!$C$53="PYG",IF(EM$10&gt;0,N(Reales!EM53)/EM$10,0),N(Reales!EM53)),EM$233-EM$236)</f>
        <v>0</v>
      </c>
      <c r="EN237" s="10" t="n">
        <f aca="false">IF(AND(EN$8=1,ISNUMBER(Reales!EN53)),IF(Reales!$C$53="PYG",IF(EN$10&gt;0,N(Reales!EN53)/EN$10,0),N(Reales!EN53)),EN$233-EN$236)</f>
        <v>0</v>
      </c>
      <c r="EO237" s="10" t="n">
        <f aca="false">IF(AND(EO$8=1,ISNUMBER(Reales!EO53)),IF(Reales!$C$53="PYG",IF(EO$10&gt;0,N(Reales!EO53)/EO$10,0),N(Reales!EO53)),EO$233-EO$236)</f>
        <v>0</v>
      </c>
      <c r="EP237" s="10" t="n">
        <f aca="false">IF(AND(EP$8=1,ISNUMBER(Reales!EP53)),IF(Reales!$C$53="PYG",IF(EP$10&gt;0,N(Reales!EP53)/EP$10,0),N(Reales!EP53)),EP$233-EP$236)</f>
        <v>0</v>
      </c>
      <c r="EQ237" s="10" t="n">
        <f aca="false">IF(AND(EQ$8=1,ISNUMBER(Reales!EQ53)),IF(Reales!$C$53="PYG",IF(EQ$10&gt;0,N(Reales!EQ53)/EQ$10,0),N(Reales!EQ53)),EQ$233-EQ$236)</f>
        <v>0</v>
      </c>
      <c r="ER237" s="10" t="n">
        <f aca="false">IF(AND(ER$8=1,ISNUMBER(Reales!ER53)),IF(Reales!$C$53="PYG",IF(ER$10&gt;0,N(Reales!ER53)/ER$10,0),N(Reales!ER53)),ER$233-ER$236)</f>
        <v>0</v>
      </c>
      <c r="ES237" s="10" t="n">
        <f aca="false">IF(AND(ES$8=1,ISNUMBER(Reales!ES53)),IF(Reales!$C$53="PYG",IF(ES$10&gt;0,N(Reales!ES53)/ES$10,0),N(Reales!ES53)),ES$233-ES$236)</f>
        <v>0</v>
      </c>
    </row>
    <row r="238" customFormat="false" ht="15" hidden="false" customHeight="false" outlineLevel="0" collapsed="false">
      <c r="A238" s="2" t="s">
        <v>711</v>
      </c>
      <c r="B238" s="6" t="s">
        <v>594</v>
      </c>
      <c r="C238" s="6" t="s">
        <v>212</v>
      </c>
      <c r="E238" s="40" t="n">
        <f aca="false">SUM(F238:ES238)</f>
        <v>0</v>
      </c>
      <c r="F238" s="34" t="n">
        <f aca="false">F$237-(F$233-F$236)</f>
        <v>0</v>
      </c>
      <c r="G238" s="34" t="n">
        <f aca="false">G$237-(G$233-G$236)</f>
        <v>0</v>
      </c>
      <c r="H238" s="34" t="n">
        <f aca="false">H$237-(H$233-H$236)</f>
        <v>0</v>
      </c>
      <c r="I238" s="34" t="n">
        <f aca="false">I$237-(I$233-I$236)</f>
        <v>0</v>
      </c>
      <c r="J238" s="34" t="n">
        <f aca="false">J$237-(J$233-J$236)</f>
        <v>0</v>
      </c>
      <c r="K238" s="34" t="n">
        <f aca="false">K$237-(K$233-K$236)</f>
        <v>0</v>
      </c>
      <c r="L238" s="34" t="n">
        <f aca="false">L$237-(L$233-L$236)</f>
        <v>0</v>
      </c>
      <c r="M238" s="34" t="n">
        <f aca="false">M$237-(M$233-M$236)</f>
        <v>0</v>
      </c>
      <c r="N238" s="34" t="n">
        <f aca="false">N$237-(N$233-N$236)</f>
        <v>0</v>
      </c>
      <c r="O238" s="34" t="n">
        <f aca="false">O$237-(O$233-O$236)</f>
        <v>0</v>
      </c>
      <c r="P238" s="34" t="n">
        <f aca="false">P$237-(P$233-P$236)</f>
        <v>0</v>
      </c>
      <c r="Q238" s="34" t="n">
        <f aca="false">Q$237-(Q$233-Q$236)</f>
        <v>0</v>
      </c>
      <c r="R238" s="34" t="n">
        <f aca="false">R$237-(R$233-R$236)</f>
        <v>0</v>
      </c>
      <c r="S238" s="34" t="n">
        <f aca="false">S$237-(S$233-S$236)</f>
        <v>0</v>
      </c>
      <c r="T238" s="34" t="n">
        <f aca="false">T$237-(T$233-T$236)</f>
        <v>0</v>
      </c>
      <c r="U238" s="34" t="n">
        <f aca="false">U$237-(U$233-U$236)</f>
        <v>0</v>
      </c>
      <c r="V238" s="34" t="n">
        <f aca="false">V$237-(V$233-V$236)</f>
        <v>0</v>
      </c>
      <c r="W238" s="34" t="n">
        <f aca="false">W$237-(W$233-W$236)</f>
        <v>0</v>
      </c>
      <c r="X238" s="34" t="n">
        <f aca="false">X$237-(X$233-X$236)</f>
        <v>0</v>
      </c>
      <c r="Y238" s="34" t="n">
        <f aca="false">Y$237-(Y$233-Y$236)</f>
        <v>0</v>
      </c>
      <c r="Z238" s="34" t="n">
        <f aca="false">Z$237-(Z$233-Z$236)</f>
        <v>0</v>
      </c>
      <c r="AA238" s="34" t="n">
        <f aca="false">AA$237-(AA$233-AA$236)</f>
        <v>0</v>
      </c>
      <c r="AB238" s="34" t="n">
        <f aca="false">AB$237-(AB$233-AB$236)</f>
        <v>0</v>
      </c>
      <c r="AC238" s="34" t="n">
        <f aca="false">AC$237-(AC$233-AC$236)</f>
        <v>0</v>
      </c>
      <c r="AD238" s="34" t="n">
        <f aca="false">AD$237-(AD$233-AD$236)</f>
        <v>0</v>
      </c>
      <c r="AE238" s="34" t="n">
        <f aca="false">AE$237-(AE$233-AE$236)</f>
        <v>0</v>
      </c>
      <c r="AF238" s="34" t="n">
        <f aca="false">AF$237-(AF$233-AF$236)</f>
        <v>0</v>
      </c>
      <c r="AG238" s="34" t="n">
        <f aca="false">AG$237-(AG$233-AG$236)</f>
        <v>0</v>
      </c>
      <c r="AH238" s="34" t="n">
        <f aca="false">AH$237-(AH$233-AH$236)</f>
        <v>0</v>
      </c>
      <c r="AI238" s="34" t="n">
        <f aca="false">AI$237-(AI$233-AI$236)</f>
        <v>0</v>
      </c>
      <c r="AJ238" s="34" t="n">
        <f aca="false">AJ$237-(AJ$233-AJ$236)</f>
        <v>0</v>
      </c>
      <c r="AK238" s="34" t="n">
        <f aca="false">AK$237-(AK$233-AK$236)</f>
        <v>0</v>
      </c>
      <c r="AL238" s="34" t="n">
        <f aca="false">AL$237-(AL$233-AL$236)</f>
        <v>0</v>
      </c>
      <c r="AM238" s="34" t="n">
        <f aca="false">AM$237-(AM$233-AM$236)</f>
        <v>0</v>
      </c>
      <c r="AN238" s="34" t="n">
        <f aca="false">AN$237-(AN$233-AN$236)</f>
        <v>0</v>
      </c>
      <c r="AO238" s="34" t="n">
        <f aca="false">AO$237-(AO$233-AO$236)</f>
        <v>0</v>
      </c>
      <c r="AP238" s="34" t="n">
        <f aca="false">AP$237-(AP$233-AP$236)</f>
        <v>0</v>
      </c>
      <c r="AQ238" s="34" t="n">
        <f aca="false">AQ$237-(AQ$233-AQ$236)</f>
        <v>0</v>
      </c>
      <c r="AR238" s="34" t="n">
        <f aca="false">AR$237-(AR$233-AR$236)</f>
        <v>0</v>
      </c>
      <c r="AS238" s="34" t="n">
        <f aca="false">AS$237-(AS$233-AS$236)</f>
        <v>0</v>
      </c>
      <c r="AT238" s="34" t="n">
        <f aca="false">AT$237-(AT$233-AT$236)</f>
        <v>0</v>
      </c>
      <c r="AU238" s="34" t="n">
        <f aca="false">AU$237-(AU$233-AU$236)</f>
        <v>0</v>
      </c>
      <c r="AV238" s="34" t="n">
        <f aca="false">AV$237-(AV$233-AV$236)</f>
        <v>0</v>
      </c>
      <c r="AW238" s="34" t="n">
        <f aca="false">AW$237-(AW$233-AW$236)</f>
        <v>0</v>
      </c>
      <c r="AX238" s="34" t="n">
        <f aca="false">AX$237-(AX$233-AX$236)</f>
        <v>0</v>
      </c>
      <c r="AY238" s="34" t="n">
        <f aca="false">AY$237-(AY$233-AY$236)</f>
        <v>0</v>
      </c>
      <c r="AZ238" s="34" t="n">
        <f aca="false">AZ$237-(AZ$233-AZ$236)</f>
        <v>0</v>
      </c>
      <c r="BA238" s="34" t="n">
        <f aca="false">BA$237-(BA$233-BA$236)</f>
        <v>0</v>
      </c>
      <c r="BB238" s="34" t="n">
        <f aca="false">BB$237-(BB$233-BB$236)</f>
        <v>0</v>
      </c>
      <c r="BC238" s="34" t="n">
        <f aca="false">BC$237-(BC$233-BC$236)</f>
        <v>0</v>
      </c>
      <c r="BD238" s="34" t="n">
        <f aca="false">BD$237-(BD$233-BD$236)</f>
        <v>0</v>
      </c>
      <c r="BE238" s="34" t="n">
        <f aca="false">BE$237-(BE$233-BE$236)</f>
        <v>0</v>
      </c>
      <c r="BF238" s="34" t="n">
        <f aca="false">BF$237-(BF$233-BF$236)</f>
        <v>0</v>
      </c>
      <c r="BG238" s="34" t="n">
        <f aca="false">BG$237-(BG$233-BG$236)</f>
        <v>0</v>
      </c>
      <c r="BH238" s="34" t="n">
        <f aca="false">BH$237-(BH$233-BH$236)</f>
        <v>0</v>
      </c>
      <c r="BI238" s="34" t="n">
        <f aca="false">BI$237-(BI$233-BI$236)</f>
        <v>0</v>
      </c>
      <c r="BJ238" s="34" t="n">
        <f aca="false">BJ$237-(BJ$233-BJ$236)</f>
        <v>0</v>
      </c>
      <c r="BK238" s="34" t="n">
        <f aca="false">BK$237-(BK$233-BK$236)</f>
        <v>0</v>
      </c>
      <c r="BL238" s="34" t="n">
        <f aca="false">BL$237-(BL$233-BL$236)</f>
        <v>0</v>
      </c>
      <c r="BM238" s="34" t="n">
        <f aca="false">BM$237-(BM$233-BM$236)</f>
        <v>0</v>
      </c>
      <c r="BN238" s="34" t="n">
        <f aca="false">BN$237-(BN$233-BN$236)</f>
        <v>0</v>
      </c>
      <c r="BO238" s="34" t="n">
        <f aca="false">BO$237-(BO$233-BO$236)</f>
        <v>0</v>
      </c>
      <c r="BP238" s="34" t="n">
        <f aca="false">BP$237-(BP$233-BP$236)</f>
        <v>0</v>
      </c>
      <c r="BQ238" s="34" t="n">
        <f aca="false">BQ$237-(BQ$233-BQ$236)</f>
        <v>0</v>
      </c>
      <c r="BR238" s="34" t="n">
        <f aca="false">BR$237-(BR$233-BR$236)</f>
        <v>0</v>
      </c>
      <c r="BS238" s="34" t="n">
        <f aca="false">BS$237-(BS$233-BS$236)</f>
        <v>0</v>
      </c>
      <c r="BT238" s="34" t="n">
        <f aca="false">BT$237-(BT$233-BT$236)</f>
        <v>0</v>
      </c>
      <c r="BU238" s="34" t="n">
        <f aca="false">BU$237-(BU$233-BU$236)</f>
        <v>0</v>
      </c>
      <c r="BV238" s="34" t="n">
        <f aca="false">BV$237-(BV$233-BV$236)</f>
        <v>0</v>
      </c>
      <c r="BW238" s="34" t="n">
        <f aca="false">BW$237-(BW$233-BW$236)</f>
        <v>0</v>
      </c>
      <c r="BX238" s="34" t="n">
        <f aca="false">BX$237-(BX$233-BX$236)</f>
        <v>0</v>
      </c>
      <c r="BY238" s="34" t="n">
        <f aca="false">BY$237-(BY$233-BY$236)</f>
        <v>0</v>
      </c>
      <c r="BZ238" s="34" t="n">
        <f aca="false">BZ$237-(BZ$233-BZ$236)</f>
        <v>0</v>
      </c>
      <c r="CA238" s="34" t="n">
        <f aca="false">CA$237-(CA$233-CA$236)</f>
        <v>0</v>
      </c>
      <c r="CB238" s="34" t="n">
        <f aca="false">CB$237-(CB$233-CB$236)</f>
        <v>0</v>
      </c>
      <c r="CC238" s="34" t="n">
        <f aca="false">CC$237-(CC$233-CC$236)</f>
        <v>0</v>
      </c>
      <c r="CD238" s="34" t="n">
        <f aca="false">CD$237-(CD$233-CD$236)</f>
        <v>0</v>
      </c>
      <c r="CE238" s="34" t="n">
        <f aca="false">CE$237-(CE$233-CE$236)</f>
        <v>0</v>
      </c>
      <c r="CF238" s="34" t="n">
        <f aca="false">CF$237-(CF$233-CF$236)</f>
        <v>0</v>
      </c>
      <c r="CG238" s="34" t="n">
        <f aca="false">CG$237-(CG$233-CG$236)</f>
        <v>0</v>
      </c>
      <c r="CH238" s="34" t="n">
        <f aca="false">CH$237-(CH$233-CH$236)</f>
        <v>0</v>
      </c>
      <c r="CI238" s="34" t="n">
        <f aca="false">CI$237-(CI$233-CI$236)</f>
        <v>0</v>
      </c>
      <c r="CJ238" s="34" t="n">
        <f aca="false">CJ$237-(CJ$233-CJ$236)</f>
        <v>0</v>
      </c>
      <c r="CK238" s="34" t="n">
        <f aca="false">CK$237-(CK$233-CK$236)</f>
        <v>0</v>
      </c>
      <c r="CL238" s="34" t="n">
        <f aca="false">CL$237-(CL$233-CL$236)</f>
        <v>0</v>
      </c>
      <c r="CM238" s="34" t="n">
        <f aca="false">CM$237-(CM$233-CM$236)</f>
        <v>0</v>
      </c>
      <c r="CN238" s="34" t="n">
        <f aca="false">CN$237-(CN$233-CN$236)</f>
        <v>0</v>
      </c>
      <c r="CO238" s="34" t="n">
        <f aca="false">CO$237-(CO$233-CO$236)</f>
        <v>0</v>
      </c>
      <c r="CP238" s="34" t="n">
        <f aca="false">CP$237-(CP$233-CP$236)</f>
        <v>0</v>
      </c>
      <c r="CQ238" s="34" t="n">
        <f aca="false">CQ$237-(CQ$233-CQ$236)</f>
        <v>0</v>
      </c>
      <c r="CR238" s="34" t="n">
        <f aca="false">CR$237-(CR$233-CR$236)</f>
        <v>0</v>
      </c>
      <c r="CS238" s="34" t="n">
        <f aca="false">CS$237-(CS$233-CS$236)</f>
        <v>0</v>
      </c>
      <c r="CT238" s="34" t="n">
        <f aca="false">CT$237-(CT$233-CT$236)</f>
        <v>0</v>
      </c>
      <c r="CU238" s="34" t="n">
        <f aca="false">CU$237-(CU$233-CU$236)</f>
        <v>0</v>
      </c>
      <c r="CV238" s="34" t="n">
        <f aca="false">CV$237-(CV$233-CV$236)</f>
        <v>0</v>
      </c>
      <c r="CW238" s="34" t="n">
        <f aca="false">CW$237-(CW$233-CW$236)</f>
        <v>0</v>
      </c>
      <c r="CX238" s="34" t="n">
        <f aca="false">CX$237-(CX$233-CX$236)</f>
        <v>0</v>
      </c>
      <c r="CY238" s="34" t="n">
        <f aca="false">CY$237-(CY$233-CY$236)</f>
        <v>0</v>
      </c>
      <c r="CZ238" s="34" t="n">
        <f aca="false">CZ$237-(CZ$233-CZ$236)</f>
        <v>0</v>
      </c>
      <c r="DA238" s="34" t="n">
        <f aca="false">DA$237-(DA$233-DA$236)</f>
        <v>0</v>
      </c>
      <c r="DB238" s="34" t="n">
        <f aca="false">DB$237-(DB$233-DB$236)</f>
        <v>0</v>
      </c>
      <c r="DC238" s="34" t="n">
        <f aca="false">DC$237-(DC$233-DC$236)</f>
        <v>0</v>
      </c>
      <c r="DD238" s="34" t="n">
        <f aca="false">DD$237-(DD$233-DD$236)</f>
        <v>0</v>
      </c>
      <c r="DE238" s="34" t="n">
        <f aca="false">DE$237-(DE$233-DE$236)</f>
        <v>0</v>
      </c>
      <c r="DF238" s="34" t="n">
        <f aca="false">DF$237-(DF$233-DF$236)</f>
        <v>0</v>
      </c>
      <c r="DG238" s="34" t="n">
        <f aca="false">DG$237-(DG$233-DG$236)</f>
        <v>0</v>
      </c>
      <c r="DH238" s="34" t="n">
        <f aca="false">DH$237-(DH$233-DH$236)</f>
        <v>0</v>
      </c>
      <c r="DI238" s="34" t="n">
        <f aca="false">DI$237-(DI$233-DI$236)</f>
        <v>0</v>
      </c>
      <c r="DJ238" s="34" t="n">
        <f aca="false">DJ$237-(DJ$233-DJ$236)</f>
        <v>0</v>
      </c>
      <c r="DK238" s="34" t="n">
        <f aca="false">DK$237-(DK$233-DK$236)</f>
        <v>0</v>
      </c>
      <c r="DL238" s="34" t="n">
        <f aca="false">DL$237-(DL$233-DL$236)</f>
        <v>0</v>
      </c>
      <c r="DM238" s="34" t="n">
        <f aca="false">DM$237-(DM$233-DM$236)</f>
        <v>0</v>
      </c>
      <c r="DN238" s="34" t="n">
        <f aca="false">DN$237-(DN$233-DN$236)</f>
        <v>0</v>
      </c>
      <c r="DO238" s="34" t="n">
        <f aca="false">DO$237-(DO$233-DO$236)</f>
        <v>0</v>
      </c>
      <c r="DP238" s="34" t="n">
        <f aca="false">DP$237-(DP$233-DP$236)</f>
        <v>0</v>
      </c>
      <c r="DQ238" s="34" t="n">
        <f aca="false">DQ$237-(DQ$233-DQ$236)</f>
        <v>0</v>
      </c>
      <c r="DR238" s="34" t="n">
        <f aca="false">DR$237-(DR$233-DR$236)</f>
        <v>0</v>
      </c>
      <c r="DS238" s="34" t="n">
        <f aca="false">DS$237-(DS$233-DS$236)</f>
        <v>0</v>
      </c>
      <c r="DT238" s="34" t="n">
        <f aca="false">DT$237-(DT$233-DT$236)</f>
        <v>0</v>
      </c>
      <c r="DU238" s="34" t="n">
        <f aca="false">DU$237-(DU$233-DU$236)</f>
        <v>0</v>
      </c>
      <c r="DV238" s="34" t="n">
        <f aca="false">DV$237-(DV$233-DV$236)</f>
        <v>0</v>
      </c>
      <c r="DW238" s="34" t="n">
        <f aca="false">DW$237-(DW$233-DW$236)</f>
        <v>0</v>
      </c>
      <c r="DX238" s="34" t="n">
        <f aca="false">DX$237-(DX$233-DX$236)</f>
        <v>0</v>
      </c>
      <c r="DY238" s="34" t="n">
        <f aca="false">DY$237-(DY$233-DY$236)</f>
        <v>0</v>
      </c>
      <c r="DZ238" s="34" t="n">
        <f aca="false">DZ$237-(DZ$233-DZ$236)</f>
        <v>0</v>
      </c>
      <c r="EA238" s="34" t="n">
        <f aca="false">EA$237-(EA$233-EA$236)</f>
        <v>0</v>
      </c>
      <c r="EB238" s="34" t="n">
        <f aca="false">EB$237-(EB$233-EB$236)</f>
        <v>0</v>
      </c>
      <c r="EC238" s="34" t="n">
        <f aca="false">EC$237-(EC$233-EC$236)</f>
        <v>0</v>
      </c>
      <c r="ED238" s="34" t="n">
        <f aca="false">ED$237-(ED$233-ED$236)</f>
        <v>0</v>
      </c>
      <c r="EE238" s="34" t="n">
        <f aca="false">EE$237-(EE$233-EE$236)</f>
        <v>0</v>
      </c>
      <c r="EF238" s="34" t="n">
        <f aca="false">EF$237-(EF$233-EF$236)</f>
        <v>0</v>
      </c>
      <c r="EG238" s="34" t="n">
        <f aca="false">EG$237-(EG$233-EG$236)</f>
        <v>0</v>
      </c>
      <c r="EH238" s="34" t="n">
        <f aca="false">EH$237-(EH$233-EH$236)</f>
        <v>0</v>
      </c>
      <c r="EI238" s="34" t="n">
        <f aca="false">EI$237-(EI$233-EI$236)</f>
        <v>0</v>
      </c>
      <c r="EJ238" s="34" t="n">
        <f aca="false">EJ$237-(EJ$233-EJ$236)</f>
        <v>0</v>
      </c>
      <c r="EK238" s="34" t="n">
        <f aca="false">EK$237-(EK$233-EK$236)</f>
        <v>0</v>
      </c>
      <c r="EL238" s="34" t="n">
        <f aca="false">EL$237-(EL$233-EL$236)</f>
        <v>0</v>
      </c>
      <c r="EM238" s="34" t="n">
        <f aca="false">EM$237-(EM$233-EM$236)</f>
        <v>0</v>
      </c>
      <c r="EN238" s="34" t="n">
        <f aca="false">EN$237-(EN$233-EN$236)</f>
        <v>0</v>
      </c>
      <c r="EO238" s="34" t="n">
        <f aca="false">EO$237-(EO$233-EO$236)</f>
        <v>0</v>
      </c>
      <c r="EP238" s="34" t="n">
        <f aca="false">EP$237-(EP$233-EP$236)</f>
        <v>0</v>
      </c>
      <c r="EQ238" s="34" t="n">
        <f aca="false">EQ$237-(EQ$233-EQ$236)</f>
        <v>0</v>
      </c>
      <c r="ER238" s="34" t="n">
        <f aca="false">ER$237-(ER$233-ER$236)</f>
        <v>0</v>
      </c>
      <c r="ES238" s="34" t="n">
        <f aca="false">ES$237-(ES$233-ES$236)</f>
        <v>0</v>
      </c>
    </row>
    <row r="239" customFormat="false" ht="15" hidden="false" customHeight="false" outlineLevel="0" collapsed="false">
      <c r="A239" s="2" t="s">
        <v>712</v>
      </c>
      <c r="B239" s="52" t="s">
        <v>596</v>
      </c>
      <c r="C239" s="6" t="s">
        <v>212</v>
      </c>
      <c r="E239" s="40" t="n">
        <f aca="false">MAX(F239:ES239)</f>
        <v>0</v>
      </c>
      <c r="F239" s="10" t="n">
        <f aca="false">MAX(0,F$234-F$237)*F$9</f>
        <v>0</v>
      </c>
      <c r="G239" s="10" t="n">
        <f aca="false">MAX(0,G$234-G$237)*G$9</f>
        <v>0</v>
      </c>
      <c r="H239" s="10" t="n">
        <f aca="false">MAX(0,H$234-H$237)*H$9</f>
        <v>0</v>
      </c>
      <c r="I239" s="10" t="n">
        <f aca="false">MAX(0,I$234-I$237)*I$9</f>
        <v>0</v>
      </c>
      <c r="J239" s="10" t="n">
        <f aca="false">MAX(0,J$234-J$237)*J$9</f>
        <v>0</v>
      </c>
      <c r="K239" s="10" t="n">
        <f aca="false">MAX(0,K$234-K$237)*K$9</f>
        <v>0</v>
      </c>
      <c r="L239" s="10" t="n">
        <f aca="false">MAX(0,L$234-L$237)*L$9</f>
        <v>0</v>
      </c>
      <c r="M239" s="10" t="n">
        <f aca="false">MAX(0,M$234-M$237)*M$9</f>
        <v>0</v>
      </c>
      <c r="N239" s="10" t="n">
        <f aca="false">MAX(0,N$234-N$237)*N$9</f>
        <v>0</v>
      </c>
      <c r="O239" s="10" t="n">
        <f aca="false">MAX(0,O$234-O$237)*O$9</f>
        <v>0</v>
      </c>
      <c r="P239" s="10" t="n">
        <f aca="false">MAX(0,P$234-P$237)*P$9</f>
        <v>0</v>
      </c>
      <c r="Q239" s="10" t="n">
        <f aca="false">MAX(0,Q$234-Q$237)*Q$9</f>
        <v>0</v>
      </c>
      <c r="R239" s="10" t="n">
        <f aca="false">MAX(0,R$234-R$237)*R$9</f>
        <v>0</v>
      </c>
      <c r="S239" s="10" t="n">
        <f aca="false">MAX(0,S$234-S$237)*S$9</f>
        <v>0</v>
      </c>
      <c r="T239" s="10" t="n">
        <f aca="false">MAX(0,T$234-T$237)*T$9</f>
        <v>0</v>
      </c>
      <c r="U239" s="10" t="n">
        <f aca="false">MAX(0,U$234-U$237)*U$9</f>
        <v>0</v>
      </c>
      <c r="V239" s="10" t="n">
        <f aca="false">MAX(0,V$234-V$237)*V$9</f>
        <v>0</v>
      </c>
      <c r="W239" s="10" t="n">
        <f aca="false">MAX(0,W$234-W$237)*W$9</f>
        <v>0</v>
      </c>
      <c r="X239" s="10" t="n">
        <f aca="false">MAX(0,X$234-X$237)*X$9</f>
        <v>0</v>
      </c>
      <c r="Y239" s="10" t="n">
        <f aca="false">MAX(0,Y$234-Y$237)*Y$9</f>
        <v>0</v>
      </c>
      <c r="Z239" s="10" t="n">
        <f aca="false">MAX(0,Z$234-Z$237)*Z$9</f>
        <v>0</v>
      </c>
      <c r="AA239" s="10" t="n">
        <f aca="false">MAX(0,AA$234-AA$237)*AA$9</f>
        <v>0</v>
      </c>
      <c r="AB239" s="10" t="n">
        <f aca="false">MAX(0,AB$234-AB$237)*AB$9</f>
        <v>0</v>
      </c>
      <c r="AC239" s="10" t="n">
        <f aca="false">MAX(0,AC$234-AC$237)*AC$9</f>
        <v>0</v>
      </c>
      <c r="AD239" s="10" t="n">
        <f aca="false">MAX(0,AD$234-AD$237)*AD$9</f>
        <v>0</v>
      </c>
      <c r="AE239" s="10" t="n">
        <f aca="false">MAX(0,AE$234-AE$237)*AE$9</f>
        <v>0</v>
      </c>
      <c r="AF239" s="10" t="n">
        <f aca="false">MAX(0,AF$234-AF$237)*AF$9</f>
        <v>0</v>
      </c>
      <c r="AG239" s="10" t="n">
        <f aca="false">MAX(0,AG$234-AG$237)*AG$9</f>
        <v>0</v>
      </c>
      <c r="AH239" s="10" t="n">
        <f aca="false">MAX(0,AH$234-AH$237)*AH$9</f>
        <v>0</v>
      </c>
      <c r="AI239" s="10" t="n">
        <f aca="false">MAX(0,AI$234-AI$237)*AI$9</f>
        <v>0</v>
      </c>
      <c r="AJ239" s="10" t="n">
        <f aca="false">MAX(0,AJ$234-AJ$237)*AJ$9</f>
        <v>0</v>
      </c>
      <c r="AK239" s="10" t="n">
        <f aca="false">MAX(0,AK$234-AK$237)*AK$9</f>
        <v>0</v>
      </c>
      <c r="AL239" s="10" t="n">
        <f aca="false">MAX(0,AL$234-AL$237)*AL$9</f>
        <v>0</v>
      </c>
      <c r="AM239" s="10" t="n">
        <f aca="false">MAX(0,AM$234-AM$237)*AM$9</f>
        <v>0</v>
      </c>
      <c r="AN239" s="10" t="n">
        <f aca="false">MAX(0,AN$234-AN$237)*AN$9</f>
        <v>0</v>
      </c>
      <c r="AO239" s="10" t="n">
        <f aca="false">MAX(0,AO$234-AO$237)*AO$9</f>
        <v>0</v>
      </c>
      <c r="AP239" s="10" t="n">
        <f aca="false">MAX(0,AP$234-AP$237)*AP$9</f>
        <v>0</v>
      </c>
      <c r="AQ239" s="10" t="n">
        <f aca="false">MAX(0,AQ$234-AQ$237)*AQ$9</f>
        <v>0</v>
      </c>
      <c r="AR239" s="10" t="n">
        <f aca="false">MAX(0,AR$234-AR$237)*AR$9</f>
        <v>0</v>
      </c>
      <c r="AS239" s="10" t="n">
        <f aca="false">MAX(0,AS$234-AS$237)*AS$9</f>
        <v>0</v>
      </c>
      <c r="AT239" s="10" t="n">
        <f aca="false">MAX(0,AT$234-AT$237)*AT$9</f>
        <v>0</v>
      </c>
      <c r="AU239" s="10" t="n">
        <f aca="false">MAX(0,AU$234-AU$237)*AU$9</f>
        <v>0</v>
      </c>
      <c r="AV239" s="10" t="n">
        <f aca="false">MAX(0,AV$234-AV$237)*AV$9</f>
        <v>0</v>
      </c>
      <c r="AW239" s="10" t="n">
        <f aca="false">MAX(0,AW$234-AW$237)*AW$9</f>
        <v>0</v>
      </c>
      <c r="AX239" s="10" t="n">
        <f aca="false">MAX(0,AX$234-AX$237)*AX$9</f>
        <v>0</v>
      </c>
      <c r="AY239" s="10" t="n">
        <f aca="false">MAX(0,AY$234-AY$237)*AY$9</f>
        <v>0</v>
      </c>
      <c r="AZ239" s="10" t="n">
        <f aca="false">MAX(0,AZ$234-AZ$237)*AZ$9</f>
        <v>0</v>
      </c>
      <c r="BA239" s="10" t="n">
        <f aca="false">MAX(0,BA$234-BA$237)*BA$9</f>
        <v>0</v>
      </c>
      <c r="BB239" s="10" t="n">
        <f aca="false">MAX(0,BB$234-BB$237)*BB$9</f>
        <v>0</v>
      </c>
      <c r="BC239" s="10" t="n">
        <f aca="false">MAX(0,BC$234-BC$237)*BC$9</f>
        <v>0</v>
      </c>
      <c r="BD239" s="10" t="n">
        <f aca="false">MAX(0,BD$234-BD$237)*BD$9</f>
        <v>0</v>
      </c>
      <c r="BE239" s="10" t="n">
        <f aca="false">MAX(0,BE$234-BE$237)*BE$9</f>
        <v>0</v>
      </c>
      <c r="BF239" s="10" t="n">
        <f aca="false">MAX(0,BF$234-BF$237)*BF$9</f>
        <v>0</v>
      </c>
      <c r="BG239" s="10" t="n">
        <f aca="false">MAX(0,BG$234-BG$237)*BG$9</f>
        <v>0</v>
      </c>
      <c r="BH239" s="10" t="n">
        <f aca="false">MAX(0,BH$234-BH$237)*BH$9</f>
        <v>0</v>
      </c>
      <c r="BI239" s="10" t="n">
        <f aca="false">MAX(0,BI$234-BI$237)*BI$9</f>
        <v>0</v>
      </c>
      <c r="BJ239" s="10" t="n">
        <f aca="false">MAX(0,BJ$234-BJ$237)*BJ$9</f>
        <v>0</v>
      </c>
      <c r="BK239" s="10" t="n">
        <f aca="false">MAX(0,BK$234-BK$237)*BK$9</f>
        <v>0</v>
      </c>
      <c r="BL239" s="10" t="n">
        <f aca="false">MAX(0,BL$234-BL$237)*BL$9</f>
        <v>0</v>
      </c>
      <c r="BM239" s="10" t="n">
        <f aca="false">MAX(0,BM$234-BM$237)*BM$9</f>
        <v>0</v>
      </c>
      <c r="BN239" s="10" t="n">
        <f aca="false">MAX(0,BN$234-BN$237)*BN$9</f>
        <v>0</v>
      </c>
      <c r="BO239" s="10" t="n">
        <f aca="false">MAX(0,BO$234-BO$237)*BO$9</f>
        <v>0</v>
      </c>
      <c r="BP239" s="10" t="n">
        <f aca="false">MAX(0,BP$234-BP$237)*BP$9</f>
        <v>0</v>
      </c>
      <c r="BQ239" s="10" t="n">
        <f aca="false">MAX(0,BQ$234-BQ$237)*BQ$9</f>
        <v>0</v>
      </c>
      <c r="BR239" s="10" t="n">
        <f aca="false">MAX(0,BR$234-BR$237)*BR$9</f>
        <v>0</v>
      </c>
      <c r="BS239" s="10" t="n">
        <f aca="false">MAX(0,BS$234-BS$237)*BS$9</f>
        <v>0</v>
      </c>
      <c r="BT239" s="10" t="n">
        <f aca="false">MAX(0,BT$234-BT$237)*BT$9</f>
        <v>0</v>
      </c>
      <c r="BU239" s="10" t="n">
        <f aca="false">MAX(0,BU$234-BU$237)*BU$9</f>
        <v>0</v>
      </c>
      <c r="BV239" s="10" t="n">
        <f aca="false">MAX(0,BV$234-BV$237)*BV$9</f>
        <v>0</v>
      </c>
      <c r="BW239" s="10" t="n">
        <f aca="false">MAX(0,BW$234-BW$237)*BW$9</f>
        <v>0</v>
      </c>
      <c r="BX239" s="10" t="n">
        <f aca="false">MAX(0,BX$234-BX$237)*BX$9</f>
        <v>0</v>
      </c>
      <c r="BY239" s="10" t="n">
        <f aca="false">MAX(0,BY$234-BY$237)*BY$9</f>
        <v>0</v>
      </c>
      <c r="BZ239" s="10" t="n">
        <f aca="false">MAX(0,BZ$234-BZ$237)*BZ$9</f>
        <v>0</v>
      </c>
      <c r="CA239" s="10" t="n">
        <f aca="false">MAX(0,CA$234-CA$237)*CA$9</f>
        <v>0</v>
      </c>
      <c r="CB239" s="10" t="n">
        <f aca="false">MAX(0,CB$234-CB$237)*CB$9</f>
        <v>0</v>
      </c>
      <c r="CC239" s="10" t="n">
        <f aca="false">MAX(0,CC$234-CC$237)*CC$9</f>
        <v>0</v>
      </c>
      <c r="CD239" s="10" t="n">
        <f aca="false">MAX(0,CD$234-CD$237)*CD$9</f>
        <v>0</v>
      </c>
      <c r="CE239" s="10" t="n">
        <f aca="false">MAX(0,CE$234-CE$237)*CE$9</f>
        <v>0</v>
      </c>
      <c r="CF239" s="10" t="n">
        <f aca="false">MAX(0,CF$234-CF$237)*CF$9</f>
        <v>0</v>
      </c>
      <c r="CG239" s="10" t="n">
        <f aca="false">MAX(0,CG$234-CG$237)*CG$9</f>
        <v>0</v>
      </c>
      <c r="CH239" s="10" t="n">
        <f aca="false">MAX(0,CH$234-CH$237)*CH$9</f>
        <v>0</v>
      </c>
      <c r="CI239" s="10" t="n">
        <f aca="false">MAX(0,CI$234-CI$237)*CI$9</f>
        <v>0</v>
      </c>
      <c r="CJ239" s="10" t="n">
        <f aca="false">MAX(0,CJ$234-CJ$237)*CJ$9</f>
        <v>0</v>
      </c>
      <c r="CK239" s="10" t="n">
        <f aca="false">MAX(0,CK$234-CK$237)*CK$9</f>
        <v>0</v>
      </c>
      <c r="CL239" s="10" t="n">
        <f aca="false">MAX(0,CL$234-CL$237)*CL$9</f>
        <v>0</v>
      </c>
      <c r="CM239" s="10" t="n">
        <f aca="false">MAX(0,CM$234-CM$237)*CM$9</f>
        <v>0</v>
      </c>
      <c r="CN239" s="10" t="n">
        <f aca="false">MAX(0,CN$234-CN$237)*CN$9</f>
        <v>0</v>
      </c>
      <c r="CO239" s="10" t="n">
        <f aca="false">MAX(0,CO$234-CO$237)*CO$9</f>
        <v>0</v>
      </c>
      <c r="CP239" s="10" t="n">
        <f aca="false">MAX(0,CP$234-CP$237)*CP$9</f>
        <v>0</v>
      </c>
      <c r="CQ239" s="10" t="n">
        <f aca="false">MAX(0,CQ$234-CQ$237)*CQ$9</f>
        <v>0</v>
      </c>
      <c r="CR239" s="10" t="n">
        <f aca="false">MAX(0,CR$234-CR$237)*CR$9</f>
        <v>0</v>
      </c>
      <c r="CS239" s="10" t="n">
        <f aca="false">MAX(0,CS$234-CS$237)*CS$9</f>
        <v>0</v>
      </c>
      <c r="CT239" s="10" t="n">
        <f aca="false">MAX(0,CT$234-CT$237)*CT$9</f>
        <v>0</v>
      </c>
      <c r="CU239" s="10" t="n">
        <f aca="false">MAX(0,CU$234-CU$237)*CU$9</f>
        <v>0</v>
      </c>
      <c r="CV239" s="10" t="n">
        <f aca="false">MAX(0,CV$234-CV$237)*CV$9</f>
        <v>0</v>
      </c>
      <c r="CW239" s="10" t="n">
        <f aca="false">MAX(0,CW$234-CW$237)*CW$9</f>
        <v>0</v>
      </c>
      <c r="CX239" s="10" t="n">
        <f aca="false">MAX(0,CX$234-CX$237)*CX$9</f>
        <v>0</v>
      </c>
      <c r="CY239" s="10" t="n">
        <f aca="false">MAX(0,CY$234-CY$237)*CY$9</f>
        <v>0</v>
      </c>
      <c r="CZ239" s="10" t="n">
        <f aca="false">MAX(0,CZ$234-CZ$237)*CZ$9</f>
        <v>0</v>
      </c>
      <c r="DA239" s="10" t="n">
        <f aca="false">MAX(0,DA$234-DA$237)*DA$9</f>
        <v>0</v>
      </c>
      <c r="DB239" s="10" t="n">
        <f aca="false">MAX(0,DB$234-DB$237)*DB$9</f>
        <v>0</v>
      </c>
      <c r="DC239" s="10" t="n">
        <f aca="false">MAX(0,DC$234-DC$237)*DC$9</f>
        <v>0</v>
      </c>
      <c r="DD239" s="10" t="n">
        <f aca="false">MAX(0,DD$234-DD$237)*DD$9</f>
        <v>0</v>
      </c>
      <c r="DE239" s="10" t="n">
        <f aca="false">MAX(0,DE$234-DE$237)*DE$9</f>
        <v>0</v>
      </c>
      <c r="DF239" s="10" t="n">
        <f aca="false">MAX(0,DF$234-DF$237)*DF$9</f>
        <v>0</v>
      </c>
      <c r="DG239" s="10" t="n">
        <f aca="false">MAX(0,DG$234-DG$237)*DG$9</f>
        <v>0</v>
      </c>
      <c r="DH239" s="10" t="n">
        <f aca="false">MAX(0,DH$234-DH$237)*DH$9</f>
        <v>0</v>
      </c>
      <c r="DI239" s="10" t="n">
        <f aca="false">MAX(0,DI$234-DI$237)*DI$9</f>
        <v>0</v>
      </c>
      <c r="DJ239" s="10" t="n">
        <f aca="false">MAX(0,DJ$234-DJ$237)*DJ$9</f>
        <v>0</v>
      </c>
      <c r="DK239" s="10" t="n">
        <f aca="false">MAX(0,DK$234-DK$237)*DK$9</f>
        <v>0</v>
      </c>
      <c r="DL239" s="10" t="n">
        <f aca="false">MAX(0,DL$234-DL$237)*DL$9</f>
        <v>0</v>
      </c>
      <c r="DM239" s="10" t="n">
        <f aca="false">MAX(0,DM$234-DM$237)*DM$9</f>
        <v>0</v>
      </c>
      <c r="DN239" s="10" t="n">
        <f aca="false">MAX(0,DN$234-DN$237)*DN$9</f>
        <v>0</v>
      </c>
      <c r="DO239" s="10" t="n">
        <f aca="false">MAX(0,DO$234-DO$237)*DO$9</f>
        <v>0</v>
      </c>
      <c r="DP239" s="10" t="n">
        <f aca="false">MAX(0,DP$234-DP$237)*DP$9</f>
        <v>0</v>
      </c>
      <c r="DQ239" s="10" t="n">
        <f aca="false">MAX(0,DQ$234-DQ$237)*DQ$9</f>
        <v>0</v>
      </c>
      <c r="DR239" s="10" t="n">
        <f aca="false">MAX(0,DR$234-DR$237)*DR$9</f>
        <v>0</v>
      </c>
      <c r="DS239" s="10" t="n">
        <f aca="false">MAX(0,DS$234-DS$237)*DS$9</f>
        <v>0</v>
      </c>
      <c r="DT239" s="10" t="n">
        <f aca="false">MAX(0,DT$234-DT$237)*DT$9</f>
        <v>0</v>
      </c>
      <c r="DU239" s="10" t="n">
        <f aca="false">MAX(0,DU$234-DU$237)*DU$9</f>
        <v>0</v>
      </c>
      <c r="DV239" s="10" t="n">
        <f aca="false">MAX(0,DV$234-DV$237)*DV$9</f>
        <v>0</v>
      </c>
      <c r="DW239" s="10" t="n">
        <f aca="false">MAX(0,DW$234-DW$237)*DW$9</f>
        <v>0</v>
      </c>
      <c r="DX239" s="10" t="n">
        <f aca="false">MAX(0,DX$234-DX$237)*DX$9</f>
        <v>0</v>
      </c>
      <c r="DY239" s="10" t="n">
        <f aca="false">MAX(0,DY$234-DY$237)*DY$9</f>
        <v>0</v>
      </c>
      <c r="DZ239" s="10" t="n">
        <f aca="false">MAX(0,DZ$234-DZ$237)*DZ$9</f>
        <v>0</v>
      </c>
      <c r="EA239" s="10" t="n">
        <f aca="false">MAX(0,EA$234-EA$237)*EA$9</f>
        <v>0</v>
      </c>
      <c r="EB239" s="10" t="n">
        <f aca="false">MAX(0,EB$234-EB$237)*EB$9</f>
        <v>0</v>
      </c>
      <c r="EC239" s="10" t="n">
        <f aca="false">MAX(0,EC$234-EC$237)*EC$9</f>
        <v>0</v>
      </c>
      <c r="ED239" s="10" t="n">
        <f aca="false">MAX(0,ED$234-ED$237)*ED$9</f>
        <v>0</v>
      </c>
      <c r="EE239" s="10" t="n">
        <f aca="false">MAX(0,EE$234-EE$237)*EE$9</f>
        <v>0</v>
      </c>
      <c r="EF239" s="10" t="n">
        <f aca="false">MAX(0,EF$234-EF$237)*EF$9</f>
        <v>0</v>
      </c>
      <c r="EG239" s="10" t="n">
        <f aca="false">MAX(0,EG$234-EG$237)*EG$9</f>
        <v>0</v>
      </c>
      <c r="EH239" s="10" t="n">
        <f aca="false">MAX(0,EH$234-EH$237)*EH$9</f>
        <v>0</v>
      </c>
      <c r="EI239" s="10" t="n">
        <f aca="false">MAX(0,EI$234-EI$237)*EI$9</f>
        <v>0</v>
      </c>
      <c r="EJ239" s="10" t="n">
        <f aca="false">MAX(0,EJ$234-EJ$237)*EJ$9</f>
        <v>0</v>
      </c>
      <c r="EK239" s="10" t="n">
        <f aca="false">MAX(0,EK$234-EK$237)*EK$9</f>
        <v>0</v>
      </c>
      <c r="EL239" s="10" t="n">
        <f aca="false">MAX(0,EL$234-EL$237)*EL$9</f>
        <v>0</v>
      </c>
      <c r="EM239" s="10" t="n">
        <f aca="false">MAX(0,EM$234-EM$237)*EM$9</f>
        <v>0</v>
      </c>
      <c r="EN239" s="10" t="n">
        <f aca="false">MAX(0,EN$234-EN$237)*EN$9</f>
        <v>0</v>
      </c>
      <c r="EO239" s="10" t="n">
        <f aca="false">MAX(0,EO$234-EO$237)*EO$9</f>
        <v>0</v>
      </c>
      <c r="EP239" s="10" t="n">
        <f aca="false">MAX(0,EP$234-EP$237)*EP$9</f>
        <v>0</v>
      </c>
      <c r="EQ239" s="10" t="n">
        <f aca="false">MAX(0,EQ$234-EQ$237)*EQ$9</f>
        <v>0</v>
      </c>
      <c r="ER239" s="10" t="n">
        <f aca="false">MAX(0,ER$234-ER$237)*ER$9</f>
        <v>0</v>
      </c>
      <c r="ES239" s="10" t="n">
        <f aca="false">MAX(0,ES$234-ES$237)*ES$9</f>
        <v>0</v>
      </c>
    </row>
    <row r="240" customFormat="false" ht="15" hidden="false" customHeight="false" outlineLevel="0" collapsed="false">
      <c r="A240" s="4"/>
      <c r="B240" s="3" t="s">
        <v>597</v>
      </c>
      <c r="C240" s="4"/>
      <c r="D240" s="4"/>
      <c r="E240" s="4"/>
    </row>
    <row r="241" customFormat="false" ht="15" hidden="false" customHeight="false" outlineLevel="0" collapsed="false">
      <c r="A241" s="2" t="s">
        <v>713</v>
      </c>
      <c r="B241" s="6" t="s">
        <v>599</v>
      </c>
      <c r="C241" s="6"/>
      <c r="F241" s="27" t="n">
        <f aca="false">1/(1+V_WACC)^((1-1)/12)</f>
        <v>1</v>
      </c>
      <c r="G241" s="27" t="n">
        <f aca="false">1/(1+V_WACC)^((2-1)/12)</f>
        <v>1</v>
      </c>
      <c r="H241" s="27" t="n">
        <f aca="false">1/(1+V_WACC)^((3-1)/12)</f>
        <v>1</v>
      </c>
      <c r="I241" s="27" t="n">
        <f aca="false">1/(1+V_WACC)^((4-1)/12)</f>
        <v>1</v>
      </c>
      <c r="J241" s="27" t="n">
        <f aca="false">1/(1+V_WACC)^((5-1)/12)</f>
        <v>1</v>
      </c>
      <c r="K241" s="27" t="n">
        <f aca="false">1/(1+V_WACC)^((6-1)/12)</f>
        <v>1</v>
      </c>
      <c r="L241" s="27" t="n">
        <f aca="false">1/(1+V_WACC)^((7-1)/12)</f>
        <v>1</v>
      </c>
      <c r="M241" s="27" t="n">
        <f aca="false">1/(1+V_WACC)^((8-1)/12)</f>
        <v>1</v>
      </c>
      <c r="N241" s="27" t="n">
        <f aca="false">1/(1+V_WACC)^((9-1)/12)</f>
        <v>1</v>
      </c>
      <c r="O241" s="27" t="n">
        <f aca="false">1/(1+V_WACC)^((10-1)/12)</f>
        <v>1</v>
      </c>
      <c r="P241" s="27" t="n">
        <f aca="false">1/(1+V_WACC)^((11-1)/12)</f>
        <v>1</v>
      </c>
      <c r="Q241" s="27" t="n">
        <f aca="false">1/(1+V_WACC)^((12-1)/12)</f>
        <v>1</v>
      </c>
      <c r="R241" s="27" t="n">
        <f aca="false">1/(1+V_WACC)^((13-1)/12)</f>
        <v>1</v>
      </c>
      <c r="S241" s="27" t="n">
        <f aca="false">1/(1+V_WACC)^((14-1)/12)</f>
        <v>1</v>
      </c>
      <c r="T241" s="27" t="n">
        <f aca="false">1/(1+V_WACC)^((15-1)/12)</f>
        <v>1</v>
      </c>
      <c r="U241" s="27" t="n">
        <f aca="false">1/(1+V_WACC)^((16-1)/12)</f>
        <v>1</v>
      </c>
      <c r="V241" s="27" t="n">
        <f aca="false">1/(1+V_WACC)^((17-1)/12)</f>
        <v>1</v>
      </c>
      <c r="W241" s="27" t="n">
        <f aca="false">1/(1+V_WACC)^((18-1)/12)</f>
        <v>1</v>
      </c>
      <c r="X241" s="27" t="n">
        <f aca="false">1/(1+V_WACC)^((19-1)/12)</f>
        <v>1</v>
      </c>
      <c r="Y241" s="27" t="n">
        <f aca="false">1/(1+V_WACC)^((20-1)/12)</f>
        <v>1</v>
      </c>
      <c r="Z241" s="27" t="n">
        <f aca="false">1/(1+V_WACC)^((21-1)/12)</f>
        <v>1</v>
      </c>
      <c r="AA241" s="27" t="n">
        <f aca="false">1/(1+V_WACC)^((22-1)/12)</f>
        <v>1</v>
      </c>
      <c r="AB241" s="27" t="n">
        <f aca="false">1/(1+V_WACC)^((23-1)/12)</f>
        <v>1</v>
      </c>
      <c r="AC241" s="27" t="n">
        <f aca="false">1/(1+V_WACC)^((24-1)/12)</f>
        <v>1</v>
      </c>
      <c r="AD241" s="27" t="n">
        <f aca="false">1/(1+V_WACC)^((25-1)/12)</f>
        <v>1</v>
      </c>
      <c r="AE241" s="27" t="n">
        <f aca="false">1/(1+V_WACC)^((26-1)/12)</f>
        <v>1</v>
      </c>
      <c r="AF241" s="27" t="n">
        <f aca="false">1/(1+V_WACC)^((27-1)/12)</f>
        <v>1</v>
      </c>
      <c r="AG241" s="27" t="n">
        <f aca="false">1/(1+V_WACC)^((28-1)/12)</f>
        <v>1</v>
      </c>
      <c r="AH241" s="27" t="n">
        <f aca="false">1/(1+V_WACC)^((29-1)/12)</f>
        <v>1</v>
      </c>
      <c r="AI241" s="27" t="n">
        <f aca="false">1/(1+V_WACC)^((30-1)/12)</f>
        <v>1</v>
      </c>
      <c r="AJ241" s="27" t="n">
        <f aca="false">1/(1+V_WACC)^((31-1)/12)</f>
        <v>1</v>
      </c>
      <c r="AK241" s="27" t="n">
        <f aca="false">1/(1+V_WACC)^((32-1)/12)</f>
        <v>1</v>
      </c>
      <c r="AL241" s="27" t="n">
        <f aca="false">1/(1+V_WACC)^((33-1)/12)</f>
        <v>1</v>
      </c>
      <c r="AM241" s="27" t="n">
        <f aca="false">1/(1+V_WACC)^((34-1)/12)</f>
        <v>1</v>
      </c>
      <c r="AN241" s="27" t="n">
        <f aca="false">1/(1+V_WACC)^((35-1)/12)</f>
        <v>1</v>
      </c>
      <c r="AO241" s="27" t="n">
        <f aca="false">1/(1+V_WACC)^((36-1)/12)</f>
        <v>1</v>
      </c>
      <c r="AP241" s="27" t="n">
        <f aca="false">1/(1+V_WACC)^((37-1)/12)</f>
        <v>1</v>
      </c>
      <c r="AQ241" s="27" t="n">
        <f aca="false">1/(1+V_WACC)^((38-1)/12)</f>
        <v>1</v>
      </c>
      <c r="AR241" s="27" t="n">
        <f aca="false">1/(1+V_WACC)^((39-1)/12)</f>
        <v>1</v>
      </c>
      <c r="AS241" s="27" t="n">
        <f aca="false">1/(1+V_WACC)^((40-1)/12)</f>
        <v>1</v>
      </c>
      <c r="AT241" s="27" t="n">
        <f aca="false">1/(1+V_WACC)^((41-1)/12)</f>
        <v>1</v>
      </c>
      <c r="AU241" s="27" t="n">
        <f aca="false">1/(1+V_WACC)^((42-1)/12)</f>
        <v>1</v>
      </c>
      <c r="AV241" s="27" t="n">
        <f aca="false">1/(1+V_WACC)^((43-1)/12)</f>
        <v>1</v>
      </c>
      <c r="AW241" s="27" t="n">
        <f aca="false">1/(1+V_WACC)^((44-1)/12)</f>
        <v>1</v>
      </c>
      <c r="AX241" s="27" t="n">
        <f aca="false">1/(1+V_WACC)^((45-1)/12)</f>
        <v>1</v>
      </c>
      <c r="AY241" s="27" t="n">
        <f aca="false">1/(1+V_WACC)^((46-1)/12)</f>
        <v>1</v>
      </c>
      <c r="AZ241" s="27" t="n">
        <f aca="false">1/(1+V_WACC)^((47-1)/12)</f>
        <v>1</v>
      </c>
      <c r="BA241" s="27" t="n">
        <f aca="false">1/(1+V_WACC)^((48-1)/12)</f>
        <v>1</v>
      </c>
      <c r="BB241" s="27" t="n">
        <f aca="false">1/(1+V_WACC)^((49-1)/12)</f>
        <v>1</v>
      </c>
      <c r="BC241" s="27" t="n">
        <f aca="false">1/(1+V_WACC)^((50-1)/12)</f>
        <v>1</v>
      </c>
      <c r="BD241" s="27" t="n">
        <f aca="false">1/(1+V_WACC)^((51-1)/12)</f>
        <v>1</v>
      </c>
      <c r="BE241" s="27" t="n">
        <f aca="false">1/(1+V_WACC)^((52-1)/12)</f>
        <v>1</v>
      </c>
      <c r="BF241" s="27" t="n">
        <f aca="false">1/(1+V_WACC)^((53-1)/12)</f>
        <v>1</v>
      </c>
      <c r="BG241" s="27" t="n">
        <f aca="false">1/(1+V_WACC)^((54-1)/12)</f>
        <v>1</v>
      </c>
      <c r="BH241" s="27" t="n">
        <f aca="false">1/(1+V_WACC)^((55-1)/12)</f>
        <v>1</v>
      </c>
      <c r="BI241" s="27" t="n">
        <f aca="false">1/(1+V_WACC)^((56-1)/12)</f>
        <v>1</v>
      </c>
      <c r="BJ241" s="27" t="n">
        <f aca="false">1/(1+V_WACC)^((57-1)/12)</f>
        <v>1</v>
      </c>
      <c r="BK241" s="27" t="n">
        <f aca="false">1/(1+V_WACC)^((58-1)/12)</f>
        <v>1</v>
      </c>
      <c r="BL241" s="27" t="n">
        <f aca="false">1/(1+V_WACC)^((59-1)/12)</f>
        <v>1</v>
      </c>
      <c r="BM241" s="27" t="n">
        <f aca="false">1/(1+V_WACC)^((60-1)/12)</f>
        <v>1</v>
      </c>
      <c r="BN241" s="27" t="n">
        <f aca="false">1/(1+V_WACC)^((61-1)/12)</f>
        <v>1</v>
      </c>
      <c r="BO241" s="27" t="n">
        <f aca="false">1/(1+V_WACC)^((62-1)/12)</f>
        <v>1</v>
      </c>
      <c r="BP241" s="27" t="n">
        <f aca="false">1/(1+V_WACC)^((63-1)/12)</f>
        <v>1</v>
      </c>
      <c r="BQ241" s="27" t="n">
        <f aca="false">1/(1+V_WACC)^((64-1)/12)</f>
        <v>1</v>
      </c>
      <c r="BR241" s="27" t="n">
        <f aca="false">1/(1+V_WACC)^((65-1)/12)</f>
        <v>1</v>
      </c>
      <c r="BS241" s="27" t="n">
        <f aca="false">1/(1+V_WACC)^((66-1)/12)</f>
        <v>1</v>
      </c>
      <c r="BT241" s="27" t="n">
        <f aca="false">1/(1+V_WACC)^((67-1)/12)</f>
        <v>1</v>
      </c>
      <c r="BU241" s="27" t="n">
        <f aca="false">1/(1+V_WACC)^((68-1)/12)</f>
        <v>1</v>
      </c>
      <c r="BV241" s="27" t="n">
        <f aca="false">1/(1+V_WACC)^((69-1)/12)</f>
        <v>1</v>
      </c>
      <c r="BW241" s="27" t="n">
        <f aca="false">1/(1+V_WACC)^((70-1)/12)</f>
        <v>1</v>
      </c>
      <c r="BX241" s="27" t="n">
        <f aca="false">1/(1+V_WACC)^((71-1)/12)</f>
        <v>1</v>
      </c>
      <c r="BY241" s="27" t="n">
        <f aca="false">1/(1+V_WACC)^((72-1)/12)</f>
        <v>1</v>
      </c>
      <c r="BZ241" s="27" t="n">
        <f aca="false">1/(1+V_WACC)^((73-1)/12)</f>
        <v>1</v>
      </c>
      <c r="CA241" s="27" t="n">
        <f aca="false">1/(1+V_WACC)^((74-1)/12)</f>
        <v>1</v>
      </c>
      <c r="CB241" s="27" t="n">
        <f aca="false">1/(1+V_WACC)^((75-1)/12)</f>
        <v>1</v>
      </c>
      <c r="CC241" s="27" t="n">
        <f aca="false">1/(1+V_WACC)^((76-1)/12)</f>
        <v>1</v>
      </c>
      <c r="CD241" s="27" t="n">
        <f aca="false">1/(1+V_WACC)^((77-1)/12)</f>
        <v>1</v>
      </c>
      <c r="CE241" s="27" t="n">
        <f aca="false">1/(1+V_WACC)^((78-1)/12)</f>
        <v>1</v>
      </c>
      <c r="CF241" s="27" t="n">
        <f aca="false">1/(1+V_WACC)^((79-1)/12)</f>
        <v>1</v>
      </c>
      <c r="CG241" s="27" t="n">
        <f aca="false">1/(1+V_WACC)^((80-1)/12)</f>
        <v>1</v>
      </c>
      <c r="CH241" s="27" t="n">
        <f aca="false">1/(1+V_WACC)^((81-1)/12)</f>
        <v>1</v>
      </c>
      <c r="CI241" s="27" t="n">
        <f aca="false">1/(1+V_WACC)^((82-1)/12)</f>
        <v>1</v>
      </c>
      <c r="CJ241" s="27" t="n">
        <f aca="false">1/(1+V_WACC)^((83-1)/12)</f>
        <v>1</v>
      </c>
      <c r="CK241" s="27" t="n">
        <f aca="false">1/(1+V_WACC)^((84-1)/12)</f>
        <v>1</v>
      </c>
      <c r="CL241" s="27" t="n">
        <f aca="false">1/(1+V_WACC)^((85-1)/12)</f>
        <v>1</v>
      </c>
      <c r="CM241" s="27" t="n">
        <f aca="false">1/(1+V_WACC)^((86-1)/12)</f>
        <v>1</v>
      </c>
      <c r="CN241" s="27" t="n">
        <f aca="false">1/(1+V_WACC)^((87-1)/12)</f>
        <v>1</v>
      </c>
      <c r="CO241" s="27" t="n">
        <f aca="false">1/(1+V_WACC)^((88-1)/12)</f>
        <v>1</v>
      </c>
      <c r="CP241" s="27" t="n">
        <f aca="false">1/(1+V_WACC)^((89-1)/12)</f>
        <v>1</v>
      </c>
      <c r="CQ241" s="27" t="n">
        <f aca="false">1/(1+V_WACC)^((90-1)/12)</f>
        <v>1</v>
      </c>
      <c r="CR241" s="27" t="n">
        <f aca="false">1/(1+V_WACC)^((91-1)/12)</f>
        <v>1</v>
      </c>
      <c r="CS241" s="27" t="n">
        <f aca="false">1/(1+V_WACC)^((92-1)/12)</f>
        <v>1</v>
      </c>
      <c r="CT241" s="27" t="n">
        <f aca="false">1/(1+V_WACC)^((93-1)/12)</f>
        <v>1</v>
      </c>
      <c r="CU241" s="27" t="n">
        <f aca="false">1/(1+V_WACC)^((94-1)/12)</f>
        <v>1</v>
      </c>
      <c r="CV241" s="27" t="n">
        <f aca="false">1/(1+V_WACC)^((95-1)/12)</f>
        <v>1</v>
      </c>
      <c r="CW241" s="27" t="n">
        <f aca="false">1/(1+V_WACC)^((96-1)/12)</f>
        <v>1</v>
      </c>
      <c r="CX241" s="27" t="n">
        <f aca="false">1/(1+V_WACC)^((97-1)/12)</f>
        <v>1</v>
      </c>
      <c r="CY241" s="27" t="n">
        <f aca="false">1/(1+V_WACC)^((98-1)/12)</f>
        <v>1</v>
      </c>
      <c r="CZ241" s="27" t="n">
        <f aca="false">1/(1+V_WACC)^((99-1)/12)</f>
        <v>1</v>
      </c>
      <c r="DA241" s="27" t="n">
        <f aca="false">1/(1+V_WACC)^((100-1)/12)</f>
        <v>1</v>
      </c>
      <c r="DB241" s="27" t="n">
        <f aca="false">1/(1+V_WACC)^((101-1)/12)</f>
        <v>1</v>
      </c>
      <c r="DC241" s="27" t="n">
        <f aca="false">1/(1+V_WACC)^((102-1)/12)</f>
        <v>1</v>
      </c>
      <c r="DD241" s="27" t="n">
        <f aca="false">1/(1+V_WACC)^((103-1)/12)</f>
        <v>1</v>
      </c>
      <c r="DE241" s="27" t="n">
        <f aca="false">1/(1+V_WACC)^((104-1)/12)</f>
        <v>1</v>
      </c>
      <c r="DF241" s="27" t="n">
        <f aca="false">1/(1+V_WACC)^((105-1)/12)</f>
        <v>1</v>
      </c>
      <c r="DG241" s="27" t="n">
        <f aca="false">1/(1+V_WACC)^((106-1)/12)</f>
        <v>1</v>
      </c>
      <c r="DH241" s="27" t="n">
        <f aca="false">1/(1+V_WACC)^((107-1)/12)</f>
        <v>1</v>
      </c>
      <c r="DI241" s="27" t="n">
        <f aca="false">1/(1+V_WACC)^((108-1)/12)</f>
        <v>1</v>
      </c>
      <c r="DJ241" s="27" t="n">
        <f aca="false">1/(1+V_WACC)^((109-1)/12)</f>
        <v>1</v>
      </c>
      <c r="DK241" s="27" t="n">
        <f aca="false">1/(1+V_WACC)^((110-1)/12)</f>
        <v>1</v>
      </c>
      <c r="DL241" s="27" t="n">
        <f aca="false">1/(1+V_WACC)^((111-1)/12)</f>
        <v>1</v>
      </c>
      <c r="DM241" s="27" t="n">
        <f aca="false">1/(1+V_WACC)^((112-1)/12)</f>
        <v>1</v>
      </c>
      <c r="DN241" s="27" t="n">
        <f aca="false">1/(1+V_WACC)^((113-1)/12)</f>
        <v>1</v>
      </c>
      <c r="DO241" s="27" t="n">
        <f aca="false">1/(1+V_WACC)^((114-1)/12)</f>
        <v>1</v>
      </c>
      <c r="DP241" s="27" t="n">
        <f aca="false">1/(1+V_WACC)^((115-1)/12)</f>
        <v>1</v>
      </c>
      <c r="DQ241" s="27" t="n">
        <f aca="false">1/(1+V_WACC)^((116-1)/12)</f>
        <v>1</v>
      </c>
      <c r="DR241" s="27" t="n">
        <f aca="false">1/(1+V_WACC)^((117-1)/12)</f>
        <v>1</v>
      </c>
      <c r="DS241" s="27" t="n">
        <f aca="false">1/(1+V_WACC)^((118-1)/12)</f>
        <v>1</v>
      </c>
      <c r="DT241" s="27" t="n">
        <f aca="false">1/(1+V_WACC)^((119-1)/12)</f>
        <v>1</v>
      </c>
      <c r="DU241" s="27" t="n">
        <f aca="false">1/(1+V_WACC)^((120-1)/12)</f>
        <v>1</v>
      </c>
      <c r="DV241" s="27" t="n">
        <f aca="false">1/(1+V_WACC)^((121-1)/12)</f>
        <v>1</v>
      </c>
      <c r="DW241" s="27" t="n">
        <f aca="false">1/(1+V_WACC)^((122-1)/12)</f>
        <v>1</v>
      </c>
      <c r="DX241" s="27" t="n">
        <f aca="false">1/(1+V_WACC)^((123-1)/12)</f>
        <v>1</v>
      </c>
      <c r="DY241" s="27" t="n">
        <f aca="false">1/(1+V_WACC)^((124-1)/12)</f>
        <v>1</v>
      </c>
      <c r="DZ241" s="27" t="n">
        <f aca="false">1/(1+V_WACC)^((125-1)/12)</f>
        <v>1</v>
      </c>
      <c r="EA241" s="27" t="n">
        <f aca="false">1/(1+V_WACC)^((126-1)/12)</f>
        <v>1</v>
      </c>
      <c r="EB241" s="27" t="n">
        <f aca="false">1/(1+V_WACC)^((127-1)/12)</f>
        <v>1</v>
      </c>
      <c r="EC241" s="27" t="n">
        <f aca="false">1/(1+V_WACC)^((128-1)/12)</f>
        <v>1</v>
      </c>
      <c r="ED241" s="27" t="n">
        <f aca="false">1/(1+V_WACC)^((129-1)/12)</f>
        <v>1</v>
      </c>
      <c r="EE241" s="27" t="n">
        <f aca="false">1/(1+V_WACC)^((130-1)/12)</f>
        <v>1</v>
      </c>
      <c r="EF241" s="27" t="n">
        <f aca="false">1/(1+V_WACC)^((131-1)/12)</f>
        <v>1</v>
      </c>
      <c r="EG241" s="27" t="n">
        <f aca="false">1/(1+V_WACC)^((132-1)/12)</f>
        <v>1</v>
      </c>
      <c r="EH241" s="27" t="n">
        <f aca="false">1/(1+V_WACC)^((133-1)/12)</f>
        <v>1</v>
      </c>
      <c r="EI241" s="27" t="n">
        <f aca="false">1/(1+V_WACC)^((134-1)/12)</f>
        <v>1</v>
      </c>
      <c r="EJ241" s="27" t="n">
        <f aca="false">1/(1+V_WACC)^((135-1)/12)</f>
        <v>1</v>
      </c>
      <c r="EK241" s="27" t="n">
        <f aca="false">1/(1+V_WACC)^((136-1)/12)</f>
        <v>1</v>
      </c>
      <c r="EL241" s="27" t="n">
        <f aca="false">1/(1+V_WACC)^((137-1)/12)</f>
        <v>1</v>
      </c>
      <c r="EM241" s="27" t="n">
        <f aca="false">1/(1+V_WACC)^((138-1)/12)</f>
        <v>1</v>
      </c>
      <c r="EN241" s="27" t="n">
        <f aca="false">1/(1+V_WACC)^((139-1)/12)</f>
        <v>1</v>
      </c>
      <c r="EO241" s="27" t="n">
        <f aca="false">1/(1+V_WACC)^((140-1)/12)</f>
        <v>1</v>
      </c>
      <c r="EP241" s="27" t="n">
        <f aca="false">1/(1+V_WACC)^((141-1)/12)</f>
        <v>1</v>
      </c>
      <c r="EQ241" s="27" t="n">
        <f aca="false">1/(1+V_WACC)^((142-1)/12)</f>
        <v>1</v>
      </c>
      <c r="ER241" s="27" t="n">
        <f aca="false">1/(1+V_WACC)^((143-1)/12)</f>
        <v>1</v>
      </c>
      <c r="ES241" s="27" t="n">
        <f aca="false">1/(1+V_WACC)^((144-1)/12)</f>
        <v>1</v>
      </c>
    </row>
    <row r="242" customFormat="false" ht="15" hidden="false" customHeight="false" outlineLevel="0" collapsed="false">
      <c r="A242" s="2" t="s">
        <v>714</v>
      </c>
      <c r="B242" s="6" t="s">
        <v>601</v>
      </c>
      <c r="C242" s="6"/>
      <c r="F242" s="27" t="n">
        <f aca="false">1/(1+V_Ke)^((1-1)/12)</f>
        <v>1</v>
      </c>
      <c r="G242" s="27" t="n">
        <f aca="false">1/(1+V_Ke)^((2-1)/12)</f>
        <v>1</v>
      </c>
      <c r="H242" s="27" t="n">
        <f aca="false">1/(1+V_Ke)^((3-1)/12)</f>
        <v>1</v>
      </c>
      <c r="I242" s="27" t="n">
        <f aca="false">1/(1+V_Ke)^((4-1)/12)</f>
        <v>1</v>
      </c>
      <c r="J242" s="27" t="n">
        <f aca="false">1/(1+V_Ke)^((5-1)/12)</f>
        <v>1</v>
      </c>
      <c r="K242" s="27" t="n">
        <f aca="false">1/(1+V_Ke)^((6-1)/12)</f>
        <v>1</v>
      </c>
      <c r="L242" s="27" t="n">
        <f aca="false">1/(1+V_Ke)^((7-1)/12)</f>
        <v>1</v>
      </c>
      <c r="M242" s="27" t="n">
        <f aca="false">1/(1+V_Ke)^((8-1)/12)</f>
        <v>1</v>
      </c>
      <c r="N242" s="27" t="n">
        <f aca="false">1/(1+V_Ke)^((9-1)/12)</f>
        <v>1</v>
      </c>
      <c r="O242" s="27" t="n">
        <f aca="false">1/(1+V_Ke)^((10-1)/12)</f>
        <v>1</v>
      </c>
      <c r="P242" s="27" t="n">
        <f aca="false">1/(1+V_Ke)^((11-1)/12)</f>
        <v>1</v>
      </c>
      <c r="Q242" s="27" t="n">
        <f aca="false">1/(1+V_Ke)^((12-1)/12)</f>
        <v>1</v>
      </c>
      <c r="R242" s="27" t="n">
        <f aca="false">1/(1+V_Ke)^((13-1)/12)</f>
        <v>1</v>
      </c>
      <c r="S242" s="27" t="n">
        <f aca="false">1/(1+V_Ke)^((14-1)/12)</f>
        <v>1</v>
      </c>
      <c r="T242" s="27" t="n">
        <f aca="false">1/(1+V_Ke)^((15-1)/12)</f>
        <v>1</v>
      </c>
      <c r="U242" s="27" t="n">
        <f aca="false">1/(1+V_Ke)^((16-1)/12)</f>
        <v>1</v>
      </c>
      <c r="V242" s="27" t="n">
        <f aca="false">1/(1+V_Ke)^((17-1)/12)</f>
        <v>1</v>
      </c>
      <c r="W242" s="27" t="n">
        <f aca="false">1/(1+V_Ke)^((18-1)/12)</f>
        <v>1</v>
      </c>
      <c r="X242" s="27" t="n">
        <f aca="false">1/(1+V_Ke)^((19-1)/12)</f>
        <v>1</v>
      </c>
      <c r="Y242" s="27" t="n">
        <f aca="false">1/(1+V_Ke)^((20-1)/12)</f>
        <v>1</v>
      </c>
      <c r="Z242" s="27" t="n">
        <f aca="false">1/(1+V_Ke)^((21-1)/12)</f>
        <v>1</v>
      </c>
      <c r="AA242" s="27" t="n">
        <f aca="false">1/(1+V_Ke)^((22-1)/12)</f>
        <v>1</v>
      </c>
      <c r="AB242" s="27" t="n">
        <f aca="false">1/(1+V_Ke)^((23-1)/12)</f>
        <v>1</v>
      </c>
      <c r="AC242" s="27" t="n">
        <f aca="false">1/(1+V_Ke)^((24-1)/12)</f>
        <v>1</v>
      </c>
      <c r="AD242" s="27" t="n">
        <f aca="false">1/(1+V_Ke)^((25-1)/12)</f>
        <v>1</v>
      </c>
      <c r="AE242" s="27" t="n">
        <f aca="false">1/(1+V_Ke)^((26-1)/12)</f>
        <v>1</v>
      </c>
      <c r="AF242" s="27" t="n">
        <f aca="false">1/(1+V_Ke)^((27-1)/12)</f>
        <v>1</v>
      </c>
      <c r="AG242" s="27" t="n">
        <f aca="false">1/(1+V_Ke)^((28-1)/12)</f>
        <v>1</v>
      </c>
      <c r="AH242" s="27" t="n">
        <f aca="false">1/(1+V_Ke)^((29-1)/12)</f>
        <v>1</v>
      </c>
      <c r="AI242" s="27" t="n">
        <f aca="false">1/(1+V_Ke)^((30-1)/12)</f>
        <v>1</v>
      </c>
      <c r="AJ242" s="27" t="n">
        <f aca="false">1/(1+V_Ke)^((31-1)/12)</f>
        <v>1</v>
      </c>
      <c r="AK242" s="27" t="n">
        <f aca="false">1/(1+V_Ke)^((32-1)/12)</f>
        <v>1</v>
      </c>
      <c r="AL242" s="27" t="n">
        <f aca="false">1/(1+V_Ke)^((33-1)/12)</f>
        <v>1</v>
      </c>
      <c r="AM242" s="27" t="n">
        <f aca="false">1/(1+V_Ke)^((34-1)/12)</f>
        <v>1</v>
      </c>
      <c r="AN242" s="27" t="n">
        <f aca="false">1/(1+V_Ke)^((35-1)/12)</f>
        <v>1</v>
      </c>
      <c r="AO242" s="27" t="n">
        <f aca="false">1/(1+V_Ke)^((36-1)/12)</f>
        <v>1</v>
      </c>
      <c r="AP242" s="27" t="n">
        <f aca="false">1/(1+V_Ke)^((37-1)/12)</f>
        <v>1</v>
      </c>
      <c r="AQ242" s="27" t="n">
        <f aca="false">1/(1+V_Ke)^((38-1)/12)</f>
        <v>1</v>
      </c>
      <c r="AR242" s="27" t="n">
        <f aca="false">1/(1+V_Ke)^((39-1)/12)</f>
        <v>1</v>
      </c>
      <c r="AS242" s="27" t="n">
        <f aca="false">1/(1+V_Ke)^((40-1)/12)</f>
        <v>1</v>
      </c>
      <c r="AT242" s="27" t="n">
        <f aca="false">1/(1+V_Ke)^((41-1)/12)</f>
        <v>1</v>
      </c>
      <c r="AU242" s="27" t="n">
        <f aca="false">1/(1+V_Ke)^((42-1)/12)</f>
        <v>1</v>
      </c>
      <c r="AV242" s="27" t="n">
        <f aca="false">1/(1+V_Ke)^((43-1)/12)</f>
        <v>1</v>
      </c>
      <c r="AW242" s="27" t="n">
        <f aca="false">1/(1+V_Ke)^((44-1)/12)</f>
        <v>1</v>
      </c>
      <c r="AX242" s="27" t="n">
        <f aca="false">1/(1+V_Ke)^((45-1)/12)</f>
        <v>1</v>
      </c>
      <c r="AY242" s="27" t="n">
        <f aca="false">1/(1+V_Ke)^((46-1)/12)</f>
        <v>1</v>
      </c>
      <c r="AZ242" s="27" t="n">
        <f aca="false">1/(1+V_Ke)^((47-1)/12)</f>
        <v>1</v>
      </c>
      <c r="BA242" s="27" t="n">
        <f aca="false">1/(1+V_Ke)^((48-1)/12)</f>
        <v>1</v>
      </c>
      <c r="BB242" s="27" t="n">
        <f aca="false">1/(1+V_Ke)^((49-1)/12)</f>
        <v>1</v>
      </c>
      <c r="BC242" s="27" t="n">
        <f aca="false">1/(1+V_Ke)^((50-1)/12)</f>
        <v>1</v>
      </c>
      <c r="BD242" s="27" t="n">
        <f aca="false">1/(1+V_Ke)^((51-1)/12)</f>
        <v>1</v>
      </c>
      <c r="BE242" s="27" t="n">
        <f aca="false">1/(1+V_Ke)^((52-1)/12)</f>
        <v>1</v>
      </c>
      <c r="BF242" s="27" t="n">
        <f aca="false">1/(1+V_Ke)^((53-1)/12)</f>
        <v>1</v>
      </c>
      <c r="BG242" s="27" t="n">
        <f aca="false">1/(1+V_Ke)^((54-1)/12)</f>
        <v>1</v>
      </c>
      <c r="BH242" s="27" t="n">
        <f aca="false">1/(1+V_Ke)^((55-1)/12)</f>
        <v>1</v>
      </c>
      <c r="BI242" s="27" t="n">
        <f aca="false">1/(1+V_Ke)^((56-1)/12)</f>
        <v>1</v>
      </c>
      <c r="BJ242" s="27" t="n">
        <f aca="false">1/(1+V_Ke)^((57-1)/12)</f>
        <v>1</v>
      </c>
      <c r="BK242" s="27" t="n">
        <f aca="false">1/(1+V_Ke)^((58-1)/12)</f>
        <v>1</v>
      </c>
      <c r="BL242" s="27" t="n">
        <f aca="false">1/(1+V_Ke)^((59-1)/12)</f>
        <v>1</v>
      </c>
      <c r="BM242" s="27" t="n">
        <f aca="false">1/(1+V_Ke)^((60-1)/12)</f>
        <v>1</v>
      </c>
      <c r="BN242" s="27" t="n">
        <f aca="false">1/(1+V_Ke)^((61-1)/12)</f>
        <v>1</v>
      </c>
      <c r="BO242" s="27" t="n">
        <f aca="false">1/(1+V_Ke)^((62-1)/12)</f>
        <v>1</v>
      </c>
      <c r="BP242" s="27" t="n">
        <f aca="false">1/(1+V_Ke)^((63-1)/12)</f>
        <v>1</v>
      </c>
      <c r="BQ242" s="27" t="n">
        <f aca="false">1/(1+V_Ke)^((64-1)/12)</f>
        <v>1</v>
      </c>
      <c r="BR242" s="27" t="n">
        <f aca="false">1/(1+V_Ke)^((65-1)/12)</f>
        <v>1</v>
      </c>
      <c r="BS242" s="27" t="n">
        <f aca="false">1/(1+V_Ke)^((66-1)/12)</f>
        <v>1</v>
      </c>
      <c r="BT242" s="27" t="n">
        <f aca="false">1/(1+V_Ke)^((67-1)/12)</f>
        <v>1</v>
      </c>
      <c r="BU242" s="27" t="n">
        <f aca="false">1/(1+V_Ke)^((68-1)/12)</f>
        <v>1</v>
      </c>
      <c r="BV242" s="27" t="n">
        <f aca="false">1/(1+V_Ke)^((69-1)/12)</f>
        <v>1</v>
      </c>
      <c r="BW242" s="27" t="n">
        <f aca="false">1/(1+V_Ke)^((70-1)/12)</f>
        <v>1</v>
      </c>
      <c r="BX242" s="27" t="n">
        <f aca="false">1/(1+V_Ke)^((71-1)/12)</f>
        <v>1</v>
      </c>
      <c r="BY242" s="27" t="n">
        <f aca="false">1/(1+V_Ke)^((72-1)/12)</f>
        <v>1</v>
      </c>
      <c r="BZ242" s="27" t="n">
        <f aca="false">1/(1+V_Ke)^((73-1)/12)</f>
        <v>1</v>
      </c>
      <c r="CA242" s="27" t="n">
        <f aca="false">1/(1+V_Ke)^((74-1)/12)</f>
        <v>1</v>
      </c>
      <c r="CB242" s="27" t="n">
        <f aca="false">1/(1+V_Ke)^((75-1)/12)</f>
        <v>1</v>
      </c>
      <c r="CC242" s="27" t="n">
        <f aca="false">1/(1+V_Ke)^((76-1)/12)</f>
        <v>1</v>
      </c>
      <c r="CD242" s="27" t="n">
        <f aca="false">1/(1+V_Ke)^((77-1)/12)</f>
        <v>1</v>
      </c>
      <c r="CE242" s="27" t="n">
        <f aca="false">1/(1+V_Ke)^((78-1)/12)</f>
        <v>1</v>
      </c>
      <c r="CF242" s="27" t="n">
        <f aca="false">1/(1+V_Ke)^((79-1)/12)</f>
        <v>1</v>
      </c>
      <c r="CG242" s="27" t="n">
        <f aca="false">1/(1+V_Ke)^((80-1)/12)</f>
        <v>1</v>
      </c>
      <c r="CH242" s="27" t="n">
        <f aca="false">1/(1+V_Ke)^((81-1)/12)</f>
        <v>1</v>
      </c>
      <c r="CI242" s="27" t="n">
        <f aca="false">1/(1+V_Ke)^((82-1)/12)</f>
        <v>1</v>
      </c>
      <c r="CJ242" s="27" t="n">
        <f aca="false">1/(1+V_Ke)^((83-1)/12)</f>
        <v>1</v>
      </c>
      <c r="CK242" s="27" t="n">
        <f aca="false">1/(1+V_Ke)^((84-1)/12)</f>
        <v>1</v>
      </c>
      <c r="CL242" s="27" t="n">
        <f aca="false">1/(1+V_Ke)^((85-1)/12)</f>
        <v>1</v>
      </c>
      <c r="CM242" s="27" t="n">
        <f aca="false">1/(1+V_Ke)^((86-1)/12)</f>
        <v>1</v>
      </c>
      <c r="CN242" s="27" t="n">
        <f aca="false">1/(1+V_Ke)^((87-1)/12)</f>
        <v>1</v>
      </c>
      <c r="CO242" s="27" t="n">
        <f aca="false">1/(1+V_Ke)^((88-1)/12)</f>
        <v>1</v>
      </c>
      <c r="CP242" s="27" t="n">
        <f aca="false">1/(1+V_Ke)^((89-1)/12)</f>
        <v>1</v>
      </c>
      <c r="CQ242" s="27" t="n">
        <f aca="false">1/(1+V_Ke)^((90-1)/12)</f>
        <v>1</v>
      </c>
      <c r="CR242" s="27" t="n">
        <f aca="false">1/(1+V_Ke)^((91-1)/12)</f>
        <v>1</v>
      </c>
      <c r="CS242" s="27" t="n">
        <f aca="false">1/(1+V_Ke)^((92-1)/12)</f>
        <v>1</v>
      </c>
      <c r="CT242" s="27" t="n">
        <f aca="false">1/(1+V_Ke)^((93-1)/12)</f>
        <v>1</v>
      </c>
      <c r="CU242" s="27" t="n">
        <f aca="false">1/(1+V_Ke)^((94-1)/12)</f>
        <v>1</v>
      </c>
      <c r="CV242" s="27" t="n">
        <f aca="false">1/(1+V_Ke)^((95-1)/12)</f>
        <v>1</v>
      </c>
      <c r="CW242" s="27" t="n">
        <f aca="false">1/(1+V_Ke)^((96-1)/12)</f>
        <v>1</v>
      </c>
      <c r="CX242" s="27" t="n">
        <f aca="false">1/(1+V_Ke)^((97-1)/12)</f>
        <v>1</v>
      </c>
      <c r="CY242" s="27" t="n">
        <f aca="false">1/(1+V_Ke)^((98-1)/12)</f>
        <v>1</v>
      </c>
      <c r="CZ242" s="27" t="n">
        <f aca="false">1/(1+V_Ke)^((99-1)/12)</f>
        <v>1</v>
      </c>
      <c r="DA242" s="27" t="n">
        <f aca="false">1/(1+V_Ke)^((100-1)/12)</f>
        <v>1</v>
      </c>
      <c r="DB242" s="27" t="n">
        <f aca="false">1/(1+V_Ke)^((101-1)/12)</f>
        <v>1</v>
      </c>
      <c r="DC242" s="27" t="n">
        <f aca="false">1/(1+V_Ke)^((102-1)/12)</f>
        <v>1</v>
      </c>
      <c r="DD242" s="27" t="n">
        <f aca="false">1/(1+V_Ke)^((103-1)/12)</f>
        <v>1</v>
      </c>
      <c r="DE242" s="27" t="n">
        <f aca="false">1/(1+V_Ke)^((104-1)/12)</f>
        <v>1</v>
      </c>
      <c r="DF242" s="27" t="n">
        <f aca="false">1/(1+V_Ke)^((105-1)/12)</f>
        <v>1</v>
      </c>
      <c r="DG242" s="27" t="n">
        <f aca="false">1/(1+V_Ke)^((106-1)/12)</f>
        <v>1</v>
      </c>
      <c r="DH242" s="27" t="n">
        <f aca="false">1/(1+V_Ke)^((107-1)/12)</f>
        <v>1</v>
      </c>
      <c r="DI242" s="27" t="n">
        <f aca="false">1/(1+V_Ke)^((108-1)/12)</f>
        <v>1</v>
      </c>
      <c r="DJ242" s="27" t="n">
        <f aca="false">1/(1+V_Ke)^((109-1)/12)</f>
        <v>1</v>
      </c>
      <c r="DK242" s="27" t="n">
        <f aca="false">1/(1+V_Ke)^((110-1)/12)</f>
        <v>1</v>
      </c>
      <c r="DL242" s="27" t="n">
        <f aca="false">1/(1+V_Ke)^((111-1)/12)</f>
        <v>1</v>
      </c>
      <c r="DM242" s="27" t="n">
        <f aca="false">1/(1+V_Ke)^((112-1)/12)</f>
        <v>1</v>
      </c>
      <c r="DN242" s="27" t="n">
        <f aca="false">1/(1+V_Ke)^((113-1)/12)</f>
        <v>1</v>
      </c>
      <c r="DO242" s="27" t="n">
        <f aca="false">1/(1+V_Ke)^((114-1)/12)</f>
        <v>1</v>
      </c>
      <c r="DP242" s="27" t="n">
        <f aca="false">1/(1+V_Ke)^((115-1)/12)</f>
        <v>1</v>
      </c>
      <c r="DQ242" s="27" t="n">
        <f aca="false">1/(1+V_Ke)^((116-1)/12)</f>
        <v>1</v>
      </c>
      <c r="DR242" s="27" t="n">
        <f aca="false">1/(1+V_Ke)^((117-1)/12)</f>
        <v>1</v>
      </c>
      <c r="DS242" s="27" t="n">
        <f aca="false">1/(1+V_Ke)^((118-1)/12)</f>
        <v>1</v>
      </c>
      <c r="DT242" s="27" t="n">
        <f aca="false">1/(1+V_Ke)^((119-1)/12)</f>
        <v>1</v>
      </c>
      <c r="DU242" s="27" t="n">
        <f aca="false">1/(1+V_Ke)^((120-1)/12)</f>
        <v>1</v>
      </c>
      <c r="DV242" s="27" t="n">
        <f aca="false">1/(1+V_Ke)^((121-1)/12)</f>
        <v>1</v>
      </c>
      <c r="DW242" s="27" t="n">
        <f aca="false">1/(1+V_Ke)^((122-1)/12)</f>
        <v>1</v>
      </c>
      <c r="DX242" s="27" t="n">
        <f aca="false">1/(1+V_Ke)^((123-1)/12)</f>
        <v>1</v>
      </c>
      <c r="DY242" s="27" t="n">
        <f aca="false">1/(1+V_Ke)^((124-1)/12)</f>
        <v>1</v>
      </c>
      <c r="DZ242" s="27" t="n">
        <f aca="false">1/(1+V_Ke)^((125-1)/12)</f>
        <v>1</v>
      </c>
      <c r="EA242" s="27" t="n">
        <f aca="false">1/(1+V_Ke)^((126-1)/12)</f>
        <v>1</v>
      </c>
      <c r="EB242" s="27" t="n">
        <f aca="false">1/(1+V_Ke)^((127-1)/12)</f>
        <v>1</v>
      </c>
      <c r="EC242" s="27" t="n">
        <f aca="false">1/(1+V_Ke)^((128-1)/12)</f>
        <v>1</v>
      </c>
      <c r="ED242" s="27" t="n">
        <f aca="false">1/(1+V_Ke)^((129-1)/12)</f>
        <v>1</v>
      </c>
      <c r="EE242" s="27" t="n">
        <f aca="false">1/(1+V_Ke)^((130-1)/12)</f>
        <v>1</v>
      </c>
      <c r="EF242" s="27" t="n">
        <f aca="false">1/(1+V_Ke)^((131-1)/12)</f>
        <v>1</v>
      </c>
      <c r="EG242" s="27" t="n">
        <f aca="false">1/(1+V_Ke)^((132-1)/12)</f>
        <v>1</v>
      </c>
      <c r="EH242" s="27" t="n">
        <f aca="false">1/(1+V_Ke)^((133-1)/12)</f>
        <v>1</v>
      </c>
      <c r="EI242" s="27" t="n">
        <f aca="false">1/(1+V_Ke)^((134-1)/12)</f>
        <v>1</v>
      </c>
      <c r="EJ242" s="27" t="n">
        <f aca="false">1/(1+V_Ke)^((135-1)/12)</f>
        <v>1</v>
      </c>
      <c r="EK242" s="27" t="n">
        <f aca="false">1/(1+V_Ke)^((136-1)/12)</f>
        <v>1</v>
      </c>
      <c r="EL242" s="27" t="n">
        <f aca="false">1/(1+V_Ke)^((137-1)/12)</f>
        <v>1</v>
      </c>
      <c r="EM242" s="27" t="n">
        <f aca="false">1/(1+V_Ke)^((138-1)/12)</f>
        <v>1</v>
      </c>
      <c r="EN242" s="27" t="n">
        <f aca="false">1/(1+V_Ke)^((139-1)/12)</f>
        <v>1</v>
      </c>
      <c r="EO242" s="27" t="n">
        <f aca="false">1/(1+V_Ke)^((140-1)/12)</f>
        <v>1</v>
      </c>
      <c r="EP242" s="27" t="n">
        <f aca="false">1/(1+V_Ke)^((141-1)/12)</f>
        <v>1</v>
      </c>
      <c r="EQ242" s="27" t="n">
        <f aca="false">1/(1+V_Ke)^((142-1)/12)</f>
        <v>1</v>
      </c>
      <c r="ER242" s="27" t="n">
        <f aca="false">1/(1+V_Ke)^((143-1)/12)</f>
        <v>1</v>
      </c>
      <c r="ES242" s="27" t="n">
        <f aca="false">1/(1+V_Ke)^((144-1)/12)</f>
        <v>1</v>
      </c>
    </row>
    <row r="243" customFormat="false" ht="15" hidden="false" customHeight="false" outlineLevel="0" collapsed="false">
      <c r="A243" s="2" t="s">
        <v>715</v>
      </c>
      <c r="B243" s="6" t="s">
        <v>603</v>
      </c>
      <c r="C243" s="6" t="s">
        <v>212</v>
      </c>
      <c r="E243" s="40" t="n">
        <f aca="false">SUM(F243:ES243)</f>
        <v>0</v>
      </c>
      <c r="F243" s="34" t="n">
        <f aca="false">-F$232+F$236+IF(1=Fin,F$237+F$212-F$231,0)</f>
        <v>0</v>
      </c>
      <c r="G243" s="34" t="n">
        <f aca="false">-G$232+G$236+IF(2=Fin,G$237+G$212-G$231,0)</f>
        <v>0</v>
      </c>
      <c r="H243" s="34" t="n">
        <f aca="false">-H$232+H$236+IF(3=Fin,H$237+H$212-H$231,0)</f>
        <v>0</v>
      </c>
      <c r="I243" s="34" t="n">
        <f aca="false">-I$232+I$236+IF(4=Fin,I$237+I$212-I$231,0)</f>
        <v>0</v>
      </c>
      <c r="J243" s="34" t="n">
        <f aca="false">-J$232+J$236+IF(5=Fin,J$237+J$212-J$231,0)</f>
        <v>0</v>
      </c>
      <c r="K243" s="34" t="n">
        <f aca="false">-K$232+K$236+IF(6=Fin,K$237+K$212-K$231,0)</f>
        <v>0</v>
      </c>
      <c r="L243" s="34" t="n">
        <f aca="false">-L$232+L$236+IF(7=Fin,L$237+L$212-L$231,0)</f>
        <v>0</v>
      </c>
      <c r="M243" s="34" t="n">
        <f aca="false">-M$232+M$236+IF(8=Fin,M$237+M$212-M$231,0)</f>
        <v>0</v>
      </c>
      <c r="N243" s="34" t="n">
        <f aca="false">-N$232+N$236+IF(9=Fin,N$237+N$212-N$231,0)</f>
        <v>0</v>
      </c>
      <c r="O243" s="34" t="n">
        <f aca="false">-O$232+O$236+IF(10=Fin,O$237+O$212-O$231,0)</f>
        <v>0</v>
      </c>
      <c r="P243" s="34" t="n">
        <f aca="false">-P$232+P$236+IF(11=Fin,P$237+P$212-P$231,0)</f>
        <v>0</v>
      </c>
      <c r="Q243" s="34" t="n">
        <f aca="false">-Q$232+Q$236+IF(12=Fin,Q$237+Q$212-Q$231,0)</f>
        <v>0</v>
      </c>
      <c r="R243" s="34" t="n">
        <f aca="false">-R$232+R$236+IF(13=Fin,R$237+R$212-R$231,0)</f>
        <v>0</v>
      </c>
      <c r="S243" s="34" t="n">
        <f aca="false">-S$232+S$236+IF(14=Fin,S$237+S$212-S$231,0)</f>
        <v>0</v>
      </c>
      <c r="T243" s="34" t="n">
        <f aca="false">-T$232+T$236+IF(15=Fin,T$237+T$212-T$231,0)</f>
        <v>0</v>
      </c>
      <c r="U243" s="34" t="n">
        <f aca="false">-U$232+U$236+IF(16=Fin,U$237+U$212-U$231,0)</f>
        <v>0</v>
      </c>
      <c r="V243" s="34" t="n">
        <f aca="false">-V$232+V$236+IF(17=Fin,V$237+V$212-V$231,0)</f>
        <v>0</v>
      </c>
      <c r="W243" s="34" t="n">
        <f aca="false">-W$232+W$236+IF(18=Fin,W$237+W$212-W$231,0)</f>
        <v>0</v>
      </c>
      <c r="X243" s="34" t="n">
        <f aca="false">-X$232+X$236+IF(19=Fin,X$237+X$212-X$231,0)</f>
        <v>0</v>
      </c>
      <c r="Y243" s="34" t="n">
        <f aca="false">-Y$232+Y$236+IF(20=Fin,Y$237+Y$212-Y$231,0)</f>
        <v>0</v>
      </c>
      <c r="Z243" s="34" t="n">
        <f aca="false">-Z$232+Z$236+IF(21=Fin,Z$237+Z$212-Z$231,0)</f>
        <v>0</v>
      </c>
      <c r="AA243" s="34" t="n">
        <f aca="false">-AA$232+AA$236+IF(22=Fin,AA$237+AA$212-AA$231,0)</f>
        <v>0</v>
      </c>
      <c r="AB243" s="34" t="n">
        <f aca="false">-AB$232+AB$236+IF(23=Fin,AB$237+AB$212-AB$231,0)</f>
        <v>0</v>
      </c>
      <c r="AC243" s="34" t="n">
        <f aca="false">-AC$232+AC$236+IF(24=Fin,AC$237+AC$212-AC$231,0)</f>
        <v>0</v>
      </c>
      <c r="AD243" s="34" t="n">
        <f aca="false">-AD$232+AD$236+IF(25=Fin,AD$237+AD$212-AD$231,0)</f>
        <v>0</v>
      </c>
      <c r="AE243" s="34" t="n">
        <f aca="false">-AE$232+AE$236+IF(26=Fin,AE$237+AE$212-AE$231,0)</f>
        <v>0</v>
      </c>
      <c r="AF243" s="34" t="n">
        <f aca="false">-AF$232+AF$236+IF(27=Fin,AF$237+AF$212-AF$231,0)</f>
        <v>0</v>
      </c>
      <c r="AG243" s="34" t="n">
        <f aca="false">-AG$232+AG$236+IF(28=Fin,AG$237+AG$212-AG$231,0)</f>
        <v>0</v>
      </c>
      <c r="AH243" s="34" t="n">
        <f aca="false">-AH$232+AH$236+IF(29=Fin,AH$237+AH$212-AH$231,0)</f>
        <v>0</v>
      </c>
      <c r="AI243" s="34" t="n">
        <f aca="false">-AI$232+AI$236+IF(30=Fin,AI$237+AI$212-AI$231,0)</f>
        <v>0</v>
      </c>
      <c r="AJ243" s="34" t="n">
        <f aca="false">-AJ$232+AJ$236+IF(31=Fin,AJ$237+AJ$212-AJ$231,0)</f>
        <v>0</v>
      </c>
      <c r="AK243" s="34" t="n">
        <f aca="false">-AK$232+AK$236+IF(32=Fin,AK$237+AK$212-AK$231,0)</f>
        <v>0</v>
      </c>
      <c r="AL243" s="34" t="n">
        <f aca="false">-AL$232+AL$236+IF(33=Fin,AL$237+AL$212-AL$231,0)</f>
        <v>0</v>
      </c>
      <c r="AM243" s="34" t="n">
        <f aca="false">-AM$232+AM$236+IF(34=Fin,AM$237+AM$212-AM$231,0)</f>
        <v>0</v>
      </c>
      <c r="AN243" s="34" t="n">
        <f aca="false">-AN$232+AN$236+IF(35=Fin,AN$237+AN$212-AN$231,0)</f>
        <v>0</v>
      </c>
      <c r="AO243" s="34" t="n">
        <f aca="false">-AO$232+AO$236+IF(36=Fin,AO$237+AO$212-AO$231,0)</f>
        <v>0</v>
      </c>
      <c r="AP243" s="34" t="n">
        <f aca="false">-AP$232+AP$236+IF(37=Fin,AP$237+AP$212-AP$231,0)</f>
        <v>0</v>
      </c>
      <c r="AQ243" s="34" t="n">
        <f aca="false">-AQ$232+AQ$236+IF(38=Fin,AQ$237+AQ$212-AQ$231,0)</f>
        <v>0</v>
      </c>
      <c r="AR243" s="34" t="n">
        <f aca="false">-AR$232+AR$236+IF(39=Fin,AR$237+AR$212-AR$231,0)</f>
        <v>0</v>
      </c>
      <c r="AS243" s="34" t="n">
        <f aca="false">-AS$232+AS$236+IF(40=Fin,AS$237+AS$212-AS$231,0)</f>
        <v>0</v>
      </c>
      <c r="AT243" s="34" t="n">
        <f aca="false">-AT$232+AT$236+IF(41=Fin,AT$237+AT$212-AT$231,0)</f>
        <v>0</v>
      </c>
      <c r="AU243" s="34" t="n">
        <f aca="false">-AU$232+AU$236+IF(42=Fin,AU$237+AU$212-AU$231,0)</f>
        <v>0</v>
      </c>
      <c r="AV243" s="34" t="n">
        <f aca="false">-AV$232+AV$236+IF(43=Fin,AV$237+AV$212-AV$231,0)</f>
        <v>0</v>
      </c>
      <c r="AW243" s="34" t="n">
        <f aca="false">-AW$232+AW$236+IF(44=Fin,AW$237+AW$212-AW$231,0)</f>
        <v>0</v>
      </c>
      <c r="AX243" s="34" t="n">
        <f aca="false">-AX$232+AX$236+IF(45=Fin,AX$237+AX$212-AX$231,0)</f>
        <v>0</v>
      </c>
      <c r="AY243" s="34" t="n">
        <f aca="false">-AY$232+AY$236+IF(46=Fin,AY$237+AY$212-AY$231,0)</f>
        <v>0</v>
      </c>
      <c r="AZ243" s="34" t="n">
        <f aca="false">-AZ$232+AZ$236+IF(47=Fin,AZ$237+AZ$212-AZ$231,0)</f>
        <v>0</v>
      </c>
      <c r="BA243" s="34" t="n">
        <f aca="false">-BA$232+BA$236+IF(48=Fin,BA$237+BA$212-BA$231,0)</f>
        <v>0</v>
      </c>
      <c r="BB243" s="34" t="n">
        <f aca="false">-BB$232+BB$236+IF(49=Fin,BB$237+BB$212-BB$231,0)</f>
        <v>0</v>
      </c>
      <c r="BC243" s="34" t="n">
        <f aca="false">-BC$232+BC$236+IF(50=Fin,BC$237+BC$212-BC$231,0)</f>
        <v>0</v>
      </c>
      <c r="BD243" s="34" t="n">
        <f aca="false">-BD$232+BD$236+IF(51=Fin,BD$237+BD$212-BD$231,0)</f>
        <v>0</v>
      </c>
      <c r="BE243" s="34" t="n">
        <f aca="false">-BE$232+BE$236+IF(52=Fin,BE$237+BE$212-BE$231,0)</f>
        <v>0</v>
      </c>
      <c r="BF243" s="34" t="n">
        <f aca="false">-BF$232+BF$236+IF(53=Fin,BF$237+BF$212-BF$231,0)</f>
        <v>0</v>
      </c>
      <c r="BG243" s="34" t="n">
        <f aca="false">-BG$232+BG$236+IF(54=Fin,BG$237+BG$212-BG$231,0)</f>
        <v>0</v>
      </c>
      <c r="BH243" s="34" t="n">
        <f aca="false">-BH$232+BH$236+IF(55=Fin,BH$237+BH$212-BH$231,0)</f>
        <v>0</v>
      </c>
      <c r="BI243" s="34" t="n">
        <f aca="false">-BI$232+BI$236+IF(56=Fin,BI$237+BI$212-BI$231,0)</f>
        <v>0</v>
      </c>
      <c r="BJ243" s="34" t="n">
        <f aca="false">-BJ$232+BJ$236+IF(57=Fin,BJ$237+BJ$212-BJ$231,0)</f>
        <v>0</v>
      </c>
      <c r="BK243" s="34" t="n">
        <f aca="false">-BK$232+BK$236+IF(58=Fin,BK$237+BK$212-BK$231,0)</f>
        <v>0</v>
      </c>
      <c r="BL243" s="34" t="n">
        <f aca="false">-BL$232+BL$236+IF(59=Fin,BL$237+BL$212-BL$231,0)</f>
        <v>0</v>
      </c>
      <c r="BM243" s="34" t="n">
        <f aca="false">-BM$232+BM$236+IF(60=Fin,BM$237+BM$212-BM$231,0)</f>
        <v>0</v>
      </c>
      <c r="BN243" s="34" t="n">
        <f aca="false">-BN$232+BN$236+IF(61=Fin,BN$237+BN$212-BN$231,0)</f>
        <v>0</v>
      </c>
      <c r="BO243" s="34" t="n">
        <f aca="false">-BO$232+BO$236+IF(62=Fin,BO$237+BO$212-BO$231,0)</f>
        <v>0</v>
      </c>
      <c r="BP243" s="34" t="n">
        <f aca="false">-BP$232+BP$236+IF(63=Fin,BP$237+BP$212-BP$231,0)</f>
        <v>0</v>
      </c>
      <c r="BQ243" s="34" t="n">
        <f aca="false">-BQ$232+BQ$236+IF(64=Fin,BQ$237+BQ$212-BQ$231,0)</f>
        <v>0</v>
      </c>
      <c r="BR243" s="34" t="n">
        <f aca="false">-BR$232+BR$236+IF(65=Fin,BR$237+BR$212-BR$231,0)</f>
        <v>0</v>
      </c>
      <c r="BS243" s="34" t="n">
        <f aca="false">-BS$232+BS$236+IF(66=Fin,BS$237+BS$212-BS$231,0)</f>
        <v>0</v>
      </c>
      <c r="BT243" s="34" t="n">
        <f aca="false">-BT$232+BT$236+IF(67=Fin,BT$237+BT$212-BT$231,0)</f>
        <v>0</v>
      </c>
      <c r="BU243" s="34" t="n">
        <f aca="false">-BU$232+BU$236+IF(68=Fin,BU$237+BU$212-BU$231,0)</f>
        <v>0</v>
      </c>
      <c r="BV243" s="34" t="n">
        <f aca="false">-BV$232+BV$236+IF(69=Fin,BV$237+BV$212-BV$231,0)</f>
        <v>0</v>
      </c>
      <c r="BW243" s="34" t="n">
        <f aca="false">-BW$232+BW$236+IF(70=Fin,BW$237+BW$212-BW$231,0)</f>
        <v>0</v>
      </c>
      <c r="BX243" s="34" t="n">
        <f aca="false">-BX$232+BX$236+IF(71=Fin,BX$237+BX$212-BX$231,0)</f>
        <v>0</v>
      </c>
      <c r="BY243" s="34" t="n">
        <f aca="false">-BY$232+BY$236+IF(72=Fin,BY$237+BY$212-BY$231,0)</f>
        <v>0</v>
      </c>
      <c r="BZ243" s="34" t="n">
        <f aca="false">-BZ$232+BZ$236+IF(73=Fin,BZ$237+BZ$212-BZ$231,0)</f>
        <v>0</v>
      </c>
      <c r="CA243" s="34" t="n">
        <f aca="false">-CA$232+CA$236+IF(74=Fin,CA$237+CA$212-CA$231,0)</f>
        <v>0</v>
      </c>
      <c r="CB243" s="34" t="n">
        <f aca="false">-CB$232+CB$236+IF(75=Fin,CB$237+CB$212-CB$231,0)</f>
        <v>0</v>
      </c>
      <c r="CC243" s="34" t="n">
        <f aca="false">-CC$232+CC$236+IF(76=Fin,CC$237+CC$212-CC$231,0)</f>
        <v>0</v>
      </c>
      <c r="CD243" s="34" t="n">
        <f aca="false">-CD$232+CD$236+IF(77=Fin,CD$237+CD$212-CD$231,0)</f>
        <v>0</v>
      </c>
      <c r="CE243" s="34" t="n">
        <f aca="false">-CE$232+CE$236+IF(78=Fin,CE$237+CE$212-CE$231,0)</f>
        <v>0</v>
      </c>
      <c r="CF243" s="34" t="n">
        <f aca="false">-CF$232+CF$236+IF(79=Fin,CF$237+CF$212-CF$231,0)</f>
        <v>0</v>
      </c>
      <c r="CG243" s="34" t="n">
        <f aca="false">-CG$232+CG$236+IF(80=Fin,CG$237+CG$212-CG$231,0)</f>
        <v>0</v>
      </c>
      <c r="CH243" s="34" t="n">
        <f aca="false">-CH$232+CH$236+IF(81=Fin,CH$237+CH$212-CH$231,0)</f>
        <v>0</v>
      </c>
      <c r="CI243" s="34" t="n">
        <f aca="false">-CI$232+CI$236+IF(82=Fin,CI$237+CI$212-CI$231,0)</f>
        <v>0</v>
      </c>
      <c r="CJ243" s="34" t="n">
        <f aca="false">-CJ$232+CJ$236+IF(83=Fin,CJ$237+CJ$212-CJ$231,0)</f>
        <v>0</v>
      </c>
      <c r="CK243" s="34" t="n">
        <f aca="false">-CK$232+CK$236+IF(84=Fin,CK$237+CK$212-CK$231,0)</f>
        <v>0</v>
      </c>
      <c r="CL243" s="34" t="n">
        <f aca="false">-CL$232+CL$236+IF(85=Fin,CL$237+CL$212-CL$231,0)</f>
        <v>0</v>
      </c>
      <c r="CM243" s="34" t="n">
        <f aca="false">-CM$232+CM$236+IF(86=Fin,CM$237+CM$212-CM$231,0)</f>
        <v>0</v>
      </c>
      <c r="CN243" s="34" t="n">
        <f aca="false">-CN$232+CN$236+IF(87=Fin,CN$237+CN$212-CN$231,0)</f>
        <v>0</v>
      </c>
      <c r="CO243" s="34" t="n">
        <f aca="false">-CO$232+CO$236+IF(88=Fin,CO$237+CO$212-CO$231,0)</f>
        <v>0</v>
      </c>
      <c r="CP243" s="34" t="n">
        <f aca="false">-CP$232+CP$236+IF(89=Fin,CP$237+CP$212-CP$231,0)</f>
        <v>0</v>
      </c>
      <c r="CQ243" s="34" t="n">
        <f aca="false">-CQ$232+CQ$236+IF(90=Fin,CQ$237+CQ$212-CQ$231,0)</f>
        <v>0</v>
      </c>
      <c r="CR243" s="34" t="n">
        <f aca="false">-CR$232+CR$236+IF(91=Fin,CR$237+CR$212-CR$231,0)</f>
        <v>0</v>
      </c>
      <c r="CS243" s="34" t="n">
        <f aca="false">-CS$232+CS$236+IF(92=Fin,CS$237+CS$212-CS$231,0)</f>
        <v>0</v>
      </c>
      <c r="CT243" s="34" t="n">
        <f aca="false">-CT$232+CT$236+IF(93=Fin,CT$237+CT$212-CT$231,0)</f>
        <v>0</v>
      </c>
      <c r="CU243" s="34" t="n">
        <f aca="false">-CU$232+CU$236+IF(94=Fin,CU$237+CU$212-CU$231,0)</f>
        <v>0</v>
      </c>
      <c r="CV243" s="34" t="n">
        <f aca="false">-CV$232+CV$236+IF(95=Fin,CV$237+CV$212-CV$231,0)</f>
        <v>0</v>
      </c>
      <c r="CW243" s="34" t="n">
        <f aca="false">-CW$232+CW$236+IF(96=Fin,CW$237+CW$212-CW$231,0)</f>
        <v>0</v>
      </c>
      <c r="CX243" s="34" t="n">
        <f aca="false">-CX$232+CX$236+IF(97=Fin,CX$237+CX$212-CX$231,0)</f>
        <v>0</v>
      </c>
      <c r="CY243" s="34" t="n">
        <f aca="false">-CY$232+CY$236+IF(98=Fin,CY$237+CY$212-CY$231,0)</f>
        <v>0</v>
      </c>
      <c r="CZ243" s="34" t="n">
        <f aca="false">-CZ$232+CZ$236+IF(99=Fin,CZ$237+CZ$212-CZ$231,0)</f>
        <v>0</v>
      </c>
      <c r="DA243" s="34" t="n">
        <f aca="false">-DA$232+DA$236+IF(100=Fin,DA$237+DA$212-DA$231,0)</f>
        <v>0</v>
      </c>
      <c r="DB243" s="34" t="n">
        <f aca="false">-DB$232+DB$236+IF(101=Fin,DB$237+DB$212-DB$231,0)</f>
        <v>0</v>
      </c>
      <c r="DC243" s="34" t="n">
        <f aca="false">-DC$232+DC$236+IF(102=Fin,DC$237+DC$212-DC$231,0)</f>
        <v>0</v>
      </c>
      <c r="DD243" s="34" t="n">
        <f aca="false">-DD$232+DD$236+IF(103=Fin,DD$237+DD$212-DD$231,0)</f>
        <v>0</v>
      </c>
      <c r="DE243" s="34" t="n">
        <f aca="false">-DE$232+DE$236+IF(104=Fin,DE$237+DE$212-DE$231,0)</f>
        <v>0</v>
      </c>
      <c r="DF243" s="34" t="n">
        <f aca="false">-DF$232+DF$236+IF(105=Fin,DF$237+DF$212-DF$231,0)</f>
        <v>0</v>
      </c>
      <c r="DG243" s="34" t="n">
        <f aca="false">-DG$232+DG$236+IF(106=Fin,DG$237+DG$212-DG$231,0)</f>
        <v>0</v>
      </c>
      <c r="DH243" s="34" t="n">
        <f aca="false">-DH$232+DH$236+IF(107=Fin,DH$237+DH$212-DH$231,0)</f>
        <v>0</v>
      </c>
      <c r="DI243" s="34" t="n">
        <f aca="false">-DI$232+DI$236+IF(108=Fin,DI$237+DI$212-DI$231,0)</f>
        <v>0</v>
      </c>
      <c r="DJ243" s="34" t="n">
        <f aca="false">-DJ$232+DJ$236+IF(109=Fin,DJ$237+DJ$212-DJ$231,0)</f>
        <v>0</v>
      </c>
      <c r="DK243" s="34" t="n">
        <f aca="false">-DK$232+DK$236+IF(110=Fin,DK$237+DK$212-DK$231,0)</f>
        <v>0</v>
      </c>
      <c r="DL243" s="34" t="n">
        <f aca="false">-DL$232+DL$236+IF(111=Fin,DL$237+DL$212-DL$231,0)</f>
        <v>0</v>
      </c>
      <c r="DM243" s="34" t="n">
        <f aca="false">-DM$232+DM$236+IF(112=Fin,DM$237+DM$212-DM$231,0)</f>
        <v>0</v>
      </c>
      <c r="DN243" s="34" t="n">
        <f aca="false">-DN$232+DN$236+IF(113=Fin,DN$237+DN$212-DN$231,0)</f>
        <v>0</v>
      </c>
      <c r="DO243" s="34" t="n">
        <f aca="false">-DO$232+DO$236+IF(114=Fin,DO$237+DO$212-DO$231,0)</f>
        <v>0</v>
      </c>
      <c r="DP243" s="34" t="n">
        <f aca="false">-DP$232+DP$236+IF(115=Fin,DP$237+DP$212-DP$231,0)</f>
        <v>0</v>
      </c>
      <c r="DQ243" s="34" t="n">
        <f aca="false">-DQ$232+DQ$236+IF(116=Fin,DQ$237+DQ$212-DQ$231,0)</f>
        <v>0</v>
      </c>
      <c r="DR243" s="34" t="n">
        <f aca="false">-DR$232+DR$236+IF(117=Fin,DR$237+DR$212-DR$231,0)</f>
        <v>0</v>
      </c>
      <c r="DS243" s="34" t="n">
        <f aca="false">-DS$232+DS$236+IF(118=Fin,DS$237+DS$212-DS$231,0)</f>
        <v>0</v>
      </c>
      <c r="DT243" s="34" t="n">
        <f aca="false">-DT$232+DT$236+IF(119=Fin,DT$237+DT$212-DT$231,0)</f>
        <v>0</v>
      </c>
      <c r="DU243" s="34" t="n">
        <f aca="false">-DU$232+DU$236+IF(120=Fin,DU$237+DU$212-DU$231,0)</f>
        <v>0</v>
      </c>
      <c r="DV243" s="34" t="n">
        <f aca="false">-DV$232+DV$236+IF(121=Fin,DV$237+DV$212-DV$231,0)</f>
        <v>0</v>
      </c>
      <c r="DW243" s="34" t="n">
        <f aca="false">-DW$232+DW$236+IF(122=Fin,DW$237+DW$212-DW$231,0)</f>
        <v>0</v>
      </c>
      <c r="DX243" s="34" t="n">
        <f aca="false">-DX$232+DX$236+IF(123=Fin,DX$237+DX$212-DX$231,0)</f>
        <v>0</v>
      </c>
      <c r="DY243" s="34" t="n">
        <f aca="false">-DY$232+DY$236+IF(124=Fin,DY$237+DY$212-DY$231,0)</f>
        <v>0</v>
      </c>
      <c r="DZ243" s="34" t="n">
        <f aca="false">-DZ$232+DZ$236+IF(125=Fin,DZ$237+DZ$212-DZ$231,0)</f>
        <v>0</v>
      </c>
      <c r="EA243" s="34" t="n">
        <f aca="false">-EA$232+EA$236+IF(126=Fin,EA$237+EA$212-EA$231,0)</f>
        <v>0</v>
      </c>
      <c r="EB243" s="34" t="n">
        <f aca="false">-EB$232+EB$236+IF(127=Fin,EB$237+EB$212-EB$231,0)</f>
        <v>0</v>
      </c>
      <c r="EC243" s="34" t="n">
        <f aca="false">-EC$232+EC$236+IF(128=Fin,EC$237+EC$212-EC$231,0)</f>
        <v>0</v>
      </c>
      <c r="ED243" s="34" t="n">
        <f aca="false">-ED$232+ED$236+IF(129=Fin,ED$237+ED$212-ED$231,0)</f>
        <v>0</v>
      </c>
      <c r="EE243" s="34" t="n">
        <f aca="false">-EE$232+EE$236+IF(130=Fin,EE$237+EE$212-EE$231,0)</f>
        <v>0</v>
      </c>
      <c r="EF243" s="34" t="n">
        <f aca="false">-EF$232+EF$236+IF(131=Fin,EF$237+EF$212-EF$231,0)</f>
        <v>0</v>
      </c>
      <c r="EG243" s="34" t="n">
        <f aca="false">-EG$232+EG$236+IF(132=Fin,EG$237+EG$212-EG$231,0)</f>
        <v>0</v>
      </c>
      <c r="EH243" s="34" t="n">
        <f aca="false">-EH$232+EH$236+IF(133=Fin,EH$237+EH$212-EH$231,0)</f>
        <v>0</v>
      </c>
      <c r="EI243" s="34" t="n">
        <f aca="false">-EI$232+EI$236+IF(134=Fin,EI$237+EI$212-EI$231,0)</f>
        <v>0</v>
      </c>
      <c r="EJ243" s="34" t="n">
        <f aca="false">-EJ$232+EJ$236+IF(135=Fin,EJ$237+EJ$212-EJ$231,0)</f>
        <v>0</v>
      </c>
      <c r="EK243" s="34" t="n">
        <f aca="false">-EK$232+EK$236+IF(136=Fin,EK$237+EK$212-EK$231,0)</f>
        <v>0</v>
      </c>
      <c r="EL243" s="34" t="n">
        <f aca="false">-EL$232+EL$236+IF(137=Fin,EL$237+EL$212-EL$231,0)</f>
        <v>0</v>
      </c>
      <c r="EM243" s="34" t="n">
        <f aca="false">-EM$232+EM$236+IF(138=Fin,EM$237+EM$212-EM$231,0)</f>
        <v>0</v>
      </c>
      <c r="EN243" s="34" t="n">
        <f aca="false">-EN$232+EN$236+IF(139=Fin,EN$237+EN$212-EN$231,0)</f>
        <v>0</v>
      </c>
      <c r="EO243" s="34" t="n">
        <f aca="false">-EO$232+EO$236+IF(140=Fin,EO$237+EO$212-EO$231,0)</f>
        <v>0</v>
      </c>
      <c r="EP243" s="34" t="n">
        <f aca="false">-EP$232+EP$236+IF(141=Fin,EP$237+EP$212-EP$231,0)</f>
        <v>0</v>
      </c>
      <c r="EQ243" s="34" t="n">
        <f aca="false">-EQ$232+EQ$236+IF(142=Fin,EQ$237+EQ$212-EQ$231,0)</f>
        <v>0</v>
      </c>
      <c r="ER243" s="34" t="n">
        <f aca="false">-ER$232+ER$236+IF(143=Fin,ER$237+ER$212-ER$231,0)</f>
        <v>0</v>
      </c>
      <c r="ES243" s="34" t="n">
        <f aca="false">-ES$232+ES$236+IF(144=Fin,ES$237+ES$212-ES$231,0)</f>
        <v>0</v>
      </c>
    </row>
    <row r="244" customFormat="false" ht="15" hidden="false" customHeight="false" outlineLevel="0" collapsed="false">
      <c r="A244" s="2" t="s">
        <v>716</v>
      </c>
      <c r="B244" s="6" t="s">
        <v>605</v>
      </c>
      <c r="C244" s="6" t="s">
        <v>212</v>
      </c>
      <c r="E244" s="40" t="n">
        <f aca="false">INDEX(F244:ES244,1,MIN(144,Fin))</f>
        <v>0</v>
      </c>
      <c r="F244" s="34" t="n">
        <f aca="false">0+F$213</f>
        <v>0</v>
      </c>
      <c r="G244" s="34" t="n">
        <f aca="false">F$244+G$213</f>
        <v>0</v>
      </c>
      <c r="H244" s="34" t="n">
        <f aca="false">G$244+H$213</f>
        <v>0</v>
      </c>
      <c r="I244" s="34" t="n">
        <f aca="false">H$244+I$213</f>
        <v>0</v>
      </c>
      <c r="J244" s="34" t="n">
        <f aca="false">I$244+J$213</f>
        <v>0</v>
      </c>
      <c r="K244" s="34" t="n">
        <f aca="false">J$244+K$213</f>
        <v>0</v>
      </c>
      <c r="L244" s="34" t="n">
        <f aca="false">K$244+L$213</f>
        <v>0</v>
      </c>
      <c r="M244" s="34" t="n">
        <f aca="false">L$244+M$213</f>
        <v>0</v>
      </c>
      <c r="N244" s="34" t="n">
        <f aca="false">M$244+N$213</f>
        <v>0</v>
      </c>
      <c r="O244" s="34" t="n">
        <f aca="false">N$244+O$213</f>
        <v>0</v>
      </c>
      <c r="P244" s="34" t="n">
        <f aca="false">O$244+P$213</f>
        <v>0</v>
      </c>
      <c r="Q244" s="34" t="n">
        <f aca="false">P$244+Q$213</f>
        <v>0</v>
      </c>
      <c r="R244" s="34" t="n">
        <f aca="false">Q$244+R$213</f>
        <v>0</v>
      </c>
      <c r="S244" s="34" t="n">
        <f aca="false">R$244+S$213</f>
        <v>0</v>
      </c>
      <c r="T244" s="34" t="n">
        <f aca="false">S$244+T$213</f>
        <v>0</v>
      </c>
      <c r="U244" s="34" t="n">
        <f aca="false">T$244+U$213</f>
        <v>0</v>
      </c>
      <c r="V244" s="34" t="n">
        <f aca="false">U$244+V$213</f>
        <v>0</v>
      </c>
      <c r="W244" s="34" t="n">
        <f aca="false">V$244+W$213</f>
        <v>0</v>
      </c>
      <c r="X244" s="34" t="n">
        <f aca="false">W$244+X$213</f>
        <v>0</v>
      </c>
      <c r="Y244" s="34" t="n">
        <f aca="false">X$244+Y$213</f>
        <v>0</v>
      </c>
      <c r="Z244" s="34" t="n">
        <f aca="false">Y$244+Z$213</f>
        <v>0</v>
      </c>
      <c r="AA244" s="34" t="n">
        <f aca="false">Z$244+AA$213</f>
        <v>0</v>
      </c>
      <c r="AB244" s="34" t="n">
        <f aca="false">AA$244+AB$213</f>
        <v>0</v>
      </c>
      <c r="AC244" s="34" t="n">
        <f aca="false">AB$244+AC$213</f>
        <v>0</v>
      </c>
      <c r="AD244" s="34" t="n">
        <f aca="false">AC$244+AD$213</f>
        <v>0</v>
      </c>
      <c r="AE244" s="34" t="n">
        <f aca="false">AD$244+AE$213</f>
        <v>0</v>
      </c>
      <c r="AF244" s="34" t="n">
        <f aca="false">AE$244+AF$213</f>
        <v>0</v>
      </c>
      <c r="AG244" s="34" t="n">
        <f aca="false">AF$244+AG$213</f>
        <v>0</v>
      </c>
      <c r="AH244" s="34" t="n">
        <f aca="false">AG$244+AH$213</f>
        <v>0</v>
      </c>
      <c r="AI244" s="34" t="n">
        <f aca="false">AH$244+AI$213</f>
        <v>0</v>
      </c>
      <c r="AJ244" s="34" t="n">
        <f aca="false">AI$244+AJ$213</f>
        <v>0</v>
      </c>
      <c r="AK244" s="34" t="n">
        <f aca="false">AJ$244+AK$213</f>
        <v>0</v>
      </c>
      <c r="AL244" s="34" t="n">
        <f aca="false">AK$244+AL$213</f>
        <v>0</v>
      </c>
      <c r="AM244" s="34" t="n">
        <f aca="false">AL$244+AM$213</f>
        <v>0</v>
      </c>
      <c r="AN244" s="34" t="n">
        <f aca="false">AM$244+AN$213</f>
        <v>0</v>
      </c>
      <c r="AO244" s="34" t="n">
        <f aca="false">AN$244+AO$213</f>
        <v>0</v>
      </c>
      <c r="AP244" s="34" t="n">
        <f aca="false">AO$244+AP$213</f>
        <v>0</v>
      </c>
      <c r="AQ244" s="34" t="n">
        <f aca="false">AP$244+AQ$213</f>
        <v>0</v>
      </c>
      <c r="AR244" s="34" t="n">
        <f aca="false">AQ$244+AR$213</f>
        <v>0</v>
      </c>
      <c r="AS244" s="34" t="n">
        <f aca="false">AR$244+AS$213</f>
        <v>0</v>
      </c>
      <c r="AT244" s="34" t="n">
        <f aca="false">AS$244+AT$213</f>
        <v>0</v>
      </c>
      <c r="AU244" s="34" t="n">
        <f aca="false">AT$244+AU$213</f>
        <v>0</v>
      </c>
      <c r="AV244" s="34" t="n">
        <f aca="false">AU$244+AV$213</f>
        <v>0</v>
      </c>
      <c r="AW244" s="34" t="n">
        <f aca="false">AV$244+AW$213</f>
        <v>0</v>
      </c>
      <c r="AX244" s="34" t="n">
        <f aca="false">AW$244+AX$213</f>
        <v>0</v>
      </c>
      <c r="AY244" s="34" t="n">
        <f aca="false">AX$244+AY$213</f>
        <v>0</v>
      </c>
      <c r="AZ244" s="34" t="n">
        <f aca="false">AY$244+AZ$213</f>
        <v>0</v>
      </c>
      <c r="BA244" s="34" t="n">
        <f aca="false">AZ$244+BA$213</f>
        <v>0</v>
      </c>
      <c r="BB244" s="34" t="n">
        <f aca="false">BA$244+BB$213</f>
        <v>0</v>
      </c>
      <c r="BC244" s="34" t="n">
        <f aca="false">BB$244+BC$213</f>
        <v>0</v>
      </c>
      <c r="BD244" s="34" t="n">
        <f aca="false">BC$244+BD$213</f>
        <v>0</v>
      </c>
      <c r="BE244" s="34" t="n">
        <f aca="false">BD$244+BE$213</f>
        <v>0</v>
      </c>
      <c r="BF244" s="34" t="n">
        <f aca="false">BE$244+BF$213</f>
        <v>0</v>
      </c>
      <c r="BG244" s="34" t="n">
        <f aca="false">BF$244+BG$213</f>
        <v>0</v>
      </c>
      <c r="BH244" s="34" t="n">
        <f aca="false">BG$244+BH$213</f>
        <v>0</v>
      </c>
      <c r="BI244" s="34" t="n">
        <f aca="false">BH$244+BI$213</f>
        <v>0</v>
      </c>
      <c r="BJ244" s="34" t="n">
        <f aca="false">BI$244+BJ$213</f>
        <v>0</v>
      </c>
      <c r="BK244" s="34" t="n">
        <f aca="false">BJ$244+BK$213</f>
        <v>0</v>
      </c>
      <c r="BL244" s="34" t="n">
        <f aca="false">BK$244+BL$213</f>
        <v>0</v>
      </c>
      <c r="BM244" s="34" t="n">
        <f aca="false">BL$244+BM$213</f>
        <v>0</v>
      </c>
      <c r="BN244" s="34" t="n">
        <f aca="false">BM$244+BN$213</f>
        <v>0</v>
      </c>
      <c r="BO244" s="34" t="n">
        <f aca="false">BN$244+BO$213</f>
        <v>0</v>
      </c>
      <c r="BP244" s="34" t="n">
        <f aca="false">BO$244+BP$213</f>
        <v>0</v>
      </c>
      <c r="BQ244" s="34" t="n">
        <f aca="false">BP$244+BQ$213</f>
        <v>0</v>
      </c>
      <c r="BR244" s="34" t="n">
        <f aca="false">BQ$244+BR$213</f>
        <v>0</v>
      </c>
      <c r="BS244" s="34" t="n">
        <f aca="false">BR$244+BS$213</f>
        <v>0</v>
      </c>
      <c r="BT244" s="34" t="n">
        <f aca="false">BS$244+BT$213</f>
        <v>0</v>
      </c>
      <c r="BU244" s="34" t="n">
        <f aca="false">BT$244+BU$213</f>
        <v>0</v>
      </c>
      <c r="BV244" s="34" t="n">
        <f aca="false">BU$244+BV$213</f>
        <v>0</v>
      </c>
      <c r="BW244" s="34" t="n">
        <f aca="false">BV$244+BW$213</f>
        <v>0</v>
      </c>
      <c r="BX244" s="34" t="n">
        <f aca="false">BW$244+BX$213</f>
        <v>0</v>
      </c>
      <c r="BY244" s="34" t="n">
        <f aca="false">BX$244+BY$213</f>
        <v>0</v>
      </c>
      <c r="BZ244" s="34" t="n">
        <f aca="false">BY$244+BZ$213</f>
        <v>0</v>
      </c>
      <c r="CA244" s="34" t="n">
        <f aca="false">BZ$244+CA$213</f>
        <v>0</v>
      </c>
      <c r="CB244" s="34" t="n">
        <f aca="false">CA$244+CB$213</f>
        <v>0</v>
      </c>
      <c r="CC244" s="34" t="n">
        <f aca="false">CB$244+CC$213</f>
        <v>0</v>
      </c>
      <c r="CD244" s="34" t="n">
        <f aca="false">CC$244+CD$213</f>
        <v>0</v>
      </c>
      <c r="CE244" s="34" t="n">
        <f aca="false">CD$244+CE$213</f>
        <v>0</v>
      </c>
      <c r="CF244" s="34" t="n">
        <f aca="false">CE$244+CF$213</f>
        <v>0</v>
      </c>
      <c r="CG244" s="34" t="n">
        <f aca="false">CF$244+CG$213</f>
        <v>0</v>
      </c>
      <c r="CH244" s="34" t="n">
        <f aca="false">CG$244+CH$213</f>
        <v>0</v>
      </c>
      <c r="CI244" s="34" t="n">
        <f aca="false">CH$244+CI$213</f>
        <v>0</v>
      </c>
      <c r="CJ244" s="34" t="n">
        <f aca="false">CI$244+CJ$213</f>
        <v>0</v>
      </c>
      <c r="CK244" s="34" t="n">
        <f aca="false">CJ$244+CK$213</f>
        <v>0</v>
      </c>
      <c r="CL244" s="34" t="n">
        <f aca="false">CK$244+CL$213</f>
        <v>0</v>
      </c>
      <c r="CM244" s="34" t="n">
        <f aca="false">CL$244+CM$213</f>
        <v>0</v>
      </c>
      <c r="CN244" s="34" t="n">
        <f aca="false">CM$244+CN$213</f>
        <v>0</v>
      </c>
      <c r="CO244" s="34" t="n">
        <f aca="false">CN$244+CO$213</f>
        <v>0</v>
      </c>
      <c r="CP244" s="34" t="n">
        <f aca="false">CO$244+CP$213</f>
        <v>0</v>
      </c>
      <c r="CQ244" s="34" t="n">
        <f aca="false">CP$244+CQ$213</f>
        <v>0</v>
      </c>
      <c r="CR244" s="34" t="n">
        <f aca="false">CQ$244+CR$213</f>
        <v>0</v>
      </c>
      <c r="CS244" s="34" t="n">
        <f aca="false">CR$244+CS$213</f>
        <v>0</v>
      </c>
      <c r="CT244" s="34" t="n">
        <f aca="false">CS$244+CT$213</f>
        <v>0</v>
      </c>
      <c r="CU244" s="34" t="n">
        <f aca="false">CT$244+CU$213</f>
        <v>0</v>
      </c>
      <c r="CV244" s="34" t="n">
        <f aca="false">CU$244+CV$213</f>
        <v>0</v>
      </c>
      <c r="CW244" s="34" t="n">
        <f aca="false">CV$244+CW$213</f>
        <v>0</v>
      </c>
      <c r="CX244" s="34" t="n">
        <f aca="false">CW$244+CX$213</f>
        <v>0</v>
      </c>
      <c r="CY244" s="34" t="n">
        <f aca="false">CX$244+CY$213</f>
        <v>0</v>
      </c>
      <c r="CZ244" s="34" t="n">
        <f aca="false">CY$244+CZ$213</f>
        <v>0</v>
      </c>
      <c r="DA244" s="34" t="n">
        <f aca="false">CZ$244+DA$213</f>
        <v>0</v>
      </c>
      <c r="DB244" s="34" t="n">
        <f aca="false">DA$244+DB$213</f>
        <v>0</v>
      </c>
      <c r="DC244" s="34" t="n">
        <f aca="false">DB$244+DC$213</f>
        <v>0</v>
      </c>
      <c r="DD244" s="34" t="n">
        <f aca="false">DC$244+DD$213</f>
        <v>0</v>
      </c>
      <c r="DE244" s="34" t="n">
        <f aca="false">DD$244+DE$213</f>
        <v>0</v>
      </c>
      <c r="DF244" s="34" t="n">
        <f aca="false">DE$244+DF$213</f>
        <v>0</v>
      </c>
      <c r="DG244" s="34" t="n">
        <f aca="false">DF$244+DG$213</f>
        <v>0</v>
      </c>
      <c r="DH244" s="34" t="n">
        <f aca="false">DG$244+DH$213</f>
        <v>0</v>
      </c>
      <c r="DI244" s="34" t="n">
        <f aca="false">DH$244+DI$213</f>
        <v>0</v>
      </c>
      <c r="DJ244" s="34" t="n">
        <f aca="false">DI$244+DJ$213</f>
        <v>0</v>
      </c>
      <c r="DK244" s="34" t="n">
        <f aca="false">DJ$244+DK$213</f>
        <v>0</v>
      </c>
      <c r="DL244" s="34" t="n">
        <f aca="false">DK$244+DL$213</f>
        <v>0</v>
      </c>
      <c r="DM244" s="34" t="n">
        <f aca="false">DL$244+DM$213</f>
        <v>0</v>
      </c>
      <c r="DN244" s="34" t="n">
        <f aca="false">DM$244+DN$213</f>
        <v>0</v>
      </c>
      <c r="DO244" s="34" t="n">
        <f aca="false">DN$244+DO$213</f>
        <v>0</v>
      </c>
      <c r="DP244" s="34" t="n">
        <f aca="false">DO$244+DP$213</f>
        <v>0</v>
      </c>
      <c r="DQ244" s="34" t="n">
        <f aca="false">DP$244+DQ$213</f>
        <v>0</v>
      </c>
      <c r="DR244" s="34" t="n">
        <f aca="false">DQ$244+DR$213</f>
        <v>0</v>
      </c>
      <c r="DS244" s="34" t="n">
        <f aca="false">DR$244+DS$213</f>
        <v>0</v>
      </c>
      <c r="DT244" s="34" t="n">
        <f aca="false">DS$244+DT$213</f>
        <v>0</v>
      </c>
      <c r="DU244" s="34" t="n">
        <f aca="false">DT$244+DU$213</f>
        <v>0</v>
      </c>
      <c r="DV244" s="34" t="n">
        <f aca="false">DU$244+DV$213</f>
        <v>0</v>
      </c>
      <c r="DW244" s="34" t="n">
        <f aca="false">DV$244+DW$213</f>
        <v>0</v>
      </c>
      <c r="DX244" s="34" t="n">
        <f aca="false">DW$244+DX$213</f>
        <v>0</v>
      </c>
      <c r="DY244" s="34" t="n">
        <f aca="false">DX$244+DY$213</f>
        <v>0</v>
      </c>
      <c r="DZ244" s="34" t="n">
        <f aca="false">DY$244+DZ$213</f>
        <v>0</v>
      </c>
      <c r="EA244" s="34" t="n">
        <f aca="false">DZ$244+EA$213</f>
        <v>0</v>
      </c>
      <c r="EB244" s="34" t="n">
        <f aca="false">EA$244+EB$213</f>
        <v>0</v>
      </c>
      <c r="EC244" s="34" t="n">
        <f aca="false">EB$244+EC$213</f>
        <v>0</v>
      </c>
      <c r="ED244" s="34" t="n">
        <f aca="false">EC$244+ED$213</f>
        <v>0</v>
      </c>
      <c r="EE244" s="34" t="n">
        <f aca="false">ED$244+EE$213</f>
        <v>0</v>
      </c>
      <c r="EF244" s="34" t="n">
        <f aca="false">EE$244+EF$213</f>
        <v>0</v>
      </c>
      <c r="EG244" s="34" t="n">
        <f aca="false">EF$244+EG$213</f>
        <v>0</v>
      </c>
      <c r="EH244" s="34" t="n">
        <f aca="false">EG$244+EH$213</f>
        <v>0</v>
      </c>
      <c r="EI244" s="34" t="n">
        <f aca="false">EH$244+EI$213</f>
        <v>0</v>
      </c>
      <c r="EJ244" s="34" t="n">
        <f aca="false">EI$244+EJ$213</f>
        <v>0</v>
      </c>
      <c r="EK244" s="34" t="n">
        <f aca="false">EJ$244+EK$213</f>
        <v>0</v>
      </c>
      <c r="EL244" s="34" t="n">
        <f aca="false">EK$244+EL$213</f>
        <v>0</v>
      </c>
      <c r="EM244" s="34" t="n">
        <f aca="false">EL$244+EM$213</f>
        <v>0</v>
      </c>
      <c r="EN244" s="34" t="n">
        <f aca="false">EM$244+EN$213</f>
        <v>0</v>
      </c>
      <c r="EO244" s="34" t="n">
        <f aca="false">EN$244+EO$213</f>
        <v>0</v>
      </c>
      <c r="EP244" s="34" t="n">
        <f aca="false">EO$244+EP$213</f>
        <v>0</v>
      </c>
      <c r="EQ244" s="34" t="n">
        <f aca="false">EP$244+EQ$213</f>
        <v>0</v>
      </c>
      <c r="ER244" s="34" t="n">
        <f aca="false">EQ$244+ER$213</f>
        <v>0</v>
      </c>
      <c r="ES244" s="34" t="n">
        <f aca="false">ER$244+ES$213</f>
        <v>0</v>
      </c>
    </row>
    <row r="245" customFormat="false" ht="15" hidden="false" customHeight="false" outlineLevel="0" collapsed="false">
      <c r="A245" s="2" t="s">
        <v>717</v>
      </c>
      <c r="B245" s="6" t="s">
        <v>607</v>
      </c>
      <c r="C245" s="6" t="s">
        <v>89</v>
      </c>
      <c r="E245" s="53" t="n">
        <f aca="false">MAX(F245:ES245)</f>
        <v>0</v>
      </c>
      <c r="F245" s="36" t="n">
        <f aca="false">0</f>
        <v>0</v>
      </c>
      <c r="G245" s="36" t="n">
        <f aca="false">IF(AND(F$244&lt;0,G$244&gt;=0),0+(-F$244)/G$213,0)</f>
        <v>0</v>
      </c>
      <c r="H245" s="36" t="n">
        <f aca="false">IF(AND(G$244&lt;0,H$244&gt;=0),1+(-G$244)/H$213,0)</f>
        <v>0</v>
      </c>
      <c r="I245" s="36" t="n">
        <f aca="false">IF(AND(H$244&lt;0,I$244&gt;=0),2+(-H$244)/I$213,0)</f>
        <v>0</v>
      </c>
      <c r="J245" s="36" t="n">
        <f aca="false">IF(AND(I$244&lt;0,J$244&gt;=0),3+(-I$244)/J$213,0)</f>
        <v>0</v>
      </c>
      <c r="K245" s="36" t="n">
        <f aca="false">IF(AND(J$244&lt;0,K$244&gt;=0),4+(-J$244)/K$213,0)</f>
        <v>0</v>
      </c>
      <c r="L245" s="36" t="n">
        <f aca="false">IF(AND(K$244&lt;0,L$244&gt;=0),5+(-K$244)/L$213,0)</f>
        <v>0</v>
      </c>
      <c r="M245" s="36" t="n">
        <f aca="false">IF(AND(L$244&lt;0,M$244&gt;=0),6+(-L$244)/M$213,0)</f>
        <v>0</v>
      </c>
      <c r="N245" s="36" t="n">
        <f aca="false">IF(AND(M$244&lt;0,N$244&gt;=0),7+(-M$244)/N$213,0)</f>
        <v>0</v>
      </c>
      <c r="O245" s="36" t="n">
        <f aca="false">IF(AND(N$244&lt;0,O$244&gt;=0),8+(-N$244)/O$213,0)</f>
        <v>0</v>
      </c>
      <c r="P245" s="36" t="n">
        <f aca="false">IF(AND(O$244&lt;0,P$244&gt;=0),9+(-O$244)/P$213,0)</f>
        <v>0</v>
      </c>
      <c r="Q245" s="36" t="n">
        <f aca="false">IF(AND(P$244&lt;0,Q$244&gt;=0),10+(-P$244)/Q$213,0)</f>
        <v>0</v>
      </c>
      <c r="R245" s="36" t="n">
        <f aca="false">IF(AND(Q$244&lt;0,R$244&gt;=0),11+(-Q$244)/R$213,0)</f>
        <v>0</v>
      </c>
      <c r="S245" s="36" t="n">
        <f aca="false">IF(AND(R$244&lt;0,S$244&gt;=0),12+(-R$244)/S$213,0)</f>
        <v>0</v>
      </c>
      <c r="T245" s="36" t="n">
        <f aca="false">IF(AND(S$244&lt;0,T$244&gt;=0),13+(-S$244)/T$213,0)</f>
        <v>0</v>
      </c>
      <c r="U245" s="36" t="n">
        <f aca="false">IF(AND(T$244&lt;0,U$244&gt;=0),14+(-T$244)/U$213,0)</f>
        <v>0</v>
      </c>
      <c r="V245" s="36" t="n">
        <f aca="false">IF(AND(U$244&lt;0,V$244&gt;=0),15+(-U$244)/V$213,0)</f>
        <v>0</v>
      </c>
      <c r="W245" s="36" t="n">
        <f aca="false">IF(AND(V$244&lt;0,W$244&gt;=0),16+(-V$244)/W$213,0)</f>
        <v>0</v>
      </c>
      <c r="X245" s="36" t="n">
        <f aca="false">IF(AND(W$244&lt;0,X$244&gt;=0),17+(-W$244)/X$213,0)</f>
        <v>0</v>
      </c>
      <c r="Y245" s="36" t="n">
        <f aca="false">IF(AND(X$244&lt;0,Y$244&gt;=0),18+(-X$244)/Y$213,0)</f>
        <v>0</v>
      </c>
      <c r="Z245" s="36" t="n">
        <f aca="false">IF(AND(Y$244&lt;0,Z$244&gt;=0),19+(-Y$244)/Z$213,0)</f>
        <v>0</v>
      </c>
      <c r="AA245" s="36" t="n">
        <f aca="false">IF(AND(Z$244&lt;0,AA$244&gt;=0),20+(-Z$244)/AA$213,0)</f>
        <v>0</v>
      </c>
      <c r="AB245" s="36" t="n">
        <f aca="false">IF(AND(AA$244&lt;0,AB$244&gt;=0),21+(-AA$244)/AB$213,0)</f>
        <v>0</v>
      </c>
      <c r="AC245" s="36" t="n">
        <f aca="false">IF(AND(AB$244&lt;0,AC$244&gt;=0),22+(-AB$244)/AC$213,0)</f>
        <v>0</v>
      </c>
      <c r="AD245" s="36" t="n">
        <f aca="false">IF(AND(AC$244&lt;0,AD$244&gt;=0),23+(-AC$244)/AD$213,0)</f>
        <v>0</v>
      </c>
      <c r="AE245" s="36" t="n">
        <f aca="false">IF(AND(AD$244&lt;0,AE$244&gt;=0),24+(-AD$244)/AE$213,0)</f>
        <v>0</v>
      </c>
      <c r="AF245" s="36" t="n">
        <f aca="false">IF(AND(AE$244&lt;0,AF$244&gt;=0),25+(-AE$244)/AF$213,0)</f>
        <v>0</v>
      </c>
      <c r="AG245" s="36" t="n">
        <f aca="false">IF(AND(AF$244&lt;0,AG$244&gt;=0),26+(-AF$244)/AG$213,0)</f>
        <v>0</v>
      </c>
      <c r="AH245" s="36" t="n">
        <f aca="false">IF(AND(AG$244&lt;0,AH$244&gt;=0),27+(-AG$244)/AH$213,0)</f>
        <v>0</v>
      </c>
      <c r="AI245" s="36" t="n">
        <f aca="false">IF(AND(AH$244&lt;0,AI$244&gt;=0),28+(-AH$244)/AI$213,0)</f>
        <v>0</v>
      </c>
      <c r="AJ245" s="36" t="n">
        <f aca="false">IF(AND(AI$244&lt;0,AJ$244&gt;=0),29+(-AI$244)/AJ$213,0)</f>
        <v>0</v>
      </c>
      <c r="AK245" s="36" t="n">
        <f aca="false">IF(AND(AJ$244&lt;0,AK$244&gt;=0),30+(-AJ$244)/AK$213,0)</f>
        <v>0</v>
      </c>
      <c r="AL245" s="36" t="n">
        <f aca="false">IF(AND(AK$244&lt;0,AL$244&gt;=0),31+(-AK$244)/AL$213,0)</f>
        <v>0</v>
      </c>
      <c r="AM245" s="36" t="n">
        <f aca="false">IF(AND(AL$244&lt;0,AM$244&gt;=0),32+(-AL$244)/AM$213,0)</f>
        <v>0</v>
      </c>
      <c r="AN245" s="36" t="n">
        <f aca="false">IF(AND(AM$244&lt;0,AN$244&gt;=0),33+(-AM$244)/AN$213,0)</f>
        <v>0</v>
      </c>
      <c r="AO245" s="36" t="n">
        <f aca="false">IF(AND(AN$244&lt;0,AO$244&gt;=0),34+(-AN$244)/AO$213,0)</f>
        <v>0</v>
      </c>
      <c r="AP245" s="36" t="n">
        <f aca="false">IF(AND(AO$244&lt;0,AP$244&gt;=0),35+(-AO$244)/AP$213,0)</f>
        <v>0</v>
      </c>
      <c r="AQ245" s="36" t="n">
        <f aca="false">IF(AND(AP$244&lt;0,AQ$244&gt;=0),36+(-AP$244)/AQ$213,0)</f>
        <v>0</v>
      </c>
      <c r="AR245" s="36" t="n">
        <f aca="false">IF(AND(AQ$244&lt;0,AR$244&gt;=0),37+(-AQ$244)/AR$213,0)</f>
        <v>0</v>
      </c>
      <c r="AS245" s="36" t="n">
        <f aca="false">IF(AND(AR$244&lt;0,AS$244&gt;=0),38+(-AR$244)/AS$213,0)</f>
        <v>0</v>
      </c>
      <c r="AT245" s="36" t="n">
        <f aca="false">IF(AND(AS$244&lt;0,AT$244&gt;=0),39+(-AS$244)/AT$213,0)</f>
        <v>0</v>
      </c>
      <c r="AU245" s="36" t="n">
        <f aca="false">IF(AND(AT$244&lt;0,AU$244&gt;=0),40+(-AT$244)/AU$213,0)</f>
        <v>0</v>
      </c>
      <c r="AV245" s="36" t="n">
        <f aca="false">IF(AND(AU$244&lt;0,AV$244&gt;=0),41+(-AU$244)/AV$213,0)</f>
        <v>0</v>
      </c>
      <c r="AW245" s="36" t="n">
        <f aca="false">IF(AND(AV$244&lt;0,AW$244&gt;=0),42+(-AV$244)/AW$213,0)</f>
        <v>0</v>
      </c>
      <c r="AX245" s="36" t="n">
        <f aca="false">IF(AND(AW$244&lt;0,AX$244&gt;=0),43+(-AW$244)/AX$213,0)</f>
        <v>0</v>
      </c>
      <c r="AY245" s="36" t="n">
        <f aca="false">IF(AND(AX$244&lt;0,AY$244&gt;=0),44+(-AX$244)/AY$213,0)</f>
        <v>0</v>
      </c>
      <c r="AZ245" s="36" t="n">
        <f aca="false">IF(AND(AY$244&lt;0,AZ$244&gt;=0),45+(-AY$244)/AZ$213,0)</f>
        <v>0</v>
      </c>
      <c r="BA245" s="36" t="n">
        <f aca="false">IF(AND(AZ$244&lt;0,BA$244&gt;=0),46+(-AZ$244)/BA$213,0)</f>
        <v>0</v>
      </c>
      <c r="BB245" s="36" t="n">
        <f aca="false">IF(AND(BA$244&lt;0,BB$244&gt;=0),47+(-BA$244)/BB$213,0)</f>
        <v>0</v>
      </c>
      <c r="BC245" s="36" t="n">
        <f aca="false">IF(AND(BB$244&lt;0,BC$244&gt;=0),48+(-BB$244)/BC$213,0)</f>
        <v>0</v>
      </c>
      <c r="BD245" s="36" t="n">
        <f aca="false">IF(AND(BC$244&lt;0,BD$244&gt;=0),49+(-BC$244)/BD$213,0)</f>
        <v>0</v>
      </c>
      <c r="BE245" s="36" t="n">
        <f aca="false">IF(AND(BD$244&lt;0,BE$244&gt;=0),50+(-BD$244)/BE$213,0)</f>
        <v>0</v>
      </c>
      <c r="BF245" s="36" t="n">
        <f aca="false">IF(AND(BE$244&lt;0,BF$244&gt;=0),51+(-BE$244)/BF$213,0)</f>
        <v>0</v>
      </c>
      <c r="BG245" s="36" t="n">
        <f aca="false">IF(AND(BF$244&lt;0,BG$244&gt;=0),52+(-BF$244)/BG$213,0)</f>
        <v>0</v>
      </c>
      <c r="BH245" s="36" t="n">
        <f aca="false">IF(AND(BG$244&lt;0,BH$244&gt;=0),53+(-BG$244)/BH$213,0)</f>
        <v>0</v>
      </c>
      <c r="BI245" s="36" t="n">
        <f aca="false">IF(AND(BH$244&lt;0,BI$244&gt;=0),54+(-BH$244)/BI$213,0)</f>
        <v>0</v>
      </c>
      <c r="BJ245" s="36" t="n">
        <f aca="false">IF(AND(BI$244&lt;0,BJ$244&gt;=0),55+(-BI$244)/BJ$213,0)</f>
        <v>0</v>
      </c>
      <c r="BK245" s="36" t="n">
        <f aca="false">IF(AND(BJ$244&lt;0,BK$244&gt;=0),56+(-BJ$244)/BK$213,0)</f>
        <v>0</v>
      </c>
      <c r="BL245" s="36" t="n">
        <f aca="false">IF(AND(BK$244&lt;0,BL$244&gt;=0),57+(-BK$244)/BL$213,0)</f>
        <v>0</v>
      </c>
      <c r="BM245" s="36" t="n">
        <f aca="false">IF(AND(BL$244&lt;0,BM$244&gt;=0),58+(-BL$244)/BM$213,0)</f>
        <v>0</v>
      </c>
      <c r="BN245" s="36" t="n">
        <f aca="false">IF(AND(BM$244&lt;0,BN$244&gt;=0),59+(-BM$244)/BN$213,0)</f>
        <v>0</v>
      </c>
      <c r="BO245" s="36" t="n">
        <f aca="false">IF(AND(BN$244&lt;0,BO$244&gt;=0),60+(-BN$244)/BO$213,0)</f>
        <v>0</v>
      </c>
      <c r="BP245" s="36" t="n">
        <f aca="false">IF(AND(BO$244&lt;0,BP$244&gt;=0),61+(-BO$244)/BP$213,0)</f>
        <v>0</v>
      </c>
      <c r="BQ245" s="36" t="n">
        <f aca="false">IF(AND(BP$244&lt;0,BQ$244&gt;=0),62+(-BP$244)/BQ$213,0)</f>
        <v>0</v>
      </c>
      <c r="BR245" s="36" t="n">
        <f aca="false">IF(AND(BQ$244&lt;0,BR$244&gt;=0),63+(-BQ$244)/BR$213,0)</f>
        <v>0</v>
      </c>
      <c r="BS245" s="36" t="n">
        <f aca="false">IF(AND(BR$244&lt;0,BS$244&gt;=0),64+(-BR$244)/BS$213,0)</f>
        <v>0</v>
      </c>
      <c r="BT245" s="36" t="n">
        <f aca="false">IF(AND(BS$244&lt;0,BT$244&gt;=0),65+(-BS$244)/BT$213,0)</f>
        <v>0</v>
      </c>
      <c r="BU245" s="36" t="n">
        <f aca="false">IF(AND(BT$244&lt;0,BU$244&gt;=0),66+(-BT$244)/BU$213,0)</f>
        <v>0</v>
      </c>
      <c r="BV245" s="36" t="n">
        <f aca="false">IF(AND(BU$244&lt;0,BV$244&gt;=0),67+(-BU$244)/BV$213,0)</f>
        <v>0</v>
      </c>
      <c r="BW245" s="36" t="n">
        <f aca="false">IF(AND(BV$244&lt;0,BW$244&gt;=0),68+(-BV$244)/BW$213,0)</f>
        <v>0</v>
      </c>
      <c r="BX245" s="36" t="n">
        <f aca="false">IF(AND(BW$244&lt;0,BX$244&gt;=0),69+(-BW$244)/BX$213,0)</f>
        <v>0</v>
      </c>
      <c r="BY245" s="36" t="n">
        <f aca="false">IF(AND(BX$244&lt;0,BY$244&gt;=0),70+(-BX$244)/BY$213,0)</f>
        <v>0</v>
      </c>
      <c r="BZ245" s="36" t="n">
        <f aca="false">IF(AND(BY$244&lt;0,BZ$244&gt;=0),71+(-BY$244)/BZ$213,0)</f>
        <v>0</v>
      </c>
      <c r="CA245" s="36" t="n">
        <f aca="false">IF(AND(BZ$244&lt;0,CA$244&gt;=0),72+(-BZ$244)/CA$213,0)</f>
        <v>0</v>
      </c>
      <c r="CB245" s="36" t="n">
        <f aca="false">IF(AND(CA$244&lt;0,CB$244&gt;=0),73+(-CA$244)/CB$213,0)</f>
        <v>0</v>
      </c>
      <c r="CC245" s="36" t="n">
        <f aca="false">IF(AND(CB$244&lt;0,CC$244&gt;=0),74+(-CB$244)/CC$213,0)</f>
        <v>0</v>
      </c>
      <c r="CD245" s="36" t="n">
        <f aca="false">IF(AND(CC$244&lt;0,CD$244&gt;=0),75+(-CC$244)/CD$213,0)</f>
        <v>0</v>
      </c>
      <c r="CE245" s="36" t="n">
        <f aca="false">IF(AND(CD$244&lt;0,CE$244&gt;=0),76+(-CD$244)/CE$213,0)</f>
        <v>0</v>
      </c>
      <c r="CF245" s="36" t="n">
        <f aca="false">IF(AND(CE$244&lt;0,CF$244&gt;=0),77+(-CE$244)/CF$213,0)</f>
        <v>0</v>
      </c>
      <c r="CG245" s="36" t="n">
        <f aca="false">IF(AND(CF$244&lt;0,CG$244&gt;=0),78+(-CF$244)/CG$213,0)</f>
        <v>0</v>
      </c>
      <c r="CH245" s="36" t="n">
        <f aca="false">IF(AND(CG$244&lt;0,CH$244&gt;=0),79+(-CG$244)/CH$213,0)</f>
        <v>0</v>
      </c>
      <c r="CI245" s="36" t="n">
        <f aca="false">IF(AND(CH$244&lt;0,CI$244&gt;=0),80+(-CH$244)/CI$213,0)</f>
        <v>0</v>
      </c>
      <c r="CJ245" s="36" t="n">
        <f aca="false">IF(AND(CI$244&lt;0,CJ$244&gt;=0),81+(-CI$244)/CJ$213,0)</f>
        <v>0</v>
      </c>
      <c r="CK245" s="36" t="n">
        <f aca="false">IF(AND(CJ$244&lt;0,CK$244&gt;=0),82+(-CJ$244)/CK$213,0)</f>
        <v>0</v>
      </c>
      <c r="CL245" s="36" t="n">
        <f aca="false">IF(AND(CK$244&lt;0,CL$244&gt;=0),83+(-CK$244)/CL$213,0)</f>
        <v>0</v>
      </c>
      <c r="CM245" s="36" t="n">
        <f aca="false">IF(AND(CL$244&lt;0,CM$244&gt;=0),84+(-CL$244)/CM$213,0)</f>
        <v>0</v>
      </c>
      <c r="CN245" s="36" t="n">
        <f aca="false">IF(AND(CM$244&lt;0,CN$244&gt;=0),85+(-CM$244)/CN$213,0)</f>
        <v>0</v>
      </c>
      <c r="CO245" s="36" t="n">
        <f aca="false">IF(AND(CN$244&lt;0,CO$244&gt;=0),86+(-CN$244)/CO$213,0)</f>
        <v>0</v>
      </c>
      <c r="CP245" s="36" t="n">
        <f aca="false">IF(AND(CO$244&lt;0,CP$244&gt;=0),87+(-CO$244)/CP$213,0)</f>
        <v>0</v>
      </c>
      <c r="CQ245" s="36" t="n">
        <f aca="false">IF(AND(CP$244&lt;0,CQ$244&gt;=0),88+(-CP$244)/CQ$213,0)</f>
        <v>0</v>
      </c>
      <c r="CR245" s="36" t="n">
        <f aca="false">IF(AND(CQ$244&lt;0,CR$244&gt;=0),89+(-CQ$244)/CR$213,0)</f>
        <v>0</v>
      </c>
      <c r="CS245" s="36" t="n">
        <f aca="false">IF(AND(CR$244&lt;0,CS$244&gt;=0),90+(-CR$244)/CS$213,0)</f>
        <v>0</v>
      </c>
      <c r="CT245" s="36" t="n">
        <f aca="false">IF(AND(CS$244&lt;0,CT$244&gt;=0),91+(-CS$244)/CT$213,0)</f>
        <v>0</v>
      </c>
      <c r="CU245" s="36" t="n">
        <f aca="false">IF(AND(CT$244&lt;0,CU$244&gt;=0),92+(-CT$244)/CU$213,0)</f>
        <v>0</v>
      </c>
      <c r="CV245" s="36" t="n">
        <f aca="false">IF(AND(CU$244&lt;0,CV$244&gt;=0),93+(-CU$244)/CV$213,0)</f>
        <v>0</v>
      </c>
      <c r="CW245" s="36" t="n">
        <f aca="false">IF(AND(CV$244&lt;0,CW$244&gt;=0),94+(-CV$244)/CW$213,0)</f>
        <v>0</v>
      </c>
      <c r="CX245" s="36" t="n">
        <f aca="false">IF(AND(CW$244&lt;0,CX$244&gt;=0),95+(-CW$244)/CX$213,0)</f>
        <v>0</v>
      </c>
      <c r="CY245" s="36" t="n">
        <f aca="false">IF(AND(CX$244&lt;0,CY$244&gt;=0),96+(-CX$244)/CY$213,0)</f>
        <v>0</v>
      </c>
      <c r="CZ245" s="36" t="n">
        <f aca="false">IF(AND(CY$244&lt;0,CZ$244&gt;=0),97+(-CY$244)/CZ$213,0)</f>
        <v>0</v>
      </c>
      <c r="DA245" s="36" t="n">
        <f aca="false">IF(AND(CZ$244&lt;0,DA$244&gt;=0),98+(-CZ$244)/DA$213,0)</f>
        <v>0</v>
      </c>
      <c r="DB245" s="36" t="n">
        <f aca="false">IF(AND(DA$244&lt;0,DB$244&gt;=0),99+(-DA$244)/DB$213,0)</f>
        <v>0</v>
      </c>
      <c r="DC245" s="36" t="n">
        <f aca="false">IF(AND(DB$244&lt;0,DC$244&gt;=0),100+(-DB$244)/DC$213,0)</f>
        <v>0</v>
      </c>
      <c r="DD245" s="36" t="n">
        <f aca="false">IF(AND(DC$244&lt;0,DD$244&gt;=0),101+(-DC$244)/DD$213,0)</f>
        <v>0</v>
      </c>
      <c r="DE245" s="36" t="n">
        <f aca="false">IF(AND(DD$244&lt;0,DE$244&gt;=0),102+(-DD$244)/DE$213,0)</f>
        <v>0</v>
      </c>
      <c r="DF245" s="36" t="n">
        <f aca="false">IF(AND(DE$244&lt;0,DF$244&gt;=0),103+(-DE$244)/DF$213,0)</f>
        <v>0</v>
      </c>
      <c r="DG245" s="36" t="n">
        <f aca="false">IF(AND(DF$244&lt;0,DG$244&gt;=0),104+(-DF$244)/DG$213,0)</f>
        <v>0</v>
      </c>
      <c r="DH245" s="36" t="n">
        <f aca="false">IF(AND(DG$244&lt;0,DH$244&gt;=0),105+(-DG$244)/DH$213,0)</f>
        <v>0</v>
      </c>
      <c r="DI245" s="36" t="n">
        <f aca="false">IF(AND(DH$244&lt;0,DI$244&gt;=0),106+(-DH$244)/DI$213,0)</f>
        <v>0</v>
      </c>
      <c r="DJ245" s="36" t="n">
        <f aca="false">IF(AND(DI$244&lt;0,DJ$244&gt;=0),107+(-DI$244)/DJ$213,0)</f>
        <v>0</v>
      </c>
      <c r="DK245" s="36" t="n">
        <f aca="false">IF(AND(DJ$244&lt;0,DK$244&gt;=0),108+(-DJ$244)/DK$213,0)</f>
        <v>0</v>
      </c>
      <c r="DL245" s="36" t="n">
        <f aca="false">IF(AND(DK$244&lt;0,DL$244&gt;=0),109+(-DK$244)/DL$213,0)</f>
        <v>0</v>
      </c>
      <c r="DM245" s="36" t="n">
        <f aca="false">IF(AND(DL$244&lt;0,DM$244&gt;=0),110+(-DL$244)/DM$213,0)</f>
        <v>0</v>
      </c>
      <c r="DN245" s="36" t="n">
        <f aca="false">IF(AND(DM$244&lt;0,DN$244&gt;=0),111+(-DM$244)/DN$213,0)</f>
        <v>0</v>
      </c>
      <c r="DO245" s="36" t="n">
        <f aca="false">IF(AND(DN$244&lt;0,DO$244&gt;=0),112+(-DN$244)/DO$213,0)</f>
        <v>0</v>
      </c>
      <c r="DP245" s="36" t="n">
        <f aca="false">IF(AND(DO$244&lt;0,DP$244&gt;=0),113+(-DO$244)/DP$213,0)</f>
        <v>0</v>
      </c>
      <c r="DQ245" s="36" t="n">
        <f aca="false">IF(AND(DP$244&lt;0,DQ$244&gt;=0),114+(-DP$244)/DQ$213,0)</f>
        <v>0</v>
      </c>
      <c r="DR245" s="36" t="n">
        <f aca="false">IF(AND(DQ$244&lt;0,DR$244&gt;=0),115+(-DQ$244)/DR$213,0)</f>
        <v>0</v>
      </c>
      <c r="DS245" s="36" t="n">
        <f aca="false">IF(AND(DR$244&lt;0,DS$244&gt;=0),116+(-DR$244)/DS$213,0)</f>
        <v>0</v>
      </c>
      <c r="DT245" s="36" t="n">
        <f aca="false">IF(AND(DS$244&lt;0,DT$244&gt;=0),117+(-DS$244)/DT$213,0)</f>
        <v>0</v>
      </c>
      <c r="DU245" s="36" t="n">
        <f aca="false">IF(AND(DT$244&lt;0,DU$244&gt;=0),118+(-DT$244)/DU$213,0)</f>
        <v>0</v>
      </c>
      <c r="DV245" s="36" t="n">
        <f aca="false">IF(AND(DU$244&lt;0,DV$244&gt;=0),119+(-DU$244)/DV$213,0)</f>
        <v>0</v>
      </c>
      <c r="DW245" s="36" t="n">
        <f aca="false">IF(AND(DV$244&lt;0,DW$244&gt;=0),120+(-DV$244)/DW$213,0)</f>
        <v>0</v>
      </c>
      <c r="DX245" s="36" t="n">
        <f aca="false">IF(AND(DW$244&lt;0,DX$244&gt;=0),121+(-DW$244)/DX$213,0)</f>
        <v>0</v>
      </c>
      <c r="DY245" s="36" t="n">
        <f aca="false">IF(AND(DX$244&lt;0,DY$244&gt;=0),122+(-DX$244)/DY$213,0)</f>
        <v>0</v>
      </c>
      <c r="DZ245" s="36" t="n">
        <f aca="false">IF(AND(DY$244&lt;0,DZ$244&gt;=0),123+(-DY$244)/DZ$213,0)</f>
        <v>0</v>
      </c>
      <c r="EA245" s="36" t="n">
        <f aca="false">IF(AND(DZ$244&lt;0,EA$244&gt;=0),124+(-DZ$244)/EA$213,0)</f>
        <v>0</v>
      </c>
      <c r="EB245" s="36" t="n">
        <f aca="false">IF(AND(EA$244&lt;0,EB$244&gt;=0),125+(-EA$244)/EB$213,0)</f>
        <v>0</v>
      </c>
      <c r="EC245" s="36" t="n">
        <f aca="false">IF(AND(EB$244&lt;0,EC$244&gt;=0),126+(-EB$244)/EC$213,0)</f>
        <v>0</v>
      </c>
      <c r="ED245" s="36" t="n">
        <f aca="false">IF(AND(EC$244&lt;0,ED$244&gt;=0),127+(-EC$244)/ED$213,0)</f>
        <v>0</v>
      </c>
      <c r="EE245" s="36" t="n">
        <f aca="false">IF(AND(ED$244&lt;0,EE$244&gt;=0),128+(-ED$244)/EE$213,0)</f>
        <v>0</v>
      </c>
      <c r="EF245" s="36" t="n">
        <f aca="false">IF(AND(EE$244&lt;0,EF$244&gt;=0),129+(-EE$244)/EF$213,0)</f>
        <v>0</v>
      </c>
      <c r="EG245" s="36" t="n">
        <f aca="false">IF(AND(EF$244&lt;0,EG$244&gt;=0),130+(-EF$244)/EG$213,0)</f>
        <v>0</v>
      </c>
      <c r="EH245" s="36" t="n">
        <f aca="false">IF(AND(EG$244&lt;0,EH$244&gt;=0),131+(-EG$244)/EH$213,0)</f>
        <v>0</v>
      </c>
      <c r="EI245" s="36" t="n">
        <f aca="false">IF(AND(EH$244&lt;0,EI$244&gt;=0),132+(-EH$244)/EI$213,0)</f>
        <v>0</v>
      </c>
      <c r="EJ245" s="36" t="n">
        <f aca="false">IF(AND(EI$244&lt;0,EJ$244&gt;=0),133+(-EI$244)/EJ$213,0)</f>
        <v>0</v>
      </c>
      <c r="EK245" s="36" t="n">
        <f aca="false">IF(AND(EJ$244&lt;0,EK$244&gt;=0),134+(-EJ$244)/EK$213,0)</f>
        <v>0</v>
      </c>
      <c r="EL245" s="36" t="n">
        <f aca="false">IF(AND(EK$244&lt;0,EL$244&gt;=0),135+(-EK$244)/EL$213,0)</f>
        <v>0</v>
      </c>
      <c r="EM245" s="36" t="n">
        <f aca="false">IF(AND(EL$244&lt;0,EM$244&gt;=0),136+(-EL$244)/EM$213,0)</f>
        <v>0</v>
      </c>
      <c r="EN245" s="36" t="n">
        <f aca="false">IF(AND(EM$244&lt;0,EN$244&gt;=0),137+(-EM$244)/EN$213,0)</f>
        <v>0</v>
      </c>
      <c r="EO245" s="36" t="n">
        <f aca="false">IF(AND(EN$244&lt;0,EO$244&gt;=0),138+(-EN$244)/EO$213,0)</f>
        <v>0</v>
      </c>
      <c r="EP245" s="36" t="n">
        <f aca="false">IF(AND(EO$244&lt;0,EP$244&gt;=0),139+(-EO$244)/EP$213,0)</f>
        <v>0</v>
      </c>
      <c r="EQ245" s="36" t="n">
        <f aca="false">IF(AND(EP$244&lt;0,EQ$244&gt;=0),140+(-EP$244)/EQ$213,0)</f>
        <v>0</v>
      </c>
      <c r="ER245" s="36" t="n">
        <f aca="false">IF(AND(EQ$244&lt;0,ER$244&gt;=0),141+(-EQ$244)/ER$213,0)</f>
        <v>0</v>
      </c>
      <c r="ES245" s="36" t="n">
        <f aca="false">IF(AND(ER$244&lt;0,ES$244&gt;=0),142+(-ER$244)/ES$213,0)</f>
        <v>0</v>
      </c>
    </row>
    <row r="246" customFormat="false" ht="15" hidden="false" customHeight="false" outlineLevel="0" collapsed="false">
      <c r="A246" s="2" t="s">
        <v>718</v>
      </c>
      <c r="B246" s="6" t="s">
        <v>609</v>
      </c>
      <c r="C246" s="6" t="s">
        <v>212</v>
      </c>
      <c r="E246" s="40" t="n">
        <f aca="false">INDEX(F246:ES246,1,MIN(144,Fin))</f>
        <v>0</v>
      </c>
      <c r="F246" s="34" t="n">
        <f aca="false">0+F$232+F$200-F$236+F$238</f>
        <v>0</v>
      </c>
      <c r="G246" s="34" t="n">
        <f aca="false">F$246+G$232+G$200-G$236+G$238</f>
        <v>0</v>
      </c>
      <c r="H246" s="34" t="n">
        <f aca="false">G$246+H$232+H$200-H$236+H$238</f>
        <v>0</v>
      </c>
      <c r="I246" s="34" t="n">
        <f aca="false">H$246+I$232+I$200-I$236+I$238</f>
        <v>0</v>
      </c>
      <c r="J246" s="34" t="n">
        <f aca="false">I$246+J$232+J$200-J$236+J$238</f>
        <v>0</v>
      </c>
      <c r="K246" s="34" t="n">
        <f aca="false">J$246+K$232+K$200-K$236+K$238</f>
        <v>0</v>
      </c>
      <c r="L246" s="34" t="n">
        <f aca="false">K$246+L$232+L$200-L$236+L$238</f>
        <v>0</v>
      </c>
      <c r="M246" s="34" t="n">
        <f aca="false">L$246+M$232+M$200-M$236+M$238</f>
        <v>0</v>
      </c>
      <c r="N246" s="34" t="n">
        <f aca="false">M$246+N$232+N$200-N$236+N$238</f>
        <v>0</v>
      </c>
      <c r="O246" s="34" t="n">
        <f aca="false">N$246+O$232+O$200-O$236+O$238</f>
        <v>0</v>
      </c>
      <c r="P246" s="34" t="n">
        <f aca="false">O$246+P$232+P$200-P$236+P$238</f>
        <v>0</v>
      </c>
      <c r="Q246" s="34" t="n">
        <f aca="false">P$246+Q$232+Q$200-Q$236+Q$238</f>
        <v>0</v>
      </c>
      <c r="R246" s="34" t="n">
        <f aca="false">Q$246+R$232+R$200-R$236+R$238</f>
        <v>0</v>
      </c>
      <c r="S246" s="34" t="n">
        <f aca="false">R$246+S$232+S$200-S$236+S$238</f>
        <v>0</v>
      </c>
      <c r="T246" s="34" t="n">
        <f aca="false">S$246+T$232+T$200-T$236+T$238</f>
        <v>0</v>
      </c>
      <c r="U246" s="34" t="n">
        <f aca="false">T$246+U$232+U$200-U$236+U$238</f>
        <v>0</v>
      </c>
      <c r="V246" s="34" t="n">
        <f aca="false">U$246+V$232+V$200-V$236+V$238</f>
        <v>0</v>
      </c>
      <c r="W246" s="34" t="n">
        <f aca="false">V$246+W$232+W$200-W$236+W$238</f>
        <v>0</v>
      </c>
      <c r="X246" s="34" t="n">
        <f aca="false">W$246+X$232+X$200-X$236+X$238</f>
        <v>0</v>
      </c>
      <c r="Y246" s="34" t="n">
        <f aca="false">X$246+Y$232+Y$200-Y$236+Y$238</f>
        <v>0</v>
      </c>
      <c r="Z246" s="34" t="n">
        <f aca="false">Y$246+Z$232+Z$200-Z$236+Z$238</f>
        <v>0</v>
      </c>
      <c r="AA246" s="34" t="n">
        <f aca="false">Z$246+AA$232+AA$200-AA$236+AA$238</f>
        <v>0</v>
      </c>
      <c r="AB246" s="34" t="n">
        <f aca="false">AA$246+AB$232+AB$200-AB$236+AB$238</f>
        <v>0</v>
      </c>
      <c r="AC246" s="34" t="n">
        <f aca="false">AB$246+AC$232+AC$200-AC$236+AC$238</f>
        <v>0</v>
      </c>
      <c r="AD246" s="34" t="n">
        <f aca="false">AC$246+AD$232+AD$200-AD$236+AD$238</f>
        <v>0</v>
      </c>
      <c r="AE246" s="34" t="n">
        <f aca="false">AD$246+AE$232+AE$200-AE$236+AE$238</f>
        <v>0</v>
      </c>
      <c r="AF246" s="34" t="n">
        <f aca="false">AE$246+AF$232+AF$200-AF$236+AF$238</f>
        <v>0</v>
      </c>
      <c r="AG246" s="34" t="n">
        <f aca="false">AF$246+AG$232+AG$200-AG$236+AG$238</f>
        <v>0</v>
      </c>
      <c r="AH246" s="34" t="n">
        <f aca="false">AG$246+AH$232+AH$200-AH$236+AH$238</f>
        <v>0</v>
      </c>
      <c r="AI246" s="34" t="n">
        <f aca="false">AH$246+AI$232+AI$200-AI$236+AI$238</f>
        <v>0</v>
      </c>
      <c r="AJ246" s="34" t="n">
        <f aca="false">AI$246+AJ$232+AJ$200-AJ$236+AJ$238</f>
        <v>0</v>
      </c>
      <c r="AK246" s="34" t="n">
        <f aca="false">AJ$246+AK$232+AK$200-AK$236+AK$238</f>
        <v>0</v>
      </c>
      <c r="AL246" s="34" t="n">
        <f aca="false">AK$246+AL$232+AL$200-AL$236+AL$238</f>
        <v>0</v>
      </c>
      <c r="AM246" s="34" t="n">
        <f aca="false">AL$246+AM$232+AM$200-AM$236+AM$238</f>
        <v>0</v>
      </c>
      <c r="AN246" s="34" t="n">
        <f aca="false">AM$246+AN$232+AN$200-AN$236+AN$238</f>
        <v>0</v>
      </c>
      <c r="AO246" s="34" t="n">
        <f aca="false">AN$246+AO$232+AO$200-AO$236+AO$238</f>
        <v>0</v>
      </c>
      <c r="AP246" s="34" t="n">
        <f aca="false">AO$246+AP$232+AP$200-AP$236+AP$238</f>
        <v>0</v>
      </c>
      <c r="AQ246" s="34" t="n">
        <f aca="false">AP$246+AQ$232+AQ$200-AQ$236+AQ$238</f>
        <v>0</v>
      </c>
      <c r="AR246" s="34" t="n">
        <f aca="false">AQ$246+AR$232+AR$200-AR$236+AR$238</f>
        <v>0</v>
      </c>
      <c r="AS246" s="34" t="n">
        <f aca="false">AR$246+AS$232+AS$200-AS$236+AS$238</f>
        <v>0</v>
      </c>
      <c r="AT246" s="34" t="n">
        <f aca="false">AS$246+AT$232+AT$200-AT$236+AT$238</f>
        <v>0</v>
      </c>
      <c r="AU246" s="34" t="n">
        <f aca="false">AT$246+AU$232+AU$200-AU$236+AU$238</f>
        <v>0</v>
      </c>
      <c r="AV246" s="34" t="n">
        <f aca="false">AU$246+AV$232+AV$200-AV$236+AV$238</f>
        <v>0</v>
      </c>
      <c r="AW246" s="34" t="n">
        <f aca="false">AV$246+AW$232+AW$200-AW$236+AW$238</f>
        <v>0</v>
      </c>
      <c r="AX246" s="34" t="n">
        <f aca="false">AW$246+AX$232+AX$200-AX$236+AX$238</f>
        <v>0</v>
      </c>
      <c r="AY246" s="34" t="n">
        <f aca="false">AX$246+AY$232+AY$200-AY$236+AY$238</f>
        <v>0</v>
      </c>
      <c r="AZ246" s="34" t="n">
        <f aca="false">AY$246+AZ$232+AZ$200-AZ$236+AZ$238</f>
        <v>0</v>
      </c>
      <c r="BA246" s="34" t="n">
        <f aca="false">AZ$246+BA$232+BA$200-BA$236+BA$238</f>
        <v>0</v>
      </c>
      <c r="BB246" s="34" t="n">
        <f aca="false">BA$246+BB$232+BB$200-BB$236+BB$238</f>
        <v>0</v>
      </c>
      <c r="BC246" s="34" t="n">
        <f aca="false">BB$246+BC$232+BC$200-BC$236+BC$238</f>
        <v>0</v>
      </c>
      <c r="BD246" s="34" t="n">
        <f aca="false">BC$246+BD$232+BD$200-BD$236+BD$238</f>
        <v>0</v>
      </c>
      <c r="BE246" s="34" t="n">
        <f aca="false">BD$246+BE$232+BE$200-BE$236+BE$238</f>
        <v>0</v>
      </c>
      <c r="BF246" s="34" t="n">
        <f aca="false">BE$246+BF$232+BF$200-BF$236+BF$238</f>
        <v>0</v>
      </c>
      <c r="BG246" s="34" t="n">
        <f aca="false">BF$246+BG$232+BG$200-BG$236+BG$238</f>
        <v>0</v>
      </c>
      <c r="BH246" s="34" t="n">
        <f aca="false">BG$246+BH$232+BH$200-BH$236+BH$238</f>
        <v>0</v>
      </c>
      <c r="BI246" s="34" t="n">
        <f aca="false">BH$246+BI$232+BI$200-BI$236+BI$238</f>
        <v>0</v>
      </c>
      <c r="BJ246" s="34" t="n">
        <f aca="false">BI$246+BJ$232+BJ$200-BJ$236+BJ$238</f>
        <v>0</v>
      </c>
      <c r="BK246" s="34" t="n">
        <f aca="false">BJ$246+BK$232+BK$200-BK$236+BK$238</f>
        <v>0</v>
      </c>
      <c r="BL246" s="34" t="n">
        <f aca="false">BK$246+BL$232+BL$200-BL$236+BL$238</f>
        <v>0</v>
      </c>
      <c r="BM246" s="34" t="n">
        <f aca="false">BL$246+BM$232+BM$200-BM$236+BM$238</f>
        <v>0</v>
      </c>
      <c r="BN246" s="34" t="n">
        <f aca="false">BM$246+BN$232+BN$200-BN$236+BN$238</f>
        <v>0</v>
      </c>
      <c r="BO246" s="34" t="n">
        <f aca="false">BN$246+BO$232+BO$200-BO$236+BO$238</f>
        <v>0</v>
      </c>
      <c r="BP246" s="34" t="n">
        <f aca="false">BO$246+BP$232+BP$200-BP$236+BP$238</f>
        <v>0</v>
      </c>
      <c r="BQ246" s="34" t="n">
        <f aca="false">BP$246+BQ$232+BQ$200-BQ$236+BQ$238</f>
        <v>0</v>
      </c>
      <c r="BR246" s="34" t="n">
        <f aca="false">BQ$246+BR$232+BR$200-BR$236+BR$238</f>
        <v>0</v>
      </c>
      <c r="BS246" s="34" t="n">
        <f aca="false">BR$246+BS$232+BS$200-BS$236+BS$238</f>
        <v>0</v>
      </c>
      <c r="BT246" s="34" t="n">
        <f aca="false">BS$246+BT$232+BT$200-BT$236+BT$238</f>
        <v>0</v>
      </c>
      <c r="BU246" s="34" t="n">
        <f aca="false">BT$246+BU$232+BU$200-BU$236+BU$238</f>
        <v>0</v>
      </c>
      <c r="BV246" s="34" t="n">
        <f aca="false">BU$246+BV$232+BV$200-BV$236+BV$238</f>
        <v>0</v>
      </c>
      <c r="BW246" s="34" t="n">
        <f aca="false">BV$246+BW$232+BW$200-BW$236+BW$238</f>
        <v>0</v>
      </c>
      <c r="BX246" s="34" t="n">
        <f aca="false">BW$246+BX$232+BX$200-BX$236+BX$238</f>
        <v>0</v>
      </c>
      <c r="BY246" s="34" t="n">
        <f aca="false">BX$246+BY$232+BY$200-BY$236+BY$238</f>
        <v>0</v>
      </c>
      <c r="BZ246" s="34" t="n">
        <f aca="false">BY$246+BZ$232+BZ$200-BZ$236+BZ$238</f>
        <v>0</v>
      </c>
      <c r="CA246" s="34" t="n">
        <f aca="false">BZ$246+CA$232+CA$200-CA$236+CA$238</f>
        <v>0</v>
      </c>
      <c r="CB246" s="34" t="n">
        <f aca="false">CA$246+CB$232+CB$200-CB$236+CB$238</f>
        <v>0</v>
      </c>
      <c r="CC246" s="34" t="n">
        <f aca="false">CB$246+CC$232+CC$200-CC$236+CC$238</f>
        <v>0</v>
      </c>
      <c r="CD246" s="34" t="n">
        <f aca="false">CC$246+CD$232+CD$200-CD$236+CD$238</f>
        <v>0</v>
      </c>
      <c r="CE246" s="34" t="n">
        <f aca="false">CD$246+CE$232+CE$200-CE$236+CE$238</f>
        <v>0</v>
      </c>
      <c r="CF246" s="34" t="n">
        <f aca="false">CE$246+CF$232+CF$200-CF$236+CF$238</f>
        <v>0</v>
      </c>
      <c r="CG246" s="34" t="n">
        <f aca="false">CF$246+CG$232+CG$200-CG$236+CG$238</f>
        <v>0</v>
      </c>
      <c r="CH246" s="34" t="n">
        <f aca="false">CG$246+CH$232+CH$200-CH$236+CH$238</f>
        <v>0</v>
      </c>
      <c r="CI246" s="34" t="n">
        <f aca="false">CH$246+CI$232+CI$200-CI$236+CI$238</f>
        <v>0</v>
      </c>
      <c r="CJ246" s="34" t="n">
        <f aca="false">CI$246+CJ$232+CJ$200-CJ$236+CJ$238</f>
        <v>0</v>
      </c>
      <c r="CK246" s="34" t="n">
        <f aca="false">CJ$246+CK$232+CK$200-CK$236+CK$238</f>
        <v>0</v>
      </c>
      <c r="CL246" s="34" t="n">
        <f aca="false">CK$246+CL$232+CL$200-CL$236+CL$238</f>
        <v>0</v>
      </c>
      <c r="CM246" s="34" t="n">
        <f aca="false">CL$246+CM$232+CM$200-CM$236+CM$238</f>
        <v>0</v>
      </c>
      <c r="CN246" s="34" t="n">
        <f aca="false">CM$246+CN$232+CN$200-CN$236+CN$238</f>
        <v>0</v>
      </c>
      <c r="CO246" s="34" t="n">
        <f aca="false">CN$246+CO$232+CO$200-CO$236+CO$238</f>
        <v>0</v>
      </c>
      <c r="CP246" s="34" t="n">
        <f aca="false">CO$246+CP$232+CP$200-CP$236+CP$238</f>
        <v>0</v>
      </c>
      <c r="CQ246" s="34" t="n">
        <f aca="false">CP$246+CQ$232+CQ$200-CQ$236+CQ$238</f>
        <v>0</v>
      </c>
      <c r="CR246" s="34" t="n">
        <f aca="false">CQ$246+CR$232+CR$200-CR$236+CR$238</f>
        <v>0</v>
      </c>
      <c r="CS246" s="34" t="n">
        <f aca="false">CR$246+CS$232+CS$200-CS$236+CS$238</f>
        <v>0</v>
      </c>
      <c r="CT246" s="34" t="n">
        <f aca="false">CS$246+CT$232+CT$200-CT$236+CT$238</f>
        <v>0</v>
      </c>
      <c r="CU246" s="34" t="n">
        <f aca="false">CT$246+CU$232+CU$200-CU$236+CU$238</f>
        <v>0</v>
      </c>
      <c r="CV246" s="34" t="n">
        <f aca="false">CU$246+CV$232+CV$200-CV$236+CV$238</f>
        <v>0</v>
      </c>
      <c r="CW246" s="34" t="n">
        <f aca="false">CV$246+CW$232+CW$200-CW$236+CW$238</f>
        <v>0</v>
      </c>
      <c r="CX246" s="34" t="n">
        <f aca="false">CW$246+CX$232+CX$200-CX$236+CX$238</f>
        <v>0</v>
      </c>
      <c r="CY246" s="34" t="n">
        <f aca="false">CX$246+CY$232+CY$200-CY$236+CY$238</f>
        <v>0</v>
      </c>
      <c r="CZ246" s="34" t="n">
        <f aca="false">CY$246+CZ$232+CZ$200-CZ$236+CZ$238</f>
        <v>0</v>
      </c>
      <c r="DA246" s="34" t="n">
        <f aca="false">CZ$246+DA$232+DA$200-DA$236+DA$238</f>
        <v>0</v>
      </c>
      <c r="DB246" s="34" t="n">
        <f aca="false">DA$246+DB$232+DB$200-DB$236+DB$238</f>
        <v>0</v>
      </c>
      <c r="DC246" s="34" t="n">
        <f aca="false">DB$246+DC$232+DC$200-DC$236+DC$238</f>
        <v>0</v>
      </c>
      <c r="DD246" s="34" t="n">
        <f aca="false">DC$246+DD$232+DD$200-DD$236+DD$238</f>
        <v>0</v>
      </c>
      <c r="DE246" s="34" t="n">
        <f aca="false">DD$246+DE$232+DE$200-DE$236+DE$238</f>
        <v>0</v>
      </c>
      <c r="DF246" s="34" t="n">
        <f aca="false">DE$246+DF$232+DF$200-DF$236+DF$238</f>
        <v>0</v>
      </c>
      <c r="DG246" s="34" t="n">
        <f aca="false">DF$246+DG$232+DG$200-DG$236+DG$238</f>
        <v>0</v>
      </c>
      <c r="DH246" s="34" t="n">
        <f aca="false">DG$246+DH$232+DH$200-DH$236+DH$238</f>
        <v>0</v>
      </c>
      <c r="DI246" s="34" t="n">
        <f aca="false">DH$246+DI$232+DI$200-DI$236+DI$238</f>
        <v>0</v>
      </c>
      <c r="DJ246" s="34" t="n">
        <f aca="false">DI$246+DJ$232+DJ$200-DJ$236+DJ$238</f>
        <v>0</v>
      </c>
      <c r="DK246" s="34" t="n">
        <f aca="false">DJ$246+DK$232+DK$200-DK$236+DK$238</f>
        <v>0</v>
      </c>
      <c r="DL246" s="34" t="n">
        <f aca="false">DK$246+DL$232+DL$200-DL$236+DL$238</f>
        <v>0</v>
      </c>
      <c r="DM246" s="34" t="n">
        <f aca="false">DL$246+DM$232+DM$200-DM$236+DM$238</f>
        <v>0</v>
      </c>
      <c r="DN246" s="34" t="n">
        <f aca="false">DM$246+DN$232+DN$200-DN$236+DN$238</f>
        <v>0</v>
      </c>
      <c r="DO246" s="34" t="n">
        <f aca="false">DN$246+DO$232+DO$200-DO$236+DO$238</f>
        <v>0</v>
      </c>
      <c r="DP246" s="34" t="n">
        <f aca="false">DO$246+DP$232+DP$200-DP$236+DP$238</f>
        <v>0</v>
      </c>
      <c r="DQ246" s="34" t="n">
        <f aca="false">DP$246+DQ$232+DQ$200-DQ$236+DQ$238</f>
        <v>0</v>
      </c>
      <c r="DR246" s="34" t="n">
        <f aca="false">DQ$246+DR$232+DR$200-DR$236+DR$238</f>
        <v>0</v>
      </c>
      <c r="DS246" s="34" t="n">
        <f aca="false">DR$246+DS$232+DS$200-DS$236+DS$238</f>
        <v>0</v>
      </c>
      <c r="DT246" s="34" t="n">
        <f aca="false">DS$246+DT$232+DT$200-DT$236+DT$238</f>
        <v>0</v>
      </c>
      <c r="DU246" s="34" t="n">
        <f aca="false">DT$246+DU$232+DU$200-DU$236+DU$238</f>
        <v>0</v>
      </c>
      <c r="DV246" s="34" t="n">
        <f aca="false">DU$246+DV$232+DV$200-DV$236+DV$238</f>
        <v>0</v>
      </c>
      <c r="DW246" s="34" t="n">
        <f aca="false">DV$246+DW$232+DW$200-DW$236+DW$238</f>
        <v>0</v>
      </c>
      <c r="DX246" s="34" t="n">
        <f aca="false">DW$246+DX$232+DX$200-DX$236+DX$238</f>
        <v>0</v>
      </c>
      <c r="DY246" s="34" t="n">
        <f aca="false">DX$246+DY$232+DY$200-DY$236+DY$238</f>
        <v>0</v>
      </c>
      <c r="DZ246" s="34" t="n">
        <f aca="false">DY$246+DZ$232+DZ$200-DZ$236+DZ$238</f>
        <v>0</v>
      </c>
      <c r="EA246" s="34" t="n">
        <f aca="false">DZ$246+EA$232+EA$200-EA$236+EA$238</f>
        <v>0</v>
      </c>
      <c r="EB246" s="34" t="n">
        <f aca="false">EA$246+EB$232+EB$200-EB$236+EB$238</f>
        <v>0</v>
      </c>
      <c r="EC246" s="34" t="n">
        <f aca="false">EB$246+EC$232+EC$200-EC$236+EC$238</f>
        <v>0</v>
      </c>
      <c r="ED246" s="34" t="n">
        <f aca="false">EC$246+ED$232+ED$200-ED$236+ED$238</f>
        <v>0</v>
      </c>
      <c r="EE246" s="34" t="n">
        <f aca="false">ED$246+EE$232+EE$200-EE$236+EE$238</f>
        <v>0</v>
      </c>
      <c r="EF246" s="34" t="n">
        <f aca="false">EE$246+EF$232+EF$200-EF$236+EF$238</f>
        <v>0</v>
      </c>
      <c r="EG246" s="34" t="n">
        <f aca="false">EF$246+EG$232+EG$200-EG$236+EG$238</f>
        <v>0</v>
      </c>
      <c r="EH246" s="34" t="n">
        <f aca="false">EG$246+EH$232+EH$200-EH$236+EH$238</f>
        <v>0</v>
      </c>
      <c r="EI246" s="34" t="n">
        <f aca="false">EH$246+EI$232+EI$200-EI$236+EI$238</f>
        <v>0</v>
      </c>
      <c r="EJ246" s="34" t="n">
        <f aca="false">EI$246+EJ$232+EJ$200-EJ$236+EJ$238</f>
        <v>0</v>
      </c>
      <c r="EK246" s="34" t="n">
        <f aca="false">EJ$246+EK$232+EK$200-EK$236+EK$238</f>
        <v>0</v>
      </c>
      <c r="EL246" s="34" t="n">
        <f aca="false">EK$246+EL$232+EL$200-EL$236+EL$238</f>
        <v>0</v>
      </c>
      <c r="EM246" s="34" t="n">
        <f aca="false">EL$246+EM$232+EM$200-EM$236+EM$238</f>
        <v>0</v>
      </c>
      <c r="EN246" s="34" t="n">
        <f aca="false">EM$246+EN$232+EN$200-EN$236+EN$238</f>
        <v>0</v>
      </c>
      <c r="EO246" s="34" t="n">
        <f aca="false">EN$246+EO$232+EO$200-EO$236+EO$238</f>
        <v>0</v>
      </c>
      <c r="EP246" s="34" t="n">
        <f aca="false">EO$246+EP$232+EP$200-EP$236+EP$238</f>
        <v>0</v>
      </c>
      <c r="EQ246" s="34" t="n">
        <f aca="false">EP$246+EQ$232+EQ$200-EQ$236+EQ$238</f>
        <v>0</v>
      </c>
      <c r="ER246" s="34" t="n">
        <f aca="false">EQ$246+ER$232+ER$200-ER$236+ER$238</f>
        <v>0</v>
      </c>
      <c r="ES246" s="34" t="n">
        <f aca="false">ER$246+ES$232+ES$200-ES$236+ES$238</f>
        <v>0</v>
      </c>
    </row>
    <row r="247" customFormat="false" ht="15" hidden="false" customHeight="false" outlineLevel="0" collapsed="false">
      <c r="A247" s="2" t="s">
        <v>719</v>
      </c>
      <c r="B247" s="52" t="s">
        <v>611</v>
      </c>
      <c r="C247" s="6" t="s">
        <v>212</v>
      </c>
      <c r="E247" s="53" t="n">
        <f aca="false">MAX(ABS(MAX(F247:ES247)),ABS(MIN(F247:ES247)))</f>
        <v>0</v>
      </c>
      <c r="F247" s="54" t="n">
        <f aca="false">ROUND(F$237+F$202+F$203+F$204+F$211-F$205-F$231-F$246,2)</f>
        <v>0</v>
      </c>
      <c r="G247" s="54" t="n">
        <f aca="false">ROUND(G$237+G$202+G$203+G$204+G$211-G$205-G$231-G$246,2)</f>
        <v>0</v>
      </c>
      <c r="H247" s="54" t="n">
        <f aca="false">ROUND(H$237+H$202+H$203+H$204+H$211-H$205-H$231-H$246,2)</f>
        <v>0</v>
      </c>
      <c r="I247" s="54" t="n">
        <f aca="false">ROUND(I$237+I$202+I$203+I$204+I$211-I$205-I$231-I$246,2)</f>
        <v>0</v>
      </c>
      <c r="J247" s="54" t="n">
        <f aca="false">ROUND(J$237+J$202+J$203+J$204+J$211-J$205-J$231-J$246,2)</f>
        <v>0</v>
      </c>
      <c r="K247" s="54" t="n">
        <f aca="false">ROUND(K$237+K$202+K$203+K$204+K$211-K$205-K$231-K$246,2)</f>
        <v>0</v>
      </c>
      <c r="L247" s="54" t="n">
        <f aca="false">ROUND(L$237+L$202+L$203+L$204+L$211-L$205-L$231-L$246,2)</f>
        <v>0</v>
      </c>
      <c r="M247" s="54" t="n">
        <f aca="false">ROUND(M$237+M$202+M$203+M$204+M$211-M$205-M$231-M$246,2)</f>
        <v>0</v>
      </c>
      <c r="N247" s="54" t="n">
        <f aca="false">ROUND(N$237+N$202+N$203+N$204+N$211-N$205-N$231-N$246,2)</f>
        <v>0</v>
      </c>
      <c r="O247" s="54" t="n">
        <f aca="false">ROUND(O$237+O$202+O$203+O$204+O$211-O$205-O$231-O$246,2)</f>
        <v>0</v>
      </c>
      <c r="P247" s="54" t="n">
        <f aca="false">ROUND(P$237+P$202+P$203+P$204+P$211-P$205-P$231-P$246,2)</f>
        <v>0</v>
      </c>
      <c r="Q247" s="54" t="n">
        <f aca="false">ROUND(Q$237+Q$202+Q$203+Q$204+Q$211-Q$205-Q$231-Q$246,2)</f>
        <v>0</v>
      </c>
      <c r="R247" s="54" t="n">
        <f aca="false">ROUND(R$237+R$202+R$203+R$204+R$211-R$205-R$231-R$246,2)</f>
        <v>0</v>
      </c>
      <c r="S247" s="54" t="n">
        <f aca="false">ROUND(S$237+S$202+S$203+S$204+S$211-S$205-S$231-S$246,2)</f>
        <v>0</v>
      </c>
      <c r="T247" s="54" t="n">
        <f aca="false">ROUND(T$237+T$202+T$203+T$204+T$211-T$205-T$231-T$246,2)</f>
        <v>0</v>
      </c>
      <c r="U247" s="54" t="n">
        <f aca="false">ROUND(U$237+U$202+U$203+U$204+U$211-U$205-U$231-U$246,2)</f>
        <v>0</v>
      </c>
      <c r="V247" s="54" t="n">
        <f aca="false">ROUND(V$237+V$202+V$203+V$204+V$211-V$205-V$231-V$246,2)</f>
        <v>0</v>
      </c>
      <c r="W247" s="54" t="n">
        <f aca="false">ROUND(W$237+W$202+W$203+W$204+W$211-W$205-W$231-W$246,2)</f>
        <v>0</v>
      </c>
      <c r="X247" s="54" t="n">
        <f aca="false">ROUND(X$237+X$202+X$203+X$204+X$211-X$205-X$231-X$246,2)</f>
        <v>0</v>
      </c>
      <c r="Y247" s="54" t="n">
        <f aca="false">ROUND(Y$237+Y$202+Y$203+Y$204+Y$211-Y$205-Y$231-Y$246,2)</f>
        <v>0</v>
      </c>
      <c r="Z247" s="54" t="n">
        <f aca="false">ROUND(Z$237+Z$202+Z$203+Z$204+Z$211-Z$205-Z$231-Z$246,2)</f>
        <v>0</v>
      </c>
      <c r="AA247" s="54" t="n">
        <f aca="false">ROUND(AA$237+AA$202+AA$203+AA$204+AA$211-AA$205-AA$231-AA$246,2)</f>
        <v>0</v>
      </c>
      <c r="AB247" s="54" t="n">
        <f aca="false">ROUND(AB$237+AB$202+AB$203+AB$204+AB$211-AB$205-AB$231-AB$246,2)</f>
        <v>0</v>
      </c>
      <c r="AC247" s="54" t="n">
        <f aca="false">ROUND(AC$237+AC$202+AC$203+AC$204+AC$211-AC$205-AC$231-AC$246,2)</f>
        <v>0</v>
      </c>
      <c r="AD247" s="54" t="n">
        <f aca="false">ROUND(AD$237+AD$202+AD$203+AD$204+AD$211-AD$205-AD$231-AD$246,2)</f>
        <v>0</v>
      </c>
      <c r="AE247" s="54" t="n">
        <f aca="false">ROUND(AE$237+AE$202+AE$203+AE$204+AE$211-AE$205-AE$231-AE$246,2)</f>
        <v>0</v>
      </c>
      <c r="AF247" s="54" t="n">
        <f aca="false">ROUND(AF$237+AF$202+AF$203+AF$204+AF$211-AF$205-AF$231-AF$246,2)</f>
        <v>0</v>
      </c>
      <c r="AG247" s="54" t="n">
        <f aca="false">ROUND(AG$237+AG$202+AG$203+AG$204+AG$211-AG$205-AG$231-AG$246,2)</f>
        <v>0</v>
      </c>
      <c r="AH247" s="54" t="n">
        <f aca="false">ROUND(AH$237+AH$202+AH$203+AH$204+AH$211-AH$205-AH$231-AH$246,2)</f>
        <v>0</v>
      </c>
      <c r="AI247" s="54" t="n">
        <f aca="false">ROUND(AI$237+AI$202+AI$203+AI$204+AI$211-AI$205-AI$231-AI$246,2)</f>
        <v>0</v>
      </c>
      <c r="AJ247" s="54" t="n">
        <f aca="false">ROUND(AJ$237+AJ$202+AJ$203+AJ$204+AJ$211-AJ$205-AJ$231-AJ$246,2)</f>
        <v>0</v>
      </c>
      <c r="AK247" s="54" t="n">
        <f aca="false">ROUND(AK$237+AK$202+AK$203+AK$204+AK$211-AK$205-AK$231-AK$246,2)</f>
        <v>0</v>
      </c>
      <c r="AL247" s="54" t="n">
        <f aca="false">ROUND(AL$237+AL$202+AL$203+AL$204+AL$211-AL$205-AL$231-AL$246,2)</f>
        <v>0</v>
      </c>
      <c r="AM247" s="54" t="n">
        <f aca="false">ROUND(AM$237+AM$202+AM$203+AM$204+AM$211-AM$205-AM$231-AM$246,2)</f>
        <v>0</v>
      </c>
      <c r="AN247" s="54" t="n">
        <f aca="false">ROUND(AN$237+AN$202+AN$203+AN$204+AN$211-AN$205-AN$231-AN$246,2)</f>
        <v>0</v>
      </c>
      <c r="AO247" s="54" t="n">
        <f aca="false">ROUND(AO$237+AO$202+AO$203+AO$204+AO$211-AO$205-AO$231-AO$246,2)</f>
        <v>0</v>
      </c>
      <c r="AP247" s="54" t="n">
        <f aca="false">ROUND(AP$237+AP$202+AP$203+AP$204+AP$211-AP$205-AP$231-AP$246,2)</f>
        <v>0</v>
      </c>
      <c r="AQ247" s="54" t="n">
        <f aca="false">ROUND(AQ$237+AQ$202+AQ$203+AQ$204+AQ$211-AQ$205-AQ$231-AQ$246,2)</f>
        <v>0</v>
      </c>
      <c r="AR247" s="54" t="n">
        <f aca="false">ROUND(AR$237+AR$202+AR$203+AR$204+AR$211-AR$205-AR$231-AR$246,2)</f>
        <v>0</v>
      </c>
      <c r="AS247" s="54" t="n">
        <f aca="false">ROUND(AS$237+AS$202+AS$203+AS$204+AS$211-AS$205-AS$231-AS$246,2)</f>
        <v>0</v>
      </c>
      <c r="AT247" s="54" t="n">
        <f aca="false">ROUND(AT$237+AT$202+AT$203+AT$204+AT$211-AT$205-AT$231-AT$246,2)</f>
        <v>0</v>
      </c>
      <c r="AU247" s="54" t="n">
        <f aca="false">ROUND(AU$237+AU$202+AU$203+AU$204+AU$211-AU$205-AU$231-AU$246,2)</f>
        <v>0</v>
      </c>
      <c r="AV247" s="54" t="n">
        <f aca="false">ROUND(AV$237+AV$202+AV$203+AV$204+AV$211-AV$205-AV$231-AV$246,2)</f>
        <v>0</v>
      </c>
      <c r="AW247" s="54" t="n">
        <f aca="false">ROUND(AW$237+AW$202+AW$203+AW$204+AW$211-AW$205-AW$231-AW$246,2)</f>
        <v>0</v>
      </c>
      <c r="AX247" s="54" t="n">
        <f aca="false">ROUND(AX$237+AX$202+AX$203+AX$204+AX$211-AX$205-AX$231-AX$246,2)</f>
        <v>0</v>
      </c>
      <c r="AY247" s="54" t="n">
        <f aca="false">ROUND(AY$237+AY$202+AY$203+AY$204+AY$211-AY$205-AY$231-AY$246,2)</f>
        <v>0</v>
      </c>
      <c r="AZ247" s="54" t="n">
        <f aca="false">ROUND(AZ$237+AZ$202+AZ$203+AZ$204+AZ$211-AZ$205-AZ$231-AZ$246,2)</f>
        <v>0</v>
      </c>
      <c r="BA247" s="54" t="n">
        <f aca="false">ROUND(BA$237+BA$202+BA$203+BA$204+BA$211-BA$205-BA$231-BA$246,2)</f>
        <v>0</v>
      </c>
      <c r="BB247" s="54" t="n">
        <f aca="false">ROUND(BB$237+BB$202+BB$203+BB$204+BB$211-BB$205-BB$231-BB$246,2)</f>
        <v>0</v>
      </c>
      <c r="BC247" s="54" t="n">
        <f aca="false">ROUND(BC$237+BC$202+BC$203+BC$204+BC$211-BC$205-BC$231-BC$246,2)</f>
        <v>0</v>
      </c>
      <c r="BD247" s="54" t="n">
        <f aca="false">ROUND(BD$237+BD$202+BD$203+BD$204+BD$211-BD$205-BD$231-BD$246,2)</f>
        <v>0</v>
      </c>
      <c r="BE247" s="54" t="n">
        <f aca="false">ROUND(BE$237+BE$202+BE$203+BE$204+BE$211-BE$205-BE$231-BE$246,2)</f>
        <v>0</v>
      </c>
      <c r="BF247" s="54" t="n">
        <f aca="false">ROUND(BF$237+BF$202+BF$203+BF$204+BF$211-BF$205-BF$231-BF$246,2)</f>
        <v>0</v>
      </c>
      <c r="BG247" s="54" t="n">
        <f aca="false">ROUND(BG$237+BG$202+BG$203+BG$204+BG$211-BG$205-BG$231-BG$246,2)</f>
        <v>0</v>
      </c>
      <c r="BH247" s="54" t="n">
        <f aca="false">ROUND(BH$237+BH$202+BH$203+BH$204+BH$211-BH$205-BH$231-BH$246,2)</f>
        <v>0</v>
      </c>
      <c r="BI247" s="54" t="n">
        <f aca="false">ROUND(BI$237+BI$202+BI$203+BI$204+BI$211-BI$205-BI$231-BI$246,2)</f>
        <v>0</v>
      </c>
      <c r="BJ247" s="54" t="n">
        <f aca="false">ROUND(BJ$237+BJ$202+BJ$203+BJ$204+BJ$211-BJ$205-BJ$231-BJ$246,2)</f>
        <v>0</v>
      </c>
      <c r="BK247" s="54" t="n">
        <f aca="false">ROUND(BK$237+BK$202+BK$203+BK$204+BK$211-BK$205-BK$231-BK$246,2)</f>
        <v>0</v>
      </c>
      <c r="BL247" s="54" t="n">
        <f aca="false">ROUND(BL$237+BL$202+BL$203+BL$204+BL$211-BL$205-BL$231-BL$246,2)</f>
        <v>0</v>
      </c>
      <c r="BM247" s="54" t="n">
        <f aca="false">ROUND(BM$237+BM$202+BM$203+BM$204+BM$211-BM$205-BM$231-BM$246,2)</f>
        <v>0</v>
      </c>
      <c r="BN247" s="54" t="n">
        <f aca="false">ROUND(BN$237+BN$202+BN$203+BN$204+BN$211-BN$205-BN$231-BN$246,2)</f>
        <v>0</v>
      </c>
      <c r="BO247" s="54" t="n">
        <f aca="false">ROUND(BO$237+BO$202+BO$203+BO$204+BO$211-BO$205-BO$231-BO$246,2)</f>
        <v>0</v>
      </c>
      <c r="BP247" s="54" t="n">
        <f aca="false">ROUND(BP$237+BP$202+BP$203+BP$204+BP$211-BP$205-BP$231-BP$246,2)</f>
        <v>0</v>
      </c>
      <c r="BQ247" s="54" t="n">
        <f aca="false">ROUND(BQ$237+BQ$202+BQ$203+BQ$204+BQ$211-BQ$205-BQ$231-BQ$246,2)</f>
        <v>0</v>
      </c>
      <c r="BR247" s="54" t="n">
        <f aca="false">ROUND(BR$237+BR$202+BR$203+BR$204+BR$211-BR$205-BR$231-BR$246,2)</f>
        <v>0</v>
      </c>
      <c r="BS247" s="54" t="n">
        <f aca="false">ROUND(BS$237+BS$202+BS$203+BS$204+BS$211-BS$205-BS$231-BS$246,2)</f>
        <v>0</v>
      </c>
      <c r="BT247" s="54" t="n">
        <f aca="false">ROUND(BT$237+BT$202+BT$203+BT$204+BT$211-BT$205-BT$231-BT$246,2)</f>
        <v>0</v>
      </c>
      <c r="BU247" s="54" t="n">
        <f aca="false">ROUND(BU$237+BU$202+BU$203+BU$204+BU$211-BU$205-BU$231-BU$246,2)</f>
        <v>0</v>
      </c>
      <c r="BV247" s="54" t="n">
        <f aca="false">ROUND(BV$237+BV$202+BV$203+BV$204+BV$211-BV$205-BV$231-BV$246,2)</f>
        <v>0</v>
      </c>
      <c r="BW247" s="54" t="n">
        <f aca="false">ROUND(BW$237+BW$202+BW$203+BW$204+BW$211-BW$205-BW$231-BW$246,2)</f>
        <v>0</v>
      </c>
      <c r="BX247" s="54" t="n">
        <f aca="false">ROUND(BX$237+BX$202+BX$203+BX$204+BX$211-BX$205-BX$231-BX$246,2)</f>
        <v>0</v>
      </c>
      <c r="BY247" s="54" t="n">
        <f aca="false">ROUND(BY$237+BY$202+BY$203+BY$204+BY$211-BY$205-BY$231-BY$246,2)</f>
        <v>0</v>
      </c>
      <c r="BZ247" s="54" t="n">
        <f aca="false">ROUND(BZ$237+BZ$202+BZ$203+BZ$204+BZ$211-BZ$205-BZ$231-BZ$246,2)</f>
        <v>0</v>
      </c>
      <c r="CA247" s="54" t="n">
        <f aca="false">ROUND(CA$237+CA$202+CA$203+CA$204+CA$211-CA$205-CA$231-CA$246,2)</f>
        <v>0</v>
      </c>
      <c r="CB247" s="54" t="n">
        <f aca="false">ROUND(CB$237+CB$202+CB$203+CB$204+CB$211-CB$205-CB$231-CB$246,2)</f>
        <v>0</v>
      </c>
      <c r="CC247" s="54" t="n">
        <f aca="false">ROUND(CC$237+CC$202+CC$203+CC$204+CC$211-CC$205-CC$231-CC$246,2)</f>
        <v>0</v>
      </c>
      <c r="CD247" s="54" t="n">
        <f aca="false">ROUND(CD$237+CD$202+CD$203+CD$204+CD$211-CD$205-CD$231-CD$246,2)</f>
        <v>0</v>
      </c>
      <c r="CE247" s="54" t="n">
        <f aca="false">ROUND(CE$237+CE$202+CE$203+CE$204+CE$211-CE$205-CE$231-CE$246,2)</f>
        <v>0</v>
      </c>
      <c r="CF247" s="54" t="n">
        <f aca="false">ROUND(CF$237+CF$202+CF$203+CF$204+CF$211-CF$205-CF$231-CF$246,2)</f>
        <v>0</v>
      </c>
      <c r="CG247" s="54" t="n">
        <f aca="false">ROUND(CG$237+CG$202+CG$203+CG$204+CG$211-CG$205-CG$231-CG$246,2)</f>
        <v>0</v>
      </c>
      <c r="CH247" s="54" t="n">
        <f aca="false">ROUND(CH$237+CH$202+CH$203+CH$204+CH$211-CH$205-CH$231-CH$246,2)</f>
        <v>0</v>
      </c>
      <c r="CI247" s="54" t="n">
        <f aca="false">ROUND(CI$237+CI$202+CI$203+CI$204+CI$211-CI$205-CI$231-CI$246,2)</f>
        <v>0</v>
      </c>
      <c r="CJ247" s="54" t="n">
        <f aca="false">ROUND(CJ$237+CJ$202+CJ$203+CJ$204+CJ$211-CJ$205-CJ$231-CJ$246,2)</f>
        <v>0</v>
      </c>
      <c r="CK247" s="54" t="n">
        <f aca="false">ROUND(CK$237+CK$202+CK$203+CK$204+CK$211-CK$205-CK$231-CK$246,2)</f>
        <v>0</v>
      </c>
      <c r="CL247" s="54" t="n">
        <f aca="false">ROUND(CL$237+CL$202+CL$203+CL$204+CL$211-CL$205-CL$231-CL$246,2)</f>
        <v>0</v>
      </c>
      <c r="CM247" s="54" t="n">
        <f aca="false">ROUND(CM$237+CM$202+CM$203+CM$204+CM$211-CM$205-CM$231-CM$246,2)</f>
        <v>0</v>
      </c>
      <c r="CN247" s="54" t="n">
        <f aca="false">ROUND(CN$237+CN$202+CN$203+CN$204+CN$211-CN$205-CN$231-CN$246,2)</f>
        <v>0</v>
      </c>
      <c r="CO247" s="54" t="n">
        <f aca="false">ROUND(CO$237+CO$202+CO$203+CO$204+CO$211-CO$205-CO$231-CO$246,2)</f>
        <v>0</v>
      </c>
      <c r="CP247" s="54" t="n">
        <f aca="false">ROUND(CP$237+CP$202+CP$203+CP$204+CP$211-CP$205-CP$231-CP$246,2)</f>
        <v>0</v>
      </c>
      <c r="CQ247" s="54" t="n">
        <f aca="false">ROUND(CQ$237+CQ$202+CQ$203+CQ$204+CQ$211-CQ$205-CQ$231-CQ$246,2)</f>
        <v>0</v>
      </c>
      <c r="CR247" s="54" t="n">
        <f aca="false">ROUND(CR$237+CR$202+CR$203+CR$204+CR$211-CR$205-CR$231-CR$246,2)</f>
        <v>0</v>
      </c>
      <c r="CS247" s="54" t="n">
        <f aca="false">ROUND(CS$237+CS$202+CS$203+CS$204+CS$211-CS$205-CS$231-CS$246,2)</f>
        <v>0</v>
      </c>
      <c r="CT247" s="54" t="n">
        <f aca="false">ROUND(CT$237+CT$202+CT$203+CT$204+CT$211-CT$205-CT$231-CT$246,2)</f>
        <v>0</v>
      </c>
      <c r="CU247" s="54" t="n">
        <f aca="false">ROUND(CU$237+CU$202+CU$203+CU$204+CU$211-CU$205-CU$231-CU$246,2)</f>
        <v>0</v>
      </c>
      <c r="CV247" s="54" t="n">
        <f aca="false">ROUND(CV$237+CV$202+CV$203+CV$204+CV$211-CV$205-CV$231-CV$246,2)</f>
        <v>0</v>
      </c>
      <c r="CW247" s="54" t="n">
        <f aca="false">ROUND(CW$237+CW$202+CW$203+CW$204+CW$211-CW$205-CW$231-CW$246,2)</f>
        <v>0</v>
      </c>
      <c r="CX247" s="54" t="n">
        <f aca="false">ROUND(CX$237+CX$202+CX$203+CX$204+CX$211-CX$205-CX$231-CX$246,2)</f>
        <v>0</v>
      </c>
      <c r="CY247" s="54" t="n">
        <f aca="false">ROUND(CY$237+CY$202+CY$203+CY$204+CY$211-CY$205-CY$231-CY$246,2)</f>
        <v>0</v>
      </c>
      <c r="CZ247" s="54" t="n">
        <f aca="false">ROUND(CZ$237+CZ$202+CZ$203+CZ$204+CZ$211-CZ$205-CZ$231-CZ$246,2)</f>
        <v>0</v>
      </c>
      <c r="DA247" s="54" t="n">
        <f aca="false">ROUND(DA$237+DA$202+DA$203+DA$204+DA$211-DA$205-DA$231-DA$246,2)</f>
        <v>0</v>
      </c>
      <c r="DB247" s="54" t="n">
        <f aca="false">ROUND(DB$237+DB$202+DB$203+DB$204+DB$211-DB$205-DB$231-DB$246,2)</f>
        <v>0</v>
      </c>
      <c r="DC247" s="54" t="n">
        <f aca="false">ROUND(DC$237+DC$202+DC$203+DC$204+DC$211-DC$205-DC$231-DC$246,2)</f>
        <v>0</v>
      </c>
      <c r="DD247" s="54" t="n">
        <f aca="false">ROUND(DD$237+DD$202+DD$203+DD$204+DD$211-DD$205-DD$231-DD$246,2)</f>
        <v>0</v>
      </c>
      <c r="DE247" s="54" t="n">
        <f aca="false">ROUND(DE$237+DE$202+DE$203+DE$204+DE$211-DE$205-DE$231-DE$246,2)</f>
        <v>0</v>
      </c>
      <c r="DF247" s="54" t="n">
        <f aca="false">ROUND(DF$237+DF$202+DF$203+DF$204+DF$211-DF$205-DF$231-DF$246,2)</f>
        <v>0</v>
      </c>
      <c r="DG247" s="54" t="n">
        <f aca="false">ROUND(DG$237+DG$202+DG$203+DG$204+DG$211-DG$205-DG$231-DG$246,2)</f>
        <v>0</v>
      </c>
      <c r="DH247" s="54" t="n">
        <f aca="false">ROUND(DH$237+DH$202+DH$203+DH$204+DH$211-DH$205-DH$231-DH$246,2)</f>
        <v>0</v>
      </c>
      <c r="DI247" s="54" t="n">
        <f aca="false">ROUND(DI$237+DI$202+DI$203+DI$204+DI$211-DI$205-DI$231-DI$246,2)</f>
        <v>0</v>
      </c>
      <c r="DJ247" s="54" t="n">
        <f aca="false">ROUND(DJ$237+DJ$202+DJ$203+DJ$204+DJ$211-DJ$205-DJ$231-DJ$246,2)</f>
        <v>0</v>
      </c>
      <c r="DK247" s="54" t="n">
        <f aca="false">ROUND(DK$237+DK$202+DK$203+DK$204+DK$211-DK$205-DK$231-DK$246,2)</f>
        <v>0</v>
      </c>
      <c r="DL247" s="54" t="n">
        <f aca="false">ROUND(DL$237+DL$202+DL$203+DL$204+DL$211-DL$205-DL$231-DL$246,2)</f>
        <v>0</v>
      </c>
      <c r="DM247" s="54" t="n">
        <f aca="false">ROUND(DM$237+DM$202+DM$203+DM$204+DM$211-DM$205-DM$231-DM$246,2)</f>
        <v>0</v>
      </c>
      <c r="DN247" s="54" t="n">
        <f aca="false">ROUND(DN$237+DN$202+DN$203+DN$204+DN$211-DN$205-DN$231-DN$246,2)</f>
        <v>0</v>
      </c>
      <c r="DO247" s="54" t="n">
        <f aca="false">ROUND(DO$237+DO$202+DO$203+DO$204+DO$211-DO$205-DO$231-DO$246,2)</f>
        <v>0</v>
      </c>
      <c r="DP247" s="54" t="n">
        <f aca="false">ROUND(DP$237+DP$202+DP$203+DP$204+DP$211-DP$205-DP$231-DP$246,2)</f>
        <v>0</v>
      </c>
      <c r="DQ247" s="54" t="n">
        <f aca="false">ROUND(DQ$237+DQ$202+DQ$203+DQ$204+DQ$211-DQ$205-DQ$231-DQ$246,2)</f>
        <v>0</v>
      </c>
      <c r="DR247" s="54" t="n">
        <f aca="false">ROUND(DR$237+DR$202+DR$203+DR$204+DR$211-DR$205-DR$231-DR$246,2)</f>
        <v>0</v>
      </c>
      <c r="DS247" s="54" t="n">
        <f aca="false">ROUND(DS$237+DS$202+DS$203+DS$204+DS$211-DS$205-DS$231-DS$246,2)</f>
        <v>0</v>
      </c>
      <c r="DT247" s="54" t="n">
        <f aca="false">ROUND(DT$237+DT$202+DT$203+DT$204+DT$211-DT$205-DT$231-DT$246,2)</f>
        <v>0</v>
      </c>
      <c r="DU247" s="54" t="n">
        <f aca="false">ROUND(DU$237+DU$202+DU$203+DU$204+DU$211-DU$205-DU$231-DU$246,2)</f>
        <v>0</v>
      </c>
      <c r="DV247" s="54" t="n">
        <f aca="false">ROUND(DV$237+DV$202+DV$203+DV$204+DV$211-DV$205-DV$231-DV$246,2)</f>
        <v>0</v>
      </c>
      <c r="DW247" s="54" t="n">
        <f aca="false">ROUND(DW$237+DW$202+DW$203+DW$204+DW$211-DW$205-DW$231-DW$246,2)</f>
        <v>0</v>
      </c>
      <c r="DX247" s="54" t="n">
        <f aca="false">ROUND(DX$237+DX$202+DX$203+DX$204+DX$211-DX$205-DX$231-DX$246,2)</f>
        <v>0</v>
      </c>
      <c r="DY247" s="54" t="n">
        <f aca="false">ROUND(DY$237+DY$202+DY$203+DY$204+DY$211-DY$205-DY$231-DY$246,2)</f>
        <v>0</v>
      </c>
      <c r="DZ247" s="54" t="n">
        <f aca="false">ROUND(DZ$237+DZ$202+DZ$203+DZ$204+DZ$211-DZ$205-DZ$231-DZ$246,2)</f>
        <v>0</v>
      </c>
      <c r="EA247" s="54" t="n">
        <f aca="false">ROUND(EA$237+EA$202+EA$203+EA$204+EA$211-EA$205-EA$231-EA$246,2)</f>
        <v>0</v>
      </c>
      <c r="EB247" s="54" t="n">
        <f aca="false">ROUND(EB$237+EB$202+EB$203+EB$204+EB$211-EB$205-EB$231-EB$246,2)</f>
        <v>0</v>
      </c>
      <c r="EC247" s="54" t="n">
        <f aca="false">ROUND(EC$237+EC$202+EC$203+EC$204+EC$211-EC$205-EC$231-EC$246,2)</f>
        <v>0</v>
      </c>
      <c r="ED247" s="54" t="n">
        <f aca="false">ROUND(ED$237+ED$202+ED$203+ED$204+ED$211-ED$205-ED$231-ED$246,2)</f>
        <v>0</v>
      </c>
      <c r="EE247" s="54" t="n">
        <f aca="false">ROUND(EE$237+EE$202+EE$203+EE$204+EE$211-EE$205-EE$231-EE$246,2)</f>
        <v>0</v>
      </c>
      <c r="EF247" s="54" t="n">
        <f aca="false">ROUND(EF$237+EF$202+EF$203+EF$204+EF$211-EF$205-EF$231-EF$246,2)</f>
        <v>0</v>
      </c>
      <c r="EG247" s="54" t="n">
        <f aca="false">ROUND(EG$237+EG$202+EG$203+EG$204+EG$211-EG$205-EG$231-EG$246,2)</f>
        <v>0</v>
      </c>
      <c r="EH247" s="54" t="n">
        <f aca="false">ROUND(EH$237+EH$202+EH$203+EH$204+EH$211-EH$205-EH$231-EH$246,2)</f>
        <v>0</v>
      </c>
      <c r="EI247" s="54" t="n">
        <f aca="false">ROUND(EI$237+EI$202+EI$203+EI$204+EI$211-EI$205-EI$231-EI$246,2)</f>
        <v>0</v>
      </c>
      <c r="EJ247" s="54" t="n">
        <f aca="false">ROUND(EJ$237+EJ$202+EJ$203+EJ$204+EJ$211-EJ$205-EJ$231-EJ$246,2)</f>
        <v>0</v>
      </c>
      <c r="EK247" s="54" t="n">
        <f aca="false">ROUND(EK$237+EK$202+EK$203+EK$204+EK$211-EK$205-EK$231-EK$246,2)</f>
        <v>0</v>
      </c>
      <c r="EL247" s="54" t="n">
        <f aca="false">ROUND(EL$237+EL$202+EL$203+EL$204+EL$211-EL$205-EL$231-EL$246,2)</f>
        <v>0</v>
      </c>
      <c r="EM247" s="54" t="n">
        <f aca="false">ROUND(EM$237+EM$202+EM$203+EM$204+EM$211-EM$205-EM$231-EM$246,2)</f>
        <v>0</v>
      </c>
      <c r="EN247" s="54" t="n">
        <f aca="false">ROUND(EN$237+EN$202+EN$203+EN$204+EN$211-EN$205-EN$231-EN$246,2)</f>
        <v>0</v>
      </c>
      <c r="EO247" s="54" t="n">
        <f aca="false">ROUND(EO$237+EO$202+EO$203+EO$204+EO$211-EO$205-EO$231-EO$246,2)</f>
        <v>0</v>
      </c>
      <c r="EP247" s="54" t="n">
        <f aca="false">ROUND(EP$237+EP$202+EP$203+EP$204+EP$211-EP$205-EP$231-EP$246,2)</f>
        <v>0</v>
      </c>
      <c r="EQ247" s="54" t="n">
        <f aca="false">ROUND(EQ$237+EQ$202+EQ$203+EQ$204+EQ$211-EQ$205-EQ$231-EQ$246,2)</f>
        <v>0</v>
      </c>
      <c r="ER247" s="54" t="n">
        <f aca="false">ROUND(ER$237+ER$202+ER$203+ER$204+ER$211-ER$205-ER$231-ER$246,2)</f>
        <v>0</v>
      </c>
      <c r="ES247" s="54" t="n">
        <f aca="false">ROUND(ES$237+ES$202+ES$203+ES$204+ES$211-ES$205-ES$231-ES$246,2)</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O13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56"/>
    <col collapsed="false" customWidth="true" hidden="false" outlineLevel="0" max="3" min="3" style="0" width="16"/>
    <col collapsed="false" customWidth="true" hidden="false" outlineLevel="0" max="15" min="4" style="0" width="13"/>
  </cols>
  <sheetData>
    <row r="1" customFormat="false" ht="16.15" hidden="false" customHeight="false" outlineLevel="0" collapsed="false">
      <c r="A1" s="1" t="s">
        <v>720</v>
      </c>
    </row>
    <row r="2" customFormat="false" ht="15" hidden="false" customHeight="false" outlineLevel="0" collapsed="false">
      <c r="A2" s="57" t="str">
        <f aca="false">"Escenario de proyección: "&amp;n_Escenario&amp;"   |   Último mes cerrado: "&amp;IF(Corte=0,"sin datos reales","mes "&amp;Corte)</f>
        <v>Escenario de proyección: Vigente   |   Último mes cerrado: sin datos reales</v>
      </c>
    </row>
    <row r="4" customFormat="false" ht="15" hidden="false" customHeight="false" outlineLevel="0" collapsed="false">
      <c r="A4" s="3" t="s">
        <v>721</v>
      </c>
      <c r="B4" s="4"/>
      <c r="C4" s="4"/>
      <c r="D4" s="4"/>
      <c r="E4" s="4"/>
      <c r="F4" s="4"/>
      <c r="G4" s="4"/>
      <c r="H4" s="4"/>
      <c r="I4" s="4"/>
      <c r="J4" s="4"/>
      <c r="K4" s="4"/>
      <c r="L4" s="4"/>
      <c r="M4" s="4"/>
      <c r="N4" s="4"/>
      <c r="O4" s="4"/>
    </row>
    <row r="5" customFormat="false" ht="30" hidden="false" customHeight="true" outlineLevel="0" collapsed="false">
      <c r="A5" s="5"/>
      <c r="B5" s="5" t="s">
        <v>722</v>
      </c>
      <c r="C5" s="5" t="s">
        <v>32</v>
      </c>
      <c r="D5" s="5" t="s">
        <v>723</v>
      </c>
      <c r="E5" s="5" t="s">
        <v>724</v>
      </c>
      <c r="F5" s="5" t="s">
        <v>42</v>
      </c>
    </row>
    <row r="6" customFormat="false" ht="15" hidden="false" customHeight="false" outlineLevel="0" collapsed="false">
      <c r="B6" s="6" t="s">
        <v>725</v>
      </c>
      <c r="C6" s="58" t="n">
        <f aca="false">SUMIFS(Calculo!$F$45:$ES$45,Calculo!$F$6:$ES$6,1)</f>
        <v>0</v>
      </c>
      <c r="D6" s="59" t="n">
        <f aca="false">SUMIFS(Calculo!$F$164:$ES$164,Calculo!$F$6:$ES$6,1)</f>
        <v>0</v>
      </c>
      <c r="E6" s="34" t="n">
        <f aca="false">IF(AND(ISNUMBER(C6),ISNUMBER(D6)),D6-C6,"")</f>
        <v>0</v>
      </c>
      <c r="F6" s="2"/>
    </row>
    <row r="7" customFormat="false" ht="15" hidden="false" customHeight="false" outlineLevel="0" collapsed="false">
      <c r="B7" s="6" t="s">
        <v>726</v>
      </c>
      <c r="C7" s="58" t="n">
        <f aca="false">Calculo!$E$45</f>
        <v>0</v>
      </c>
      <c r="D7" s="59" t="n">
        <f aca="false">Calculo!$E$164</f>
        <v>0</v>
      </c>
      <c r="E7" s="34" t="n">
        <f aca="false">IF(AND(ISNUMBER(C7),ISNUMBER(D7)),D7-C7,"")</f>
        <v>0</v>
      </c>
      <c r="F7" s="2"/>
    </row>
    <row r="8" customFormat="false" ht="15" hidden="false" customHeight="false" outlineLevel="0" collapsed="false">
      <c r="B8" s="6" t="s">
        <v>727</v>
      </c>
      <c r="C8" s="58" t="n">
        <f aca="false">SUMIFS(Calculo!$F$76:$ES$76,Calculo!$F$6:$ES$6,1)</f>
        <v>0</v>
      </c>
      <c r="D8" s="59" t="n">
        <f aca="false">SUMIFS(Calculo!$F$195:$ES$195,Calculo!$F$6:$ES$6,1)</f>
        <v>0</v>
      </c>
      <c r="E8" s="34" t="n">
        <f aca="false">IF(AND(ISNUMBER(C8),ISNUMBER(D8)),D8-C8,"")</f>
        <v>0</v>
      </c>
      <c r="F8" s="2"/>
    </row>
    <row r="9" customFormat="false" ht="15" hidden="false" customHeight="false" outlineLevel="0" collapsed="false">
      <c r="B9" s="6" t="s">
        <v>728</v>
      </c>
      <c r="C9" s="58" t="n">
        <f aca="false">Calculo!$E$76</f>
        <v>0</v>
      </c>
      <c r="D9" s="59" t="n">
        <f aca="false">Calculo!$E$195</f>
        <v>0</v>
      </c>
      <c r="E9" s="34" t="n">
        <f aca="false">IF(AND(ISNUMBER(C9),ISNUMBER(D9)),D9-C9,"")</f>
        <v>0</v>
      </c>
      <c r="F9" s="2"/>
    </row>
    <row r="10" customFormat="false" ht="15" hidden="false" customHeight="false" outlineLevel="0" collapsed="false">
      <c r="B10" s="6" t="s">
        <v>729</v>
      </c>
      <c r="C10" s="60" t="str">
        <f aca="false">IF(Calculo!$E$45=0,"",Calculo!$E$76/Calculo!$E$45)</f>
        <v/>
      </c>
      <c r="D10" s="61" t="str">
        <f aca="false">IF(Calculo!$E$164=0,"",Calculo!$E$195/Calculo!$E$164)</f>
        <v/>
      </c>
      <c r="E10" s="35" t="str">
        <f aca="false">IF(AND(ISNUMBER(C10),ISNUMBER(D10)),D10-C10,"")</f>
        <v/>
      </c>
      <c r="F10" s="2"/>
    </row>
    <row r="11" customFormat="false" ht="15" hidden="false" customHeight="false" outlineLevel="0" collapsed="false">
      <c r="B11" s="6" t="s">
        <v>730</v>
      </c>
      <c r="C11" s="58" t="n">
        <f aca="false">Calculo!$E$81</f>
        <v>0</v>
      </c>
      <c r="D11" s="59" t="n">
        <f aca="false">Calculo!$E$200</f>
        <v>0</v>
      </c>
      <c r="E11" s="34" t="n">
        <f aca="false">IF(AND(ISNUMBER(C11),ISNUMBER(D11)),D11-C11,"")</f>
        <v>0</v>
      </c>
      <c r="F11" s="2"/>
    </row>
    <row r="12" customFormat="false" ht="15" hidden="false" customHeight="false" outlineLevel="0" collapsed="false">
      <c r="B12" s="6" t="s">
        <v>731</v>
      </c>
      <c r="C12" s="58" t="n">
        <f aca="false">Calculo!$E$91</f>
        <v>0</v>
      </c>
      <c r="D12" s="59" t="n">
        <f aca="false">Calculo!$E$210</f>
        <v>0</v>
      </c>
      <c r="E12" s="34" t="n">
        <f aca="false">IF(AND(ISNUMBER(C12),ISNUMBER(D12)),D12-C12,"")</f>
        <v>0</v>
      </c>
      <c r="F12" s="2" t="s">
        <v>732</v>
      </c>
    </row>
    <row r="13" customFormat="false" ht="15" hidden="false" customHeight="false" outlineLevel="0" collapsed="false">
      <c r="B13" s="6" t="s">
        <v>733</v>
      </c>
      <c r="C13" s="58" t="n">
        <f aca="false">MAX(0,-MIN(Calculo!$F$95:$ES$95))</f>
        <v>-0</v>
      </c>
      <c r="D13" s="59" t="n">
        <f aca="false">MAX(0,-MIN(Calculo!$F$214:$ES$214))</f>
        <v>-0</v>
      </c>
      <c r="E13" s="34" t="n">
        <f aca="false">IF(AND(ISNUMBER(C13),ISNUMBER(D13)),D13-C13,"")</f>
        <v>0</v>
      </c>
      <c r="F13" s="2" t="s">
        <v>734</v>
      </c>
    </row>
    <row r="14" customFormat="false" ht="15" hidden="false" customHeight="false" outlineLevel="0" collapsed="false">
      <c r="B14" s="6" t="s">
        <v>735</v>
      </c>
      <c r="C14" s="62" t="str">
        <f aca="false">IF(MIN(Calculo!$F$95:$ES$95)&gt;=0,"",MATCH(MIN(Calculo!$F$95:$ES$95),Calculo!$F$95:$ES$95,0))</f>
        <v/>
      </c>
      <c r="D14" s="63" t="str">
        <f aca="false">IF(MIN(Calculo!$F$214:$ES$214)&gt;=0,"",MATCH(MIN(Calculo!$F$214:$ES$214),Calculo!$F$214:$ES$214,0))</f>
        <v/>
      </c>
      <c r="E14" s="19" t="str">
        <f aca="false">IF(AND(ISNUMBER(C14),ISNUMBER(D14)),D14-C14,"")</f>
        <v/>
      </c>
      <c r="F14" s="2"/>
    </row>
    <row r="15" customFormat="false" ht="15" hidden="false" customHeight="false" outlineLevel="0" collapsed="false">
      <c r="B15" s="6" t="s">
        <v>583</v>
      </c>
      <c r="C15" s="58" t="n">
        <f aca="false">Calculo!$E$113</f>
        <v>0</v>
      </c>
      <c r="D15" s="59" t="n">
        <f aca="false">Calculo!$E$232</f>
        <v>0</v>
      </c>
      <c r="E15" s="34" t="n">
        <f aca="false">IF(AND(ISNUMBER(C15),ISNUMBER(D15)),D15-C15,"")</f>
        <v>0</v>
      </c>
      <c r="F15" s="2"/>
    </row>
    <row r="16" customFormat="false" ht="15" hidden="false" customHeight="false" outlineLevel="0" collapsed="false">
      <c r="B16" s="6" t="s">
        <v>736</v>
      </c>
      <c r="C16" s="58" t="n">
        <f aca="false">Calculo!$E$112</f>
        <v>0</v>
      </c>
      <c r="D16" s="59" t="n">
        <f aca="false">Calculo!$E$231</f>
        <v>0</v>
      </c>
      <c r="E16" s="34" t="n">
        <f aca="false">IF(AND(ISNUMBER(C16),ISNUMBER(D16)),D16-C16,"")</f>
        <v>0</v>
      </c>
      <c r="F16" s="2"/>
    </row>
    <row r="17" customFormat="false" ht="15" hidden="false" customHeight="false" outlineLevel="0" collapsed="false">
      <c r="B17" s="6" t="s">
        <v>737</v>
      </c>
      <c r="C17" s="58" t="n">
        <f aca="false">MIN(Calculo!$F$118:$ES$118)</f>
        <v>0</v>
      </c>
      <c r="D17" s="59" t="n">
        <f aca="false">MIN(Calculo!$F$237:$ES$237)</f>
        <v>0</v>
      </c>
      <c r="E17" s="34" t="n">
        <f aca="false">IF(AND(ISNUMBER(C17),ISNUMBER(D17)),D17-C17,"")</f>
        <v>0</v>
      </c>
      <c r="F17" s="2" t="s">
        <v>738</v>
      </c>
    </row>
    <row r="18" customFormat="false" ht="15" hidden="false" customHeight="false" outlineLevel="0" collapsed="false">
      <c r="B18" s="6" t="s">
        <v>739</v>
      </c>
      <c r="C18" s="58" t="n">
        <f aca="false">Calculo!$E$120</f>
        <v>0</v>
      </c>
      <c r="D18" s="59" t="n">
        <f aca="false">Calculo!$E$239</f>
        <v>0</v>
      </c>
      <c r="E18" s="34" t="n">
        <f aca="false">IF(AND(ISNUMBER(C18),ISNUMBER(D18)),D18-C18,"")</f>
        <v>0</v>
      </c>
      <c r="F18" s="2" t="s">
        <v>740</v>
      </c>
    </row>
    <row r="19" customFormat="false" ht="15" hidden="false" customHeight="false" outlineLevel="0" collapsed="false">
      <c r="B19" s="6" t="s">
        <v>741</v>
      </c>
      <c r="C19" s="62" t="n">
        <f aca="false">COUNTIF(Calculo!$F$120:$ES$120,"&gt;0.5")</f>
        <v>0</v>
      </c>
      <c r="D19" s="63" t="n">
        <f aca="false">COUNTIF(Calculo!$F$239:$ES$239,"&gt;0.5")</f>
        <v>0</v>
      </c>
      <c r="E19" s="19" t="n">
        <f aca="false">IF(AND(ISNUMBER(C19),ISNUMBER(D19)),D19-C19,"")</f>
        <v>0</v>
      </c>
      <c r="F19" s="2"/>
    </row>
    <row r="20" customFormat="false" ht="15" hidden="false" customHeight="false" outlineLevel="0" collapsed="false">
      <c r="B20" s="6" t="s">
        <v>742</v>
      </c>
      <c r="C20" s="64" t="str">
        <f aca="false">IF(COUNTIF(D93:O93,"&gt;1")=0,"Sin deuda",_xlfn.MINIFS(D94:O94,D93:O93,"&gt;1"))</f>
        <v>Sin deuda</v>
      </c>
      <c r="D20" s="65" t="str">
        <f aca="false">IF(COUNTIF(D61:O61,"&gt;1")=0,"Sin deuda",_xlfn.MINIFS(D62:O62,D61:O61,"&gt;1"))</f>
        <v>Sin deuda</v>
      </c>
      <c r="E20" s="66" t="str">
        <f aca="false">IF(AND(ISNUMBER(C20),ISNUMBER(D20)),D20-C20,"")</f>
        <v/>
      </c>
      <c r="F20" s="2" t="s">
        <v>743</v>
      </c>
    </row>
    <row r="21" customFormat="false" ht="15" hidden="false" customHeight="false" outlineLevel="0" collapsed="false">
      <c r="B21" s="6" t="s">
        <v>744</v>
      </c>
      <c r="C21" s="58" t="n">
        <f aca="false">SUMPRODUCT(Calculo!$F$94:$ES$94,Calculo!$F$122:$ES$122)</f>
        <v>0</v>
      </c>
      <c r="D21" s="59" t="n">
        <f aca="false">SUMPRODUCT(Calculo!$F$213:$ES$213,Calculo!$F$241:$ES$241)</f>
        <v>0</v>
      </c>
      <c r="E21" s="34" t="n">
        <f aca="false">IF(AND(ISNUMBER(C21),ISNUMBER(D21)),D21-C21,"")</f>
        <v>0</v>
      </c>
      <c r="F21" s="2" t="s">
        <v>745</v>
      </c>
    </row>
    <row r="22" customFormat="false" ht="15" hidden="false" customHeight="false" outlineLevel="0" collapsed="false">
      <c r="B22" s="6" t="s">
        <v>746</v>
      </c>
      <c r="C22" s="67" t="str">
        <f aca="false">IF(COUNTIF(Calculo!$F$94:$ES$94,"&lt;0")=0,"No existe",IF(COUNTIF(Calculo!$F$94:$ES$94,"&gt;0")=0,"No existe",IFERROR((1+IRR(Calculo!$F$94:$ES$94,0.01))^12-1,"No converge")))</f>
        <v>No existe</v>
      </c>
      <c r="D22" s="68" t="str">
        <f aca="false">IF(COUNTIF(Calculo!$F$213:$ES$213,"&lt;0")=0,"No existe",IF(COUNTIF(Calculo!$F$213:$ES$213,"&gt;0")=0,"No existe",IFERROR((1+IRR(Calculo!$F$213:$ES$213,0.01))^12-1,"No converge")))</f>
        <v>No existe</v>
      </c>
      <c r="E22" s="33" t="str">
        <f aca="false">IF(AND(ISNUMBER(C22),ISNUMBER(D22)),D22-C22,"")</f>
        <v/>
      </c>
      <c r="F22" s="2"/>
    </row>
    <row r="23" customFormat="false" ht="15" hidden="false" customHeight="false" outlineLevel="0" collapsed="false">
      <c r="B23" s="6" t="s">
        <v>747</v>
      </c>
      <c r="C23" s="58" t="n">
        <f aca="false">SUMPRODUCT(Calculo!$F$124:$ES$124,Calculo!$F$123:$ES$123)</f>
        <v>0</v>
      </c>
      <c r="D23" s="59" t="n">
        <f aca="false">SUMPRODUCT(Calculo!$F$243:$ES$243,Calculo!$F$242:$ES$242)</f>
        <v>0</v>
      </c>
      <c r="E23" s="34" t="n">
        <f aca="false">IF(AND(ISNUMBER(C23),ISNUMBER(D23)),D23-C23,"")</f>
        <v>0</v>
      </c>
      <c r="F23" s="2" t="s">
        <v>748</v>
      </c>
    </row>
    <row r="24" customFormat="false" ht="15" hidden="false" customHeight="false" outlineLevel="0" collapsed="false">
      <c r="B24" s="6" t="s">
        <v>749</v>
      </c>
      <c r="C24" s="67" t="str">
        <f aca="false">IF(COUNTIF(Calculo!$F$124:$ES$124,"&lt;0")=0,"No existe",IF(COUNTIF(Calculo!$F$124:$ES$124,"&gt;0")=0,"No existe",IFERROR((1+IRR(Calculo!$F$124:$ES$124,0.01))^12-1,"No converge")))</f>
        <v>No existe</v>
      </c>
      <c r="D24" s="68" t="str">
        <f aca="false">IF(COUNTIF(Calculo!$F$243:$ES$243,"&lt;0")=0,"No existe",IF(COUNTIF(Calculo!$F$243:$ES$243,"&gt;0")=0,"No existe",IFERROR((1+IRR(Calculo!$F$243:$ES$243,0.01))^12-1,"No converge")))</f>
        <v>No existe</v>
      </c>
      <c r="E24" s="33" t="str">
        <f aca="false">IF(AND(ISNUMBER(C24),ISNUMBER(D24)),D24-C24,"")</f>
        <v/>
      </c>
      <c r="F24" s="2"/>
    </row>
    <row r="25" customFormat="false" ht="15" hidden="false" customHeight="false" outlineLevel="0" collapsed="false">
      <c r="B25" s="6" t="s">
        <v>750</v>
      </c>
      <c r="C25" s="69" t="str">
        <f aca="false">IF(MAX(Calculo!$F$126:$ES$126)=0,"No recupera",MAX(Calculo!$F$126:$ES$126)/12)</f>
        <v>No recupera</v>
      </c>
      <c r="D25" s="70" t="str">
        <f aca="false">IF(MAX(Calculo!$F$245:$ES$245)=0,"No recupera",MAX(Calculo!$F$245:$ES$245)/12)</f>
        <v>No recupera</v>
      </c>
      <c r="E25" s="36" t="str">
        <f aca="false">IF(AND(ISNUMBER(C25),ISNUMBER(D25)),D25-C25,"")</f>
        <v/>
      </c>
      <c r="F25" s="2"/>
    </row>
    <row r="26" customFormat="false" ht="15" hidden="false" customHeight="false" outlineLevel="0" collapsed="false">
      <c r="B26" s="6" t="s">
        <v>751</v>
      </c>
      <c r="C26" s="69" t="n">
        <f aca="false">Calculo!$E$128</f>
        <v>0</v>
      </c>
      <c r="D26" s="70" t="n">
        <f aca="false">Calculo!$E$247</f>
        <v>0</v>
      </c>
      <c r="E26" s="36" t="n">
        <f aca="false">IF(AND(ISNUMBER(C26),ISNUMBER(D26)),D26-C26,"")</f>
        <v>0</v>
      </c>
      <c r="F26" s="2"/>
    </row>
    <row r="28" customFormat="false" ht="15" hidden="false" customHeight="false" outlineLevel="0" collapsed="false">
      <c r="B28" s="2" t="s">
        <v>752</v>
      </c>
      <c r="C28" s="34" t="str">
        <f aca="false">IF(pub_VAN="","",pub_VAN)</f>
        <v/>
      </c>
      <c r="D28" s="33" t="str">
        <f aca="false">IF(pub_TIR="","",pub_TIR)</f>
        <v/>
      </c>
      <c r="F28" s="2" t="s">
        <v>753</v>
      </c>
    </row>
    <row r="30" customFormat="false" ht="15" hidden="false" customHeight="false" outlineLevel="0" collapsed="false">
      <c r="A30" s="3" t="s">
        <v>754</v>
      </c>
      <c r="B30" s="4"/>
      <c r="C30" s="4"/>
      <c r="D30" s="4"/>
      <c r="E30" s="4"/>
      <c r="F30" s="4"/>
      <c r="G30" s="4"/>
      <c r="H30" s="4"/>
      <c r="I30" s="4"/>
      <c r="J30" s="4"/>
      <c r="K30" s="4"/>
      <c r="L30" s="4"/>
      <c r="M30" s="4"/>
      <c r="N30" s="4"/>
      <c r="O30" s="4"/>
    </row>
    <row r="31" customFormat="false" ht="15" hidden="false" customHeight="false" outlineLevel="0" collapsed="false">
      <c r="A31" s="5"/>
      <c r="B31" s="5" t="s">
        <v>755</v>
      </c>
      <c r="C31" s="5" t="s">
        <v>247</v>
      </c>
      <c r="D31" s="5" t="s">
        <v>156</v>
      </c>
      <c r="E31" s="5" t="s">
        <v>157</v>
      </c>
      <c r="F31" s="5" t="s">
        <v>158</v>
      </c>
      <c r="G31" s="5" t="s">
        <v>159</v>
      </c>
      <c r="H31" s="5" t="s">
        <v>160</v>
      </c>
      <c r="I31" s="5" t="s">
        <v>161</v>
      </c>
      <c r="J31" s="5" t="s">
        <v>162</v>
      </c>
      <c r="K31" s="5" t="s">
        <v>163</v>
      </c>
      <c r="L31" s="5" t="s">
        <v>164</v>
      </c>
      <c r="M31" s="5" t="s">
        <v>165</v>
      </c>
      <c r="N31" s="5" t="s">
        <v>756</v>
      </c>
      <c r="O31" s="5" t="s">
        <v>757</v>
      </c>
    </row>
    <row r="32" customFormat="false" ht="15" hidden="false" customHeight="false" outlineLevel="0" collapsed="false">
      <c r="B32" s="2" t="s">
        <v>758</v>
      </c>
      <c r="D32" s="71" t="str">
        <f aca="false">IF(Corte&gt;=12,"Real",IF(Corte&gt;0,"Real+Proy.","Proyección"))</f>
        <v>Proyección</v>
      </c>
      <c r="E32" s="71" t="str">
        <f aca="false">IF(Corte&gt;=24,"Real",IF(Corte&gt;12,"Real+Proy.","Proyección"))</f>
        <v>Proyección</v>
      </c>
      <c r="F32" s="71" t="str">
        <f aca="false">IF(Corte&gt;=36,"Real",IF(Corte&gt;24,"Real+Proy.","Proyección"))</f>
        <v>Proyección</v>
      </c>
      <c r="G32" s="71" t="str">
        <f aca="false">IF(Corte&gt;=48,"Real",IF(Corte&gt;36,"Real+Proy.","Proyección"))</f>
        <v>Proyección</v>
      </c>
      <c r="H32" s="71" t="str">
        <f aca="false">IF(Corte&gt;=60,"Real",IF(Corte&gt;48,"Real+Proy.","Proyección"))</f>
        <v>Proyección</v>
      </c>
      <c r="I32" s="71" t="str">
        <f aca="false">IF(Corte&gt;=72,"Real",IF(Corte&gt;60,"Real+Proy.","Proyección"))</f>
        <v>Proyección</v>
      </c>
      <c r="J32" s="71" t="str">
        <f aca="false">IF(Corte&gt;=84,"Real",IF(Corte&gt;72,"Real+Proy.","Proyección"))</f>
        <v>Proyección</v>
      </c>
      <c r="K32" s="71" t="str">
        <f aca="false">IF(Corte&gt;=96,"Real",IF(Corte&gt;84,"Real+Proy.","Proyección"))</f>
        <v>Proyección</v>
      </c>
      <c r="L32" s="71" t="str">
        <f aca="false">IF(Corte&gt;=108,"Real",IF(Corte&gt;96,"Real+Proy.","Proyección"))</f>
        <v>Proyección</v>
      </c>
      <c r="M32" s="71" t="str">
        <f aca="false">IF(Corte&gt;=120,"Real",IF(Corte&gt;108,"Real+Proy.","Proyección"))</f>
        <v>Proyección</v>
      </c>
      <c r="N32" s="71" t="str">
        <f aca="false">IF(Corte&gt;=132,"Real",IF(Corte&gt;120,"Real+Proy.","Proyección"))</f>
        <v>Proyección</v>
      </c>
      <c r="O32" s="71" t="str">
        <f aca="false">IF(Corte&gt;=144,"Real",IF(Corte&gt;132,"Real+Proy.","Proyección"))</f>
        <v>Proyección</v>
      </c>
    </row>
    <row r="33" customFormat="false" ht="15" hidden="false" customHeight="false" outlineLevel="0" collapsed="false">
      <c r="B33" s="2" t="s">
        <v>759</v>
      </c>
      <c r="D33" s="72" t="str">
        <f aca="false">IF(n_Fecha1="","",YEAR(EOMONTH(n_Fecha1,0)))</f>
        <v/>
      </c>
      <c r="E33" s="72" t="str">
        <f aca="false">IF(n_Fecha1="","",YEAR(EOMONTH(n_Fecha1,12)))</f>
        <v/>
      </c>
      <c r="F33" s="72" t="str">
        <f aca="false">IF(n_Fecha1="","",YEAR(EOMONTH(n_Fecha1,24)))</f>
        <v/>
      </c>
      <c r="G33" s="72" t="str">
        <f aca="false">IF(n_Fecha1="","",YEAR(EOMONTH(n_Fecha1,36)))</f>
        <v/>
      </c>
      <c r="H33" s="72" t="str">
        <f aca="false">IF(n_Fecha1="","",YEAR(EOMONTH(n_Fecha1,48)))</f>
        <v/>
      </c>
      <c r="I33" s="72" t="str">
        <f aca="false">IF(n_Fecha1="","",YEAR(EOMONTH(n_Fecha1,60)))</f>
        <v/>
      </c>
      <c r="J33" s="72" t="str">
        <f aca="false">IF(n_Fecha1="","",YEAR(EOMONTH(n_Fecha1,72)))</f>
        <v/>
      </c>
      <c r="K33" s="72" t="str">
        <f aca="false">IF(n_Fecha1="","",YEAR(EOMONTH(n_Fecha1,84)))</f>
        <v/>
      </c>
      <c r="L33" s="72" t="str">
        <f aca="false">IF(n_Fecha1="","",YEAR(EOMONTH(n_Fecha1,96)))</f>
        <v/>
      </c>
      <c r="M33" s="72" t="str">
        <f aca="false">IF(n_Fecha1="","",YEAR(EOMONTH(n_Fecha1,108)))</f>
        <v/>
      </c>
      <c r="N33" s="72" t="str">
        <f aca="false">IF(n_Fecha1="","",YEAR(EOMONTH(n_Fecha1,120)))</f>
        <v/>
      </c>
      <c r="O33" s="72" t="str">
        <f aca="false">IF(n_Fecha1="","",YEAR(EOMONTH(n_Fecha1,132)))</f>
        <v/>
      </c>
    </row>
    <row r="34" customFormat="false" ht="15" hidden="false" customHeight="false" outlineLevel="0" collapsed="false">
      <c r="A34" s="2" t="s">
        <v>760</v>
      </c>
      <c r="B34" s="52" t="s">
        <v>210</v>
      </c>
      <c r="C34" s="40" t="n">
        <f aca="false">SUM(D34:O34)</f>
        <v>0</v>
      </c>
      <c r="D34" s="10" t="n">
        <f aca="false">SUMIFS(Calculo!$F$164:$ES$164,Calculo!$F$6:$ES$6,1)</f>
        <v>0</v>
      </c>
      <c r="E34" s="10" t="n">
        <f aca="false">SUMIFS(Calculo!$F$164:$ES$164,Calculo!$F$6:$ES$6,2)</f>
        <v>0</v>
      </c>
      <c r="F34" s="10" t="n">
        <f aca="false">SUMIFS(Calculo!$F$164:$ES$164,Calculo!$F$6:$ES$6,3)</f>
        <v>0</v>
      </c>
      <c r="G34" s="10" t="n">
        <f aca="false">SUMIFS(Calculo!$F$164:$ES$164,Calculo!$F$6:$ES$6,4)</f>
        <v>0</v>
      </c>
      <c r="H34" s="10" t="n">
        <f aca="false">SUMIFS(Calculo!$F$164:$ES$164,Calculo!$F$6:$ES$6,5)</f>
        <v>0</v>
      </c>
      <c r="I34" s="10" t="n">
        <f aca="false">SUMIFS(Calculo!$F$164:$ES$164,Calculo!$F$6:$ES$6,6)</f>
        <v>0</v>
      </c>
      <c r="J34" s="10" t="n">
        <f aca="false">SUMIFS(Calculo!$F$164:$ES$164,Calculo!$F$6:$ES$6,7)</f>
        <v>0</v>
      </c>
      <c r="K34" s="10" t="n">
        <f aca="false">SUMIFS(Calculo!$F$164:$ES$164,Calculo!$F$6:$ES$6,8)</f>
        <v>0</v>
      </c>
      <c r="L34" s="10" t="n">
        <f aca="false">SUMIFS(Calculo!$F$164:$ES$164,Calculo!$F$6:$ES$6,9)</f>
        <v>0</v>
      </c>
      <c r="M34" s="10" t="n">
        <f aca="false">SUMIFS(Calculo!$F$164:$ES$164,Calculo!$F$6:$ES$6,10)</f>
        <v>0</v>
      </c>
      <c r="N34" s="10" t="n">
        <f aca="false">SUMIFS(Calculo!$F$164:$ES$164,Calculo!$F$6:$ES$6,11)</f>
        <v>0</v>
      </c>
      <c r="O34" s="10" t="n">
        <f aca="false">SUMIFS(Calculo!$F$164:$ES$164,Calculo!$F$6:$ES$6,12)</f>
        <v>0</v>
      </c>
    </row>
    <row r="35" customFormat="false" ht="15" hidden="false" customHeight="false" outlineLevel="0" collapsed="false">
      <c r="A35" s="2" t="s">
        <v>761</v>
      </c>
      <c r="B35" s="6" t="s">
        <v>499</v>
      </c>
      <c r="C35" s="40" t="n">
        <f aca="false">SUM(D35:O35)</f>
        <v>0</v>
      </c>
      <c r="D35" s="34" t="n">
        <f aca="false">SUMIFS(Calculo!$F$186:$ES$186,Calculo!$F$6:$ES$6,1)</f>
        <v>0</v>
      </c>
      <c r="E35" s="34" t="n">
        <f aca="false">SUMIFS(Calculo!$F$186:$ES$186,Calculo!$F$6:$ES$6,2)</f>
        <v>0</v>
      </c>
      <c r="F35" s="34" t="n">
        <f aca="false">SUMIFS(Calculo!$F$186:$ES$186,Calculo!$F$6:$ES$6,3)</f>
        <v>0</v>
      </c>
      <c r="G35" s="34" t="n">
        <f aca="false">SUMIFS(Calculo!$F$186:$ES$186,Calculo!$F$6:$ES$6,4)</f>
        <v>0</v>
      </c>
      <c r="H35" s="34" t="n">
        <f aca="false">SUMIFS(Calculo!$F$186:$ES$186,Calculo!$F$6:$ES$6,5)</f>
        <v>0</v>
      </c>
      <c r="I35" s="34" t="n">
        <f aca="false">SUMIFS(Calculo!$F$186:$ES$186,Calculo!$F$6:$ES$6,6)</f>
        <v>0</v>
      </c>
      <c r="J35" s="34" t="n">
        <f aca="false">SUMIFS(Calculo!$F$186:$ES$186,Calculo!$F$6:$ES$6,7)</f>
        <v>0</v>
      </c>
      <c r="K35" s="34" t="n">
        <f aca="false">SUMIFS(Calculo!$F$186:$ES$186,Calculo!$F$6:$ES$6,8)</f>
        <v>0</v>
      </c>
      <c r="L35" s="34" t="n">
        <f aca="false">SUMIFS(Calculo!$F$186:$ES$186,Calculo!$F$6:$ES$6,9)</f>
        <v>0</v>
      </c>
      <c r="M35" s="34" t="n">
        <f aca="false">SUMIFS(Calculo!$F$186:$ES$186,Calculo!$F$6:$ES$6,10)</f>
        <v>0</v>
      </c>
      <c r="N35" s="34" t="n">
        <f aca="false">SUMIFS(Calculo!$F$186:$ES$186,Calculo!$F$6:$ES$6,11)</f>
        <v>0</v>
      </c>
      <c r="O35" s="34" t="n">
        <f aca="false">SUMIFS(Calculo!$F$186:$ES$186,Calculo!$F$6:$ES$6,12)</f>
        <v>0</v>
      </c>
    </row>
    <row r="36" customFormat="false" ht="15" hidden="false" customHeight="false" outlineLevel="0" collapsed="false">
      <c r="A36" s="2" t="s">
        <v>762</v>
      </c>
      <c r="B36" s="6" t="s">
        <v>501</v>
      </c>
      <c r="C36" s="40" t="n">
        <f aca="false">SUM(D36:O36)</f>
        <v>0</v>
      </c>
      <c r="D36" s="34" t="n">
        <f aca="false">SUMIFS(Calculo!$F$187:$ES$187,Calculo!$F$6:$ES$6,1)</f>
        <v>0</v>
      </c>
      <c r="E36" s="34" t="n">
        <f aca="false">SUMIFS(Calculo!$F$187:$ES$187,Calculo!$F$6:$ES$6,2)</f>
        <v>0</v>
      </c>
      <c r="F36" s="34" t="n">
        <f aca="false">SUMIFS(Calculo!$F$187:$ES$187,Calculo!$F$6:$ES$6,3)</f>
        <v>0</v>
      </c>
      <c r="G36" s="34" t="n">
        <f aca="false">SUMIFS(Calculo!$F$187:$ES$187,Calculo!$F$6:$ES$6,4)</f>
        <v>0</v>
      </c>
      <c r="H36" s="34" t="n">
        <f aca="false">SUMIFS(Calculo!$F$187:$ES$187,Calculo!$F$6:$ES$6,5)</f>
        <v>0</v>
      </c>
      <c r="I36" s="34" t="n">
        <f aca="false">SUMIFS(Calculo!$F$187:$ES$187,Calculo!$F$6:$ES$6,6)</f>
        <v>0</v>
      </c>
      <c r="J36" s="34" t="n">
        <f aca="false">SUMIFS(Calculo!$F$187:$ES$187,Calculo!$F$6:$ES$6,7)</f>
        <v>0</v>
      </c>
      <c r="K36" s="34" t="n">
        <f aca="false">SUMIFS(Calculo!$F$187:$ES$187,Calculo!$F$6:$ES$6,8)</f>
        <v>0</v>
      </c>
      <c r="L36" s="34" t="n">
        <f aca="false">SUMIFS(Calculo!$F$187:$ES$187,Calculo!$F$6:$ES$6,9)</f>
        <v>0</v>
      </c>
      <c r="M36" s="34" t="n">
        <f aca="false">SUMIFS(Calculo!$F$187:$ES$187,Calculo!$F$6:$ES$6,10)</f>
        <v>0</v>
      </c>
      <c r="N36" s="34" t="n">
        <f aca="false">SUMIFS(Calculo!$F$187:$ES$187,Calculo!$F$6:$ES$6,11)</f>
        <v>0</v>
      </c>
      <c r="O36" s="34" t="n">
        <f aca="false">SUMIFS(Calculo!$F$187:$ES$187,Calculo!$F$6:$ES$6,12)</f>
        <v>0</v>
      </c>
    </row>
    <row r="37" customFormat="false" ht="15" hidden="false" customHeight="false" outlineLevel="0" collapsed="false">
      <c r="A37" s="2" t="s">
        <v>763</v>
      </c>
      <c r="B37" s="6" t="s">
        <v>503</v>
      </c>
      <c r="C37" s="40" t="n">
        <f aca="false">SUM(D37:O37)</f>
        <v>0</v>
      </c>
      <c r="D37" s="34" t="n">
        <f aca="false">SUMIFS(Calculo!$F$188:$ES$188,Calculo!$F$6:$ES$6,1)</f>
        <v>0</v>
      </c>
      <c r="E37" s="34" t="n">
        <f aca="false">SUMIFS(Calculo!$F$188:$ES$188,Calculo!$F$6:$ES$6,2)</f>
        <v>0</v>
      </c>
      <c r="F37" s="34" t="n">
        <f aca="false">SUMIFS(Calculo!$F$188:$ES$188,Calculo!$F$6:$ES$6,3)</f>
        <v>0</v>
      </c>
      <c r="G37" s="34" t="n">
        <f aca="false">SUMIFS(Calculo!$F$188:$ES$188,Calculo!$F$6:$ES$6,4)</f>
        <v>0</v>
      </c>
      <c r="H37" s="34" t="n">
        <f aca="false">SUMIFS(Calculo!$F$188:$ES$188,Calculo!$F$6:$ES$6,5)</f>
        <v>0</v>
      </c>
      <c r="I37" s="34" t="n">
        <f aca="false">SUMIFS(Calculo!$F$188:$ES$188,Calculo!$F$6:$ES$6,6)</f>
        <v>0</v>
      </c>
      <c r="J37" s="34" t="n">
        <f aca="false">SUMIFS(Calculo!$F$188:$ES$188,Calculo!$F$6:$ES$6,7)</f>
        <v>0</v>
      </c>
      <c r="K37" s="34" t="n">
        <f aca="false">SUMIFS(Calculo!$F$188:$ES$188,Calculo!$F$6:$ES$6,8)</f>
        <v>0</v>
      </c>
      <c r="L37" s="34" t="n">
        <f aca="false">SUMIFS(Calculo!$F$188:$ES$188,Calculo!$F$6:$ES$6,9)</f>
        <v>0</v>
      </c>
      <c r="M37" s="34" t="n">
        <f aca="false">SUMIFS(Calculo!$F$188:$ES$188,Calculo!$F$6:$ES$6,10)</f>
        <v>0</v>
      </c>
      <c r="N37" s="34" t="n">
        <f aca="false">SUMIFS(Calculo!$F$188:$ES$188,Calculo!$F$6:$ES$6,11)</f>
        <v>0</v>
      </c>
      <c r="O37" s="34" t="n">
        <f aca="false">SUMIFS(Calculo!$F$188:$ES$188,Calculo!$F$6:$ES$6,12)</f>
        <v>0</v>
      </c>
    </row>
    <row r="38" customFormat="false" ht="15" hidden="false" customHeight="false" outlineLevel="0" collapsed="false">
      <c r="A38" s="2" t="s">
        <v>764</v>
      </c>
      <c r="B38" s="6" t="s">
        <v>505</v>
      </c>
      <c r="C38" s="40" t="n">
        <f aca="false">SUM(D38:O38)</f>
        <v>0</v>
      </c>
      <c r="D38" s="34" t="n">
        <f aca="false">SUMIFS(Calculo!$F$189:$ES$189,Calculo!$F$6:$ES$6,1)</f>
        <v>0</v>
      </c>
      <c r="E38" s="34" t="n">
        <f aca="false">SUMIFS(Calculo!$F$189:$ES$189,Calculo!$F$6:$ES$6,2)</f>
        <v>0</v>
      </c>
      <c r="F38" s="34" t="n">
        <f aca="false">SUMIFS(Calculo!$F$189:$ES$189,Calculo!$F$6:$ES$6,3)</f>
        <v>0</v>
      </c>
      <c r="G38" s="34" t="n">
        <f aca="false">SUMIFS(Calculo!$F$189:$ES$189,Calculo!$F$6:$ES$6,4)</f>
        <v>0</v>
      </c>
      <c r="H38" s="34" t="n">
        <f aca="false">SUMIFS(Calculo!$F$189:$ES$189,Calculo!$F$6:$ES$6,5)</f>
        <v>0</v>
      </c>
      <c r="I38" s="34" t="n">
        <f aca="false">SUMIFS(Calculo!$F$189:$ES$189,Calculo!$F$6:$ES$6,6)</f>
        <v>0</v>
      </c>
      <c r="J38" s="34" t="n">
        <f aca="false">SUMIFS(Calculo!$F$189:$ES$189,Calculo!$F$6:$ES$6,7)</f>
        <v>0</v>
      </c>
      <c r="K38" s="34" t="n">
        <f aca="false">SUMIFS(Calculo!$F$189:$ES$189,Calculo!$F$6:$ES$6,8)</f>
        <v>0</v>
      </c>
      <c r="L38" s="34" t="n">
        <f aca="false">SUMIFS(Calculo!$F$189:$ES$189,Calculo!$F$6:$ES$6,9)</f>
        <v>0</v>
      </c>
      <c r="M38" s="34" t="n">
        <f aca="false">SUMIFS(Calculo!$F$189:$ES$189,Calculo!$F$6:$ES$6,10)</f>
        <v>0</v>
      </c>
      <c r="N38" s="34" t="n">
        <f aca="false">SUMIFS(Calculo!$F$189:$ES$189,Calculo!$F$6:$ES$6,11)</f>
        <v>0</v>
      </c>
      <c r="O38" s="34" t="n">
        <f aca="false">SUMIFS(Calculo!$F$189:$ES$189,Calculo!$F$6:$ES$6,12)</f>
        <v>0</v>
      </c>
    </row>
    <row r="39" customFormat="false" ht="15" hidden="false" customHeight="false" outlineLevel="0" collapsed="false">
      <c r="A39" s="2" t="s">
        <v>765</v>
      </c>
      <c r="B39" s="52" t="s">
        <v>766</v>
      </c>
      <c r="C39" s="40" t="n">
        <f aca="false">SUM(D39:O39)</f>
        <v>0</v>
      </c>
      <c r="D39" s="10" t="n">
        <f aca="false">SUMIFS(Calculo!$F$190:$ES$190,Calculo!$F$6:$ES$6,1)</f>
        <v>0</v>
      </c>
      <c r="E39" s="10" t="n">
        <f aca="false">SUMIFS(Calculo!$F$190:$ES$190,Calculo!$F$6:$ES$6,2)</f>
        <v>0</v>
      </c>
      <c r="F39" s="10" t="n">
        <f aca="false">SUMIFS(Calculo!$F$190:$ES$190,Calculo!$F$6:$ES$6,3)</f>
        <v>0</v>
      </c>
      <c r="G39" s="10" t="n">
        <f aca="false">SUMIFS(Calculo!$F$190:$ES$190,Calculo!$F$6:$ES$6,4)</f>
        <v>0</v>
      </c>
      <c r="H39" s="10" t="n">
        <f aca="false">SUMIFS(Calculo!$F$190:$ES$190,Calculo!$F$6:$ES$6,5)</f>
        <v>0</v>
      </c>
      <c r="I39" s="10" t="n">
        <f aca="false">SUMIFS(Calculo!$F$190:$ES$190,Calculo!$F$6:$ES$6,6)</f>
        <v>0</v>
      </c>
      <c r="J39" s="10" t="n">
        <f aca="false">SUMIFS(Calculo!$F$190:$ES$190,Calculo!$F$6:$ES$6,7)</f>
        <v>0</v>
      </c>
      <c r="K39" s="10" t="n">
        <f aca="false">SUMIFS(Calculo!$F$190:$ES$190,Calculo!$F$6:$ES$6,8)</f>
        <v>0</v>
      </c>
      <c r="L39" s="10" t="n">
        <f aca="false">SUMIFS(Calculo!$F$190:$ES$190,Calculo!$F$6:$ES$6,9)</f>
        <v>0</v>
      </c>
      <c r="M39" s="10" t="n">
        <f aca="false">SUMIFS(Calculo!$F$190:$ES$190,Calculo!$F$6:$ES$6,10)</f>
        <v>0</v>
      </c>
      <c r="N39" s="10" t="n">
        <f aca="false">SUMIFS(Calculo!$F$190:$ES$190,Calculo!$F$6:$ES$6,11)</f>
        <v>0</v>
      </c>
      <c r="O39" s="10" t="n">
        <f aca="false">SUMIFS(Calculo!$F$190:$ES$190,Calculo!$F$6:$ES$6,12)</f>
        <v>0</v>
      </c>
    </row>
    <row r="40" customFormat="false" ht="15" hidden="false" customHeight="false" outlineLevel="0" collapsed="false">
      <c r="A40" s="2" t="s">
        <v>767</v>
      </c>
      <c r="B40" s="6" t="s">
        <v>509</v>
      </c>
      <c r="C40" s="40" t="n">
        <f aca="false">SUM(D40:O40)</f>
        <v>0</v>
      </c>
      <c r="D40" s="34" t="n">
        <f aca="false">SUMIFS(Calculo!$F$191:$ES$191,Calculo!$F$6:$ES$6,1)</f>
        <v>0</v>
      </c>
      <c r="E40" s="34" t="n">
        <f aca="false">SUMIFS(Calculo!$F$191:$ES$191,Calculo!$F$6:$ES$6,2)</f>
        <v>0</v>
      </c>
      <c r="F40" s="34" t="n">
        <f aca="false">SUMIFS(Calculo!$F$191:$ES$191,Calculo!$F$6:$ES$6,3)</f>
        <v>0</v>
      </c>
      <c r="G40" s="34" t="n">
        <f aca="false">SUMIFS(Calculo!$F$191:$ES$191,Calculo!$F$6:$ES$6,4)</f>
        <v>0</v>
      </c>
      <c r="H40" s="34" t="n">
        <f aca="false">SUMIFS(Calculo!$F$191:$ES$191,Calculo!$F$6:$ES$6,5)</f>
        <v>0</v>
      </c>
      <c r="I40" s="34" t="n">
        <f aca="false">SUMIFS(Calculo!$F$191:$ES$191,Calculo!$F$6:$ES$6,6)</f>
        <v>0</v>
      </c>
      <c r="J40" s="34" t="n">
        <f aca="false">SUMIFS(Calculo!$F$191:$ES$191,Calculo!$F$6:$ES$6,7)</f>
        <v>0</v>
      </c>
      <c r="K40" s="34" t="n">
        <f aca="false">SUMIFS(Calculo!$F$191:$ES$191,Calculo!$F$6:$ES$6,8)</f>
        <v>0</v>
      </c>
      <c r="L40" s="34" t="n">
        <f aca="false">SUMIFS(Calculo!$F$191:$ES$191,Calculo!$F$6:$ES$6,9)</f>
        <v>0</v>
      </c>
      <c r="M40" s="34" t="n">
        <f aca="false">SUMIFS(Calculo!$F$191:$ES$191,Calculo!$F$6:$ES$6,10)</f>
        <v>0</v>
      </c>
      <c r="N40" s="34" t="n">
        <f aca="false">SUMIFS(Calculo!$F$191:$ES$191,Calculo!$F$6:$ES$6,11)</f>
        <v>0</v>
      </c>
      <c r="O40" s="34" t="n">
        <f aca="false">SUMIFS(Calculo!$F$191:$ES$191,Calculo!$F$6:$ES$6,12)</f>
        <v>0</v>
      </c>
    </row>
    <row r="41" customFormat="false" ht="15" hidden="false" customHeight="false" outlineLevel="0" collapsed="false">
      <c r="A41" s="2" t="s">
        <v>768</v>
      </c>
      <c r="B41" s="6" t="s">
        <v>769</v>
      </c>
      <c r="C41" s="40" t="n">
        <f aca="false">SUM(D41:O41)</f>
        <v>0</v>
      </c>
      <c r="D41" s="34" t="n">
        <f aca="false">SUMIFS(Calculo!$F$192:$ES$192,Calculo!$F$6:$ES$6,1)</f>
        <v>0</v>
      </c>
      <c r="E41" s="34" t="n">
        <f aca="false">SUMIFS(Calculo!$F$192:$ES$192,Calculo!$F$6:$ES$6,2)</f>
        <v>0</v>
      </c>
      <c r="F41" s="34" t="n">
        <f aca="false">SUMIFS(Calculo!$F$192:$ES$192,Calculo!$F$6:$ES$6,3)</f>
        <v>0</v>
      </c>
      <c r="G41" s="34" t="n">
        <f aca="false">SUMIFS(Calculo!$F$192:$ES$192,Calculo!$F$6:$ES$6,4)</f>
        <v>0</v>
      </c>
      <c r="H41" s="34" t="n">
        <f aca="false">SUMIFS(Calculo!$F$192:$ES$192,Calculo!$F$6:$ES$6,5)</f>
        <v>0</v>
      </c>
      <c r="I41" s="34" t="n">
        <f aca="false">SUMIFS(Calculo!$F$192:$ES$192,Calculo!$F$6:$ES$6,6)</f>
        <v>0</v>
      </c>
      <c r="J41" s="34" t="n">
        <f aca="false">SUMIFS(Calculo!$F$192:$ES$192,Calculo!$F$6:$ES$6,7)</f>
        <v>0</v>
      </c>
      <c r="K41" s="34" t="n">
        <f aca="false">SUMIFS(Calculo!$F$192:$ES$192,Calculo!$F$6:$ES$6,8)</f>
        <v>0</v>
      </c>
      <c r="L41" s="34" t="n">
        <f aca="false">SUMIFS(Calculo!$F$192:$ES$192,Calculo!$F$6:$ES$6,9)</f>
        <v>0</v>
      </c>
      <c r="M41" s="34" t="n">
        <f aca="false">SUMIFS(Calculo!$F$192:$ES$192,Calculo!$F$6:$ES$6,10)</f>
        <v>0</v>
      </c>
      <c r="N41" s="34" t="n">
        <f aca="false">SUMIFS(Calculo!$F$192:$ES$192,Calculo!$F$6:$ES$6,11)</f>
        <v>0</v>
      </c>
      <c r="O41" s="34" t="n">
        <f aca="false">SUMIFS(Calculo!$F$192:$ES$192,Calculo!$F$6:$ES$6,12)</f>
        <v>0</v>
      </c>
    </row>
    <row r="42" customFormat="false" ht="15" hidden="false" customHeight="false" outlineLevel="0" collapsed="false">
      <c r="A42" s="2" t="s">
        <v>770</v>
      </c>
      <c r="B42" s="6" t="s">
        <v>377</v>
      </c>
      <c r="C42" s="40" t="n">
        <f aca="false">SUM(D42:O42)</f>
        <v>0</v>
      </c>
      <c r="D42" s="34" t="n">
        <f aca="false">SUMIFS(Calculo!$F$193:$ES$193,Calculo!$F$6:$ES$6,1)</f>
        <v>0</v>
      </c>
      <c r="E42" s="34" t="n">
        <f aca="false">SUMIFS(Calculo!$F$193:$ES$193,Calculo!$F$6:$ES$6,2)</f>
        <v>0</v>
      </c>
      <c r="F42" s="34" t="n">
        <f aca="false">SUMIFS(Calculo!$F$193:$ES$193,Calculo!$F$6:$ES$6,3)</f>
        <v>0</v>
      </c>
      <c r="G42" s="34" t="n">
        <f aca="false">SUMIFS(Calculo!$F$193:$ES$193,Calculo!$F$6:$ES$6,4)</f>
        <v>0</v>
      </c>
      <c r="H42" s="34" t="n">
        <f aca="false">SUMIFS(Calculo!$F$193:$ES$193,Calculo!$F$6:$ES$6,5)</f>
        <v>0</v>
      </c>
      <c r="I42" s="34" t="n">
        <f aca="false">SUMIFS(Calculo!$F$193:$ES$193,Calculo!$F$6:$ES$6,6)</f>
        <v>0</v>
      </c>
      <c r="J42" s="34" t="n">
        <f aca="false">SUMIFS(Calculo!$F$193:$ES$193,Calculo!$F$6:$ES$6,7)</f>
        <v>0</v>
      </c>
      <c r="K42" s="34" t="n">
        <f aca="false">SUMIFS(Calculo!$F$193:$ES$193,Calculo!$F$6:$ES$6,8)</f>
        <v>0</v>
      </c>
      <c r="L42" s="34" t="n">
        <f aca="false">SUMIFS(Calculo!$F$193:$ES$193,Calculo!$F$6:$ES$6,9)</f>
        <v>0</v>
      </c>
      <c r="M42" s="34" t="n">
        <f aca="false">SUMIFS(Calculo!$F$193:$ES$193,Calculo!$F$6:$ES$6,10)</f>
        <v>0</v>
      </c>
      <c r="N42" s="34" t="n">
        <f aca="false">SUMIFS(Calculo!$F$193:$ES$193,Calculo!$F$6:$ES$6,11)</f>
        <v>0</v>
      </c>
      <c r="O42" s="34" t="n">
        <f aca="false">SUMIFS(Calculo!$F$193:$ES$193,Calculo!$F$6:$ES$6,12)</f>
        <v>0</v>
      </c>
    </row>
    <row r="43" customFormat="false" ht="15" hidden="false" customHeight="false" outlineLevel="0" collapsed="false">
      <c r="A43" s="2" t="s">
        <v>771</v>
      </c>
      <c r="B43" s="6" t="s">
        <v>772</v>
      </c>
      <c r="C43" s="40" t="n">
        <f aca="false">SUM(D43:O43)</f>
        <v>0</v>
      </c>
      <c r="D43" s="34" t="n">
        <f aca="false">SUMIFS(Calculo!$F$194:$ES$194,Calculo!$F$6:$ES$6,1)</f>
        <v>0</v>
      </c>
      <c r="E43" s="34" t="n">
        <f aca="false">SUMIFS(Calculo!$F$194:$ES$194,Calculo!$F$6:$ES$6,2)</f>
        <v>0</v>
      </c>
      <c r="F43" s="34" t="n">
        <f aca="false">SUMIFS(Calculo!$F$194:$ES$194,Calculo!$F$6:$ES$6,3)</f>
        <v>0</v>
      </c>
      <c r="G43" s="34" t="n">
        <f aca="false">SUMIFS(Calculo!$F$194:$ES$194,Calculo!$F$6:$ES$6,4)</f>
        <v>0</v>
      </c>
      <c r="H43" s="34" t="n">
        <f aca="false">SUMIFS(Calculo!$F$194:$ES$194,Calculo!$F$6:$ES$6,5)</f>
        <v>0</v>
      </c>
      <c r="I43" s="34" t="n">
        <f aca="false">SUMIFS(Calculo!$F$194:$ES$194,Calculo!$F$6:$ES$6,6)</f>
        <v>0</v>
      </c>
      <c r="J43" s="34" t="n">
        <f aca="false">SUMIFS(Calculo!$F$194:$ES$194,Calculo!$F$6:$ES$6,7)</f>
        <v>0</v>
      </c>
      <c r="K43" s="34" t="n">
        <f aca="false">SUMIFS(Calculo!$F$194:$ES$194,Calculo!$F$6:$ES$6,8)</f>
        <v>0</v>
      </c>
      <c r="L43" s="34" t="n">
        <f aca="false">SUMIFS(Calculo!$F$194:$ES$194,Calculo!$F$6:$ES$6,9)</f>
        <v>0</v>
      </c>
      <c r="M43" s="34" t="n">
        <f aca="false">SUMIFS(Calculo!$F$194:$ES$194,Calculo!$F$6:$ES$6,10)</f>
        <v>0</v>
      </c>
      <c r="N43" s="34" t="n">
        <f aca="false">SUMIFS(Calculo!$F$194:$ES$194,Calculo!$F$6:$ES$6,11)</f>
        <v>0</v>
      </c>
      <c r="O43" s="34" t="n">
        <f aca="false">SUMIFS(Calculo!$F$194:$ES$194,Calculo!$F$6:$ES$6,12)</f>
        <v>0</v>
      </c>
    </row>
    <row r="44" customFormat="false" ht="15" hidden="false" customHeight="false" outlineLevel="0" collapsed="false">
      <c r="A44" s="2" t="s">
        <v>773</v>
      </c>
      <c r="B44" s="52" t="s">
        <v>213</v>
      </c>
      <c r="C44" s="40" t="n">
        <f aca="false">SUM(D44:O44)</f>
        <v>0</v>
      </c>
      <c r="D44" s="10" t="n">
        <f aca="false">SUMIFS(Calculo!$F$195:$ES$195,Calculo!$F$6:$ES$6,1)</f>
        <v>0</v>
      </c>
      <c r="E44" s="10" t="n">
        <f aca="false">SUMIFS(Calculo!$F$195:$ES$195,Calculo!$F$6:$ES$6,2)</f>
        <v>0</v>
      </c>
      <c r="F44" s="10" t="n">
        <f aca="false">SUMIFS(Calculo!$F$195:$ES$195,Calculo!$F$6:$ES$6,3)</f>
        <v>0</v>
      </c>
      <c r="G44" s="10" t="n">
        <f aca="false">SUMIFS(Calculo!$F$195:$ES$195,Calculo!$F$6:$ES$6,4)</f>
        <v>0</v>
      </c>
      <c r="H44" s="10" t="n">
        <f aca="false">SUMIFS(Calculo!$F$195:$ES$195,Calculo!$F$6:$ES$6,5)</f>
        <v>0</v>
      </c>
      <c r="I44" s="10" t="n">
        <f aca="false">SUMIFS(Calculo!$F$195:$ES$195,Calculo!$F$6:$ES$6,6)</f>
        <v>0</v>
      </c>
      <c r="J44" s="10" t="n">
        <f aca="false">SUMIFS(Calculo!$F$195:$ES$195,Calculo!$F$6:$ES$6,7)</f>
        <v>0</v>
      </c>
      <c r="K44" s="10" t="n">
        <f aca="false">SUMIFS(Calculo!$F$195:$ES$195,Calculo!$F$6:$ES$6,8)</f>
        <v>0</v>
      </c>
      <c r="L44" s="10" t="n">
        <f aca="false">SUMIFS(Calculo!$F$195:$ES$195,Calculo!$F$6:$ES$6,9)</f>
        <v>0</v>
      </c>
      <c r="M44" s="10" t="n">
        <f aca="false">SUMIFS(Calculo!$F$195:$ES$195,Calculo!$F$6:$ES$6,10)</f>
        <v>0</v>
      </c>
      <c r="N44" s="10" t="n">
        <f aca="false">SUMIFS(Calculo!$F$195:$ES$195,Calculo!$F$6:$ES$6,11)</f>
        <v>0</v>
      </c>
      <c r="O44" s="10" t="n">
        <f aca="false">SUMIFS(Calculo!$F$195:$ES$195,Calculo!$F$6:$ES$6,12)</f>
        <v>0</v>
      </c>
    </row>
    <row r="45" customFormat="false" ht="15" hidden="false" customHeight="false" outlineLevel="0" collapsed="false">
      <c r="A45" s="2" t="s">
        <v>774</v>
      </c>
      <c r="B45" s="6" t="s">
        <v>775</v>
      </c>
      <c r="C45" s="40" t="n">
        <f aca="false">SUM(D45:O45)</f>
        <v>0</v>
      </c>
      <c r="D45" s="34" t="n">
        <f aca="false">SUMIFS(Calculo!$F$196:$ES$196,Calculo!$F$6:$ES$6,1)</f>
        <v>0</v>
      </c>
      <c r="E45" s="34" t="n">
        <f aca="false">SUMIFS(Calculo!$F$196:$ES$196,Calculo!$F$6:$ES$6,2)</f>
        <v>0</v>
      </c>
      <c r="F45" s="34" t="n">
        <f aca="false">SUMIFS(Calculo!$F$196:$ES$196,Calculo!$F$6:$ES$6,3)</f>
        <v>0</v>
      </c>
      <c r="G45" s="34" t="n">
        <f aca="false">SUMIFS(Calculo!$F$196:$ES$196,Calculo!$F$6:$ES$6,4)</f>
        <v>0</v>
      </c>
      <c r="H45" s="34" t="n">
        <f aca="false">SUMIFS(Calculo!$F$196:$ES$196,Calculo!$F$6:$ES$6,5)</f>
        <v>0</v>
      </c>
      <c r="I45" s="34" t="n">
        <f aca="false">SUMIFS(Calculo!$F$196:$ES$196,Calculo!$F$6:$ES$6,6)</f>
        <v>0</v>
      </c>
      <c r="J45" s="34" t="n">
        <f aca="false">SUMIFS(Calculo!$F$196:$ES$196,Calculo!$F$6:$ES$6,7)</f>
        <v>0</v>
      </c>
      <c r="K45" s="34" t="n">
        <f aca="false">SUMIFS(Calculo!$F$196:$ES$196,Calculo!$F$6:$ES$6,8)</f>
        <v>0</v>
      </c>
      <c r="L45" s="34" t="n">
        <f aca="false">SUMIFS(Calculo!$F$196:$ES$196,Calculo!$F$6:$ES$6,9)</f>
        <v>0</v>
      </c>
      <c r="M45" s="34" t="n">
        <f aca="false">SUMIFS(Calculo!$F$196:$ES$196,Calculo!$F$6:$ES$6,10)</f>
        <v>0</v>
      </c>
      <c r="N45" s="34" t="n">
        <f aca="false">SUMIFS(Calculo!$F$196:$ES$196,Calculo!$F$6:$ES$6,11)</f>
        <v>0</v>
      </c>
      <c r="O45" s="34" t="n">
        <f aca="false">SUMIFS(Calculo!$F$196:$ES$196,Calculo!$F$6:$ES$6,12)</f>
        <v>0</v>
      </c>
    </row>
    <row r="46" customFormat="false" ht="15" hidden="false" customHeight="false" outlineLevel="0" collapsed="false">
      <c r="A46" s="2" t="s">
        <v>776</v>
      </c>
      <c r="B46" s="6" t="s">
        <v>521</v>
      </c>
      <c r="C46" s="40" t="n">
        <f aca="false">SUM(D46:O46)</f>
        <v>0</v>
      </c>
      <c r="D46" s="34" t="n">
        <f aca="false">SUMIFS(Calculo!$F$198:$ES$198,Calculo!$F$6:$ES$6,1)</f>
        <v>0</v>
      </c>
      <c r="E46" s="34" t="n">
        <f aca="false">SUMIFS(Calculo!$F$198:$ES$198,Calculo!$F$6:$ES$6,2)</f>
        <v>0</v>
      </c>
      <c r="F46" s="34" t="n">
        <f aca="false">SUMIFS(Calculo!$F$198:$ES$198,Calculo!$F$6:$ES$6,3)</f>
        <v>0</v>
      </c>
      <c r="G46" s="34" t="n">
        <f aca="false">SUMIFS(Calculo!$F$198:$ES$198,Calculo!$F$6:$ES$6,4)</f>
        <v>0</v>
      </c>
      <c r="H46" s="34" t="n">
        <f aca="false">SUMIFS(Calculo!$F$198:$ES$198,Calculo!$F$6:$ES$6,5)</f>
        <v>0</v>
      </c>
      <c r="I46" s="34" t="n">
        <f aca="false">SUMIFS(Calculo!$F$198:$ES$198,Calculo!$F$6:$ES$6,6)</f>
        <v>0</v>
      </c>
      <c r="J46" s="34" t="n">
        <f aca="false">SUMIFS(Calculo!$F$198:$ES$198,Calculo!$F$6:$ES$6,7)</f>
        <v>0</v>
      </c>
      <c r="K46" s="34" t="n">
        <f aca="false">SUMIFS(Calculo!$F$198:$ES$198,Calculo!$F$6:$ES$6,8)</f>
        <v>0</v>
      </c>
      <c r="L46" s="34" t="n">
        <f aca="false">SUMIFS(Calculo!$F$198:$ES$198,Calculo!$F$6:$ES$6,9)</f>
        <v>0</v>
      </c>
      <c r="M46" s="34" t="n">
        <f aca="false">SUMIFS(Calculo!$F$198:$ES$198,Calculo!$F$6:$ES$6,10)</f>
        <v>0</v>
      </c>
      <c r="N46" s="34" t="n">
        <f aca="false">SUMIFS(Calculo!$F$198:$ES$198,Calculo!$F$6:$ES$6,11)</f>
        <v>0</v>
      </c>
      <c r="O46" s="34" t="n">
        <f aca="false">SUMIFS(Calculo!$F$198:$ES$198,Calculo!$F$6:$ES$6,12)</f>
        <v>0</v>
      </c>
    </row>
    <row r="47" customFormat="false" ht="15" hidden="false" customHeight="false" outlineLevel="0" collapsed="false">
      <c r="A47" s="2" t="s">
        <v>777</v>
      </c>
      <c r="B47" s="6" t="s">
        <v>523</v>
      </c>
      <c r="C47" s="40" t="n">
        <f aca="false">SUM(D47:O47)</f>
        <v>0</v>
      </c>
      <c r="D47" s="34" t="n">
        <f aca="false">SUMIFS(Calculo!$F$199:$ES$199,Calculo!$F$6:$ES$6,1)</f>
        <v>0</v>
      </c>
      <c r="E47" s="34" t="n">
        <f aca="false">SUMIFS(Calculo!$F$199:$ES$199,Calculo!$F$6:$ES$6,2)</f>
        <v>0</v>
      </c>
      <c r="F47" s="34" t="n">
        <f aca="false">SUMIFS(Calculo!$F$199:$ES$199,Calculo!$F$6:$ES$6,3)</f>
        <v>0</v>
      </c>
      <c r="G47" s="34" t="n">
        <f aca="false">SUMIFS(Calculo!$F$199:$ES$199,Calculo!$F$6:$ES$6,4)</f>
        <v>0</v>
      </c>
      <c r="H47" s="34" t="n">
        <f aca="false">SUMIFS(Calculo!$F$199:$ES$199,Calculo!$F$6:$ES$6,5)</f>
        <v>0</v>
      </c>
      <c r="I47" s="34" t="n">
        <f aca="false">SUMIFS(Calculo!$F$199:$ES$199,Calculo!$F$6:$ES$6,6)</f>
        <v>0</v>
      </c>
      <c r="J47" s="34" t="n">
        <f aca="false">SUMIFS(Calculo!$F$199:$ES$199,Calculo!$F$6:$ES$6,7)</f>
        <v>0</v>
      </c>
      <c r="K47" s="34" t="n">
        <f aca="false">SUMIFS(Calculo!$F$199:$ES$199,Calculo!$F$6:$ES$6,8)</f>
        <v>0</v>
      </c>
      <c r="L47" s="34" t="n">
        <f aca="false">SUMIFS(Calculo!$F$199:$ES$199,Calculo!$F$6:$ES$6,9)</f>
        <v>0</v>
      </c>
      <c r="M47" s="34" t="n">
        <f aca="false">SUMIFS(Calculo!$F$199:$ES$199,Calculo!$F$6:$ES$6,10)</f>
        <v>0</v>
      </c>
      <c r="N47" s="34" t="n">
        <f aca="false">SUMIFS(Calculo!$F$199:$ES$199,Calculo!$F$6:$ES$6,11)</f>
        <v>0</v>
      </c>
      <c r="O47" s="34" t="n">
        <f aca="false">SUMIFS(Calculo!$F$199:$ES$199,Calculo!$F$6:$ES$6,12)</f>
        <v>0</v>
      </c>
    </row>
    <row r="48" customFormat="false" ht="15" hidden="false" customHeight="false" outlineLevel="0" collapsed="false">
      <c r="A48" s="2" t="s">
        <v>778</v>
      </c>
      <c r="B48" s="52" t="s">
        <v>779</v>
      </c>
      <c r="C48" s="40" t="n">
        <f aca="false">SUM(D48:O48)</f>
        <v>0</v>
      </c>
      <c r="D48" s="10" t="n">
        <f aca="false">SUMIFS(Calculo!$F$200:$ES$200,Calculo!$F$6:$ES$6,1)</f>
        <v>0</v>
      </c>
      <c r="E48" s="10" t="n">
        <f aca="false">SUMIFS(Calculo!$F$200:$ES$200,Calculo!$F$6:$ES$6,2)</f>
        <v>0</v>
      </c>
      <c r="F48" s="10" t="n">
        <f aca="false">SUMIFS(Calculo!$F$200:$ES$200,Calculo!$F$6:$ES$6,3)</f>
        <v>0</v>
      </c>
      <c r="G48" s="10" t="n">
        <f aca="false">SUMIFS(Calculo!$F$200:$ES$200,Calculo!$F$6:$ES$6,4)</f>
        <v>0</v>
      </c>
      <c r="H48" s="10" t="n">
        <f aca="false">SUMIFS(Calculo!$F$200:$ES$200,Calculo!$F$6:$ES$6,5)</f>
        <v>0</v>
      </c>
      <c r="I48" s="10" t="n">
        <f aca="false">SUMIFS(Calculo!$F$200:$ES$200,Calculo!$F$6:$ES$6,6)</f>
        <v>0</v>
      </c>
      <c r="J48" s="10" t="n">
        <f aca="false">SUMIFS(Calculo!$F$200:$ES$200,Calculo!$F$6:$ES$6,7)</f>
        <v>0</v>
      </c>
      <c r="K48" s="10" t="n">
        <f aca="false">SUMIFS(Calculo!$F$200:$ES$200,Calculo!$F$6:$ES$6,8)</f>
        <v>0</v>
      </c>
      <c r="L48" s="10" t="n">
        <f aca="false">SUMIFS(Calculo!$F$200:$ES$200,Calculo!$F$6:$ES$6,9)</f>
        <v>0</v>
      </c>
      <c r="M48" s="10" t="n">
        <f aca="false">SUMIFS(Calculo!$F$200:$ES$200,Calculo!$F$6:$ES$6,10)</f>
        <v>0</v>
      </c>
      <c r="N48" s="10" t="n">
        <f aca="false">SUMIFS(Calculo!$F$200:$ES$200,Calculo!$F$6:$ES$6,11)</f>
        <v>0</v>
      </c>
      <c r="O48" s="10" t="n">
        <f aca="false">SUMIFS(Calculo!$F$200:$ES$200,Calculo!$F$6:$ES$6,12)</f>
        <v>0</v>
      </c>
    </row>
    <row r="49" customFormat="false" ht="15" hidden="false" customHeight="false" outlineLevel="0" collapsed="false">
      <c r="A49" s="2" t="s">
        <v>780</v>
      </c>
      <c r="B49" s="52" t="s">
        <v>781</v>
      </c>
      <c r="C49" s="40" t="n">
        <f aca="false">SUM(D49:O49)</f>
        <v>0</v>
      </c>
      <c r="D49" s="10" t="n">
        <f aca="false">SUMIFS(Calculo!$F$209:$ES$209,Calculo!$F$6:$ES$6,1)</f>
        <v>0</v>
      </c>
      <c r="E49" s="10" t="n">
        <f aca="false">SUMIFS(Calculo!$F$209:$ES$209,Calculo!$F$6:$ES$6,2)</f>
        <v>0</v>
      </c>
      <c r="F49" s="10" t="n">
        <f aca="false">SUMIFS(Calculo!$F$209:$ES$209,Calculo!$F$6:$ES$6,3)</f>
        <v>0</v>
      </c>
      <c r="G49" s="10" t="n">
        <f aca="false">SUMIFS(Calculo!$F$209:$ES$209,Calculo!$F$6:$ES$6,4)</f>
        <v>0</v>
      </c>
      <c r="H49" s="10" t="n">
        <f aca="false">SUMIFS(Calculo!$F$209:$ES$209,Calculo!$F$6:$ES$6,5)</f>
        <v>0</v>
      </c>
      <c r="I49" s="10" t="n">
        <f aca="false">SUMIFS(Calculo!$F$209:$ES$209,Calculo!$F$6:$ES$6,6)</f>
        <v>0</v>
      </c>
      <c r="J49" s="10" t="n">
        <f aca="false">SUMIFS(Calculo!$F$209:$ES$209,Calculo!$F$6:$ES$6,7)</f>
        <v>0</v>
      </c>
      <c r="K49" s="10" t="n">
        <f aca="false">SUMIFS(Calculo!$F$209:$ES$209,Calculo!$F$6:$ES$6,8)</f>
        <v>0</v>
      </c>
      <c r="L49" s="10" t="n">
        <f aca="false">SUMIFS(Calculo!$F$209:$ES$209,Calculo!$F$6:$ES$6,9)</f>
        <v>0</v>
      </c>
      <c r="M49" s="10" t="n">
        <f aca="false">SUMIFS(Calculo!$F$209:$ES$209,Calculo!$F$6:$ES$6,10)</f>
        <v>0</v>
      </c>
      <c r="N49" s="10" t="n">
        <f aca="false">SUMIFS(Calculo!$F$209:$ES$209,Calculo!$F$6:$ES$6,11)</f>
        <v>0</v>
      </c>
      <c r="O49" s="10" t="n">
        <f aca="false">SUMIFS(Calculo!$F$209:$ES$209,Calculo!$F$6:$ES$6,12)</f>
        <v>0</v>
      </c>
    </row>
    <row r="50" customFormat="false" ht="15" hidden="false" customHeight="false" outlineLevel="0" collapsed="false">
      <c r="A50" s="2" t="s">
        <v>782</v>
      </c>
      <c r="B50" s="6" t="s">
        <v>380</v>
      </c>
      <c r="C50" s="40" t="n">
        <f aca="false">SUM(D50:O50)</f>
        <v>0</v>
      </c>
      <c r="D50" s="34" t="n">
        <f aca="false">SUMIFS(Calculo!$F$210:$ES$210,Calculo!$F$6:$ES$6,1)</f>
        <v>0</v>
      </c>
      <c r="E50" s="34" t="n">
        <f aca="false">SUMIFS(Calculo!$F$210:$ES$210,Calculo!$F$6:$ES$6,2)</f>
        <v>0</v>
      </c>
      <c r="F50" s="34" t="n">
        <f aca="false">SUMIFS(Calculo!$F$210:$ES$210,Calculo!$F$6:$ES$6,3)</f>
        <v>0</v>
      </c>
      <c r="G50" s="34" t="n">
        <f aca="false">SUMIFS(Calculo!$F$210:$ES$210,Calculo!$F$6:$ES$6,4)</f>
        <v>0</v>
      </c>
      <c r="H50" s="34" t="n">
        <f aca="false">SUMIFS(Calculo!$F$210:$ES$210,Calculo!$F$6:$ES$6,5)</f>
        <v>0</v>
      </c>
      <c r="I50" s="34" t="n">
        <f aca="false">SUMIFS(Calculo!$F$210:$ES$210,Calculo!$F$6:$ES$6,6)</f>
        <v>0</v>
      </c>
      <c r="J50" s="34" t="n">
        <f aca="false">SUMIFS(Calculo!$F$210:$ES$210,Calculo!$F$6:$ES$6,7)</f>
        <v>0</v>
      </c>
      <c r="K50" s="34" t="n">
        <f aca="false">SUMIFS(Calculo!$F$210:$ES$210,Calculo!$F$6:$ES$6,8)</f>
        <v>0</v>
      </c>
      <c r="L50" s="34" t="n">
        <f aca="false">SUMIFS(Calculo!$F$210:$ES$210,Calculo!$F$6:$ES$6,9)</f>
        <v>0</v>
      </c>
      <c r="M50" s="34" t="n">
        <f aca="false">SUMIFS(Calculo!$F$210:$ES$210,Calculo!$F$6:$ES$6,10)</f>
        <v>0</v>
      </c>
      <c r="N50" s="34" t="n">
        <f aca="false">SUMIFS(Calculo!$F$210:$ES$210,Calculo!$F$6:$ES$6,11)</f>
        <v>0</v>
      </c>
      <c r="O50" s="34" t="n">
        <f aca="false">SUMIFS(Calculo!$F$210:$ES$210,Calculo!$F$6:$ES$6,12)</f>
        <v>0</v>
      </c>
    </row>
    <row r="51" customFormat="false" ht="15" hidden="false" customHeight="false" outlineLevel="0" collapsed="false">
      <c r="A51" s="2" t="s">
        <v>783</v>
      </c>
      <c r="B51" s="52" t="s">
        <v>784</v>
      </c>
      <c r="C51" s="40" t="n">
        <f aca="false">SUM(D51:O51)</f>
        <v>0</v>
      </c>
      <c r="D51" s="10" t="n">
        <f aca="false">SUMIFS(Calculo!$F$213:$ES$213,Calculo!$F$6:$ES$6,1)</f>
        <v>0</v>
      </c>
      <c r="E51" s="10" t="n">
        <f aca="false">SUMIFS(Calculo!$F$213:$ES$213,Calculo!$F$6:$ES$6,2)</f>
        <v>0</v>
      </c>
      <c r="F51" s="10" t="n">
        <f aca="false">SUMIFS(Calculo!$F$213:$ES$213,Calculo!$F$6:$ES$6,3)</f>
        <v>0</v>
      </c>
      <c r="G51" s="10" t="n">
        <f aca="false">SUMIFS(Calculo!$F$213:$ES$213,Calculo!$F$6:$ES$6,4)</f>
        <v>0</v>
      </c>
      <c r="H51" s="10" t="n">
        <f aca="false">SUMIFS(Calculo!$F$213:$ES$213,Calculo!$F$6:$ES$6,5)</f>
        <v>0</v>
      </c>
      <c r="I51" s="10" t="n">
        <f aca="false">SUMIFS(Calculo!$F$213:$ES$213,Calculo!$F$6:$ES$6,6)</f>
        <v>0</v>
      </c>
      <c r="J51" s="10" t="n">
        <f aca="false">SUMIFS(Calculo!$F$213:$ES$213,Calculo!$F$6:$ES$6,7)</f>
        <v>0</v>
      </c>
      <c r="K51" s="10" t="n">
        <f aca="false">SUMIFS(Calculo!$F$213:$ES$213,Calculo!$F$6:$ES$6,8)</f>
        <v>0</v>
      </c>
      <c r="L51" s="10" t="n">
        <f aca="false">SUMIFS(Calculo!$F$213:$ES$213,Calculo!$F$6:$ES$6,9)</f>
        <v>0</v>
      </c>
      <c r="M51" s="10" t="n">
        <f aca="false">SUMIFS(Calculo!$F$213:$ES$213,Calculo!$F$6:$ES$6,10)</f>
        <v>0</v>
      </c>
      <c r="N51" s="10" t="n">
        <f aca="false">SUMIFS(Calculo!$F$213:$ES$213,Calculo!$F$6:$ES$6,11)</f>
        <v>0</v>
      </c>
      <c r="O51" s="10" t="n">
        <f aca="false">SUMIFS(Calculo!$F$213:$ES$213,Calculo!$F$6:$ES$6,12)</f>
        <v>0</v>
      </c>
    </row>
    <row r="52" customFormat="false" ht="15" hidden="false" customHeight="false" outlineLevel="0" collapsed="false">
      <c r="A52" s="2" t="s">
        <v>785</v>
      </c>
      <c r="B52" s="6" t="s">
        <v>583</v>
      </c>
      <c r="C52" s="40" t="n">
        <f aca="false">SUM(D52:O52)</f>
        <v>0</v>
      </c>
      <c r="D52" s="34" t="n">
        <f aca="false">SUMIFS(Calculo!$F$232:$ES$232,Calculo!$F$6:$ES$6,1)</f>
        <v>0</v>
      </c>
      <c r="E52" s="34" t="n">
        <f aca="false">SUMIFS(Calculo!$F$232:$ES$232,Calculo!$F$6:$ES$6,2)</f>
        <v>0</v>
      </c>
      <c r="F52" s="34" t="n">
        <f aca="false">SUMIFS(Calculo!$F$232:$ES$232,Calculo!$F$6:$ES$6,3)</f>
        <v>0</v>
      </c>
      <c r="G52" s="34" t="n">
        <f aca="false">SUMIFS(Calculo!$F$232:$ES$232,Calculo!$F$6:$ES$6,4)</f>
        <v>0</v>
      </c>
      <c r="H52" s="34" t="n">
        <f aca="false">SUMIFS(Calculo!$F$232:$ES$232,Calculo!$F$6:$ES$6,5)</f>
        <v>0</v>
      </c>
      <c r="I52" s="34" t="n">
        <f aca="false">SUMIFS(Calculo!$F$232:$ES$232,Calculo!$F$6:$ES$6,6)</f>
        <v>0</v>
      </c>
      <c r="J52" s="34" t="n">
        <f aca="false">SUMIFS(Calculo!$F$232:$ES$232,Calculo!$F$6:$ES$6,7)</f>
        <v>0</v>
      </c>
      <c r="K52" s="34" t="n">
        <f aca="false">SUMIFS(Calculo!$F$232:$ES$232,Calculo!$F$6:$ES$6,8)</f>
        <v>0</v>
      </c>
      <c r="L52" s="34" t="n">
        <f aca="false">SUMIFS(Calculo!$F$232:$ES$232,Calculo!$F$6:$ES$6,9)</f>
        <v>0</v>
      </c>
      <c r="M52" s="34" t="n">
        <f aca="false">SUMIFS(Calculo!$F$232:$ES$232,Calculo!$F$6:$ES$6,10)</f>
        <v>0</v>
      </c>
      <c r="N52" s="34" t="n">
        <f aca="false">SUMIFS(Calculo!$F$232:$ES$232,Calculo!$F$6:$ES$6,11)</f>
        <v>0</v>
      </c>
      <c r="O52" s="34" t="n">
        <f aca="false">SUMIFS(Calculo!$F$232:$ES$232,Calculo!$F$6:$ES$6,12)</f>
        <v>0</v>
      </c>
    </row>
    <row r="53" customFormat="false" ht="15" hidden="false" customHeight="false" outlineLevel="0" collapsed="false">
      <c r="A53" s="2" t="s">
        <v>786</v>
      </c>
      <c r="B53" s="6" t="s">
        <v>577</v>
      </c>
      <c r="C53" s="40" t="n">
        <f aca="false">SUM(D53:O53)</f>
        <v>0</v>
      </c>
      <c r="D53" s="34" t="n">
        <f aca="false">SUMIFS(Calculo!$F$229:$ES$229,Calculo!$F$6:$ES$6,1)</f>
        <v>0</v>
      </c>
      <c r="E53" s="34" t="n">
        <f aca="false">SUMIFS(Calculo!$F$229:$ES$229,Calculo!$F$6:$ES$6,2)</f>
        <v>0</v>
      </c>
      <c r="F53" s="34" t="n">
        <f aca="false">SUMIFS(Calculo!$F$229:$ES$229,Calculo!$F$6:$ES$6,3)</f>
        <v>0</v>
      </c>
      <c r="G53" s="34" t="n">
        <f aca="false">SUMIFS(Calculo!$F$229:$ES$229,Calculo!$F$6:$ES$6,4)</f>
        <v>0</v>
      </c>
      <c r="H53" s="34" t="n">
        <f aca="false">SUMIFS(Calculo!$F$229:$ES$229,Calculo!$F$6:$ES$6,5)</f>
        <v>0</v>
      </c>
      <c r="I53" s="34" t="n">
        <f aca="false">SUMIFS(Calculo!$F$229:$ES$229,Calculo!$F$6:$ES$6,6)</f>
        <v>0</v>
      </c>
      <c r="J53" s="34" t="n">
        <f aca="false">SUMIFS(Calculo!$F$229:$ES$229,Calculo!$F$6:$ES$6,7)</f>
        <v>0</v>
      </c>
      <c r="K53" s="34" t="n">
        <f aca="false">SUMIFS(Calculo!$F$229:$ES$229,Calculo!$F$6:$ES$6,8)</f>
        <v>0</v>
      </c>
      <c r="L53" s="34" t="n">
        <f aca="false">SUMIFS(Calculo!$F$229:$ES$229,Calculo!$F$6:$ES$6,9)</f>
        <v>0</v>
      </c>
      <c r="M53" s="34" t="n">
        <f aca="false">SUMIFS(Calculo!$F$229:$ES$229,Calculo!$F$6:$ES$6,10)</f>
        <v>0</v>
      </c>
      <c r="N53" s="34" t="n">
        <f aca="false">SUMIFS(Calculo!$F$229:$ES$229,Calculo!$F$6:$ES$6,11)</f>
        <v>0</v>
      </c>
      <c r="O53" s="34" t="n">
        <f aca="false">SUMIFS(Calculo!$F$229:$ES$229,Calculo!$F$6:$ES$6,12)</f>
        <v>0</v>
      </c>
    </row>
    <row r="54" customFormat="false" ht="15" hidden="false" customHeight="false" outlineLevel="0" collapsed="false">
      <c r="A54" s="2" t="s">
        <v>787</v>
      </c>
      <c r="B54" s="6" t="s">
        <v>788</v>
      </c>
      <c r="C54" s="40" t="n">
        <f aca="false">SUM(D54:O54)</f>
        <v>0</v>
      </c>
      <c r="D54" s="34" t="n">
        <f aca="false">SUMIFS(Calculo!$F$230:$ES$230,Calculo!$F$6:$ES$6,1)</f>
        <v>0</v>
      </c>
      <c r="E54" s="34" t="n">
        <f aca="false">SUMIFS(Calculo!$F$230:$ES$230,Calculo!$F$6:$ES$6,2)</f>
        <v>0</v>
      </c>
      <c r="F54" s="34" t="n">
        <f aca="false">SUMIFS(Calculo!$F$230:$ES$230,Calculo!$F$6:$ES$6,3)</f>
        <v>0</v>
      </c>
      <c r="G54" s="34" t="n">
        <f aca="false">SUMIFS(Calculo!$F$230:$ES$230,Calculo!$F$6:$ES$6,4)</f>
        <v>0</v>
      </c>
      <c r="H54" s="34" t="n">
        <f aca="false">SUMIFS(Calculo!$F$230:$ES$230,Calculo!$F$6:$ES$6,5)</f>
        <v>0</v>
      </c>
      <c r="I54" s="34" t="n">
        <f aca="false">SUMIFS(Calculo!$F$230:$ES$230,Calculo!$F$6:$ES$6,6)</f>
        <v>0</v>
      </c>
      <c r="J54" s="34" t="n">
        <f aca="false">SUMIFS(Calculo!$F$230:$ES$230,Calculo!$F$6:$ES$6,7)</f>
        <v>0</v>
      </c>
      <c r="K54" s="34" t="n">
        <f aca="false">SUMIFS(Calculo!$F$230:$ES$230,Calculo!$F$6:$ES$6,8)</f>
        <v>0</v>
      </c>
      <c r="L54" s="34" t="n">
        <f aca="false">SUMIFS(Calculo!$F$230:$ES$230,Calculo!$F$6:$ES$6,9)</f>
        <v>0</v>
      </c>
      <c r="M54" s="34" t="n">
        <f aca="false">SUMIFS(Calculo!$F$230:$ES$230,Calculo!$F$6:$ES$6,10)</f>
        <v>0</v>
      </c>
      <c r="N54" s="34" t="n">
        <f aca="false">SUMIFS(Calculo!$F$230:$ES$230,Calculo!$F$6:$ES$6,11)</f>
        <v>0</v>
      </c>
      <c r="O54" s="34" t="n">
        <f aca="false">SUMIFS(Calculo!$F$230:$ES$230,Calculo!$F$6:$ES$6,12)</f>
        <v>0</v>
      </c>
    </row>
    <row r="55" customFormat="false" ht="15" hidden="false" customHeight="false" outlineLevel="0" collapsed="false">
      <c r="A55" s="2" t="s">
        <v>789</v>
      </c>
      <c r="B55" s="6" t="s">
        <v>390</v>
      </c>
      <c r="C55" s="40" t="n">
        <f aca="false">SUM(D55:O55)</f>
        <v>0</v>
      </c>
      <c r="D55" s="34" t="n">
        <f aca="false">SUMIFS(Calculo!$F$236:$ES$236,Calculo!$F$6:$ES$6,1)</f>
        <v>0</v>
      </c>
      <c r="E55" s="34" t="n">
        <f aca="false">SUMIFS(Calculo!$F$236:$ES$236,Calculo!$F$6:$ES$6,2)</f>
        <v>0</v>
      </c>
      <c r="F55" s="34" t="n">
        <f aca="false">SUMIFS(Calculo!$F$236:$ES$236,Calculo!$F$6:$ES$6,3)</f>
        <v>0</v>
      </c>
      <c r="G55" s="34" t="n">
        <f aca="false">SUMIFS(Calculo!$F$236:$ES$236,Calculo!$F$6:$ES$6,4)</f>
        <v>0</v>
      </c>
      <c r="H55" s="34" t="n">
        <f aca="false">SUMIFS(Calculo!$F$236:$ES$236,Calculo!$F$6:$ES$6,5)</f>
        <v>0</v>
      </c>
      <c r="I55" s="34" t="n">
        <f aca="false">SUMIFS(Calculo!$F$236:$ES$236,Calculo!$F$6:$ES$6,6)</f>
        <v>0</v>
      </c>
      <c r="J55" s="34" t="n">
        <f aca="false">SUMIFS(Calculo!$F$236:$ES$236,Calculo!$F$6:$ES$6,7)</f>
        <v>0</v>
      </c>
      <c r="K55" s="34" t="n">
        <f aca="false">SUMIFS(Calculo!$F$236:$ES$236,Calculo!$F$6:$ES$6,8)</f>
        <v>0</v>
      </c>
      <c r="L55" s="34" t="n">
        <f aca="false">SUMIFS(Calculo!$F$236:$ES$236,Calculo!$F$6:$ES$6,9)</f>
        <v>0</v>
      </c>
      <c r="M55" s="34" t="n">
        <f aca="false">SUMIFS(Calculo!$F$236:$ES$236,Calculo!$F$6:$ES$6,10)</f>
        <v>0</v>
      </c>
      <c r="N55" s="34" t="n">
        <f aca="false">SUMIFS(Calculo!$F$236:$ES$236,Calculo!$F$6:$ES$6,11)</f>
        <v>0</v>
      </c>
      <c r="O55" s="34" t="n">
        <f aca="false">SUMIFS(Calculo!$F$236:$ES$236,Calculo!$F$6:$ES$6,12)</f>
        <v>0</v>
      </c>
    </row>
    <row r="56" customFormat="false" ht="15" hidden="false" customHeight="false" outlineLevel="0" collapsed="false">
      <c r="A56" s="2" t="s">
        <v>790</v>
      </c>
      <c r="B56" s="52" t="s">
        <v>791</v>
      </c>
      <c r="C56" s="40" t="n">
        <f aca="false">INDEX(Calculo!$F$237:$ES$237,1,MIN(144,Fin))</f>
        <v>0</v>
      </c>
      <c r="D56" s="10" t="n">
        <f aca="false">INDEX(Calculo!$F$237:$ES$237,1,MIN(144,12))</f>
        <v>0</v>
      </c>
      <c r="E56" s="10" t="n">
        <f aca="false">INDEX(Calculo!$F$237:$ES$237,1,MIN(144,24))</f>
        <v>0</v>
      </c>
      <c r="F56" s="10" t="n">
        <f aca="false">INDEX(Calculo!$F$237:$ES$237,1,MIN(144,36))</f>
        <v>0</v>
      </c>
      <c r="G56" s="10" t="n">
        <f aca="false">INDEX(Calculo!$F$237:$ES$237,1,MIN(144,48))</f>
        <v>0</v>
      </c>
      <c r="H56" s="10" t="n">
        <f aca="false">INDEX(Calculo!$F$237:$ES$237,1,MIN(144,60))</f>
        <v>0</v>
      </c>
      <c r="I56" s="10" t="n">
        <f aca="false">INDEX(Calculo!$F$237:$ES$237,1,MIN(144,72))</f>
        <v>0</v>
      </c>
      <c r="J56" s="10" t="n">
        <f aca="false">INDEX(Calculo!$F$237:$ES$237,1,MIN(144,84))</f>
        <v>0</v>
      </c>
      <c r="K56" s="10" t="n">
        <f aca="false">INDEX(Calculo!$F$237:$ES$237,1,MIN(144,96))</f>
        <v>0</v>
      </c>
      <c r="L56" s="10" t="n">
        <f aca="false">INDEX(Calculo!$F$237:$ES$237,1,MIN(144,108))</f>
        <v>0</v>
      </c>
      <c r="M56" s="10" t="n">
        <f aca="false">INDEX(Calculo!$F$237:$ES$237,1,MIN(144,120))</f>
        <v>0</v>
      </c>
      <c r="N56" s="10" t="n">
        <f aca="false">INDEX(Calculo!$F$237:$ES$237,1,MIN(144,132))</f>
        <v>0</v>
      </c>
      <c r="O56" s="10" t="n">
        <f aca="false">INDEX(Calculo!$F$237:$ES$237,1,MIN(144,144))</f>
        <v>0</v>
      </c>
    </row>
    <row r="57" customFormat="false" ht="15" hidden="false" customHeight="false" outlineLevel="0" collapsed="false">
      <c r="A57" s="2" t="s">
        <v>792</v>
      </c>
      <c r="B57" s="6" t="s">
        <v>793</v>
      </c>
      <c r="C57" s="40" t="n">
        <f aca="false">INDEX(Calculo!$F$231:$ES$231,1,MIN(144,Fin))</f>
        <v>0</v>
      </c>
      <c r="D57" s="34" t="n">
        <f aca="false">INDEX(Calculo!$F$231:$ES$231,1,MIN(144,12))</f>
        <v>0</v>
      </c>
      <c r="E57" s="34" t="n">
        <f aca="false">INDEX(Calculo!$F$231:$ES$231,1,MIN(144,24))</f>
        <v>0</v>
      </c>
      <c r="F57" s="34" t="n">
        <f aca="false">INDEX(Calculo!$F$231:$ES$231,1,MIN(144,36))</f>
        <v>0</v>
      </c>
      <c r="G57" s="34" t="n">
        <f aca="false">INDEX(Calculo!$F$231:$ES$231,1,MIN(144,48))</f>
        <v>0</v>
      </c>
      <c r="H57" s="34" t="n">
        <f aca="false">INDEX(Calculo!$F$231:$ES$231,1,MIN(144,60))</f>
        <v>0</v>
      </c>
      <c r="I57" s="34" t="n">
        <f aca="false">INDEX(Calculo!$F$231:$ES$231,1,MIN(144,72))</f>
        <v>0</v>
      </c>
      <c r="J57" s="34" t="n">
        <f aca="false">INDEX(Calculo!$F$231:$ES$231,1,MIN(144,84))</f>
        <v>0</v>
      </c>
      <c r="K57" s="34" t="n">
        <f aca="false">INDEX(Calculo!$F$231:$ES$231,1,MIN(144,96))</f>
        <v>0</v>
      </c>
      <c r="L57" s="34" t="n">
        <f aca="false">INDEX(Calculo!$F$231:$ES$231,1,MIN(144,108))</f>
        <v>0</v>
      </c>
      <c r="M57" s="34" t="n">
        <f aca="false">INDEX(Calculo!$F$231:$ES$231,1,MIN(144,120))</f>
        <v>0</v>
      </c>
      <c r="N57" s="34" t="n">
        <f aca="false">INDEX(Calculo!$F$231:$ES$231,1,MIN(144,132))</f>
        <v>0</v>
      </c>
      <c r="O57" s="34" t="n">
        <f aca="false">INDEX(Calculo!$F$231:$ES$231,1,MIN(144,144))</f>
        <v>0</v>
      </c>
    </row>
    <row r="58" customFormat="false" ht="15" hidden="false" customHeight="false" outlineLevel="0" collapsed="false">
      <c r="A58" s="2" t="s">
        <v>794</v>
      </c>
      <c r="B58" s="6" t="s">
        <v>795</v>
      </c>
      <c r="C58" s="40" t="n">
        <f aca="false">INDEX(Calculo!$F$206:$ES$206,1,MIN(144,Fin))</f>
        <v>0</v>
      </c>
      <c r="D58" s="34" t="n">
        <f aca="false">INDEX(Calculo!$F$206:$ES$206,1,MIN(144,12))</f>
        <v>0</v>
      </c>
      <c r="E58" s="34" t="n">
        <f aca="false">INDEX(Calculo!$F$206:$ES$206,1,MIN(144,24))</f>
        <v>0</v>
      </c>
      <c r="F58" s="34" t="n">
        <f aca="false">INDEX(Calculo!$F$206:$ES$206,1,MIN(144,36))</f>
        <v>0</v>
      </c>
      <c r="G58" s="34" t="n">
        <f aca="false">INDEX(Calculo!$F$206:$ES$206,1,MIN(144,48))</f>
        <v>0</v>
      </c>
      <c r="H58" s="34" t="n">
        <f aca="false">INDEX(Calculo!$F$206:$ES$206,1,MIN(144,60))</f>
        <v>0</v>
      </c>
      <c r="I58" s="34" t="n">
        <f aca="false">INDEX(Calculo!$F$206:$ES$206,1,MIN(144,72))</f>
        <v>0</v>
      </c>
      <c r="J58" s="34" t="n">
        <f aca="false">INDEX(Calculo!$F$206:$ES$206,1,MIN(144,84))</f>
        <v>0</v>
      </c>
      <c r="K58" s="34" t="n">
        <f aca="false">INDEX(Calculo!$F$206:$ES$206,1,MIN(144,96))</f>
        <v>0</v>
      </c>
      <c r="L58" s="34" t="n">
        <f aca="false">INDEX(Calculo!$F$206:$ES$206,1,MIN(144,108))</f>
        <v>0</v>
      </c>
      <c r="M58" s="34" t="n">
        <f aca="false">INDEX(Calculo!$F$206:$ES$206,1,MIN(144,120))</f>
        <v>0</v>
      </c>
      <c r="N58" s="34" t="n">
        <f aca="false">INDEX(Calculo!$F$206:$ES$206,1,MIN(144,132))</f>
        <v>0</v>
      </c>
      <c r="O58" s="34" t="n">
        <f aca="false">INDEX(Calculo!$F$206:$ES$206,1,MIN(144,144))</f>
        <v>0</v>
      </c>
    </row>
    <row r="59" customFormat="false" ht="15" hidden="false" customHeight="false" outlineLevel="0" collapsed="false">
      <c r="A59" s="2" t="s">
        <v>796</v>
      </c>
      <c r="B59" s="6" t="s">
        <v>797</v>
      </c>
      <c r="C59" s="40" t="n">
        <f aca="false">MAX(D59:O59)</f>
        <v>0</v>
      </c>
      <c r="D59" s="34" t="n">
        <f aca="false">_xlfn.MAXIFS(Calculo!$F$239:$ES$239,Calculo!$F$6:$ES$6,1)</f>
        <v>0</v>
      </c>
      <c r="E59" s="34" t="n">
        <f aca="false">_xlfn.MAXIFS(Calculo!$F$239:$ES$239,Calculo!$F$6:$ES$6,2)</f>
        <v>0</v>
      </c>
      <c r="F59" s="34" t="n">
        <f aca="false">_xlfn.MAXIFS(Calculo!$F$239:$ES$239,Calculo!$F$6:$ES$6,3)</f>
        <v>0</v>
      </c>
      <c r="G59" s="34" t="n">
        <f aca="false">_xlfn.MAXIFS(Calculo!$F$239:$ES$239,Calculo!$F$6:$ES$6,4)</f>
        <v>0</v>
      </c>
      <c r="H59" s="34" t="n">
        <f aca="false">_xlfn.MAXIFS(Calculo!$F$239:$ES$239,Calculo!$F$6:$ES$6,5)</f>
        <v>0</v>
      </c>
      <c r="I59" s="34" t="n">
        <f aca="false">_xlfn.MAXIFS(Calculo!$F$239:$ES$239,Calculo!$F$6:$ES$6,6)</f>
        <v>0</v>
      </c>
      <c r="J59" s="34" t="n">
        <f aca="false">_xlfn.MAXIFS(Calculo!$F$239:$ES$239,Calculo!$F$6:$ES$6,7)</f>
        <v>0</v>
      </c>
      <c r="K59" s="34" t="n">
        <f aca="false">_xlfn.MAXIFS(Calculo!$F$239:$ES$239,Calculo!$F$6:$ES$6,8)</f>
        <v>0</v>
      </c>
      <c r="L59" s="34" t="n">
        <f aca="false">_xlfn.MAXIFS(Calculo!$F$239:$ES$239,Calculo!$F$6:$ES$6,9)</f>
        <v>0</v>
      </c>
      <c r="M59" s="34" t="n">
        <f aca="false">_xlfn.MAXIFS(Calculo!$F$239:$ES$239,Calculo!$F$6:$ES$6,10)</f>
        <v>0</v>
      </c>
      <c r="N59" s="34" t="n">
        <f aca="false">_xlfn.MAXIFS(Calculo!$F$239:$ES$239,Calculo!$F$6:$ES$6,11)</f>
        <v>0</v>
      </c>
      <c r="O59" s="34" t="n">
        <f aca="false">_xlfn.MAXIFS(Calculo!$F$239:$ES$239,Calculo!$F$6:$ES$6,12)</f>
        <v>0</v>
      </c>
    </row>
    <row r="60" customFormat="false" ht="15" hidden="false" customHeight="false" outlineLevel="0" collapsed="false">
      <c r="A60" s="2" t="s">
        <v>798</v>
      </c>
      <c r="B60" s="6" t="s">
        <v>799</v>
      </c>
      <c r="D60" s="35" t="str">
        <f aca="false">IF(D34=0,"",D44/D34)</f>
        <v/>
      </c>
      <c r="E60" s="35" t="str">
        <f aca="false">IF(E34=0,"",E44/E34)</f>
        <v/>
      </c>
      <c r="F60" s="35" t="str">
        <f aca="false">IF(F34=0,"",F44/F34)</f>
        <v/>
      </c>
      <c r="G60" s="35" t="str">
        <f aca="false">IF(G34=0,"",G44/G34)</f>
        <v/>
      </c>
      <c r="H60" s="35" t="str">
        <f aca="false">IF(H34=0,"",H44/H34)</f>
        <v/>
      </c>
      <c r="I60" s="35" t="str">
        <f aca="false">IF(I34=0,"",I44/I34)</f>
        <v/>
      </c>
      <c r="J60" s="35" t="str">
        <f aca="false">IF(J34=0,"",J44/J34)</f>
        <v/>
      </c>
      <c r="K60" s="35" t="str">
        <f aca="false">IF(K34=0,"",K44/K34)</f>
        <v/>
      </c>
      <c r="L60" s="35" t="str">
        <f aca="false">IF(L34=0,"",L44/L34)</f>
        <v/>
      </c>
      <c r="M60" s="35" t="str">
        <f aca="false">IF(M34=0,"",M44/M34)</f>
        <v/>
      </c>
      <c r="N60" s="35" t="str">
        <f aca="false">IF(N34=0,"",N44/N34)</f>
        <v/>
      </c>
      <c r="O60" s="35" t="str">
        <f aca="false">IF(O34=0,"",O44/O34)</f>
        <v/>
      </c>
    </row>
    <row r="61" customFormat="false" ht="15" hidden="false" customHeight="false" outlineLevel="0" collapsed="false">
      <c r="A61" s="2" t="s">
        <v>800</v>
      </c>
      <c r="B61" s="6" t="s">
        <v>801</v>
      </c>
      <c r="D61" s="34" t="n">
        <f aca="false">D46+D54</f>
        <v>0</v>
      </c>
      <c r="E61" s="34" t="n">
        <f aca="false">E46+E54</f>
        <v>0</v>
      </c>
      <c r="F61" s="34" t="n">
        <f aca="false">F46+F54</f>
        <v>0</v>
      </c>
      <c r="G61" s="34" t="n">
        <f aca="false">G46+G54</f>
        <v>0</v>
      </c>
      <c r="H61" s="34" t="n">
        <f aca="false">H46+H54</f>
        <v>0</v>
      </c>
      <c r="I61" s="34" t="n">
        <f aca="false">I46+I54</f>
        <v>0</v>
      </c>
      <c r="J61" s="34" t="n">
        <f aca="false">J46+J54</f>
        <v>0</v>
      </c>
      <c r="K61" s="34" t="n">
        <f aca="false">K46+K54</f>
        <v>0</v>
      </c>
      <c r="L61" s="34" t="n">
        <f aca="false">L46+L54</f>
        <v>0</v>
      </c>
      <c r="M61" s="34" t="n">
        <f aca="false">M46+M54</f>
        <v>0</v>
      </c>
      <c r="N61" s="34" t="n">
        <f aca="false">N46+N54</f>
        <v>0</v>
      </c>
      <c r="O61" s="34" t="n">
        <f aca="false">O46+O54</f>
        <v>0</v>
      </c>
    </row>
    <row r="62" customFormat="false" ht="15" hidden="false" customHeight="false" outlineLevel="0" collapsed="false">
      <c r="A62" s="2" t="s">
        <v>802</v>
      </c>
      <c r="B62" s="6" t="s">
        <v>803</v>
      </c>
      <c r="D62" s="66" t="str">
        <f aca="false">IF(D61&gt;1,D49/D61,"")</f>
        <v/>
      </c>
      <c r="E62" s="66" t="str">
        <f aca="false">IF(E61&gt;1,E49/E61,"")</f>
        <v/>
      </c>
      <c r="F62" s="66" t="str">
        <f aca="false">IF(F61&gt;1,F49/F61,"")</f>
        <v/>
      </c>
      <c r="G62" s="66" t="str">
        <f aca="false">IF(G61&gt;1,G49/G61,"")</f>
        <v/>
      </c>
      <c r="H62" s="66" t="str">
        <f aca="false">IF(H61&gt;1,H49/H61,"")</f>
        <v/>
      </c>
      <c r="I62" s="66" t="str">
        <f aca="false">IF(I61&gt;1,I49/I61,"")</f>
        <v/>
      </c>
      <c r="J62" s="66" t="str">
        <f aca="false">IF(J61&gt;1,J49/J61,"")</f>
        <v/>
      </c>
      <c r="K62" s="66" t="str">
        <f aca="false">IF(K61&gt;1,K49/K61,"")</f>
        <v/>
      </c>
      <c r="L62" s="66" t="str">
        <f aca="false">IF(L61&gt;1,L49/L61,"")</f>
        <v/>
      </c>
      <c r="M62" s="66" t="str">
        <f aca="false">IF(M61&gt;1,M49/M61,"")</f>
        <v/>
      </c>
      <c r="N62" s="66" t="str">
        <f aca="false">IF(N61&gt;1,N49/N61,"")</f>
        <v/>
      </c>
      <c r="O62" s="66" t="str">
        <f aca="false">IF(O61&gt;1,O49/O61,"")</f>
        <v/>
      </c>
    </row>
    <row r="63" customFormat="false" ht="15" hidden="false" customHeight="false" outlineLevel="0" collapsed="false">
      <c r="B63" s="11" t="s">
        <v>335</v>
      </c>
    </row>
    <row r="64" customFormat="false" ht="15" hidden="false" customHeight="false" outlineLevel="0" collapsed="false">
      <c r="A64" s="2" t="s">
        <v>804</v>
      </c>
      <c r="B64" s="6" t="str">
        <f aca="false">IF(INDEX(Prod_Nombre,1)="","Producto 1",INDEX(Prod_Nombre,1))</f>
        <v>Producto 1</v>
      </c>
      <c r="C64" s="40" t="n">
        <f aca="false">SUM(D64:O64)</f>
        <v>0</v>
      </c>
      <c r="D64" s="34" t="n">
        <f aca="false">SUMIFS(Calculo!$F$140:$ES$140,Calculo!$F$6:$ES$6,1)</f>
        <v>0</v>
      </c>
      <c r="E64" s="34" t="n">
        <f aca="false">SUMIFS(Calculo!$F$140:$ES$140,Calculo!$F$6:$ES$6,2)</f>
        <v>0</v>
      </c>
      <c r="F64" s="34" t="n">
        <f aca="false">SUMIFS(Calculo!$F$140:$ES$140,Calculo!$F$6:$ES$6,3)</f>
        <v>0</v>
      </c>
      <c r="G64" s="34" t="n">
        <f aca="false">SUMIFS(Calculo!$F$140:$ES$140,Calculo!$F$6:$ES$6,4)</f>
        <v>0</v>
      </c>
      <c r="H64" s="34" t="n">
        <f aca="false">SUMIFS(Calculo!$F$140:$ES$140,Calculo!$F$6:$ES$6,5)</f>
        <v>0</v>
      </c>
      <c r="I64" s="34" t="n">
        <f aca="false">SUMIFS(Calculo!$F$140:$ES$140,Calculo!$F$6:$ES$6,6)</f>
        <v>0</v>
      </c>
      <c r="J64" s="34" t="n">
        <f aca="false">SUMIFS(Calculo!$F$140:$ES$140,Calculo!$F$6:$ES$6,7)</f>
        <v>0</v>
      </c>
      <c r="K64" s="34" t="n">
        <f aca="false">SUMIFS(Calculo!$F$140:$ES$140,Calculo!$F$6:$ES$6,8)</f>
        <v>0</v>
      </c>
      <c r="L64" s="34" t="n">
        <f aca="false">SUMIFS(Calculo!$F$140:$ES$140,Calculo!$F$6:$ES$6,9)</f>
        <v>0</v>
      </c>
      <c r="M64" s="34" t="n">
        <f aca="false">SUMIFS(Calculo!$F$140:$ES$140,Calculo!$F$6:$ES$6,10)</f>
        <v>0</v>
      </c>
      <c r="N64" s="34" t="n">
        <f aca="false">SUMIFS(Calculo!$F$140:$ES$140,Calculo!$F$6:$ES$6,11)</f>
        <v>0</v>
      </c>
      <c r="O64" s="34" t="n">
        <f aca="false">SUMIFS(Calculo!$F$140:$ES$140,Calculo!$F$6:$ES$6,12)</f>
        <v>0</v>
      </c>
    </row>
    <row r="65" customFormat="false" ht="15" hidden="false" customHeight="false" outlineLevel="0" collapsed="false">
      <c r="A65" s="2" t="s">
        <v>805</v>
      </c>
      <c r="B65" s="6" t="str">
        <f aca="false">IF(INDEX(Prod_Nombre,2)="","Producto 2",INDEX(Prod_Nombre,2))</f>
        <v>Producto 2</v>
      </c>
      <c r="C65" s="40" t="n">
        <f aca="false">SUM(D65:O65)</f>
        <v>0</v>
      </c>
      <c r="D65" s="34" t="n">
        <f aca="false">SUMIFS(Calculo!$F$141:$ES$141,Calculo!$F$6:$ES$6,1)</f>
        <v>0</v>
      </c>
      <c r="E65" s="34" t="n">
        <f aca="false">SUMIFS(Calculo!$F$141:$ES$141,Calculo!$F$6:$ES$6,2)</f>
        <v>0</v>
      </c>
      <c r="F65" s="34" t="n">
        <f aca="false">SUMIFS(Calculo!$F$141:$ES$141,Calculo!$F$6:$ES$6,3)</f>
        <v>0</v>
      </c>
      <c r="G65" s="34" t="n">
        <f aca="false">SUMIFS(Calculo!$F$141:$ES$141,Calculo!$F$6:$ES$6,4)</f>
        <v>0</v>
      </c>
      <c r="H65" s="34" t="n">
        <f aca="false">SUMIFS(Calculo!$F$141:$ES$141,Calculo!$F$6:$ES$6,5)</f>
        <v>0</v>
      </c>
      <c r="I65" s="34" t="n">
        <f aca="false">SUMIFS(Calculo!$F$141:$ES$141,Calculo!$F$6:$ES$6,6)</f>
        <v>0</v>
      </c>
      <c r="J65" s="34" t="n">
        <f aca="false">SUMIFS(Calculo!$F$141:$ES$141,Calculo!$F$6:$ES$6,7)</f>
        <v>0</v>
      </c>
      <c r="K65" s="34" t="n">
        <f aca="false">SUMIFS(Calculo!$F$141:$ES$141,Calculo!$F$6:$ES$6,8)</f>
        <v>0</v>
      </c>
      <c r="L65" s="34" t="n">
        <f aca="false">SUMIFS(Calculo!$F$141:$ES$141,Calculo!$F$6:$ES$6,9)</f>
        <v>0</v>
      </c>
      <c r="M65" s="34" t="n">
        <f aca="false">SUMIFS(Calculo!$F$141:$ES$141,Calculo!$F$6:$ES$6,10)</f>
        <v>0</v>
      </c>
      <c r="N65" s="34" t="n">
        <f aca="false">SUMIFS(Calculo!$F$141:$ES$141,Calculo!$F$6:$ES$6,11)</f>
        <v>0</v>
      </c>
      <c r="O65" s="34" t="n">
        <f aca="false">SUMIFS(Calculo!$F$141:$ES$141,Calculo!$F$6:$ES$6,12)</f>
        <v>0</v>
      </c>
    </row>
    <row r="66" customFormat="false" ht="15" hidden="false" customHeight="false" outlineLevel="0" collapsed="false">
      <c r="A66" s="2" t="s">
        <v>806</v>
      </c>
      <c r="B66" s="6" t="str">
        <f aca="false">IF(INDEX(Prod_Nombre,3)="","Producto 3",INDEX(Prod_Nombre,3))</f>
        <v>Producto 3</v>
      </c>
      <c r="C66" s="40" t="n">
        <f aca="false">SUM(D66:O66)</f>
        <v>0</v>
      </c>
      <c r="D66" s="34" t="n">
        <f aca="false">SUMIFS(Calculo!$F$142:$ES$142,Calculo!$F$6:$ES$6,1)</f>
        <v>0</v>
      </c>
      <c r="E66" s="34" t="n">
        <f aca="false">SUMIFS(Calculo!$F$142:$ES$142,Calculo!$F$6:$ES$6,2)</f>
        <v>0</v>
      </c>
      <c r="F66" s="34" t="n">
        <f aca="false">SUMIFS(Calculo!$F$142:$ES$142,Calculo!$F$6:$ES$6,3)</f>
        <v>0</v>
      </c>
      <c r="G66" s="34" t="n">
        <f aca="false">SUMIFS(Calculo!$F$142:$ES$142,Calculo!$F$6:$ES$6,4)</f>
        <v>0</v>
      </c>
      <c r="H66" s="34" t="n">
        <f aca="false">SUMIFS(Calculo!$F$142:$ES$142,Calculo!$F$6:$ES$6,5)</f>
        <v>0</v>
      </c>
      <c r="I66" s="34" t="n">
        <f aca="false">SUMIFS(Calculo!$F$142:$ES$142,Calculo!$F$6:$ES$6,6)</f>
        <v>0</v>
      </c>
      <c r="J66" s="34" t="n">
        <f aca="false">SUMIFS(Calculo!$F$142:$ES$142,Calculo!$F$6:$ES$6,7)</f>
        <v>0</v>
      </c>
      <c r="K66" s="34" t="n">
        <f aca="false">SUMIFS(Calculo!$F$142:$ES$142,Calculo!$F$6:$ES$6,8)</f>
        <v>0</v>
      </c>
      <c r="L66" s="34" t="n">
        <f aca="false">SUMIFS(Calculo!$F$142:$ES$142,Calculo!$F$6:$ES$6,9)</f>
        <v>0</v>
      </c>
      <c r="M66" s="34" t="n">
        <f aca="false">SUMIFS(Calculo!$F$142:$ES$142,Calculo!$F$6:$ES$6,10)</f>
        <v>0</v>
      </c>
      <c r="N66" s="34" t="n">
        <f aca="false">SUMIFS(Calculo!$F$142:$ES$142,Calculo!$F$6:$ES$6,11)</f>
        <v>0</v>
      </c>
      <c r="O66" s="34" t="n">
        <f aca="false">SUMIFS(Calculo!$F$142:$ES$142,Calculo!$F$6:$ES$6,12)</f>
        <v>0</v>
      </c>
    </row>
    <row r="67" customFormat="false" ht="15" hidden="false" customHeight="false" outlineLevel="0" collapsed="false">
      <c r="A67" s="2" t="s">
        <v>807</v>
      </c>
      <c r="B67" s="6" t="str">
        <f aca="false">IF(INDEX(Prod_Nombre,4)="","Producto 4",INDEX(Prod_Nombre,4))</f>
        <v>Producto 4</v>
      </c>
      <c r="C67" s="40" t="n">
        <f aca="false">SUM(D67:O67)</f>
        <v>0</v>
      </c>
      <c r="D67" s="34" t="n">
        <f aca="false">SUMIFS(Calculo!$F$143:$ES$143,Calculo!$F$6:$ES$6,1)</f>
        <v>0</v>
      </c>
      <c r="E67" s="34" t="n">
        <f aca="false">SUMIFS(Calculo!$F$143:$ES$143,Calculo!$F$6:$ES$6,2)</f>
        <v>0</v>
      </c>
      <c r="F67" s="34" t="n">
        <f aca="false">SUMIFS(Calculo!$F$143:$ES$143,Calculo!$F$6:$ES$6,3)</f>
        <v>0</v>
      </c>
      <c r="G67" s="34" t="n">
        <f aca="false">SUMIFS(Calculo!$F$143:$ES$143,Calculo!$F$6:$ES$6,4)</f>
        <v>0</v>
      </c>
      <c r="H67" s="34" t="n">
        <f aca="false">SUMIFS(Calculo!$F$143:$ES$143,Calculo!$F$6:$ES$6,5)</f>
        <v>0</v>
      </c>
      <c r="I67" s="34" t="n">
        <f aca="false">SUMIFS(Calculo!$F$143:$ES$143,Calculo!$F$6:$ES$6,6)</f>
        <v>0</v>
      </c>
      <c r="J67" s="34" t="n">
        <f aca="false">SUMIFS(Calculo!$F$143:$ES$143,Calculo!$F$6:$ES$6,7)</f>
        <v>0</v>
      </c>
      <c r="K67" s="34" t="n">
        <f aca="false">SUMIFS(Calculo!$F$143:$ES$143,Calculo!$F$6:$ES$6,8)</f>
        <v>0</v>
      </c>
      <c r="L67" s="34" t="n">
        <f aca="false">SUMIFS(Calculo!$F$143:$ES$143,Calculo!$F$6:$ES$6,9)</f>
        <v>0</v>
      </c>
      <c r="M67" s="34" t="n">
        <f aca="false">SUMIFS(Calculo!$F$143:$ES$143,Calculo!$F$6:$ES$6,10)</f>
        <v>0</v>
      </c>
      <c r="N67" s="34" t="n">
        <f aca="false">SUMIFS(Calculo!$F$143:$ES$143,Calculo!$F$6:$ES$6,11)</f>
        <v>0</v>
      </c>
      <c r="O67" s="34" t="n">
        <f aca="false">SUMIFS(Calculo!$F$143:$ES$143,Calculo!$F$6:$ES$6,12)</f>
        <v>0</v>
      </c>
    </row>
    <row r="68" customFormat="false" ht="15" hidden="false" customHeight="false" outlineLevel="0" collapsed="false">
      <c r="A68" s="2" t="s">
        <v>808</v>
      </c>
      <c r="B68" s="6" t="str">
        <f aca="false">IF(INDEX(Prod_Nombre,5)="","Producto 5",INDEX(Prod_Nombre,5))</f>
        <v>Producto 5</v>
      </c>
      <c r="C68" s="40" t="n">
        <f aca="false">SUM(D68:O68)</f>
        <v>0</v>
      </c>
      <c r="D68" s="34" t="n">
        <f aca="false">SUMIFS(Calculo!$F$144:$ES$144,Calculo!$F$6:$ES$6,1)</f>
        <v>0</v>
      </c>
      <c r="E68" s="34" t="n">
        <f aca="false">SUMIFS(Calculo!$F$144:$ES$144,Calculo!$F$6:$ES$6,2)</f>
        <v>0</v>
      </c>
      <c r="F68" s="34" t="n">
        <f aca="false">SUMIFS(Calculo!$F$144:$ES$144,Calculo!$F$6:$ES$6,3)</f>
        <v>0</v>
      </c>
      <c r="G68" s="34" t="n">
        <f aca="false">SUMIFS(Calculo!$F$144:$ES$144,Calculo!$F$6:$ES$6,4)</f>
        <v>0</v>
      </c>
      <c r="H68" s="34" t="n">
        <f aca="false">SUMIFS(Calculo!$F$144:$ES$144,Calculo!$F$6:$ES$6,5)</f>
        <v>0</v>
      </c>
      <c r="I68" s="34" t="n">
        <f aca="false">SUMIFS(Calculo!$F$144:$ES$144,Calculo!$F$6:$ES$6,6)</f>
        <v>0</v>
      </c>
      <c r="J68" s="34" t="n">
        <f aca="false">SUMIFS(Calculo!$F$144:$ES$144,Calculo!$F$6:$ES$6,7)</f>
        <v>0</v>
      </c>
      <c r="K68" s="34" t="n">
        <f aca="false">SUMIFS(Calculo!$F$144:$ES$144,Calculo!$F$6:$ES$6,8)</f>
        <v>0</v>
      </c>
      <c r="L68" s="34" t="n">
        <f aca="false">SUMIFS(Calculo!$F$144:$ES$144,Calculo!$F$6:$ES$6,9)</f>
        <v>0</v>
      </c>
      <c r="M68" s="34" t="n">
        <f aca="false">SUMIFS(Calculo!$F$144:$ES$144,Calculo!$F$6:$ES$6,10)</f>
        <v>0</v>
      </c>
      <c r="N68" s="34" t="n">
        <f aca="false">SUMIFS(Calculo!$F$144:$ES$144,Calculo!$F$6:$ES$6,11)</f>
        <v>0</v>
      </c>
      <c r="O68" s="34" t="n">
        <f aca="false">SUMIFS(Calculo!$F$144:$ES$144,Calculo!$F$6:$ES$6,12)</f>
        <v>0</v>
      </c>
    </row>
    <row r="69" customFormat="false" ht="15" hidden="false" customHeight="false" outlineLevel="0" collapsed="false">
      <c r="A69" s="2" t="s">
        <v>809</v>
      </c>
      <c r="B69" s="6" t="str">
        <f aca="false">IF(INDEX(Prod_Nombre,6)="","Producto 6",INDEX(Prod_Nombre,6))</f>
        <v>Producto 6</v>
      </c>
      <c r="C69" s="40" t="n">
        <f aca="false">SUM(D69:O69)</f>
        <v>0</v>
      </c>
      <c r="D69" s="34" t="n">
        <f aca="false">SUMIFS(Calculo!$F$145:$ES$145,Calculo!$F$6:$ES$6,1)</f>
        <v>0</v>
      </c>
      <c r="E69" s="34" t="n">
        <f aca="false">SUMIFS(Calculo!$F$145:$ES$145,Calculo!$F$6:$ES$6,2)</f>
        <v>0</v>
      </c>
      <c r="F69" s="34" t="n">
        <f aca="false">SUMIFS(Calculo!$F$145:$ES$145,Calculo!$F$6:$ES$6,3)</f>
        <v>0</v>
      </c>
      <c r="G69" s="34" t="n">
        <f aca="false">SUMIFS(Calculo!$F$145:$ES$145,Calculo!$F$6:$ES$6,4)</f>
        <v>0</v>
      </c>
      <c r="H69" s="34" t="n">
        <f aca="false">SUMIFS(Calculo!$F$145:$ES$145,Calculo!$F$6:$ES$6,5)</f>
        <v>0</v>
      </c>
      <c r="I69" s="34" t="n">
        <f aca="false">SUMIFS(Calculo!$F$145:$ES$145,Calculo!$F$6:$ES$6,6)</f>
        <v>0</v>
      </c>
      <c r="J69" s="34" t="n">
        <f aca="false">SUMIFS(Calculo!$F$145:$ES$145,Calculo!$F$6:$ES$6,7)</f>
        <v>0</v>
      </c>
      <c r="K69" s="34" t="n">
        <f aca="false">SUMIFS(Calculo!$F$145:$ES$145,Calculo!$F$6:$ES$6,8)</f>
        <v>0</v>
      </c>
      <c r="L69" s="34" t="n">
        <f aca="false">SUMIFS(Calculo!$F$145:$ES$145,Calculo!$F$6:$ES$6,9)</f>
        <v>0</v>
      </c>
      <c r="M69" s="34" t="n">
        <f aca="false">SUMIFS(Calculo!$F$145:$ES$145,Calculo!$F$6:$ES$6,10)</f>
        <v>0</v>
      </c>
      <c r="N69" s="34" t="n">
        <f aca="false">SUMIFS(Calculo!$F$145:$ES$145,Calculo!$F$6:$ES$6,11)</f>
        <v>0</v>
      </c>
      <c r="O69" s="34" t="n">
        <f aca="false">SUMIFS(Calculo!$F$145:$ES$145,Calculo!$F$6:$ES$6,12)</f>
        <v>0</v>
      </c>
    </row>
    <row r="70" customFormat="false" ht="15" hidden="false" customHeight="false" outlineLevel="0" collapsed="false">
      <c r="A70" s="2" t="s">
        <v>810</v>
      </c>
      <c r="B70" s="6" t="str">
        <f aca="false">IF(INDEX(Prod_Nombre,7)="","Producto 7",INDEX(Prod_Nombre,7))</f>
        <v>Producto 7</v>
      </c>
      <c r="C70" s="40" t="n">
        <f aca="false">SUM(D70:O70)</f>
        <v>0</v>
      </c>
      <c r="D70" s="34" t="n">
        <f aca="false">SUMIFS(Calculo!$F$146:$ES$146,Calculo!$F$6:$ES$6,1)</f>
        <v>0</v>
      </c>
      <c r="E70" s="34" t="n">
        <f aca="false">SUMIFS(Calculo!$F$146:$ES$146,Calculo!$F$6:$ES$6,2)</f>
        <v>0</v>
      </c>
      <c r="F70" s="34" t="n">
        <f aca="false">SUMIFS(Calculo!$F$146:$ES$146,Calculo!$F$6:$ES$6,3)</f>
        <v>0</v>
      </c>
      <c r="G70" s="34" t="n">
        <f aca="false">SUMIFS(Calculo!$F$146:$ES$146,Calculo!$F$6:$ES$6,4)</f>
        <v>0</v>
      </c>
      <c r="H70" s="34" t="n">
        <f aca="false">SUMIFS(Calculo!$F$146:$ES$146,Calculo!$F$6:$ES$6,5)</f>
        <v>0</v>
      </c>
      <c r="I70" s="34" t="n">
        <f aca="false">SUMIFS(Calculo!$F$146:$ES$146,Calculo!$F$6:$ES$6,6)</f>
        <v>0</v>
      </c>
      <c r="J70" s="34" t="n">
        <f aca="false">SUMIFS(Calculo!$F$146:$ES$146,Calculo!$F$6:$ES$6,7)</f>
        <v>0</v>
      </c>
      <c r="K70" s="34" t="n">
        <f aca="false">SUMIFS(Calculo!$F$146:$ES$146,Calculo!$F$6:$ES$6,8)</f>
        <v>0</v>
      </c>
      <c r="L70" s="34" t="n">
        <f aca="false">SUMIFS(Calculo!$F$146:$ES$146,Calculo!$F$6:$ES$6,9)</f>
        <v>0</v>
      </c>
      <c r="M70" s="34" t="n">
        <f aca="false">SUMIFS(Calculo!$F$146:$ES$146,Calculo!$F$6:$ES$6,10)</f>
        <v>0</v>
      </c>
      <c r="N70" s="34" t="n">
        <f aca="false">SUMIFS(Calculo!$F$146:$ES$146,Calculo!$F$6:$ES$6,11)</f>
        <v>0</v>
      </c>
      <c r="O70" s="34" t="n">
        <f aca="false">SUMIFS(Calculo!$F$146:$ES$146,Calculo!$F$6:$ES$6,12)</f>
        <v>0</v>
      </c>
    </row>
    <row r="71" customFormat="false" ht="15" hidden="false" customHeight="false" outlineLevel="0" collapsed="false">
      <c r="A71" s="2" t="s">
        <v>811</v>
      </c>
      <c r="B71" s="6" t="str">
        <f aca="false">IF(INDEX(Prod_Nombre,8)="","Producto 8",INDEX(Prod_Nombre,8))</f>
        <v>Producto 8</v>
      </c>
      <c r="C71" s="40" t="n">
        <f aca="false">SUM(D71:O71)</f>
        <v>0</v>
      </c>
      <c r="D71" s="34" t="n">
        <f aca="false">SUMIFS(Calculo!$F$147:$ES$147,Calculo!$F$6:$ES$6,1)</f>
        <v>0</v>
      </c>
      <c r="E71" s="34" t="n">
        <f aca="false">SUMIFS(Calculo!$F$147:$ES$147,Calculo!$F$6:$ES$6,2)</f>
        <v>0</v>
      </c>
      <c r="F71" s="34" t="n">
        <f aca="false">SUMIFS(Calculo!$F$147:$ES$147,Calculo!$F$6:$ES$6,3)</f>
        <v>0</v>
      </c>
      <c r="G71" s="34" t="n">
        <f aca="false">SUMIFS(Calculo!$F$147:$ES$147,Calculo!$F$6:$ES$6,4)</f>
        <v>0</v>
      </c>
      <c r="H71" s="34" t="n">
        <f aca="false">SUMIFS(Calculo!$F$147:$ES$147,Calculo!$F$6:$ES$6,5)</f>
        <v>0</v>
      </c>
      <c r="I71" s="34" t="n">
        <f aca="false">SUMIFS(Calculo!$F$147:$ES$147,Calculo!$F$6:$ES$6,6)</f>
        <v>0</v>
      </c>
      <c r="J71" s="34" t="n">
        <f aca="false">SUMIFS(Calculo!$F$147:$ES$147,Calculo!$F$6:$ES$6,7)</f>
        <v>0</v>
      </c>
      <c r="K71" s="34" t="n">
        <f aca="false">SUMIFS(Calculo!$F$147:$ES$147,Calculo!$F$6:$ES$6,8)</f>
        <v>0</v>
      </c>
      <c r="L71" s="34" t="n">
        <f aca="false">SUMIFS(Calculo!$F$147:$ES$147,Calculo!$F$6:$ES$6,9)</f>
        <v>0</v>
      </c>
      <c r="M71" s="34" t="n">
        <f aca="false">SUMIFS(Calculo!$F$147:$ES$147,Calculo!$F$6:$ES$6,10)</f>
        <v>0</v>
      </c>
      <c r="N71" s="34" t="n">
        <f aca="false">SUMIFS(Calculo!$F$147:$ES$147,Calculo!$F$6:$ES$6,11)</f>
        <v>0</v>
      </c>
      <c r="O71" s="34" t="n">
        <f aca="false">SUMIFS(Calculo!$F$147:$ES$147,Calculo!$F$6:$ES$6,12)</f>
        <v>0</v>
      </c>
    </row>
    <row r="72" customFormat="false" ht="15" hidden="false" customHeight="false" outlineLevel="0" collapsed="false">
      <c r="A72" s="2" t="s">
        <v>812</v>
      </c>
      <c r="B72" s="6" t="str">
        <f aca="false">IF(INDEX(Prod_Nombre,9)="","Producto 9",INDEX(Prod_Nombre,9))</f>
        <v>Producto 9</v>
      </c>
      <c r="C72" s="40" t="n">
        <f aca="false">SUM(D72:O72)</f>
        <v>0</v>
      </c>
      <c r="D72" s="34" t="n">
        <f aca="false">SUMIFS(Calculo!$F$148:$ES$148,Calculo!$F$6:$ES$6,1)</f>
        <v>0</v>
      </c>
      <c r="E72" s="34" t="n">
        <f aca="false">SUMIFS(Calculo!$F$148:$ES$148,Calculo!$F$6:$ES$6,2)</f>
        <v>0</v>
      </c>
      <c r="F72" s="34" t="n">
        <f aca="false">SUMIFS(Calculo!$F$148:$ES$148,Calculo!$F$6:$ES$6,3)</f>
        <v>0</v>
      </c>
      <c r="G72" s="34" t="n">
        <f aca="false">SUMIFS(Calculo!$F$148:$ES$148,Calculo!$F$6:$ES$6,4)</f>
        <v>0</v>
      </c>
      <c r="H72" s="34" t="n">
        <f aca="false">SUMIFS(Calculo!$F$148:$ES$148,Calculo!$F$6:$ES$6,5)</f>
        <v>0</v>
      </c>
      <c r="I72" s="34" t="n">
        <f aca="false">SUMIFS(Calculo!$F$148:$ES$148,Calculo!$F$6:$ES$6,6)</f>
        <v>0</v>
      </c>
      <c r="J72" s="34" t="n">
        <f aca="false">SUMIFS(Calculo!$F$148:$ES$148,Calculo!$F$6:$ES$6,7)</f>
        <v>0</v>
      </c>
      <c r="K72" s="34" t="n">
        <f aca="false">SUMIFS(Calculo!$F$148:$ES$148,Calculo!$F$6:$ES$6,8)</f>
        <v>0</v>
      </c>
      <c r="L72" s="34" t="n">
        <f aca="false">SUMIFS(Calculo!$F$148:$ES$148,Calculo!$F$6:$ES$6,9)</f>
        <v>0</v>
      </c>
      <c r="M72" s="34" t="n">
        <f aca="false">SUMIFS(Calculo!$F$148:$ES$148,Calculo!$F$6:$ES$6,10)</f>
        <v>0</v>
      </c>
      <c r="N72" s="34" t="n">
        <f aca="false">SUMIFS(Calculo!$F$148:$ES$148,Calculo!$F$6:$ES$6,11)</f>
        <v>0</v>
      </c>
      <c r="O72" s="34" t="n">
        <f aca="false">SUMIFS(Calculo!$F$148:$ES$148,Calculo!$F$6:$ES$6,12)</f>
        <v>0</v>
      </c>
    </row>
    <row r="73" customFormat="false" ht="15" hidden="false" customHeight="false" outlineLevel="0" collapsed="false">
      <c r="A73" s="2" t="s">
        <v>813</v>
      </c>
      <c r="B73" s="6" t="str">
        <f aca="false">IF(INDEX(Prod_Nombre,10)="","Producto 10",INDEX(Prod_Nombre,10))</f>
        <v>Producto 10</v>
      </c>
      <c r="C73" s="40" t="n">
        <f aca="false">SUM(D73:O73)</f>
        <v>0</v>
      </c>
      <c r="D73" s="34" t="n">
        <f aca="false">SUMIFS(Calculo!$F$149:$ES$149,Calculo!$F$6:$ES$6,1)</f>
        <v>0</v>
      </c>
      <c r="E73" s="34" t="n">
        <f aca="false">SUMIFS(Calculo!$F$149:$ES$149,Calculo!$F$6:$ES$6,2)</f>
        <v>0</v>
      </c>
      <c r="F73" s="34" t="n">
        <f aca="false">SUMIFS(Calculo!$F$149:$ES$149,Calculo!$F$6:$ES$6,3)</f>
        <v>0</v>
      </c>
      <c r="G73" s="34" t="n">
        <f aca="false">SUMIFS(Calculo!$F$149:$ES$149,Calculo!$F$6:$ES$6,4)</f>
        <v>0</v>
      </c>
      <c r="H73" s="34" t="n">
        <f aca="false">SUMIFS(Calculo!$F$149:$ES$149,Calculo!$F$6:$ES$6,5)</f>
        <v>0</v>
      </c>
      <c r="I73" s="34" t="n">
        <f aca="false">SUMIFS(Calculo!$F$149:$ES$149,Calculo!$F$6:$ES$6,6)</f>
        <v>0</v>
      </c>
      <c r="J73" s="34" t="n">
        <f aca="false">SUMIFS(Calculo!$F$149:$ES$149,Calculo!$F$6:$ES$6,7)</f>
        <v>0</v>
      </c>
      <c r="K73" s="34" t="n">
        <f aca="false">SUMIFS(Calculo!$F$149:$ES$149,Calculo!$F$6:$ES$6,8)</f>
        <v>0</v>
      </c>
      <c r="L73" s="34" t="n">
        <f aca="false">SUMIFS(Calculo!$F$149:$ES$149,Calculo!$F$6:$ES$6,9)</f>
        <v>0</v>
      </c>
      <c r="M73" s="34" t="n">
        <f aca="false">SUMIFS(Calculo!$F$149:$ES$149,Calculo!$F$6:$ES$6,10)</f>
        <v>0</v>
      </c>
      <c r="N73" s="34" t="n">
        <f aca="false">SUMIFS(Calculo!$F$149:$ES$149,Calculo!$F$6:$ES$6,11)</f>
        <v>0</v>
      </c>
      <c r="O73" s="34" t="n">
        <f aca="false">SUMIFS(Calculo!$F$149:$ES$149,Calculo!$F$6:$ES$6,12)</f>
        <v>0</v>
      </c>
    </row>
    <row r="74" customFormat="false" ht="15" hidden="false" customHeight="false" outlineLevel="0" collapsed="false">
      <c r="A74" s="2" t="s">
        <v>814</v>
      </c>
      <c r="B74" s="6" t="str">
        <f aca="false">IF(INDEX(Prod_Nombre,11)="","Producto 11",INDEX(Prod_Nombre,11))</f>
        <v>Producto 11</v>
      </c>
      <c r="C74" s="40" t="n">
        <f aca="false">SUM(D74:O74)</f>
        <v>0</v>
      </c>
      <c r="D74" s="34" t="n">
        <f aca="false">SUMIFS(Calculo!$F$150:$ES$150,Calculo!$F$6:$ES$6,1)</f>
        <v>0</v>
      </c>
      <c r="E74" s="34" t="n">
        <f aca="false">SUMIFS(Calculo!$F$150:$ES$150,Calculo!$F$6:$ES$6,2)</f>
        <v>0</v>
      </c>
      <c r="F74" s="34" t="n">
        <f aca="false">SUMIFS(Calculo!$F$150:$ES$150,Calculo!$F$6:$ES$6,3)</f>
        <v>0</v>
      </c>
      <c r="G74" s="34" t="n">
        <f aca="false">SUMIFS(Calculo!$F$150:$ES$150,Calculo!$F$6:$ES$6,4)</f>
        <v>0</v>
      </c>
      <c r="H74" s="34" t="n">
        <f aca="false">SUMIFS(Calculo!$F$150:$ES$150,Calculo!$F$6:$ES$6,5)</f>
        <v>0</v>
      </c>
      <c r="I74" s="34" t="n">
        <f aca="false">SUMIFS(Calculo!$F$150:$ES$150,Calculo!$F$6:$ES$6,6)</f>
        <v>0</v>
      </c>
      <c r="J74" s="34" t="n">
        <f aca="false">SUMIFS(Calculo!$F$150:$ES$150,Calculo!$F$6:$ES$6,7)</f>
        <v>0</v>
      </c>
      <c r="K74" s="34" t="n">
        <f aca="false">SUMIFS(Calculo!$F$150:$ES$150,Calculo!$F$6:$ES$6,8)</f>
        <v>0</v>
      </c>
      <c r="L74" s="34" t="n">
        <f aca="false">SUMIFS(Calculo!$F$150:$ES$150,Calculo!$F$6:$ES$6,9)</f>
        <v>0</v>
      </c>
      <c r="M74" s="34" t="n">
        <f aca="false">SUMIFS(Calculo!$F$150:$ES$150,Calculo!$F$6:$ES$6,10)</f>
        <v>0</v>
      </c>
      <c r="N74" s="34" t="n">
        <f aca="false">SUMIFS(Calculo!$F$150:$ES$150,Calculo!$F$6:$ES$6,11)</f>
        <v>0</v>
      </c>
      <c r="O74" s="34" t="n">
        <f aca="false">SUMIFS(Calculo!$F$150:$ES$150,Calculo!$F$6:$ES$6,12)</f>
        <v>0</v>
      </c>
    </row>
    <row r="75" customFormat="false" ht="15" hidden="false" customHeight="false" outlineLevel="0" collapsed="false">
      <c r="A75" s="2" t="s">
        <v>815</v>
      </c>
      <c r="B75" s="6" t="str">
        <f aca="false">IF(INDEX(Prod_Nombre,12)="","Producto 12",INDEX(Prod_Nombre,12))</f>
        <v>Producto 12</v>
      </c>
      <c r="C75" s="40" t="n">
        <f aca="false">SUM(D75:O75)</f>
        <v>0</v>
      </c>
      <c r="D75" s="34" t="n">
        <f aca="false">SUMIFS(Calculo!$F$151:$ES$151,Calculo!$F$6:$ES$6,1)</f>
        <v>0</v>
      </c>
      <c r="E75" s="34" t="n">
        <f aca="false">SUMIFS(Calculo!$F$151:$ES$151,Calculo!$F$6:$ES$6,2)</f>
        <v>0</v>
      </c>
      <c r="F75" s="34" t="n">
        <f aca="false">SUMIFS(Calculo!$F$151:$ES$151,Calculo!$F$6:$ES$6,3)</f>
        <v>0</v>
      </c>
      <c r="G75" s="34" t="n">
        <f aca="false">SUMIFS(Calculo!$F$151:$ES$151,Calculo!$F$6:$ES$6,4)</f>
        <v>0</v>
      </c>
      <c r="H75" s="34" t="n">
        <f aca="false">SUMIFS(Calculo!$F$151:$ES$151,Calculo!$F$6:$ES$6,5)</f>
        <v>0</v>
      </c>
      <c r="I75" s="34" t="n">
        <f aca="false">SUMIFS(Calculo!$F$151:$ES$151,Calculo!$F$6:$ES$6,6)</f>
        <v>0</v>
      </c>
      <c r="J75" s="34" t="n">
        <f aca="false">SUMIFS(Calculo!$F$151:$ES$151,Calculo!$F$6:$ES$6,7)</f>
        <v>0</v>
      </c>
      <c r="K75" s="34" t="n">
        <f aca="false">SUMIFS(Calculo!$F$151:$ES$151,Calculo!$F$6:$ES$6,8)</f>
        <v>0</v>
      </c>
      <c r="L75" s="34" t="n">
        <f aca="false">SUMIFS(Calculo!$F$151:$ES$151,Calculo!$F$6:$ES$6,9)</f>
        <v>0</v>
      </c>
      <c r="M75" s="34" t="n">
        <f aca="false">SUMIFS(Calculo!$F$151:$ES$151,Calculo!$F$6:$ES$6,10)</f>
        <v>0</v>
      </c>
      <c r="N75" s="34" t="n">
        <f aca="false">SUMIFS(Calculo!$F$151:$ES$151,Calculo!$F$6:$ES$6,11)</f>
        <v>0</v>
      </c>
      <c r="O75" s="34" t="n">
        <f aca="false">SUMIFS(Calculo!$F$151:$ES$151,Calculo!$F$6:$ES$6,12)</f>
        <v>0</v>
      </c>
    </row>
    <row r="77" customFormat="false" ht="15" hidden="false" customHeight="false" outlineLevel="0" collapsed="false">
      <c r="A77" s="3" t="s">
        <v>816</v>
      </c>
      <c r="B77" s="4"/>
      <c r="C77" s="4"/>
      <c r="D77" s="4"/>
      <c r="E77" s="4"/>
      <c r="F77" s="4"/>
      <c r="G77" s="4"/>
      <c r="H77" s="4"/>
      <c r="I77" s="4"/>
      <c r="J77" s="4"/>
      <c r="K77" s="4"/>
      <c r="L77" s="4"/>
      <c r="M77" s="4"/>
      <c r="N77" s="4"/>
      <c r="O77" s="4"/>
    </row>
    <row r="78" customFormat="false" ht="15" hidden="false" customHeight="false" outlineLevel="0" collapsed="false">
      <c r="A78" s="5"/>
      <c r="B78" s="5" t="s">
        <v>755</v>
      </c>
      <c r="C78" s="5" t="s">
        <v>247</v>
      </c>
      <c r="D78" s="5" t="s">
        <v>156</v>
      </c>
      <c r="E78" s="5" t="s">
        <v>157</v>
      </c>
      <c r="F78" s="5" t="s">
        <v>158</v>
      </c>
      <c r="G78" s="5" t="s">
        <v>159</v>
      </c>
      <c r="H78" s="5" t="s">
        <v>160</v>
      </c>
      <c r="I78" s="5" t="s">
        <v>161</v>
      </c>
      <c r="J78" s="5" t="s">
        <v>162</v>
      </c>
      <c r="K78" s="5" t="s">
        <v>163</v>
      </c>
      <c r="L78" s="5" t="s">
        <v>164</v>
      </c>
      <c r="M78" s="5" t="s">
        <v>165</v>
      </c>
      <c r="N78" s="5" t="s">
        <v>756</v>
      </c>
      <c r="O78" s="5" t="s">
        <v>757</v>
      </c>
    </row>
    <row r="79" customFormat="false" ht="15" hidden="false" customHeight="false" outlineLevel="0" collapsed="false">
      <c r="B79" s="2" t="s">
        <v>758</v>
      </c>
      <c r="D79" s="71" t="str">
        <f aca="false">IF(Corte&gt;=12,"Real",IF(Corte&gt;0,"Real+Proy.","Proyección"))</f>
        <v>Proyección</v>
      </c>
      <c r="E79" s="71" t="str">
        <f aca="false">IF(Corte&gt;=24,"Real",IF(Corte&gt;12,"Real+Proy.","Proyección"))</f>
        <v>Proyección</v>
      </c>
      <c r="F79" s="71" t="str">
        <f aca="false">IF(Corte&gt;=36,"Real",IF(Corte&gt;24,"Real+Proy.","Proyección"))</f>
        <v>Proyección</v>
      </c>
      <c r="G79" s="71" t="str">
        <f aca="false">IF(Corte&gt;=48,"Real",IF(Corte&gt;36,"Real+Proy.","Proyección"))</f>
        <v>Proyección</v>
      </c>
      <c r="H79" s="71" t="str">
        <f aca="false">IF(Corte&gt;=60,"Real",IF(Corte&gt;48,"Real+Proy.","Proyección"))</f>
        <v>Proyección</v>
      </c>
      <c r="I79" s="71" t="str">
        <f aca="false">IF(Corte&gt;=72,"Real",IF(Corte&gt;60,"Real+Proy.","Proyección"))</f>
        <v>Proyección</v>
      </c>
      <c r="J79" s="71" t="str">
        <f aca="false">IF(Corte&gt;=84,"Real",IF(Corte&gt;72,"Real+Proy.","Proyección"))</f>
        <v>Proyección</v>
      </c>
      <c r="K79" s="71" t="str">
        <f aca="false">IF(Corte&gt;=96,"Real",IF(Corte&gt;84,"Real+Proy.","Proyección"))</f>
        <v>Proyección</v>
      </c>
      <c r="L79" s="71" t="str">
        <f aca="false">IF(Corte&gt;=108,"Real",IF(Corte&gt;96,"Real+Proy.","Proyección"))</f>
        <v>Proyección</v>
      </c>
      <c r="M79" s="71" t="str">
        <f aca="false">IF(Corte&gt;=120,"Real",IF(Corte&gt;108,"Real+Proy.","Proyección"))</f>
        <v>Proyección</v>
      </c>
      <c r="N79" s="71" t="str">
        <f aca="false">IF(Corte&gt;=132,"Real",IF(Corte&gt;120,"Real+Proy.","Proyección"))</f>
        <v>Proyección</v>
      </c>
      <c r="O79" s="71" t="str">
        <f aca="false">IF(Corte&gt;=144,"Real",IF(Corte&gt;132,"Real+Proy.","Proyección"))</f>
        <v>Proyección</v>
      </c>
    </row>
    <row r="80" customFormat="false" ht="15" hidden="false" customHeight="false" outlineLevel="0" collapsed="false">
      <c r="B80" s="2" t="s">
        <v>759</v>
      </c>
      <c r="D80" s="72" t="str">
        <f aca="false">IF(n_Fecha1="","",YEAR(EOMONTH(n_Fecha1,0)))</f>
        <v/>
      </c>
      <c r="E80" s="72" t="str">
        <f aca="false">IF(n_Fecha1="","",YEAR(EOMONTH(n_Fecha1,12)))</f>
        <v/>
      </c>
      <c r="F80" s="72" t="str">
        <f aca="false">IF(n_Fecha1="","",YEAR(EOMONTH(n_Fecha1,24)))</f>
        <v/>
      </c>
      <c r="G80" s="72" t="str">
        <f aca="false">IF(n_Fecha1="","",YEAR(EOMONTH(n_Fecha1,36)))</f>
        <v/>
      </c>
      <c r="H80" s="72" t="str">
        <f aca="false">IF(n_Fecha1="","",YEAR(EOMONTH(n_Fecha1,48)))</f>
        <v/>
      </c>
      <c r="I80" s="72" t="str">
        <f aca="false">IF(n_Fecha1="","",YEAR(EOMONTH(n_Fecha1,60)))</f>
        <v/>
      </c>
      <c r="J80" s="72" t="str">
        <f aca="false">IF(n_Fecha1="","",YEAR(EOMONTH(n_Fecha1,72)))</f>
        <v/>
      </c>
      <c r="K80" s="72" t="str">
        <f aca="false">IF(n_Fecha1="","",YEAR(EOMONTH(n_Fecha1,84)))</f>
        <v/>
      </c>
      <c r="L80" s="72" t="str">
        <f aca="false">IF(n_Fecha1="","",YEAR(EOMONTH(n_Fecha1,96)))</f>
        <v/>
      </c>
      <c r="M80" s="72" t="str">
        <f aca="false">IF(n_Fecha1="","",YEAR(EOMONTH(n_Fecha1,108)))</f>
        <v/>
      </c>
      <c r="N80" s="72" t="str">
        <f aca="false">IF(n_Fecha1="","",YEAR(EOMONTH(n_Fecha1,120)))</f>
        <v/>
      </c>
      <c r="O80" s="72" t="str">
        <f aca="false">IF(n_Fecha1="","",YEAR(EOMONTH(n_Fecha1,132)))</f>
        <v/>
      </c>
    </row>
    <row r="81" customFormat="false" ht="15" hidden="false" customHeight="false" outlineLevel="0" collapsed="false">
      <c r="A81" s="2" t="s">
        <v>817</v>
      </c>
      <c r="B81" s="52" t="s">
        <v>210</v>
      </c>
      <c r="C81" s="40" t="n">
        <f aca="false">SUM(D81:O81)</f>
        <v>0</v>
      </c>
      <c r="D81" s="10" t="n">
        <f aca="false">SUMIFS(Calculo!$F$45:$ES$45,Calculo!$F$6:$ES$6,1)</f>
        <v>0</v>
      </c>
      <c r="E81" s="10" t="n">
        <f aca="false">SUMIFS(Calculo!$F$45:$ES$45,Calculo!$F$6:$ES$6,2)</f>
        <v>0</v>
      </c>
      <c r="F81" s="10" t="n">
        <f aca="false">SUMIFS(Calculo!$F$45:$ES$45,Calculo!$F$6:$ES$6,3)</f>
        <v>0</v>
      </c>
      <c r="G81" s="10" t="n">
        <f aca="false">SUMIFS(Calculo!$F$45:$ES$45,Calculo!$F$6:$ES$6,4)</f>
        <v>0</v>
      </c>
      <c r="H81" s="10" t="n">
        <f aca="false">SUMIFS(Calculo!$F$45:$ES$45,Calculo!$F$6:$ES$6,5)</f>
        <v>0</v>
      </c>
      <c r="I81" s="10" t="n">
        <f aca="false">SUMIFS(Calculo!$F$45:$ES$45,Calculo!$F$6:$ES$6,6)</f>
        <v>0</v>
      </c>
      <c r="J81" s="10" t="n">
        <f aca="false">SUMIFS(Calculo!$F$45:$ES$45,Calculo!$F$6:$ES$6,7)</f>
        <v>0</v>
      </c>
      <c r="K81" s="10" t="n">
        <f aca="false">SUMIFS(Calculo!$F$45:$ES$45,Calculo!$F$6:$ES$6,8)</f>
        <v>0</v>
      </c>
      <c r="L81" s="10" t="n">
        <f aca="false">SUMIFS(Calculo!$F$45:$ES$45,Calculo!$F$6:$ES$6,9)</f>
        <v>0</v>
      </c>
      <c r="M81" s="10" t="n">
        <f aca="false">SUMIFS(Calculo!$F$45:$ES$45,Calculo!$F$6:$ES$6,10)</f>
        <v>0</v>
      </c>
      <c r="N81" s="10" t="n">
        <f aca="false">SUMIFS(Calculo!$F$45:$ES$45,Calculo!$F$6:$ES$6,11)</f>
        <v>0</v>
      </c>
      <c r="O81" s="10" t="n">
        <f aca="false">SUMIFS(Calculo!$F$45:$ES$45,Calculo!$F$6:$ES$6,12)</f>
        <v>0</v>
      </c>
    </row>
    <row r="82" customFormat="false" ht="15" hidden="false" customHeight="false" outlineLevel="0" collapsed="false">
      <c r="A82" s="2" t="s">
        <v>818</v>
      </c>
      <c r="B82" s="52" t="s">
        <v>213</v>
      </c>
      <c r="C82" s="40" t="n">
        <f aca="false">SUM(D82:O82)</f>
        <v>0</v>
      </c>
      <c r="D82" s="10" t="n">
        <f aca="false">SUMIFS(Calculo!$F$76:$ES$76,Calculo!$F$6:$ES$6,1)</f>
        <v>0</v>
      </c>
      <c r="E82" s="10" t="n">
        <f aca="false">SUMIFS(Calculo!$F$76:$ES$76,Calculo!$F$6:$ES$6,2)</f>
        <v>0</v>
      </c>
      <c r="F82" s="10" t="n">
        <f aca="false">SUMIFS(Calculo!$F$76:$ES$76,Calculo!$F$6:$ES$6,3)</f>
        <v>0</v>
      </c>
      <c r="G82" s="10" t="n">
        <f aca="false">SUMIFS(Calculo!$F$76:$ES$76,Calculo!$F$6:$ES$6,4)</f>
        <v>0</v>
      </c>
      <c r="H82" s="10" t="n">
        <f aca="false">SUMIFS(Calculo!$F$76:$ES$76,Calculo!$F$6:$ES$6,5)</f>
        <v>0</v>
      </c>
      <c r="I82" s="10" t="n">
        <f aca="false">SUMIFS(Calculo!$F$76:$ES$76,Calculo!$F$6:$ES$6,6)</f>
        <v>0</v>
      </c>
      <c r="J82" s="10" t="n">
        <f aca="false">SUMIFS(Calculo!$F$76:$ES$76,Calculo!$F$6:$ES$6,7)</f>
        <v>0</v>
      </c>
      <c r="K82" s="10" t="n">
        <f aca="false">SUMIFS(Calculo!$F$76:$ES$76,Calculo!$F$6:$ES$6,8)</f>
        <v>0</v>
      </c>
      <c r="L82" s="10" t="n">
        <f aca="false">SUMIFS(Calculo!$F$76:$ES$76,Calculo!$F$6:$ES$6,9)</f>
        <v>0</v>
      </c>
      <c r="M82" s="10" t="n">
        <f aca="false">SUMIFS(Calculo!$F$76:$ES$76,Calculo!$F$6:$ES$6,10)</f>
        <v>0</v>
      </c>
      <c r="N82" s="10" t="n">
        <f aca="false">SUMIFS(Calculo!$F$76:$ES$76,Calculo!$F$6:$ES$6,11)</f>
        <v>0</v>
      </c>
      <c r="O82" s="10" t="n">
        <f aca="false">SUMIFS(Calculo!$F$76:$ES$76,Calculo!$F$6:$ES$6,12)</f>
        <v>0</v>
      </c>
    </row>
    <row r="83" customFormat="false" ht="15" hidden="false" customHeight="false" outlineLevel="0" collapsed="false">
      <c r="A83" s="2" t="s">
        <v>819</v>
      </c>
      <c r="B83" s="52" t="s">
        <v>779</v>
      </c>
      <c r="C83" s="40" t="n">
        <f aca="false">SUM(D83:O83)</f>
        <v>0</v>
      </c>
      <c r="D83" s="10" t="n">
        <f aca="false">SUMIFS(Calculo!$F$81:$ES$81,Calculo!$F$6:$ES$6,1)</f>
        <v>0</v>
      </c>
      <c r="E83" s="10" t="n">
        <f aca="false">SUMIFS(Calculo!$F$81:$ES$81,Calculo!$F$6:$ES$6,2)</f>
        <v>0</v>
      </c>
      <c r="F83" s="10" t="n">
        <f aca="false">SUMIFS(Calculo!$F$81:$ES$81,Calculo!$F$6:$ES$6,3)</f>
        <v>0</v>
      </c>
      <c r="G83" s="10" t="n">
        <f aca="false">SUMIFS(Calculo!$F$81:$ES$81,Calculo!$F$6:$ES$6,4)</f>
        <v>0</v>
      </c>
      <c r="H83" s="10" t="n">
        <f aca="false">SUMIFS(Calculo!$F$81:$ES$81,Calculo!$F$6:$ES$6,5)</f>
        <v>0</v>
      </c>
      <c r="I83" s="10" t="n">
        <f aca="false">SUMIFS(Calculo!$F$81:$ES$81,Calculo!$F$6:$ES$6,6)</f>
        <v>0</v>
      </c>
      <c r="J83" s="10" t="n">
        <f aca="false">SUMIFS(Calculo!$F$81:$ES$81,Calculo!$F$6:$ES$6,7)</f>
        <v>0</v>
      </c>
      <c r="K83" s="10" t="n">
        <f aca="false">SUMIFS(Calculo!$F$81:$ES$81,Calculo!$F$6:$ES$6,8)</f>
        <v>0</v>
      </c>
      <c r="L83" s="10" t="n">
        <f aca="false">SUMIFS(Calculo!$F$81:$ES$81,Calculo!$F$6:$ES$6,9)</f>
        <v>0</v>
      </c>
      <c r="M83" s="10" t="n">
        <f aca="false">SUMIFS(Calculo!$F$81:$ES$81,Calculo!$F$6:$ES$6,10)</f>
        <v>0</v>
      </c>
      <c r="N83" s="10" t="n">
        <f aca="false">SUMIFS(Calculo!$F$81:$ES$81,Calculo!$F$6:$ES$6,11)</f>
        <v>0</v>
      </c>
      <c r="O83" s="10" t="n">
        <f aca="false">SUMIFS(Calculo!$F$81:$ES$81,Calculo!$F$6:$ES$6,12)</f>
        <v>0</v>
      </c>
    </row>
    <row r="84" customFormat="false" ht="15" hidden="false" customHeight="false" outlineLevel="0" collapsed="false">
      <c r="A84" s="2" t="s">
        <v>820</v>
      </c>
      <c r="B84" s="6" t="s">
        <v>781</v>
      </c>
      <c r="C84" s="40" t="n">
        <f aca="false">SUM(D84:O84)</f>
        <v>0</v>
      </c>
      <c r="D84" s="34" t="n">
        <f aca="false">SUMIFS(Calculo!$F$90:$ES$90,Calculo!$F$6:$ES$6,1)</f>
        <v>0</v>
      </c>
      <c r="E84" s="34" t="n">
        <f aca="false">SUMIFS(Calculo!$F$90:$ES$90,Calculo!$F$6:$ES$6,2)</f>
        <v>0</v>
      </c>
      <c r="F84" s="34" t="n">
        <f aca="false">SUMIFS(Calculo!$F$90:$ES$90,Calculo!$F$6:$ES$6,3)</f>
        <v>0</v>
      </c>
      <c r="G84" s="34" t="n">
        <f aca="false">SUMIFS(Calculo!$F$90:$ES$90,Calculo!$F$6:$ES$6,4)</f>
        <v>0</v>
      </c>
      <c r="H84" s="34" t="n">
        <f aca="false">SUMIFS(Calculo!$F$90:$ES$90,Calculo!$F$6:$ES$6,5)</f>
        <v>0</v>
      </c>
      <c r="I84" s="34" t="n">
        <f aca="false">SUMIFS(Calculo!$F$90:$ES$90,Calculo!$F$6:$ES$6,6)</f>
        <v>0</v>
      </c>
      <c r="J84" s="34" t="n">
        <f aca="false">SUMIFS(Calculo!$F$90:$ES$90,Calculo!$F$6:$ES$6,7)</f>
        <v>0</v>
      </c>
      <c r="K84" s="34" t="n">
        <f aca="false">SUMIFS(Calculo!$F$90:$ES$90,Calculo!$F$6:$ES$6,8)</f>
        <v>0</v>
      </c>
      <c r="L84" s="34" t="n">
        <f aca="false">SUMIFS(Calculo!$F$90:$ES$90,Calculo!$F$6:$ES$6,9)</f>
        <v>0</v>
      </c>
      <c r="M84" s="34" t="n">
        <f aca="false">SUMIFS(Calculo!$F$90:$ES$90,Calculo!$F$6:$ES$6,10)</f>
        <v>0</v>
      </c>
      <c r="N84" s="34" t="n">
        <f aca="false">SUMIFS(Calculo!$F$90:$ES$90,Calculo!$F$6:$ES$6,11)</f>
        <v>0</v>
      </c>
      <c r="O84" s="34" t="n">
        <f aca="false">SUMIFS(Calculo!$F$90:$ES$90,Calculo!$F$6:$ES$6,12)</f>
        <v>0</v>
      </c>
    </row>
    <row r="85" customFormat="false" ht="15" hidden="false" customHeight="false" outlineLevel="0" collapsed="false">
      <c r="A85" s="2" t="s">
        <v>821</v>
      </c>
      <c r="B85" s="6" t="s">
        <v>379</v>
      </c>
      <c r="C85" s="40" t="n">
        <f aca="false">SUM(D85:O85)</f>
        <v>0</v>
      </c>
      <c r="D85" s="34" t="n">
        <f aca="false">SUMIFS(Calculo!$F$91:$ES$91,Calculo!$F$6:$ES$6,1)</f>
        <v>0</v>
      </c>
      <c r="E85" s="34" t="n">
        <f aca="false">SUMIFS(Calculo!$F$91:$ES$91,Calculo!$F$6:$ES$6,2)</f>
        <v>0</v>
      </c>
      <c r="F85" s="34" t="n">
        <f aca="false">SUMIFS(Calculo!$F$91:$ES$91,Calculo!$F$6:$ES$6,3)</f>
        <v>0</v>
      </c>
      <c r="G85" s="34" t="n">
        <f aca="false">SUMIFS(Calculo!$F$91:$ES$91,Calculo!$F$6:$ES$6,4)</f>
        <v>0</v>
      </c>
      <c r="H85" s="34" t="n">
        <f aca="false">SUMIFS(Calculo!$F$91:$ES$91,Calculo!$F$6:$ES$6,5)</f>
        <v>0</v>
      </c>
      <c r="I85" s="34" t="n">
        <f aca="false">SUMIFS(Calculo!$F$91:$ES$91,Calculo!$F$6:$ES$6,6)</f>
        <v>0</v>
      </c>
      <c r="J85" s="34" t="n">
        <f aca="false">SUMIFS(Calculo!$F$91:$ES$91,Calculo!$F$6:$ES$6,7)</f>
        <v>0</v>
      </c>
      <c r="K85" s="34" t="n">
        <f aca="false">SUMIFS(Calculo!$F$91:$ES$91,Calculo!$F$6:$ES$6,8)</f>
        <v>0</v>
      </c>
      <c r="L85" s="34" t="n">
        <f aca="false">SUMIFS(Calculo!$F$91:$ES$91,Calculo!$F$6:$ES$6,9)</f>
        <v>0</v>
      </c>
      <c r="M85" s="34" t="n">
        <f aca="false">SUMIFS(Calculo!$F$91:$ES$91,Calculo!$F$6:$ES$6,10)</f>
        <v>0</v>
      </c>
      <c r="N85" s="34" t="n">
        <f aca="false">SUMIFS(Calculo!$F$91:$ES$91,Calculo!$F$6:$ES$6,11)</f>
        <v>0</v>
      </c>
      <c r="O85" s="34" t="n">
        <f aca="false">SUMIFS(Calculo!$F$91:$ES$91,Calculo!$F$6:$ES$6,12)</f>
        <v>0</v>
      </c>
    </row>
    <row r="86" customFormat="false" ht="15" hidden="false" customHeight="false" outlineLevel="0" collapsed="false">
      <c r="A86" s="2" t="s">
        <v>822</v>
      </c>
      <c r="B86" s="52" t="s">
        <v>784</v>
      </c>
      <c r="C86" s="40" t="n">
        <f aca="false">SUM(D86:O86)</f>
        <v>0</v>
      </c>
      <c r="D86" s="10" t="n">
        <f aca="false">SUMIFS(Calculo!$F$94:$ES$94,Calculo!$F$6:$ES$6,1)</f>
        <v>0</v>
      </c>
      <c r="E86" s="10" t="n">
        <f aca="false">SUMIFS(Calculo!$F$94:$ES$94,Calculo!$F$6:$ES$6,2)</f>
        <v>0</v>
      </c>
      <c r="F86" s="10" t="n">
        <f aca="false">SUMIFS(Calculo!$F$94:$ES$94,Calculo!$F$6:$ES$6,3)</f>
        <v>0</v>
      </c>
      <c r="G86" s="10" t="n">
        <f aca="false">SUMIFS(Calculo!$F$94:$ES$94,Calculo!$F$6:$ES$6,4)</f>
        <v>0</v>
      </c>
      <c r="H86" s="10" t="n">
        <f aca="false">SUMIFS(Calculo!$F$94:$ES$94,Calculo!$F$6:$ES$6,5)</f>
        <v>0</v>
      </c>
      <c r="I86" s="10" t="n">
        <f aca="false">SUMIFS(Calculo!$F$94:$ES$94,Calculo!$F$6:$ES$6,6)</f>
        <v>0</v>
      </c>
      <c r="J86" s="10" t="n">
        <f aca="false">SUMIFS(Calculo!$F$94:$ES$94,Calculo!$F$6:$ES$6,7)</f>
        <v>0</v>
      </c>
      <c r="K86" s="10" t="n">
        <f aca="false">SUMIFS(Calculo!$F$94:$ES$94,Calculo!$F$6:$ES$6,8)</f>
        <v>0</v>
      </c>
      <c r="L86" s="10" t="n">
        <f aca="false">SUMIFS(Calculo!$F$94:$ES$94,Calculo!$F$6:$ES$6,9)</f>
        <v>0</v>
      </c>
      <c r="M86" s="10" t="n">
        <f aca="false">SUMIFS(Calculo!$F$94:$ES$94,Calculo!$F$6:$ES$6,10)</f>
        <v>0</v>
      </c>
      <c r="N86" s="10" t="n">
        <f aca="false">SUMIFS(Calculo!$F$94:$ES$94,Calculo!$F$6:$ES$6,11)</f>
        <v>0</v>
      </c>
      <c r="O86" s="10" t="n">
        <f aca="false">SUMIFS(Calculo!$F$94:$ES$94,Calculo!$F$6:$ES$6,12)</f>
        <v>0</v>
      </c>
    </row>
    <row r="87" customFormat="false" ht="15" hidden="false" customHeight="false" outlineLevel="0" collapsed="false">
      <c r="A87" s="2" t="s">
        <v>823</v>
      </c>
      <c r="B87" s="6" t="s">
        <v>583</v>
      </c>
      <c r="C87" s="40" t="n">
        <f aca="false">SUM(D87:O87)</f>
        <v>0</v>
      </c>
      <c r="D87" s="34" t="n">
        <f aca="false">SUMIFS(Calculo!$F$113:$ES$113,Calculo!$F$6:$ES$6,1)</f>
        <v>0</v>
      </c>
      <c r="E87" s="34" t="n">
        <f aca="false">SUMIFS(Calculo!$F$113:$ES$113,Calculo!$F$6:$ES$6,2)</f>
        <v>0</v>
      </c>
      <c r="F87" s="34" t="n">
        <f aca="false">SUMIFS(Calculo!$F$113:$ES$113,Calculo!$F$6:$ES$6,3)</f>
        <v>0</v>
      </c>
      <c r="G87" s="34" t="n">
        <f aca="false">SUMIFS(Calculo!$F$113:$ES$113,Calculo!$F$6:$ES$6,4)</f>
        <v>0</v>
      </c>
      <c r="H87" s="34" t="n">
        <f aca="false">SUMIFS(Calculo!$F$113:$ES$113,Calculo!$F$6:$ES$6,5)</f>
        <v>0</v>
      </c>
      <c r="I87" s="34" t="n">
        <f aca="false">SUMIFS(Calculo!$F$113:$ES$113,Calculo!$F$6:$ES$6,6)</f>
        <v>0</v>
      </c>
      <c r="J87" s="34" t="n">
        <f aca="false">SUMIFS(Calculo!$F$113:$ES$113,Calculo!$F$6:$ES$6,7)</f>
        <v>0</v>
      </c>
      <c r="K87" s="34" t="n">
        <f aca="false">SUMIFS(Calculo!$F$113:$ES$113,Calculo!$F$6:$ES$6,8)</f>
        <v>0</v>
      </c>
      <c r="L87" s="34" t="n">
        <f aca="false">SUMIFS(Calculo!$F$113:$ES$113,Calculo!$F$6:$ES$6,9)</f>
        <v>0</v>
      </c>
      <c r="M87" s="34" t="n">
        <f aca="false">SUMIFS(Calculo!$F$113:$ES$113,Calculo!$F$6:$ES$6,10)</f>
        <v>0</v>
      </c>
      <c r="N87" s="34" t="n">
        <f aca="false">SUMIFS(Calculo!$F$113:$ES$113,Calculo!$F$6:$ES$6,11)</f>
        <v>0</v>
      </c>
      <c r="O87" s="34" t="n">
        <f aca="false">SUMIFS(Calculo!$F$113:$ES$113,Calculo!$F$6:$ES$6,12)</f>
        <v>0</v>
      </c>
    </row>
    <row r="88" customFormat="false" ht="15" hidden="false" customHeight="false" outlineLevel="0" collapsed="false">
      <c r="A88" s="2" t="s">
        <v>824</v>
      </c>
      <c r="B88" s="6" t="s">
        <v>521</v>
      </c>
      <c r="C88" s="40" t="n">
        <f aca="false">SUM(D88:O88)</f>
        <v>0</v>
      </c>
      <c r="D88" s="34" t="n">
        <f aca="false">SUMIFS(Calculo!$F$79:$ES$79,Calculo!$F$6:$ES$6,1)</f>
        <v>0</v>
      </c>
      <c r="E88" s="34" t="n">
        <f aca="false">SUMIFS(Calculo!$F$79:$ES$79,Calculo!$F$6:$ES$6,2)</f>
        <v>0</v>
      </c>
      <c r="F88" s="34" t="n">
        <f aca="false">SUMIFS(Calculo!$F$79:$ES$79,Calculo!$F$6:$ES$6,3)</f>
        <v>0</v>
      </c>
      <c r="G88" s="34" t="n">
        <f aca="false">SUMIFS(Calculo!$F$79:$ES$79,Calculo!$F$6:$ES$6,4)</f>
        <v>0</v>
      </c>
      <c r="H88" s="34" t="n">
        <f aca="false">SUMIFS(Calculo!$F$79:$ES$79,Calculo!$F$6:$ES$6,5)</f>
        <v>0</v>
      </c>
      <c r="I88" s="34" t="n">
        <f aca="false">SUMIFS(Calculo!$F$79:$ES$79,Calculo!$F$6:$ES$6,6)</f>
        <v>0</v>
      </c>
      <c r="J88" s="34" t="n">
        <f aca="false">SUMIFS(Calculo!$F$79:$ES$79,Calculo!$F$6:$ES$6,7)</f>
        <v>0</v>
      </c>
      <c r="K88" s="34" t="n">
        <f aca="false">SUMIFS(Calculo!$F$79:$ES$79,Calculo!$F$6:$ES$6,8)</f>
        <v>0</v>
      </c>
      <c r="L88" s="34" t="n">
        <f aca="false">SUMIFS(Calculo!$F$79:$ES$79,Calculo!$F$6:$ES$6,9)</f>
        <v>0</v>
      </c>
      <c r="M88" s="34" t="n">
        <f aca="false">SUMIFS(Calculo!$F$79:$ES$79,Calculo!$F$6:$ES$6,10)</f>
        <v>0</v>
      </c>
      <c r="N88" s="34" t="n">
        <f aca="false">SUMIFS(Calculo!$F$79:$ES$79,Calculo!$F$6:$ES$6,11)</f>
        <v>0</v>
      </c>
      <c r="O88" s="34" t="n">
        <f aca="false">SUMIFS(Calculo!$F$79:$ES$79,Calculo!$F$6:$ES$6,12)</f>
        <v>0</v>
      </c>
    </row>
    <row r="89" customFormat="false" ht="15" hidden="false" customHeight="false" outlineLevel="0" collapsed="false">
      <c r="A89" s="2" t="s">
        <v>825</v>
      </c>
      <c r="B89" s="6" t="s">
        <v>788</v>
      </c>
      <c r="C89" s="40" t="n">
        <f aca="false">SUM(D89:O89)</f>
        <v>0</v>
      </c>
      <c r="D89" s="34" t="n">
        <f aca="false">SUMIFS(Calculo!$F$111:$ES$111,Calculo!$F$6:$ES$6,1)</f>
        <v>0</v>
      </c>
      <c r="E89" s="34" t="n">
        <f aca="false">SUMIFS(Calculo!$F$111:$ES$111,Calculo!$F$6:$ES$6,2)</f>
        <v>0</v>
      </c>
      <c r="F89" s="34" t="n">
        <f aca="false">SUMIFS(Calculo!$F$111:$ES$111,Calculo!$F$6:$ES$6,3)</f>
        <v>0</v>
      </c>
      <c r="G89" s="34" t="n">
        <f aca="false">SUMIFS(Calculo!$F$111:$ES$111,Calculo!$F$6:$ES$6,4)</f>
        <v>0</v>
      </c>
      <c r="H89" s="34" t="n">
        <f aca="false">SUMIFS(Calculo!$F$111:$ES$111,Calculo!$F$6:$ES$6,5)</f>
        <v>0</v>
      </c>
      <c r="I89" s="34" t="n">
        <f aca="false">SUMIFS(Calculo!$F$111:$ES$111,Calculo!$F$6:$ES$6,6)</f>
        <v>0</v>
      </c>
      <c r="J89" s="34" t="n">
        <f aca="false">SUMIFS(Calculo!$F$111:$ES$111,Calculo!$F$6:$ES$6,7)</f>
        <v>0</v>
      </c>
      <c r="K89" s="34" t="n">
        <f aca="false">SUMIFS(Calculo!$F$111:$ES$111,Calculo!$F$6:$ES$6,8)</f>
        <v>0</v>
      </c>
      <c r="L89" s="34" t="n">
        <f aca="false">SUMIFS(Calculo!$F$111:$ES$111,Calculo!$F$6:$ES$6,9)</f>
        <v>0</v>
      </c>
      <c r="M89" s="34" t="n">
        <f aca="false">SUMIFS(Calculo!$F$111:$ES$111,Calculo!$F$6:$ES$6,10)</f>
        <v>0</v>
      </c>
      <c r="N89" s="34" t="n">
        <f aca="false">SUMIFS(Calculo!$F$111:$ES$111,Calculo!$F$6:$ES$6,11)</f>
        <v>0</v>
      </c>
      <c r="O89" s="34" t="n">
        <f aca="false">SUMIFS(Calculo!$F$111:$ES$111,Calculo!$F$6:$ES$6,12)</f>
        <v>0</v>
      </c>
    </row>
    <row r="90" customFormat="false" ht="15" hidden="false" customHeight="false" outlineLevel="0" collapsed="false">
      <c r="A90" s="2" t="s">
        <v>826</v>
      </c>
      <c r="B90" s="52" t="s">
        <v>791</v>
      </c>
      <c r="C90" s="40" t="n">
        <f aca="false">INDEX(Calculo!$F$118:$ES$118,1,MIN(144,Fin))</f>
        <v>0</v>
      </c>
      <c r="D90" s="10" t="n">
        <f aca="false">INDEX(Calculo!$F$118:$ES$118,1,MIN(144,12))</f>
        <v>0</v>
      </c>
      <c r="E90" s="10" t="n">
        <f aca="false">INDEX(Calculo!$F$118:$ES$118,1,MIN(144,24))</f>
        <v>0</v>
      </c>
      <c r="F90" s="10" t="n">
        <f aca="false">INDEX(Calculo!$F$118:$ES$118,1,MIN(144,36))</f>
        <v>0</v>
      </c>
      <c r="G90" s="10" t="n">
        <f aca="false">INDEX(Calculo!$F$118:$ES$118,1,MIN(144,48))</f>
        <v>0</v>
      </c>
      <c r="H90" s="10" t="n">
        <f aca="false">INDEX(Calculo!$F$118:$ES$118,1,MIN(144,60))</f>
        <v>0</v>
      </c>
      <c r="I90" s="10" t="n">
        <f aca="false">INDEX(Calculo!$F$118:$ES$118,1,MIN(144,72))</f>
        <v>0</v>
      </c>
      <c r="J90" s="10" t="n">
        <f aca="false">INDEX(Calculo!$F$118:$ES$118,1,MIN(144,84))</f>
        <v>0</v>
      </c>
      <c r="K90" s="10" t="n">
        <f aca="false">INDEX(Calculo!$F$118:$ES$118,1,MIN(144,96))</f>
        <v>0</v>
      </c>
      <c r="L90" s="10" t="n">
        <f aca="false">INDEX(Calculo!$F$118:$ES$118,1,MIN(144,108))</f>
        <v>0</v>
      </c>
      <c r="M90" s="10" t="n">
        <f aca="false">INDEX(Calculo!$F$118:$ES$118,1,MIN(144,120))</f>
        <v>0</v>
      </c>
      <c r="N90" s="10" t="n">
        <f aca="false">INDEX(Calculo!$F$118:$ES$118,1,MIN(144,132))</f>
        <v>0</v>
      </c>
      <c r="O90" s="10" t="n">
        <f aca="false">INDEX(Calculo!$F$118:$ES$118,1,MIN(144,144))</f>
        <v>0</v>
      </c>
    </row>
    <row r="91" customFormat="false" ht="15" hidden="false" customHeight="false" outlineLevel="0" collapsed="false">
      <c r="A91" s="2" t="s">
        <v>827</v>
      </c>
      <c r="B91" s="6" t="s">
        <v>793</v>
      </c>
      <c r="C91" s="40" t="n">
        <f aca="false">INDEX(Calculo!$F$112:$ES$112,1,MIN(144,Fin))</f>
        <v>0</v>
      </c>
      <c r="D91" s="34" t="n">
        <f aca="false">INDEX(Calculo!$F$112:$ES$112,1,MIN(144,12))</f>
        <v>0</v>
      </c>
      <c r="E91" s="34" t="n">
        <f aca="false">INDEX(Calculo!$F$112:$ES$112,1,MIN(144,24))</f>
        <v>0</v>
      </c>
      <c r="F91" s="34" t="n">
        <f aca="false">INDEX(Calculo!$F$112:$ES$112,1,MIN(144,36))</f>
        <v>0</v>
      </c>
      <c r="G91" s="34" t="n">
        <f aca="false">INDEX(Calculo!$F$112:$ES$112,1,MIN(144,48))</f>
        <v>0</v>
      </c>
      <c r="H91" s="34" t="n">
        <f aca="false">INDEX(Calculo!$F$112:$ES$112,1,MIN(144,60))</f>
        <v>0</v>
      </c>
      <c r="I91" s="34" t="n">
        <f aca="false">INDEX(Calculo!$F$112:$ES$112,1,MIN(144,72))</f>
        <v>0</v>
      </c>
      <c r="J91" s="34" t="n">
        <f aca="false">INDEX(Calculo!$F$112:$ES$112,1,MIN(144,84))</f>
        <v>0</v>
      </c>
      <c r="K91" s="34" t="n">
        <f aca="false">INDEX(Calculo!$F$112:$ES$112,1,MIN(144,96))</f>
        <v>0</v>
      </c>
      <c r="L91" s="34" t="n">
        <f aca="false">INDEX(Calculo!$F$112:$ES$112,1,MIN(144,108))</f>
        <v>0</v>
      </c>
      <c r="M91" s="34" t="n">
        <f aca="false">INDEX(Calculo!$F$112:$ES$112,1,MIN(144,120))</f>
        <v>0</v>
      </c>
      <c r="N91" s="34" t="n">
        <f aca="false">INDEX(Calculo!$F$112:$ES$112,1,MIN(144,132))</f>
        <v>0</v>
      </c>
      <c r="O91" s="34" t="n">
        <f aca="false">INDEX(Calculo!$F$112:$ES$112,1,MIN(144,144))</f>
        <v>0</v>
      </c>
    </row>
    <row r="92" customFormat="false" ht="15" hidden="false" customHeight="false" outlineLevel="0" collapsed="false">
      <c r="A92" s="2" t="s">
        <v>828</v>
      </c>
      <c r="B92" s="6" t="s">
        <v>795</v>
      </c>
      <c r="C92" s="40" t="n">
        <f aca="false">INDEX(Calculo!$F$87:$ES$87,1,MIN(144,Fin))</f>
        <v>0</v>
      </c>
      <c r="D92" s="34" t="n">
        <f aca="false">INDEX(Calculo!$F$87:$ES$87,1,MIN(144,12))</f>
        <v>0</v>
      </c>
      <c r="E92" s="34" t="n">
        <f aca="false">INDEX(Calculo!$F$87:$ES$87,1,MIN(144,24))</f>
        <v>0</v>
      </c>
      <c r="F92" s="34" t="n">
        <f aca="false">INDEX(Calculo!$F$87:$ES$87,1,MIN(144,36))</f>
        <v>0</v>
      </c>
      <c r="G92" s="34" t="n">
        <f aca="false">INDEX(Calculo!$F$87:$ES$87,1,MIN(144,48))</f>
        <v>0</v>
      </c>
      <c r="H92" s="34" t="n">
        <f aca="false">INDEX(Calculo!$F$87:$ES$87,1,MIN(144,60))</f>
        <v>0</v>
      </c>
      <c r="I92" s="34" t="n">
        <f aca="false">INDEX(Calculo!$F$87:$ES$87,1,MIN(144,72))</f>
        <v>0</v>
      </c>
      <c r="J92" s="34" t="n">
        <f aca="false">INDEX(Calculo!$F$87:$ES$87,1,MIN(144,84))</f>
        <v>0</v>
      </c>
      <c r="K92" s="34" t="n">
        <f aca="false">INDEX(Calculo!$F$87:$ES$87,1,MIN(144,96))</f>
        <v>0</v>
      </c>
      <c r="L92" s="34" t="n">
        <f aca="false">INDEX(Calculo!$F$87:$ES$87,1,MIN(144,108))</f>
        <v>0</v>
      </c>
      <c r="M92" s="34" t="n">
        <f aca="false">INDEX(Calculo!$F$87:$ES$87,1,MIN(144,120))</f>
        <v>0</v>
      </c>
      <c r="N92" s="34" t="n">
        <f aca="false">INDEX(Calculo!$F$87:$ES$87,1,MIN(144,132))</f>
        <v>0</v>
      </c>
      <c r="O92" s="34" t="n">
        <f aca="false">INDEX(Calculo!$F$87:$ES$87,1,MIN(144,144))</f>
        <v>0</v>
      </c>
    </row>
    <row r="93" customFormat="false" ht="15" hidden="false" customHeight="false" outlineLevel="0" collapsed="false">
      <c r="A93" s="2" t="s">
        <v>829</v>
      </c>
      <c r="B93" s="6" t="s">
        <v>830</v>
      </c>
      <c r="D93" s="34" t="n">
        <f aca="false">D88+D89</f>
        <v>0</v>
      </c>
      <c r="E93" s="34" t="n">
        <f aca="false">E88+E89</f>
        <v>0</v>
      </c>
      <c r="F93" s="34" t="n">
        <f aca="false">F88+F89</f>
        <v>0</v>
      </c>
      <c r="G93" s="34" t="n">
        <f aca="false">G88+G89</f>
        <v>0</v>
      </c>
      <c r="H93" s="34" t="n">
        <f aca="false">H88+H89</f>
        <v>0</v>
      </c>
      <c r="I93" s="34" t="n">
        <f aca="false">I88+I89</f>
        <v>0</v>
      </c>
      <c r="J93" s="34" t="n">
        <f aca="false">J88+J89</f>
        <v>0</v>
      </c>
      <c r="K93" s="34" t="n">
        <f aca="false">K88+K89</f>
        <v>0</v>
      </c>
      <c r="L93" s="34" t="n">
        <f aca="false">L88+L89</f>
        <v>0</v>
      </c>
      <c r="M93" s="34" t="n">
        <f aca="false">M88+M89</f>
        <v>0</v>
      </c>
      <c r="N93" s="34" t="n">
        <f aca="false">N88+N89</f>
        <v>0</v>
      </c>
      <c r="O93" s="34" t="n">
        <f aca="false">O88+O89</f>
        <v>0</v>
      </c>
    </row>
    <row r="94" customFormat="false" ht="15" hidden="false" customHeight="false" outlineLevel="0" collapsed="false">
      <c r="A94" s="2" t="s">
        <v>831</v>
      </c>
      <c r="B94" s="6" t="s">
        <v>832</v>
      </c>
      <c r="D94" s="66" t="str">
        <f aca="false">IF(D93&gt;1,D84/D93,"")</f>
        <v/>
      </c>
      <c r="E94" s="66" t="str">
        <f aca="false">IF(E93&gt;1,E84/E93,"")</f>
        <v/>
      </c>
      <c r="F94" s="66" t="str">
        <f aca="false">IF(F93&gt;1,F84/F93,"")</f>
        <v/>
      </c>
      <c r="G94" s="66" t="str">
        <f aca="false">IF(G93&gt;1,G84/G93,"")</f>
        <v/>
      </c>
      <c r="H94" s="66" t="str">
        <f aca="false">IF(H93&gt;1,H84/H93,"")</f>
        <v/>
      </c>
      <c r="I94" s="66" t="str">
        <f aca="false">IF(I93&gt;1,I84/I93,"")</f>
        <v/>
      </c>
      <c r="J94" s="66" t="str">
        <f aca="false">IF(J93&gt;1,J84/J93,"")</f>
        <v/>
      </c>
      <c r="K94" s="66" t="str">
        <f aca="false">IF(K93&gt;1,K84/K93,"")</f>
        <v/>
      </c>
      <c r="L94" s="66" t="str">
        <f aca="false">IF(L93&gt;1,L84/L93,"")</f>
        <v/>
      </c>
      <c r="M94" s="66" t="str">
        <f aca="false">IF(M93&gt;1,M84/M93,"")</f>
        <v/>
      </c>
      <c r="N94" s="66" t="str">
        <f aca="false">IF(N93&gt;1,N84/N93,"")</f>
        <v/>
      </c>
      <c r="O94" s="66" t="str">
        <f aca="false">IF(O93&gt;1,O84/O93,"")</f>
        <v/>
      </c>
    </row>
    <row r="95" customFormat="false" ht="15" hidden="false" customHeight="false" outlineLevel="0" collapsed="false">
      <c r="B95" s="11" t="s">
        <v>335</v>
      </c>
    </row>
    <row r="96" customFormat="false" ht="15" hidden="false" customHeight="false" outlineLevel="0" collapsed="false">
      <c r="A96" s="2" t="s">
        <v>833</v>
      </c>
      <c r="B96" s="6" t="str">
        <f aca="false">IF(INDEX(Prod_Nombre,1)="","Producto 1",INDEX(Prod_Nombre,1))</f>
        <v>Producto 1</v>
      </c>
      <c r="C96" s="40" t="n">
        <f aca="false">SUM(D96:O96)</f>
        <v>0</v>
      </c>
      <c r="D96" s="34" t="n">
        <f aca="false">SUMIFS(Calculo!$F$21:$ES$21,Calculo!$F$6:$ES$6,1)</f>
        <v>0</v>
      </c>
      <c r="E96" s="34" t="n">
        <f aca="false">SUMIFS(Calculo!$F$21:$ES$21,Calculo!$F$6:$ES$6,2)</f>
        <v>0</v>
      </c>
      <c r="F96" s="34" t="n">
        <f aca="false">SUMIFS(Calculo!$F$21:$ES$21,Calculo!$F$6:$ES$6,3)</f>
        <v>0</v>
      </c>
      <c r="G96" s="34" t="n">
        <f aca="false">SUMIFS(Calculo!$F$21:$ES$21,Calculo!$F$6:$ES$6,4)</f>
        <v>0</v>
      </c>
      <c r="H96" s="34" t="n">
        <f aca="false">SUMIFS(Calculo!$F$21:$ES$21,Calculo!$F$6:$ES$6,5)</f>
        <v>0</v>
      </c>
      <c r="I96" s="34" t="n">
        <f aca="false">SUMIFS(Calculo!$F$21:$ES$21,Calculo!$F$6:$ES$6,6)</f>
        <v>0</v>
      </c>
      <c r="J96" s="34" t="n">
        <f aca="false">SUMIFS(Calculo!$F$21:$ES$21,Calculo!$F$6:$ES$6,7)</f>
        <v>0</v>
      </c>
      <c r="K96" s="34" t="n">
        <f aca="false">SUMIFS(Calculo!$F$21:$ES$21,Calculo!$F$6:$ES$6,8)</f>
        <v>0</v>
      </c>
      <c r="L96" s="34" t="n">
        <f aca="false">SUMIFS(Calculo!$F$21:$ES$21,Calculo!$F$6:$ES$6,9)</f>
        <v>0</v>
      </c>
      <c r="M96" s="34" t="n">
        <f aca="false">SUMIFS(Calculo!$F$21:$ES$21,Calculo!$F$6:$ES$6,10)</f>
        <v>0</v>
      </c>
      <c r="N96" s="34" t="n">
        <f aca="false">SUMIFS(Calculo!$F$21:$ES$21,Calculo!$F$6:$ES$6,11)</f>
        <v>0</v>
      </c>
      <c r="O96" s="34" t="n">
        <f aca="false">SUMIFS(Calculo!$F$21:$ES$21,Calculo!$F$6:$ES$6,12)</f>
        <v>0</v>
      </c>
    </row>
    <row r="97" customFormat="false" ht="15" hidden="false" customHeight="false" outlineLevel="0" collapsed="false">
      <c r="A97" s="2" t="s">
        <v>834</v>
      </c>
      <c r="B97" s="6" t="str">
        <f aca="false">IF(INDEX(Prod_Nombre,2)="","Producto 2",INDEX(Prod_Nombre,2))</f>
        <v>Producto 2</v>
      </c>
      <c r="C97" s="40" t="n">
        <f aca="false">SUM(D97:O97)</f>
        <v>0</v>
      </c>
      <c r="D97" s="34" t="n">
        <f aca="false">SUMIFS(Calculo!$F$22:$ES$22,Calculo!$F$6:$ES$6,1)</f>
        <v>0</v>
      </c>
      <c r="E97" s="34" t="n">
        <f aca="false">SUMIFS(Calculo!$F$22:$ES$22,Calculo!$F$6:$ES$6,2)</f>
        <v>0</v>
      </c>
      <c r="F97" s="34" t="n">
        <f aca="false">SUMIFS(Calculo!$F$22:$ES$22,Calculo!$F$6:$ES$6,3)</f>
        <v>0</v>
      </c>
      <c r="G97" s="34" t="n">
        <f aca="false">SUMIFS(Calculo!$F$22:$ES$22,Calculo!$F$6:$ES$6,4)</f>
        <v>0</v>
      </c>
      <c r="H97" s="34" t="n">
        <f aca="false">SUMIFS(Calculo!$F$22:$ES$22,Calculo!$F$6:$ES$6,5)</f>
        <v>0</v>
      </c>
      <c r="I97" s="34" t="n">
        <f aca="false">SUMIFS(Calculo!$F$22:$ES$22,Calculo!$F$6:$ES$6,6)</f>
        <v>0</v>
      </c>
      <c r="J97" s="34" t="n">
        <f aca="false">SUMIFS(Calculo!$F$22:$ES$22,Calculo!$F$6:$ES$6,7)</f>
        <v>0</v>
      </c>
      <c r="K97" s="34" t="n">
        <f aca="false">SUMIFS(Calculo!$F$22:$ES$22,Calculo!$F$6:$ES$6,8)</f>
        <v>0</v>
      </c>
      <c r="L97" s="34" t="n">
        <f aca="false">SUMIFS(Calculo!$F$22:$ES$22,Calculo!$F$6:$ES$6,9)</f>
        <v>0</v>
      </c>
      <c r="M97" s="34" t="n">
        <f aca="false">SUMIFS(Calculo!$F$22:$ES$22,Calculo!$F$6:$ES$6,10)</f>
        <v>0</v>
      </c>
      <c r="N97" s="34" t="n">
        <f aca="false">SUMIFS(Calculo!$F$22:$ES$22,Calculo!$F$6:$ES$6,11)</f>
        <v>0</v>
      </c>
      <c r="O97" s="34" t="n">
        <f aca="false">SUMIFS(Calculo!$F$22:$ES$22,Calculo!$F$6:$ES$6,12)</f>
        <v>0</v>
      </c>
    </row>
    <row r="98" customFormat="false" ht="15" hidden="false" customHeight="false" outlineLevel="0" collapsed="false">
      <c r="A98" s="2" t="s">
        <v>835</v>
      </c>
      <c r="B98" s="6" t="str">
        <f aca="false">IF(INDEX(Prod_Nombre,3)="","Producto 3",INDEX(Prod_Nombre,3))</f>
        <v>Producto 3</v>
      </c>
      <c r="C98" s="40" t="n">
        <f aca="false">SUM(D98:O98)</f>
        <v>0</v>
      </c>
      <c r="D98" s="34" t="n">
        <f aca="false">SUMIFS(Calculo!$F$23:$ES$23,Calculo!$F$6:$ES$6,1)</f>
        <v>0</v>
      </c>
      <c r="E98" s="34" t="n">
        <f aca="false">SUMIFS(Calculo!$F$23:$ES$23,Calculo!$F$6:$ES$6,2)</f>
        <v>0</v>
      </c>
      <c r="F98" s="34" t="n">
        <f aca="false">SUMIFS(Calculo!$F$23:$ES$23,Calculo!$F$6:$ES$6,3)</f>
        <v>0</v>
      </c>
      <c r="G98" s="34" t="n">
        <f aca="false">SUMIFS(Calculo!$F$23:$ES$23,Calculo!$F$6:$ES$6,4)</f>
        <v>0</v>
      </c>
      <c r="H98" s="34" t="n">
        <f aca="false">SUMIFS(Calculo!$F$23:$ES$23,Calculo!$F$6:$ES$6,5)</f>
        <v>0</v>
      </c>
      <c r="I98" s="34" t="n">
        <f aca="false">SUMIFS(Calculo!$F$23:$ES$23,Calculo!$F$6:$ES$6,6)</f>
        <v>0</v>
      </c>
      <c r="J98" s="34" t="n">
        <f aca="false">SUMIFS(Calculo!$F$23:$ES$23,Calculo!$F$6:$ES$6,7)</f>
        <v>0</v>
      </c>
      <c r="K98" s="34" t="n">
        <f aca="false">SUMIFS(Calculo!$F$23:$ES$23,Calculo!$F$6:$ES$6,8)</f>
        <v>0</v>
      </c>
      <c r="L98" s="34" t="n">
        <f aca="false">SUMIFS(Calculo!$F$23:$ES$23,Calculo!$F$6:$ES$6,9)</f>
        <v>0</v>
      </c>
      <c r="M98" s="34" t="n">
        <f aca="false">SUMIFS(Calculo!$F$23:$ES$23,Calculo!$F$6:$ES$6,10)</f>
        <v>0</v>
      </c>
      <c r="N98" s="34" t="n">
        <f aca="false">SUMIFS(Calculo!$F$23:$ES$23,Calculo!$F$6:$ES$6,11)</f>
        <v>0</v>
      </c>
      <c r="O98" s="34" t="n">
        <f aca="false">SUMIFS(Calculo!$F$23:$ES$23,Calculo!$F$6:$ES$6,12)</f>
        <v>0</v>
      </c>
    </row>
    <row r="99" customFormat="false" ht="15" hidden="false" customHeight="false" outlineLevel="0" collapsed="false">
      <c r="A99" s="2" t="s">
        <v>836</v>
      </c>
      <c r="B99" s="6" t="str">
        <f aca="false">IF(INDEX(Prod_Nombre,4)="","Producto 4",INDEX(Prod_Nombre,4))</f>
        <v>Producto 4</v>
      </c>
      <c r="C99" s="40" t="n">
        <f aca="false">SUM(D99:O99)</f>
        <v>0</v>
      </c>
      <c r="D99" s="34" t="n">
        <f aca="false">SUMIFS(Calculo!$F$24:$ES$24,Calculo!$F$6:$ES$6,1)</f>
        <v>0</v>
      </c>
      <c r="E99" s="34" t="n">
        <f aca="false">SUMIFS(Calculo!$F$24:$ES$24,Calculo!$F$6:$ES$6,2)</f>
        <v>0</v>
      </c>
      <c r="F99" s="34" t="n">
        <f aca="false">SUMIFS(Calculo!$F$24:$ES$24,Calculo!$F$6:$ES$6,3)</f>
        <v>0</v>
      </c>
      <c r="G99" s="34" t="n">
        <f aca="false">SUMIFS(Calculo!$F$24:$ES$24,Calculo!$F$6:$ES$6,4)</f>
        <v>0</v>
      </c>
      <c r="H99" s="34" t="n">
        <f aca="false">SUMIFS(Calculo!$F$24:$ES$24,Calculo!$F$6:$ES$6,5)</f>
        <v>0</v>
      </c>
      <c r="I99" s="34" t="n">
        <f aca="false">SUMIFS(Calculo!$F$24:$ES$24,Calculo!$F$6:$ES$6,6)</f>
        <v>0</v>
      </c>
      <c r="J99" s="34" t="n">
        <f aca="false">SUMIFS(Calculo!$F$24:$ES$24,Calculo!$F$6:$ES$6,7)</f>
        <v>0</v>
      </c>
      <c r="K99" s="34" t="n">
        <f aca="false">SUMIFS(Calculo!$F$24:$ES$24,Calculo!$F$6:$ES$6,8)</f>
        <v>0</v>
      </c>
      <c r="L99" s="34" t="n">
        <f aca="false">SUMIFS(Calculo!$F$24:$ES$24,Calculo!$F$6:$ES$6,9)</f>
        <v>0</v>
      </c>
      <c r="M99" s="34" t="n">
        <f aca="false">SUMIFS(Calculo!$F$24:$ES$24,Calculo!$F$6:$ES$6,10)</f>
        <v>0</v>
      </c>
      <c r="N99" s="34" t="n">
        <f aca="false">SUMIFS(Calculo!$F$24:$ES$24,Calculo!$F$6:$ES$6,11)</f>
        <v>0</v>
      </c>
      <c r="O99" s="34" t="n">
        <f aca="false">SUMIFS(Calculo!$F$24:$ES$24,Calculo!$F$6:$ES$6,12)</f>
        <v>0</v>
      </c>
    </row>
    <row r="100" customFormat="false" ht="15" hidden="false" customHeight="false" outlineLevel="0" collapsed="false">
      <c r="A100" s="2" t="s">
        <v>837</v>
      </c>
      <c r="B100" s="6" t="str">
        <f aca="false">IF(INDEX(Prod_Nombre,5)="","Producto 5",INDEX(Prod_Nombre,5))</f>
        <v>Producto 5</v>
      </c>
      <c r="C100" s="40" t="n">
        <f aca="false">SUM(D100:O100)</f>
        <v>0</v>
      </c>
      <c r="D100" s="34" t="n">
        <f aca="false">SUMIFS(Calculo!$F$25:$ES$25,Calculo!$F$6:$ES$6,1)</f>
        <v>0</v>
      </c>
      <c r="E100" s="34" t="n">
        <f aca="false">SUMIFS(Calculo!$F$25:$ES$25,Calculo!$F$6:$ES$6,2)</f>
        <v>0</v>
      </c>
      <c r="F100" s="34" t="n">
        <f aca="false">SUMIFS(Calculo!$F$25:$ES$25,Calculo!$F$6:$ES$6,3)</f>
        <v>0</v>
      </c>
      <c r="G100" s="34" t="n">
        <f aca="false">SUMIFS(Calculo!$F$25:$ES$25,Calculo!$F$6:$ES$6,4)</f>
        <v>0</v>
      </c>
      <c r="H100" s="34" t="n">
        <f aca="false">SUMIFS(Calculo!$F$25:$ES$25,Calculo!$F$6:$ES$6,5)</f>
        <v>0</v>
      </c>
      <c r="I100" s="34" t="n">
        <f aca="false">SUMIFS(Calculo!$F$25:$ES$25,Calculo!$F$6:$ES$6,6)</f>
        <v>0</v>
      </c>
      <c r="J100" s="34" t="n">
        <f aca="false">SUMIFS(Calculo!$F$25:$ES$25,Calculo!$F$6:$ES$6,7)</f>
        <v>0</v>
      </c>
      <c r="K100" s="34" t="n">
        <f aca="false">SUMIFS(Calculo!$F$25:$ES$25,Calculo!$F$6:$ES$6,8)</f>
        <v>0</v>
      </c>
      <c r="L100" s="34" t="n">
        <f aca="false">SUMIFS(Calculo!$F$25:$ES$25,Calculo!$F$6:$ES$6,9)</f>
        <v>0</v>
      </c>
      <c r="M100" s="34" t="n">
        <f aca="false">SUMIFS(Calculo!$F$25:$ES$25,Calculo!$F$6:$ES$6,10)</f>
        <v>0</v>
      </c>
      <c r="N100" s="34" t="n">
        <f aca="false">SUMIFS(Calculo!$F$25:$ES$25,Calculo!$F$6:$ES$6,11)</f>
        <v>0</v>
      </c>
      <c r="O100" s="34" t="n">
        <f aca="false">SUMIFS(Calculo!$F$25:$ES$25,Calculo!$F$6:$ES$6,12)</f>
        <v>0</v>
      </c>
    </row>
    <row r="101" customFormat="false" ht="15" hidden="false" customHeight="false" outlineLevel="0" collapsed="false">
      <c r="A101" s="2" t="s">
        <v>838</v>
      </c>
      <c r="B101" s="6" t="str">
        <f aca="false">IF(INDEX(Prod_Nombre,6)="","Producto 6",INDEX(Prod_Nombre,6))</f>
        <v>Producto 6</v>
      </c>
      <c r="C101" s="40" t="n">
        <f aca="false">SUM(D101:O101)</f>
        <v>0</v>
      </c>
      <c r="D101" s="34" t="n">
        <f aca="false">SUMIFS(Calculo!$F$26:$ES$26,Calculo!$F$6:$ES$6,1)</f>
        <v>0</v>
      </c>
      <c r="E101" s="34" t="n">
        <f aca="false">SUMIFS(Calculo!$F$26:$ES$26,Calculo!$F$6:$ES$6,2)</f>
        <v>0</v>
      </c>
      <c r="F101" s="34" t="n">
        <f aca="false">SUMIFS(Calculo!$F$26:$ES$26,Calculo!$F$6:$ES$6,3)</f>
        <v>0</v>
      </c>
      <c r="G101" s="34" t="n">
        <f aca="false">SUMIFS(Calculo!$F$26:$ES$26,Calculo!$F$6:$ES$6,4)</f>
        <v>0</v>
      </c>
      <c r="H101" s="34" t="n">
        <f aca="false">SUMIFS(Calculo!$F$26:$ES$26,Calculo!$F$6:$ES$6,5)</f>
        <v>0</v>
      </c>
      <c r="I101" s="34" t="n">
        <f aca="false">SUMIFS(Calculo!$F$26:$ES$26,Calculo!$F$6:$ES$6,6)</f>
        <v>0</v>
      </c>
      <c r="J101" s="34" t="n">
        <f aca="false">SUMIFS(Calculo!$F$26:$ES$26,Calculo!$F$6:$ES$6,7)</f>
        <v>0</v>
      </c>
      <c r="K101" s="34" t="n">
        <f aca="false">SUMIFS(Calculo!$F$26:$ES$26,Calculo!$F$6:$ES$6,8)</f>
        <v>0</v>
      </c>
      <c r="L101" s="34" t="n">
        <f aca="false">SUMIFS(Calculo!$F$26:$ES$26,Calculo!$F$6:$ES$6,9)</f>
        <v>0</v>
      </c>
      <c r="M101" s="34" t="n">
        <f aca="false">SUMIFS(Calculo!$F$26:$ES$26,Calculo!$F$6:$ES$6,10)</f>
        <v>0</v>
      </c>
      <c r="N101" s="34" t="n">
        <f aca="false">SUMIFS(Calculo!$F$26:$ES$26,Calculo!$F$6:$ES$6,11)</f>
        <v>0</v>
      </c>
      <c r="O101" s="34" t="n">
        <f aca="false">SUMIFS(Calculo!$F$26:$ES$26,Calculo!$F$6:$ES$6,12)</f>
        <v>0</v>
      </c>
    </row>
    <row r="102" customFormat="false" ht="15" hidden="false" customHeight="false" outlineLevel="0" collapsed="false">
      <c r="A102" s="2" t="s">
        <v>839</v>
      </c>
      <c r="B102" s="6" t="str">
        <f aca="false">IF(INDEX(Prod_Nombre,7)="","Producto 7",INDEX(Prod_Nombre,7))</f>
        <v>Producto 7</v>
      </c>
      <c r="C102" s="40" t="n">
        <f aca="false">SUM(D102:O102)</f>
        <v>0</v>
      </c>
      <c r="D102" s="34" t="n">
        <f aca="false">SUMIFS(Calculo!$F$27:$ES$27,Calculo!$F$6:$ES$6,1)</f>
        <v>0</v>
      </c>
      <c r="E102" s="34" t="n">
        <f aca="false">SUMIFS(Calculo!$F$27:$ES$27,Calculo!$F$6:$ES$6,2)</f>
        <v>0</v>
      </c>
      <c r="F102" s="34" t="n">
        <f aca="false">SUMIFS(Calculo!$F$27:$ES$27,Calculo!$F$6:$ES$6,3)</f>
        <v>0</v>
      </c>
      <c r="G102" s="34" t="n">
        <f aca="false">SUMIFS(Calculo!$F$27:$ES$27,Calculo!$F$6:$ES$6,4)</f>
        <v>0</v>
      </c>
      <c r="H102" s="34" t="n">
        <f aca="false">SUMIFS(Calculo!$F$27:$ES$27,Calculo!$F$6:$ES$6,5)</f>
        <v>0</v>
      </c>
      <c r="I102" s="34" t="n">
        <f aca="false">SUMIFS(Calculo!$F$27:$ES$27,Calculo!$F$6:$ES$6,6)</f>
        <v>0</v>
      </c>
      <c r="J102" s="34" t="n">
        <f aca="false">SUMIFS(Calculo!$F$27:$ES$27,Calculo!$F$6:$ES$6,7)</f>
        <v>0</v>
      </c>
      <c r="K102" s="34" t="n">
        <f aca="false">SUMIFS(Calculo!$F$27:$ES$27,Calculo!$F$6:$ES$6,8)</f>
        <v>0</v>
      </c>
      <c r="L102" s="34" t="n">
        <f aca="false">SUMIFS(Calculo!$F$27:$ES$27,Calculo!$F$6:$ES$6,9)</f>
        <v>0</v>
      </c>
      <c r="M102" s="34" t="n">
        <f aca="false">SUMIFS(Calculo!$F$27:$ES$27,Calculo!$F$6:$ES$6,10)</f>
        <v>0</v>
      </c>
      <c r="N102" s="34" t="n">
        <f aca="false">SUMIFS(Calculo!$F$27:$ES$27,Calculo!$F$6:$ES$6,11)</f>
        <v>0</v>
      </c>
      <c r="O102" s="34" t="n">
        <f aca="false">SUMIFS(Calculo!$F$27:$ES$27,Calculo!$F$6:$ES$6,12)</f>
        <v>0</v>
      </c>
    </row>
    <row r="103" customFormat="false" ht="15" hidden="false" customHeight="false" outlineLevel="0" collapsed="false">
      <c r="A103" s="2" t="s">
        <v>840</v>
      </c>
      <c r="B103" s="6" t="str">
        <f aca="false">IF(INDEX(Prod_Nombre,8)="","Producto 8",INDEX(Prod_Nombre,8))</f>
        <v>Producto 8</v>
      </c>
      <c r="C103" s="40" t="n">
        <f aca="false">SUM(D103:O103)</f>
        <v>0</v>
      </c>
      <c r="D103" s="34" t="n">
        <f aca="false">SUMIFS(Calculo!$F$28:$ES$28,Calculo!$F$6:$ES$6,1)</f>
        <v>0</v>
      </c>
      <c r="E103" s="34" t="n">
        <f aca="false">SUMIFS(Calculo!$F$28:$ES$28,Calculo!$F$6:$ES$6,2)</f>
        <v>0</v>
      </c>
      <c r="F103" s="34" t="n">
        <f aca="false">SUMIFS(Calculo!$F$28:$ES$28,Calculo!$F$6:$ES$6,3)</f>
        <v>0</v>
      </c>
      <c r="G103" s="34" t="n">
        <f aca="false">SUMIFS(Calculo!$F$28:$ES$28,Calculo!$F$6:$ES$6,4)</f>
        <v>0</v>
      </c>
      <c r="H103" s="34" t="n">
        <f aca="false">SUMIFS(Calculo!$F$28:$ES$28,Calculo!$F$6:$ES$6,5)</f>
        <v>0</v>
      </c>
      <c r="I103" s="34" t="n">
        <f aca="false">SUMIFS(Calculo!$F$28:$ES$28,Calculo!$F$6:$ES$6,6)</f>
        <v>0</v>
      </c>
      <c r="J103" s="34" t="n">
        <f aca="false">SUMIFS(Calculo!$F$28:$ES$28,Calculo!$F$6:$ES$6,7)</f>
        <v>0</v>
      </c>
      <c r="K103" s="34" t="n">
        <f aca="false">SUMIFS(Calculo!$F$28:$ES$28,Calculo!$F$6:$ES$6,8)</f>
        <v>0</v>
      </c>
      <c r="L103" s="34" t="n">
        <f aca="false">SUMIFS(Calculo!$F$28:$ES$28,Calculo!$F$6:$ES$6,9)</f>
        <v>0</v>
      </c>
      <c r="M103" s="34" t="n">
        <f aca="false">SUMIFS(Calculo!$F$28:$ES$28,Calculo!$F$6:$ES$6,10)</f>
        <v>0</v>
      </c>
      <c r="N103" s="34" t="n">
        <f aca="false">SUMIFS(Calculo!$F$28:$ES$28,Calculo!$F$6:$ES$6,11)</f>
        <v>0</v>
      </c>
      <c r="O103" s="34" t="n">
        <f aca="false">SUMIFS(Calculo!$F$28:$ES$28,Calculo!$F$6:$ES$6,12)</f>
        <v>0</v>
      </c>
    </row>
    <row r="104" customFormat="false" ht="15" hidden="false" customHeight="false" outlineLevel="0" collapsed="false">
      <c r="A104" s="2" t="s">
        <v>841</v>
      </c>
      <c r="B104" s="6" t="str">
        <f aca="false">IF(INDEX(Prod_Nombre,9)="","Producto 9",INDEX(Prod_Nombre,9))</f>
        <v>Producto 9</v>
      </c>
      <c r="C104" s="40" t="n">
        <f aca="false">SUM(D104:O104)</f>
        <v>0</v>
      </c>
      <c r="D104" s="34" t="n">
        <f aca="false">SUMIFS(Calculo!$F$29:$ES$29,Calculo!$F$6:$ES$6,1)</f>
        <v>0</v>
      </c>
      <c r="E104" s="34" t="n">
        <f aca="false">SUMIFS(Calculo!$F$29:$ES$29,Calculo!$F$6:$ES$6,2)</f>
        <v>0</v>
      </c>
      <c r="F104" s="34" t="n">
        <f aca="false">SUMIFS(Calculo!$F$29:$ES$29,Calculo!$F$6:$ES$6,3)</f>
        <v>0</v>
      </c>
      <c r="G104" s="34" t="n">
        <f aca="false">SUMIFS(Calculo!$F$29:$ES$29,Calculo!$F$6:$ES$6,4)</f>
        <v>0</v>
      </c>
      <c r="H104" s="34" t="n">
        <f aca="false">SUMIFS(Calculo!$F$29:$ES$29,Calculo!$F$6:$ES$6,5)</f>
        <v>0</v>
      </c>
      <c r="I104" s="34" t="n">
        <f aca="false">SUMIFS(Calculo!$F$29:$ES$29,Calculo!$F$6:$ES$6,6)</f>
        <v>0</v>
      </c>
      <c r="J104" s="34" t="n">
        <f aca="false">SUMIFS(Calculo!$F$29:$ES$29,Calculo!$F$6:$ES$6,7)</f>
        <v>0</v>
      </c>
      <c r="K104" s="34" t="n">
        <f aca="false">SUMIFS(Calculo!$F$29:$ES$29,Calculo!$F$6:$ES$6,8)</f>
        <v>0</v>
      </c>
      <c r="L104" s="34" t="n">
        <f aca="false">SUMIFS(Calculo!$F$29:$ES$29,Calculo!$F$6:$ES$6,9)</f>
        <v>0</v>
      </c>
      <c r="M104" s="34" t="n">
        <f aca="false">SUMIFS(Calculo!$F$29:$ES$29,Calculo!$F$6:$ES$6,10)</f>
        <v>0</v>
      </c>
      <c r="N104" s="34" t="n">
        <f aca="false">SUMIFS(Calculo!$F$29:$ES$29,Calculo!$F$6:$ES$6,11)</f>
        <v>0</v>
      </c>
      <c r="O104" s="34" t="n">
        <f aca="false">SUMIFS(Calculo!$F$29:$ES$29,Calculo!$F$6:$ES$6,12)</f>
        <v>0</v>
      </c>
    </row>
    <row r="105" customFormat="false" ht="15" hidden="false" customHeight="false" outlineLevel="0" collapsed="false">
      <c r="A105" s="2" t="s">
        <v>842</v>
      </c>
      <c r="B105" s="6" t="str">
        <f aca="false">IF(INDEX(Prod_Nombre,10)="","Producto 10",INDEX(Prod_Nombre,10))</f>
        <v>Producto 10</v>
      </c>
      <c r="C105" s="40" t="n">
        <f aca="false">SUM(D105:O105)</f>
        <v>0</v>
      </c>
      <c r="D105" s="34" t="n">
        <f aca="false">SUMIFS(Calculo!$F$30:$ES$30,Calculo!$F$6:$ES$6,1)</f>
        <v>0</v>
      </c>
      <c r="E105" s="34" t="n">
        <f aca="false">SUMIFS(Calculo!$F$30:$ES$30,Calculo!$F$6:$ES$6,2)</f>
        <v>0</v>
      </c>
      <c r="F105" s="34" t="n">
        <f aca="false">SUMIFS(Calculo!$F$30:$ES$30,Calculo!$F$6:$ES$6,3)</f>
        <v>0</v>
      </c>
      <c r="G105" s="34" t="n">
        <f aca="false">SUMIFS(Calculo!$F$30:$ES$30,Calculo!$F$6:$ES$6,4)</f>
        <v>0</v>
      </c>
      <c r="H105" s="34" t="n">
        <f aca="false">SUMIFS(Calculo!$F$30:$ES$30,Calculo!$F$6:$ES$6,5)</f>
        <v>0</v>
      </c>
      <c r="I105" s="34" t="n">
        <f aca="false">SUMIFS(Calculo!$F$30:$ES$30,Calculo!$F$6:$ES$6,6)</f>
        <v>0</v>
      </c>
      <c r="J105" s="34" t="n">
        <f aca="false">SUMIFS(Calculo!$F$30:$ES$30,Calculo!$F$6:$ES$6,7)</f>
        <v>0</v>
      </c>
      <c r="K105" s="34" t="n">
        <f aca="false">SUMIFS(Calculo!$F$30:$ES$30,Calculo!$F$6:$ES$6,8)</f>
        <v>0</v>
      </c>
      <c r="L105" s="34" t="n">
        <f aca="false">SUMIFS(Calculo!$F$30:$ES$30,Calculo!$F$6:$ES$6,9)</f>
        <v>0</v>
      </c>
      <c r="M105" s="34" t="n">
        <f aca="false">SUMIFS(Calculo!$F$30:$ES$30,Calculo!$F$6:$ES$6,10)</f>
        <v>0</v>
      </c>
      <c r="N105" s="34" t="n">
        <f aca="false">SUMIFS(Calculo!$F$30:$ES$30,Calculo!$F$6:$ES$6,11)</f>
        <v>0</v>
      </c>
      <c r="O105" s="34" t="n">
        <f aca="false">SUMIFS(Calculo!$F$30:$ES$30,Calculo!$F$6:$ES$6,12)</f>
        <v>0</v>
      </c>
    </row>
    <row r="106" customFormat="false" ht="15" hidden="false" customHeight="false" outlineLevel="0" collapsed="false">
      <c r="A106" s="2" t="s">
        <v>843</v>
      </c>
      <c r="B106" s="6" t="str">
        <f aca="false">IF(INDEX(Prod_Nombre,11)="","Producto 11",INDEX(Prod_Nombre,11))</f>
        <v>Producto 11</v>
      </c>
      <c r="C106" s="40" t="n">
        <f aca="false">SUM(D106:O106)</f>
        <v>0</v>
      </c>
      <c r="D106" s="34" t="n">
        <f aca="false">SUMIFS(Calculo!$F$31:$ES$31,Calculo!$F$6:$ES$6,1)</f>
        <v>0</v>
      </c>
      <c r="E106" s="34" t="n">
        <f aca="false">SUMIFS(Calculo!$F$31:$ES$31,Calculo!$F$6:$ES$6,2)</f>
        <v>0</v>
      </c>
      <c r="F106" s="34" t="n">
        <f aca="false">SUMIFS(Calculo!$F$31:$ES$31,Calculo!$F$6:$ES$6,3)</f>
        <v>0</v>
      </c>
      <c r="G106" s="34" t="n">
        <f aca="false">SUMIFS(Calculo!$F$31:$ES$31,Calculo!$F$6:$ES$6,4)</f>
        <v>0</v>
      </c>
      <c r="H106" s="34" t="n">
        <f aca="false">SUMIFS(Calculo!$F$31:$ES$31,Calculo!$F$6:$ES$6,5)</f>
        <v>0</v>
      </c>
      <c r="I106" s="34" t="n">
        <f aca="false">SUMIFS(Calculo!$F$31:$ES$31,Calculo!$F$6:$ES$6,6)</f>
        <v>0</v>
      </c>
      <c r="J106" s="34" t="n">
        <f aca="false">SUMIFS(Calculo!$F$31:$ES$31,Calculo!$F$6:$ES$6,7)</f>
        <v>0</v>
      </c>
      <c r="K106" s="34" t="n">
        <f aca="false">SUMIFS(Calculo!$F$31:$ES$31,Calculo!$F$6:$ES$6,8)</f>
        <v>0</v>
      </c>
      <c r="L106" s="34" t="n">
        <f aca="false">SUMIFS(Calculo!$F$31:$ES$31,Calculo!$F$6:$ES$6,9)</f>
        <v>0</v>
      </c>
      <c r="M106" s="34" t="n">
        <f aca="false">SUMIFS(Calculo!$F$31:$ES$31,Calculo!$F$6:$ES$6,10)</f>
        <v>0</v>
      </c>
      <c r="N106" s="34" t="n">
        <f aca="false">SUMIFS(Calculo!$F$31:$ES$31,Calculo!$F$6:$ES$6,11)</f>
        <v>0</v>
      </c>
      <c r="O106" s="34" t="n">
        <f aca="false">SUMIFS(Calculo!$F$31:$ES$31,Calculo!$F$6:$ES$6,12)</f>
        <v>0</v>
      </c>
    </row>
    <row r="107" customFormat="false" ht="15" hidden="false" customHeight="false" outlineLevel="0" collapsed="false">
      <c r="A107" s="2" t="s">
        <v>844</v>
      </c>
      <c r="B107" s="6" t="str">
        <f aca="false">IF(INDEX(Prod_Nombre,12)="","Producto 12",INDEX(Prod_Nombre,12))</f>
        <v>Producto 12</v>
      </c>
      <c r="C107" s="40" t="n">
        <f aca="false">SUM(D107:O107)</f>
        <v>0</v>
      </c>
      <c r="D107" s="34" t="n">
        <f aca="false">SUMIFS(Calculo!$F$32:$ES$32,Calculo!$F$6:$ES$6,1)</f>
        <v>0</v>
      </c>
      <c r="E107" s="34" t="n">
        <f aca="false">SUMIFS(Calculo!$F$32:$ES$32,Calculo!$F$6:$ES$6,2)</f>
        <v>0</v>
      </c>
      <c r="F107" s="34" t="n">
        <f aca="false">SUMIFS(Calculo!$F$32:$ES$32,Calculo!$F$6:$ES$6,3)</f>
        <v>0</v>
      </c>
      <c r="G107" s="34" t="n">
        <f aca="false">SUMIFS(Calculo!$F$32:$ES$32,Calculo!$F$6:$ES$6,4)</f>
        <v>0</v>
      </c>
      <c r="H107" s="34" t="n">
        <f aca="false">SUMIFS(Calculo!$F$32:$ES$32,Calculo!$F$6:$ES$6,5)</f>
        <v>0</v>
      </c>
      <c r="I107" s="34" t="n">
        <f aca="false">SUMIFS(Calculo!$F$32:$ES$32,Calculo!$F$6:$ES$6,6)</f>
        <v>0</v>
      </c>
      <c r="J107" s="34" t="n">
        <f aca="false">SUMIFS(Calculo!$F$32:$ES$32,Calculo!$F$6:$ES$6,7)</f>
        <v>0</v>
      </c>
      <c r="K107" s="34" t="n">
        <f aca="false">SUMIFS(Calculo!$F$32:$ES$32,Calculo!$F$6:$ES$6,8)</f>
        <v>0</v>
      </c>
      <c r="L107" s="34" t="n">
        <f aca="false">SUMIFS(Calculo!$F$32:$ES$32,Calculo!$F$6:$ES$6,9)</f>
        <v>0</v>
      </c>
      <c r="M107" s="34" t="n">
        <f aca="false">SUMIFS(Calculo!$F$32:$ES$32,Calculo!$F$6:$ES$6,10)</f>
        <v>0</v>
      </c>
      <c r="N107" s="34" t="n">
        <f aca="false">SUMIFS(Calculo!$F$32:$ES$32,Calculo!$F$6:$ES$6,11)</f>
        <v>0</v>
      </c>
      <c r="O107" s="34" t="n">
        <f aca="false">SUMIFS(Calculo!$F$32:$ES$32,Calculo!$F$6:$ES$6,12)</f>
        <v>0</v>
      </c>
    </row>
    <row r="109" customFormat="false" ht="15" hidden="false" customHeight="false" outlineLevel="0" collapsed="false">
      <c r="A109" s="3" t="s">
        <v>845</v>
      </c>
      <c r="B109" s="4"/>
      <c r="C109" s="4"/>
      <c r="D109" s="4"/>
      <c r="E109" s="4"/>
      <c r="F109" s="4"/>
      <c r="G109" s="4"/>
      <c r="H109" s="4"/>
      <c r="I109" s="4"/>
      <c r="J109" s="4"/>
      <c r="K109" s="4"/>
      <c r="L109" s="4"/>
      <c r="M109" s="4"/>
      <c r="N109" s="4"/>
      <c r="O109" s="4"/>
    </row>
    <row r="110" customFormat="false" ht="15" hidden="false" customHeight="false" outlineLevel="0" collapsed="false">
      <c r="A110" s="5"/>
      <c r="B110" s="5" t="s">
        <v>755</v>
      </c>
      <c r="C110" s="5" t="s">
        <v>247</v>
      </c>
      <c r="D110" s="5" t="s">
        <v>156</v>
      </c>
      <c r="E110" s="5" t="s">
        <v>157</v>
      </c>
      <c r="F110" s="5" t="s">
        <v>158</v>
      </c>
      <c r="G110" s="5" t="s">
        <v>159</v>
      </c>
      <c r="H110" s="5" t="s">
        <v>160</v>
      </c>
      <c r="I110" s="5" t="s">
        <v>161</v>
      </c>
      <c r="J110" s="5" t="s">
        <v>162</v>
      </c>
      <c r="K110" s="5" t="s">
        <v>163</v>
      </c>
      <c r="L110" s="5" t="s">
        <v>164</v>
      </c>
      <c r="M110" s="5" t="s">
        <v>165</v>
      </c>
      <c r="N110" s="5" t="s">
        <v>756</v>
      </c>
      <c r="O110" s="5" t="s">
        <v>757</v>
      </c>
    </row>
    <row r="111" customFormat="false" ht="15" hidden="false" customHeight="false" outlineLevel="0" collapsed="false">
      <c r="B111" s="2" t="s">
        <v>758</v>
      </c>
      <c r="D111" s="71" t="str">
        <f aca="false">IF(Corte&gt;=12,"Real",IF(Corte&gt;0,"Real+Proy.","Proyección"))</f>
        <v>Proyección</v>
      </c>
      <c r="E111" s="71" t="str">
        <f aca="false">IF(Corte&gt;=24,"Real",IF(Corte&gt;12,"Real+Proy.","Proyección"))</f>
        <v>Proyección</v>
      </c>
      <c r="F111" s="71" t="str">
        <f aca="false">IF(Corte&gt;=36,"Real",IF(Corte&gt;24,"Real+Proy.","Proyección"))</f>
        <v>Proyección</v>
      </c>
      <c r="G111" s="71" t="str">
        <f aca="false">IF(Corte&gt;=48,"Real",IF(Corte&gt;36,"Real+Proy.","Proyección"))</f>
        <v>Proyección</v>
      </c>
      <c r="H111" s="71" t="str">
        <f aca="false">IF(Corte&gt;=60,"Real",IF(Corte&gt;48,"Real+Proy.","Proyección"))</f>
        <v>Proyección</v>
      </c>
      <c r="I111" s="71" t="str">
        <f aca="false">IF(Corte&gt;=72,"Real",IF(Corte&gt;60,"Real+Proy.","Proyección"))</f>
        <v>Proyección</v>
      </c>
      <c r="J111" s="71" t="str">
        <f aca="false">IF(Corte&gt;=84,"Real",IF(Corte&gt;72,"Real+Proy.","Proyección"))</f>
        <v>Proyección</v>
      </c>
      <c r="K111" s="71" t="str">
        <f aca="false">IF(Corte&gt;=96,"Real",IF(Corte&gt;84,"Real+Proy.","Proyección"))</f>
        <v>Proyección</v>
      </c>
      <c r="L111" s="71" t="str">
        <f aca="false">IF(Corte&gt;=108,"Real",IF(Corte&gt;96,"Real+Proy.","Proyección"))</f>
        <v>Proyección</v>
      </c>
      <c r="M111" s="71" t="str">
        <f aca="false">IF(Corte&gt;=120,"Real",IF(Corte&gt;108,"Real+Proy.","Proyección"))</f>
        <v>Proyección</v>
      </c>
      <c r="N111" s="71" t="str">
        <f aca="false">IF(Corte&gt;=132,"Real",IF(Corte&gt;120,"Real+Proy.","Proyección"))</f>
        <v>Proyección</v>
      </c>
      <c r="O111" s="71" t="str">
        <f aca="false">IF(Corte&gt;=144,"Real",IF(Corte&gt;132,"Real+Proy.","Proyección"))</f>
        <v>Proyección</v>
      </c>
    </row>
    <row r="112" customFormat="false" ht="15" hidden="false" customHeight="false" outlineLevel="0" collapsed="false">
      <c r="B112" s="2" t="s">
        <v>759</v>
      </c>
      <c r="D112" s="72" t="str">
        <f aca="false">IF(n_Fecha1="","",YEAR(EOMONTH(n_Fecha1,0)))</f>
        <v/>
      </c>
      <c r="E112" s="72" t="str">
        <f aca="false">IF(n_Fecha1="","",YEAR(EOMONTH(n_Fecha1,12)))</f>
        <v/>
      </c>
      <c r="F112" s="72" t="str">
        <f aca="false">IF(n_Fecha1="","",YEAR(EOMONTH(n_Fecha1,24)))</f>
        <v/>
      </c>
      <c r="G112" s="72" t="str">
        <f aca="false">IF(n_Fecha1="","",YEAR(EOMONTH(n_Fecha1,36)))</f>
        <v/>
      </c>
      <c r="H112" s="72" t="str">
        <f aca="false">IF(n_Fecha1="","",YEAR(EOMONTH(n_Fecha1,48)))</f>
        <v/>
      </c>
      <c r="I112" s="72" t="str">
        <f aca="false">IF(n_Fecha1="","",YEAR(EOMONTH(n_Fecha1,60)))</f>
        <v/>
      </c>
      <c r="J112" s="72" t="str">
        <f aca="false">IF(n_Fecha1="","",YEAR(EOMONTH(n_Fecha1,72)))</f>
        <v/>
      </c>
      <c r="K112" s="72" t="str">
        <f aca="false">IF(n_Fecha1="","",YEAR(EOMONTH(n_Fecha1,84)))</f>
        <v/>
      </c>
      <c r="L112" s="72" t="str">
        <f aca="false">IF(n_Fecha1="","",YEAR(EOMONTH(n_Fecha1,96)))</f>
        <v/>
      </c>
      <c r="M112" s="72" t="str">
        <f aca="false">IF(n_Fecha1="","",YEAR(EOMONTH(n_Fecha1,108)))</f>
        <v/>
      </c>
      <c r="N112" s="72" t="str">
        <f aca="false">IF(n_Fecha1="","",YEAR(EOMONTH(n_Fecha1,120)))</f>
        <v/>
      </c>
      <c r="O112" s="72" t="str">
        <f aca="false">IF(n_Fecha1="","",YEAR(EOMONTH(n_Fecha1,132)))</f>
        <v/>
      </c>
    </row>
    <row r="113" customFormat="false" ht="15" hidden="false" customHeight="false" outlineLevel="0" collapsed="false">
      <c r="B113" s="6" t="s">
        <v>210</v>
      </c>
      <c r="C113" s="34" t="n">
        <f aca="false">C34-C81</f>
        <v>0</v>
      </c>
      <c r="D113" s="34" t="n">
        <f aca="false">D34-D81</f>
        <v>0</v>
      </c>
      <c r="E113" s="34" t="n">
        <f aca="false">E34-E81</f>
        <v>0</v>
      </c>
      <c r="F113" s="34" t="n">
        <f aca="false">F34-F81</f>
        <v>0</v>
      </c>
      <c r="G113" s="34" t="n">
        <f aca="false">G34-G81</f>
        <v>0</v>
      </c>
      <c r="H113" s="34" t="n">
        <f aca="false">H34-H81</f>
        <v>0</v>
      </c>
      <c r="I113" s="34" t="n">
        <f aca="false">I34-I81</f>
        <v>0</v>
      </c>
      <c r="J113" s="34" t="n">
        <f aca="false">J34-J81</f>
        <v>0</v>
      </c>
      <c r="K113" s="34" t="n">
        <f aca="false">K34-K81</f>
        <v>0</v>
      </c>
      <c r="L113" s="34" t="n">
        <f aca="false">L34-L81</f>
        <v>0</v>
      </c>
      <c r="M113" s="34" t="n">
        <f aca="false">M34-M81</f>
        <v>0</v>
      </c>
      <c r="N113" s="34" t="n">
        <f aca="false">N34-N81</f>
        <v>0</v>
      </c>
      <c r="O113" s="34" t="n">
        <f aca="false">O34-O81</f>
        <v>0</v>
      </c>
    </row>
    <row r="114" customFormat="false" ht="15" hidden="false" customHeight="false" outlineLevel="0" collapsed="false">
      <c r="B114" s="6" t="s">
        <v>213</v>
      </c>
      <c r="C114" s="34" t="n">
        <f aca="false">C44-C82</f>
        <v>0</v>
      </c>
      <c r="D114" s="34" t="n">
        <f aca="false">D44-D82</f>
        <v>0</v>
      </c>
      <c r="E114" s="34" t="n">
        <f aca="false">E44-E82</f>
        <v>0</v>
      </c>
      <c r="F114" s="34" t="n">
        <f aca="false">F44-F82</f>
        <v>0</v>
      </c>
      <c r="G114" s="34" t="n">
        <f aca="false">G44-G82</f>
        <v>0</v>
      </c>
      <c r="H114" s="34" t="n">
        <f aca="false">H44-H82</f>
        <v>0</v>
      </c>
      <c r="I114" s="34" t="n">
        <f aca="false">I44-I82</f>
        <v>0</v>
      </c>
      <c r="J114" s="34" t="n">
        <f aca="false">J44-J82</f>
        <v>0</v>
      </c>
      <c r="K114" s="34" t="n">
        <f aca="false">K44-K82</f>
        <v>0</v>
      </c>
      <c r="L114" s="34" t="n">
        <f aca="false">L44-L82</f>
        <v>0</v>
      </c>
      <c r="M114" s="34" t="n">
        <f aca="false">M44-M82</f>
        <v>0</v>
      </c>
      <c r="N114" s="34" t="n">
        <f aca="false">N44-N82</f>
        <v>0</v>
      </c>
      <c r="O114" s="34" t="n">
        <f aca="false">O44-O82</f>
        <v>0</v>
      </c>
    </row>
    <row r="115" customFormat="false" ht="15" hidden="false" customHeight="false" outlineLevel="0" collapsed="false">
      <c r="B115" s="6" t="s">
        <v>779</v>
      </c>
      <c r="C115" s="34" t="n">
        <f aca="false">C48-C83</f>
        <v>0</v>
      </c>
      <c r="D115" s="34" t="n">
        <f aca="false">D48-D83</f>
        <v>0</v>
      </c>
      <c r="E115" s="34" t="n">
        <f aca="false">E48-E83</f>
        <v>0</v>
      </c>
      <c r="F115" s="34" t="n">
        <f aca="false">F48-F83</f>
        <v>0</v>
      </c>
      <c r="G115" s="34" t="n">
        <f aca="false">G48-G83</f>
        <v>0</v>
      </c>
      <c r="H115" s="34" t="n">
        <f aca="false">H48-H83</f>
        <v>0</v>
      </c>
      <c r="I115" s="34" t="n">
        <f aca="false">I48-I83</f>
        <v>0</v>
      </c>
      <c r="J115" s="34" t="n">
        <f aca="false">J48-J83</f>
        <v>0</v>
      </c>
      <c r="K115" s="34" t="n">
        <f aca="false">K48-K83</f>
        <v>0</v>
      </c>
      <c r="L115" s="34" t="n">
        <f aca="false">L48-L83</f>
        <v>0</v>
      </c>
      <c r="M115" s="34" t="n">
        <f aca="false">M48-M83</f>
        <v>0</v>
      </c>
      <c r="N115" s="34" t="n">
        <f aca="false">N48-N83</f>
        <v>0</v>
      </c>
      <c r="O115" s="34" t="n">
        <f aca="false">O48-O83</f>
        <v>0</v>
      </c>
    </row>
    <row r="116" customFormat="false" ht="15" hidden="false" customHeight="false" outlineLevel="0" collapsed="false">
      <c r="B116" s="6" t="s">
        <v>379</v>
      </c>
      <c r="C116" s="34" t="n">
        <f aca="false">C50-C85</f>
        <v>0</v>
      </c>
      <c r="D116" s="34" t="n">
        <f aca="false">D50-D85</f>
        <v>0</v>
      </c>
      <c r="E116" s="34" t="n">
        <f aca="false">E50-E85</f>
        <v>0</v>
      </c>
      <c r="F116" s="34" t="n">
        <f aca="false">F50-F85</f>
        <v>0</v>
      </c>
      <c r="G116" s="34" t="n">
        <f aca="false">G50-G85</f>
        <v>0</v>
      </c>
      <c r="H116" s="34" t="n">
        <f aca="false">H50-H85</f>
        <v>0</v>
      </c>
      <c r="I116" s="34" t="n">
        <f aca="false">I50-I85</f>
        <v>0</v>
      </c>
      <c r="J116" s="34" t="n">
        <f aca="false">J50-J85</f>
        <v>0</v>
      </c>
      <c r="K116" s="34" t="n">
        <f aca="false">K50-K85</f>
        <v>0</v>
      </c>
      <c r="L116" s="34" t="n">
        <f aca="false">L50-L85</f>
        <v>0</v>
      </c>
      <c r="M116" s="34" t="n">
        <f aca="false">M50-M85</f>
        <v>0</v>
      </c>
      <c r="N116" s="34" t="n">
        <f aca="false">N50-N85</f>
        <v>0</v>
      </c>
      <c r="O116" s="34" t="n">
        <f aca="false">O50-O85</f>
        <v>0</v>
      </c>
    </row>
    <row r="117" customFormat="false" ht="15" hidden="false" customHeight="false" outlineLevel="0" collapsed="false">
      <c r="B117" s="6" t="s">
        <v>846</v>
      </c>
      <c r="C117" s="34" t="n">
        <f aca="false">C51-C86</f>
        <v>0</v>
      </c>
      <c r="D117" s="34" t="n">
        <f aca="false">D51-D86</f>
        <v>0</v>
      </c>
      <c r="E117" s="34" t="n">
        <f aca="false">E51-E86</f>
        <v>0</v>
      </c>
      <c r="F117" s="34" t="n">
        <f aca="false">F51-F86</f>
        <v>0</v>
      </c>
      <c r="G117" s="34" t="n">
        <f aca="false">G51-G86</f>
        <v>0</v>
      </c>
      <c r="H117" s="34" t="n">
        <f aca="false">H51-H86</f>
        <v>0</v>
      </c>
      <c r="I117" s="34" t="n">
        <f aca="false">I51-I86</f>
        <v>0</v>
      </c>
      <c r="J117" s="34" t="n">
        <f aca="false">J51-J86</f>
        <v>0</v>
      </c>
      <c r="K117" s="34" t="n">
        <f aca="false">K51-K86</f>
        <v>0</v>
      </c>
      <c r="L117" s="34" t="n">
        <f aca="false">L51-L86</f>
        <v>0</v>
      </c>
      <c r="M117" s="34" t="n">
        <f aca="false">M51-M86</f>
        <v>0</v>
      </c>
      <c r="N117" s="34" t="n">
        <f aca="false">N51-N86</f>
        <v>0</v>
      </c>
      <c r="O117" s="34" t="n">
        <f aca="false">O51-O86</f>
        <v>0</v>
      </c>
    </row>
    <row r="118" customFormat="false" ht="15" hidden="false" customHeight="false" outlineLevel="0" collapsed="false">
      <c r="B118" s="6" t="s">
        <v>791</v>
      </c>
      <c r="C118" s="34" t="n">
        <f aca="false">C56-C90</f>
        <v>0</v>
      </c>
      <c r="D118" s="34" t="n">
        <f aca="false">D56-D90</f>
        <v>0</v>
      </c>
      <c r="E118" s="34" t="n">
        <f aca="false">E56-E90</f>
        <v>0</v>
      </c>
      <c r="F118" s="34" t="n">
        <f aca="false">F56-F90</f>
        <v>0</v>
      </c>
      <c r="G118" s="34" t="n">
        <f aca="false">G56-G90</f>
        <v>0</v>
      </c>
      <c r="H118" s="34" t="n">
        <f aca="false">H56-H90</f>
        <v>0</v>
      </c>
      <c r="I118" s="34" t="n">
        <f aca="false">I56-I90</f>
        <v>0</v>
      </c>
      <c r="J118" s="34" t="n">
        <f aca="false">J56-J90</f>
        <v>0</v>
      </c>
      <c r="K118" s="34" t="n">
        <f aca="false">K56-K90</f>
        <v>0</v>
      </c>
      <c r="L118" s="34" t="n">
        <f aca="false">L56-L90</f>
        <v>0</v>
      </c>
      <c r="M118" s="34" t="n">
        <f aca="false">M56-M90</f>
        <v>0</v>
      </c>
      <c r="N118" s="34" t="n">
        <f aca="false">N56-N90</f>
        <v>0</v>
      </c>
      <c r="O118" s="34" t="n">
        <f aca="false">O56-O90</f>
        <v>0</v>
      </c>
    </row>
    <row r="119" customFormat="false" ht="15" hidden="false" customHeight="false" outlineLevel="0" collapsed="false">
      <c r="B119" s="6" t="s">
        <v>847</v>
      </c>
      <c r="C119" s="34" t="n">
        <f aca="false">SUM(C64:C75)-SUM(C96:C107)</f>
        <v>0</v>
      </c>
      <c r="D119" s="34" t="n">
        <f aca="false">SUM(D64:D75)-SUM(D96:D107)</f>
        <v>0</v>
      </c>
      <c r="E119" s="34" t="n">
        <f aca="false">SUM(E64:E75)-SUM(E96:E107)</f>
        <v>0</v>
      </c>
      <c r="F119" s="34" t="n">
        <f aca="false">SUM(F64:F75)-SUM(F96:F107)</f>
        <v>0</v>
      </c>
      <c r="G119" s="34" t="n">
        <f aca="false">SUM(G64:G75)-SUM(G96:G107)</f>
        <v>0</v>
      </c>
      <c r="H119" s="34" t="n">
        <f aca="false">SUM(H64:H75)-SUM(H96:H107)</f>
        <v>0</v>
      </c>
      <c r="I119" s="34" t="n">
        <f aca="false">SUM(I64:I75)-SUM(I96:I107)</f>
        <v>0</v>
      </c>
      <c r="J119" s="34" t="n">
        <f aca="false">SUM(J64:J75)-SUM(J96:J107)</f>
        <v>0</v>
      </c>
      <c r="K119" s="34" t="n">
        <f aca="false">SUM(K64:K75)-SUM(K96:K107)</f>
        <v>0</v>
      </c>
      <c r="L119" s="34" t="n">
        <f aca="false">SUM(L64:L75)-SUM(L96:L107)</f>
        <v>0</v>
      </c>
      <c r="M119" s="34" t="n">
        <f aca="false">SUM(M64:M75)-SUM(M96:M107)</f>
        <v>0</v>
      </c>
      <c r="N119" s="34" t="n">
        <f aca="false">SUM(N64:N75)-SUM(N96:N107)</f>
        <v>0</v>
      </c>
      <c r="O119" s="34" t="n">
        <f aca="false">SUM(O64:O75)-SUM(O96:O107)</f>
        <v>0</v>
      </c>
    </row>
    <row r="120" customFormat="false" ht="15" hidden="false" customHeight="false" outlineLevel="0" collapsed="false">
      <c r="B120" s="6" t="s">
        <v>848</v>
      </c>
      <c r="C120" s="35" t="str">
        <f aca="false">IF(C81=0,"",C113/C81)</f>
        <v/>
      </c>
      <c r="D120" s="35" t="str">
        <f aca="false">IF(D81=0,"",D113/D81)</f>
        <v/>
      </c>
      <c r="E120" s="35" t="str">
        <f aca="false">IF(E81=0,"",E113/E81)</f>
        <v/>
      </c>
      <c r="F120" s="35" t="str">
        <f aca="false">IF(F81=0,"",F113/F81)</f>
        <v/>
      </c>
      <c r="G120" s="35" t="str">
        <f aca="false">IF(G81=0,"",G113/G81)</f>
        <v/>
      </c>
      <c r="H120" s="35" t="str">
        <f aca="false">IF(H81=0,"",H113/H81)</f>
        <v/>
      </c>
      <c r="I120" s="35" t="str">
        <f aca="false">IF(I81=0,"",I113/I81)</f>
        <v/>
      </c>
      <c r="J120" s="35" t="str">
        <f aca="false">IF(J81=0,"",J113/J81)</f>
        <v/>
      </c>
      <c r="K120" s="35" t="str">
        <f aca="false">IF(K81=0,"",K113/K81)</f>
        <v/>
      </c>
      <c r="L120" s="35" t="str">
        <f aca="false">IF(L81=0,"",L113/L81)</f>
        <v/>
      </c>
      <c r="M120" s="35" t="str">
        <f aca="false">IF(M81=0,"",M113/M81)</f>
        <v/>
      </c>
      <c r="N120" s="35" t="str">
        <f aca="false">IF(N81=0,"",N113/N81)</f>
        <v/>
      </c>
      <c r="O120" s="35" t="str">
        <f aca="false">IF(O81=0,"",O113/O81)</f>
        <v/>
      </c>
    </row>
    <row r="122" customFormat="false" ht="15" hidden="false" customHeight="false" outlineLevel="0" collapsed="false">
      <c r="A122" s="3" t="s">
        <v>849</v>
      </c>
      <c r="B122" s="4"/>
      <c r="C122" s="4"/>
      <c r="D122" s="4"/>
      <c r="E122" s="4"/>
      <c r="F122" s="4"/>
      <c r="G122" s="4"/>
      <c r="H122" s="4"/>
      <c r="I122" s="4"/>
      <c r="J122" s="4"/>
      <c r="K122" s="4"/>
      <c r="L122" s="4"/>
      <c r="M122" s="4"/>
      <c r="N122" s="4"/>
      <c r="O122" s="4"/>
    </row>
    <row r="123" customFormat="false" ht="15" hidden="false" customHeight="false" outlineLevel="0" collapsed="false">
      <c r="A123" s="5"/>
      <c r="B123" s="5" t="s">
        <v>755</v>
      </c>
      <c r="C123" s="5" t="s">
        <v>247</v>
      </c>
      <c r="D123" s="5" t="s">
        <v>156</v>
      </c>
      <c r="E123" s="5" t="s">
        <v>157</v>
      </c>
      <c r="F123" s="5" t="s">
        <v>158</v>
      </c>
      <c r="G123" s="5" t="s">
        <v>159</v>
      </c>
      <c r="H123" s="5" t="s">
        <v>160</v>
      </c>
      <c r="I123" s="5" t="s">
        <v>161</v>
      </c>
      <c r="J123" s="5" t="s">
        <v>162</v>
      </c>
      <c r="K123" s="5" t="s">
        <v>163</v>
      </c>
      <c r="L123" s="5" t="s">
        <v>164</v>
      </c>
      <c r="M123" s="5" t="s">
        <v>165</v>
      </c>
      <c r="N123" s="5" t="s">
        <v>756</v>
      </c>
      <c r="O123" s="5" t="s">
        <v>757</v>
      </c>
    </row>
    <row r="124" customFormat="false" ht="15" hidden="false" customHeight="false" outlineLevel="0" collapsed="false">
      <c r="B124" s="2" t="s">
        <v>758</v>
      </c>
      <c r="D124" s="71" t="str">
        <f aca="false">IF(Corte&gt;=12,"Real",IF(Corte&gt;0,"Real+Proy.","Proyección"))</f>
        <v>Proyección</v>
      </c>
      <c r="E124" s="71" t="str">
        <f aca="false">IF(Corte&gt;=24,"Real",IF(Corte&gt;12,"Real+Proy.","Proyección"))</f>
        <v>Proyección</v>
      </c>
      <c r="F124" s="71" t="str">
        <f aca="false">IF(Corte&gt;=36,"Real",IF(Corte&gt;24,"Real+Proy.","Proyección"))</f>
        <v>Proyección</v>
      </c>
      <c r="G124" s="71" t="str">
        <f aca="false">IF(Corte&gt;=48,"Real",IF(Corte&gt;36,"Real+Proy.","Proyección"))</f>
        <v>Proyección</v>
      </c>
      <c r="H124" s="71" t="str">
        <f aca="false">IF(Corte&gt;=60,"Real",IF(Corte&gt;48,"Real+Proy.","Proyección"))</f>
        <v>Proyección</v>
      </c>
      <c r="I124" s="71" t="str">
        <f aca="false">IF(Corte&gt;=72,"Real",IF(Corte&gt;60,"Real+Proy.","Proyección"))</f>
        <v>Proyección</v>
      </c>
      <c r="J124" s="71" t="str">
        <f aca="false">IF(Corte&gt;=84,"Real",IF(Corte&gt;72,"Real+Proy.","Proyección"))</f>
        <v>Proyección</v>
      </c>
      <c r="K124" s="71" t="str">
        <f aca="false">IF(Corte&gt;=96,"Real",IF(Corte&gt;84,"Real+Proy.","Proyección"))</f>
        <v>Proyección</v>
      </c>
      <c r="L124" s="71" t="str">
        <f aca="false">IF(Corte&gt;=108,"Real",IF(Corte&gt;96,"Real+Proy.","Proyección"))</f>
        <v>Proyección</v>
      </c>
      <c r="M124" s="71" t="str">
        <f aca="false">IF(Corte&gt;=120,"Real",IF(Corte&gt;108,"Real+Proy.","Proyección"))</f>
        <v>Proyección</v>
      </c>
      <c r="N124" s="71" t="str">
        <f aca="false">IF(Corte&gt;=132,"Real",IF(Corte&gt;120,"Real+Proy.","Proyección"))</f>
        <v>Proyección</v>
      </c>
      <c r="O124" s="71" t="str">
        <f aca="false">IF(Corte&gt;=144,"Real",IF(Corte&gt;132,"Real+Proy.","Proyección"))</f>
        <v>Proyección</v>
      </c>
    </row>
    <row r="125" customFormat="false" ht="15" hidden="false" customHeight="false" outlineLevel="0" collapsed="false">
      <c r="B125" s="2" t="s">
        <v>759</v>
      </c>
      <c r="D125" s="72" t="str">
        <f aca="false">IF(n_Fecha1="","",YEAR(EOMONTH(n_Fecha1,0)))</f>
        <v/>
      </c>
      <c r="E125" s="72" t="str">
        <f aca="false">IF(n_Fecha1="","",YEAR(EOMONTH(n_Fecha1,12)))</f>
        <v/>
      </c>
      <c r="F125" s="72" t="str">
        <f aca="false">IF(n_Fecha1="","",YEAR(EOMONTH(n_Fecha1,24)))</f>
        <v/>
      </c>
      <c r="G125" s="72" t="str">
        <f aca="false">IF(n_Fecha1="","",YEAR(EOMONTH(n_Fecha1,36)))</f>
        <v/>
      </c>
      <c r="H125" s="72" t="str">
        <f aca="false">IF(n_Fecha1="","",YEAR(EOMONTH(n_Fecha1,48)))</f>
        <v/>
      </c>
      <c r="I125" s="72" t="str">
        <f aca="false">IF(n_Fecha1="","",YEAR(EOMONTH(n_Fecha1,60)))</f>
        <v/>
      </c>
      <c r="J125" s="72" t="str">
        <f aca="false">IF(n_Fecha1="","",YEAR(EOMONTH(n_Fecha1,72)))</f>
        <v/>
      </c>
      <c r="K125" s="72" t="str">
        <f aca="false">IF(n_Fecha1="","",YEAR(EOMONTH(n_Fecha1,84)))</f>
        <v/>
      </c>
      <c r="L125" s="72" t="str">
        <f aca="false">IF(n_Fecha1="","",YEAR(EOMONTH(n_Fecha1,96)))</f>
        <v/>
      </c>
      <c r="M125" s="72" t="str">
        <f aca="false">IF(n_Fecha1="","",YEAR(EOMONTH(n_Fecha1,108)))</f>
        <v/>
      </c>
      <c r="N125" s="72" t="str">
        <f aca="false">IF(n_Fecha1="","",YEAR(EOMONTH(n_Fecha1,120)))</f>
        <v/>
      </c>
      <c r="O125" s="72" t="str">
        <f aca="false">IF(n_Fecha1="","",YEAR(EOMONTH(n_Fecha1,132)))</f>
        <v/>
      </c>
    </row>
    <row r="126" customFormat="false" ht="15" hidden="false" customHeight="false" outlineLevel="0" collapsed="false">
      <c r="B126" s="6" t="s">
        <v>211</v>
      </c>
      <c r="C126" s="40" t="n">
        <f aca="false">SUM(D126:M126)</f>
        <v>0</v>
      </c>
      <c r="D126" s="73" t="str">
        <f aca="false">IF(INDEX(pub_Ventas,1,1)="","",INDEX(pub_Ventas,1,1))</f>
        <v/>
      </c>
      <c r="E126" s="73" t="str">
        <f aca="false">IF(INDEX(pub_Ventas,1,2)="","",INDEX(pub_Ventas,1,2))</f>
        <v/>
      </c>
      <c r="F126" s="73" t="str">
        <f aca="false">IF(INDEX(pub_Ventas,1,3)="","",INDEX(pub_Ventas,1,3))</f>
        <v/>
      </c>
      <c r="G126" s="73" t="str">
        <f aca="false">IF(INDEX(pub_Ventas,1,4)="","",INDEX(pub_Ventas,1,4))</f>
        <v/>
      </c>
      <c r="H126" s="73" t="str">
        <f aca="false">IF(INDEX(pub_Ventas,1,5)="","",INDEX(pub_Ventas,1,5))</f>
        <v/>
      </c>
      <c r="I126" s="73" t="str">
        <f aca="false">IF(INDEX(pub_Ventas,1,6)="","",INDEX(pub_Ventas,1,6))</f>
        <v/>
      </c>
      <c r="J126" s="73" t="str">
        <f aca="false">IF(INDEX(pub_Ventas,1,7)="","",INDEX(pub_Ventas,1,7))</f>
        <v/>
      </c>
      <c r="K126" s="73" t="str">
        <f aca="false">IF(INDEX(pub_Ventas,1,8)="","",INDEX(pub_Ventas,1,8))</f>
        <v/>
      </c>
      <c r="L126" s="73" t="str">
        <f aca="false">IF(INDEX(pub_Ventas,1,9)="","",INDEX(pub_Ventas,1,9))</f>
        <v/>
      </c>
      <c r="M126" s="73" t="str">
        <f aca="false">IF(INDEX(pub_Ventas,1,10)="","",INDEX(pub_Ventas,1,10))</f>
        <v/>
      </c>
    </row>
    <row r="127" customFormat="false" ht="15" hidden="false" customHeight="false" outlineLevel="0" collapsed="false">
      <c r="B127" s="6" t="s">
        <v>850</v>
      </c>
      <c r="D127" s="34" t="str">
        <f aca="false">IF(D126="","",D81-D126)</f>
        <v/>
      </c>
      <c r="E127" s="34" t="str">
        <f aca="false">IF(E126="","",E81-E126)</f>
        <v/>
      </c>
      <c r="F127" s="34" t="str">
        <f aca="false">IF(F126="","",F81-F126)</f>
        <v/>
      </c>
      <c r="G127" s="34" t="str">
        <f aca="false">IF(G126="","",G81-G126)</f>
        <v/>
      </c>
      <c r="H127" s="34" t="str">
        <f aca="false">IF(H126="","",H81-H126)</f>
        <v/>
      </c>
      <c r="I127" s="34" t="str">
        <f aca="false">IF(I126="","",I81-I126)</f>
        <v/>
      </c>
      <c r="J127" s="34" t="str">
        <f aca="false">IF(J126="","",J81-J126)</f>
        <v/>
      </c>
      <c r="K127" s="34" t="str">
        <f aca="false">IF(K126="","",K81-K126)</f>
        <v/>
      </c>
      <c r="L127" s="34" t="str">
        <f aca="false">IF(L126="","",L81-L126)</f>
        <v/>
      </c>
      <c r="M127" s="34" t="str">
        <f aca="false">IF(M126="","",M81-M126)</f>
        <v/>
      </c>
    </row>
    <row r="128" customFormat="false" ht="15" hidden="false" customHeight="false" outlineLevel="0" collapsed="false">
      <c r="B128" s="6" t="s">
        <v>214</v>
      </c>
      <c r="C128" s="40" t="n">
        <f aca="false">SUM(D128:M128)</f>
        <v>0</v>
      </c>
      <c r="D128" s="73" t="str">
        <f aca="false">IF(INDEX(pub_EBITDA,1,1)="","",INDEX(pub_EBITDA,1,1))</f>
        <v/>
      </c>
      <c r="E128" s="73" t="str">
        <f aca="false">IF(INDEX(pub_EBITDA,1,2)="","",INDEX(pub_EBITDA,1,2))</f>
        <v/>
      </c>
      <c r="F128" s="73" t="str">
        <f aca="false">IF(INDEX(pub_EBITDA,1,3)="","",INDEX(pub_EBITDA,1,3))</f>
        <v/>
      </c>
      <c r="G128" s="73" t="str">
        <f aca="false">IF(INDEX(pub_EBITDA,1,4)="","",INDEX(pub_EBITDA,1,4))</f>
        <v/>
      </c>
      <c r="H128" s="73" t="str">
        <f aca="false">IF(INDEX(pub_EBITDA,1,5)="","",INDEX(pub_EBITDA,1,5))</f>
        <v/>
      </c>
      <c r="I128" s="73" t="str">
        <f aca="false">IF(INDEX(pub_EBITDA,1,6)="","",INDEX(pub_EBITDA,1,6))</f>
        <v/>
      </c>
      <c r="J128" s="73" t="str">
        <f aca="false">IF(INDEX(pub_EBITDA,1,7)="","",INDEX(pub_EBITDA,1,7))</f>
        <v/>
      </c>
      <c r="K128" s="73" t="str">
        <f aca="false">IF(INDEX(pub_EBITDA,1,8)="","",INDEX(pub_EBITDA,1,8))</f>
        <v/>
      </c>
      <c r="L128" s="73" t="str">
        <f aca="false">IF(INDEX(pub_EBITDA,1,9)="","",INDEX(pub_EBITDA,1,9))</f>
        <v/>
      </c>
      <c r="M128" s="73" t="str">
        <f aca="false">IF(INDEX(pub_EBITDA,1,10)="","",INDEX(pub_EBITDA,1,10))</f>
        <v/>
      </c>
    </row>
    <row r="129" customFormat="false" ht="15" hidden="false" customHeight="false" outlineLevel="0" collapsed="false">
      <c r="B129" s="6" t="s">
        <v>850</v>
      </c>
      <c r="D129" s="34" t="str">
        <f aca="false">IF(D128="","",D82-D128)</f>
        <v/>
      </c>
      <c r="E129" s="34" t="str">
        <f aca="false">IF(E128="","",E82-E128)</f>
        <v/>
      </c>
      <c r="F129" s="34" t="str">
        <f aca="false">IF(F128="","",F82-F128)</f>
        <v/>
      </c>
      <c r="G129" s="34" t="str">
        <f aca="false">IF(G128="","",G82-G128)</f>
        <v/>
      </c>
      <c r="H129" s="34" t="str">
        <f aca="false">IF(H128="","",H82-H128)</f>
        <v/>
      </c>
      <c r="I129" s="34" t="str">
        <f aca="false">IF(I128="","",I82-I128)</f>
        <v/>
      </c>
      <c r="J129" s="34" t="str">
        <f aca="false">IF(J128="","",J82-J128)</f>
        <v/>
      </c>
      <c r="K129" s="34" t="str">
        <f aca="false">IF(K128="","",K82-K128)</f>
        <v/>
      </c>
      <c r="L129" s="34" t="str">
        <f aca="false">IF(L128="","",L82-L128)</f>
        <v/>
      </c>
      <c r="M129" s="34" t="str">
        <f aca="false">IF(M128="","",M82-M128)</f>
        <v/>
      </c>
    </row>
    <row r="130" customFormat="false" ht="15" hidden="false" customHeight="false" outlineLevel="0" collapsed="false">
      <c r="B130" s="6" t="s">
        <v>216</v>
      </c>
      <c r="C130" s="40" t="n">
        <f aca="false">SUM(D130:M130)</f>
        <v>0</v>
      </c>
      <c r="D130" s="73" t="str">
        <f aca="false">IF(INDEX(pub_Utilidad,1,1)="","",INDEX(pub_Utilidad,1,1))</f>
        <v/>
      </c>
      <c r="E130" s="73" t="str">
        <f aca="false">IF(INDEX(pub_Utilidad,1,2)="","",INDEX(pub_Utilidad,1,2))</f>
        <v/>
      </c>
      <c r="F130" s="73" t="str">
        <f aca="false">IF(INDEX(pub_Utilidad,1,3)="","",INDEX(pub_Utilidad,1,3))</f>
        <v/>
      </c>
      <c r="G130" s="73" t="str">
        <f aca="false">IF(INDEX(pub_Utilidad,1,4)="","",INDEX(pub_Utilidad,1,4))</f>
        <v/>
      </c>
      <c r="H130" s="73" t="str">
        <f aca="false">IF(INDEX(pub_Utilidad,1,5)="","",INDEX(pub_Utilidad,1,5))</f>
        <v/>
      </c>
      <c r="I130" s="73" t="str">
        <f aca="false">IF(INDEX(pub_Utilidad,1,6)="","",INDEX(pub_Utilidad,1,6))</f>
        <v/>
      </c>
      <c r="J130" s="73" t="str">
        <f aca="false">IF(INDEX(pub_Utilidad,1,7)="","",INDEX(pub_Utilidad,1,7))</f>
        <v/>
      </c>
      <c r="K130" s="73" t="str">
        <f aca="false">IF(INDEX(pub_Utilidad,1,8)="","",INDEX(pub_Utilidad,1,8))</f>
        <v/>
      </c>
      <c r="L130" s="73" t="str">
        <f aca="false">IF(INDEX(pub_Utilidad,1,9)="","",INDEX(pub_Utilidad,1,9))</f>
        <v/>
      </c>
      <c r="M130" s="73" t="str">
        <f aca="false">IF(INDEX(pub_Utilidad,1,10)="","",INDEX(pub_Utilidad,1,10))</f>
        <v/>
      </c>
    </row>
    <row r="131" customFormat="false" ht="15" hidden="false" customHeight="false" outlineLevel="0" collapsed="false">
      <c r="B131" s="6" t="s">
        <v>850</v>
      </c>
      <c r="D131" s="34" t="str">
        <f aca="false">IF(D130="","",D83-D130)</f>
        <v/>
      </c>
      <c r="E131" s="34" t="str">
        <f aca="false">IF(E130="","",E83-E130)</f>
        <v/>
      </c>
      <c r="F131" s="34" t="str">
        <f aca="false">IF(F130="","",F83-F130)</f>
        <v/>
      </c>
      <c r="G131" s="34" t="str">
        <f aca="false">IF(G130="","",G83-G130)</f>
        <v/>
      </c>
      <c r="H131" s="34" t="str">
        <f aca="false">IF(H130="","",H83-H130)</f>
        <v/>
      </c>
      <c r="I131" s="34" t="str">
        <f aca="false">IF(I130="","",I83-I130)</f>
        <v/>
      </c>
      <c r="J131" s="34" t="str">
        <f aca="false">IF(J130="","",J83-J130)</f>
        <v/>
      </c>
      <c r="K131" s="34" t="str">
        <f aca="false">IF(K130="","",K83-K130)</f>
        <v/>
      </c>
      <c r="L131" s="34" t="str">
        <f aca="false">IF(L130="","",L83-L130)</f>
        <v/>
      </c>
      <c r="M131" s="34" t="str">
        <f aca="false">IF(M130="","",M83-M130)</f>
        <v/>
      </c>
    </row>
    <row r="134" customFormat="false" ht="15" hidden="false" customHeight="false" outlineLevel="0" collapsed="false">
      <c r="B134" s="2" t="s">
        <v>851</v>
      </c>
      <c r="D134" s="74" t="s">
        <v>156</v>
      </c>
      <c r="E134" s="74" t="s">
        <v>157</v>
      </c>
      <c r="F134" s="74" t="s">
        <v>158</v>
      </c>
      <c r="G134" s="74" t="s">
        <v>159</v>
      </c>
      <c r="H134" s="74" t="s">
        <v>160</v>
      </c>
      <c r="I134" s="74" t="s">
        <v>161</v>
      </c>
      <c r="J134" s="74" t="s">
        <v>162</v>
      </c>
      <c r="K134" s="74" t="s">
        <v>163</v>
      </c>
      <c r="L134" s="74" t="s">
        <v>164</v>
      </c>
      <c r="M134" s="74" t="s">
        <v>165</v>
      </c>
      <c r="N134" s="74" t="s">
        <v>756</v>
      </c>
      <c r="O134" s="74" t="s">
        <v>757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F2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70"/>
    <col collapsed="false" customWidth="true" hidden="false" outlineLevel="0" max="3" min="3" style="0" width="16"/>
    <col collapsed="false" customWidth="true" hidden="false" outlineLevel="0" max="4" min="4" style="0" width="14"/>
    <col collapsed="false" customWidth="true" hidden="false" outlineLevel="0" max="5" min="5" style="0" width="12"/>
    <col collapsed="false" customWidth="true" hidden="false" outlineLevel="0" max="6" min="6" style="0" width="80"/>
  </cols>
  <sheetData>
    <row r="1" customFormat="false" ht="16.15" hidden="false" customHeight="false" outlineLevel="0" collapsed="false">
      <c r="A1" s="1" t="s">
        <v>852</v>
      </c>
    </row>
    <row r="2" customFormat="false" ht="15" hidden="false" customHeight="false" outlineLevel="0" collapsed="false">
      <c r="A2" s="2" t="s">
        <v>853</v>
      </c>
    </row>
    <row r="4" customFormat="false" ht="15" hidden="false" customHeight="false" outlineLevel="0" collapsed="false">
      <c r="A4" s="5" t="s">
        <v>83</v>
      </c>
      <c r="B4" s="5" t="s">
        <v>67</v>
      </c>
      <c r="C4" s="5" t="s">
        <v>3</v>
      </c>
      <c r="D4" s="5" t="s">
        <v>854</v>
      </c>
      <c r="E4" s="5" t="s">
        <v>332</v>
      </c>
      <c r="F4" s="5" t="s">
        <v>855</v>
      </c>
    </row>
    <row r="5" customFormat="false" ht="15" hidden="false" customHeight="false" outlineLevel="0" collapsed="false">
      <c r="A5" s="6" t="s">
        <v>856</v>
      </c>
      <c r="B5" s="6" t="s">
        <v>857</v>
      </c>
      <c r="C5" s="36" t="n">
        <f aca="false">r_ChkP</f>
        <v>0</v>
      </c>
      <c r="D5" s="75" t="n">
        <f aca="false">0</f>
        <v>0</v>
      </c>
      <c r="E5" s="76" t="str">
        <f aca="false">IF(ABS(C5)&lt;0.01,"OK","REVISAR")</f>
        <v>OK</v>
      </c>
      <c r="F5" s="2" t="s">
        <v>858</v>
      </c>
    </row>
    <row r="6" customFormat="false" ht="15" hidden="false" customHeight="false" outlineLevel="0" collapsed="false">
      <c r="A6" s="6" t="s">
        <v>859</v>
      </c>
      <c r="B6" s="6" t="s">
        <v>860</v>
      </c>
      <c r="C6" s="36" t="n">
        <f aca="false">r_ChkV</f>
        <v>0</v>
      </c>
      <c r="D6" s="75" t="n">
        <f aca="false">0</f>
        <v>0</v>
      </c>
      <c r="E6" s="76" t="str">
        <f aca="false">IF(ABS(C6)&lt;0.01,"OK","REVISAR")</f>
        <v>OK</v>
      </c>
      <c r="F6" s="2" t="s">
        <v>861</v>
      </c>
    </row>
    <row r="7" customFormat="false" ht="15" hidden="false" customHeight="false" outlineLevel="0" collapsed="false">
      <c r="A7" s="6" t="s">
        <v>862</v>
      </c>
      <c r="B7" s="6" t="s">
        <v>863</v>
      </c>
      <c r="C7" s="36" t="n">
        <f aca="false">SUMPRODUCT((Calculo!$F$8:$ES$8=1)*(Calculo!$F$164:$ES$164=0))</f>
        <v>0</v>
      </c>
      <c r="D7" s="75" t="n">
        <f aca="false">0</f>
        <v>0</v>
      </c>
      <c r="E7" s="76" t="str">
        <f aca="false">IF(C7=0,"OK","REVISAR")</f>
        <v>OK</v>
      </c>
      <c r="F7" s="2" t="s">
        <v>864</v>
      </c>
    </row>
    <row r="8" customFormat="false" ht="15" hidden="false" customHeight="false" outlineLevel="0" collapsed="false">
      <c r="A8" s="6" t="s">
        <v>865</v>
      </c>
      <c r="B8" s="6" t="s">
        <v>866</v>
      </c>
      <c r="C8" s="36" t="n">
        <f aca="false">SUMPRODUCT((Calculo!$F$8:$ES$8=1)*(Calculo!$F$186:$ES$186+Calculo!$F$188:$ES$188+Calculo!$F$191:$ES$191=0))</f>
        <v>0</v>
      </c>
      <c r="D8" s="75" t="n">
        <f aca="false">0</f>
        <v>0</v>
      </c>
      <c r="E8" s="76" t="str">
        <f aca="false">IF(C8=0,"OK","REVISAR")</f>
        <v>OK</v>
      </c>
      <c r="F8" s="2" t="s">
        <v>867</v>
      </c>
    </row>
    <row r="9" customFormat="false" ht="15" hidden="false" customHeight="false" outlineLevel="0" collapsed="false">
      <c r="A9" s="6" t="s">
        <v>868</v>
      </c>
      <c r="B9" s="6" t="s">
        <v>869</v>
      </c>
      <c r="C9" s="36" t="n">
        <f aca="false">IF(Corte=0,1,IF(ISNUMBER(INDEX(Reales!$F$53:$ES$53,1,Corte)),1,0))</f>
        <v>1</v>
      </c>
      <c r="D9" s="75" t="n">
        <f aca="false">1</f>
        <v>1</v>
      </c>
      <c r="E9" s="76" t="str">
        <f aca="false">IF(C9=1,"OK","REVISAR")</f>
        <v>OK</v>
      </c>
      <c r="F9" s="2" t="s">
        <v>870</v>
      </c>
    </row>
    <row r="10" customFormat="false" ht="15" hidden="false" customHeight="false" outlineLevel="0" collapsed="false">
      <c r="A10" s="6" t="s">
        <v>871</v>
      </c>
      <c r="B10" s="6" t="s">
        <v>872</v>
      </c>
      <c r="C10" s="36" t="n">
        <f aca="false">IF(Corte=0,1,IF(AND(ISNUMBER(INDEX(Reales!$F$54:$ES$54,1,Corte)),ISNUMBER(INDEX(Reales!$F$55:$ES$55,1,Corte)),ISNUMBER(INDEX(Reales!$F$57:$ES$57,1,Corte))),1,0))</f>
        <v>1</v>
      </c>
      <c r="D10" s="75" t="n">
        <f aca="false">1</f>
        <v>1</v>
      </c>
      <c r="E10" s="76" t="str">
        <f aca="false">IF(C10=1,"OK","REVISAR")</f>
        <v>OK</v>
      </c>
      <c r="F10" s="2" t="s">
        <v>873</v>
      </c>
    </row>
    <row r="11" customFormat="false" ht="15" hidden="false" customHeight="false" outlineLevel="0" collapsed="false">
      <c r="A11" s="6" t="s">
        <v>874</v>
      </c>
      <c r="B11" s="6" t="s">
        <v>875</v>
      </c>
      <c r="C11" s="36" t="n">
        <f aca="false">IF(Corte=0,0,IF(ISNUMBER(INDEX(Reales!$F$58:$ES$58,1,Corte)),INDEX(Reales!$F$58:$ES$58,1,Corte)-INDEX(Calculo!$F$231:$ES$231,1,Corte),0))</f>
        <v>0</v>
      </c>
      <c r="D11" s="75" t="n">
        <f aca="false">0</f>
        <v>0</v>
      </c>
      <c r="E11" s="76" t="str">
        <f aca="false">IF(ABS(C11)&lt;1,"OK","REVISAR")</f>
        <v>OK</v>
      </c>
      <c r="F11" s="2" t="s">
        <v>876</v>
      </c>
    </row>
    <row r="12" customFormat="false" ht="15" hidden="false" customHeight="false" outlineLevel="0" collapsed="false">
      <c r="A12" s="6" t="s">
        <v>877</v>
      </c>
      <c r="B12" s="6" t="s">
        <v>878</v>
      </c>
      <c r="C12" s="36" t="n">
        <f aca="false">i_Pagado-SUM(Reales!$F$46:$ES$46)</f>
        <v>0</v>
      </c>
      <c r="D12" s="75" t="n">
        <f aca="false">0</f>
        <v>0</v>
      </c>
      <c r="E12" s="76" t="str">
        <f aca="false">IF(ABS(C12)&lt;1,"OK","REVISAR")</f>
        <v>OK</v>
      </c>
      <c r="F12" s="2" t="s">
        <v>879</v>
      </c>
    </row>
    <row r="13" customFormat="false" ht="15" hidden="false" customHeight="false" outlineLevel="0" collapsed="false">
      <c r="A13" s="6" t="s">
        <v>880</v>
      </c>
      <c r="B13" s="6" t="s">
        <v>881</v>
      </c>
      <c r="C13" s="36" t="n">
        <f aca="false">COUNTIF(TC_O,"&gt;0")+COUNTIF(TC_V,"&gt;0")</f>
        <v>0</v>
      </c>
      <c r="D13" s="75" t="n">
        <f aca="false">20</f>
        <v>20</v>
      </c>
      <c r="E13" s="76" t="str">
        <f aca="false">IF(C13=20,"OK","REVISAR")</f>
        <v>REVISAR</v>
      </c>
      <c r="F13" s="2" t="s">
        <v>882</v>
      </c>
    </row>
    <row r="14" customFormat="false" ht="15" hidden="false" customHeight="false" outlineLevel="0" collapsed="false">
      <c r="A14" s="6" t="s">
        <v>883</v>
      </c>
      <c r="B14" s="6" t="s">
        <v>884</v>
      </c>
      <c r="C14" s="36" t="n">
        <f aca="false">SUM(c_CapExceso)</f>
        <v>0</v>
      </c>
      <c r="D14" s="75" t="n">
        <f aca="false">0</f>
        <v>0</v>
      </c>
      <c r="E14" s="76" t="str">
        <f aca="false">IF(C14=0,"OK","REVISAR")</f>
        <v>OK</v>
      </c>
      <c r="F14" s="2" t="s">
        <v>885</v>
      </c>
    </row>
    <row r="15" customFormat="false" ht="15" hidden="false" customHeight="false" outlineLevel="0" collapsed="false">
      <c r="A15" s="6" t="s">
        <v>886</v>
      </c>
      <c r="B15" s="6" t="s">
        <v>887</v>
      </c>
      <c r="C15" s="36" t="n">
        <f aca="false">SUMPRODUCT((Precio_V=0)*(VolTot_V&gt;0))</f>
        <v>0</v>
      </c>
      <c r="D15" s="75" t="n">
        <f aca="false">0</f>
        <v>0</v>
      </c>
      <c r="E15" s="76" t="str">
        <f aca="false">IF(C15=0,"OK","REVISAR")</f>
        <v>OK</v>
      </c>
      <c r="F15" s="2" t="s">
        <v>888</v>
      </c>
    </row>
    <row r="16" customFormat="false" ht="15" hidden="false" customHeight="false" outlineLevel="0" collapsed="false">
      <c r="A16" s="6" t="s">
        <v>889</v>
      </c>
      <c r="B16" s="6" t="s">
        <v>890</v>
      </c>
      <c r="C16" s="36" t="n">
        <f aca="false">r_DeudaFinP</f>
        <v>0</v>
      </c>
      <c r="D16" s="75" t="n">
        <f aca="false">0</f>
        <v>0</v>
      </c>
      <c r="E16" s="76" t="str">
        <f aca="false">IF(ABS(C16)&lt;1,"OK","REVISAR")</f>
        <v>OK</v>
      </c>
      <c r="F16" s="2" t="s">
        <v>891</v>
      </c>
    </row>
    <row r="17" customFormat="false" ht="15" hidden="false" customHeight="false" outlineLevel="0" collapsed="false">
      <c r="A17" s="6" t="s">
        <v>892</v>
      </c>
      <c r="B17" s="6" t="s">
        <v>893</v>
      </c>
      <c r="C17" s="36" t="n">
        <f aca="false">COUNTIF(Calculo!$F$239:$ES$239,"&gt;0.5")</f>
        <v>0</v>
      </c>
      <c r="D17" s="75" t="n">
        <f aca="false">0</f>
        <v>0</v>
      </c>
      <c r="E17" s="76" t="str">
        <f aca="false">IF(C17=0,"OK","REVISAR")</f>
        <v>OK</v>
      </c>
      <c r="F17" s="2" t="s">
        <v>894</v>
      </c>
    </row>
    <row r="18" customFormat="false" ht="15" hidden="false" customHeight="false" outlineLevel="0" collapsed="false">
      <c r="A18" s="6" t="s">
        <v>895</v>
      </c>
      <c r="B18" s="6" t="s">
        <v>896</v>
      </c>
      <c r="C18" s="36" t="n">
        <f aca="false">IF(n_Etapa="Operación",IF(AND(ISNUMBER(n_InicioReal),Corte&gt;0),1,0),1)</f>
        <v>1</v>
      </c>
      <c r="D18" s="75" t="n">
        <f aca="false">1</f>
        <v>1</v>
      </c>
      <c r="E18" s="76" t="str">
        <f aca="false">IF(C18=1,"OK","REVISAR")</f>
        <v>OK</v>
      </c>
      <c r="F18" s="2" t="s">
        <v>897</v>
      </c>
    </row>
    <row r="19" customFormat="false" ht="15" hidden="false" customHeight="false" outlineLevel="0" collapsed="false">
      <c r="A19" s="6" t="s">
        <v>898</v>
      </c>
      <c r="B19" s="6" t="s">
        <v>899</v>
      </c>
      <c r="C19" s="36" t="n">
        <f aca="false">IF(MAX(Fin,V_Inicio)&lt;=144,1,0)</f>
        <v>1</v>
      </c>
      <c r="D19" s="75" t="n">
        <f aca="false">1</f>
        <v>1</v>
      </c>
      <c r="E19" s="76" t="str">
        <f aca="false">IF(C19=1,"OK","REVISAR")</f>
        <v>OK</v>
      </c>
      <c r="F19" s="2" t="s">
        <v>900</v>
      </c>
    </row>
    <row r="20" customFormat="false" ht="15" hidden="false" customHeight="false" outlineLevel="0" collapsed="false">
      <c r="A20" s="6" t="s">
        <v>901</v>
      </c>
      <c r="B20" s="6" t="s">
        <v>902</v>
      </c>
      <c r="C20" s="36" t="n">
        <f aca="false">c_Modificados</f>
        <v>0</v>
      </c>
      <c r="D20" s="75" t="s">
        <v>903</v>
      </c>
      <c r="E20" s="76" t="str">
        <f aca="false">IF(TRUE(),"OK","REVISAR")</f>
        <v>OK</v>
      </c>
      <c r="F20" s="2" t="s">
        <v>904</v>
      </c>
    </row>
    <row r="22" customFormat="false" ht="15" hidden="false" customHeight="false" outlineLevel="0" collapsed="false">
      <c r="B22" s="11" t="s">
        <v>905</v>
      </c>
      <c r="C22" s="32" t="n">
        <f aca="false">COUNTIF(E5:E20,"REVISAR")</f>
        <v>1</v>
      </c>
    </row>
    <row r="23" customFormat="false" ht="15" hidden="false" customHeight="false" outlineLevel="0" collapsed="false">
      <c r="B23" s="6" t="s">
        <v>906</v>
      </c>
      <c r="C23" s="32" t="n">
        <f aca="false">SUMPRODUCT(--(Supuestos!$E$6:$E$34&lt;&gt;Supuestos!$D$6:$D$34))+SUMPRODUCT(--(Precio_V&lt;&gt;Precio_O))+SUMPRODUCT(--(MP_V&lt;&gt;MP_O))+SUMPRODUCT(--(INS_V&lt;&gt;INS_O))+SUMPRODUCT(--(OV_V&lt;&gt;OV_O))+SUMPRODUCT(--(Vol_V&lt;&gt;Vol_O))+SUMPRODUCT(--(Sal_V&lt;&gt;Sal_O))+SUMPRODUCT(--(Dot_V&lt;&gt;Dot_O))+SUMPRODUCT(--(FC_V&lt;&gt;FC_O))+SUMPRODUCT(--(TC_V&lt;&gt;TC_O))+SUMPRODUCT(--(dPrecio_V&lt;&gt;dPrecio_O))+SUMPRODUCT(--(dMP_V&lt;&gt;dMP_O))+SUMPRODUCT(--(dOV_V&lt;&gt;dOV_O))+SUMPRODUCT(--(dSal_V&lt;&gt;dSal_O))+SUMPRODUCT(--(Payout_V&lt;&gt;Payout_O))+SUMPRODUCT(--(Ap_MesV&lt;&gt;Ap_MesO))+SUMPRODUCT(--(Ap_MontoV&lt;&gt;Ap_MontoO))</f>
        <v>0</v>
      </c>
    </row>
    <row r="24" customFormat="false" ht="15" hidden="false" customHeight="false" outlineLevel="0" collapsed="false">
      <c r="B24" s="6" t="s">
        <v>907</v>
      </c>
      <c r="C24" s="34" t="n">
        <f aca="false">INDEX(Calculo!$F$112:$ES$112,1,MIN(144,Fin))</f>
        <v>0</v>
      </c>
    </row>
  </sheetData>
  <conditionalFormatting sqref="E5:E20">
    <cfRule type="cellIs" priority="2" operator="equal" aboveAverage="0" equalAverage="0" bottom="0" percent="0" rank="0" text="" dxfId="2">
      <formula>"OK"</formula>
    </cfRule>
    <cfRule type="cellIs" priority="3" operator="equal" aboveAverage="0" equalAverage="0" bottom="0" percent="0" rank="0" text="" dxfId="3">
      <formula>"REVISAR"</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2026-10-01T19:21:54Z</dcterms:created>
  <dc:creator>openpyxl</dc:creator>
  <dc:description/>
  <dc:language>en-US</dc:language>
  <cp:lastModifiedBy/>
  <dcterms:modified xsi:type="dcterms:W3CDTF">2026-10-01T19:21:58Z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