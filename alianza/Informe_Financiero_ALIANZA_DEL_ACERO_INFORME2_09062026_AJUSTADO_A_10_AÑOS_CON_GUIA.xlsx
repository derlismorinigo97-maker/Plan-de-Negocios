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fi7\Downloads\Planes de Negocios\Planes de Negocios\1 Maquila 1 - Alianza del Acero\"/>
    </mc:Choice>
  </mc:AlternateContent>
  <xr:revisionPtr revIDLastSave="0" documentId="13_ncr:1_{1DDA0D07-A11B-4058-BCB5-71B55450B2C7}" xr6:coauthVersionLast="47" xr6:coauthVersionMax="47" xr10:uidLastSave="{00000000-0000-0000-0000-000000000000}"/>
  <bookViews>
    <workbookView xWindow="-110" yWindow="-110" windowWidth="25820" windowHeight="15500" tabRatio="938" firstSheet="0" activeTab="0" xr2:uid="{00000000-000D-0000-FFFF-FFFF00000000}"/>
  </bookViews>
  <sheets>
    <sheet name="PASO A PASO" sheetId="29" r:id="rId36"/>
    <sheet name="CONTROLES Y PPT" sheetId="28" r:id="rId35"/>
    <sheet name="Ej_Producción" sheetId="4" state="hidden" r:id="rId1"/>
    <sheet name="Ej_Ingresos" sheetId="5" state="hidden" r:id="rId2"/>
    <sheet name="Ej_Costos" sheetId="6" state="hidden" r:id="rId3"/>
    <sheet name="Ej_Resultados" sheetId="8" state="hidden" r:id="rId4"/>
    <sheet name="Ej_Deuda" sheetId="7" state="hidden" r:id="rId5"/>
    <sheet name="Dashboard Ejec." sheetId="3" state="hidden" r:id="rId6"/>
    <sheet name="Supuestos" sheetId="2" r:id="rId7"/>
    <sheet name="Productos" sheetId="10" state="hidden" r:id="rId8"/>
    <sheet name="Inversión" sheetId="12" r:id="rId9"/>
    <sheet name="Maquinaria" sheetId="11" state="hidden" r:id="rId10"/>
    <sheet name="Mano de Obra" sheetId="13" state="hidden" r:id="rId11"/>
    <sheet name="Producción" sheetId="14" r:id="rId12"/>
    <sheet name="Ingresos" sheetId="15" r:id="rId13"/>
    <sheet name="Materia Prima" sheetId="16" r:id="rId14"/>
    <sheet name="Costos" sheetId="18" r:id="rId15"/>
    <sheet name="Servicio Deuda" sheetId="17" state="hidden" r:id="rId16"/>
    <sheet name="Depreciación" sheetId="19" state="hidden" r:id="rId17"/>
    <sheet name="Capital Trabajo" sheetId="20" r:id="rId18"/>
    <sheet name="Resultados" sheetId="21" r:id="rId19"/>
    <sheet name="IVA" sheetId="22" state="hidden" r:id="rId20"/>
    <sheet name="Pto Equilibrio" sheetId="23" r:id="rId21"/>
    <sheet name="Flujo Fondos" sheetId="24" r:id="rId22"/>
    <sheet name="VAN-TIR" sheetId="25" r:id="rId23"/>
    <sheet name="Payback" sheetId="26" r:id="rId24"/>
    <sheet name="Estr. Costos" sheetId="27" state="hidden" r:id="rId25"/>
    <sheet name="Dashboard" sheetId="1" r:id="rId26"/>
    <sheet name="Ej_Flujo" sheetId="9" r:id="rId27"/>
  </sheets>
  <externalReferences>
    <externalReference r:id="rId28"/>
    <externalReference r:id="rId29"/>
    <externalReference r:id="rId30"/>
  </externalReferences>
  <definedNames>
    <definedName name="AmortizaciónInterés" localSheetId="6">-IPMT('[1]Calculadora de préstamos'!TasaInterés/12,'[1]Calculadora de préstamos'!NúmeroDePago,'[1]Calculadora de préstamos'!NúmeroDePagos,'[1]Calculadora de préstamos'!CantidadPréstamo)</definedName>
    <definedName name="PagoMensual" localSheetId="6">-PMT('[2]Calculadora de préstamos'!TasaInterés/12,'[2]Calculadora de préstamos'!NúmeroDePagos,'[2]Calculadora de préstamos'!CantidadPréstamo)</definedName>
    <definedName name="PréstamoNoPagado" localSheetId="6">IF([1]!NúmeroDePago&lt;=[1]!NúmeroDePagos,1,0)</definedName>
    <definedName name="PréstamoPagado" localSheetId="6">IF([1]!CantidadPréstamo*[1]!TasaInterés*'[1]Calculadora de préstamos'!AñosPréstamo*'[1]Calculadora de préstamos'!FechaInicioPréstamo&gt;0,1,0)</definedName>
    <definedName name="Principal" localSheetId="6">-PPMT([1]!TasaInterés/12,[1]!NúmeroDePago,[1]!NúmeroDePagos,[1]!CantidadPréstamo)</definedName>
    <definedName name="SCS">IF('[2]Calculadora de préstamos'!CantidadPréstamo*'[2]Calculadora de préstamos'!TasaInterés*'[2]Calculadora de préstamos'!AñosPréstamo*'[2]Calculadora de préstamos'!FechaInicioPréstamo&gt;0,1,0)</definedName>
    <definedName name="ÚltimaFila" localSheetId="6">MATCH(9.99E+307,'[1]Calculadora de préstamos'!$B:$B)</definedName>
    <definedName name="USD">Ej_Costos!$O$1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1" i="26" l="1"/>
  <c r="L11" i="26"/>
  <c r="K11" i="26"/>
  <c r="J11" i="26"/>
  <c r="I11" i="26"/>
  <c r="H11" i="26"/>
  <c r="G11" i="26"/>
  <c r="F11" i="26"/>
  <c r="E11" i="26"/>
  <c r="D11" i="26"/>
  <c r="C11" i="26"/>
  <c r="M28" i="25"/>
  <c r="L28" i="25"/>
  <c r="K28" i="25"/>
  <c r="J28" i="25"/>
  <c r="I28" i="25"/>
  <c r="H28" i="25"/>
  <c r="G28" i="25"/>
  <c r="F28" i="25"/>
  <c r="E28" i="25"/>
  <c r="D28" i="25"/>
  <c r="C28" i="25"/>
  <c r="P69" i="6"/>
  <c r="T39" i="9" l="1"/>
  <c r="T38" i="9"/>
  <c r="BC17" i="9" l="1"/>
  <c r="BP17" i="9"/>
  <c r="DZ16" i="9"/>
  <c r="DZ17" i="9" s="1"/>
  <c r="DL16" i="9"/>
  <c r="DL17" i="9" s="1"/>
  <c r="DN16" i="9"/>
  <c r="DN17" i="9" s="1"/>
  <c r="EA15" i="9"/>
  <c r="DZ15" i="9"/>
  <c r="DX15" i="9"/>
  <c r="EF15" i="9" s="1"/>
  <c r="CX16" i="9"/>
  <c r="EF6" i="9"/>
  <c r="EF16" i="9" s="1"/>
  <c r="EB6" i="9"/>
  <c r="DL10" i="9"/>
  <c r="DK10" i="9"/>
  <c r="DJ10" i="9"/>
  <c r="DI10" i="9"/>
  <c r="DH10" i="9"/>
  <c r="DG10" i="9"/>
  <c r="DG28" i="9" s="1"/>
  <c r="DF10" i="9"/>
  <c r="CY16" i="9"/>
  <c r="CY17" i="9" s="1"/>
  <c r="CY26" i="9" s="1"/>
  <c r="CY10" i="9"/>
  <c r="CX10" i="9"/>
  <c r="CW10" i="9"/>
  <c r="CV10" i="9"/>
  <c r="CU10" i="9"/>
  <c r="CT10" i="9"/>
  <c r="CS10" i="9"/>
  <c r="CN16" i="9"/>
  <c r="CN17" i="9" s="1"/>
  <c r="CL16" i="9"/>
  <c r="CL17" i="9" s="1"/>
  <c r="CP10" i="9"/>
  <c r="CL10" i="9"/>
  <c r="CK10" i="9"/>
  <c r="CJ10" i="9"/>
  <c r="CI10" i="9"/>
  <c r="CH10" i="9"/>
  <c r="CG10" i="9"/>
  <c r="CF10" i="9"/>
  <c r="DY26" i="9"/>
  <c r="DX26" i="9"/>
  <c r="DT26" i="9"/>
  <c r="EB25" i="9"/>
  <c r="EB24" i="9"/>
  <c r="EB23" i="9"/>
  <c r="EB22" i="9"/>
  <c r="EB21" i="9"/>
  <c r="EB19" i="9"/>
  <c r="EA16" i="9"/>
  <c r="EA17" i="9" s="1"/>
  <c r="EB14" i="9"/>
  <c r="EB13" i="9"/>
  <c r="EA10" i="9"/>
  <c r="DZ10" i="9"/>
  <c r="DY10" i="9"/>
  <c r="DX10" i="9"/>
  <c r="DW10" i="9"/>
  <c r="DV10" i="9"/>
  <c r="DU10" i="9"/>
  <c r="DT10" i="9"/>
  <c r="DS10" i="9"/>
  <c r="DR10" i="9"/>
  <c r="DQ10" i="9"/>
  <c r="DP10" i="9"/>
  <c r="EB9" i="9"/>
  <c r="EB8" i="9"/>
  <c r="EB7" i="9"/>
  <c r="DG26" i="9"/>
  <c r="DO25" i="9"/>
  <c r="DO24" i="9"/>
  <c r="DO23" i="9"/>
  <c r="DO22" i="9"/>
  <c r="DO21" i="9"/>
  <c r="DO19" i="9"/>
  <c r="DO14" i="9"/>
  <c r="DO13" i="9"/>
  <c r="DN10" i="9"/>
  <c r="DM10" i="9"/>
  <c r="DE10" i="9"/>
  <c r="DD10" i="9"/>
  <c r="DC10" i="9"/>
  <c r="DO9" i="9"/>
  <c r="DO8" i="9"/>
  <c r="DO7" i="9"/>
  <c r="DO6" i="9"/>
  <c r="CT26" i="9"/>
  <c r="DB25" i="9"/>
  <c r="DB24" i="9"/>
  <c r="DB23" i="9"/>
  <c r="DB22" i="9"/>
  <c r="DB21" i="9"/>
  <c r="DB19" i="9"/>
  <c r="DA16" i="9"/>
  <c r="DA17" i="9" s="1"/>
  <c r="DB14" i="9"/>
  <c r="DB13" i="9"/>
  <c r="DA10" i="9"/>
  <c r="CZ10" i="9"/>
  <c r="CR10" i="9"/>
  <c r="CQ10" i="9"/>
  <c r="DB9" i="9"/>
  <c r="DB8" i="9"/>
  <c r="DB7" i="9"/>
  <c r="DB6" i="9"/>
  <c r="CG26" i="9"/>
  <c r="CO25" i="9"/>
  <c r="CO24" i="9"/>
  <c r="CO23" i="9"/>
  <c r="CO22" i="9"/>
  <c r="CO21" i="9"/>
  <c r="CO19" i="9"/>
  <c r="CM16" i="9"/>
  <c r="CO14" i="9"/>
  <c r="CO13" i="9"/>
  <c r="CN10" i="9"/>
  <c r="CM10" i="9"/>
  <c r="CE10" i="9"/>
  <c r="CD10" i="9"/>
  <c r="CC10" i="9"/>
  <c r="CO9" i="9"/>
  <c r="CO8" i="9"/>
  <c r="CO7" i="9"/>
  <c r="CO6" i="9"/>
  <c r="AA31" i="9"/>
  <c r="CA16" i="9"/>
  <c r="CA17" i="9" s="1"/>
  <c r="BP16" i="9"/>
  <c r="BC16" i="9"/>
  <c r="AX16" i="9"/>
  <c r="AX17" i="9" s="1"/>
  <c r="DB16" i="9" l="1"/>
  <c r="CX17" i="9"/>
  <c r="CL26" i="9"/>
  <c r="CL28" i="9" s="1"/>
  <c r="CM17" i="9"/>
  <c r="DZ26" i="9"/>
  <c r="DZ28" i="9" s="1"/>
  <c r="DO16" i="9"/>
  <c r="DL26" i="9"/>
  <c r="DL28" i="9" s="1"/>
  <c r="CY28" i="9"/>
  <c r="DX28" i="9"/>
  <c r="DY28" i="9"/>
  <c r="EB17" i="9"/>
  <c r="M34" i="18" s="1"/>
  <c r="CT28" i="9"/>
  <c r="CG28" i="9"/>
  <c r="CO16" i="9"/>
  <c r="EB16" i="9"/>
  <c r="EB10" i="9"/>
  <c r="DT28" i="9"/>
  <c r="DO10" i="9"/>
  <c r="DB10" i="9"/>
  <c r="CO10" i="9"/>
  <c r="DB17" i="9" l="1"/>
  <c r="K34" i="18" s="1"/>
  <c r="CO17" i="9"/>
  <c r="J34" i="18" s="1"/>
  <c r="DO17" i="9"/>
  <c r="L34" i="18" s="1"/>
  <c r="D11" i="3"/>
  <c r="D10" i="3"/>
  <c r="D9" i="3"/>
  <c r="D8" i="3"/>
  <c r="D7" i="3"/>
  <c r="D6" i="3"/>
  <c r="BY26" i="9"/>
  <c r="BT26" i="9"/>
  <c r="CB25" i="9"/>
  <c r="CB24" i="9"/>
  <c r="CB23" i="9"/>
  <c r="CB22" i="9"/>
  <c r="CB21" i="9"/>
  <c r="CB19" i="9"/>
  <c r="BZ16" i="9"/>
  <c r="CB14" i="9"/>
  <c r="CB13" i="9"/>
  <c r="CA10" i="9"/>
  <c r="BZ10" i="9"/>
  <c r="BY10" i="9"/>
  <c r="BX10" i="9"/>
  <c r="BW10" i="9"/>
  <c r="BV10" i="9"/>
  <c r="BU10" i="9"/>
  <c r="BT10" i="9"/>
  <c r="BS10" i="9"/>
  <c r="BR10" i="9"/>
  <c r="BQ10" i="9"/>
  <c r="BP10" i="9"/>
  <c r="CB9" i="9"/>
  <c r="CB8" i="9"/>
  <c r="CB7" i="9"/>
  <c r="CB6" i="9"/>
  <c r="BM16" i="9"/>
  <c r="BM17" i="9" s="1"/>
  <c r="M9" i="25"/>
  <c r="BL26" i="9"/>
  <c r="AZ16" i="9"/>
  <c r="AZ17" i="9" s="1"/>
  <c r="BO23" i="9"/>
  <c r="Q23" i="9"/>
  <c r="R23" i="9"/>
  <c r="S23" i="9"/>
  <c r="T23" i="9"/>
  <c r="U23" i="9"/>
  <c r="V23" i="9"/>
  <c r="W23" i="9"/>
  <c r="X23" i="9"/>
  <c r="Y23" i="9"/>
  <c r="Z23" i="9"/>
  <c r="AA23" i="9"/>
  <c r="P23" i="9"/>
  <c r="N23" i="9"/>
  <c r="M23" i="9"/>
  <c r="Y62" i="6"/>
  <c r="BG26" i="9"/>
  <c r="BO25" i="9"/>
  <c r="BO24" i="9"/>
  <c r="BO22" i="9"/>
  <c r="BO21" i="9"/>
  <c r="BO19" i="9"/>
  <c r="BO14" i="9"/>
  <c r="BO13" i="9"/>
  <c r="BN10" i="9"/>
  <c r="BM10" i="9"/>
  <c r="BL10" i="9"/>
  <c r="BK10" i="9"/>
  <c r="BJ10" i="9"/>
  <c r="BI10" i="9"/>
  <c r="BH10" i="9"/>
  <c r="BG10" i="9"/>
  <c r="BF10" i="9"/>
  <c r="BE10" i="9"/>
  <c r="BD10" i="9"/>
  <c r="BC10" i="9"/>
  <c r="BO9" i="9"/>
  <c r="BO8" i="9"/>
  <c r="BO7" i="9"/>
  <c r="BO6" i="9"/>
  <c r="AN16" i="9"/>
  <c r="AN17" i="9" s="1"/>
  <c r="AL16" i="9"/>
  <c r="AL17" i="9" s="1"/>
  <c r="AA16" i="9"/>
  <c r="AA17" i="9" s="1"/>
  <c r="AD16" i="9"/>
  <c r="AD17" i="9" s="1"/>
  <c r="Y16" i="9"/>
  <c r="Y17" i="9" s="1"/>
  <c r="V16" i="9"/>
  <c r="S14" i="8"/>
  <c r="T14" i="8"/>
  <c r="U14" i="8"/>
  <c r="V14" i="8"/>
  <c r="W14" i="8"/>
  <c r="X14" i="8"/>
  <c r="Y14" i="8"/>
  <c r="Z14" i="8"/>
  <c r="AA14" i="8"/>
  <c r="AB14" i="8"/>
  <c r="AC14" i="8"/>
  <c r="D14" i="8"/>
  <c r="E14" i="8"/>
  <c r="F14" i="8"/>
  <c r="G14" i="8"/>
  <c r="H14" i="8"/>
  <c r="I14" i="8"/>
  <c r="J14" i="8"/>
  <c r="K14" i="8"/>
  <c r="L14" i="8"/>
  <c r="M14" i="8"/>
  <c r="N14" i="8"/>
  <c r="C14" i="8"/>
  <c r="AC59" i="6"/>
  <c r="AB59" i="6"/>
  <c r="AA59" i="6"/>
  <c r="Z59" i="6"/>
  <c r="Y59" i="6"/>
  <c r="X59" i="6"/>
  <c r="W59" i="6"/>
  <c r="V59" i="6"/>
  <c r="U59" i="6"/>
  <c r="T59" i="6"/>
  <c r="S59" i="6"/>
  <c r="N59" i="6"/>
  <c r="M59" i="6"/>
  <c r="L59" i="6"/>
  <c r="K59" i="6"/>
  <c r="J59" i="6"/>
  <c r="I59" i="6"/>
  <c r="H59" i="6"/>
  <c r="G59" i="6"/>
  <c r="F59" i="6"/>
  <c r="E59" i="6"/>
  <c r="D59" i="6"/>
  <c r="C59" i="6"/>
  <c r="V17" i="9" l="1"/>
  <c r="X62" i="6" s="1"/>
  <c r="CB16" i="9"/>
  <c r="BZ17" i="9"/>
  <c r="BY28" i="9"/>
  <c r="BT28" i="9"/>
  <c r="BL28" i="9"/>
  <c r="CB10" i="9"/>
  <c r="CB17" i="9"/>
  <c r="BO16" i="9"/>
  <c r="BG28" i="9"/>
  <c r="BO17" i="9"/>
  <c r="BO10" i="9"/>
  <c r="O14" i="8"/>
  <c r="O59" i="6"/>
  <c r="D31" i="18" l="1"/>
  <c r="AY26" i="9" l="1"/>
  <c r="AT26" i="9"/>
  <c r="BB25" i="9"/>
  <c r="BB24" i="9"/>
  <c r="BB23" i="9"/>
  <c r="BB22" i="9"/>
  <c r="BB21" i="9"/>
  <c r="BB19" i="9"/>
  <c r="BB16" i="9"/>
  <c r="BB14" i="9"/>
  <c r="BB13" i="9"/>
  <c r="BA10" i="9"/>
  <c r="AZ10" i="9"/>
  <c r="AY10" i="9"/>
  <c r="AX10" i="9"/>
  <c r="AW10" i="9"/>
  <c r="AV10" i="9"/>
  <c r="AU10" i="9"/>
  <c r="AT10" i="9"/>
  <c r="AS10" i="9"/>
  <c r="AR10" i="9"/>
  <c r="AQ10" i="9"/>
  <c r="AP10" i="9"/>
  <c r="BB9" i="9"/>
  <c r="BB8" i="9"/>
  <c r="BB7" i="9"/>
  <c r="BB6" i="9"/>
  <c r="AO6" i="9"/>
  <c r="AK10" i="9"/>
  <c r="AL10" i="9"/>
  <c r="AM10" i="9"/>
  <c r="AN10" i="9"/>
  <c r="AI10" i="9"/>
  <c r="AH10" i="9"/>
  <c r="AG10" i="9"/>
  <c r="AF10" i="9"/>
  <c r="AE10" i="9"/>
  <c r="AO21" i="9"/>
  <c r="AO22" i="9"/>
  <c r="AO23" i="9"/>
  <c r="AO24" i="9"/>
  <c r="AO25" i="9"/>
  <c r="AO19" i="9"/>
  <c r="AO14" i="9"/>
  <c r="AO9" i="9"/>
  <c r="AO8" i="9"/>
  <c r="AO7" i="9"/>
  <c r="AC10" i="9"/>
  <c r="AC19" i="7"/>
  <c r="AE9" i="8"/>
  <c r="AE22" i="8" s="1"/>
  <c r="P9" i="8"/>
  <c r="P22" i="8" s="1"/>
  <c r="P23" i="8"/>
  <c r="AY28" i="9" l="1"/>
  <c r="AT28" i="9"/>
  <c r="BB10" i="9"/>
  <c r="BB17" i="9"/>
  <c r="AD10" i="9"/>
  <c r="AG26" i="9"/>
  <c r="AG28" i="9" s="1"/>
  <c r="AO17" i="9"/>
  <c r="AJ10" i="9"/>
  <c r="AO13" i="9"/>
  <c r="AO16" i="9"/>
  <c r="AN31" i="9" s="1"/>
  <c r="BA31" i="9" l="1"/>
  <c r="AO10" i="9"/>
  <c r="BN31" i="9" l="1"/>
  <c r="AB9" i="9"/>
  <c r="AB8" i="9"/>
  <c r="AB7" i="9"/>
  <c r="H8" i="9"/>
  <c r="O8" i="9" s="1"/>
  <c r="AC62" i="6"/>
  <c r="AA62" i="6"/>
  <c r="D54" i="6"/>
  <c r="E54" i="6"/>
  <c r="F54" i="6"/>
  <c r="G54" i="6"/>
  <c r="H54" i="6"/>
  <c r="I54" i="6"/>
  <c r="J54" i="6"/>
  <c r="K54" i="6"/>
  <c r="L54" i="6"/>
  <c r="M54" i="6"/>
  <c r="N54" i="6"/>
  <c r="CA31" i="9" l="1"/>
  <c r="CN31" i="9" s="1"/>
  <c r="DA31" i="9" s="1"/>
  <c r="DN31" i="9" s="1"/>
  <c r="D8" i="24"/>
  <c r="M24" i="17"/>
  <c r="M23" i="17"/>
  <c r="L24" i="17"/>
  <c r="L23" i="17"/>
  <c r="K24" i="17"/>
  <c r="K23" i="17"/>
  <c r="J24" i="17"/>
  <c r="J23" i="17"/>
  <c r="I20" i="17"/>
  <c r="I24" i="17" s="1"/>
  <c r="I34" i="18" s="1"/>
  <c r="I18" i="17"/>
  <c r="H20" i="17"/>
  <c r="H24" i="17" s="1"/>
  <c r="H34" i="18" s="1"/>
  <c r="H18" i="17"/>
  <c r="G20" i="17"/>
  <c r="G24" i="17" s="1"/>
  <c r="G34" i="18" s="1"/>
  <c r="G18" i="17"/>
  <c r="F20" i="17"/>
  <c r="F24" i="17" s="1"/>
  <c r="F34" i="18" s="1"/>
  <c r="F18" i="17"/>
  <c r="E20" i="17"/>
  <c r="E18" i="17"/>
  <c r="D20" i="17"/>
  <c r="D18" i="17"/>
  <c r="G23" i="17" l="1"/>
  <c r="H23" i="17"/>
  <c r="I23" i="17"/>
  <c r="F23" i="17"/>
  <c r="M21" i="17"/>
  <c r="M19" i="17"/>
  <c r="D24" i="17"/>
  <c r="D23" i="17"/>
  <c r="E24" i="17"/>
  <c r="E23" i="17"/>
  <c r="AD43" i="6" l="1"/>
  <c r="O43" i="6"/>
  <c r="Q43" i="6" l="1"/>
  <c r="D16" i="18"/>
  <c r="AF43" i="6"/>
  <c r="E16" i="18"/>
  <c r="F16" i="18" s="1"/>
  <c r="G16" i="18" s="1"/>
  <c r="H16" i="18" s="1"/>
  <c r="I16" i="18" s="1"/>
  <c r="J16" i="18" s="1"/>
  <c r="K16" i="18" s="1"/>
  <c r="L16" i="18" s="1"/>
  <c r="M16" i="18" s="1"/>
  <c r="N28" i="3"/>
  <c r="N27" i="3"/>
  <c r="N26" i="3"/>
  <c r="N25" i="3"/>
  <c r="N24" i="3"/>
  <c r="N23" i="3"/>
  <c r="N22" i="3"/>
  <c r="N21" i="3"/>
  <c r="N20" i="3"/>
  <c r="N19" i="3"/>
  <c r="N18" i="3"/>
  <c r="N17" i="3"/>
  <c r="L7" i="9"/>
  <c r="N32" i="9" s="1"/>
  <c r="AA32" i="9" l="1"/>
  <c r="N36" i="9"/>
  <c r="M18" i="7"/>
  <c r="N18" i="7" s="1"/>
  <c r="R18" i="7" s="1"/>
  <c r="S18" i="7" s="1"/>
  <c r="T18" i="7" s="1"/>
  <c r="U18" i="7" s="1"/>
  <c r="V18" i="7" s="1"/>
  <c r="W18" i="7" s="1"/>
  <c r="X18" i="7" s="1"/>
  <c r="Y18" i="7" s="1"/>
  <c r="Z18" i="7" s="1"/>
  <c r="AA18" i="7" s="1"/>
  <c r="AB18" i="7" s="1"/>
  <c r="AC18" i="7" s="1"/>
  <c r="U11" i="7"/>
  <c r="T11" i="7"/>
  <c r="S11" i="7"/>
  <c r="R11" i="7"/>
  <c r="W14" i="7"/>
  <c r="U14" i="7"/>
  <c r="T14" i="7"/>
  <c r="S14" i="7"/>
  <c r="R14" i="7"/>
  <c r="N14" i="7"/>
  <c r="N11" i="7" s="1"/>
  <c r="M14" i="7"/>
  <c r="M11" i="7" s="1"/>
  <c r="AB17" i="9"/>
  <c r="AB16" i="9"/>
  <c r="AB14" i="9"/>
  <c r="O38" i="9"/>
  <c r="M14" i="9" s="1"/>
  <c r="T34" i="6"/>
  <c r="S34" i="6"/>
  <c r="R34" i="6"/>
  <c r="P109" i="6"/>
  <c r="P110" i="6" s="1"/>
  <c r="P111" i="6" s="1"/>
  <c r="P112" i="6" s="1"/>
  <c r="P103" i="6"/>
  <c r="P104" i="6" s="1"/>
  <c r="P105" i="6" s="1"/>
  <c r="P106" i="6" s="1"/>
  <c r="AA36" i="9" l="1"/>
  <c r="AN32" i="9"/>
  <c r="P114" i="6"/>
  <c r="L14" i="9"/>
  <c r="H14" i="9"/>
  <c r="I14" i="9"/>
  <c r="BA32" i="9" l="1"/>
  <c r="AN36" i="9"/>
  <c r="O14" i="9"/>
  <c r="BN32" i="9" l="1"/>
  <c r="BA36" i="9"/>
  <c r="AC26" i="6"/>
  <c r="AB26" i="6"/>
  <c r="AA26" i="6"/>
  <c r="Z26" i="6"/>
  <c r="Y26" i="6"/>
  <c r="X26" i="6"/>
  <c r="W26" i="6"/>
  <c r="V26" i="6"/>
  <c r="U26" i="6"/>
  <c r="T26" i="6"/>
  <c r="S26" i="6"/>
  <c r="R26" i="6"/>
  <c r="J27" i="6"/>
  <c r="N26" i="6"/>
  <c r="M26" i="6"/>
  <c r="L26" i="6"/>
  <c r="K26" i="6"/>
  <c r="J26" i="6"/>
  <c r="I26" i="6"/>
  <c r="H26" i="6"/>
  <c r="G26" i="6"/>
  <c r="F26" i="6"/>
  <c r="E26" i="6"/>
  <c r="N33" i="6"/>
  <c r="M33" i="6"/>
  <c r="L33" i="6"/>
  <c r="N32" i="6"/>
  <c r="M32" i="6"/>
  <c r="L32" i="6"/>
  <c r="S26" i="5"/>
  <c r="T26" i="5"/>
  <c r="U26" i="5"/>
  <c r="V26" i="5"/>
  <c r="W26" i="5"/>
  <c r="X26" i="5"/>
  <c r="Y26" i="5"/>
  <c r="Z26" i="5"/>
  <c r="AA26" i="5"/>
  <c r="AB26" i="5"/>
  <c r="AC26" i="5"/>
  <c r="R26" i="5"/>
  <c r="D25" i="5"/>
  <c r="E25" i="5"/>
  <c r="F25" i="5"/>
  <c r="G25" i="5"/>
  <c r="H25" i="5"/>
  <c r="I25" i="5"/>
  <c r="J25" i="5"/>
  <c r="K25" i="5"/>
  <c r="L25" i="5"/>
  <c r="M25" i="5"/>
  <c r="N25" i="5"/>
  <c r="D26" i="5"/>
  <c r="E26" i="5"/>
  <c r="F26" i="5"/>
  <c r="G26" i="5"/>
  <c r="H26" i="5"/>
  <c r="I26" i="5"/>
  <c r="J26" i="5"/>
  <c r="K26" i="5"/>
  <c r="L26" i="5"/>
  <c r="M26" i="5"/>
  <c r="N26" i="5"/>
  <c r="C26" i="5"/>
  <c r="AF11" i="5"/>
  <c r="Q11" i="5"/>
  <c r="O17" i="5"/>
  <c r="O18" i="5"/>
  <c r="AD40" i="4"/>
  <c r="O40" i="4"/>
  <c r="AE25" i="4"/>
  <c r="AD25" i="4"/>
  <c r="P25" i="4"/>
  <c r="O25" i="4"/>
  <c r="C8" i="4"/>
  <c r="D8" i="4"/>
  <c r="E8" i="4"/>
  <c r="F8" i="4"/>
  <c r="G8" i="4"/>
  <c r="H8" i="4"/>
  <c r="I8" i="4"/>
  <c r="J8" i="4"/>
  <c r="K8" i="4"/>
  <c r="L8" i="4"/>
  <c r="M8" i="4"/>
  <c r="N8" i="4"/>
  <c r="C9" i="4"/>
  <c r="D9" i="4"/>
  <c r="E9" i="4"/>
  <c r="F9" i="4"/>
  <c r="G9" i="4"/>
  <c r="H9" i="4"/>
  <c r="I9" i="4"/>
  <c r="J9" i="4"/>
  <c r="K9" i="4"/>
  <c r="L9" i="4"/>
  <c r="M9" i="4"/>
  <c r="N9" i="4"/>
  <c r="C10" i="4"/>
  <c r="D10" i="4"/>
  <c r="E10" i="4"/>
  <c r="F10" i="4"/>
  <c r="G10" i="4"/>
  <c r="H10" i="4"/>
  <c r="I10" i="4"/>
  <c r="J10" i="4"/>
  <c r="K10" i="4"/>
  <c r="L10" i="4"/>
  <c r="M10" i="4"/>
  <c r="N10" i="4"/>
  <c r="C11" i="4"/>
  <c r="D11" i="4"/>
  <c r="E11" i="4"/>
  <c r="F11" i="4"/>
  <c r="G11" i="4"/>
  <c r="H11" i="4"/>
  <c r="I11" i="4"/>
  <c r="J11" i="4"/>
  <c r="K11" i="4"/>
  <c r="L11" i="4"/>
  <c r="M11" i="4"/>
  <c r="N11" i="4"/>
  <c r="C12" i="4"/>
  <c r="D12" i="4"/>
  <c r="E12" i="4"/>
  <c r="F12" i="4"/>
  <c r="G12" i="4"/>
  <c r="H12" i="4"/>
  <c r="I12" i="4"/>
  <c r="J12" i="4"/>
  <c r="K12" i="4"/>
  <c r="L12" i="4"/>
  <c r="M12" i="4"/>
  <c r="N12" i="4"/>
  <c r="C13" i="4"/>
  <c r="D13" i="4"/>
  <c r="E13" i="4"/>
  <c r="F13" i="4"/>
  <c r="G13" i="4"/>
  <c r="H13" i="4"/>
  <c r="I13" i="4"/>
  <c r="J13" i="4"/>
  <c r="K13" i="4"/>
  <c r="L13" i="4"/>
  <c r="M13" i="4"/>
  <c r="N13" i="4"/>
  <c r="C14" i="4"/>
  <c r="D14" i="4"/>
  <c r="E14" i="4"/>
  <c r="F14" i="4"/>
  <c r="G14" i="4"/>
  <c r="H14" i="4"/>
  <c r="I14" i="4"/>
  <c r="J14" i="4"/>
  <c r="K14" i="4"/>
  <c r="L14" i="4"/>
  <c r="M14" i="4"/>
  <c r="N14" i="4"/>
  <c r="C15" i="4"/>
  <c r="D15" i="4"/>
  <c r="E15" i="4"/>
  <c r="F15" i="4"/>
  <c r="G15" i="4"/>
  <c r="H15" i="4"/>
  <c r="I15" i="4"/>
  <c r="J15" i="4"/>
  <c r="K15" i="4"/>
  <c r="L15" i="4"/>
  <c r="M15" i="4"/>
  <c r="N15" i="4"/>
  <c r="R8" i="4"/>
  <c r="S8" i="4"/>
  <c r="T8" i="4"/>
  <c r="U8" i="4"/>
  <c r="V8" i="4"/>
  <c r="W8" i="4"/>
  <c r="X8" i="4"/>
  <c r="Y8" i="4"/>
  <c r="Z8" i="4"/>
  <c r="AA8" i="4"/>
  <c r="AB8" i="4"/>
  <c r="AC8" i="4"/>
  <c r="R9" i="4"/>
  <c r="S9" i="4"/>
  <c r="T9" i="4"/>
  <c r="U9" i="4"/>
  <c r="V9" i="4"/>
  <c r="W9" i="4"/>
  <c r="X9" i="4"/>
  <c r="Y9" i="4"/>
  <c r="Z9" i="4"/>
  <c r="AA9" i="4"/>
  <c r="AB9" i="4"/>
  <c r="AC9" i="4"/>
  <c r="R10" i="4"/>
  <c r="S10" i="4"/>
  <c r="T10" i="4"/>
  <c r="U10" i="4"/>
  <c r="V10" i="4"/>
  <c r="W10" i="4"/>
  <c r="X10" i="4"/>
  <c r="Y10" i="4"/>
  <c r="Z10" i="4"/>
  <c r="AA10" i="4"/>
  <c r="AB10" i="4"/>
  <c r="AC10" i="4"/>
  <c r="R11" i="4"/>
  <c r="S11" i="4"/>
  <c r="T11" i="4"/>
  <c r="U11" i="4"/>
  <c r="V11" i="4"/>
  <c r="W11" i="4"/>
  <c r="X11" i="4"/>
  <c r="Y11" i="4"/>
  <c r="Z11" i="4"/>
  <c r="AA11" i="4"/>
  <c r="AB11" i="4"/>
  <c r="AC11" i="4"/>
  <c r="R12" i="4"/>
  <c r="S12" i="4"/>
  <c r="T12" i="4"/>
  <c r="U12" i="4"/>
  <c r="V12" i="4"/>
  <c r="W12" i="4"/>
  <c r="X12" i="4"/>
  <c r="Y12" i="4"/>
  <c r="Z12" i="4"/>
  <c r="AA12" i="4"/>
  <c r="AB12" i="4"/>
  <c r="AC12" i="4"/>
  <c r="R13" i="4"/>
  <c r="S13" i="4"/>
  <c r="T13" i="4"/>
  <c r="U13" i="4"/>
  <c r="V13" i="4"/>
  <c r="W13" i="4"/>
  <c r="X13" i="4"/>
  <c r="Y13" i="4"/>
  <c r="Z13" i="4"/>
  <c r="AA13" i="4"/>
  <c r="AB13" i="4"/>
  <c r="AC13" i="4"/>
  <c r="R14" i="4"/>
  <c r="S14" i="4"/>
  <c r="T14" i="4"/>
  <c r="U14" i="4"/>
  <c r="V14" i="4"/>
  <c r="W14" i="4"/>
  <c r="X14" i="4"/>
  <c r="Y14" i="4"/>
  <c r="Z14" i="4"/>
  <c r="AA14" i="4"/>
  <c r="AB14" i="4"/>
  <c r="AC14" i="4"/>
  <c r="R15" i="4"/>
  <c r="S15" i="4"/>
  <c r="T15" i="4"/>
  <c r="U15" i="4"/>
  <c r="V15" i="4"/>
  <c r="W15" i="4"/>
  <c r="X15" i="4"/>
  <c r="Y15" i="4"/>
  <c r="Z15" i="4"/>
  <c r="AA15" i="4"/>
  <c r="AB15" i="4"/>
  <c r="AC15" i="4"/>
  <c r="R16" i="4"/>
  <c r="S16" i="4"/>
  <c r="T16" i="4"/>
  <c r="U16" i="4"/>
  <c r="V16" i="4"/>
  <c r="W16" i="4"/>
  <c r="X16" i="4"/>
  <c r="Y16" i="4"/>
  <c r="Z16" i="4"/>
  <c r="AA16" i="4"/>
  <c r="AB16" i="4"/>
  <c r="AC16" i="4"/>
  <c r="R17" i="4"/>
  <c r="S17" i="4"/>
  <c r="T17" i="4"/>
  <c r="U17" i="4"/>
  <c r="V17" i="4"/>
  <c r="W17" i="4"/>
  <c r="X17" i="4"/>
  <c r="Y17" i="4"/>
  <c r="Z17" i="4"/>
  <c r="AA17" i="4"/>
  <c r="AB17" i="4"/>
  <c r="AC17" i="4"/>
  <c r="CA36" i="9" l="1"/>
  <c r="BN36" i="9"/>
  <c r="Q25" i="4"/>
  <c r="F8" i="10"/>
  <c r="D12" i="14"/>
  <c r="AF25" i="4"/>
  <c r="E12" i="14"/>
  <c r="F12" i="14" s="1"/>
  <c r="AF40" i="4"/>
  <c r="E13" i="14"/>
  <c r="Q40" i="4"/>
  <c r="D13" i="14"/>
  <c r="G8" i="10"/>
  <c r="O26" i="5"/>
  <c r="Q26" i="5" s="1"/>
  <c r="AD26" i="5"/>
  <c r="AF26" i="5" s="1"/>
  <c r="AD26" i="6"/>
  <c r="AD12" i="6" s="1"/>
  <c r="V18" i="4"/>
  <c r="O26" i="6"/>
  <c r="O12" i="6" s="1"/>
  <c r="Y18" i="4"/>
  <c r="X18" i="4"/>
  <c r="W18" i="4"/>
  <c r="Z18" i="4"/>
  <c r="U18" i="4"/>
  <c r="AB18" i="4"/>
  <c r="T18" i="4"/>
  <c r="AA18" i="4"/>
  <c r="S18" i="4"/>
  <c r="R18" i="4"/>
  <c r="AC18" i="4"/>
  <c r="G12" i="14" l="1"/>
  <c r="F13" i="14"/>
  <c r="AD11" i="5"/>
  <c r="E12" i="15" s="1"/>
  <c r="Q12" i="6"/>
  <c r="E8" i="10"/>
  <c r="D12" i="16"/>
  <c r="D13" i="16" s="1"/>
  <c r="AF12" i="6"/>
  <c r="E12" i="16"/>
  <c r="O11" i="5"/>
  <c r="D8" i="10" l="1"/>
  <c r="D12" i="15"/>
  <c r="D13" i="15" s="1"/>
  <c r="E13" i="15"/>
  <c r="F12" i="15"/>
  <c r="G13" i="14"/>
  <c r="H12" i="14"/>
  <c r="F12" i="16"/>
  <c r="E13" i="16"/>
  <c r="G15" i="10"/>
  <c r="F15" i="10"/>
  <c r="E14" i="10"/>
  <c r="E15" i="10"/>
  <c r="F14" i="18"/>
  <c r="I12" i="14" l="1"/>
  <c r="H13" i="14"/>
  <c r="G12" i="15"/>
  <c r="F13" i="15"/>
  <c r="G12" i="16"/>
  <c r="F13" i="16"/>
  <c r="AE63" i="6"/>
  <c r="P63" i="6"/>
  <c r="Q19" i="6"/>
  <c r="Q18" i="6"/>
  <c r="P18" i="4"/>
  <c r="G13" i="15" l="1"/>
  <c r="H12" i="15"/>
  <c r="J12" i="14"/>
  <c r="I13" i="14"/>
  <c r="H12" i="16"/>
  <c r="G13" i="16"/>
  <c r="D26" i="16"/>
  <c r="D24" i="16"/>
  <c r="D27" i="14"/>
  <c r="C50" i="13"/>
  <c r="C34" i="6"/>
  <c r="J93" i="6"/>
  <c r="J92" i="6"/>
  <c r="J94" i="6" s="1"/>
  <c r="H13" i="15" l="1"/>
  <c r="I12" i="15"/>
  <c r="K12" i="14"/>
  <c r="J13" i="14"/>
  <c r="I12" i="16"/>
  <c r="H13" i="16"/>
  <c r="O16" i="9"/>
  <c r="O17" i="9"/>
  <c r="O99" i="6"/>
  <c r="K13" i="14" l="1"/>
  <c r="L12" i="14"/>
  <c r="J12" i="15"/>
  <c r="I13" i="15"/>
  <c r="J12" i="16"/>
  <c r="I13" i="16"/>
  <c r="AC33" i="6"/>
  <c r="AB33" i="6"/>
  <c r="AA33" i="6"/>
  <c r="Z33" i="6"/>
  <c r="Y33" i="6"/>
  <c r="X33" i="6"/>
  <c r="W33" i="6"/>
  <c r="V33" i="6"/>
  <c r="U33" i="6"/>
  <c r="T33" i="6"/>
  <c r="S33" i="6"/>
  <c r="R33" i="6"/>
  <c r="AC32" i="6"/>
  <c r="AB32" i="6"/>
  <c r="AA32" i="6"/>
  <c r="Z32" i="6"/>
  <c r="Y32" i="6"/>
  <c r="X32" i="6"/>
  <c r="W32" i="6"/>
  <c r="V32" i="6"/>
  <c r="U32" i="6"/>
  <c r="T32" i="6"/>
  <c r="S32" i="6"/>
  <c r="R32" i="6"/>
  <c r="AC31" i="6"/>
  <c r="AB31" i="6"/>
  <c r="AA31" i="6"/>
  <c r="Z31" i="6"/>
  <c r="Y31" i="6"/>
  <c r="X31" i="6"/>
  <c r="W31" i="6"/>
  <c r="V31" i="6"/>
  <c r="U31" i="6"/>
  <c r="T31" i="6"/>
  <c r="S31" i="6"/>
  <c r="R31" i="6"/>
  <c r="AC30" i="6"/>
  <c r="AB30" i="6"/>
  <c r="AA30" i="6"/>
  <c r="Z30" i="6"/>
  <c r="Y30" i="6"/>
  <c r="X30" i="6"/>
  <c r="W30" i="6"/>
  <c r="V30" i="6"/>
  <c r="U30" i="6"/>
  <c r="T30" i="6"/>
  <c r="S30" i="6"/>
  <c r="R30" i="6"/>
  <c r="AC29" i="6"/>
  <c r="AB29" i="6"/>
  <c r="AA29" i="6"/>
  <c r="Z29" i="6"/>
  <c r="Y29" i="6"/>
  <c r="X29" i="6"/>
  <c r="W29" i="6"/>
  <c r="V29" i="6"/>
  <c r="U29" i="6"/>
  <c r="T29" i="6"/>
  <c r="S29" i="6"/>
  <c r="R29" i="6"/>
  <c r="AC28" i="6"/>
  <c r="AB28" i="6"/>
  <c r="AA28" i="6"/>
  <c r="Z28" i="6"/>
  <c r="Y28" i="6"/>
  <c r="X28" i="6"/>
  <c r="W28" i="6"/>
  <c r="V28" i="6"/>
  <c r="U28" i="6"/>
  <c r="T28" i="6"/>
  <c r="S28" i="6"/>
  <c r="R28" i="6"/>
  <c r="AC27" i="6"/>
  <c r="AB27" i="6"/>
  <c r="AA27" i="6"/>
  <c r="Z27" i="6"/>
  <c r="Y27" i="6"/>
  <c r="X27" i="6"/>
  <c r="W27" i="6"/>
  <c r="V27" i="6"/>
  <c r="U27" i="6"/>
  <c r="T27" i="6"/>
  <c r="S27" i="6"/>
  <c r="R27" i="6"/>
  <c r="AC25" i="6"/>
  <c r="AB25" i="6"/>
  <c r="AA25" i="6"/>
  <c r="Z25" i="6"/>
  <c r="Y25" i="6"/>
  <c r="X25" i="6"/>
  <c r="W25" i="6"/>
  <c r="V25" i="6"/>
  <c r="U25" i="6"/>
  <c r="T25" i="6"/>
  <c r="S25" i="6"/>
  <c r="R25" i="6"/>
  <c r="AC24" i="6"/>
  <c r="AB24" i="6"/>
  <c r="AA24" i="6"/>
  <c r="Z24" i="6"/>
  <c r="Y24" i="6"/>
  <c r="X24" i="6"/>
  <c r="W24" i="6"/>
  <c r="V24" i="6"/>
  <c r="U24" i="6"/>
  <c r="T24" i="6"/>
  <c r="S24" i="6"/>
  <c r="R24" i="6"/>
  <c r="AC23" i="6"/>
  <c r="AB23" i="6"/>
  <c r="AA23" i="6"/>
  <c r="Z23" i="6"/>
  <c r="Y23" i="6"/>
  <c r="X23" i="6"/>
  <c r="W23" i="6"/>
  <c r="V23" i="6"/>
  <c r="U23" i="6"/>
  <c r="T23" i="6"/>
  <c r="S23" i="6"/>
  <c r="R23" i="6"/>
  <c r="K33" i="6"/>
  <c r="J33" i="6"/>
  <c r="I33" i="6"/>
  <c r="H33" i="6"/>
  <c r="G33" i="6"/>
  <c r="F33" i="6"/>
  <c r="E33" i="6"/>
  <c r="D33" i="6"/>
  <c r="K32" i="6"/>
  <c r="J32" i="6"/>
  <c r="I32" i="6"/>
  <c r="H32" i="6"/>
  <c r="G32" i="6"/>
  <c r="F32" i="6"/>
  <c r="E32" i="6"/>
  <c r="D32" i="6"/>
  <c r="N31" i="6"/>
  <c r="M31" i="6"/>
  <c r="L31" i="6"/>
  <c r="K31" i="6"/>
  <c r="J31" i="6"/>
  <c r="I31" i="6"/>
  <c r="H31" i="6"/>
  <c r="G31" i="6"/>
  <c r="F31" i="6"/>
  <c r="E31" i="6"/>
  <c r="D31" i="6"/>
  <c r="N30" i="6"/>
  <c r="M30" i="6"/>
  <c r="L30" i="6"/>
  <c r="K30" i="6"/>
  <c r="J30" i="6"/>
  <c r="I30" i="6"/>
  <c r="H30" i="6"/>
  <c r="G30" i="6"/>
  <c r="F30" i="6"/>
  <c r="E30" i="6"/>
  <c r="D30" i="6"/>
  <c r="N29" i="6"/>
  <c r="M29" i="6"/>
  <c r="L29" i="6"/>
  <c r="K29" i="6"/>
  <c r="J29" i="6"/>
  <c r="I29" i="6"/>
  <c r="H29" i="6"/>
  <c r="G29" i="6"/>
  <c r="F29" i="6"/>
  <c r="E29" i="6"/>
  <c r="D29" i="6"/>
  <c r="N28" i="6"/>
  <c r="M28" i="6"/>
  <c r="L28" i="6"/>
  <c r="K28" i="6"/>
  <c r="J28" i="6"/>
  <c r="I28" i="6"/>
  <c r="H28" i="6"/>
  <c r="G28" i="6"/>
  <c r="F28" i="6"/>
  <c r="E28" i="6"/>
  <c r="D28" i="6"/>
  <c r="N27" i="6"/>
  <c r="M27" i="6"/>
  <c r="L27" i="6"/>
  <c r="K27" i="6"/>
  <c r="I27" i="6"/>
  <c r="H27" i="6"/>
  <c r="G27" i="6"/>
  <c r="F27" i="6"/>
  <c r="E27" i="6"/>
  <c r="D27" i="6"/>
  <c r="N25" i="6"/>
  <c r="M25" i="6"/>
  <c r="L25" i="6"/>
  <c r="K25" i="6"/>
  <c r="J25" i="6"/>
  <c r="I25" i="6"/>
  <c r="H25" i="6"/>
  <c r="G25" i="6"/>
  <c r="F25" i="6"/>
  <c r="E25" i="6"/>
  <c r="D25" i="6"/>
  <c r="N24" i="6"/>
  <c r="M24" i="6"/>
  <c r="L24" i="6"/>
  <c r="K24" i="6"/>
  <c r="J24" i="6"/>
  <c r="I24" i="6"/>
  <c r="H24" i="6"/>
  <c r="G24" i="6"/>
  <c r="F24" i="6"/>
  <c r="E24" i="6"/>
  <c r="D24" i="6"/>
  <c r="N23" i="6"/>
  <c r="M23" i="6"/>
  <c r="L23" i="6"/>
  <c r="K23" i="6"/>
  <c r="J23" i="6"/>
  <c r="I23" i="6"/>
  <c r="H23" i="6"/>
  <c r="G23" i="6"/>
  <c r="F23" i="6"/>
  <c r="E23" i="6"/>
  <c r="D23" i="6"/>
  <c r="C33" i="6"/>
  <c r="C32" i="6"/>
  <c r="C31" i="6"/>
  <c r="C30" i="6"/>
  <c r="C29" i="6"/>
  <c r="C28" i="6"/>
  <c r="C27" i="6"/>
  <c r="C25" i="6"/>
  <c r="C24" i="6"/>
  <c r="C23" i="6"/>
  <c r="J13" i="15" l="1"/>
  <c r="K12" i="15"/>
  <c r="L13" i="14"/>
  <c r="M12" i="14"/>
  <c r="K12" i="16"/>
  <c r="J13" i="16"/>
  <c r="AD24" i="6"/>
  <c r="AD29" i="6"/>
  <c r="AD33" i="6"/>
  <c r="AD32" i="6"/>
  <c r="AD28" i="6"/>
  <c r="AD27" i="6"/>
  <c r="AD31" i="6"/>
  <c r="AD25" i="6"/>
  <c r="AD30" i="6"/>
  <c r="AD23" i="6"/>
  <c r="S22" i="6"/>
  <c r="S39" i="6" s="1"/>
  <c r="AA22" i="6"/>
  <c r="AA39" i="6" s="1"/>
  <c r="U22" i="6"/>
  <c r="U39" i="6" s="1"/>
  <c r="V22" i="6"/>
  <c r="V39" i="6" s="1"/>
  <c r="AC22" i="6"/>
  <c r="AC39" i="6" s="1"/>
  <c r="R22" i="6"/>
  <c r="R39" i="6" s="1"/>
  <c r="W22" i="6"/>
  <c r="W39" i="6" s="1"/>
  <c r="X22" i="6"/>
  <c r="X39" i="6" s="1"/>
  <c r="AB22" i="6"/>
  <c r="AB39" i="6" s="1"/>
  <c r="T22" i="6"/>
  <c r="T39" i="6" s="1"/>
  <c r="Y22" i="6"/>
  <c r="Y39" i="6" s="1"/>
  <c r="Z22" i="6"/>
  <c r="Z39" i="6" s="1"/>
  <c r="O32" i="6"/>
  <c r="O24" i="6"/>
  <c r="O25" i="6"/>
  <c r="O28" i="6"/>
  <c r="O31" i="6"/>
  <c r="O29" i="6"/>
  <c r="O23" i="6"/>
  <c r="O27" i="6"/>
  <c r="O30" i="6"/>
  <c r="O33" i="6"/>
  <c r="H22" i="6"/>
  <c r="M22" i="6"/>
  <c r="C22" i="6"/>
  <c r="K22" i="6"/>
  <c r="N22" i="6"/>
  <c r="J22" i="6"/>
  <c r="L22" i="6"/>
  <c r="F22" i="6"/>
  <c r="E22" i="6"/>
  <c r="G22" i="6"/>
  <c r="I22" i="6"/>
  <c r="D22" i="6"/>
  <c r="M13" i="14" l="1"/>
  <c r="N13" i="14" s="1"/>
  <c r="N12" i="14"/>
  <c r="K13" i="15"/>
  <c r="L12" i="15"/>
  <c r="L12" i="16"/>
  <c r="K13" i="16"/>
  <c r="O22" i="6"/>
  <c r="P89" i="6"/>
  <c r="P90" i="6" s="1"/>
  <c r="P91" i="6" s="1"/>
  <c r="P92" i="6" s="1"/>
  <c r="D6" i="18" l="1"/>
  <c r="P70" i="6"/>
  <c r="P71" i="6" s="1"/>
  <c r="O12" i="14"/>
  <c r="L13" i="15"/>
  <c r="M12" i="15"/>
  <c r="M13" i="15" s="1"/>
  <c r="M12" i="16"/>
  <c r="M13" i="16" s="1"/>
  <c r="L13" i="16"/>
  <c r="S62" i="6"/>
  <c r="T62" i="6"/>
  <c r="U62" i="6"/>
  <c r="V62" i="6"/>
  <c r="W62" i="6"/>
  <c r="Z62" i="6"/>
  <c r="AB62" i="6"/>
  <c r="R62" i="6"/>
  <c r="D62" i="6"/>
  <c r="E62" i="6"/>
  <c r="F62" i="6"/>
  <c r="G62" i="6"/>
  <c r="H62" i="6"/>
  <c r="I62" i="6"/>
  <c r="J62" i="6"/>
  <c r="K62" i="6"/>
  <c r="L62" i="6"/>
  <c r="M62" i="6"/>
  <c r="N62" i="6"/>
  <c r="C62" i="6"/>
  <c r="D90" i="6"/>
  <c r="C91" i="6"/>
  <c r="AE13" i="7"/>
  <c r="AE12" i="7"/>
  <c r="AB14" i="7"/>
  <c r="X14" i="7"/>
  <c r="V14" i="7"/>
  <c r="AC14" i="7"/>
  <c r="AC11" i="7" s="1"/>
  <c r="AA14" i="7"/>
  <c r="AA11" i="7" s="1"/>
  <c r="Z14" i="7"/>
  <c r="Z11" i="7" s="1"/>
  <c r="Y14" i="7"/>
  <c r="Y11" i="7" s="1"/>
  <c r="O14" i="7"/>
  <c r="O13" i="7"/>
  <c r="O12" i="7"/>
  <c r="Q12" i="7" s="1"/>
  <c r="D91" i="6" l="1"/>
  <c r="C93" i="6"/>
  <c r="Q14" i="7"/>
  <c r="Q13" i="7"/>
  <c r="D92" i="6"/>
  <c r="AB11" i="7"/>
  <c r="AD12" i="7"/>
  <c r="AF12" i="7" s="1"/>
  <c r="AD13" i="7"/>
  <c r="AF13" i="7" s="1"/>
  <c r="X11" i="7"/>
  <c r="W11" i="7"/>
  <c r="V11" i="7"/>
  <c r="AD14" i="7"/>
  <c r="O11" i="7"/>
  <c r="AD11" i="7" l="1"/>
  <c r="AC54" i="6" l="1"/>
  <c r="AB53" i="6"/>
  <c r="W52" i="6"/>
  <c r="AC51" i="6"/>
  <c r="X49" i="6"/>
  <c r="V21" i="9" s="1"/>
  <c r="AC41" i="6" l="1"/>
  <c r="AC53" i="6"/>
  <c r="S54" i="6"/>
  <c r="T54" i="6"/>
  <c r="Z49" i="6"/>
  <c r="X21" i="9" s="1"/>
  <c r="AA49" i="6"/>
  <c r="Y21" i="9" s="1"/>
  <c r="AB49" i="6"/>
  <c r="Z21" i="9" s="1"/>
  <c r="Y49" i="6"/>
  <c r="W21" i="9" s="1"/>
  <c r="S52" i="6"/>
  <c r="S51" i="6"/>
  <c r="U51" i="6"/>
  <c r="U54" i="6"/>
  <c r="V54" i="6"/>
  <c r="W54" i="6"/>
  <c r="T51" i="6"/>
  <c r="X54" i="6"/>
  <c r="AC52" i="6"/>
  <c r="V51" i="6"/>
  <c r="Z54" i="6"/>
  <c r="R51" i="6"/>
  <c r="W51" i="6"/>
  <c r="AA54" i="6"/>
  <c r="R52" i="6"/>
  <c r="X51" i="6"/>
  <c r="AB54" i="6"/>
  <c r="R53" i="6"/>
  <c r="Y51" i="6"/>
  <c r="V53" i="6"/>
  <c r="R54" i="6"/>
  <c r="W53" i="6"/>
  <c r="AA51" i="6"/>
  <c r="AC49" i="6"/>
  <c r="AA21" i="9" s="1"/>
  <c r="AB51" i="6"/>
  <c r="Y53" i="6"/>
  <c r="T52" i="6"/>
  <c r="X52" i="6"/>
  <c r="Y52" i="6"/>
  <c r="Z52" i="6"/>
  <c r="AA52" i="6"/>
  <c r="AB52" i="6"/>
  <c r="Y54" i="6"/>
  <c r="S53" i="6"/>
  <c r="T53" i="6"/>
  <c r="U53" i="6"/>
  <c r="Z51" i="6"/>
  <c r="X53" i="6"/>
  <c r="Z53" i="6"/>
  <c r="AB41" i="6"/>
  <c r="AA41" i="6"/>
  <c r="Z41" i="6"/>
  <c r="Y41" i="6"/>
  <c r="X41" i="6"/>
  <c r="W41" i="6"/>
  <c r="V41" i="6"/>
  <c r="R41" i="6"/>
  <c r="U41" i="6"/>
  <c r="T41" i="6"/>
  <c r="S41" i="6"/>
  <c r="S49" i="6"/>
  <c r="Q21" i="9" s="1"/>
  <c r="T49" i="6"/>
  <c r="R21" i="9" s="1"/>
  <c r="U49" i="6"/>
  <c r="S21" i="9" s="1"/>
  <c r="V49" i="6"/>
  <c r="T21" i="9" s="1"/>
  <c r="U52" i="6"/>
  <c r="R49" i="6"/>
  <c r="P21" i="9" s="1"/>
  <c r="W49" i="6"/>
  <c r="U21" i="9" s="1"/>
  <c r="V52" i="6"/>
  <c r="AA53" i="6"/>
  <c r="N33" i="5"/>
  <c r="M33" i="5"/>
  <c r="L33" i="5"/>
  <c r="K33" i="5"/>
  <c r="J33" i="5"/>
  <c r="I33" i="5"/>
  <c r="H33" i="5"/>
  <c r="G33" i="5"/>
  <c r="F33" i="5"/>
  <c r="E33" i="5"/>
  <c r="D33" i="5"/>
  <c r="C33" i="5"/>
  <c r="N32" i="5"/>
  <c r="M32" i="5"/>
  <c r="L32" i="5"/>
  <c r="K32" i="5"/>
  <c r="J32" i="5"/>
  <c r="I32" i="5"/>
  <c r="H32" i="5"/>
  <c r="G32" i="5"/>
  <c r="F32" i="5"/>
  <c r="E32" i="5"/>
  <c r="D32" i="5"/>
  <c r="C32" i="5"/>
  <c r="Q18" i="5"/>
  <c r="Q17" i="5"/>
  <c r="O37" i="4"/>
  <c r="N48" i="4"/>
  <c r="M48" i="4"/>
  <c r="L48" i="4"/>
  <c r="K48" i="4"/>
  <c r="J48" i="4"/>
  <c r="I48" i="4"/>
  <c r="H48" i="4"/>
  <c r="G48" i="4"/>
  <c r="F48" i="4"/>
  <c r="E48" i="4"/>
  <c r="D48" i="4"/>
  <c r="C48" i="4"/>
  <c r="N33" i="4"/>
  <c r="M33" i="4"/>
  <c r="L33" i="4"/>
  <c r="K33" i="4"/>
  <c r="J33" i="4"/>
  <c r="I33" i="4"/>
  <c r="H33" i="4"/>
  <c r="G33" i="4"/>
  <c r="F33" i="4"/>
  <c r="E33" i="4"/>
  <c r="D33" i="4"/>
  <c r="C33" i="4"/>
  <c r="E51" i="2"/>
  <c r="E38" i="2"/>
  <c r="O25" i="9"/>
  <c r="D16" i="7"/>
  <c r="E16" i="7" s="1"/>
  <c r="F16" i="7" s="1"/>
  <c r="G16" i="7" s="1"/>
  <c r="H16" i="7" s="1"/>
  <c r="I16" i="7" s="1"/>
  <c r="J16" i="7" s="1"/>
  <c r="K16" i="7" s="1"/>
  <c r="L16" i="7" s="1"/>
  <c r="AC33" i="5"/>
  <c r="AB33" i="5"/>
  <c r="AA33" i="5"/>
  <c r="Z33" i="5"/>
  <c r="Y33" i="5"/>
  <c r="X33" i="5"/>
  <c r="W33" i="5"/>
  <c r="V33" i="5"/>
  <c r="U33" i="5"/>
  <c r="T33" i="5"/>
  <c r="S33" i="5"/>
  <c r="R33" i="5"/>
  <c r="AC32" i="5"/>
  <c r="AB32" i="5"/>
  <c r="AA32" i="5"/>
  <c r="Z32" i="5"/>
  <c r="Y32" i="5"/>
  <c r="X32" i="5"/>
  <c r="W32" i="5"/>
  <c r="V32" i="5"/>
  <c r="U32" i="5"/>
  <c r="T32" i="5"/>
  <c r="S32" i="5"/>
  <c r="R32" i="5"/>
  <c r="AD47" i="4"/>
  <c r="E27" i="14" s="1"/>
  <c r="AD46" i="4"/>
  <c r="E25" i="14" s="1"/>
  <c r="AC48" i="4"/>
  <c r="AB48" i="4"/>
  <c r="AA48" i="4"/>
  <c r="Z48" i="4"/>
  <c r="Y48" i="4"/>
  <c r="X48" i="4"/>
  <c r="W48" i="4"/>
  <c r="V48" i="4"/>
  <c r="U48" i="4"/>
  <c r="T48" i="4"/>
  <c r="S48" i="4"/>
  <c r="R48" i="4"/>
  <c r="AC33" i="4"/>
  <c r="AB33" i="4"/>
  <c r="AA33" i="4"/>
  <c r="Z33" i="4"/>
  <c r="Y33" i="4"/>
  <c r="X33" i="4"/>
  <c r="W33" i="4"/>
  <c r="V33" i="4"/>
  <c r="U33" i="4"/>
  <c r="T33" i="4"/>
  <c r="S33" i="4"/>
  <c r="R33" i="4"/>
  <c r="AD32" i="4"/>
  <c r="AD31" i="4"/>
  <c r="AC31" i="5"/>
  <c r="AB31" i="5"/>
  <c r="AA31" i="5"/>
  <c r="Z31" i="5"/>
  <c r="Y31" i="5"/>
  <c r="X31" i="5"/>
  <c r="W31" i="5"/>
  <c r="V31" i="5"/>
  <c r="U31" i="5"/>
  <c r="T31" i="5"/>
  <c r="S31" i="5"/>
  <c r="R31" i="5"/>
  <c r="AC30" i="5"/>
  <c r="AB30" i="5"/>
  <c r="AA30" i="5"/>
  <c r="Z30" i="5"/>
  <c r="Y30" i="5"/>
  <c r="X30" i="5"/>
  <c r="W30" i="5"/>
  <c r="V30" i="5"/>
  <c r="U30" i="5"/>
  <c r="T30" i="5"/>
  <c r="S30" i="5"/>
  <c r="R30" i="5"/>
  <c r="AC29" i="5"/>
  <c r="AB29" i="5"/>
  <c r="AA29" i="5"/>
  <c r="Z29" i="5"/>
  <c r="Y29" i="5"/>
  <c r="X29" i="5"/>
  <c r="W29" i="5"/>
  <c r="V29" i="5"/>
  <c r="U29" i="5"/>
  <c r="T29" i="5"/>
  <c r="S29" i="5"/>
  <c r="R29" i="5"/>
  <c r="AC28" i="5"/>
  <c r="AB28" i="5"/>
  <c r="AA28" i="5"/>
  <c r="Z28" i="5"/>
  <c r="Y28" i="5"/>
  <c r="X28" i="5"/>
  <c r="W28" i="5"/>
  <c r="V28" i="5"/>
  <c r="U28" i="5"/>
  <c r="T28" i="5"/>
  <c r="S28" i="5"/>
  <c r="R28" i="5"/>
  <c r="AC27" i="5"/>
  <c r="AB27" i="5"/>
  <c r="AA27" i="5"/>
  <c r="Z27" i="5"/>
  <c r="Y27" i="5"/>
  <c r="X27" i="5"/>
  <c r="W27" i="5"/>
  <c r="V27" i="5"/>
  <c r="U27" i="5"/>
  <c r="T27" i="5"/>
  <c r="S27" i="5"/>
  <c r="R27" i="5"/>
  <c r="AC25" i="5"/>
  <c r="AB25" i="5"/>
  <c r="AA25" i="5"/>
  <c r="Z25" i="5"/>
  <c r="Y25" i="5"/>
  <c r="X25" i="5"/>
  <c r="W25" i="5"/>
  <c r="V25" i="5"/>
  <c r="U25" i="5"/>
  <c r="T25" i="5"/>
  <c r="S25" i="5"/>
  <c r="R25" i="5"/>
  <c r="AC24" i="5"/>
  <c r="AB24" i="5"/>
  <c r="AA24" i="5"/>
  <c r="Z24" i="5"/>
  <c r="Y24" i="5"/>
  <c r="X24" i="5"/>
  <c r="W24" i="5"/>
  <c r="V24" i="5"/>
  <c r="U24" i="5"/>
  <c r="T24" i="5"/>
  <c r="S24" i="5"/>
  <c r="R24" i="5"/>
  <c r="AC23" i="5"/>
  <c r="AB23" i="5"/>
  <c r="AA23" i="5"/>
  <c r="Z23" i="5"/>
  <c r="Y23" i="5"/>
  <c r="X23" i="5"/>
  <c r="W23" i="5"/>
  <c r="V23" i="5"/>
  <c r="U23" i="5"/>
  <c r="T23" i="5"/>
  <c r="S23" i="5"/>
  <c r="R23" i="5"/>
  <c r="C23" i="5"/>
  <c r="D23" i="5"/>
  <c r="E23" i="5"/>
  <c r="F23" i="5"/>
  <c r="G23" i="5"/>
  <c r="H23" i="5"/>
  <c r="I23" i="5"/>
  <c r="J23" i="5"/>
  <c r="K23" i="5"/>
  <c r="L23" i="5"/>
  <c r="M23" i="5"/>
  <c r="N23" i="5"/>
  <c r="C24" i="5"/>
  <c r="D24" i="5"/>
  <c r="E24" i="5"/>
  <c r="F24" i="5"/>
  <c r="G24" i="5"/>
  <c r="H24" i="5"/>
  <c r="I24" i="5"/>
  <c r="J24" i="5"/>
  <c r="K24" i="5"/>
  <c r="L24" i="5"/>
  <c r="M24" i="5"/>
  <c r="N24" i="5"/>
  <c r="C25" i="5"/>
  <c r="C27" i="5"/>
  <c r="D27" i="5"/>
  <c r="E27" i="5"/>
  <c r="F27" i="5"/>
  <c r="G27" i="5"/>
  <c r="H27" i="5"/>
  <c r="I27" i="5"/>
  <c r="J27" i="5"/>
  <c r="K27" i="5"/>
  <c r="L27" i="5"/>
  <c r="M27" i="5"/>
  <c r="N27" i="5"/>
  <c r="C28" i="5"/>
  <c r="D28" i="5"/>
  <c r="E28" i="5"/>
  <c r="F28" i="5"/>
  <c r="G28" i="5"/>
  <c r="H28" i="5"/>
  <c r="I28" i="5"/>
  <c r="J28" i="5"/>
  <c r="K28" i="5"/>
  <c r="L28" i="5"/>
  <c r="M28" i="5"/>
  <c r="N28" i="5"/>
  <c r="C29" i="5"/>
  <c r="D29" i="5"/>
  <c r="E29" i="5"/>
  <c r="F29" i="5"/>
  <c r="G29" i="5"/>
  <c r="H29" i="5"/>
  <c r="I29" i="5"/>
  <c r="J29" i="5"/>
  <c r="K29" i="5"/>
  <c r="L29" i="5"/>
  <c r="M29" i="5"/>
  <c r="N29" i="5"/>
  <c r="C30" i="5"/>
  <c r="D30" i="5"/>
  <c r="E30" i="5"/>
  <c r="F30" i="5"/>
  <c r="G30" i="5"/>
  <c r="H30" i="5"/>
  <c r="I30" i="5"/>
  <c r="J30" i="5"/>
  <c r="K30" i="5"/>
  <c r="L30" i="5"/>
  <c r="M30" i="5"/>
  <c r="N30" i="5"/>
  <c r="C31" i="5"/>
  <c r="D31" i="5"/>
  <c r="E31" i="5"/>
  <c r="F31" i="5"/>
  <c r="G31" i="5"/>
  <c r="H31" i="5"/>
  <c r="I31" i="5"/>
  <c r="J31" i="5"/>
  <c r="K31" i="5"/>
  <c r="L31" i="5"/>
  <c r="M31" i="5"/>
  <c r="N31" i="5"/>
  <c r="AD45" i="4"/>
  <c r="E23" i="14" s="1"/>
  <c r="AD44" i="4"/>
  <c r="E21" i="14" s="1"/>
  <c r="AD43" i="4"/>
  <c r="E19" i="14" s="1"/>
  <c r="AD42" i="4"/>
  <c r="E17" i="14" s="1"/>
  <c r="AD41" i="4"/>
  <c r="E15" i="14" s="1"/>
  <c r="AD39" i="4"/>
  <c r="E11" i="14" s="1"/>
  <c r="AD38" i="4"/>
  <c r="E9" i="14" s="1"/>
  <c r="AD37" i="4"/>
  <c r="E7" i="14" s="1"/>
  <c r="AD30" i="4"/>
  <c r="AD29" i="4"/>
  <c r="AD28" i="4"/>
  <c r="AD27" i="4"/>
  <c r="AD26" i="4"/>
  <c r="AD24" i="4"/>
  <c r="AD23" i="4"/>
  <c r="AD22" i="4"/>
  <c r="L8" i="7"/>
  <c r="K8" i="7"/>
  <c r="J8" i="7"/>
  <c r="I8" i="7"/>
  <c r="H8" i="7"/>
  <c r="G8" i="7"/>
  <c r="F8" i="7"/>
  <c r="E8" i="7"/>
  <c r="D8" i="7"/>
  <c r="C8" i="7"/>
  <c r="M8" i="7"/>
  <c r="N8" i="7"/>
  <c r="O6" i="7"/>
  <c r="O7" i="7"/>
  <c r="R8" i="7"/>
  <c r="S8" i="7"/>
  <c r="T8" i="7"/>
  <c r="U8" i="7"/>
  <c r="V8" i="7"/>
  <c r="W8" i="7"/>
  <c r="X8" i="7"/>
  <c r="Y8" i="7"/>
  <c r="Z8" i="7"/>
  <c r="AA8" i="7"/>
  <c r="AB8" i="7"/>
  <c r="AC8" i="7"/>
  <c r="F47" i="6"/>
  <c r="E47" i="6"/>
  <c r="D47" i="6"/>
  <c r="C47" i="6"/>
  <c r="E26" i="14" l="1"/>
  <c r="F26" i="14" s="1"/>
  <c r="AD19" i="6"/>
  <c r="E24" i="14"/>
  <c r="F24" i="14" s="1"/>
  <c r="AD18" i="6"/>
  <c r="E29" i="14"/>
  <c r="W46" i="6"/>
  <c r="Y46" i="6"/>
  <c r="Z46" i="6"/>
  <c r="U46" i="6"/>
  <c r="X46" i="6"/>
  <c r="AB46" i="6"/>
  <c r="S46" i="6"/>
  <c r="AA46" i="6"/>
  <c r="AA34" i="4"/>
  <c r="AC46" i="6"/>
  <c r="R46" i="6"/>
  <c r="T46" i="6"/>
  <c r="V46" i="6"/>
  <c r="E6" i="14"/>
  <c r="AD9" i="6"/>
  <c r="E8" i="14"/>
  <c r="F8" i="14" s="1"/>
  <c r="AD10" i="6"/>
  <c r="G24" i="14"/>
  <c r="F25" i="14"/>
  <c r="E10" i="14"/>
  <c r="F10" i="14" s="1"/>
  <c r="AD11" i="6"/>
  <c r="G26" i="14"/>
  <c r="F27" i="14"/>
  <c r="E18" i="14"/>
  <c r="F18" i="14" s="1"/>
  <c r="AD15" i="6"/>
  <c r="E22" i="14"/>
  <c r="F22" i="14" s="1"/>
  <c r="AD17" i="6"/>
  <c r="G14" i="10"/>
  <c r="D25" i="14"/>
  <c r="E20" i="14"/>
  <c r="F20" i="14" s="1"/>
  <c r="AD16" i="6"/>
  <c r="F14" i="10"/>
  <c r="D24" i="14"/>
  <c r="G5" i="10"/>
  <c r="D7" i="14"/>
  <c r="D26" i="15"/>
  <c r="D15" i="10"/>
  <c r="E14" i="14"/>
  <c r="F14" i="14" s="1"/>
  <c r="AD13" i="6"/>
  <c r="E16" i="14"/>
  <c r="F16" i="14" s="1"/>
  <c r="AD14" i="6"/>
  <c r="S5" i="7"/>
  <c r="S63" i="6"/>
  <c r="S15" i="8" s="1"/>
  <c r="U5" i="7"/>
  <c r="U63" i="6"/>
  <c r="U15" i="8" s="1"/>
  <c r="L5" i="7"/>
  <c r="N5" i="7"/>
  <c r="K5" i="7"/>
  <c r="M5" i="7"/>
  <c r="AC5" i="7"/>
  <c r="AC63" i="6"/>
  <c r="AC15" i="8" s="1"/>
  <c r="AB5" i="7"/>
  <c r="AB63" i="6"/>
  <c r="AB15" i="8" s="1"/>
  <c r="V5" i="7"/>
  <c r="V63" i="6"/>
  <c r="V15" i="8" s="1"/>
  <c r="T5" i="7"/>
  <c r="T63" i="6"/>
  <c r="T15" i="8" s="1"/>
  <c r="R5" i="7"/>
  <c r="X5" i="7"/>
  <c r="X63" i="6"/>
  <c r="X15" i="8" s="1"/>
  <c r="J5" i="7"/>
  <c r="AA5" i="7"/>
  <c r="AA63" i="6"/>
  <c r="AA15" i="8" s="1"/>
  <c r="Z5" i="7"/>
  <c r="Z63" i="6"/>
  <c r="Z15" i="8" s="1"/>
  <c r="Y5" i="7"/>
  <c r="Y63" i="6"/>
  <c r="Y15" i="8" s="1"/>
  <c r="W5" i="7"/>
  <c r="W63" i="6"/>
  <c r="W15" i="8" s="1"/>
  <c r="I5" i="7"/>
  <c r="AD52" i="6"/>
  <c r="AD34" i="6"/>
  <c r="AD54" i="6"/>
  <c r="AD51" i="6"/>
  <c r="AD22" i="6"/>
  <c r="AJ37" i="6" s="1"/>
  <c r="AK37" i="6" s="1"/>
  <c r="AD50" i="6"/>
  <c r="AD53" i="6"/>
  <c r="AD39" i="6"/>
  <c r="AD41" i="6"/>
  <c r="AD49" i="6"/>
  <c r="K34" i="5"/>
  <c r="N6" i="9" s="1"/>
  <c r="I34" i="5"/>
  <c r="L6" i="9" s="1"/>
  <c r="F34" i="5"/>
  <c r="I6" i="9" s="1"/>
  <c r="H34" i="5"/>
  <c r="K6" i="9" s="1"/>
  <c r="E34" i="5"/>
  <c r="H6" i="9" s="1"/>
  <c r="D34" i="5"/>
  <c r="G6" i="9" s="1"/>
  <c r="C34" i="5"/>
  <c r="F6" i="9" s="1"/>
  <c r="J34" i="5"/>
  <c r="M6" i="9" s="1"/>
  <c r="G34" i="5"/>
  <c r="J6" i="9" s="1"/>
  <c r="N34" i="5"/>
  <c r="R6" i="9" s="1"/>
  <c r="R10" i="9" s="1"/>
  <c r="M34" i="5"/>
  <c r="Q6" i="9" s="1"/>
  <c r="Q10" i="9" s="1"/>
  <c r="L34" i="5"/>
  <c r="O33" i="5"/>
  <c r="O32" i="5"/>
  <c r="R63" i="6"/>
  <c r="R15" i="8" s="1"/>
  <c r="AD48" i="4"/>
  <c r="K13" i="3" s="1"/>
  <c r="AB34" i="5"/>
  <c r="AB6" i="8" s="1"/>
  <c r="AB18" i="8" s="1"/>
  <c r="AA24" i="9" s="1"/>
  <c r="U34" i="5"/>
  <c r="AC34" i="5"/>
  <c r="AC6" i="8" s="1"/>
  <c r="AC18" i="8" s="1"/>
  <c r="W34" i="5"/>
  <c r="X34" i="5"/>
  <c r="AD32" i="5"/>
  <c r="R34" i="5"/>
  <c r="S34" i="5"/>
  <c r="Y34" i="5"/>
  <c r="Z34" i="5"/>
  <c r="AD33" i="5"/>
  <c r="AA34" i="5"/>
  <c r="AA6" i="8" s="1"/>
  <c r="AA18" i="8" s="1"/>
  <c r="Z24" i="9" s="1"/>
  <c r="T34" i="5"/>
  <c r="V34" i="5"/>
  <c r="O8" i="7"/>
  <c r="AF46" i="4"/>
  <c r="AD33" i="4"/>
  <c r="W34" i="4" s="1"/>
  <c r="AD17" i="4"/>
  <c r="AF32" i="4" s="1"/>
  <c r="AD16" i="4"/>
  <c r="AF16" i="4" s="1"/>
  <c r="O23" i="5"/>
  <c r="O8" i="5" s="1"/>
  <c r="AD29" i="5"/>
  <c r="O30" i="5"/>
  <c r="AD30" i="5"/>
  <c r="O24" i="5"/>
  <c r="AD24" i="5"/>
  <c r="O31" i="5"/>
  <c r="AD23" i="5"/>
  <c r="AD8" i="5" s="1"/>
  <c r="E6" i="15" s="1"/>
  <c r="F6" i="15" s="1"/>
  <c r="G6" i="15" s="1"/>
  <c r="O25" i="5"/>
  <c r="AD25" i="5"/>
  <c r="O27" i="5"/>
  <c r="O28" i="5"/>
  <c r="AD28" i="5"/>
  <c r="O29" i="5"/>
  <c r="AD27" i="5"/>
  <c r="AD31" i="5"/>
  <c r="AD47" i="6"/>
  <c r="AD15" i="8" l="1"/>
  <c r="S34" i="4"/>
  <c r="D5" i="13"/>
  <c r="E5" i="13" s="1"/>
  <c r="D6" i="13"/>
  <c r="D9" i="13"/>
  <c r="D8" i="13"/>
  <c r="F6" i="14"/>
  <c r="F28" i="14" s="1"/>
  <c r="E28" i="14"/>
  <c r="V34" i="4"/>
  <c r="AF18" i="6"/>
  <c r="E24" i="16"/>
  <c r="E26" i="16"/>
  <c r="AF19" i="6"/>
  <c r="X34" i="4"/>
  <c r="AB34" i="4"/>
  <c r="U34" i="4"/>
  <c r="Z34" i="4"/>
  <c r="R34" i="4"/>
  <c r="Y34" i="4"/>
  <c r="T34" i="4"/>
  <c r="AC34" i="4"/>
  <c r="AL40" i="6"/>
  <c r="AM40" i="6" s="1"/>
  <c r="AL42" i="6"/>
  <c r="AM42" i="6" s="1"/>
  <c r="AL38" i="6"/>
  <c r="AM38" i="6" s="1"/>
  <c r="AL37" i="6"/>
  <c r="AM37" i="6" s="1"/>
  <c r="K12" i="3"/>
  <c r="O41" i="9"/>
  <c r="AF50" i="6"/>
  <c r="E23" i="18"/>
  <c r="F23" i="18" s="1"/>
  <c r="G23" i="18" s="1"/>
  <c r="H23" i="18" s="1"/>
  <c r="I23" i="18" s="1"/>
  <c r="J23" i="18" s="1"/>
  <c r="K23" i="18" s="1"/>
  <c r="L23" i="18" s="1"/>
  <c r="M23" i="18" s="1"/>
  <c r="AF54" i="6"/>
  <c r="E27" i="18"/>
  <c r="E7" i="18"/>
  <c r="AF53" i="6"/>
  <c r="E26" i="18"/>
  <c r="F26" i="18" s="1"/>
  <c r="G26" i="18" s="1"/>
  <c r="H26" i="18" s="1"/>
  <c r="I26" i="18" s="1"/>
  <c r="J26" i="18" s="1"/>
  <c r="K26" i="18" s="1"/>
  <c r="L26" i="18" s="1"/>
  <c r="M26" i="18" s="1"/>
  <c r="AF52" i="6"/>
  <c r="E25" i="18"/>
  <c r="AF41" i="6"/>
  <c r="E14" i="18"/>
  <c r="AF49" i="6"/>
  <c r="E22" i="18"/>
  <c r="F22" i="18" s="1"/>
  <c r="G22" i="18" s="1"/>
  <c r="H22" i="18" s="1"/>
  <c r="I22" i="18" s="1"/>
  <c r="J22" i="18" s="1"/>
  <c r="K22" i="18" s="1"/>
  <c r="L22" i="18" s="1"/>
  <c r="M22" i="18" s="1"/>
  <c r="AF51" i="6"/>
  <c r="E24" i="18"/>
  <c r="F24" i="18" s="1"/>
  <c r="G24" i="18" s="1"/>
  <c r="H24" i="18" s="1"/>
  <c r="I24" i="18" s="1"/>
  <c r="J24" i="18" s="1"/>
  <c r="K24" i="18" s="1"/>
  <c r="L24" i="18" s="1"/>
  <c r="M24" i="18" s="1"/>
  <c r="E20" i="18"/>
  <c r="G16" i="14"/>
  <c r="F17" i="14"/>
  <c r="AF15" i="6"/>
  <c r="E18" i="16"/>
  <c r="AF14" i="6"/>
  <c r="E16" i="16"/>
  <c r="G10" i="14"/>
  <c r="F11" i="14"/>
  <c r="H24" i="14"/>
  <c r="G25" i="14"/>
  <c r="G18" i="14"/>
  <c r="F19" i="14"/>
  <c r="E8" i="16"/>
  <c r="AF10" i="6"/>
  <c r="G22" i="14"/>
  <c r="F23" i="14"/>
  <c r="D6" i="15"/>
  <c r="D5" i="10"/>
  <c r="G8" i="14"/>
  <c r="F9" i="14"/>
  <c r="G14" i="14"/>
  <c r="F15" i="14"/>
  <c r="H26" i="14"/>
  <c r="G27" i="14"/>
  <c r="E20" i="16"/>
  <c r="AF16" i="6"/>
  <c r="AF9" i="6"/>
  <c r="E6" i="16"/>
  <c r="F6" i="16" s="1"/>
  <c r="G6" i="16" s="1"/>
  <c r="H6" i="16" s="1"/>
  <c r="I6" i="16" s="1"/>
  <c r="J6" i="16" s="1"/>
  <c r="K6" i="16" s="1"/>
  <c r="L6" i="16" s="1"/>
  <c r="M6" i="16" s="1"/>
  <c r="E22" i="16"/>
  <c r="AF17" i="6"/>
  <c r="E14" i="16"/>
  <c r="AF13" i="6"/>
  <c r="E10" i="16"/>
  <c r="AF11" i="6"/>
  <c r="G20" i="14"/>
  <c r="F21" i="14"/>
  <c r="G6" i="14"/>
  <c r="E6" i="18"/>
  <c r="AF39" i="6"/>
  <c r="E12" i="18"/>
  <c r="K28" i="3"/>
  <c r="K21" i="3"/>
  <c r="K19" i="3"/>
  <c r="K27" i="3"/>
  <c r="K22" i="3"/>
  <c r="K26" i="3"/>
  <c r="K23" i="3"/>
  <c r="K18" i="3"/>
  <c r="K25" i="3"/>
  <c r="K24" i="3"/>
  <c r="K17" i="3"/>
  <c r="K20" i="3"/>
  <c r="H6" i="15"/>
  <c r="P6" i="9"/>
  <c r="P10" i="9" s="1"/>
  <c r="AD46" i="6"/>
  <c r="AB23" i="9"/>
  <c r="AD62" i="6"/>
  <c r="AF62" i="6" s="1"/>
  <c r="AE32" i="4"/>
  <c r="Z6" i="8"/>
  <c r="Z18" i="8" s="1"/>
  <c r="Y24" i="9" s="1"/>
  <c r="AA6" i="9"/>
  <c r="AA10" i="9" s="1"/>
  <c r="Y6" i="8"/>
  <c r="Z6" i="9"/>
  <c r="Z10" i="9" s="1"/>
  <c r="S6" i="8"/>
  <c r="S18" i="8" s="1"/>
  <c r="R24" i="9" s="1"/>
  <c r="T6" i="9"/>
  <c r="T10" i="9" s="1"/>
  <c r="T6" i="8"/>
  <c r="T18" i="8" s="1"/>
  <c r="S24" i="9" s="1"/>
  <c r="U6" i="9"/>
  <c r="R6" i="8"/>
  <c r="R18" i="8" s="1"/>
  <c r="Q24" i="9" s="1"/>
  <c r="S6" i="9"/>
  <c r="S10" i="9" s="1"/>
  <c r="W6" i="8"/>
  <c r="X6" i="9"/>
  <c r="X10" i="9" s="1"/>
  <c r="U6" i="8"/>
  <c r="U18" i="8" s="1"/>
  <c r="T24" i="9" s="1"/>
  <c r="V6" i="9"/>
  <c r="V10" i="9" s="1"/>
  <c r="X6" i="8"/>
  <c r="X18" i="8" s="1"/>
  <c r="W24" i="9" s="1"/>
  <c r="Y6" i="9"/>
  <c r="Y10" i="9" s="1"/>
  <c r="V6" i="8"/>
  <c r="V18" i="8" s="1"/>
  <c r="U24" i="9" s="1"/>
  <c r="W6" i="9"/>
  <c r="W10" i="9" s="1"/>
  <c r="AB21" i="9"/>
  <c r="AD10" i="5"/>
  <c r="E10" i="15" s="1"/>
  <c r="F10" i="15" s="1"/>
  <c r="G10" i="15" s="1"/>
  <c r="AF17" i="4"/>
  <c r="AD18" i="5"/>
  <c r="AD17" i="5"/>
  <c r="AD16" i="5"/>
  <c r="E22" i="15" s="1"/>
  <c r="F22" i="15" s="1"/>
  <c r="G22" i="15" s="1"/>
  <c r="AD15" i="5"/>
  <c r="E20" i="15" s="1"/>
  <c r="F20" i="15" s="1"/>
  <c r="G20" i="15" s="1"/>
  <c r="O34" i="5"/>
  <c r="AF15" i="8"/>
  <c r="AD63" i="6"/>
  <c r="E34" i="18" s="1"/>
  <c r="AD14" i="5"/>
  <c r="E18" i="15" s="1"/>
  <c r="F18" i="15" s="1"/>
  <c r="G18" i="15" s="1"/>
  <c r="AD13" i="5"/>
  <c r="E16" i="15" s="1"/>
  <c r="F16" i="15" s="1"/>
  <c r="G16" i="15" s="1"/>
  <c r="AD34" i="5"/>
  <c r="AD12" i="5"/>
  <c r="E14" i="15" s="1"/>
  <c r="F14" i="15" s="1"/>
  <c r="G14" i="15" s="1"/>
  <c r="AD9" i="5"/>
  <c r="E8" i="15" s="1"/>
  <c r="F8" i="15" s="1"/>
  <c r="G8" i="15" s="1"/>
  <c r="AE31" i="4"/>
  <c r="AF31" i="4"/>
  <c r="F53" i="6"/>
  <c r="E53" i="6"/>
  <c r="D53" i="6"/>
  <c r="C53" i="6"/>
  <c r="C52" i="6"/>
  <c r="D51" i="6"/>
  <c r="F49" i="6"/>
  <c r="E49" i="6"/>
  <c r="D49" i="6"/>
  <c r="C49" i="6"/>
  <c r="F40" i="6"/>
  <c r="E40" i="6"/>
  <c r="D40" i="6"/>
  <c r="C40" i="6"/>
  <c r="E38" i="6"/>
  <c r="F37" i="6"/>
  <c r="E37" i="6"/>
  <c r="D37" i="6"/>
  <c r="C37" i="6"/>
  <c r="F34" i="6"/>
  <c r="E34" i="6"/>
  <c r="D34" i="6"/>
  <c r="E42" i="6"/>
  <c r="F7" i="14" l="1"/>
  <c r="F21" i="9"/>
  <c r="E21" i="9"/>
  <c r="C21" i="9"/>
  <c r="G22" i="9"/>
  <c r="D21" i="9"/>
  <c r="K15" i="9"/>
  <c r="W15" i="9"/>
  <c r="S15" i="9"/>
  <c r="V15" i="9"/>
  <c r="U15" i="9"/>
  <c r="Q15" i="9"/>
  <c r="P15" i="9"/>
  <c r="R15" i="9"/>
  <c r="G28" i="14"/>
  <c r="F29" i="14"/>
  <c r="D44" i="6"/>
  <c r="D13" i="9"/>
  <c r="C44" i="6"/>
  <c r="F44" i="6"/>
  <c r="E44" i="6"/>
  <c r="X38" i="6"/>
  <c r="W38" i="6"/>
  <c r="Y38" i="6"/>
  <c r="AC38" i="6"/>
  <c r="V38" i="6"/>
  <c r="Z38" i="6"/>
  <c r="AA38" i="6"/>
  <c r="T38" i="6"/>
  <c r="U38" i="6"/>
  <c r="AB38" i="6"/>
  <c r="S38" i="6"/>
  <c r="R38" i="6"/>
  <c r="V40" i="6"/>
  <c r="S40" i="6"/>
  <c r="W40" i="6"/>
  <c r="X40" i="6"/>
  <c r="Y40" i="6"/>
  <c r="AA40" i="6"/>
  <c r="T40" i="6"/>
  <c r="Z40" i="6"/>
  <c r="AC40" i="6"/>
  <c r="R40" i="6"/>
  <c r="AB40" i="6"/>
  <c r="U40" i="6"/>
  <c r="S42" i="6"/>
  <c r="T42" i="6"/>
  <c r="R42" i="6"/>
  <c r="U42" i="6"/>
  <c r="V42" i="6"/>
  <c r="W42" i="6"/>
  <c r="X42" i="6"/>
  <c r="AB42" i="6"/>
  <c r="AC42" i="6"/>
  <c r="Y42" i="6"/>
  <c r="Z42" i="6"/>
  <c r="AA42" i="6"/>
  <c r="Z37" i="6"/>
  <c r="V37" i="6"/>
  <c r="X37" i="6"/>
  <c r="AA37" i="6"/>
  <c r="T37" i="6"/>
  <c r="W37" i="6"/>
  <c r="Y37" i="6"/>
  <c r="AB37" i="6"/>
  <c r="AC37" i="6"/>
  <c r="S37" i="6"/>
  <c r="U37" i="6"/>
  <c r="R37" i="6"/>
  <c r="M15" i="9"/>
  <c r="N15" i="9"/>
  <c r="H14" i="14"/>
  <c r="G15" i="14"/>
  <c r="G15" i="15" s="1"/>
  <c r="H18" i="14"/>
  <c r="G19" i="14"/>
  <c r="G19" i="15" s="1"/>
  <c r="H20" i="14"/>
  <c r="G21" i="14"/>
  <c r="G21" i="15" s="1"/>
  <c r="H8" i="14"/>
  <c r="G9" i="14"/>
  <c r="G9" i="15" s="1"/>
  <c r="I26" i="14"/>
  <c r="H27" i="14"/>
  <c r="H6" i="14"/>
  <c r="G7" i="14"/>
  <c r="D24" i="15"/>
  <c r="D14" i="10"/>
  <c r="H10" i="14"/>
  <c r="G11" i="14"/>
  <c r="G11" i="15" s="1"/>
  <c r="H16" i="14"/>
  <c r="G17" i="14"/>
  <c r="G17" i="15" s="1"/>
  <c r="I24" i="14"/>
  <c r="H25" i="14"/>
  <c r="H22" i="14"/>
  <c r="G23" i="14"/>
  <c r="G23" i="15" s="1"/>
  <c r="H20" i="15"/>
  <c r="H22" i="15"/>
  <c r="AF18" i="5"/>
  <c r="E26" i="15"/>
  <c r="F26" i="15" s="1"/>
  <c r="G26" i="15" s="1"/>
  <c r="H10" i="15"/>
  <c r="H8" i="15"/>
  <c r="H16" i="15"/>
  <c r="I6" i="15"/>
  <c r="AF17" i="5"/>
  <c r="E24" i="15"/>
  <c r="F24" i="15" s="1"/>
  <c r="G24" i="15" s="1"/>
  <c r="H14" i="15"/>
  <c r="H18" i="15"/>
  <c r="AF63" i="6"/>
  <c r="AF64" i="6" s="1"/>
  <c r="AE64" i="6"/>
  <c r="C19" i="9"/>
  <c r="E19" i="9"/>
  <c r="D19" i="9"/>
  <c r="F19" i="9"/>
  <c r="Y18" i="8"/>
  <c r="X24" i="9" s="1"/>
  <c r="E13" i="9"/>
  <c r="E22" i="9"/>
  <c r="D22" i="9"/>
  <c r="W18" i="8"/>
  <c r="V24" i="9" s="1"/>
  <c r="AB6" i="9"/>
  <c r="AD6" i="8"/>
  <c r="F22" i="9"/>
  <c r="G13" i="9"/>
  <c r="F13" i="9"/>
  <c r="H7" i="9"/>
  <c r="AE7" i="7"/>
  <c r="AE6" i="7"/>
  <c r="H28" i="14" l="1"/>
  <c r="G7" i="15"/>
  <c r="G29" i="14"/>
  <c r="O15" i="9"/>
  <c r="AD38" i="6"/>
  <c r="AD42" i="6"/>
  <c r="I6" i="14"/>
  <c r="H7" i="14"/>
  <c r="J26" i="14"/>
  <c r="I27" i="14"/>
  <c r="I20" i="14"/>
  <c r="H21" i="14"/>
  <c r="H21" i="15" s="1"/>
  <c r="I10" i="14"/>
  <c r="H11" i="14"/>
  <c r="H11" i="15" s="1"/>
  <c r="J24" i="14"/>
  <c r="I25" i="14"/>
  <c r="I18" i="14"/>
  <c r="H19" i="14"/>
  <c r="H19" i="15" s="1"/>
  <c r="I8" i="14"/>
  <c r="H9" i="14"/>
  <c r="H9" i="15" s="1"/>
  <c r="I22" i="14"/>
  <c r="H23" i="14"/>
  <c r="H23" i="15" s="1"/>
  <c r="I16" i="14"/>
  <c r="H17" i="14"/>
  <c r="H17" i="15" s="1"/>
  <c r="I14" i="14"/>
  <c r="H15" i="14"/>
  <c r="H15" i="15" s="1"/>
  <c r="H24" i="15"/>
  <c r="G25" i="15"/>
  <c r="H26" i="15"/>
  <c r="G27" i="15"/>
  <c r="J6" i="15"/>
  <c r="I10" i="15"/>
  <c r="I16" i="15"/>
  <c r="I8" i="15"/>
  <c r="I18" i="15"/>
  <c r="I22" i="15"/>
  <c r="I14" i="15"/>
  <c r="I20" i="15"/>
  <c r="K6" i="3"/>
  <c r="AD18" i="8"/>
  <c r="AF18" i="8" s="1"/>
  <c r="AD8" i="7"/>
  <c r="AD7" i="7"/>
  <c r="AF7" i="7" s="1"/>
  <c r="AD6" i="7"/>
  <c r="AF6" i="7" s="1"/>
  <c r="C5" i="7"/>
  <c r="C13" i="22"/>
  <c r="C6" i="17"/>
  <c r="F53" i="2"/>
  <c r="G53" i="2" s="1"/>
  <c r="B51" i="2"/>
  <c r="C19" i="27"/>
  <c r="C21" i="25"/>
  <c r="C20" i="25"/>
  <c r="M14" i="24"/>
  <c r="C11" i="22"/>
  <c r="C10" i="21"/>
  <c r="E7" i="19"/>
  <c r="D6" i="19"/>
  <c r="D5" i="19"/>
  <c r="M27" i="18"/>
  <c r="L27" i="18"/>
  <c r="K27" i="18"/>
  <c r="J27" i="18"/>
  <c r="I27" i="18"/>
  <c r="H27" i="18"/>
  <c r="G27" i="18"/>
  <c r="F27" i="18"/>
  <c r="M25" i="18"/>
  <c r="L25" i="18"/>
  <c r="K25" i="18"/>
  <c r="J25" i="18"/>
  <c r="I25" i="18"/>
  <c r="H25" i="18"/>
  <c r="G25" i="18"/>
  <c r="F25" i="18"/>
  <c r="L17" i="27"/>
  <c r="K17" i="27"/>
  <c r="J17" i="27"/>
  <c r="I17" i="27"/>
  <c r="H17" i="27"/>
  <c r="G17" i="27"/>
  <c r="F17" i="27"/>
  <c r="E17" i="27"/>
  <c r="D17" i="27"/>
  <c r="AF47" i="6"/>
  <c r="M14" i="18"/>
  <c r="L14" i="18"/>
  <c r="K14" i="18"/>
  <c r="J14" i="18"/>
  <c r="I14" i="18"/>
  <c r="H14" i="18"/>
  <c r="G14" i="18"/>
  <c r="AF34" i="6"/>
  <c r="L21" i="17"/>
  <c r="K21" i="17"/>
  <c r="J21" i="17"/>
  <c r="I21" i="17"/>
  <c r="H21" i="17"/>
  <c r="G21" i="17"/>
  <c r="F21" i="17"/>
  <c r="E21" i="17"/>
  <c r="D21" i="17"/>
  <c r="L19" i="17"/>
  <c r="K19" i="17"/>
  <c r="J19" i="17"/>
  <c r="C16" i="17"/>
  <c r="D17" i="17" s="1"/>
  <c r="D19" i="17" s="1"/>
  <c r="E17" i="17" s="1"/>
  <c r="E19" i="17" s="1"/>
  <c r="F17" i="17" s="1"/>
  <c r="F19" i="17" s="1"/>
  <c r="G17" i="17" s="1"/>
  <c r="G19" i="17" s="1"/>
  <c r="H17" i="17" s="1"/>
  <c r="H19" i="17" s="1"/>
  <c r="I17" i="17" s="1"/>
  <c r="I19" i="17" s="1"/>
  <c r="M12" i="17"/>
  <c r="M25" i="17" s="1"/>
  <c r="L12" i="17"/>
  <c r="K12" i="17"/>
  <c r="J12" i="17"/>
  <c r="I12" i="17"/>
  <c r="H12" i="17"/>
  <c r="G12" i="17"/>
  <c r="F12" i="17"/>
  <c r="E12" i="17"/>
  <c r="D12" i="17"/>
  <c r="M10" i="17"/>
  <c r="L10" i="17"/>
  <c r="K10" i="17"/>
  <c r="J10" i="17"/>
  <c r="M17" i="7"/>
  <c r="N17" i="7" s="1"/>
  <c r="R17" i="7" s="1"/>
  <c r="S17" i="7" s="1"/>
  <c r="T17" i="7" s="1"/>
  <c r="U17" i="7" s="1"/>
  <c r="V17" i="7" s="1"/>
  <c r="W17" i="7" s="1"/>
  <c r="E27" i="16"/>
  <c r="D27" i="16"/>
  <c r="F26" i="16"/>
  <c r="E25" i="16"/>
  <c r="D25" i="16"/>
  <c r="F24" i="16"/>
  <c r="F16" i="16"/>
  <c r="AF16" i="5"/>
  <c r="AF15" i="5"/>
  <c r="AF14" i="5"/>
  <c r="AF13" i="5"/>
  <c r="AF12" i="5"/>
  <c r="AF10" i="5"/>
  <c r="AF9" i="5"/>
  <c r="AF8" i="5"/>
  <c r="D27" i="15"/>
  <c r="Q33" i="5" s="1"/>
  <c r="E25" i="15"/>
  <c r="AF32" i="5" s="1"/>
  <c r="E13" i="13"/>
  <c r="E8" i="13"/>
  <c r="F20" i="18" s="1"/>
  <c r="C20" i="12"/>
  <c r="C15" i="12"/>
  <c r="E15" i="12" s="1"/>
  <c r="C14" i="12"/>
  <c r="C13" i="12"/>
  <c r="E13" i="12" s="1"/>
  <c r="D12" i="12"/>
  <c r="C12" i="12"/>
  <c r="C11" i="12"/>
  <c r="E11" i="12" s="1"/>
  <c r="C10" i="12"/>
  <c r="E10" i="12" s="1"/>
  <c r="G13" i="11"/>
  <c r="G15" i="11" s="1"/>
  <c r="C5" i="19" s="1"/>
  <c r="N10" i="9"/>
  <c r="M10" i="9"/>
  <c r="L10" i="9"/>
  <c r="K10" i="9"/>
  <c r="J10" i="9"/>
  <c r="I10" i="9"/>
  <c r="H10" i="9"/>
  <c r="G10" i="9"/>
  <c r="F10" i="9"/>
  <c r="E10" i="9"/>
  <c r="D10" i="9"/>
  <c r="C10" i="9"/>
  <c r="O9" i="9"/>
  <c r="O7" i="9"/>
  <c r="O6" i="9"/>
  <c r="P7" i="7"/>
  <c r="Q7" i="7" s="1"/>
  <c r="P6" i="7"/>
  <c r="Q6" i="7" s="1"/>
  <c r="H5" i="7"/>
  <c r="G5" i="7"/>
  <c r="F5" i="7"/>
  <c r="E5" i="7"/>
  <c r="D5" i="7"/>
  <c r="N63" i="6"/>
  <c r="N15" i="8" s="1"/>
  <c r="M63" i="6"/>
  <c r="M15" i="8" s="1"/>
  <c r="L63" i="6"/>
  <c r="L15" i="8" s="1"/>
  <c r="K63" i="6"/>
  <c r="K15" i="8" s="1"/>
  <c r="J63" i="6"/>
  <c r="J15" i="8" s="1"/>
  <c r="I63" i="6"/>
  <c r="I15" i="8" s="1"/>
  <c r="O36" i="6"/>
  <c r="D9" i="18" s="1"/>
  <c r="O45" i="4"/>
  <c r="O16" i="5" s="1"/>
  <c r="O44" i="4"/>
  <c r="O15" i="5" s="1"/>
  <c r="O43" i="4"/>
  <c r="O14" i="5" s="1"/>
  <c r="O42" i="4"/>
  <c r="O13" i="5" s="1"/>
  <c r="O41" i="4"/>
  <c r="O39" i="4"/>
  <c r="O10" i="5" s="1"/>
  <c r="O38" i="4"/>
  <c r="O9" i="5" s="1"/>
  <c r="O30" i="4"/>
  <c r="O29" i="4"/>
  <c r="O28" i="4"/>
  <c r="O27" i="4"/>
  <c r="O26" i="4"/>
  <c r="F9" i="10" s="1"/>
  <c r="O24" i="4"/>
  <c r="O23" i="4"/>
  <c r="O22" i="4"/>
  <c r="B38" i="2"/>
  <c r="C51" i="2" s="1"/>
  <c r="F25" i="17" l="1"/>
  <c r="E12" i="12"/>
  <c r="E25" i="17"/>
  <c r="J25" i="17"/>
  <c r="L25" i="17"/>
  <c r="L7" i="22" s="1"/>
  <c r="L11" i="22" s="1"/>
  <c r="G25" i="17"/>
  <c r="G7" i="22" s="1"/>
  <c r="G11" i="22" s="1"/>
  <c r="G13" i="24" s="1"/>
  <c r="H25" i="17"/>
  <c r="H7" i="22" s="1"/>
  <c r="H11" i="22" s="1"/>
  <c r="H13" i="24" s="1"/>
  <c r="K25" i="17"/>
  <c r="K7" i="22" s="1"/>
  <c r="K11" i="22" s="1"/>
  <c r="K13" i="24" s="1"/>
  <c r="I25" i="17"/>
  <c r="I7" i="22" s="1"/>
  <c r="I11" i="22" s="1"/>
  <c r="I13" i="25" s="1"/>
  <c r="H7" i="15"/>
  <c r="H29" i="14"/>
  <c r="I28" i="14"/>
  <c r="O12" i="5"/>
  <c r="D9" i="10" s="1"/>
  <c r="G9" i="10"/>
  <c r="G28" i="15"/>
  <c r="AS40" i="9" s="1"/>
  <c r="AS39" i="9" s="1"/>
  <c r="AE14" i="7"/>
  <c r="AF14" i="7" s="1"/>
  <c r="D25" i="17"/>
  <c r="D7" i="22" s="1"/>
  <c r="D11" i="22" s="1"/>
  <c r="M7" i="22"/>
  <c r="M11" i="22" s="1"/>
  <c r="M13" i="25" s="1"/>
  <c r="J7" i="22"/>
  <c r="J11" i="22" s="1"/>
  <c r="J13" i="25" s="1"/>
  <c r="F7" i="22"/>
  <c r="F11" i="22" s="1"/>
  <c r="F13" i="24" s="1"/>
  <c r="E7" i="22"/>
  <c r="E11" i="22" s="1"/>
  <c r="E13" i="24" s="1"/>
  <c r="AE8" i="7"/>
  <c r="AF8" i="7" s="1"/>
  <c r="F7" i="18"/>
  <c r="E6" i="13"/>
  <c r="AF42" i="6"/>
  <c r="E15" i="18"/>
  <c r="F15" i="18" s="1"/>
  <c r="G15" i="18" s="1"/>
  <c r="H15" i="18" s="1"/>
  <c r="I15" i="18" s="1"/>
  <c r="J15" i="18" s="1"/>
  <c r="K15" i="18" s="1"/>
  <c r="L15" i="18" s="1"/>
  <c r="M15" i="18" s="1"/>
  <c r="AF38" i="6"/>
  <c r="E11" i="18"/>
  <c r="J18" i="14"/>
  <c r="I19" i="14"/>
  <c r="I19" i="15" s="1"/>
  <c r="Q14" i="5"/>
  <c r="G11" i="10"/>
  <c r="D19" i="14"/>
  <c r="J10" i="14"/>
  <c r="I11" i="14"/>
  <c r="I11" i="15" s="1"/>
  <c r="F13" i="10"/>
  <c r="D22" i="14"/>
  <c r="O17" i="6"/>
  <c r="G6" i="10"/>
  <c r="D9" i="14"/>
  <c r="Q16" i="5"/>
  <c r="G13" i="10"/>
  <c r="D23" i="14"/>
  <c r="F12" i="10"/>
  <c r="D20" i="14"/>
  <c r="O16" i="6"/>
  <c r="G7" i="10"/>
  <c r="D11" i="14"/>
  <c r="G10" i="10"/>
  <c r="D17" i="14"/>
  <c r="Q13" i="5"/>
  <c r="Q15" i="5"/>
  <c r="G12" i="10"/>
  <c r="D21" i="14"/>
  <c r="J20" i="14"/>
  <c r="I21" i="14"/>
  <c r="I21" i="15" s="1"/>
  <c r="D15" i="14"/>
  <c r="F5" i="10"/>
  <c r="D6" i="14"/>
  <c r="O9" i="6"/>
  <c r="F11" i="10"/>
  <c r="D18" i="14"/>
  <c r="O15" i="6"/>
  <c r="J8" i="14"/>
  <c r="I9" i="14"/>
  <c r="I9" i="15" s="1"/>
  <c r="K24" i="14"/>
  <c r="J25" i="14"/>
  <c r="F6" i="10"/>
  <c r="D8" i="14"/>
  <c r="O10" i="6"/>
  <c r="J14" i="14"/>
  <c r="I15" i="14"/>
  <c r="I15" i="15" s="1"/>
  <c r="K26" i="14"/>
  <c r="J27" i="14"/>
  <c r="F10" i="10"/>
  <c r="D16" i="14"/>
  <c r="O14" i="6"/>
  <c r="J22" i="14"/>
  <c r="I23" i="14"/>
  <c r="I23" i="15" s="1"/>
  <c r="F7" i="10"/>
  <c r="D10" i="14"/>
  <c r="O11" i="6"/>
  <c r="D14" i="14"/>
  <c r="O13" i="6"/>
  <c r="E9" i="10" s="1"/>
  <c r="J16" i="14"/>
  <c r="I17" i="14"/>
  <c r="I17" i="15" s="1"/>
  <c r="J6" i="14"/>
  <c r="I7" i="14"/>
  <c r="J10" i="15"/>
  <c r="K6" i="15"/>
  <c r="J22" i="15"/>
  <c r="J18" i="15"/>
  <c r="J20" i="15"/>
  <c r="I26" i="15"/>
  <c r="H27" i="15"/>
  <c r="J8" i="15"/>
  <c r="J16" i="15"/>
  <c r="J14" i="15"/>
  <c r="I24" i="15"/>
  <c r="H25" i="15"/>
  <c r="E27" i="15"/>
  <c r="AF33" i="5" s="1"/>
  <c r="AF47" i="4"/>
  <c r="D25" i="15"/>
  <c r="Q32" i="5" s="1"/>
  <c r="Q45" i="4"/>
  <c r="Q44" i="4"/>
  <c r="Q43" i="4"/>
  <c r="E17" i="16"/>
  <c r="Q41" i="4"/>
  <c r="Q38" i="4"/>
  <c r="S55" i="6"/>
  <c r="S11" i="8" s="1"/>
  <c r="AC55" i="6"/>
  <c r="AC11" i="8" s="1"/>
  <c r="Y55" i="6"/>
  <c r="Y11" i="8" s="1"/>
  <c r="AA55" i="6"/>
  <c r="AA11" i="8" s="1"/>
  <c r="Z55" i="6"/>
  <c r="Z11" i="8" s="1"/>
  <c r="AB55" i="6"/>
  <c r="AB11" i="8" s="1"/>
  <c r="T55" i="6"/>
  <c r="T11" i="8" s="1"/>
  <c r="V55" i="6"/>
  <c r="V11" i="8" s="1"/>
  <c r="W55" i="6"/>
  <c r="W11" i="8" s="1"/>
  <c r="U55" i="6"/>
  <c r="U11" i="8" s="1"/>
  <c r="X55" i="6"/>
  <c r="X11" i="8" s="1"/>
  <c r="AA36" i="6"/>
  <c r="AB36" i="6"/>
  <c r="AC36" i="6"/>
  <c r="AA22" i="9" s="1"/>
  <c r="W36" i="6"/>
  <c r="V36" i="6"/>
  <c r="S36" i="6"/>
  <c r="Q22" i="9" s="1"/>
  <c r="X36" i="6"/>
  <c r="T36" i="6"/>
  <c r="R36" i="6"/>
  <c r="R44" i="6" s="1"/>
  <c r="Y36" i="6"/>
  <c r="U36" i="6"/>
  <c r="Z36" i="6"/>
  <c r="O15" i="4"/>
  <c r="P30" i="4" s="1"/>
  <c r="O33" i="4"/>
  <c r="C18" i="4"/>
  <c r="J18" i="4"/>
  <c r="N52" i="6"/>
  <c r="K52" i="6"/>
  <c r="J52" i="6"/>
  <c r="M52" i="6"/>
  <c r="I52" i="6"/>
  <c r="L52" i="6"/>
  <c r="H52" i="6"/>
  <c r="G52" i="6"/>
  <c r="O48" i="4"/>
  <c r="D63" i="6"/>
  <c r="D15" i="8" s="1"/>
  <c r="X17" i="7"/>
  <c r="Y17" i="7" s="1"/>
  <c r="Z17" i="7" s="1"/>
  <c r="AA17" i="7" s="1"/>
  <c r="AB17" i="7" s="1"/>
  <c r="AC17" i="7" s="1"/>
  <c r="H63" i="6"/>
  <c r="H15" i="8" s="1"/>
  <c r="G63" i="6"/>
  <c r="G15" i="8" s="1"/>
  <c r="E63" i="6"/>
  <c r="E15" i="8" s="1"/>
  <c r="F63" i="6"/>
  <c r="F15" i="8" s="1"/>
  <c r="O23" i="9"/>
  <c r="O10" i="4"/>
  <c r="P24" i="4" s="1"/>
  <c r="K18" i="4"/>
  <c r="L18" i="4"/>
  <c r="M18" i="4"/>
  <c r="O14" i="4"/>
  <c r="P29" i="4" s="1"/>
  <c r="N18" i="4"/>
  <c r="D18" i="4"/>
  <c r="O13" i="4"/>
  <c r="P28" i="4" s="1"/>
  <c r="O9" i="4"/>
  <c r="Q23" i="4" s="1"/>
  <c r="F18" i="4"/>
  <c r="E18" i="4"/>
  <c r="O12" i="4"/>
  <c r="P27" i="4" s="1"/>
  <c r="H18" i="4"/>
  <c r="G18" i="4"/>
  <c r="I18" i="4"/>
  <c r="O5" i="7"/>
  <c r="AD5" i="7"/>
  <c r="M6" i="8"/>
  <c r="J6" i="8"/>
  <c r="G6" i="8"/>
  <c r="D6" i="8"/>
  <c r="K6" i="8"/>
  <c r="N6" i="8"/>
  <c r="I6" i="8"/>
  <c r="H6" i="8"/>
  <c r="E6" i="8"/>
  <c r="F6" i="8"/>
  <c r="L6" i="8"/>
  <c r="Q8" i="5"/>
  <c r="C6" i="8"/>
  <c r="C13" i="25"/>
  <c r="C13" i="24"/>
  <c r="E14" i="12"/>
  <c r="C9" i="12"/>
  <c r="C12" i="24" s="1"/>
  <c r="F13" i="13"/>
  <c r="G13" i="13" s="1"/>
  <c r="F9" i="18"/>
  <c r="P8" i="7"/>
  <c r="Q8" i="7" s="1"/>
  <c r="O11" i="4"/>
  <c r="E7" i="15"/>
  <c r="F6" i="19"/>
  <c r="L6" i="19"/>
  <c r="N6" i="19"/>
  <c r="I6" i="19"/>
  <c r="G6" i="19"/>
  <c r="H6" i="19"/>
  <c r="J6" i="19"/>
  <c r="O6" i="19"/>
  <c r="M6" i="19"/>
  <c r="K6" i="19"/>
  <c r="M13" i="24"/>
  <c r="M11" i="25"/>
  <c r="M16" i="24"/>
  <c r="L11" i="25"/>
  <c r="L16" i="24"/>
  <c r="K11" i="25"/>
  <c r="K16" i="24"/>
  <c r="J11" i="25"/>
  <c r="J16" i="24"/>
  <c r="I11" i="25"/>
  <c r="I16" i="24"/>
  <c r="H16" i="24"/>
  <c r="H11" i="25"/>
  <c r="G16" i="24"/>
  <c r="G11" i="25"/>
  <c r="F11" i="25"/>
  <c r="F16" i="24"/>
  <c r="E11" i="25"/>
  <c r="E16" i="24"/>
  <c r="D11" i="25"/>
  <c r="D16" i="24"/>
  <c r="M10" i="25"/>
  <c r="M15" i="24"/>
  <c r="L10" i="25"/>
  <c r="L15" i="24"/>
  <c r="K10" i="25"/>
  <c r="K15" i="24"/>
  <c r="J10" i="25"/>
  <c r="J15" i="24"/>
  <c r="I15" i="24"/>
  <c r="I10" i="25"/>
  <c r="H10" i="25"/>
  <c r="H15" i="24"/>
  <c r="G15" i="24"/>
  <c r="G10" i="25"/>
  <c r="F15" i="24"/>
  <c r="F10" i="25"/>
  <c r="E10" i="25"/>
  <c r="E15" i="24"/>
  <c r="D10" i="25"/>
  <c r="D15" i="24"/>
  <c r="D8" i="17"/>
  <c r="D10" i="17" s="1"/>
  <c r="E8" i="17" s="1"/>
  <c r="E10" i="17" s="1"/>
  <c r="F8" i="17" s="1"/>
  <c r="F10" i="17" s="1"/>
  <c r="G8" i="17" s="1"/>
  <c r="G10" i="17" s="1"/>
  <c r="H8" i="17" s="1"/>
  <c r="H10" i="17" s="1"/>
  <c r="I8" i="17" s="1"/>
  <c r="I10" i="17" s="1"/>
  <c r="C7" i="17"/>
  <c r="G26" i="16"/>
  <c r="F27" i="16"/>
  <c r="F25" i="16"/>
  <c r="G24" i="16"/>
  <c r="E23" i="16"/>
  <c r="F22" i="16"/>
  <c r="F20" i="16"/>
  <c r="E21" i="16"/>
  <c r="E19" i="16"/>
  <c r="F18" i="16"/>
  <c r="G16" i="16"/>
  <c r="E15" i="16"/>
  <c r="F14" i="16"/>
  <c r="E11" i="16"/>
  <c r="F10" i="16"/>
  <c r="E9" i="16"/>
  <c r="F8" i="16"/>
  <c r="E7" i="16"/>
  <c r="F27" i="15"/>
  <c r="F25" i="15"/>
  <c r="F17" i="16"/>
  <c r="AF38" i="4"/>
  <c r="D7" i="15"/>
  <c r="E9" i="13"/>
  <c r="F21" i="18" s="1"/>
  <c r="F28" i="18" s="1"/>
  <c r="E8" i="21" s="1"/>
  <c r="F8" i="13"/>
  <c r="F5" i="13"/>
  <c r="F6" i="13" s="1"/>
  <c r="F5" i="19"/>
  <c r="H5" i="19"/>
  <c r="J5" i="19"/>
  <c r="K5" i="19"/>
  <c r="L5" i="19"/>
  <c r="L7" i="19" s="1"/>
  <c r="J31" i="18" s="1"/>
  <c r="M5" i="19"/>
  <c r="N5" i="19"/>
  <c r="N7" i="19" s="1"/>
  <c r="L31" i="18" s="1"/>
  <c r="O5" i="19"/>
  <c r="O7" i="19" s="1"/>
  <c r="G5" i="19"/>
  <c r="G7" i="19" s="1"/>
  <c r="AE58" i="6" s="1"/>
  <c r="I5" i="19"/>
  <c r="I7" i="19" s="1"/>
  <c r="G31" i="18" s="1"/>
  <c r="C7" i="19"/>
  <c r="O10" i="9"/>
  <c r="Q42" i="4"/>
  <c r="D7" i="10"/>
  <c r="Q37" i="4"/>
  <c r="O8" i="4"/>
  <c r="D9" i="12"/>
  <c r="C6" i="26"/>
  <c r="C7" i="26" s="1"/>
  <c r="C9" i="24"/>
  <c r="C5" i="24" s="1"/>
  <c r="Q36" i="6"/>
  <c r="K7" i="19" l="1"/>
  <c r="I31" i="18" s="1"/>
  <c r="F7" i="19"/>
  <c r="P58" i="6" s="1"/>
  <c r="G9" i="18"/>
  <c r="R58" i="6"/>
  <c r="AE14" i="8"/>
  <c r="AE59" i="6"/>
  <c r="L13" i="24"/>
  <c r="L13" i="25"/>
  <c r="E13" i="25"/>
  <c r="H13" i="25"/>
  <c r="G13" i="25"/>
  <c r="D28" i="14"/>
  <c r="I7" i="15"/>
  <c r="I29" i="14"/>
  <c r="D29" i="14"/>
  <c r="J28" i="14"/>
  <c r="H28" i="15"/>
  <c r="BF40" i="9" s="1"/>
  <c r="BF39" i="9" s="1"/>
  <c r="E28" i="16"/>
  <c r="D14" i="20" s="1"/>
  <c r="K13" i="25"/>
  <c r="F13" i="25"/>
  <c r="J13" i="24"/>
  <c r="I13" i="24"/>
  <c r="V44" i="6"/>
  <c r="V65" i="6" s="1"/>
  <c r="T22" i="9"/>
  <c r="X44" i="6"/>
  <c r="X65" i="6" s="1"/>
  <c r="V22" i="9"/>
  <c r="W44" i="6"/>
  <c r="W65" i="6" s="1"/>
  <c r="U22" i="9"/>
  <c r="T44" i="6"/>
  <c r="T65" i="6" s="1"/>
  <c r="R22" i="9"/>
  <c r="AB44" i="6"/>
  <c r="AB65" i="6" s="1"/>
  <c r="Z22" i="9"/>
  <c r="AA44" i="6"/>
  <c r="AA65" i="6" s="1"/>
  <c r="Y22" i="9"/>
  <c r="U44" i="6"/>
  <c r="U65" i="6" s="1"/>
  <c r="S22" i="9"/>
  <c r="Z44" i="6"/>
  <c r="Z65" i="6" s="1"/>
  <c r="X22" i="9"/>
  <c r="Y44" i="6"/>
  <c r="Y65" i="6" s="1"/>
  <c r="W22" i="9"/>
  <c r="AC44" i="6"/>
  <c r="AC65" i="6" s="1"/>
  <c r="F11" i="18"/>
  <c r="D16" i="27"/>
  <c r="K14" i="14"/>
  <c r="J15" i="14"/>
  <c r="J15" i="15" s="1"/>
  <c r="D16" i="15"/>
  <c r="D17" i="15" s="1"/>
  <c r="Q28" i="5" s="1"/>
  <c r="D10" i="10"/>
  <c r="D14" i="15"/>
  <c r="D15" i="15" s="1"/>
  <c r="Q27" i="5" s="1"/>
  <c r="E6" i="10"/>
  <c r="D8" i="16"/>
  <c r="D9" i="16" s="1"/>
  <c r="Q10" i="6"/>
  <c r="F16" i="10"/>
  <c r="D20" i="15"/>
  <c r="D21" i="15" s="1"/>
  <c r="Q30" i="5" s="1"/>
  <c r="D12" i="10"/>
  <c r="K8" i="14"/>
  <c r="J9" i="14"/>
  <c r="J9" i="15" s="1"/>
  <c r="K10" i="14"/>
  <c r="J11" i="14"/>
  <c r="J11" i="15" s="1"/>
  <c r="K6" i="14"/>
  <c r="J7" i="14"/>
  <c r="K16" i="14"/>
  <c r="J17" i="14"/>
  <c r="J17" i="15" s="1"/>
  <c r="D14" i="16"/>
  <c r="D15" i="16" s="1"/>
  <c r="Q13" i="6"/>
  <c r="E11" i="10"/>
  <c r="D18" i="16"/>
  <c r="D19" i="16" s="1"/>
  <c r="Q15" i="6"/>
  <c r="K20" i="14"/>
  <c r="J21" i="14"/>
  <c r="J21" i="15" s="1"/>
  <c r="E13" i="10"/>
  <c r="D22" i="16"/>
  <c r="D23" i="16" s="1"/>
  <c r="Q17" i="6"/>
  <c r="E7" i="10"/>
  <c r="D10" i="16"/>
  <c r="D11" i="16" s="1"/>
  <c r="Q11" i="6"/>
  <c r="K22" i="14"/>
  <c r="J23" i="14"/>
  <c r="J23" i="15" s="1"/>
  <c r="L24" i="14"/>
  <c r="K25" i="14"/>
  <c r="Q12" i="5"/>
  <c r="E10" i="10"/>
  <c r="D16" i="16"/>
  <c r="D17" i="16" s="1"/>
  <c r="Q14" i="6"/>
  <c r="D18" i="15"/>
  <c r="D19" i="15" s="1"/>
  <c r="Q29" i="5" s="1"/>
  <c r="D11" i="10"/>
  <c r="L26" i="14"/>
  <c r="K27" i="14"/>
  <c r="E5" i="10"/>
  <c r="Q9" i="6"/>
  <c r="D6" i="16"/>
  <c r="D7" i="16" s="1"/>
  <c r="E12" i="10"/>
  <c r="D20" i="16"/>
  <c r="D21" i="16" s="1"/>
  <c r="Q16" i="6"/>
  <c r="D22" i="15"/>
  <c r="D23" i="15" s="1"/>
  <c r="Q31" i="5" s="1"/>
  <c r="D13" i="10"/>
  <c r="G16" i="10"/>
  <c r="K18" i="14"/>
  <c r="J19" i="14"/>
  <c r="J19" i="15" s="1"/>
  <c r="J26" i="15"/>
  <c r="I27" i="15"/>
  <c r="K18" i="15"/>
  <c r="Q10" i="5"/>
  <c r="D10" i="15"/>
  <c r="D11" i="15" s="1"/>
  <c r="Q25" i="5" s="1"/>
  <c r="K22" i="15"/>
  <c r="K8" i="15"/>
  <c r="J24" i="15"/>
  <c r="I25" i="15"/>
  <c r="L6" i="15"/>
  <c r="K16" i="15"/>
  <c r="K20" i="15"/>
  <c r="K14" i="15"/>
  <c r="K10" i="15"/>
  <c r="P26" i="4"/>
  <c r="O18" i="4"/>
  <c r="D12" i="3" s="1"/>
  <c r="Q15" i="4"/>
  <c r="Q30" i="4"/>
  <c r="AD13" i="4"/>
  <c r="AF13" i="4" s="1"/>
  <c r="E23" i="15"/>
  <c r="AF31" i="5" s="1"/>
  <c r="AF45" i="4"/>
  <c r="AD15" i="4"/>
  <c r="E21" i="15"/>
  <c r="AF30" i="5" s="1"/>
  <c r="AF44" i="4"/>
  <c r="AD14" i="4"/>
  <c r="E19" i="15"/>
  <c r="AF29" i="5" s="1"/>
  <c r="AF43" i="4"/>
  <c r="E17" i="15"/>
  <c r="AF28" i="5" s="1"/>
  <c r="AF42" i="4"/>
  <c r="AD12" i="4"/>
  <c r="AD11" i="4"/>
  <c r="E15" i="15"/>
  <c r="AF27" i="5" s="1"/>
  <c r="AF41" i="4"/>
  <c r="AD10" i="4"/>
  <c r="AF10" i="4" s="1"/>
  <c r="E11" i="15"/>
  <c r="AF25" i="5" s="1"/>
  <c r="AF39" i="4"/>
  <c r="AD9" i="4"/>
  <c r="P48" i="4"/>
  <c r="P34" i="5"/>
  <c r="Q23" i="5"/>
  <c r="AF23" i="5"/>
  <c r="AE18" i="4"/>
  <c r="L12" i="3" s="1"/>
  <c r="M12" i="3" s="1"/>
  <c r="AD8" i="4"/>
  <c r="Z25" i="9"/>
  <c r="X25" i="9"/>
  <c r="V25" i="9"/>
  <c r="R55" i="6"/>
  <c r="AD48" i="6"/>
  <c r="Y25" i="9"/>
  <c r="Q25" i="9"/>
  <c r="AD36" i="6"/>
  <c r="P22" i="9"/>
  <c r="W25" i="9"/>
  <c r="AA25" i="9"/>
  <c r="R25" i="9"/>
  <c r="T25" i="9"/>
  <c r="S25" i="9"/>
  <c r="U25" i="9"/>
  <c r="N49" i="6"/>
  <c r="N21" i="9" s="1"/>
  <c r="G49" i="6"/>
  <c r="G21" i="9" s="1"/>
  <c r="K49" i="6"/>
  <c r="K21" i="9" s="1"/>
  <c r="M49" i="6"/>
  <c r="M21" i="9" s="1"/>
  <c r="H49" i="6"/>
  <c r="H21" i="9" s="1"/>
  <c r="I49" i="6"/>
  <c r="I21" i="9" s="1"/>
  <c r="J49" i="6"/>
  <c r="J21" i="9" s="1"/>
  <c r="L49" i="6"/>
  <c r="L21" i="9" s="1"/>
  <c r="C34" i="4"/>
  <c r="F34" i="4"/>
  <c r="M34" i="4"/>
  <c r="J34" i="4"/>
  <c r="G34" i="4"/>
  <c r="H34" i="4"/>
  <c r="E34" i="4"/>
  <c r="D34" i="4"/>
  <c r="N34" i="4"/>
  <c r="I34" i="4"/>
  <c r="K34" i="4"/>
  <c r="L34" i="4"/>
  <c r="C12" i="3"/>
  <c r="F55" i="6"/>
  <c r="D55" i="6"/>
  <c r="E55" i="6"/>
  <c r="C13" i="3"/>
  <c r="Q24" i="4"/>
  <c r="Q10" i="4"/>
  <c r="O54" i="6"/>
  <c r="O52" i="6"/>
  <c r="Q14" i="4"/>
  <c r="P23" i="4"/>
  <c r="C55" i="6"/>
  <c r="O50" i="6"/>
  <c r="K53" i="6"/>
  <c r="G53" i="6"/>
  <c r="N53" i="6"/>
  <c r="M53" i="6"/>
  <c r="H53" i="6"/>
  <c r="L53" i="6"/>
  <c r="J53" i="6"/>
  <c r="I53" i="6"/>
  <c r="O48" i="6"/>
  <c r="O38" i="6"/>
  <c r="L51" i="6"/>
  <c r="J51" i="6"/>
  <c r="I51" i="6"/>
  <c r="K51" i="6"/>
  <c r="H51" i="6"/>
  <c r="N51" i="6"/>
  <c r="M51" i="6"/>
  <c r="G51" i="6"/>
  <c r="M19" i="9"/>
  <c r="K19" i="9"/>
  <c r="I19" i="9"/>
  <c r="J19" i="9"/>
  <c r="H19" i="9"/>
  <c r="N19" i="9"/>
  <c r="L19" i="9"/>
  <c r="G19" i="9"/>
  <c r="O47" i="6"/>
  <c r="O41" i="6"/>
  <c r="O34" i="6"/>
  <c r="C63" i="6"/>
  <c r="O62" i="6"/>
  <c r="U10" i="9"/>
  <c r="Q9" i="4"/>
  <c r="Q29" i="4"/>
  <c r="Q12" i="4"/>
  <c r="Q13" i="4"/>
  <c r="Q11" i="4"/>
  <c r="Q39" i="4"/>
  <c r="Q48" i="4" s="1"/>
  <c r="Q26" i="4"/>
  <c r="Q27" i="4"/>
  <c r="Q28" i="4"/>
  <c r="D6" i="10"/>
  <c r="G18" i="8"/>
  <c r="H24" i="9" s="1"/>
  <c r="D18" i="8"/>
  <c r="E24" i="9" s="1"/>
  <c r="M18" i="8"/>
  <c r="N24" i="9" s="1"/>
  <c r="J18" i="8"/>
  <c r="K24" i="9" s="1"/>
  <c r="K18" i="8"/>
  <c r="L24" i="9" s="1"/>
  <c r="N18" i="8"/>
  <c r="P24" i="9" s="1"/>
  <c r="I18" i="8"/>
  <c r="J24" i="9" s="1"/>
  <c r="H18" i="8"/>
  <c r="I24" i="9" s="1"/>
  <c r="E18" i="8"/>
  <c r="F24" i="9" s="1"/>
  <c r="F18" i="8"/>
  <c r="G24" i="9" s="1"/>
  <c r="L18" i="8"/>
  <c r="M24" i="9" s="1"/>
  <c r="C8" i="25"/>
  <c r="D13" i="22"/>
  <c r="E13" i="22" s="1"/>
  <c r="F13" i="22" s="1"/>
  <c r="G13" i="22" s="1"/>
  <c r="H13" i="22" s="1"/>
  <c r="I13" i="22" s="1"/>
  <c r="J13" i="22" s="1"/>
  <c r="K13" i="22" s="1"/>
  <c r="L13" i="22" s="1"/>
  <c r="M13" i="22" s="1"/>
  <c r="D13" i="24"/>
  <c r="D13" i="25"/>
  <c r="J7" i="19"/>
  <c r="H31" i="18" s="1"/>
  <c r="G19" i="27" s="1"/>
  <c r="H7" i="19"/>
  <c r="F31" i="18" s="1"/>
  <c r="M7" i="19"/>
  <c r="K31" i="18" s="1"/>
  <c r="L18" i="27"/>
  <c r="L11" i="21"/>
  <c r="K18" i="27"/>
  <c r="K11" i="21"/>
  <c r="J18" i="27"/>
  <c r="J11" i="21"/>
  <c r="I18" i="27"/>
  <c r="I11" i="21"/>
  <c r="H18" i="27"/>
  <c r="H11" i="21"/>
  <c r="G18" i="27"/>
  <c r="G11" i="21"/>
  <c r="F18" i="27"/>
  <c r="F11" i="21"/>
  <c r="E18" i="27"/>
  <c r="E11" i="21"/>
  <c r="D18" i="27"/>
  <c r="D11" i="21"/>
  <c r="H26" i="16"/>
  <c r="G27" i="16"/>
  <c r="H24" i="16"/>
  <c r="G25" i="16"/>
  <c r="G22" i="16"/>
  <c r="F23" i="16"/>
  <c r="G20" i="16"/>
  <c r="F21" i="16"/>
  <c r="G18" i="16"/>
  <c r="F19" i="16"/>
  <c r="H16" i="16"/>
  <c r="G14" i="16"/>
  <c r="F15" i="16"/>
  <c r="G10" i="16"/>
  <c r="F11" i="16"/>
  <c r="G8" i="16"/>
  <c r="F9" i="16"/>
  <c r="F7" i="16"/>
  <c r="F7" i="15"/>
  <c r="F23" i="15"/>
  <c r="F19" i="15"/>
  <c r="G17" i="16"/>
  <c r="F17" i="15"/>
  <c r="F11" i="15"/>
  <c r="D24" i="1"/>
  <c r="H13" i="13"/>
  <c r="H9" i="18"/>
  <c r="G8" i="13"/>
  <c r="F9" i="13"/>
  <c r="G21" i="18" s="1"/>
  <c r="G20" i="18"/>
  <c r="G5" i="13"/>
  <c r="G6" i="13" s="1"/>
  <c r="G7" i="18"/>
  <c r="F19" i="27"/>
  <c r="F10" i="21"/>
  <c r="K19" i="27"/>
  <c r="K10" i="21"/>
  <c r="L19" i="27"/>
  <c r="L10" i="21"/>
  <c r="G10" i="21"/>
  <c r="I19" i="27"/>
  <c r="I10" i="21"/>
  <c r="C23" i="3"/>
  <c r="C28" i="3"/>
  <c r="C20" i="3"/>
  <c r="C27" i="3"/>
  <c r="C17" i="3"/>
  <c r="C22" i="3"/>
  <c r="C24" i="3"/>
  <c r="C19" i="3"/>
  <c r="C25" i="3"/>
  <c r="C18" i="3"/>
  <c r="C21" i="3"/>
  <c r="C26" i="3"/>
  <c r="P22" i="4"/>
  <c r="E9" i="15"/>
  <c r="F8" i="18"/>
  <c r="E11" i="13"/>
  <c r="Q22" i="4"/>
  <c r="Q8" i="4"/>
  <c r="D7" i="12"/>
  <c r="E9" i="12"/>
  <c r="E10" i="21" l="1"/>
  <c r="E19" i="27"/>
  <c r="R14" i="8"/>
  <c r="AD14" i="8" s="1"/>
  <c r="AF14" i="8" s="1"/>
  <c r="R59" i="6"/>
  <c r="AD59" i="6" s="1"/>
  <c r="P59" i="6"/>
  <c r="P14" i="8"/>
  <c r="Q14" i="8" s="1"/>
  <c r="E12" i="3"/>
  <c r="P49" i="4"/>
  <c r="D13" i="3"/>
  <c r="E13" i="3" s="1"/>
  <c r="C65" i="6"/>
  <c r="F11" i="8"/>
  <c r="F65" i="6"/>
  <c r="E11" i="8"/>
  <c r="E65" i="6"/>
  <c r="D11" i="8"/>
  <c r="D65" i="6"/>
  <c r="C8" i="13"/>
  <c r="C9" i="13"/>
  <c r="C6" i="13"/>
  <c r="C5" i="13"/>
  <c r="E28" i="15"/>
  <c r="D9" i="20" s="1"/>
  <c r="F28" i="16"/>
  <c r="E14" i="20" s="1"/>
  <c r="J7" i="15"/>
  <c r="J29" i="14"/>
  <c r="K28" i="14"/>
  <c r="I28" i="15"/>
  <c r="BS40" i="9" s="1"/>
  <c r="BS39" i="9" s="1"/>
  <c r="D28" i="16"/>
  <c r="G11" i="18"/>
  <c r="E16" i="27"/>
  <c r="O36" i="5"/>
  <c r="M36" i="5" s="1"/>
  <c r="P35" i="5"/>
  <c r="Q48" i="6"/>
  <c r="D21" i="18"/>
  <c r="Q50" i="6"/>
  <c r="D23" i="18"/>
  <c r="Q38" i="6"/>
  <c r="D11" i="18"/>
  <c r="AF36" i="6"/>
  <c r="E9" i="18"/>
  <c r="Q54" i="6"/>
  <c r="D27" i="18"/>
  <c r="D7" i="18"/>
  <c r="AF48" i="6"/>
  <c r="E21" i="18"/>
  <c r="E28" i="18" s="1"/>
  <c r="D8" i="21" s="1"/>
  <c r="Q41" i="6"/>
  <c r="D14" i="18"/>
  <c r="Q47" i="6"/>
  <c r="D20" i="18"/>
  <c r="Q52" i="6"/>
  <c r="D25" i="18"/>
  <c r="C25" i="1"/>
  <c r="AE28" i="4"/>
  <c r="AF28" i="4"/>
  <c r="L10" i="14"/>
  <c r="K11" i="14"/>
  <c r="K11" i="15" s="1"/>
  <c r="L18" i="14"/>
  <c r="K19" i="14"/>
  <c r="K19" i="15" s="1"/>
  <c r="M24" i="14"/>
  <c r="M25" i="14" s="1"/>
  <c r="L25" i="14"/>
  <c r="M26" i="14"/>
  <c r="M27" i="14" s="1"/>
  <c r="L27" i="14"/>
  <c r="L20" i="14"/>
  <c r="K21" i="14"/>
  <c r="K21" i="15" s="1"/>
  <c r="C24" i="1"/>
  <c r="L22" i="14"/>
  <c r="K23" i="14"/>
  <c r="K23" i="15" s="1"/>
  <c r="L16" i="14"/>
  <c r="K17" i="14"/>
  <c r="K17" i="15" s="1"/>
  <c r="L8" i="14"/>
  <c r="K9" i="14"/>
  <c r="K9" i="15" s="1"/>
  <c r="L6" i="14"/>
  <c r="K7" i="14"/>
  <c r="L14" i="14"/>
  <c r="K15" i="14"/>
  <c r="K15" i="15" s="1"/>
  <c r="M6" i="15"/>
  <c r="Q9" i="5"/>
  <c r="D8" i="15"/>
  <c r="D9" i="15" s="1"/>
  <c r="D28" i="15" s="1"/>
  <c r="L10" i="15"/>
  <c r="L14" i="15"/>
  <c r="L18" i="15"/>
  <c r="K24" i="15"/>
  <c r="J25" i="15"/>
  <c r="L16" i="15"/>
  <c r="L8" i="15"/>
  <c r="L22" i="15"/>
  <c r="L20" i="15"/>
  <c r="K26" i="15"/>
  <c r="J27" i="15"/>
  <c r="AB22" i="9"/>
  <c r="AF15" i="4"/>
  <c r="AE30" i="4"/>
  <c r="AF30" i="4"/>
  <c r="AF14" i="4"/>
  <c r="AF29" i="4"/>
  <c r="AE29" i="4"/>
  <c r="F21" i="15"/>
  <c r="AF12" i="4"/>
  <c r="AE27" i="4"/>
  <c r="AF27" i="4"/>
  <c r="AE26" i="4"/>
  <c r="AF26" i="4"/>
  <c r="F15" i="15"/>
  <c r="Q49" i="4"/>
  <c r="AF11" i="4"/>
  <c r="AF24" i="4"/>
  <c r="AE24" i="4"/>
  <c r="F9" i="15"/>
  <c r="AF9" i="4"/>
  <c r="AE23" i="4"/>
  <c r="AF23" i="4"/>
  <c r="AF22" i="4"/>
  <c r="AE22" i="4"/>
  <c r="AD18" i="4"/>
  <c r="AE33" i="4" s="1"/>
  <c r="AF8" i="4"/>
  <c r="AF37" i="4"/>
  <c r="AF48" i="4" s="1"/>
  <c r="AE48" i="4"/>
  <c r="AB25" i="9"/>
  <c r="R11" i="8"/>
  <c r="AD11" i="8" s="1"/>
  <c r="AF11" i="8" s="1"/>
  <c r="AD55" i="6"/>
  <c r="P33" i="4"/>
  <c r="P2" i="6" s="1"/>
  <c r="G37" i="6" s="1"/>
  <c r="E26" i="9"/>
  <c r="E28" i="9" s="1"/>
  <c r="AB24" i="9"/>
  <c r="F26" i="9"/>
  <c r="F28" i="9" s="1"/>
  <c r="O21" i="9"/>
  <c r="O49" i="6"/>
  <c r="C26" i="9"/>
  <c r="C28" i="9" s="1"/>
  <c r="Q33" i="4"/>
  <c r="Q34" i="4" s="1"/>
  <c r="J55" i="6"/>
  <c r="J11" i="8" s="1"/>
  <c r="K55" i="6"/>
  <c r="K11" i="8" s="1"/>
  <c r="I55" i="6"/>
  <c r="I11" i="8" s="1"/>
  <c r="H55" i="6"/>
  <c r="H11" i="8" s="1"/>
  <c r="N55" i="6"/>
  <c r="N11" i="8" s="1"/>
  <c r="M55" i="6"/>
  <c r="M11" i="8" s="1"/>
  <c r="Q62" i="6"/>
  <c r="O53" i="6"/>
  <c r="O51" i="6"/>
  <c r="L55" i="6"/>
  <c r="L11" i="8" s="1"/>
  <c r="G55" i="6"/>
  <c r="G11" i="8" s="1"/>
  <c r="C11" i="8"/>
  <c r="O19" i="9"/>
  <c r="O35" i="6"/>
  <c r="D8" i="18" s="1"/>
  <c r="AB10" i="9"/>
  <c r="O63" i="6"/>
  <c r="D34" i="18" s="1"/>
  <c r="C15" i="8"/>
  <c r="O15" i="8" s="1"/>
  <c r="Q15" i="8" s="1"/>
  <c r="D23" i="8"/>
  <c r="F10" i="18"/>
  <c r="E24" i="1"/>
  <c r="J19" i="27"/>
  <c r="J10" i="21"/>
  <c r="H19" i="27"/>
  <c r="H10" i="21"/>
  <c r="I26" i="16"/>
  <c r="H27" i="16"/>
  <c r="I24" i="16"/>
  <c r="H25" i="16"/>
  <c r="H22" i="16"/>
  <c r="G23" i="16"/>
  <c r="H20" i="16"/>
  <c r="G21" i="16"/>
  <c r="H18" i="16"/>
  <c r="G19" i="16"/>
  <c r="I16" i="16"/>
  <c r="H14" i="16"/>
  <c r="G15" i="16"/>
  <c r="H10" i="16"/>
  <c r="G11" i="16"/>
  <c r="H8" i="16"/>
  <c r="G9" i="16"/>
  <c r="G7" i="16"/>
  <c r="H17" i="16"/>
  <c r="I13" i="13"/>
  <c r="I9" i="18"/>
  <c r="H8" i="13"/>
  <c r="G9" i="13"/>
  <c r="H21" i="18" s="1"/>
  <c r="H20" i="18"/>
  <c r="H5" i="13"/>
  <c r="H6" i="13" s="1"/>
  <c r="H7" i="18"/>
  <c r="C18" i="8"/>
  <c r="O6" i="8"/>
  <c r="D8" i="20"/>
  <c r="D25" i="1"/>
  <c r="E14" i="27"/>
  <c r="E7" i="20"/>
  <c r="C7" i="1"/>
  <c r="G28" i="18"/>
  <c r="F8" i="21" s="1"/>
  <c r="G8" i="18"/>
  <c r="F11" i="13"/>
  <c r="R65" i="6" l="1"/>
  <c r="Q59" i="6"/>
  <c r="Q60" i="6" s="1"/>
  <c r="P60" i="6"/>
  <c r="E31" i="18"/>
  <c r="AF59" i="6"/>
  <c r="AF60" i="6" s="1"/>
  <c r="AE60" i="6"/>
  <c r="C18" i="27"/>
  <c r="C11" i="21"/>
  <c r="C36" i="5"/>
  <c r="N36" i="5"/>
  <c r="I36" i="5"/>
  <c r="L36" i="5"/>
  <c r="E36" i="5"/>
  <c r="J36" i="5"/>
  <c r="F36" i="5"/>
  <c r="K36" i="5"/>
  <c r="G36" i="5"/>
  <c r="D36" i="5"/>
  <c r="F28" i="15"/>
  <c r="K7" i="15"/>
  <c r="K29" i="14"/>
  <c r="J28" i="15"/>
  <c r="CE39" i="9" s="1"/>
  <c r="CE40" i="9" s="1"/>
  <c r="L28" i="14"/>
  <c r="G28" i="16"/>
  <c r="H36" i="5"/>
  <c r="N25" i="14"/>
  <c r="H11" i="18"/>
  <c r="F16" i="27"/>
  <c r="Q53" i="6"/>
  <c r="D26" i="18"/>
  <c r="Q49" i="6"/>
  <c r="D22" i="18"/>
  <c r="C17" i="27" s="1"/>
  <c r="Q51" i="6"/>
  <c r="D24" i="18"/>
  <c r="C16" i="27" s="1"/>
  <c r="M22" i="14"/>
  <c r="M23" i="14" s="1"/>
  <c r="L23" i="14"/>
  <c r="L23" i="15" s="1"/>
  <c r="M16" i="14"/>
  <c r="M17" i="14" s="1"/>
  <c r="L17" i="14"/>
  <c r="L17" i="15" s="1"/>
  <c r="M6" i="14"/>
  <c r="L7" i="14"/>
  <c r="C14" i="20"/>
  <c r="C8" i="20"/>
  <c r="M18" i="14"/>
  <c r="M19" i="14" s="1"/>
  <c r="L19" i="14"/>
  <c r="L19" i="15" s="1"/>
  <c r="M20" i="14"/>
  <c r="M21" i="14" s="1"/>
  <c r="L21" i="14"/>
  <c r="L21" i="15" s="1"/>
  <c r="M14" i="14"/>
  <c r="M15" i="14" s="1"/>
  <c r="L15" i="14"/>
  <c r="L15" i="15" s="1"/>
  <c r="M8" i="14"/>
  <c r="M9" i="14" s="1"/>
  <c r="L9" i="14"/>
  <c r="L9" i="15" s="1"/>
  <c r="M10" i="14"/>
  <c r="M11" i="14" s="1"/>
  <c r="L11" i="14"/>
  <c r="L11" i="15" s="1"/>
  <c r="M8" i="15"/>
  <c r="M16" i="15"/>
  <c r="L24" i="15"/>
  <c r="K25" i="15"/>
  <c r="L26" i="15"/>
  <c r="K27" i="15"/>
  <c r="M10" i="15"/>
  <c r="M14" i="15"/>
  <c r="Q24" i="5"/>
  <c r="Q34" i="5" s="1"/>
  <c r="Q35" i="5" s="1"/>
  <c r="C9" i="20"/>
  <c r="M18" i="15"/>
  <c r="M20" i="15"/>
  <c r="M22" i="15"/>
  <c r="N37" i="6"/>
  <c r="L37" i="6"/>
  <c r="I37" i="6"/>
  <c r="N42" i="6"/>
  <c r="J37" i="6"/>
  <c r="E29" i="15"/>
  <c r="AF33" i="4"/>
  <c r="AF34" i="4" s="1"/>
  <c r="D5" i="21"/>
  <c r="D6" i="20"/>
  <c r="D18" i="1"/>
  <c r="D11" i="23"/>
  <c r="AF24" i="5"/>
  <c r="AF34" i="5" s="1"/>
  <c r="AE34" i="5"/>
  <c r="L13" i="3"/>
  <c r="M13" i="3" s="1"/>
  <c r="AE49" i="4"/>
  <c r="AF49" i="4"/>
  <c r="AF22" i="6"/>
  <c r="AE46" i="6"/>
  <c r="M42" i="6"/>
  <c r="H28" i="18"/>
  <c r="G8" i="21" s="1"/>
  <c r="AF55" i="6"/>
  <c r="AF56" i="6" s="1"/>
  <c r="AE56" i="6"/>
  <c r="Q34" i="6"/>
  <c r="Q35" i="6"/>
  <c r="Q63" i="6"/>
  <c r="Q64" i="6" s="1"/>
  <c r="P64" i="6"/>
  <c r="K42" i="6"/>
  <c r="H42" i="6"/>
  <c r="G42" i="6"/>
  <c r="K37" i="6"/>
  <c r="M37" i="6"/>
  <c r="J42" i="6"/>
  <c r="I42" i="6"/>
  <c r="H37" i="6"/>
  <c r="L42" i="6"/>
  <c r="O18" i="8"/>
  <c r="Q18" i="8" s="1"/>
  <c r="D24" i="9"/>
  <c r="O11" i="8"/>
  <c r="Q11" i="8" s="1"/>
  <c r="O55" i="6"/>
  <c r="C29" i="9"/>
  <c r="F24" i="1"/>
  <c r="G10" i="18"/>
  <c r="J26" i="16"/>
  <c r="I27" i="16"/>
  <c r="J24" i="16"/>
  <c r="I25" i="16"/>
  <c r="I22" i="16"/>
  <c r="H23" i="16"/>
  <c r="I20" i="16"/>
  <c r="H21" i="16"/>
  <c r="I18" i="16"/>
  <c r="H19" i="16"/>
  <c r="J16" i="16"/>
  <c r="I14" i="16"/>
  <c r="H15" i="16"/>
  <c r="I10" i="16"/>
  <c r="H11" i="16"/>
  <c r="I8" i="16"/>
  <c r="H9" i="16"/>
  <c r="H7" i="16"/>
  <c r="I17" i="16"/>
  <c r="J13" i="13"/>
  <c r="J9" i="18"/>
  <c r="I8" i="13"/>
  <c r="H9" i="13"/>
  <c r="I21" i="18" s="1"/>
  <c r="I20" i="18"/>
  <c r="I5" i="13"/>
  <c r="I6" i="13" s="1"/>
  <c r="I7" i="18"/>
  <c r="C6" i="3"/>
  <c r="E8" i="20"/>
  <c r="F6" i="18"/>
  <c r="AF41" i="9" s="1"/>
  <c r="E25" i="1"/>
  <c r="F14" i="27"/>
  <c r="F7" i="20"/>
  <c r="F9" i="20"/>
  <c r="H8" i="18"/>
  <c r="G11" i="13"/>
  <c r="F14" i="20" l="1"/>
  <c r="AS41" i="9"/>
  <c r="E18" i="1"/>
  <c r="AF40" i="9"/>
  <c r="AF39" i="9" s="1"/>
  <c r="AF42" i="9"/>
  <c r="AG42" i="9" s="1"/>
  <c r="AF43" i="9"/>
  <c r="AG43" i="9" s="1"/>
  <c r="D10" i="21"/>
  <c r="D19" i="27"/>
  <c r="AF6" i="8"/>
  <c r="F12" i="18"/>
  <c r="L7" i="15"/>
  <c r="L29" i="14"/>
  <c r="M7" i="14"/>
  <c r="M28" i="14"/>
  <c r="K28" i="15"/>
  <c r="CS39" i="9" s="1"/>
  <c r="CS40" i="9" s="1"/>
  <c r="H28" i="16"/>
  <c r="I11" i="18"/>
  <c r="G16" i="27"/>
  <c r="D28" i="18"/>
  <c r="C8" i="21" s="1"/>
  <c r="AD36" i="5"/>
  <c r="AC36" i="5" s="1"/>
  <c r="L24" i="3"/>
  <c r="L18" i="3"/>
  <c r="L26" i="3"/>
  <c r="L23" i="3"/>
  <c r="L19" i="3"/>
  <c r="L28" i="3"/>
  <c r="L22" i="3"/>
  <c r="L17" i="3"/>
  <c r="L25" i="3"/>
  <c r="L21" i="3"/>
  <c r="L20" i="3"/>
  <c r="L27" i="3"/>
  <c r="AE35" i="5"/>
  <c r="O37" i="6"/>
  <c r="X36" i="5"/>
  <c r="AB36" i="5"/>
  <c r="U36" i="5"/>
  <c r="V36" i="5"/>
  <c r="M17" i="15"/>
  <c r="M11" i="15"/>
  <c r="M23" i="15"/>
  <c r="M21" i="15"/>
  <c r="M9" i="15"/>
  <c r="M19" i="15"/>
  <c r="E11" i="23"/>
  <c r="E9" i="20"/>
  <c r="M15" i="15"/>
  <c r="E6" i="20"/>
  <c r="E5" i="21"/>
  <c r="F29" i="15"/>
  <c r="M26" i="15"/>
  <c r="M27" i="15" s="1"/>
  <c r="L27" i="15"/>
  <c r="M24" i="15"/>
  <c r="M25" i="15" s="1"/>
  <c r="L25" i="15"/>
  <c r="C5" i="21"/>
  <c r="C18" i="1"/>
  <c r="C6" i="20"/>
  <c r="C11" i="23"/>
  <c r="D29" i="15"/>
  <c r="L6" i="3"/>
  <c r="M6" i="3" s="1"/>
  <c r="D13" i="21"/>
  <c r="E17" i="24" s="1"/>
  <c r="O42" i="6"/>
  <c r="AF35" i="5"/>
  <c r="AA13" i="9"/>
  <c r="R13" i="9"/>
  <c r="X13" i="9"/>
  <c r="Y13" i="9"/>
  <c r="U13" i="9"/>
  <c r="T13" i="9"/>
  <c r="S13" i="9"/>
  <c r="V13" i="9"/>
  <c r="Z13" i="9"/>
  <c r="W13" i="9"/>
  <c r="C11" i="13"/>
  <c r="I40" i="6"/>
  <c r="I44" i="6" s="1"/>
  <c r="I65" i="6" s="1"/>
  <c r="J40" i="6"/>
  <c r="J44" i="6" s="1"/>
  <c r="J65" i="6" s="1"/>
  <c r="H40" i="6"/>
  <c r="H44" i="6" s="1"/>
  <c r="H65" i="6" s="1"/>
  <c r="K40" i="6"/>
  <c r="K44" i="6" s="1"/>
  <c r="K65" i="6" s="1"/>
  <c r="N40" i="6"/>
  <c r="N44" i="6" s="1"/>
  <c r="N65" i="6" s="1"/>
  <c r="G40" i="6"/>
  <c r="G44" i="6" s="1"/>
  <c r="G65" i="6" s="1"/>
  <c r="M40" i="6"/>
  <c r="M44" i="6" s="1"/>
  <c r="M65" i="6" s="1"/>
  <c r="L40" i="6"/>
  <c r="L44" i="6" s="1"/>
  <c r="L65" i="6" s="1"/>
  <c r="Q55" i="6"/>
  <c r="Q56" i="6" s="1"/>
  <c r="P56" i="6"/>
  <c r="O24" i="9"/>
  <c r="D26" i="9"/>
  <c r="D28" i="9" s="1"/>
  <c r="D29" i="9" s="1"/>
  <c r="E29" i="9" s="1"/>
  <c r="F29" i="9" s="1"/>
  <c r="N22" i="9"/>
  <c r="K22" i="9"/>
  <c r="M22" i="9"/>
  <c r="J22" i="9"/>
  <c r="L22" i="9"/>
  <c r="I22" i="9"/>
  <c r="H10" i="18"/>
  <c r="G24" i="1"/>
  <c r="K26" i="16"/>
  <c r="J27" i="16"/>
  <c r="K24" i="16"/>
  <c r="J25" i="16"/>
  <c r="J22" i="16"/>
  <c r="I23" i="16"/>
  <c r="J20" i="16"/>
  <c r="I21" i="16"/>
  <c r="J18" i="16"/>
  <c r="I19" i="16"/>
  <c r="K16" i="16"/>
  <c r="J14" i="16"/>
  <c r="I15" i="16"/>
  <c r="J10" i="16"/>
  <c r="I11" i="16"/>
  <c r="J8" i="16"/>
  <c r="I9" i="16"/>
  <c r="I7" i="16"/>
  <c r="J17" i="16"/>
  <c r="K13" i="13"/>
  <c r="K9" i="18"/>
  <c r="J8" i="13"/>
  <c r="I9" i="13"/>
  <c r="J20" i="18"/>
  <c r="J5" i="13"/>
  <c r="J6" i="13" s="1"/>
  <c r="J8" i="18"/>
  <c r="J7" i="18"/>
  <c r="F13" i="18"/>
  <c r="E7" i="23"/>
  <c r="E12" i="23" s="1"/>
  <c r="E15" i="27"/>
  <c r="G6" i="18"/>
  <c r="F8" i="20"/>
  <c r="F25" i="1"/>
  <c r="G29" i="15"/>
  <c r="F11" i="23"/>
  <c r="F18" i="1"/>
  <c r="F6" i="20"/>
  <c r="F5" i="21"/>
  <c r="G14" i="27"/>
  <c r="G7" i="20"/>
  <c r="I28" i="18"/>
  <c r="H8" i="21" s="1"/>
  <c r="G9" i="20"/>
  <c r="I8" i="18"/>
  <c r="H11" i="13"/>
  <c r="T36" i="5" l="1"/>
  <c r="AH15" i="9"/>
  <c r="AH26" i="9" s="1"/>
  <c r="AH28" i="9" s="1"/>
  <c r="AJ15" i="9"/>
  <c r="AJ26" i="9" s="1"/>
  <c r="AJ28" i="9" s="1"/>
  <c r="AI15" i="9"/>
  <c r="AI26" i="9" s="1"/>
  <c r="AI28" i="9" s="1"/>
  <c r="AC15" i="9"/>
  <c r="AF15" i="9"/>
  <c r="AF26" i="9" s="1"/>
  <c r="AF28" i="9" s="1"/>
  <c r="AA15" i="9"/>
  <c r="AD15" i="9"/>
  <c r="AD26" i="9" s="1"/>
  <c r="AD28" i="9" s="1"/>
  <c r="Z15" i="9"/>
  <c r="X15" i="9"/>
  <c r="AE15" i="9"/>
  <c r="AE26" i="9" s="1"/>
  <c r="AE28" i="9" s="1"/>
  <c r="AS43" i="9"/>
  <c r="AT43" i="9" s="1"/>
  <c r="AS42" i="9"/>
  <c r="AT42" i="9" s="1"/>
  <c r="G14" i="20"/>
  <c r="BF41" i="9"/>
  <c r="Y36" i="5"/>
  <c r="AA36" i="5"/>
  <c r="F17" i="18"/>
  <c r="E13" i="21"/>
  <c r="F17" i="24" s="1"/>
  <c r="G12" i="18"/>
  <c r="W36" i="5"/>
  <c r="R36" i="5"/>
  <c r="M7" i="15"/>
  <c r="M28" i="15" s="1"/>
  <c r="DS39" i="9" s="1"/>
  <c r="DS40" i="9" s="1"/>
  <c r="M29" i="14"/>
  <c r="L28" i="15"/>
  <c r="DF39" i="9" s="1"/>
  <c r="DF40" i="9" s="1"/>
  <c r="I28" i="16"/>
  <c r="S36" i="5"/>
  <c r="Z36" i="5"/>
  <c r="J11" i="18"/>
  <c r="H16" i="27"/>
  <c r="Q37" i="6"/>
  <c r="D10" i="18"/>
  <c r="Q42" i="6"/>
  <c r="D15" i="18"/>
  <c r="E6" i="3"/>
  <c r="C13" i="21"/>
  <c r="D17" i="24" s="1"/>
  <c r="Q6" i="8"/>
  <c r="E12" i="25"/>
  <c r="J10" i="18"/>
  <c r="AD40" i="6"/>
  <c r="P13" i="9"/>
  <c r="C7" i="20"/>
  <c r="C14" i="27"/>
  <c r="N13" i="9"/>
  <c r="N26" i="9" s="1"/>
  <c r="N28" i="9" s="1"/>
  <c r="L13" i="9"/>
  <c r="M13" i="9"/>
  <c r="M26" i="9" s="1"/>
  <c r="M28" i="9" s="1"/>
  <c r="H13" i="9"/>
  <c r="I13" i="9"/>
  <c r="I26" i="9" s="1"/>
  <c r="I28" i="9" s="1"/>
  <c r="K13" i="9"/>
  <c r="K26" i="9" s="1"/>
  <c r="K28" i="9" s="1"/>
  <c r="J13" i="9"/>
  <c r="J26" i="9" s="1"/>
  <c r="J28" i="9" s="1"/>
  <c r="D7" i="8"/>
  <c r="D13" i="8" s="1"/>
  <c r="F7" i="8"/>
  <c r="F13" i="8" s="1"/>
  <c r="F17" i="8" s="1"/>
  <c r="E7" i="8"/>
  <c r="E13" i="8" s="1"/>
  <c r="E17" i="8" s="1"/>
  <c r="C7" i="8"/>
  <c r="C13" i="8" s="1"/>
  <c r="H22" i="9"/>
  <c r="O22" i="9" s="1"/>
  <c r="O39" i="6"/>
  <c r="AD45" i="6"/>
  <c r="O40" i="6"/>
  <c r="I10" i="18"/>
  <c r="H24" i="1"/>
  <c r="E15" i="20"/>
  <c r="E16" i="20" s="1"/>
  <c r="H9" i="20"/>
  <c r="L26" i="16"/>
  <c r="K27" i="16"/>
  <c r="L24" i="16"/>
  <c r="K25" i="16"/>
  <c r="K22" i="16"/>
  <c r="J23" i="16"/>
  <c r="K20" i="16"/>
  <c r="J21" i="16"/>
  <c r="K18" i="16"/>
  <c r="J19" i="16"/>
  <c r="L16" i="16"/>
  <c r="K14" i="16"/>
  <c r="J15" i="16"/>
  <c r="K10" i="16"/>
  <c r="J11" i="16"/>
  <c r="K8" i="16"/>
  <c r="J9" i="16"/>
  <c r="J7" i="16"/>
  <c r="K17" i="16"/>
  <c r="L13" i="13"/>
  <c r="M9" i="18" s="1"/>
  <c r="L9" i="18"/>
  <c r="K8" i="13"/>
  <c r="J9" i="13"/>
  <c r="K21" i="18" s="1"/>
  <c r="K20" i="18"/>
  <c r="K5" i="13"/>
  <c r="K6" i="13" s="1"/>
  <c r="K7" i="18"/>
  <c r="F7" i="23"/>
  <c r="F12" i="23" s="1"/>
  <c r="G13" i="18"/>
  <c r="G17" i="18" s="1"/>
  <c r="F15" i="27"/>
  <c r="F13" i="21"/>
  <c r="G17" i="24" s="1"/>
  <c r="H6" i="18"/>
  <c r="G8" i="20"/>
  <c r="G25" i="1"/>
  <c r="G18" i="1"/>
  <c r="G6" i="20"/>
  <c r="G5" i="21"/>
  <c r="G11" i="23"/>
  <c r="H29" i="15"/>
  <c r="H14" i="27"/>
  <c r="H7" i="20"/>
  <c r="J21" i="18"/>
  <c r="J28" i="18" s="1"/>
  <c r="I8" i="21" s="1"/>
  <c r="I11" i="13"/>
  <c r="AB15" i="9" l="1"/>
  <c r="BF43" i="9"/>
  <c r="BG43" i="9" s="1"/>
  <c r="BF42" i="9"/>
  <c r="BG42" i="9" s="1"/>
  <c r="AR15" i="9"/>
  <c r="AR26" i="9" s="1"/>
  <c r="AR28" i="9" s="1"/>
  <c r="AN15" i="9"/>
  <c r="AS15" i="9"/>
  <c r="AQ15" i="9"/>
  <c r="AQ26" i="9" s="1"/>
  <c r="AQ28" i="9" s="1"/>
  <c r="AK15" i="9"/>
  <c r="AK26" i="9" s="1"/>
  <c r="AK28" i="9" s="1"/>
  <c r="AM15" i="9"/>
  <c r="AM26" i="9" s="1"/>
  <c r="AM28" i="9" s="1"/>
  <c r="H14" i="20"/>
  <c r="BS41" i="9"/>
  <c r="AO15" i="9"/>
  <c r="AC26" i="9"/>
  <c r="AC28" i="9" s="1"/>
  <c r="AW15" i="9"/>
  <c r="AW26" i="9" s="1"/>
  <c r="AW28" i="9" s="1"/>
  <c r="AU15" i="9"/>
  <c r="AU26" i="9" s="1"/>
  <c r="AU28" i="9" s="1"/>
  <c r="AP15" i="9"/>
  <c r="AV15" i="9"/>
  <c r="AV26" i="9" s="1"/>
  <c r="AV28" i="9" s="1"/>
  <c r="C17" i="8"/>
  <c r="C20" i="8" s="1"/>
  <c r="E20" i="3"/>
  <c r="E19" i="3"/>
  <c r="E18" i="3"/>
  <c r="E17" i="3"/>
  <c r="F12" i="25"/>
  <c r="H12" i="18"/>
  <c r="D17" i="8"/>
  <c r="D20" i="8" s="1"/>
  <c r="D24" i="8" s="1"/>
  <c r="J28" i="16"/>
  <c r="K11" i="18"/>
  <c r="I16" i="27"/>
  <c r="Q39" i="6"/>
  <c r="D12" i="18"/>
  <c r="AF40" i="6"/>
  <c r="E13" i="18"/>
  <c r="Q40" i="6"/>
  <c r="D13" i="18"/>
  <c r="C15" i="20" s="1"/>
  <c r="C16" i="20" s="1"/>
  <c r="C15" i="27"/>
  <c r="C7" i="23"/>
  <c r="C12" i="23" s="1"/>
  <c r="D12" i="25"/>
  <c r="I24" i="1"/>
  <c r="J24" i="1"/>
  <c r="Q22" i="6"/>
  <c r="E23" i="8"/>
  <c r="E20" i="8"/>
  <c r="E24" i="8" s="1"/>
  <c r="F20" i="8"/>
  <c r="F24" i="8" s="1"/>
  <c r="F23" i="8"/>
  <c r="C23" i="8"/>
  <c r="H26" i="9"/>
  <c r="H28" i="9" s="1"/>
  <c r="H7" i="8"/>
  <c r="H13" i="8" s="1"/>
  <c r="H17" i="8" s="1"/>
  <c r="O13" i="9"/>
  <c r="G26" i="9"/>
  <c r="L7" i="8"/>
  <c r="L13" i="8" s="1"/>
  <c r="L17" i="8" s="1"/>
  <c r="O44" i="6"/>
  <c r="G7" i="8"/>
  <c r="I7" i="8"/>
  <c r="I13" i="8" s="1"/>
  <c r="I17" i="8" s="1"/>
  <c r="M7" i="8"/>
  <c r="M13" i="8" s="1"/>
  <c r="M17" i="8" s="1"/>
  <c r="K7" i="8"/>
  <c r="K13" i="8" s="1"/>
  <c r="K17" i="8" s="1"/>
  <c r="N7" i="8"/>
  <c r="N13" i="8" s="1"/>
  <c r="N17" i="8" s="1"/>
  <c r="J7" i="8"/>
  <c r="J13" i="8" s="1"/>
  <c r="J17" i="8" s="1"/>
  <c r="H6" i="20"/>
  <c r="H18" i="1"/>
  <c r="H5" i="21"/>
  <c r="E6" i="21"/>
  <c r="E7" i="21" s="1"/>
  <c r="E10" i="20"/>
  <c r="E11" i="20" s="1"/>
  <c r="E18" i="20" s="1"/>
  <c r="F36" i="18"/>
  <c r="F15" i="20"/>
  <c r="F16" i="20" s="1"/>
  <c r="M26" i="16"/>
  <c r="L27" i="16"/>
  <c r="M24" i="16"/>
  <c r="L25" i="16"/>
  <c r="L22" i="16"/>
  <c r="K23" i="16"/>
  <c r="L20" i="16"/>
  <c r="K21" i="16"/>
  <c r="L18" i="16"/>
  <c r="K19" i="16"/>
  <c r="M16" i="16"/>
  <c r="L14" i="16"/>
  <c r="K15" i="16"/>
  <c r="L10" i="16"/>
  <c r="K11" i="16"/>
  <c r="L8" i="16"/>
  <c r="K9" i="16"/>
  <c r="K7" i="16"/>
  <c r="N24" i="14"/>
  <c r="O24" i="14" s="1"/>
  <c r="L17" i="16"/>
  <c r="C7" i="12"/>
  <c r="E18" i="12"/>
  <c r="N6" i="14"/>
  <c r="L8" i="13"/>
  <c r="K9" i="13"/>
  <c r="L20" i="18"/>
  <c r="L5" i="13"/>
  <c r="L6" i="13" s="1"/>
  <c r="L8" i="18"/>
  <c r="L7" i="18"/>
  <c r="G12" i="25"/>
  <c r="G7" i="23"/>
  <c r="G12" i="23" s="1"/>
  <c r="G15" i="27"/>
  <c r="H13" i="18"/>
  <c r="G13" i="21"/>
  <c r="H17" i="24" s="1"/>
  <c r="I6" i="18"/>
  <c r="H8" i="20"/>
  <c r="H25" i="1"/>
  <c r="I29" i="15"/>
  <c r="H11" i="23"/>
  <c r="I14" i="27"/>
  <c r="I7" i="20"/>
  <c r="K28" i="18"/>
  <c r="J8" i="21" s="1"/>
  <c r="I25" i="1"/>
  <c r="K8" i="18"/>
  <c r="J11" i="13"/>
  <c r="I14" i="20" l="1"/>
  <c r="CE41" i="9"/>
  <c r="AP26" i="9"/>
  <c r="AP28" i="9" s="1"/>
  <c r="BS42" i="9"/>
  <c r="BT42" i="9" s="1"/>
  <c r="BS43" i="9"/>
  <c r="BT43" i="9" s="1"/>
  <c r="BF15" i="9"/>
  <c r="BF26" i="9" s="1"/>
  <c r="BF28" i="9" s="1"/>
  <c r="AX15" i="9"/>
  <c r="AX26" i="9" s="1"/>
  <c r="AX28" i="9" s="1"/>
  <c r="BD15" i="9"/>
  <c r="BD26" i="9" s="1"/>
  <c r="BD28" i="9" s="1"/>
  <c r="AZ15" i="9"/>
  <c r="AZ26" i="9" s="1"/>
  <c r="AZ28" i="9" s="1"/>
  <c r="BA15" i="9"/>
  <c r="BE15" i="9"/>
  <c r="BE26" i="9" s="1"/>
  <c r="BE28" i="9" s="1"/>
  <c r="BI15" i="9"/>
  <c r="BI26" i="9" s="1"/>
  <c r="BI28" i="9" s="1"/>
  <c r="BH15" i="9"/>
  <c r="BH26" i="9" s="1"/>
  <c r="BH28" i="9" s="1"/>
  <c r="BC15" i="9"/>
  <c r="BJ15" i="9"/>
  <c r="BJ26" i="9" s="1"/>
  <c r="BJ28" i="9" s="1"/>
  <c r="H17" i="18"/>
  <c r="E9" i="21"/>
  <c r="E20" i="1" s="1"/>
  <c r="E20" i="21"/>
  <c r="H13" i="21"/>
  <c r="I17" i="24" s="1"/>
  <c r="I12" i="18"/>
  <c r="D17" i="18"/>
  <c r="C6" i="21" s="1"/>
  <c r="C7" i="21" s="1"/>
  <c r="C24" i="8"/>
  <c r="K28" i="16"/>
  <c r="L11" i="18"/>
  <c r="J16" i="27"/>
  <c r="K10" i="18"/>
  <c r="N27" i="14"/>
  <c r="N26" i="14"/>
  <c r="P45" i="6"/>
  <c r="Q44" i="6"/>
  <c r="Q45" i="6" s="1"/>
  <c r="M20" i="8"/>
  <c r="M24" i="8" s="1"/>
  <c r="M23" i="8"/>
  <c r="I20" i="8"/>
  <c r="I24" i="8" s="1"/>
  <c r="I23" i="8"/>
  <c r="O65" i="6"/>
  <c r="G13" i="8"/>
  <c r="O7" i="8"/>
  <c r="O9" i="8" s="1"/>
  <c r="L20" i="8"/>
  <c r="L24" i="8" s="1"/>
  <c r="L23" i="8"/>
  <c r="J20" i="8"/>
  <c r="J24" i="8" s="1"/>
  <c r="J23" i="8"/>
  <c r="G28" i="9"/>
  <c r="N20" i="8"/>
  <c r="N24" i="8" s="1"/>
  <c r="N23" i="8"/>
  <c r="H20" i="8"/>
  <c r="H24" i="8" s="1"/>
  <c r="H23" i="8"/>
  <c r="K20" i="8"/>
  <c r="K24" i="8" s="1"/>
  <c r="K23" i="8"/>
  <c r="L21" i="18"/>
  <c r="L28" i="18" s="1"/>
  <c r="K8" i="21" s="1"/>
  <c r="K11" i="13"/>
  <c r="E5" i="27"/>
  <c r="E7" i="27"/>
  <c r="E9" i="27"/>
  <c r="E20" i="27"/>
  <c r="E11" i="27" s="1"/>
  <c r="F38" i="18"/>
  <c r="E5" i="23"/>
  <c r="E9" i="23" s="1"/>
  <c r="E8" i="27"/>
  <c r="E10" i="27"/>
  <c r="E19" i="1"/>
  <c r="E6" i="27"/>
  <c r="I8" i="20"/>
  <c r="J6" i="18"/>
  <c r="F6" i="21"/>
  <c r="F7" i="21" s="1"/>
  <c r="F10" i="20"/>
  <c r="F11" i="20" s="1"/>
  <c r="F18" i="20" s="1"/>
  <c r="F20" i="20" s="1"/>
  <c r="G36" i="18"/>
  <c r="M22" i="16"/>
  <c r="L23" i="16"/>
  <c r="M20" i="16"/>
  <c r="L21" i="16"/>
  <c r="M18" i="16"/>
  <c r="L19" i="16"/>
  <c r="M14" i="16"/>
  <c r="L15" i="16"/>
  <c r="M10" i="16"/>
  <c r="L11" i="16"/>
  <c r="M8" i="16"/>
  <c r="L9" i="16"/>
  <c r="M7" i="16"/>
  <c r="L7" i="16"/>
  <c r="N16" i="14"/>
  <c r="N8" i="14"/>
  <c r="C18" i="25"/>
  <c r="C6" i="1"/>
  <c r="F7" i="12"/>
  <c r="E7" i="12"/>
  <c r="C8" i="1" s="1"/>
  <c r="N7" i="14"/>
  <c r="O6" i="14" s="1"/>
  <c r="L9" i="13"/>
  <c r="M20" i="18"/>
  <c r="M8" i="18"/>
  <c r="M7" i="18"/>
  <c r="H12" i="25"/>
  <c r="H7" i="23"/>
  <c r="H12" i="23" s="1"/>
  <c r="H15" i="27"/>
  <c r="I13" i="18"/>
  <c r="J14" i="27"/>
  <c r="J7" i="20"/>
  <c r="J9" i="20"/>
  <c r="M27" i="16"/>
  <c r="M25" i="16"/>
  <c r="O26" i="15"/>
  <c r="G15" i="20"/>
  <c r="G16" i="20" s="1"/>
  <c r="BC26" i="9" l="1"/>
  <c r="BC28" i="9" s="1"/>
  <c r="BW15" i="9"/>
  <c r="BW26" i="9" s="1"/>
  <c r="BW28" i="9" s="1"/>
  <c r="BU15" i="9"/>
  <c r="BU26" i="9" s="1"/>
  <c r="BU28" i="9" s="1"/>
  <c r="BP15" i="9"/>
  <c r="BV15" i="9"/>
  <c r="BV26" i="9" s="1"/>
  <c r="BV28" i="9" s="1"/>
  <c r="J14" i="20"/>
  <c r="CS41" i="9"/>
  <c r="BK15" i="9"/>
  <c r="BK26" i="9" s="1"/>
  <c r="BK28" i="9" s="1"/>
  <c r="BN15" i="9"/>
  <c r="BM15" i="9"/>
  <c r="BM26" i="9" s="1"/>
  <c r="BM28" i="9" s="1"/>
  <c r="BQ15" i="9"/>
  <c r="BQ26" i="9" s="1"/>
  <c r="BQ28" i="9" s="1"/>
  <c r="BR15" i="9"/>
  <c r="BR26" i="9" s="1"/>
  <c r="BR28" i="9" s="1"/>
  <c r="BS15" i="9"/>
  <c r="BS26" i="9" s="1"/>
  <c r="BS28" i="9" s="1"/>
  <c r="BB15" i="9"/>
  <c r="CE43" i="9"/>
  <c r="CF43" i="9" s="1"/>
  <c r="CE42" i="9"/>
  <c r="CF42" i="9" s="1"/>
  <c r="E12" i="21"/>
  <c r="E14" i="21" s="1"/>
  <c r="E22" i="21" s="1"/>
  <c r="E23" i="1" s="1"/>
  <c r="E22" i="1"/>
  <c r="F6" i="24"/>
  <c r="P66" i="6"/>
  <c r="G17" i="8"/>
  <c r="E26" i="3"/>
  <c r="E25" i="3"/>
  <c r="E24" i="3"/>
  <c r="E23" i="3"/>
  <c r="E22" i="3"/>
  <c r="E21" i="3"/>
  <c r="E28" i="3"/>
  <c r="E27" i="3"/>
  <c r="I12" i="25"/>
  <c r="C9" i="21"/>
  <c r="C22" i="1" s="1"/>
  <c r="C20" i="21"/>
  <c r="F9" i="21"/>
  <c r="G6" i="24" s="1"/>
  <c r="F20" i="21"/>
  <c r="F5" i="25"/>
  <c r="E21" i="21"/>
  <c r="I17" i="18"/>
  <c r="J12" i="18"/>
  <c r="O22" i="8"/>
  <c r="Q9" i="8"/>
  <c r="Q7" i="8"/>
  <c r="L28" i="16"/>
  <c r="DF41" i="9" s="1"/>
  <c r="M11" i="18"/>
  <c r="L16" i="27" s="1"/>
  <c r="K16" i="27"/>
  <c r="C10" i="20"/>
  <c r="C11" i="20" s="1"/>
  <c r="C18" i="20" s="1"/>
  <c r="C20" i="20" s="1"/>
  <c r="D36" i="18"/>
  <c r="I11" i="23"/>
  <c r="I9" i="20"/>
  <c r="J29" i="15"/>
  <c r="I5" i="21"/>
  <c r="I6" i="20"/>
  <c r="I18" i="1"/>
  <c r="O26" i="14"/>
  <c r="N23" i="14"/>
  <c r="N22" i="14"/>
  <c r="N21" i="14"/>
  <c r="N20" i="14"/>
  <c r="N19" i="14"/>
  <c r="N18" i="14"/>
  <c r="N15" i="14"/>
  <c r="N14" i="14"/>
  <c r="N11" i="14"/>
  <c r="N10" i="14"/>
  <c r="G29" i="9"/>
  <c r="H29" i="9" s="1"/>
  <c r="I29" i="9" s="1"/>
  <c r="J29" i="9" s="1"/>
  <c r="K29" i="9" s="1"/>
  <c r="G23" i="8"/>
  <c r="O13" i="8"/>
  <c r="C7" i="3"/>
  <c r="Q65" i="6"/>
  <c r="Q66" i="6" s="1"/>
  <c r="E14" i="23"/>
  <c r="M21" i="18"/>
  <c r="M28" i="18" s="1"/>
  <c r="L8" i="21" s="1"/>
  <c r="L11" i="13"/>
  <c r="L14" i="27" s="1"/>
  <c r="K7" i="20"/>
  <c r="K14" i="27"/>
  <c r="E12" i="27"/>
  <c r="N9" i="14"/>
  <c r="O8" i="14" s="1"/>
  <c r="J8" i="20"/>
  <c r="K6" i="18"/>
  <c r="L10" i="18"/>
  <c r="K24" i="1"/>
  <c r="J13" i="18"/>
  <c r="I7" i="23"/>
  <c r="I12" i="23" s="1"/>
  <c r="I15" i="27"/>
  <c r="F14" i="24"/>
  <c r="F9" i="25"/>
  <c r="F7" i="25" s="1"/>
  <c r="G38" i="18"/>
  <c r="F6" i="27"/>
  <c r="F8" i="27"/>
  <c r="F10" i="27"/>
  <c r="F5" i="23"/>
  <c r="F9" i="23" s="1"/>
  <c r="F5" i="27"/>
  <c r="F7" i="27"/>
  <c r="F9" i="27"/>
  <c r="F19" i="1"/>
  <c r="F20" i="27"/>
  <c r="F11" i="27" s="1"/>
  <c r="M17" i="16"/>
  <c r="N17" i="14"/>
  <c r="O16" i="14" s="1"/>
  <c r="C19" i="25"/>
  <c r="C22" i="25" s="1"/>
  <c r="P24" i="8"/>
  <c r="J18" i="1"/>
  <c r="J6" i="20"/>
  <c r="J5" i="21"/>
  <c r="J25" i="1"/>
  <c r="J11" i="23"/>
  <c r="K29" i="15"/>
  <c r="G10" i="20"/>
  <c r="G11" i="20" s="1"/>
  <c r="G18" i="20" s="1"/>
  <c r="G20" i="20" s="1"/>
  <c r="H36" i="18"/>
  <c r="G6" i="21"/>
  <c r="G7" i="21" s="1"/>
  <c r="M21" i="16"/>
  <c r="M23" i="16"/>
  <c r="M19" i="16"/>
  <c r="M15" i="16"/>
  <c r="M11" i="16"/>
  <c r="M9" i="16"/>
  <c r="K25" i="1"/>
  <c r="K9" i="20"/>
  <c r="H15" i="20"/>
  <c r="H16" i="20" s="1"/>
  <c r="E17" i="21" l="1"/>
  <c r="E27" i="21" s="1"/>
  <c r="CJ15" i="9"/>
  <c r="CJ26" i="9" s="1"/>
  <c r="CJ28" i="9" s="1"/>
  <c r="CI15" i="9"/>
  <c r="CI26" i="9" s="1"/>
  <c r="CI28" i="9" s="1"/>
  <c r="CH15" i="9"/>
  <c r="CH26" i="9" s="1"/>
  <c r="CH28" i="9" s="1"/>
  <c r="CC15" i="9"/>
  <c r="BP26" i="9"/>
  <c r="BP28" i="9" s="1"/>
  <c r="DF42" i="9"/>
  <c r="DG42" i="9" s="1"/>
  <c r="DF43" i="9"/>
  <c r="DG43" i="9" s="1"/>
  <c r="BO15" i="9"/>
  <c r="CS42" i="9"/>
  <c r="CT42" i="9" s="1"/>
  <c r="CS43" i="9"/>
  <c r="CT43" i="9" s="1"/>
  <c r="BX15" i="9"/>
  <c r="BX26" i="9" s="1"/>
  <c r="BX28" i="9" s="1"/>
  <c r="CE15" i="9"/>
  <c r="CE26" i="9" s="1"/>
  <c r="CE28" i="9" s="1"/>
  <c r="CD15" i="9"/>
  <c r="CD26" i="9" s="1"/>
  <c r="CD28" i="9" s="1"/>
  <c r="BZ15" i="9"/>
  <c r="BZ26" i="9" s="1"/>
  <c r="BZ28" i="9" s="1"/>
  <c r="CF15" i="9"/>
  <c r="CF26" i="9" s="1"/>
  <c r="CF28" i="9" s="1"/>
  <c r="CA15" i="9"/>
  <c r="E21" i="1"/>
  <c r="AX37" i="9"/>
  <c r="AX39" i="9" s="1"/>
  <c r="C12" i="21"/>
  <c r="C14" i="21" s="1"/>
  <c r="C21" i="1" s="1"/>
  <c r="D6" i="24"/>
  <c r="D5" i="24" s="1"/>
  <c r="C20" i="1"/>
  <c r="F20" i="1"/>
  <c r="F12" i="21"/>
  <c r="F14" i="21" s="1"/>
  <c r="F22" i="1"/>
  <c r="J17" i="18"/>
  <c r="G5" i="25"/>
  <c r="F21" i="21"/>
  <c r="G9" i="21"/>
  <c r="H6" i="24" s="1"/>
  <c r="G20" i="21"/>
  <c r="D5" i="25"/>
  <c r="C21" i="21"/>
  <c r="C9" i="25"/>
  <c r="AS26" i="9"/>
  <c r="I13" i="21"/>
  <c r="J17" i="24" s="1"/>
  <c r="K12" i="18"/>
  <c r="M28" i="16"/>
  <c r="L7" i="20"/>
  <c r="C10" i="27"/>
  <c r="C22" i="21"/>
  <c r="C23" i="1" s="1"/>
  <c r="C8" i="27"/>
  <c r="C7" i="27"/>
  <c r="C20" i="27"/>
  <c r="C11" i="27" s="1"/>
  <c r="C19" i="1"/>
  <c r="C14" i="24"/>
  <c r="C11" i="24" s="1"/>
  <c r="C23" i="24" s="1"/>
  <c r="C5" i="23"/>
  <c r="C9" i="23" s="1"/>
  <c r="C14" i="23" s="1"/>
  <c r="C25" i="20"/>
  <c r="C9" i="27"/>
  <c r="C6" i="27"/>
  <c r="C5" i="27"/>
  <c r="D38" i="18"/>
  <c r="E7" i="3"/>
  <c r="O22" i="14"/>
  <c r="L6" i="18"/>
  <c r="K14" i="20"/>
  <c r="J15" i="27"/>
  <c r="K8" i="20"/>
  <c r="O20" i="14"/>
  <c r="O14" i="14"/>
  <c r="O18" i="14"/>
  <c r="O10" i="14"/>
  <c r="G20" i="8"/>
  <c r="L18" i="9" s="1"/>
  <c r="L26" i="9" s="1"/>
  <c r="O17" i="8"/>
  <c r="C8" i="3"/>
  <c r="E8" i="3" s="1"/>
  <c r="O23" i="8"/>
  <c r="C10" i="3" s="1"/>
  <c r="E10" i="3" s="1"/>
  <c r="Q13" i="8"/>
  <c r="J7" i="23"/>
  <c r="J12" i="23" s="1"/>
  <c r="K13" i="18"/>
  <c r="K17" i="18" s="1"/>
  <c r="L24" i="1"/>
  <c r="M10" i="18"/>
  <c r="E26" i="1"/>
  <c r="F14" i="23"/>
  <c r="I15" i="20"/>
  <c r="I16" i="20" s="1"/>
  <c r="F12" i="27"/>
  <c r="F15" i="25"/>
  <c r="C9" i="1"/>
  <c r="J13" i="21"/>
  <c r="K17" i="24" s="1"/>
  <c r="G9" i="25"/>
  <c r="G7" i="25" s="1"/>
  <c r="G14" i="24"/>
  <c r="H38" i="18"/>
  <c r="G5" i="23"/>
  <c r="G9" i="23" s="1"/>
  <c r="G5" i="27"/>
  <c r="G6" i="27"/>
  <c r="G7" i="27"/>
  <c r="G8" i="27"/>
  <c r="G9" i="27"/>
  <c r="G10" i="27"/>
  <c r="G20" i="27"/>
  <c r="G11" i="27" s="1"/>
  <c r="G19" i="1"/>
  <c r="K6" i="20"/>
  <c r="K5" i="21"/>
  <c r="K18" i="1"/>
  <c r="L29" i="15"/>
  <c r="K11" i="23"/>
  <c r="H10" i="20"/>
  <c r="H11" i="20" s="1"/>
  <c r="H18" i="20" s="1"/>
  <c r="H20" i="20" s="1"/>
  <c r="I36" i="18"/>
  <c r="H6" i="21"/>
  <c r="H7" i="21" s="1"/>
  <c r="E18" i="21" l="1"/>
  <c r="G19" i="24" s="1"/>
  <c r="CN15" i="9"/>
  <c r="CM15" i="9"/>
  <c r="CM26" i="9" s="1"/>
  <c r="CM28" i="9" s="1"/>
  <c r="CQ15" i="9"/>
  <c r="CQ26" i="9" s="1"/>
  <c r="CQ28" i="9" s="1"/>
  <c r="CS15" i="9"/>
  <c r="CS26" i="9" s="1"/>
  <c r="CS28" i="9" s="1"/>
  <c r="CR15" i="9"/>
  <c r="CR26" i="9" s="1"/>
  <c r="CR28" i="9" s="1"/>
  <c r="CK15" i="9"/>
  <c r="CK26" i="9" s="1"/>
  <c r="CK28" i="9" s="1"/>
  <c r="DA15" i="9"/>
  <c r="CX15" i="9"/>
  <c r="CX26" i="9" s="1"/>
  <c r="CX28" i="9" s="1"/>
  <c r="CZ15" i="9"/>
  <c r="CZ26" i="9" s="1"/>
  <c r="CZ28" i="9" s="1"/>
  <c r="DD15" i="9"/>
  <c r="DD26" i="9" s="1"/>
  <c r="DD28" i="9" s="1"/>
  <c r="DE15" i="9"/>
  <c r="DE26" i="9" s="1"/>
  <c r="DE28" i="9" s="1"/>
  <c r="CB15" i="9"/>
  <c r="CC26" i="9"/>
  <c r="CC28" i="9" s="1"/>
  <c r="CO15" i="9"/>
  <c r="CP15" i="9"/>
  <c r="CV15" i="9"/>
  <c r="CV26" i="9" s="1"/>
  <c r="CV28" i="9" s="1"/>
  <c r="CW15" i="9"/>
  <c r="CW26" i="9" s="1"/>
  <c r="CW28" i="9" s="1"/>
  <c r="CU15" i="9"/>
  <c r="CU26" i="9" s="1"/>
  <c r="CU28" i="9" s="1"/>
  <c r="DF15" i="9"/>
  <c r="DF26" i="9" s="1"/>
  <c r="DF28" i="9" s="1"/>
  <c r="DC15" i="9"/>
  <c r="DJ15" i="9"/>
  <c r="DJ26" i="9" s="1"/>
  <c r="DJ28" i="9" s="1"/>
  <c r="DI15" i="9"/>
  <c r="DI26" i="9" s="1"/>
  <c r="DI28" i="9" s="1"/>
  <c r="DH15" i="9"/>
  <c r="DH26" i="9" s="1"/>
  <c r="DH28" i="9" s="1"/>
  <c r="L14" i="20"/>
  <c r="DS41" i="9"/>
  <c r="AX38" i="9"/>
  <c r="F22" i="21"/>
  <c r="F23" i="1" s="1"/>
  <c r="C17" i="21"/>
  <c r="C18" i="21" s="1"/>
  <c r="D6" i="26" s="1"/>
  <c r="D7" i="26" s="1"/>
  <c r="C7" i="25"/>
  <c r="C15" i="25" s="1"/>
  <c r="J12" i="25"/>
  <c r="F6" i="26"/>
  <c r="F21" i="1"/>
  <c r="F17" i="21"/>
  <c r="F28" i="21" s="1"/>
  <c r="BJ38" i="9"/>
  <c r="G22" i="1"/>
  <c r="G20" i="1"/>
  <c r="G12" i="21"/>
  <c r="G14" i="21" s="1"/>
  <c r="H5" i="25"/>
  <c r="G21" i="21"/>
  <c r="H9" i="21"/>
  <c r="I6" i="24" s="1"/>
  <c r="H20" i="21"/>
  <c r="AS28" i="9"/>
  <c r="L12" i="18"/>
  <c r="L28" i="9"/>
  <c r="O26" i="9"/>
  <c r="K15" i="27"/>
  <c r="L13" i="18"/>
  <c r="K15" i="20" s="1"/>
  <c r="K16" i="20" s="1"/>
  <c r="K7" i="23"/>
  <c r="K12" i="23" s="1"/>
  <c r="C12" i="27"/>
  <c r="C26" i="1"/>
  <c r="G24" i="8"/>
  <c r="O20" i="8"/>
  <c r="J6" i="21"/>
  <c r="J7" i="21" s="1"/>
  <c r="J15" i="20"/>
  <c r="J16" i="20" s="1"/>
  <c r="F26" i="1"/>
  <c r="G14" i="23"/>
  <c r="I10" i="20"/>
  <c r="I11" i="20" s="1"/>
  <c r="I18" i="20" s="1"/>
  <c r="I20" i="20" s="1"/>
  <c r="J36" i="18"/>
  <c r="I6" i="21"/>
  <c r="I7" i="21" s="1"/>
  <c r="G11" i="24"/>
  <c r="L8" i="20"/>
  <c r="M6" i="18"/>
  <c r="L25" i="1"/>
  <c r="K12" i="25"/>
  <c r="G15" i="25"/>
  <c r="K13" i="21"/>
  <c r="L17" i="24" s="1"/>
  <c r="H14" i="24"/>
  <c r="H9" i="25"/>
  <c r="H7" i="25" s="1"/>
  <c r="I38" i="18"/>
  <c r="H5" i="27"/>
  <c r="H6" i="27"/>
  <c r="H7" i="27"/>
  <c r="H8" i="27"/>
  <c r="H9" i="27"/>
  <c r="H10" i="27"/>
  <c r="H20" i="27"/>
  <c r="H11" i="27" s="1"/>
  <c r="H19" i="1"/>
  <c r="H5" i="23"/>
  <c r="H9" i="23" s="1"/>
  <c r="G12" i="27"/>
  <c r="DB15" i="9" l="1"/>
  <c r="CP26" i="9"/>
  <c r="CP28" i="9" s="1"/>
  <c r="DC26" i="9"/>
  <c r="DC28" i="9" s="1"/>
  <c r="DS43" i="9"/>
  <c r="DT43" i="9" s="1"/>
  <c r="DS42" i="9"/>
  <c r="DT42" i="9" s="1"/>
  <c r="DA20" i="9"/>
  <c r="J18" i="21"/>
  <c r="F18" i="21"/>
  <c r="G22" i="21"/>
  <c r="G23" i="1" s="1"/>
  <c r="E19" i="24"/>
  <c r="H20" i="1"/>
  <c r="BJ40" i="9"/>
  <c r="BJ39" i="9"/>
  <c r="BN26" i="9" s="1"/>
  <c r="G17" i="21"/>
  <c r="G29" i="21" s="1"/>
  <c r="G21" i="1"/>
  <c r="J9" i="21"/>
  <c r="K6" i="24" s="1"/>
  <c r="J20" i="21"/>
  <c r="I9" i="21"/>
  <c r="I20" i="1" s="1"/>
  <c r="I20" i="21"/>
  <c r="I5" i="25"/>
  <c r="H21" i="21"/>
  <c r="H22" i="1"/>
  <c r="H12" i="21"/>
  <c r="H14" i="21" s="1"/>
  <c r="L17" i="18"/>
  <c r="L36" i="18" s="1"/>
  <c r="M12" i="18"/>
  <c r="C12" i="26"/>
  <c r="O28" i="9"/>
  <c r="L29" i="9"/>
  <c r="M29" i="9" s="1"/>
  <c r="N29" i="9" s="1"/>
  <c r="L11" i="23"/>
  <c r="L9" i="20"/>
  <c r="L5" i="21"/>
  <c r="M29" i="15"/>
  <c r="L18" i="1"/>
  <c r="L6" i="20"/>
  <c r="J10" i="20"/>
  <c r="J11" i="20" s="1"/>
  <c r="J18" i="20" s="1"/>
  <c r="J20" i="20" s="1"/>
  <c r="Q20" i="8"/>
  <c r="O24" i="8"/>
  <c r="C11" i="3" s="1"/>
  <c r="E11" i="3" s="1"/>
  <c r="C9" i="3"/>
  <c r="E9" i="3" s="1"/>
  <c r="K36" i="18"/>
  <c r="K38" i="18" s="1"/>
  <c r="G26" i="1"/>
  <c r="H14" i="23"/>
  <c r="I20" i="27"/>
  <c r="I11" i="27" s="1"/>
  <c r="J38" i="18"/>
  <c r="I5" i="23"/>
  <c r="I9" i="23" s="1"/>
  <c r="I5" i="27"/>
  <c r="I6" i="27"/>
  <c r="I7" i="27"/>
  <c r="I8" i="27"/>
  <c r="I9" i="27"/>
  <c r="I10" i="27"/>
  <c r="I19" i="1"/>
  <c r="I9" i="25"/>
  <c r="I7" i="25" s="1"/>
  <c r="I14" i="24"/>
  <c r="L15" i="27"/>
  <c r="M13" i="18"/>
  <c r="L7" i="23"/>
  <c r="L12" i="23" s="1"/>
  <c r="L12" i="25"/>
  <c r="H12" i="27"/>
  <c r="H15" i="25"/>
  <c r="DM15" i="9" l="1"/>
  <c r="DM26" i="9" s="1"/>
  <c r="DM28" i="9" s="1"/>
  <c r="DS15" i="9"/>
  <c r="DS26" i="9" s="1"/>
  <c r="DS28" i="9" s="1"/>
  <c r="DK15" i="9"/>
  <c r="DQ15" i="9"/>
  <c r="DQ26" i="9" s="1"/>
  <c r="DQ28" i="9" s="1"/>
  <c r="DR15" i="9"/>
  <c r="DR26" i="9" s="1"/>
  <c r="DR28" i="9" s="1"/>
  <c r="DN15" i="9"/>
  <c r="DP15" i="9"/>
  <c r="DV15" i="9"/>
  <c r="DV26" i="9" s="1"/>
  <c r="DV28" i="9" s="1"/>
  <c r="DU15" i="9"/>
  <c r="DU26" i="9" s="1"/>
  <c r="DU28" i="9" s="1"/>
  <c r="DW15" i="9"/>
  <c r="DW26" i="9" s="1"/>
  <c r="DW28" i="9" s="1"/>
  <c r="DN20" i="9"/>
  <c r="K18" i="21"/>
  <c r="G18" i="21"/>
  <c r="H6" i="26" s="1"/>
  <c r="M17" i="18"/>
  <c r="J12" i="21"/>
  <c r="J14" i="21" s="1"/>
  <c r="J22" i="1"/>
  <c r="J20" i="1"/>
  <c r="H22" i="21"/>
  <c r="H23" i="1" s="1"/>
  <c r="BN28" i="9"/>
  <c r="BO28" i="9" s="1"/>
  <c r="BO26" i="9"/>
  <c r="J6" i="24"/>
  <c r="H21" i="1"/>
  <c r="H17" i="21"/>
  <c r="H30" i="21" s="1"/>
  <c r="K5" i="25"/>
  <c r="J21" i="21"/>
  <c r="J5" i="25"/>
  <c r="I21" i="21"/>
  <c r="I22" i="1"/>
  <c r="I12" i="21"/>
  <c r="I14" i="21" s="1"/>
  <c r="L13" i="21"/>
  <c r="M17" i="24" s="1"/>
  <c r="K10" i="20"/>
  <c r="K11" i="20" s="1"/>
  <c r="K18" i="20" s="1"/>
  <c r="K20" i="20" s="1"/>
  <c r="K9" i="25" s="1"/>
  <c r="K7" i="25" s="1"/>
  <c r="K6" i="21"/>
  <c r="K7" i="21" s="1"/>
  <c r="J7" i="27"/>
  <c r="J9" i="27"/>
  <c r="J8" i="27"/>
  <c r="J6" i="27"/>
  <c r="J5" i="27"/>
  <c r="J10" i="27"/>
  <c r="J20" i="27"/>
  <c r="J11" i="27" s="1"/>
  <c r="J19" i="1"/>
  <c r="J5" i="23"/>
  <c r="J9" i="23" s="1"/>
  <c r="J14" i="23" s="1"/>
  <c r="H26" i="1"/>
  <c r="I14" i="23"/>
  <c r="J9" i="25"/>
  <c r="J7" i="25" s="1"/>
  <c r="J14" i="24"/>
  <c r="I15" i="25"/>
  <c r="I12" i="27"/>
  <c r="L38" i="18"/>
  <c r="K5" i="23"/>
  <c r="K9" i="23" s="1"/>
  <c r="K5" i="27"/>
  <c r="K6" i="27"/>
  <c r="K7" i="27"/>
  <c r="K8" i="27"/>
  <c r="K9" i="27"/>
  <c r="K10" i="27"/>
  <c r="K20" i="27"/>
  <c r="K11" i="27" s="1"/>
  <c r="K19" i="1"/>
  <c r="L15" i="20"/>
  <c r="L16" i="20" s="1"/>
  <c r="DP26" i="9" l="1"/>
  <c r="DP28" i="9" s="1"/>
  <c r="EB15" i="9"/>
  <c r="DK26" i="9"/>
  <c r="DK28" i="9" s="1"/>
  <c r="DO15" i="9"/>
  <c r="I19" i="24"/>
  <c r="I11" i="24" s="1"/>
  <c r="EA20" i="9"/>
  <c r="L18" i="21"/>
  <c r="DN26" i="9"/>
  <c r="I17" i="21"/>
  <c r="I31" i="21" s="1"/>
  <c r="J22" i="21"/>
  <c r="J23" i="1" s="1"/>
  <c r="J21" i="1"/>
  <c r="J17" i="21"/>
  <c r="I22" i="21"/>
  <c r="I23" i="1" s="1"/>
  <c r="I21" i="1"/>
  <c r="M12" i="25"/>
  <c r="M7" i="25" s="1"/>
  <c r="K9" i="21"/>
  <c r="K20" i="21"/>
  <c r="K14" i="24"/>
  <c r="J12" i="27"/>
  <c r="I26" i="1"/>
  <c r="J26" i="1"/>
  <c r="K14" i="23"/>
  <c r="J15" i="25"/>
  <c r="K12" i="27"/>
  <c r="M36" i="18"/>
  <c r="L10" i="20"/>
  <c r="L11" i="20" s="1"/>
  <c r="L18" i="20" s="1"/>
  <c r="L6" i="21"/>
  <c r="L7" i="21" s="1"/>
  <c r="K15" i="25"/>
  <c r="DN28" i="9" l="1"/>
  <c r="DO28" i="9" s="1"/>
  <c r="DO26" i="9"/>
  <c r="EA26" i="9"/>
  <c r="L19" i="24"/>
  <c r="K6" i="26"/>
  <c r="L20" i="20"/>
  <c r="M6" i="25"/>
  <c r="L9" i="21"/>
  <c r="M5" i="25" s="1"/>
  <c r="L20" i="21"/>
  <c r="L5" i="25"/>
  <c r="K21" i="21"/>
  <c r="K22" i="1"/>
  <c r="K12" i="21"/>
  <c r="K14" i="21" s="1"/>
  <c r="L6" i="24"/>
  <c r="K20" i="1"/>
  <c r="K26" i="1"/>
  <c r="L19" i="1"/>
  <c r="L20" i="27"/>
  <c r="L11" i="27" s="1"/>
  <c r="L8" i="27"/>
  <c r="L5" i="23"/>
  <c r="L9" i="23" s="1"/>
  <c r="L10" i="27"/>
  <c r="L9" i="27"/>
  <c r="L7" i="27"/>
  <c r="L6" i="27"/>
  <c r="L5" i="27"/>
  <c r="M38" i="18"/>
  <c r="L9" i="25"/>
  <c r="L7" i="25" s="1"/>
  <c r="L14" i="24"/>
  <c r="EA28" i="9" l="1"/>
  <c r="EB28" i="9" s="1"/>
  <c r="EB26" i="9"/>
  <c r="L12" i="21"/>
  <c r="L14" i="21" s="1"/>
  <c r="L22" i="21" s="1"/>
  <c r="L23" i="1" s="1"/>
  <c r="M6" i="24"/>
  <c r="M15" i="25"/>
  <c r="L20" i="1"/>
  <c r="L22" i="1"/>
  <c r="L21" i="21"/>
  <c r="K21" i="1"/>
  <c r="K22" i="21"/>
  <c r="K23" i="1" s="1"/>
  <c r="K17" i="21"/>
  <c r="L14" i="23"/>
  <c r="L11" i="24"/>
  <c r="L15" i="25"/>
  <c r="L12" i="27"/>
  <c r="L21" i="1" l="1"/>
  <c r="L17" i="21"/>
  <c r="M19" i="24"/>
  <c r="M11" i="24" s="1"/>
  <c r="L26" i="1"/>
  <c r="M6" i="26"/>
  <c r="L6" i="26" l="1"/>
  <c r="D11" i="13"/>
  <c r="D14" i="27" s="1"/>
  <c r="T19" i="9" l="1"/>
  <c r="T26" i="9" s="1"/>
  <c r="T28" i="9" s="1"/>
  <c r="P19" i="9"/>
  <c r="P26" i="9" s="1"/>
  <c r="D7" i="20"/>
  <c r="V19" i="9"/>
  <c r="V26" i="9" s="1"/>
  <c r="V28" i="9" s="1"/>
  <c r="V7" i="8" l="1"/>
  <c r="V13" i="8" s="1"/>
  <c r="L7" i="3"/>
  <c r="Q19" i="9"/>
  <c r="Y19" i="9"/>
  <c r="Y26" i="9" s="1"/>
  <c r="Y28" i="9" s="1"/>
  <c r="Z19" i="9"/>
  <c r="Z26" i="9" s="1"/>
  <c r="Z28" i="9" s="1"/>
  <c r="U19" i="9"/>
  <c r="U26" i="9" s="1"/>
  <c r="U28" i="9" s="1"/>
  <c r="S19" i="9"/>
  <c r="S26" i="9" s="1"/>
  <c r="S28" i="9" s="1"/>
  <c r="X19" i="9"/>
  <c r="X26" i="9" s="1"/>
  <c r="X28" i="9" s="1"/>
  <c r="W19" i="9"/>
  <c r="W26" i="9" s="1"/>
  <c r="W28" i="9" s="1"/>
  <c r="R19" i="9"/>
  <c r="AA19" i="9"/>
  <c r="AA26" i="9" s="1"/>
  <c r="AA28" i="9" s="1"/>
  <c r="AD35" i="6"/>
  <c r="P28" i="9"/>
  <c r="P29" i="9" s="1"/>
  <c r="X7" i="8"/>
  <c r="X13" i="8" s="1"/>
  <c r="X17" i="8" s="1"/>
  <c r="V17" i="8" l="1"/>
  <c r="V20" i="8" s="1"/>
  <c r="V24" i="8" s="1"/>
  <c r="R7" i="8"/>
  <c r="R13" i="8" s="1"/>
  <c r="R17" i="8" s="1"/>
  <c r="AF35" i="6"/>
  <c r="E8" i="18"/>
  <c r="V23" i="8"/>
  <c r="U7" i="8"/>
  <c r="U13" i="8" s="1"/>
  <c r="U17" i="8" s="1"/>
  <c r="W7" i="8"/>
  <c r="W13" i="8" s="1"/>
  <c r="W17" i="8" s="1"/>
  <c r="AB7" i="8"/>
  <c r="AB13" i="8" s="1"/>
  <c r="AB17" i="8" s="1"/>
  <c r="AA7" i="8"/>
  <c r="AA13" i="8" s="1"/>
  <c r="AA17" i="8" s="1"/>
  <c r="Z7" i="8"/>
  <c r="Z13" i="8" s="1"/>
  <c r="Z17" i="8" s="1"/>
  <c r="X20" i="8"/>
  <c r="X24" i="8" s="1"/>
  <c r="X23" i="8"/>
  <c r="AC7" i="8"/>
  <c r="AC13" i="8" s="1"/>
  <c r="AC17" i="8" s="1"/>
  <c r="Y7" i="8"/>
  <c r="Y13" i="8" s="1"/>
  <c r="Y17" i="8" s="1"/>
  <c r="R26" i="9"/>
  <c r="AB19" i="9"/>
  <c r="T7" i="8"/>
  <c r="T13" i="8" s="1"/>
  <c r="T17" i="8" s="1"/>
  <c r="AB23" i="8" l="1"/>
  <c r="AB20" i="8"/>
  <c r="AB24" i="8" s="1"/>
  <c r="U23" i="8"/>
  <c r="U20" i="8"/>
  <c r="U24" i="8" s="1"/>
  <c r="AA23" i="8"/>
  <c r="AA20" i="8"/>
  <c r="AA24" i="8" s="1"/>
  <c r="W23" i="8"/>
  <c r="W20" i="8"/>
  <c r="W24" i="8" s="1"/>
  <c r="Z20" i="8"/>
  <c r="Z24" i="8" s="1"/>
  <c r="Z23" i="8"/>
  <c r="AC20" i="8"/>
  <c r="AC24" i="8" s="1"/>
  <c r="AC23" i="8"/>
  <c r="R28" i="9"/>
  <c r="Y23" i="8"/>
  <c r="Y20" i="8"/>
  <c r="Y24" i="8" s="1"/>
  <c r="T20" i="8"/>
  <c r="T24" i="8" s="1"/>
  <c r="T23" i="8"/>
  <c r="AE23" i="8"/>
  <c r="L10" i="3" s="1"/>
  <c r="L8" i="3"/>
  <c r="M17" i="3"/>
  <c r="R23" i="8"/>
  <c r="R20" i="8" l="1"/>
  <c r="AE24" i="8" l="1"/>
  <c r="L11" i="3" s="1"/>
  <c r="L9" i="3"/>
  <c r="R24" i="8"/>
  <c r="Q13" i="9"/>
  <c r="Q26" i="9" s="1"/>
  <c r="AD37" i="6"/>
  <c r="AF37" i="6" s="1"/>
  <c r="S44" i="6"/>
  <c r="S65" i="6" l="1"/>
  <c r="AD65" i="6" s="1"/>
  <c r="S7" i="8"/>
  <c r="S13" i="8" s="1"/>
  <c r="AD13" i="8" s="1"/>
  <c r="AD44" i="6"/>
  <c r="AE45" i="6" s="1"/>
  <c r="AB26" i="9"/>
  <c r="Q28" i="9"/>
  <c r="M20" i="3"/>
  <c r="M21" i="3"/>
  <c r="S23" i="8"/>
  <c r="M28" i="3"/>
  <c r="M26" i="3"/>
  <c r="M27" i="3"/>
  <c r="E10" i="18"/>
  <c r="E17" i="18" s="1"/>
  <c r="AB13" i="9"/>
  <c r="K7" i="3" l="1"/>
  <c r="M7" i="3" s="1"/>
  <c r="AE66" i="6"/>
  <c r="AF65" i="6"/>
  <c r="AF66" i="6" s="1"/>
  <c r="M19" i="3"/>
  <c r="S17" i="8"/>
  <c r="M24" i="3"/>
  <c r="M18" i="3"/>
  <c r="AD7" i="8"/>
  <c r="AD9" i="8" s="1"/>
  <c r="M23" i="3"/>
  <c r="M22" i="3"/>
  <c r="AD17" i="8"/>
  <c r="AF17" i="8" s="1"/>
  <c r="M25" i="3"/>
  <c r="AF44" i="6"/>
  <c r="AF45" i="6" s="1"/>
  <c r="K8" i="3"/>
  <c r="M8" i="3" s="1"/>
  <c r="AF13" i="8"/>
  <c r="AD23" i="8"/>
  <c r="K10" i="3" s="1"/>
  <c r="M10" i="3" s="1"/>
  <c r="Q29" i="9"/>
  <c r="R29" i="9" s="1"/>
  <c r="S29" i="9" s="1"/>
  <c r="T29" i="9" s="1"/>
  <c r="U29" i="9" s="1"/>
  <c r="V29" i="9" s="1"/>
  <c r="W29" i="9" s="1"/>
  <c r="X29" i="9" s="1"/>
  <c r="Y29" i="9" s="1"/>
  <c r="Z29" i="9" s="1"/>
  <c r="AA29" i="9" s="1"/>
  <c r="AC29" i="9" s="1"/>
  <c r="AD29" i="9" s="1"/>
  <c r="AE29" i="9" s="1"/>
  <c r="AF29" i="9" s="1"/>
  <c r="AG29" i="9" s="1"/>
  <c r="AH29" i="9" s="1"/>
  <c r="AI29" i="9" s="1"/>
  <c r="AJ29" i="9" s="1"/>
  <c r="AK29" i="9" s="1"/>
  <c r="AB28" i="9"/>
  <c r="D15" i="20"/>
  <c r="D16" i="20" s="1"/>
  <c r="D15" i="27"/>
  <c r="D7" i="23"/>
  <c r="D12" i="23" s="1"/>
  <c r="AF7" i="8" l="1"/>
  <c r="S20" i="8"/>
  <c r="S24" i="8" s="1"/>
  <c r="AD22" i="8"/>
  <c r="AF9" i="8"/>
  <c r="D6" i="21"/>
  <c r="D7" i="21" s="1"/>
  <c r="D10" i="20"/>
  <c r="D11" i="20" s="1"/>
  <c r="D18" i="20" s="1"/>
  <c r="E36" i="18"/>
  <c r="D9" i="21" l="1"/>
  <c r="D20" i="1" s="1"/>
  <c r="D20" i="21"/>
  <c r="AD20" i="8"/>
  <c r="AF20" i="8" s="1"/>
  <c r="E38" i="18"/>
  <c r="D5" i="23"/>
  <c r="D9" i="23" s="1"/>
  <c r="D14" i="23" s="1"/>
  <c r="D26" i="1" s="1"/>
  <c r="D6" i="27"/>
  <c r="D7" i="27"/>
  <c r="D9" i="27"/>
  <c r="D10" i="27"/>
  <c r="D8" i="27"/>
  <c r="D20" i="27"/>
  <c r="D11" i="27" s="1"/>
  <c r="D19" i="1"/>
  <c r="D5" i="27"/>
  <c r="D20" i="20"/>
  <c r="E20" i="20"/>
  <c r="D12" i="21" l="1"/>
  <c r="D14" i="21" s="1"/>
  <c r="AK37" i="9" s="1"/>
  <c r="D22" i="1"/>
  <c r="E6" i="24"/>
  <c r="E5" i="25"/>
  <c r="D21" i="21"/>
  <c r="AD24" i="8"/>
  <c r="K11" i="3" s="1"/>
  <c r="M11" i="3" s="1"/>
  <c r="K9" i="3"/>
  <c r="M9" i="3" s="1"/>
  <c r="D12" i="27"/>
  <c r="E9" i="25"/>
  <c r="E7" i="25" s="1"/>
  <c r="E14" i="24"/>
  <c r="E11" i="24" s="1"/>
  <c r="D9" i="25"/>
  <c r="D14" i="24"/>
  <c r="D11" i="24" s="1"/>
  <c r="D23" i="24" s="1"/>
  <c r="E7" i="24" s="1"/>
  <c r="D21" i="1" l="1"/>
  <c r="D17" i="21"/>
  <c r="D26" i="21" s="1"/>
  <c r="CA20" i="9" s="1"/>
  <c r="CA26" i="9" s="1"/>
  <c r="D22" i="21"/>
  <c r="D23" i="1" s="1"/>
  <c r="DA26" i="9"/>
  <c r="DA28" i="9" s="1"/>
  <c r="DB28" i="9" s="1"/>
  <c r="D27" i="21"/>
  <c r="E5" i="24"/>
  <c r="D7" i="25"/>
  <c r="D15" i="25" s="1"/>
  <c r="H19" i="24"/>
  <c r="H11" i="24" s="1"/>
  <c r="G6" i="26"/>
  <c r="E15" i="25"/>
  <c r="D18" i="21"/>
  <c r="E23" i="24"/>
  <c r="F7" i="24" s="1"/>
  <c r="F5" i="24" s="1"/>
  <c r="CA28" i="9" l="1"/>
  <c r="CB28" i="9" s="1"/>
  <c r="CB26" i="9"/>
  <c r="H18" i="21"/>
  <c r="J19" i="24" s="1"/>
  <c r="J11" i="24" s="1"/>
  <c r="DB26" i="9"/>
  <c r="CN20" i="9"/>
  <c r="CN26" i="9" s="1"/>
  <c r="I18" i="21"/>
  <c r="C24" i="25"/>
  <c r="C23" i="25"/>
  <c r="F19" i="24"/>
  <c r="F11" i="24" s="1"/>
  <c r="F23" i="24" s="1"/>
  <c r="G7" i="24" s="1"/>
  <c r="G5" i="24" s="1"/>
  <c r="G23" i="24" s="1"/>
  <c r="H7" i="24" s="1"/>
  <c r="H5" i="24" s="1"/>
  <c r="H23" i="24" s="1"/>
  <c r="I7" i="24" s="1"/>
  <c r="I5" i="24" s="1"/>
  <c r="I23" i="24" s="1"/>
  <c r="J7" i="24" s="1"/>
  <c r="J5" i="24" s="1"/>
  <c r="E6" i="26"/>
  <c r="E7" i="26" s="1"/>
  <c r="F7" i="26" s="1"/>
  <c r="G7" i="26" s="1"/>
  <c r="H7" i="26" s="1"/>
  <c r="D12" i="26"/>
  <c r="I6" i="26" l="1"/>
  <c r="I7" i="26" s="1"/>
  <c r="J23" i="24"/>
  <c r="K7" i="24" s="1"/>
  <c r="K5" i="24" s="1"/>
  <c r="CN28" i="9"/>
  <c r="CO28" i="9" s="1"/>
  <c r="CO26" i="9"/>
  <c r="K19" i="24"/>
  <c r="K11" i="24" s="1"/>
  <c r="J6" i="26"/>
  <c r="AK39" i="9"/>
  <c r="BA26" i="9" s="1"/>
  <c r="AK38" i="9"/>
  <c r="E12" i="26"/>
  <c r="F12" i="26" s="1"/>
  <c r="G12" i="26" s="1"/>
  <c r="H12" i="26" s="1"/>
  <c r="I12" i="26" s="1"/>
  <c r="J12" i="26" s="1"/>
  <c r="K12" i="26" s="1"/>
  <c r="L12" i="26" s="1"/>
  <c r="J7" i="26" l="1"/>
  <c r="K7" i="26" s="1"/>
  <c r="L7" i="26" s="1"/>
  <c r="M7" i="26" s="1"/>
  <c r="K23" i="24"/>
  <c r="L7" i="24" s="1"/>
  <c r="L5" i="24" s="1"/>
  <c r="L23" i="24" s="1"/>
  <c r="M7" i="24" s="1"/>
  <c r="M5" i="24" s="1"/>
  <c r="M23" i="24" s="1"/>
  <c r="AL26" i="9"/>
  <c r="AL28" i="9" s="1"/>
  <c r="AL29" i="9" s="1"/>
  <c r="AM29" i="9" s="1"/>
  <c r="AN26" i="9"/>
  <c r="AN28" i="9" s="1"/>
  <c r="BA28" i="9"/>
  <c r="BB28" i="9" s="1"/>
  <c r="BB26" i="9"/>
  <c r="O58" i="6"/>
  <c r="Q58" i="6" s="1"/>
  <c r="AD58" i="6"/>
  <c r="AF58" i="6" s="1"/>
  <c r="M12" i="26"/>
  <c r="AN29" i="9" l="1"/>
  <c r="AP29" i="9" s="1"/>
  <c r="AQ29" i="9" s="1"/>
  <c r="AR29" i="9" s="1"/>
  <c r="AS29" i="9" s="1"/>
  <c r="AT29" i="9" s="1"/>
  <c r="AU29" i="9" s="1"/>
  <c r="AV29" i="9" s="1"/>
  <c r="AW29" i="9" s="1"/>
  <c r="AX29" i="9" s="1"/>
  <c r="AY29" i="9" s="1"/>
  <c r="AZ29" i="9" s="1"/>
  <c r="BA29" i="9" s="1"/>
  <c r="BC29" i="9" s="1"/>
  <c r="BD29" i="9" s="1"/>
  <c r="BE29" i="9" s="1"/>
  <c r="BF29" i="9" s="1"/>
  <c r="BG29" i="9" s="1"/>
  <c r="BH29" i="9" s="1"/>
  <c r="BI29" i="9" s="1"/>
  <c r="BJ29" i="9" s="1"/>
  <c r="BK29" i="9" s="1"/>
  <c r="BL29" i="9" s="1"/>
  <c r="BM29" i="9" s="1"/>
  <c r="BN29" i="9" s="1"/>
  <c r="BP29" i="9" s="1"/>
  <c r="BQ29" i="9" s="1"/>
  <c r="BR29" i="9" s="1"/>
  <c r="BS29" i="9" s="1"/>
  <c r="BT29" i="9" s="1"/>
  <c r="BU29" i="9" s="1"/>
  <c r="BV29" i="9" s="1"/>
  <c r="BW29" i="9" s="1"/>
  <c r="BX29" i="9" s="1"/>
  <c r="BY29" i="9" s="1"/>
  <c r="BZ29" i="9" s="1"/>
  <c r="CA29" i="9" s="1"/>
  <c r="CC29" i="9" s="1"/>
  <c r="CD29" i="9" s="1"/>
  <c r="CE29" i="9" s="1"/>
  <c r="CF29" i="9" s="1"/>
  <c r="CG29" i="9" s="1"/>
  <c r="CH29" i="9" s="1"/>
  <c r="CI29" i="9" s="1"/>
  <c r="CJ29" i="9" s="1"/>
  <c r="CK29" i="9" s="1"/>
  <c r="CL29" i="9" s="1"/>
  <c r="CM29" i="9" s="1"/>
  <c r="CN29" i="9" s="1"/>
  <c r="CP29" i="9" s="1"/>
  <c r="CQ29" i="9" s="1"/>
  <c r="CR29" i="9" s="1"/>
  <c r="CS29" i="9" s="1"/>
  <c r="CT29" i="9" s="1"/>
  <c r="CU29" i="9" s="1"/>
  <c r="CV29" i="9" s="1"/>
  <c r="CW29" i="9" s="1"/>
  <c r="CX29" i="9" s="1"/>
  <c r="CY29" i="9" s="1"/>
  <c r="CZ29" i="9" s="1"/>
  <c r="DA29" i="9" s="1"/>
  <c r="DC29" i="9" s="1"/>
  <c r="DD29" i="9" s="1"/>
  <c r="DE29" i="9" s="1"/>
  <c r="DF29" i="9" s="1"/>
  <c r="DG29" i="9" s="1"/>
  <c r="DH29" i="9" s="1"/>
  <c r="DI29" i="9" s="1"/>
  <c r="DJ29" i="9" s="1"/>
  <c r="DK29" i="9" s="1"/>
  <c r="DL29" i="9" s="1"/>
  <c r="DM29" i="9" s="1"/>
  <c r="DN29" i="9" s="1"/>
  <c r="DP29" i="9" s="1"/>
  <c r="DQ29" i="9" s="1"/>
  <c r="DR29" i="9" s="1"/>
  <c r="DS29" i="9" s="1"/>
  <c r="DT29" i="9" s="1"/>
  <c r="DU29" i="9" s="1"/>
  <c r="DV29" i="9" s="1"/>
  <c r="DW29" i="9" s="1"/>
  <c r="DX29" i="9" s="1"/>
  <c r="DY29" i="9" s="1"/>
  <c r="DZ29" i="9" s="1"/>
  <c r="EA29" i="9" s="1"/>
  <c r="EF29" i="9" s="1"/>
  <c r="AO26" i="9"/>
  <c r="AO28" i="9"/>
  <c r="C10" i="1"/>
  <c r="C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Santacruz</author>
  </authors>
  <commentList>
    <comment ref="B75" authorId="0" shapeId="0" xr:uid="{88186EC9-8F7A-4207-9B50-21AC55BE7037}">
      <text>
        <r>
          <rPr>
            <b/>
            <sz val="9"/>
            <color indexed="81"/>
            <rFont val="Tahoma"/>
            <family val="2"/>
          </rPr>
          <t>Rodrigo Santacruz:</t>
        </r>
        <r>
          <rPr>
            <sz val="9"/>
            <color indexed="81"/>
            <rFont val="Tahoma"/>
            <family val="2"/>
          </rPr>
          <t xml:space="preserve">
Tasa de crecimiento a perpetuidad usada para calcular el Valor Terminal en el Año 10 del flujo de fondos (VAN-TIR). Representa el crecimiento sostenible de largo plazo del negocio.</t>
        </r>
      </text>
    </comment>
    <comment ref="E75" authorId="0" shapeId="0" xr:uid="{1B55398A-6FC9-4C61-A8D4-69EA244276D2}">
      <text>
        <r>
          <rPr>
            <b/>
            <sz val="9"/>
            <color indexed="81"/>
            <rFont val="Tahoma"/>
            <family val="2"/>
          </rPr>
          <t>Rodrigo Santacruz:</t>
        </r>
        <r>
          <rPr>
            <sz val="9"/>
            <color indexed="81"/>
            <rFont val="Tahoma"/>
            <family val="2"/>
          </rPr>
          <t xml:space="preserve">
Tasa de crecimiento a perpetuidad usada para calcular el Valor Terminal en el Año 10 del flujo de fondos (VAN-TIR). Representa el crecimiento sostenible de largo plazo del negocio.</t>
        </r>
      </text>
    </comment>
    <comment ref="A86" authorId="0" shapeId="0" xr:uid="{3581A7B6-E314-4192-B02B-F8970C35D982}">
      <text>
        <r>
          <rPr>
            <b/>
            <sz val="9"/>
            <color indexed="81"/>
            <rFont val="Tahoma"/>
            <family val="2"/>
          </rPr>
          <t>Rodrigo Santacruz:</t>
        </r>
        <r>
          <rPr>
            <sz val="9"/>
            <color indexed="81"/>
            <rFont val="Tahoma"/>
            <family val="2"/>
          </rPr>
          <t xml:space="preserve">
Tasa de interés anual sobre el saldo promedio de cuentas por cobrar financiadas por el banco</t>
        </r>
      </text>
    </comment>
    <comment ref="B86" authorId="0" shapeId="0" xr:uid="{F812FB7D-D72E-4071-9DF5-320F7092A919}">
      <text>
        <r>
          <rPr>
            <b/>
            <sz val="9"/>
            <color indexed="81"/>
            <rFont val="Tahoma"/>
            <family val="2"/>
          </rPr>
          <t>Rodrigo Santacruz:</t>
        </r>
        <r>
          <rPr>
            <sz val="9"/>
            <color indexed="81"/>
            <rFont val="Tahoma"/>
            <family val="2"/>
          </rPr>
          <t xml:space="preserve">
Input editable — tasa que el banco cobra por la línea rotativa de financiamiento de cuentas por cobrar</t>
        </r>
      </text>
    </comment>
    <comment ref="A87" authorId="0" shapeId="0" xr:uid="{B5ACEFC6-9CB2-4D5F-A7BD-11260CE25C64}">
      <text>
        <r>
          <rPr>
            <b/>
            <sz val="9"/>
            <color indexed="81"/>
            <rFont val="Tahoma"/>
            <family val="2"/>
          </rPr>
          <t>Rodrigo Santacruz:</t>
        </r>
        <r>
          <rPr>
            <sz val="9"/>
            <color indexed="81"/>
            <rFont val="Tahoma"/>
            <family val="2"/>
          </rPr>
          <t xml:space="preserve">
IVA aplicable sobre los intereses del crédito rotativo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Rodrigo Santacruz</author>
  </authors>
  <commentList>
    <comment ref="M15" authorId="0" shapeId="0" xr:uid="{1CFF5ABA-E315-4A04-B4AB-4D744511C2BB}">
      <text>
        <r>
          <rPr>
            <b/>
            <sz val="9"/>
            <color indexed="81"/>
            <rFont val="Tahoma"/>
            <family val="2"/>
          </rPr>
          <t>Flujo de Beneficios Netos Año 10 (flujo puro, sin Valor Terminal). El VT se agrega separadamente en las filas auxiliares 50/51.</t>
        </r>
      </text>
    </comment>
  </commentList>
</comments>
</file>

<file path=xl/sharedStrings.xml><?xml version="1.0" encoding="utf-8"?>
<sst xmlns="http://schemas.openxmlformats.org/spreadsheetml/2006/main" count="1368" uniqueCount="575">
  <si>
    <t>RESUMEN EJECUTIVO - PROYECTO CIE ACOPARÁ</t>
  </si>
  <si>
    <t>INDICADORES CLAVE</t>
  </si>
  <si>
    <t>Inversión Total (USD)</t>
  </si>
  <si>
    <t>Aporte Propio (USD)</t>
  </si>
  <si>
    <t>Financiamiento Bancario (USD)</t>
  </si>
  <si>
    <t>WACC (%)</t>
  </si>
  <si>
    <t>VAN con Financiamiento (USD)</t>
  </si>
  <si>
    <t>TIR con Financiamiento (%)</t>
  </si>
  <si>
    <t>Payback Inversión Propia</t>
  </si>
  <si>
    <t>Payback Inversión Total</t>
  </si>
  <si>
    <t>7 Años</t>
  </si>
  <si>
    <t>RESUMEN FINANCIERO ANUAL</t>
  </si>
  <si>
    <t>Concepto</t>
  </si>
  <si>
    <t>AÑO 1</t>
  </si>
  <si>
    <t>AÑO 2</t>
  </si>
  <si>
    <t>AÑO 3</t>
  </si>
  <si>
    <t>AÑO 4</t>
  </si>
  <si>
    <t>AÑO 5</t>
  </si>
  <si>
    <t>AÑO 6</t>
  </si>
  <si>
    <t>AÑO 7</t>
  </si>
  <si>
    <t>AÑO 8</t>
  </si>
  <si>
    <t>AÑO 9</t>
  </si>
  <si>
    <t>AÑO 10</t>
  </si>
  <si>
    <t>Ingresos Netos</t>
  </si>
  <si>
    <t>Costos Totales</t>
  </si>
  <si>
    <t>EBITDA</t>
  </si>
  <si>
    <t>Utilidad Neta</t>
  </si>
  <si>
    <t>Margen EBITDA (%)</t>
  </si>
  <si>
    <t>Margen Neto (%)</t>
  </si>
  <si>
    <t>Producción Total (Tn)</t>
  </si>
  <si>
    <t>Ventas Total (Tn)</t>
  </si>
  <si>
    <t>Punto Equilibrio (Tn)</t>
  </si>
  <si>
    <t>PROYECTO CIE - ACOPARÁ</t>
  </si>
  <si>
    <t>Procesamiento de Chapas para Fines Diversos</t>
  </si>
  <si>
    <t>SUPUESTOS E INPUTS DEL MODELO</t>
  </si>
  <si>
    <t>PARÁMETROS GENERALES</t>
  </si>
  <si>
    <t>Tipo de cambio (Gs/USD)</t>
  </si>
  <si>
    <t>Gs por USD</t>
  </si>
  <si>
    <t>Horizonte del proyecto (años)</t>
  </si>
  <si>
    <t>Merma producción-venta (%)</t>
  </si>
  <si>
    <t>1.5% entre producción y venta</t>
  </si>
  <si>
    <t>CRECIMIENTO DE PRODUCCIÓN</t>
  </si>
  <si>
    <t>Incremento anual producción (%)</t>
  </si>
  <si>
    <t>5% acumulativo</t>
  </si>
  <si>
    <t>CRECIMIENTO DE PRECIOS DE VENTA</t>
  </si>
  <si>
    <t>Incremento precio Año 2-3 (%)</t>
  </si>
  <si>
    <t>Incremento precio Año 4+ (%)</t>
  </si>
  <si>
    <t>2% acumulativo</t>
  </si>
  <si>
    <t>CRECIMIENTO COSTOS MATERIA PRIMA</t>
  </si>
  <si>
    <t>Incremento costo MP anual (%)</t>
  </si>
  <si>
    <t>3% acumulativo desde Año 2</t>
  </si>
  <si>
    <t>MANO DE OBRA</t>
  </si>
  <si>
    <t>Incremento salarial anual (%)</t>
  </si>
  <si>
    <t>3% acumulativo</t>
  </si>
  <si>
    <t>Cargas sociales (%)</t>
  </si>
  <si>
    <t>43.09%</t>
  </si>
  <si>
    <t>FINANCIAMIENTO - PRÉSTAMO 1 (INICIAL)</t>
  </si>
  <si>
    <t>Monto préstamo 1 (USD)</t>
  </si>
  <si>
    <t>Tasa anual préstamo 1 (%)</t>
  </si>
  <si>
    <t>9% anual</t>
  </si>
  <si>
    <t>Plazo préstamo 1 (meses)</t>
  </si>
  <si>
    <t>5 años</t>
  </si>
  <si>
    <t>IVA sobre intereses (%)</t>
  </si>
  <si>
    <t>10%</t>
  </si>
  <si>
    <t>FINANCIAMIENTO - PRÉSTAMO 2 (OPERATIVO)</t>
  </si>
  <si>
    <t>Monto préstamo 2 (USD)</t>
  </si>
  <si>
    <t>Tasa anual préstamo 2 (%)</t>
  </si>
  <si>
    <t>Plazo préstamo 2 (meses)</t>
  </si>
  <si>
    <t>APORTES</t>
  </si>
  <si>
    <t>Aporte CIE - Capital operativo (USD)</t>
  </si>
  <si>
    <t>Aporte ACOPARÁ - Máquinas (USD)</t>
  </si>
  <si>
    <t>Valor FOB</t>
  </si>
  <si>
    <t>Total aporte propio (USD)</t>
  </si>
  <si>
    <t>FORMULA_PLACEHOLDER</t>
  </si>
  <si>
    <t>DEPRECIACIONES</t>
  </si>
  <si>
    <t>Vida útil maquinarias (años)</t>
  </si>
  <si>
    <t>Vida útil obras civiles (años)</t>
  </si>
  <si>
    <t>INVERSIONES FIJAS</t>
  </si>
  <si>
    <t>Obras civiles (USD)</t>
  </si>
  <si>
    <t>IVA obras civiles (USD)</t>
  </si>
  <si>
    <t>Maquinaria y equipos importados (USD)</t>
  </si>
  <si>
    <t>Valor CIF total</t>
  </si>
  <si>
    <t>Gastos de despacho (USD)</t>
  </si>
  <si>
    <t>3% aprox</t>
  </si>
  <si>
    <t>Imprevistos (USD)</t>
  </si>
  <si>
    <t>IVA imprevistos (USD)</t>
  </si>
  <si>
    <t>COSTOS ADMINISTRATIVOS FIJOS (ANUALES)</t>
  </si>
  <si>
    <t>Alquiler tinglado 3000 m2 (USD/mes)</t>
  </si>
  <si>
    <t>USD 4/m2 IVA inc.</t>
  </si>
  <si>
    <t>Agua, comunicaciones, electricidad (USD/año)</t>
  </si>
  <si>
    <t>Mantenimiento obras civiles (USD/año)</t>
  </si>
  <si>
    <t>Seguros sobre activos fijos (USD/año)</t>
  </si>
  <si>
    <t>Gastos generales (USD/año)</t>
  </si>
  <si>
    <t>Honorarios y otros fijos (USD/año)</t>
  </si>
  <si>
    <t>COSTOS DE PRODUCCIÓN VARIABLES</t>
  </si>
  <si>
    <t>Insumos menores (USD/Tn)</t>
  </si>
  <si>
    <t>Aprox</t>
  </si>
  <si>
    <t>Packaging (% sobre costo MP)</t>
  </si>
  <si>
    <t>1%</t>
  </si>
  <si>
    <t>Seguro caución Maquila (% sobre ventas)</t>
  </si>
  <si>
    <t>Alimentación de personal (USD/año)</t>
  </si>
  <si>
    <t>Fijo</t>
  </si>
  <si>
    <t>Movimiento de carga base (USD/año)</t>
  </si>
  <si>
    <t>Año 1</t>
  </si>
  <si>
    <t>IMPUESTOS</t>
  </si>
  <si>
    <t>Impuesto Maquila Exportación (%)</t>
  </si>
  <si>
    <t>1% del valor exportado</t>
  </si>
  <si>
    <t>IVA tasa general (%)</t>
  </si>
  <si>
    <t>IVA débito por ventas (%)</t>
  </si>
  <si>
    <t>0% - Régimen Maquila</t>
  </si>
  <si>
    <t>COSTO DE OPORTUNIDAD</t>
  </si>
  <si>
    <t>Costo capital propio (%)</t>
  </si>
  <si>
    <t>16.32%</t>
  </si>
  <si>
    <t>Costo deuda (%)</t>
  </si>
  <si>
    <t>9%</t>
  </si>
  <si>
    <t>CAPITAL DE TRABAJO - DÍAS</t>
  </si>
  <si>
    <t>Caja y bancos (días)</t>
  </si>
  <si>
    <t>Sueldos y anticipos (días)</t>
  </si>
  <si>
    <t>Stock materia prima (días)</t>
  </si>
  <si>
    <t>Ventas a crédito (días)</t>
  </si>
  <si>
    <t>Producto terminado (días)</t>
  </si>
  <si>
    <t>Crédito proveedores MP (días)</t>
  </si>
  <si>
    <t>Crédito proveedores menores (días)</t>
  </si>
  <si>
    <t>DASHBOARD DE EJECUCIÓN AÑO 1</t>
  </si>
  <si>
    <t>Comparativo Proyectado vs Ejecutado — Actualización automática</t>
  </si>
  <si>
    <t>INDICADORES PRINCIPALES</t>
  </si>
  <si>
    <t>EJECUTADO</t>
  </si>
  <si>
    <t>PROYECTADO</t>
  </si>
  <si>
    <t>DESVÍO %</t>
  </si>
  <si>
    <t>Ingresos Netos (USD)</t>
  </si>
  <si>
    <t>Costos Totales (USD)</t>
  </si>
  <si>
    <t>EBITDA (USD)</t>
  </si>
  <si>
    <t>Utilidad Neta (USD)</t>
  </si>
  <si>
    <t>EVOLUCIÓN MENSUAL ACUMULADA</t>
  </si>
  <si>
    <t>Mes</t>
  </si>
  <si>
    <t>Ingresos
Ejec. Acum.</t>
  </si>
  <si>
    <t>Ingresos
Proy. Acum.</t>
  </si>
  <si>
    <t>EBITDA
Ejec. Acum.</t>
  </si>
  <si>
    <t>EBITDA
Proy. Acum.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</si>
  <si>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</si>
  <si>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</si>
  <si>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</si>
  <si>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</si>
  <si>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</si>
  <si>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</si>
  <si>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</si>
  <si>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</si>
  <si>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</si>
  <si>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</si>
  <si>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</si>
  <si>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</si>
  <si>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PRODUCCIÓN PROYECTADA MENSUAL</t>
  </si>
  <si>
    <t>Producto</t>
  </si>
  <si>
    <t>TOTAL
PROY.</t>
  </si>
  <si>
    <t>PROY.
AÑO 1</t>
  </si>
  <si>
    <t>% vs
Anual</t>
  </si>
  <si>
    <t>1. Slitter Portas Autom.</t>
  </si>
  <si>
    <t>2. Slitter Drywall 0,43/0,48</t>
  </si>
  <si>
    <t>3. Slitter Drywall 0,50</t>
  </si>
  <si>
    <t>TOTAL PRODUCCIÓN PROY.</t>
  </si>
  <si>
    <t>TOTAL
EJEC.</t>
  </si>
  <si>
    <t>% Avance
vs Proy.</t>
  </si>
  <si>
    <t>Desvío
(Tn)</t>
  </si>
  <si>
    <t>TOTAL PRODUCCIÓN EJEC.</t>
  </si>
  <si>
    <t>TOTAL
VTA EJEC</t>
  </si>
  <si>
    <t>PROY.
VTA AÑO1</t>
  </si>
  <si>
    <t>TOTAL VENTAS EJEC.</t>
  </si>
  <si>
    <t>PRECIO
PROM EJEC</t>
  </si>
  <si>
    <t>PRECIO
PROY.</t>
  </si>
  <si>
    <t>DESVÍO
%</t>
  </si>
  <si>
    <t>DESVÍO
USD</t>
  </si>
  <si>
    <t>TOTAL INGRESOS EJECUTADOS</t>
  </si>
  <si>
    <t>1. COSTOS DE PRODUCCIÓN</t>
  </si>
  <si>
    <t>a. Materia prima e insumos</t>
  </si>
  <si>
    <t>b. Mano de obra fábrica</t>
  </si>
  <si>
    <t>c. Prestaciones sociales fábrica</t>
  </si>
  <si>
    <t>f. Servicios terceros Steel Frame</t>
  </si>
  <si>
    <t>g. Insumos menores</t>
  </si>
  <si>
    <t>j. Mantenimiento y rep. equipos</t>
  </si>
  <si>
    <t>l. Seguro caución Maquila</t>
  </si>
  <si>
    <t>n. Packaging</t>
  </si>
  <si>
    <t>o. Alimentación de personal</t>
  </si>
  <si>
    <t>p. Movimiento de carga</t>
  </si>
  <si>
    <t>SUBTOTAL PRODUCCIÓN</t>
  </si>
  <si>
    <t>2. GASTOS DE ADMINISTRACIÓN</t>
  </si>
  <si>
    <t>a. Mano de obra administrativa</t>
  </si>
  <si>
    <t>b. Prestaciones sociales admin.</t>
  </si>
  <si>
    <t>c. Agua, comunicaciones, elect.</t>
  </si>
  <si>
    <t>d. Alquileres</t>
  </si>
  <si>
    <t>f. Seguros sobre activos fijos</t>
  </si>
  <si>
    <t>g. Gastos generales</t>
  </si>
  <si>
    <t>i. Honorarios y otros fijos</t>
  </si>
  <si>
    <t>SUBTOTAL ADMINISTRACIÓN</t>
  </si>
  <si>
    <t>Intereses totales</t>
  </si>
  <si>
    <t>SUBTOTAL FINANCIEROS</t>
  </si>
  <si>
    <t>TOTAL COSTOS EJECUTADOS</t>
  </si>
  <si>
    <t>PRÉSTAMO 1 - INICIAL</t>
  </si>
  <si>
    <t>DESVÍO</t>
  </si>
  <si>
    <t>Cuota mensual pagada</t>
  </si>
  <si>
    <t>Capital amortizado</t>
  </si>
  <si>
    <t>Intereses pagados</t>
  </si>
  <si>
    <t>IVA sobre intereses</t>
  </si>
  <si>
    <t>Saldo de deuda P1</t>
  </si>
  <si>
    <t>Valores en USD — Calculado automáticamente desde hojas de ejecución</t>
  </si>
  <si>
    <t>Ingresos netos ejecutados</t>
  </si>
  <si>
    <t>Costos de producción ejecutados</t>
  </si>
  <si>
    <t>Gastos de administración ejecutados</t>
  </si>
  <si>
    <t>EBITDA EJECUTADO</t>
  </si>
  <si>
    <t>Gastos financieros ejecutados</t>
  </si>
  <si>
    <t>Utilidad antes de impuesto</t>
  </si>
  <si>
    <t>Impuesto Maquila (1% ingresos)</t>
  </si>
  <si>
    <t>UTILIDAD NETA EJECUTADA</t>
  </si>
  <si>
    <t>INGRESOS DE CAJA</t>
  </si>
  <si>
    <t>Aportes propios</t>
  </si>
  <si>
    <t>TOTAL INGRESOS CAJA</t>
  </si>
  <si>
    <t>EGRESOS DE CAJA</t>
  </si>
  <si>
    <t>Pagos de nómina (fábrica+admin)</t>
  </si>
  <si>
    <t>Pagos servicios y alquileres</t>
  </si>
  <si>
    <t>Otros gastos operativos</t>
  </si>
  <si>
    <t>Impuestos pagados</t>
  </si>
  <si>
    <t>Inversiones / CAPEX</t>
  </si>
  <si>
    <t>TOTAL EGRESOS CAJA</t>
  </si>
  <si>
    <t>FLUJO NETO DEL MES</t>
  </si>
  <si>
    <t>SALDO ACUMULADO</t>
  </si>
  <si>
    <t>PRODUCTOS - PRECIOS Y COSTOS BASE</t>
  </si>
  <si>
    <t>#</t>
  </si>
  <si>
    <t>Precio Venta
USD/Tn Año1</t>
  </si>
  <si>
    <t>Costo MP
USD/Tn Año1</t>
  </si>
  <si>
    <t>Producción
Tn Año1</t>
  </si>
  <si>
    <t>Venta
Tn Año1</t>
  </si>
  <si>
    <t>MÁQUINAS Y EQUIPOS A IMPORTAR (Cuadro 2)</t>
  </si>
  <si>
    <t>Valores en dólares</t>
  </si>
  <si>
    <t>Item</t>
  </si>
  <si>
    <t>Descripción</t>
  </si>
  <si>
    <t>Cond.</t>
  </si>
  <si>
    <t>EUR FOB</t>
  </si>
  <si>
    <t>USD Seg/Flete</t>
  </si>
  <si>
    <t>USD CIF</t>
  </si>
  <si>
    <t>Máquina perfiladora de telhas</t>
  </si>
  <si>
    <t>CIF</t>
  </si>
  <si>
    <t>Máquina Slitter</t>
  </si>
  <si>
    <t>Máq. producción 1er año Perfiles DryWall + Empaquetadora</t>
  </si>
  <si>
    <t>Máq. producción 2do año Steel Frame Light</t>
  </si>
  <si>
    <t>FOB</t>
  </si>
  <si>
    <t>Montacargas</t>
  </si>
  <si>
    <t>Máquina de corte y prensa</t>
  </si>
  <si>
    <t>Compresor</t>
  </si>
  <si>
    <t>SUBTOTAL CIF</t>
  </si>
  <si>
    <t>Gastos de despacho</t>
  </si>
  <si>
    <t>TOTAL INGRESADO AL PAÍS</t>
  </si>
  <si>
    <t>INVERSIÓN Y FINANCIAMIENTO (Cuadro 1)</t>
  </si>
  <si>
    <t>TOTAL</t>
  </si>
  <si>
    <t>APORTE PROPIO</t>
  </si>
  <si>
    <t>BANCO LOCAL</t>
  </si>
  <si>
    <t>%</t>
  </si>
  <si>
    <t>TOTAL DE LA INVERSIÓN</t>
  </si>
  <si>
    <t>TOTAL INVERSIÓN FIJA</t>
  </si>
  <si>
    <t>OBRAS CIVILES</t>
  </si>
  <si>
    <t xml:space="preserve">  - IVA Obras Civiles</t>
  </si>
  <si>
    <t>MAQUINARIA Y EQUIPOS IMPORTADOS</t>
  </si>
  <si>
    <t xml:space="preserve">  - Gastos de despacho</t>
  </si>
  <si>
    <t>IMPREVISTOS</t>
  </si>
  <si>
    <t xml:space="preserve">  - IVA Imprevistos</t>
  </si>
  <si>
    <t>CAPITAL OPERATIVO INICIAL</t>
  </si>
  <si>
    <t>Tipo de Cambio de Referencia:</t>
  </si>
  <si>
    <t>Gs = 1 USD</t>
  </si>
  <si>
    <t>MANO DE OBRA (Cuadro 3/4)</t>
  </si>
  <si>
    <t>Mano de obra fábrica</t>
  </si>
  <si>
    <t>Prestaciones sociales</t>
  </si>
  <si>
    <t>Mano de obra administrativa</t>
  </si>
  <si>
    <t>Prestaciones sociales admin.</t>
  </si>
  <si>
    <t>TOTAL MANO DE OBRA + CARGAS</t>
  </si>
  <si>
    <t>Servicios de terceros - Steel Frame</t>
  </si>
  <si>
    <t>PROGRAMA DE PRODUCCIÓN PROYECTADA (Cuadro 7)</t>
  </si>
  <si>
    <t>Información de Producción y Ventas en Toneladas (Tn)</t>
  </si>
  <si>
    <t>Slitter Portas Automatizadas - Producción</t>
  </si>
  <si>
    <t>Slitter Portas Automatizadas - Venta</t>
  </si>
  <si>
    <t>Slitter Drywall 0,43 y 0,48 - Producción</t>
  </si>
  <si>
    <t>Slitter Drywall 0,43 y 0,48 - Venta</t>
  </si>
  <si>
    <t>Slitter Drywall 0,50 - Producción</t>
  </si>
  <si>
    <t>Slitter Drywall 0,50 - Venta</t>
  </si>
  <si>
    <t>Telhas Metálicas Naturales - Producción</t>
  </si>
  <si>
    <t>Telhas Metálicas Naturales - Venta</t>
  </si>
  <si>
    <t>Telhas Metálicas Pre Pintadas - Producción</t>
  </si>
  <si>
    <t>Telhas Metálicas Pre Pintadas - Venta</t>
  </si>
  <si>
    <t>Perfil Drywall 0,43 Prepintado - Producción</t>
  </si>
  <si>
    <t>Perfil Drywall 0,43 Prepintado - Venta</t>
  </si>
  <si>
    <t>Perfil Drywall 0,50 - Producción</t>
  </si>
  <si>
    <t>Perfil Drywall 0,50 - Venta</t>
  </si>
  <si>
    <t>Perfil Drywall 0,48 - Producción</t>
  </si>
  <si>
    <t>Perfil Drywall 0,48 - Venta</t>
  </si>
  <si>
    <t>Steel Frame - Producción</t>
  </si>
  <si>
    <t>Steel Frame - Venta</t>
  </si>
  <si>
    <t>Accesorios Metálicos - Producción</t>
  </si>
  <si>
    <t>Accesorios Metálicos - Venta</t>
  </si>
  <si>
    <t>TOTAL PRODUCCIÓN (Tn)</t>
  </si>
  <si>
    <t>TOTAL VENTAS (Tn)</t>
  </si>
  <si>
    <t>INGRESOS ANUALES PROYECTADOS (Cuadro 8)</t>
  </si>
  <si>
    <t>Valores en dólares - Sin IVA (Régimen Maquila)</t>
  </si>
  <si>
    <t>Slitter Portas Automatizadas - Precio USD/Tn</t>
  </si>
  <si>
    <t>Slitter Portas Automatizadas - Ingreso USD</t>
  </si>
  <si>
    <t>Slitter Drywall 0,43 y 0,48 - Precio USD/Tn</t>
  </si>
  <si>
    <t>Slitter Drywall 0,43 y 0,48 - Ingreso USD</t>
  </si>
  <si>
    <t>Slitter Drywall 0,50 - Precio USD/Tn</t>
  </si>
  <si>
    <t>Slitter Drywall 0,50 - Ingreso USD</t>
  </si>
  <si>
    <t>Telhas Metálicas Naturales - Precio USD/Tn</t>
  </si>
  <si>
    <t>Telhas Metálicas Naturales - Ingreso USD</t>
  </si>
  <si>
    <t>Telhas Metálicas Pre Pintadas - Precio USD/Tn</t>
  </si>
  <si>
    <t>Telhas Metálicas Pre Pintadas - Ingreso USD</t>
  </si>
  <si>
    <t>Perfil Drywall 0,43 Prepintado - Precio USD/Tn</t>
  </si>
  <si>
    <t>Perfil Drywall 0,43 Prepintado - Ingreso USD</t>
  </si>
  <si>
    <t>Perfil Drywall 0,50 - Precio USD/Tn</t>
  </si>
  <si>
    <t>Perfil Drywall 0,50 - Ingreso USD</t>
  </si>
  <si>
    <t>Perfil Drywall 0,48 - Precio USD/Tn</t>
  </si>
  <si>
    <t>Perfil Drywall 0,48 - Ingreso USD</t>
  </si>
  <si>
    <t>Steel Frame - Precio USD/Tn</t>
  </si>
  <si>
    <t>Steel Frame - Ingreso USD</t>
  </si>
  <si>
    <t>Accesorios Metálicos - Precio USD/Tn</t>
  </si>
  <si>
    <t>Accesorios Metálicos - Ingreso USD</t>
  </si>
  <si>
    <t>INGRESOS TOTALES</t>
  </si>
  <si>
    <t>Precio Promedio x Tn Vendida</t>
  </si>
  <si>
    <t>MATERIA PRIMA E INSUMOS (Cuadro 9)</t>
  </si>
  <si>
    <t>Slitter Portas Automatizadas - Costo USD/Tn</t>
  </si>
  <si>
    <t>Slitter Portas Automatizadas - Costo Total</t>
  </si>
  <si>
    <t>Slitter Drywall 0,43 y 0,48 - Costo USD/Tn</t>
  </si>
  <si>
    <t>Slitter Drywall 0,43 y 0,48 - Costo Total</t>
  </si>
  <si>
    <t>Slitter Drywall 0,50 - Costo USD/Tn</t>
  </si>
  <si>
    <t>Slitter Drywall 0,50 - Costo Total</t>
  </si>
  <si>
    <t>Telhas Metálicas Naturales - Costo USD/Tn</t>
  </si>
  <si>
    <t>Telhas Metálicas Naturales - Costo Total</t>
  </si>
  <si>
    <t>Telhas Metálicas Pre Pintadas - Costo USD/Tn</t>
  </si>
  <si>
    <t>Telhas Metálicas Pre Pintadas - Costo Total</t>
  </si>
  <si>
    <t>Perfil Drywall 0,43 Prepintado - Costo USD/Tn</t>
  </si>
  <si>
    <t>Perfil Drywall 0,43 Prepintado - Costo Total</t>
  </si>
  <si>
    <t>Perfil Drywall 0,50 - Costo USD/Tn</t>
  </si>
  <si>
    <t>Perfil Drywall 0,50 - Costo Total</t>
  </si>
  <si>
    <t>Perfil Drywall 0,48 - Costo USD/Tn</t>
  </si>
  <si>
    <t>Perfil Drywall 0,48 - Costo Total</t>
  </si>
  <si>
    <t>Steel Frame - Costo USD/Tn</t>
  </si>
  <si>
    <t>Steel Frame - Costo Total</t>
  </si>
  <si>
    <t>Accesorios Metálicos - Costo USD/Tn</t>
  </si>
  <si>
    <t>Accesorios Metálicos - Costo Total</t>
  </si>
  <si>
    <t>TOTAL MATERIA PRIMA E INSUMOS</t>
  </si>
  <si>
    <t>SERVICIO DE LA DEUDA (Cuadros 13a y 13b)</t>
  </si>
  <si>
    <t>Valores en dólares - Sistema Francés</t>
  </si>
  <si>
    <t>PRÉSTAMO INICIAL</t>
  </si>
  <si>
    <t>AÑO 0</t>
  </si>
  <si>
    <t>Monto del Préstamo</t>
  </si>
  <si>
    <t>Cuota mensual (Sistema Francés)</t>
  </si>
  <si>
    <t>Saldo Antes de Amortización</t>
  </si>
  <si>
    <t>Amortizaciones</t>
  </si>
  <si>
    <t>Saldo Después de Amortización</t>
  </si>
  <si>
    <t>Intereses</t>
  </si>
  <si>
    <t>IVA sobre Intereses (10%)</t>
  </si>
  <si>
    <t>PRÉSTAMO OPERATIVO 2</t>
  </si>
  <si>
    <t>TOTAL AMORTIZACIONES</t>
  </si>
  <si>
    <t>TOTAL INTERESES</t>
  </si>
  <si>
    <t>TOTAL IVA SOBRE INTERESES</t>
  </si>
  <si>
    <t>COSTOS ANUALES PROYECTADOS (Cuadro 10)</t>
  </si>
  <si>
    <t>1</t>
  </si>
  <si>
    <t>COSTOS DE PRODUCCIÓN</t>
  </si>
  <si>
    <t>f. Servicios de terceros - Steel Frame</t>
  </si>
  <si>
    <t>j. Mantenimiento y reparaciones equip.</t>
  </si>
  <si>
    <t>TOTAL COSTOS DE PRODUCCIÓN</t>
  </si>
  <si>
    <t>2</t>
  </si>
  <si>
    <t>GASTOS DE ADMINISTRACIÓN</t>
  </si>
  <si>
    <t>c. Agua, comunicaciones, electricidad</t>
  </si>
  <si>
    <t>e. Mantenimiento y reparaciones OC</t>
  </si>
  <si>
    <t>TOTAL GASTOS ADMINISTRACIÓN</t>
  </si>
  <si>
    <t>4</t>
  </si>
  <si>
    <t>GASTOS NO DESEMBOLSADOS</t>
  </si>
  <si>
    <t>a. Depreciación de activos fijos</t>
  </si>
  <si>
    <t>5</t>
  </si>
  <si>
    <t>GASTOS FINANCIEROS</t>
  </si>
  <si>
    <t>TOTAL COSTOS ANUALES</t>
  </si>
  <si>
    <t>Costo Total x Tn Vendida</t>
  </si>
  <si>
    <t>DEPRECIACIÓN DE ACTIVO FIJO Y VALOR RESIDUAL (Cuadro 20)</t>
  </si>
  <si>
    <t>Rubros</t>
  </si>
  <si>
    <t>Inversión</t>
  </si>
  <si>
    <t>Vida Útil</t>
  </si>
  <si>
    <t>Valor Residual</t>
  </si>
  <si>
    <t>MAQUINARIAS Y EQUIPOS (*)</t>
  </si>
  <si>
    <t>OBRAS CIVILES e IMPREVISTOS</t>
  </si>
  <si>
    <t>TOTAL DEPRECIACIÓN</t>
  </si>
  <si>
    <t>(*) Incluye gastos de despacho</t>
  </si>
  <si>
    <t>Nota: Depreciación inicia Año 2 (Año 1 dedicado a construcción e instalación)</t>
  </si>
  <si>
    <t>CAPITAL DE TRABAJO (Cuadro 16)</t>
  </si>
  <si>
    <t>CAPITAL DE TRABAJO BRUTO</t>
  </si>
  <si>
    <t>Sueldos y anticipos (15 días)</t>
  </si>
  <si>
    <t>TOTAL CT BRUTO</t>
  </si>
  <si>
    <t>PASIVO CORRIENTE</t>
  </si>
  <si>
    <t>Crédito proveedores MP (0 días)</t>
  </si>
  <si>
    <t>TOTAL PASIVO CORRIENTE</t>
  </si>
  <si>
    <t>CAPITAL DE TRABAJO NETO</t>
  </si>
  <si>
    <t>Necesidad incremental de CT</t>
  </si>
  <si>
    <t>Capital Operativo Inicial (Año 1)</t>
  </si>
  <si>
    <t>RESULTADOS OPERACIONALES PROYECTADOS (Cuadro 15)</t>
  </si>
  <si>
    <t>Ingresos netos</t>
  </si>
  <si>
    <t>Costos de producción</t>
  </si>
  <si>
    <t>Gastos de administración y ventas</t>
  </si>
  <si>
    <t>Gastos no desembolsados (depreciación)</t>
  </si>
  <si>
    <t>Gastos financieros</t>
  </si>
  <si>
    <t>Impuesto Maquila Exportación (1%)</t>
  </si>
  <si>
    <t>UTILIDAD DESPUÉS DE IMPUESTO</t>
  </si>
  <si>
    <t>Retención anual de utilidades (%)</t>
  </si>
  <si>
    <t>Retención de utilidades</t>
  </si>
  <si>
    <t>Dividendos</t>
  </si>
  <si>
    <t>Utilidad Neta sobre Ventas (%)</t>
  </si>
  <si>
    <t>CÁLCULO DEL IVA (Cuadro 14)</t>
  </si>
  <si>
    <t>IVA Débito por Ventas (0%)</t>
  </si>
  <si>
    <t>IVA Crédito s/ Inversión inicial (10%)</t>
  </si>
  <si>
    <t>IVA Crédito sobre Intereses (10%)</t>
  </si>
  <si>
    <t>IVA Crédito Materia Prima (0%)</t>
  </si>
  <si>
    <t>IVA Crédito sobre Gastos Generales (10%)</t>
  </si>
  <si>
    <t>Saldo IVA del período</t>
  </si>
  <si>
    <t>Saldo IVA ACUMULADO</t>
  </si>
  <si>
    <t>PUNTO DE EQUILIBRIO (Cuadro 17)</t>
  </si>
  <si>
    <t>COSTOS TOTALES</t>
  </si>
  <si>
    <t>COSTOS VARIABLES</t>
  </si>
  <si>
    <t>COSTOS FIJOS</t>
  </si>
  <si>
    <t>Ingreso unitario (USD/Tn)</t>
  </si>
  <si>
    <t>Costo variable unitario (USD/Tn)</t>
  </si>
  <si>
    <t>PUNTO DE EQUILIBRIO (Tn)</t>
  </si>
  <si>
    <t>ORIGEN Y APLICACIÓN DE FONDOS (Cuadro 18)</t>
  </si>
  <si>
    <t>TOTAL DE FUENTES</t>
  </si>
  <si>
    <t>Fondos generados en operaciones (EBITDA)</t>
  </si>
  <si>
    <t>Saldo del año anterior</t>
  </si>
  <si>
    <t>Préstamos Bancarios</t>
  </si>
  <si>
    <t>Aporte propio</t>
  </si>
  <si>
    <t>TOTAL DE USOS</t>
  </si>
  <si>
    <t>Inversiones Fijas</t>
  </si>
  <si>
    <t>IVA crédito</t>
  </si>
  <si>
    <t>Necesidad de Capital de Trabajo</t>
  </si>
  <si>
    <t>Amortización de créditos</t>
  </si>
  <si>
    <t>Gastos Financieros</t>
  </si>
  <si>
    <t>Impuesto Maquila Exportación</t>
  </si>
  <si>
    <t>IVA a rendir al Fisco</t>
  </si>
  <si>
    <t>SALDO ANUAL</t>
  </si>
  <si>
    <t>CÁLCULO DE VAN - TIR (Cuadro 19a)</t>
  </si>
  <si>
    <t>EGRESOS TOTALES</t>
  </si>
  <si>
    <t>Inversiones</t>
  </si>
  <si>
    <t>Formación de capital operativo</t>
  </si>
  <si>
    <t>FLUJO DE BENEFICIOS NETOS</t>
  </si>
  <si>
    <t>PONDERACIÓN TASA DE OPORTUNIDAD</t>
  </si>
  <si>
    <t>Participación aporte propio (%)</t>
  </si>
  <si>
    <t>Participación préstamo (%)</t>
  </si>
  <si>
    <t>WACC / Tasa Ponderada (%)</t>
  </si>
  <si>
    <t>TIR con Financiamiento</t>
  </si>
  <si>
    <t>VAN al WACC</t>
  </si>
  <si>
    <t>CÁLCULO DE PAYBACK - TRC (Cuadro 19b)</t>
  </si>
  <si>
    <t>PAYBACK INVERSIÓN PROPIA</t>
  </si>
  <si>
    <t>Aporte propio y dividendos actualizados</t>
  </si>
  <si>
    <t>Saldos acumulados actualizados</t>
  </si>
  <si>
    <t>PAYBACK INVERSIÓN TOTAL (sin financiamiento)</t>
  </si>
  <si>
    <t>Inversión total y flujos actualizados</t>
  </si>
  <si>
    <t>ESTRUCTURA DE COSTOS - EN % (Cuadro 12)</t>
  </si>
  <si>
    <t>Mano de obra y Cargas Sociales</t>
  </si>
  <si>
    <t>Materia prima e insumos</t>
  </si>
  <si>
    <t>Reparación y mantenimiento</t>
  </si>
  <si>
    <t>Electricidad, Combustibles y Servicios</t>
  </si>
  <si>
    <t>Gastos no desembolsados</t>
  </si>
  <si>
    <t>Otros costos</t>
  </si>
  <si>
    <t>VALORES ABSOLUTOS (USD)</t>
  </si>
  <si>
    <t>ok</t>
  </si>
  <si>
    <t>iva</t>
  </si>
  <si>
    <t>sin iva</t>
  </si>
  <si>
    <t>**</t>
  </si>
  <si>
    <t>PROY.
AÑO 2</t>
  </si>
  <si>
    <t>Tasa crecimiento perpetuo - Valor Terminal (%)</t>
  </si>
  <si>
    <t>ESTADO DE RESULTADOS EJECUTADO AÑO 1 y 2 vs PROYECTADO</t>
  </si>
  <si>
    <t>PROY.
VTA AÑO2</t>
  </si>
  <si>
    <t>PRODUCCIÓN EJECUTADA Y PROYEC. MENSUAL</t>
  </si>
  <si>
    <t>VENTAS EJECUTADAS Y PROYEC. MENSUAL (Tn)</t>
  </si>
  <si>
    <t>Saldo de deuda P2</t>
  </si>
  <si>
    <t>De enero a octubre intereses + IVA por financiamiento de CIE S.A. (sin contar con intereses ya abonados anteriormente)</t>
  </si>
  <si>
    <t>Ajustado respecto al plan de negocio.</t>
  </si>
  <si>
    <t>ORIGINALES</t>
  </si>
  <si>
    <t>PRECIO
PROM P. EJEC</t>
  </si>
  <si>
    <t>TOTAL
EJEC. PROY.</t>
  </si>
  <si>
    <t>Producción y Ventas en Toneladas (Tn)</t>
  </si>
  <si>
    <t>SEGUIMIENTO INGRESOS AÑO 1 Y 2 — EJECUTADO A ABRIL &amp; PROYECTADO vs PLAN</t>
  </si>
  <si>
    <t>SEGUIMIENTO PRODUCCIÓN AÑO 1 Y 2 — EJECUTADO A ABRIL &amp; PROYECTADO vs PLAN</t>
  </si>
  <si>
    <t>Valores en USD</t>
  </si>
  <si>
    <t>INGRESOS EJECUTADO Y PROYECTADO MENSUALES (USD)</t>
  </si>
  <si>
    <t>SEGUIMIENTO COSTOS AÑO 1 Y 2 — EJECUTADO &amp; PROYECTADO</t>
  </si>
  <si>
    <t>PRÉSTAMO 2 - OPERATIVO</t>
  </si>
  <si>
    <t>Saldo de deuda P CIE</t>
  </si>
  <si>
    <t>FLUJO DE CAJA EJECUTADO Y PROYECTADO AÑO 1 Y 2</t>
  </si>
  <si>
    <t>*Produc.</t>
  </si>
  <si>
    <t>Plan</t>
  </si>
  <si>
    <t>Diferencia de cambio</t>
  </si>
  <si>
    <t>Ejecutado</t>
  </si>
  <si>
    <t>salario</t>
  </si>
  <si>
    <t>Tc</t>
  </si>
  <si>
    <t>Usd</t>
  </si>
  <si>
    <t>Cuotas a abonar según plan P1:</t>
  </si>
  <si>
    <t>P1 tomado por Aliaza del Acero y cancelación de crédito a CIE S.A. (capital + Intereses + IVA)</t>
  </si>
  <si>
    <t>P2 tomado por Aliaza del Acero</t>
  </si>
  <si>
    <t>Cuotas a abonar según plan P2:</t>
  </si>
  <si>
    <t>COSTO DE CHAPAS/TON</t>
  </si>
  <si>
    <t>P</t>
  </si>
  <si>
    <t>pres. soc.</t>
  </si>
  <si>
    <t>total</t>
  </si>
  <si>
    <t>usd</t>
  </si>
  <si>
    <t>usdx2</t>
  </si>
  <si>
    <t>Devolución a CIE S.A. Gastos Implantación</t>
  </si>
  <si>
    <t>Devolución a CIE S.A. Capital + Intereses</t>
  </si>
  <si>
    <t>DASHBOARD DE EJECUCIÓN AÑO 2</t>
  </si>
  <si>
    <t>BEN. SOC.</t>
  </si>
  <si>
    <t>SALAR.</t>
  </si>
  <si>
    <t>PROM</t>
  </si>
  <si>
    <t>Ventas a crédito (90 días)</t>
  </si>
  <si>
    <t>Productos terminados (0 días)</t>
  </si>
  <si>
    <t>Crédito proveedores menores (15 días)</t>
  </si>
  <si>
    <t>4. Slitter Steel Frame 0,80/0,95</t>
  </si>
  <si>
    <t>5. Telhas Met. Naturales</t>
  </si>
  <si>
    <t>6. Telhas Met. Pre Pintadas</t>
  </si>
  <si>
    <t>7. Perfil DW 0,43 Prepint.</t>
  </si>
  <si>
    <t>8. Perfil Drywall 0,50</t>
  </si>
  <si>
    <t>9. Perfil Drywall 0,48</t>
  </si>
  <si>
    <t>10. Steel Frame</t>
  </si>
  <si>
    <t>11. Accesorios Metálicos</t>
  </si>
  <si>
    <t>*Ingresa en Man. Obra Adm.</t>
  </si>
  <si>
    <t>Administrador</t>
  </si>
  <si>
    <t>PCP</t>
  </si>
  <si>
    <t>*Ingresa en Man. Obra Fabrica</t>
  </si>
  <si>
    <t>5 Operadores</t>
  </si>
  <si>
    <t>9 Operadores p/ Accesorios Met.</t>
  </si>
  <si>
    <t>3 Operadores por aumento de Producc.</t>
  </si>
  <si>
    <t>1 Aux. Admin.</t>
  </si>
  <si>
    <t>OC Chapas - Produc. A Enero 2027</t>
  </si>
  <si>
    <t>q. Energia electrica Fabrica</t>
  </si>
  <si>
    <t>e. Mantenimiento y reparaciones</t>
  </si>
  <si>
    <t>INGRESO PROYECTADO MENSUAL EN PLAN DE NEGOCIO</t>
  </si>
  <si>
    <t>*Ingresa en Man. Obra Fabrica &amp; Adm.</t>
  </si>
  <si>
    <t>TC cierre de mayo-2026</t>
  </si>
  <si>
    <t>OBSERVACIONES:</t>
  </si>
  <si>
    <t>Slitter Steel Frame 0,80/0,95 Producción</t>
  </si>
  <si>
    <t>Slitter Steel Frame 0,80/0,95 Venta</t>
  </si>
  <si>
    <t>Slitter Steel Frame 0,80/0,95 - Precio USD/Tn</t>
  </si>
  <si>
    <t>Slitter Steel Frame 0,80/0,95 - Ingreso USD/Tn</t>
  </si>
  <si>
    <t>Slitter Steel Frame 0,80/0,95 - Costo USD/Tn</t>
  </si>
  <si>
    <t>Slitter Steel Frame 0,80/0,95 - Costo Total</t>
  </si>
  <si>
    <t>SEGUIMIENTO SERVICIO DE DEUDA LARGO PLAZO</t>
  </si>
  <si>
    <t>Cuotas préstamo (cap+int+IVA) Largo Plazo</t>
  </si>
  <si>
    <t>Desembolso préstamo LP</t>
  </si>
  <si>
    <t>Desembolso préstamo CP para chapas</t>
  </si>
  <si>
    <t>Pagos a proveedores Varios</t>
  </si>
  <si>
    <t>OC Chapas - Produc. Feb a Dic 2027</t>
  </si>
  <si>
    <t xml:space="preserve">Margen Bruto </t>
  </si>
  <si>
    <t>Margen EBITDA</t>
  </si>
  <si>
    <t>Margen Neto</t>
  </si>
  <si>
    <t>MARGEN BRUTO</t>
  </si>
  <si>
    <t>Cobros por ventas (90 dias)</t>
  </si>
  <si>
    <t>Devolución a CIE S.A. Produc. Año1</t>
  </si>
  <si>
    <t>3. GASTOS NO DESEMBOLSADOS</t>
  </si>
  <si>
    <t>4. GASTOS FINANCIEROS</t>
  </si>
  <si>
    <t>SUBTOTAL NO DESEMBOLSADOS</t>
  </si>
  <si>
    <t>Margen Bruto (%)</t>
  </si>
  <si>
    <t>Pago de Dividedos</t>
  </si>
  <si>
    <t>Stock materia prima (45 días)</t>
  </si>
  <si>
    <t>FINANCIAMIENTO - CRÉDITO CP ROTATIVO (CUENTAS POR COBRAR)</t>
  </si>
  <si>
    <t>Tasa anual crédito CP rotativo (%)</t>
  </si>
  <si>
    <t>IVA sobre intereses CP rotativo (%)</t>
  </si>
  <si>
    <t>Recupero de capital de trabajo</t>
  </si>
  <si>
    <t>Procesamiento de Chapas para Fines Diversos -  Alianza del Acero</t>
  </si>
  <si>
    <t>4 Años</t>
  </si>
  <si>
    <t>PRECIOS REALES DE VENTA (USD/Tn) — EJECUTADO Y PROYECTADO</t>
  </si>
  <si>
    <t>Calculo de distribución Dividendos</t>
  </si>
  <si>
    <t>Junio</t>
  </si>
  <si>
    <t>Octubre</t>
  </si>
  <si>
    <t>Enero</t>
  </si>
  <si>
    <t>Marzo</t>
  </si>
  <si>
    <t>FLUJO SIN FINANCIAMIENTO</t>
  </si>
  <si>
    <t>Flujo neto sin financiamiento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</si>
</sst>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 * #,##0_ ;_ * \-#,##0_ ;_ * &quot;-&quot;_ ;_ @_ "/>
    <numFmt numFmtId="164" formatCode="\$#,##0"/>
    <numFmt numFmtId="165" formatCode="0.0%"/>
    <numFmt numFmtId="166" formatCode="\+0.0%;\-0.0%;\-"/>
    <numFmt numFmtId="167" formatCode="#,##0;\(#,##0\);\-"/>
    <numFmt numFmtId="168" formatCode="[$-F800]dddd\,\ mmmm\ dd\,\ yyyy"/>
    <numFmt numFmtId="169" formatCode="_ * #,##0.00_ ;_ * \-#,##0.00_ ;_ * &quot;-&quot;_ ;_ @_ "/>
    <numFmt numFmtId="170" formatCode="#,##0_ ;[Red]\-#,##0\ "/>
    <numFmt numFmtId="201" formatCode="#,##0;(#,##0);&quot;-&quot;"/>
    <numFmt numFmtId="202" formatCode="0.0%;(0.0%);&quot;-&quot;"/>
    <numFmt numFmtId="203" formatCode="0.00%"/>
    <numFmt numFmtId="204" formatCode="#,##0.00"/>
    <numFmt numFmtId="205" formatCode="#,##0;(#,##0);&quot;-&quot;"/>
    <numFmt numFmtId="206" formatCode="0.0%;(0.0%);&quot;-&quot;"/>
    <numFmt numFmtId="207" formatCode="0.00%"/>
    <numFmt numFmtId="208" formatCode="#,##0.00"/>
  </numFmts>
  <fonts count="85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008000"/>
      <name val="Arial"/>
      <family val="2"/>
    </font>
    <font>
      <b/>
      <sz val="12"/>
      <color rgb="FF1F4E79"/>
      <name val="Arial"/>
      <family val="2"/>
    </font>
    <font>
      <sz val="10"/>
      <color rgb="FF008000"/>
      <name val="Arial"/>
      <family val="2"/>
    </font>
    <font>
      <sz val="10"/>
      <color rgb="FF000000"/>
      <name val="Arial"/>
      <family val="2"/>
    </font>
    <font>
      <i/>
      <sz val="12"/>
      <color rgb="FF1F4E79"/>
      <name val="Arial"/>
      <family val="2"/>
    </font>
    <font>
      <b/>
      <sz val="10"/>
      <color rgb="FF0000FF"/>
      <name val="Arial"/>
      <family val="2"/>
    </font>
    <font>
      <i/>
      <sz val="9"/>
      <name val="Arial"/>
      <family val="2"/>
    </font>
    <font>
      <sz val="10"/>
      <color rgb="FF0000FF"/>
      <name val="Arial"/>
      <family val="2"/>
    </font>
    <font>
      <sz val="10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sz val="16"/>
      <color rgb="FFFF0000"/>
      <name val="Calibri"/>
      <family val="2"/>
    </font>
    <font>
      <i/>
      <sz val="9"/>
      <color theme="1"/>
      <name val="Calibri"/>
      <family val="2"/>
    </font>
    <font>
      <sz val="11"/>
      <color theme="1"/>
      <name val="Calibri"/>
      <family val="2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8000"/>
      <name val="Arial"/>
      <family val="2"/>
    </font>
    <font>
      <sz val="11"/>
      <color theme="1"/>
      <name val="7"/>
    </font>
    <font>
      <b/>
      <sz val="14"/>
      <color rgb="FF1F4E79"/>
      <name val="7"/>
    </font>
    <font>
      <i/>
      <sz val="9"/>
      <name val="7"/>
    </font>
    <font>
      <sz val="16"/>
      <color theme="1"/>
      <name val="7"/>
    </font>
    <font>
      <b/>
      <sz val="12"/>
      <color rgb="FF1F4E79"/>
      <name val="7"/>
    </font>
    <font>
      <b/>
      <sz val="11"/>
      <color rgb="FFFFFFFF"/>
      <name val="7"/>
    </font>
    <font>
      <sz val="10"/>
      <color rgb="FF000000"/>
      <name val="7"/>
    </font>
    <font>
      <b/>
      <sz val="10"/>
      <color rgb="FF000000"/>
      <name val="7"/>
    </font>
    <font>
      <b/>
      <sz val="10"/>
      <color rgb="FF008000"/>
      <name val="7"/>
    </font>
    <font>
      <b/>
      <sz val="10"/>
      <color rgb="FF0000FF"/>
      <name val="7"/>
    </font>
    <font>
      <b/>
      <sz val="10"/>
      <color rgb="FFFF0000"/>
      <name val="7"/>
    </font>
    <font>
      <sz val="8"/>
      <color rgb="FFFF0000"/>
      <name val="7"/>
    </font>
    <font>
      <b/>
      <sz val="10"/>
      <color rgb="FF00863D"/>
      <name val="7"/>
    </font>
    <font>
      <sz val="10"/>
      <color theme="1"/>
      <name val="7"/>
    </font>
    <font>
      <sz val="8"/>
      <name val="7"/>
    </font>
    <font>
      <b/>
      <sz val="11"/>
      <color rgb="FFFF0000"/>
      <name val="7"/>
    </font>
    <font>
      <b/>
      <sz val="11"/>
      <color rgb="FF00863D"/>
      <name val="7"/>
    </font>
    <font>
      <sz val="10"/>
      <name val="7"/>
    </font>
    <font>
      <i/>
      <sz val="11"/>
      <color theme="1"/>
      <name val="7"/>
    </font>
    <font>
      <i/>
      <sz val="12"/>
      <color theme="1"/>
      <name val="7"/>
    </font>
    <font>
      <b/>
      <sz val="11"/>
      <color rgb="FF1F4E79"/>
      <name val="7"/>
    </font>
    <font>
      <sz val="9"/>
      <name val="7"/>
    </font>
    <font>
      <i/>
      <sz val="9"/>
      <color rgb="FF000000"/>
      <name val="7"/>
    </font>
    <font>
      <b/>
      <i/>
      <sz val="9"/>
      <color rgb="FF000000"/>
      <name val="7"/>
    </font>
    <font>
      <sz val="10"/>
      <color rgb="FFFF0000"/>
      <name val="7"/>
    </font>
    <font>
      <b/>
      <sz val="11"/>
      <color theme="1"/>
      <name val="7"/>
    </font>
    <font>
      <b/>
      <sz val="11"/>
      <color rgb="FF000000"/>
      <name val="7"/>
    </font>
    <font>
      <sz val="10"/>
      <color rgb="FF008000"/>
      <name val="7"/>
    </font>
    <font>
      <i/>
      <sz val="10"/>
      <color rgb="FF000000"/>
      <name val="7"/>
    </font>
    <font>
      <sz val="9"/>
      <color theme="1"/>
      <name val="7"/>
    </font>
    <font>
      <i/>
      <sz val="11"/>
      <color rgb="FF1F4E79"/>
      <name val="7"/>
    </font>
    <font>
      <b/>
      <sz val="10"/>
      <color theme="4"/>
      <name val="7"/>
    </font>
    <font>
      <sz val="11"/>
      <color theme="4"/>
      <name val="7"/>
    </font>
    <font>
      <sz val="11"/>
      <color rgb="FF0000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0"/>
      <color rgb="FFFF0000"/>
      <name val="Arial"/>
      <family val="2"/>
    </font>
    <font>
      <b/>
      <sz val="10"/>
      <color rgb="FF00B0F0"/>
      <name val="7"/>
    </font>
    <font>
      <b/>
      <sz val="8"/>
      <color rgb="FF000000"/>
      <name val="7"/>
    </font>
    <font>
      <sz val="8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D9E1F2"/>
      <name val="Arial"/>
      <family val="2"/>
    </font>
    <font>
      <b/>
      <sz val="12"/>
      <color rgb="FFFFFFFF"/>
      <name val="Arial"/>
      <family val="2"/>
    </font>
    <font>
      <b/>
      <sz val="10"/>
      <color rgb="FF1F4E79"/>
      <name val="Arial"/>
      <family val="2"/>
    </font>
    <font>
      <i/>
      <sz val="9"/>
      <color rgb="FF595959"/>
      <name val="Arial"/>
      <family val="2"/>
    </font>
    <font>
      <u/>
      <sz val="10"/>
      <color rgb="FF0563C1"/>
      <name val="Arial"/>
      <family val="2"/>
    </font>
    <font>
      <sz val="10"/>
      <color rgb="FF0000FF"/>
      <name val="Arial"/>
      <family val="2"/>
    </font>
    <font>
      <b/>
      <sz val="10"/>
      <color rgb="FFC00000"/>
      <name val="Arial"/>
      <family val="2"/>
    </font>
    <font>
      <sz val="10"/>
      <color rgb="FF008000"/>
      <name val="Arial"/>
      <family val="2"/>
    </font>
    <font>
      <b/>
      <sz val="11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rgb="FFFFFFFF"/>
      <name val="Arial"/>
      <family val="2"/>
    </font>
    <font>
      <i/>
      <sz val="10"/>
      <color rgb="FFD9E1F2"/>
      <name val="Arial"/>
      <family val="2"/>
    </font>
    <font>
      <b/>
      <sz val="12"/>
      <color rgb="FFFFFFFF"/>
      <name val="Arial"/>
      <family val="2"/>
    </font>
    <font>
      <b/>
      <sz val="10"/>
      <color rgb="FF1F4E79"/>
      <name val="Arial"/>
      <family val="2"/>
    </font>
    <font>
      <i/>
      <sz val="9"/>
      <color rgb="FF595959"/>
      <name val="Arial"/>
      <family val="2"/>
    </font>
    <font>
      <u/>
      <sz val="10"/>
      <color rgb="FF0563C1"/>
      <name val="Arial"/>
      <family val="2"/>
    </font>
    <font>
      <sz val="10"/>
      <color rgb="FF0000FF"/>
      <name val="Arial"/>
      <family val="2"/>
    </font>
    <font>
      <b/>
      <sz val="10"/>
      <color rgb="FFC00000"/>
      <name val="Arial"/>
      <family val="2"/>
    </font>
    <font>
      <sz val="10"/>
      <color rgb="FF008000"/>
      <name val="Arial"/>
      <family val="2"/>
    </font>
    <font>
      <b/>
      <sz val="11"/>
      <color rgb="FF1F4E79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E8F8F5"/>
      </patternFill>
    </fill>
    <fill>
      <patternFill patternType="solid">
        <fgColor rgb="FFFFF2CC"/>
        <bgColor rgb="FFFDEBD0"/>
      </patternFill>
    </fill>
    <fill>
      <patternFill patternType="solid">
        <fgColor rgb="FFD6EAF8"/>
        <bgColor rgb="FFD5F5E3"/>
      </patternFill>
    </fill>
    <fill>
      <patternFill patternType="solid">
        <fgColor rgb="FFE8F8F5"/>
        <bgColor rgb="FFF2F2F2"/>
      </patternFill>
    </fill>
    <fill>
      <patternFill patternType="solid">
        <fgColor rgb="FF1D8348"/>
        <bgColor rgb="FF008000"/>
      </patternFill>
    </fill>
    <fill>
      <patternFill patternType="solid">
        <fgColor rgb="FFFDEBD0"/>
        <bgColor rgb="FFFFF2CC"/>
      </patternFill>
    </fill>
    <fill>
      <patternFill patternType="solid">
        <fgColor rgb="FFD35400"/>
        <bgColor rgb="FFCC6600"/>
      </patternFill>
    </fill>
    <fill>
      <patternFill patternType="solid">
        <fgColor rgb="FF922B21"/>
        <bgColor rgb="FF990000"/>
      </patternFill>
    </fill>
    <fill>
      <patternFill patternType="solid">
        <fgColor rgb="FFFADBD8"/>
        <bgColor rgb="FFFDEBD0"/>
      </patternFill>
    </fill>
    <fill>
      <patternFill patternType="solid">
        <fgColor rgb="FFD5F5E3"/>
        <bgColor rgb="FFD6EAF8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FDEBD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 tint="-0.14999847407452621"/>
        <bgColor rgb="FFFDEBD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rgb="FFFDEBD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rgb="FFFDEBD0"/>
      </patternFill>
    </fill>
    <fill>
      <patternFill patternType="solid">
        <fgColor rgb="FFD5F5E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DEBD0"/>
      </patternFill>
    </fill>
    <fill>
      <patternFill patternType="solid">
        <fgColor rgb="FFFF0000"/>
        <bgColor rgb="FFFDEBD0"/>
      </patternFill>
    </fill>
    <fill>
      <patternFill patternType="solid">
        <fgColor rgb="FFFFFF00"/>
        <bgColor rgb="FFFDEBD0"/>
      </patternFill>
    </fill>
    <fill>
      <patternFill patternType="solid">
        <fgColor theme="9"/>
        <bgColor rgb="FFFDEBD0"/>
      </patternFill>
    </fill>
    <fill>
      <patternFill patternType="solid">
        <fgColor rgb="FFFFC000"/>
        <bgColor rgb="FFFDEBD0"/>
      </patternFill>
    </fill>
    <fill>
      <patternFill patternType="solid">
        <fgColor theme="5" tint="0.59999389629810485"/>
        <bgColor rgb="FFFDEBD0"/>
      </patternFill>
    </fill>
    <fill>
      <patternFill patternType="solid">
        <fgColor theme="9" tint="0.39997558519241921"/>
        <bgColor rgb="FFFDEBD0"/>
      </patternFill>
    </fill>
    <fill>
      <patternFill patternType="solid">
        <fgColor theme="8" tint="0.39997558519241921"/>
        <bgColor rgb="FFFDEBD0"/>
      </patternFill>
    </fill>
    <fill>
      <patternFill patternType="solid">
        <fgColor theme="7" tint="0.59999389629810485"/>
        <bgColor rgb="FFFDEBD0"/>
      </patternFill>
    </fill>
    <fill>
      <patternFill patternType="solid">
        <fgColor theme="2" tint="-0.499984740745262"/>
        <bgColor rgb="FFFDEBD0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CE4D6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3">
    <xf numFmtId="0" fontId="0" fillId="0" borderId="0"/>
    <xf numFmtId="41" fontId="1" fillId="0" borderId="0" applyBorder="0" applyAlignment="0" applyProtection="0"/>
    <xf numFmtId="9" fontId="17" fillId="0" borderId="0" applyFont="0" applyFill="0" applyBorder="0" applyAlignment="0" applyProtection="0"/>
  </cellStyleXfs>
  <cellXfs count="387">
    <xf numFmtId="0" fontId="0" fillId="0" borderId="0" xfId="0"/>
    <xf numFmtId="0" fontId="2" fillId="0" borderId="0" xfId="0" applyFont="1"/>
    <xf numFmtId="0" fontId="6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0" xfId="0" applyFont="1"/>
    <xf numFmtId="3" fontId="7" fillId="0" borderId="1" xfId="0" applyNumberFormat="1" applyFont="1" applyBorder="1"/>
    <xf numFmtId="0" fontId="8" fillId="0" borderId="0" xfId="0" applyFont="1"/>
    <xf numFmtId="0" fontId="9" fillId="0" borderId="0" xfId="0" applyFont="1"/>
    <xf numFmtId="0" fontId="6" fillId="5" borderId="0" xfId="0" applyFont="1" applyFill="1"/>
    <xf numFmtId="0" fontId="0" fillId="5" borderId="0" xfId="0" applyFill="1"/>
    <xf numFmtId="3" fontId="10" fillId="4" borderId="0" xfId="0" applyNumberFormat="1" applyFont="1" applyFill="1"/>
    <xf numFmtId="0" fontId="11" fillId="0" borderId="0" xfId="0" applyFont="1"/>
    <xf numFmtId="165" fontId="10" fillId="4" borderId="0" xfId="0" applyNumberFormat="1" applyFont="1" applyFill="1"/>
    <xf numFmtId="3" fontId="8" fillId="0" borderId="1" xfId="0" applyNumberFormat="1" applyFont="1" applyBorder="1"/>
    <xf numFmtId="3" fontId="4" fillId="0" borderId="1" xfId="0" applyNumberFormat="1" applyFont="1" applyBorder="1"/>
    <xf numFmtId="3" fontId="5" fillId="0" borderId="1" xfId="0" applyNumberFormat="1" applyFont="1" applyBorder="1"/>
    <xf numFmtId="0" fontId="4" fillId="5" borderId="0" xfId="0" applyFont="1" applyFill="1"/>
    <xf numFmtId="3" fontId="4" fillId="0" borderId="0" xfId="0" applyNumberFormat="1" applyFont="1"/>
    <xf numFmtId="3" fontId="5" fillId="0" borderId="0" xfId="0" applyNumberFormat="1" applyFont="1"/>
    <xf numFmtId="3" fontId="4" fillId="0" borderId="2" xfId="0" applyNumberFormat="1" applyFont="1" applyBorder="1"/>
    <xf numFmtId="3" fontId="8" fillId="0" borderId="0" xfId="0" applyNumberFormat="1" applyFont="1"/>
    <xf numFmtId="0" fontId="4" fillId="11" borderId="0" xfId="0" applyFont="1" applyFill="1"/>
    <xf numFmtId="3" fontId="4" fillId="11" borderId="0" xfId="0" applyNumberFormat="1" applyFont="1" applyFill="1"/>
    <xf numFmtId="0" fontId="4" fillId="12" borderId="0" xfId="0" applyFont="1" applyFill="1"/>
    <xf numFmtId="3" fontId="4" fillId="12" borderId="1" xfId="0" applyNumberFormat="1" applyFont="1" applyFill="1" applyBorder="1"/>
    <xf numFmtId="3" fontId="4" fillId="12" borderId="0" xfId="0" applyNumberFormat="1" applyFont="1" applyFill="1"/>
    <xf numFmtId="165" fontId="4" fillId="0" borderId="0" xfId="0" applyNumberFormat="1" applyFont="1"/>
    <xf numFmtId="0" fontId="8" fillId="0" borderId="0" xfId="0" applyFont="1" applyAlignment="1">
      <alignment horizontal="center"/>
    </xf>
    <xf numFmtId="4" fontId="12" fillId="4" borderId="1" xfId="0" applyNumberFormat="1" applyFont="1" applyFill="1" applyBorder="1"/>
    <xf numFmtId="3" fontId="12" fillId="4" borderId="1" xfId="0" applyNumberFormat="1" applyFont="1" applyFill="1" applyBorder="1"/>
    <xf numFmtId="3" fontId="12" fillId="0" borderId="1" xfId="0" applyNumberFormat="1" applyFont="1" applyBorder="1"/>
    <xf numFmtId="3" fontId="12" fillId="0" borderId="0" xfId="0" applyNumberFormat="1" applyFont="1"/>
    <xf numFmtId="165" fontId="8" fillId="12" borderId="1" xfId="0" applyNumberFormat="1" applyFont="1" applyFill="1" applyBorder="1"/>
    <xf numFmtId="3" fontId="5" fillId="12" borderId="1" xfId="0" applyNumberFormat="1" applyFont="1" applyFill="1" applyBorder="1"/>
    <xf numFmtId="3" fontId="12" fillId="12" borderId="1" xfId="0" applyNumberFormat="1" applyFont="1" applyFill="1" applyBorder="1"/>
    <xf numFmtId="3" fontId="12" fillId="4" borderId="0" xfId="0" applyNumberFormat="1" applyFont="1" applyFill="1"/>
    <xf numFmtId="0" fontId="12" fillId="0" borderId="0" xfId="0" applyFont="1"/>
    <xf numFmtId="0" fontId="12" fillId="4" borderId="0" xfId="0" applyFont="1" applyFill="1"/>
    <xf numFmtId="0" fontId="8" fillId="5" borderId="0" xfId="0" applyFont="1" applyFill="1"/>
    <xf numFmtId="0" fontId="8" fillId="12" borderId="0" xfId="0" applyFont="1" applyFill="1"/>
    <xf numFmtId="0" fontId="8" fillId="3" borderId="0" xfId="0" applyFont="1" applyFill="1"/>
    <xf numFmtId="4" fontId="12" fillId="4" borderId="0" xfId="0" applyNumberFormat="1" applyFont="1" applyFill="1"/>
    <xf numFmtId="4" fontId="8" fillId="0" borderId="0" xfId="0" applyNumberFormat="1" applyFont="1"/>
    <xf numFmtId="3" fontId="7" fillId="0" borderId="0" xfId="0" applyNumberFormat="1" applyFont="1"/>
    <xf numFmtId="3" fontId="4" fillId="12" borderId="2" xfId="0" applyNumberFormat="1" applyFont="1" applyFill="1" applyBorder="1"/>
    <xf numFmtId="3" fontId="4" fillId="0" borderId="3" xfId="0" applyNumberFormat="1" applyFont="1" applyBorder="1"/>
    <xf numFmtId="165" fontId="12" fillId="4" borderId="0" xfId="0" applyNumberFormat="1" applyFont="1" applyFill="1"/>
    <xf numFmtId="165" fontId="8" fillId="0" borderId="0" xfId="0" applyNumberFormat="1" applyFont="1"/>
    <xf numFmtId="165" fontId="7" fillId="0" borderId="0" xfId="0" applyNumberFormat="1" applyFont="1"/>
    <xf numFmtId="0" fontId="4" fillId="13" borderId="0" xfId="0" applyFont="1" applyFill="1"/>
    <xf numFmtId="10" fontId="4" fillId="13" borderId="0" xfId="0" applyNumberFormat="1" applyFont="1" applyFill="1"/>
    <xf numFmtId="10" fontId="4" fillId="12" borderId="0" xfId="0" applyNumberFormat="1" applyFont="1" applyFill="1"/>
    <xf numFmtId="164" fontId="4" fillId="12" borderId="0" xfId="0" applyNumberFormat="1" applyFont="1" applyFill="1"/>
    <xf numFmtId="3" fontId="10" fillId="14" borderId="0" xfId="0" applyNumberFormat="1" applyFont="1" applyFill="1"/>
    <xf numFmtId="165" fontId="10" fillId="14" borderId="0" xfId="0" applyNumberFormat="1" applyFont="1" applyFill="1"/>
    <xf numFmtId="3" fontId="13" fillId="0" borderId="0" xfId="0" applyNumberFormat="1" applyFont="1"/>
    <xf numFmtId="41" fontId="1" fillId="0" borderId="0" xfId="1"/>
    <xf numFmtId="0" fontId="0" fillId="0" borderId="0" xfId="0" applyAlignment="1">
      <alignment horizontal="center"/>
    </xf>
    <xf numFmtId="41" fontId="0" fillId="15" borderId="0" xfId="0" applyNumberFormat="1" applyFill="1"/>
    <xf numFmtId="3" fontId="0" fillId="0" borderId="0" xfId="0" applyNumberFormat="1"/>
    <xf numFmtId="0" fontId="15" fillId="0" borderId="0" xfId="0" applyFont="1"/>
    <xf numFmtId="3" fontId="16" fillId="0" borderId="0" xfId="0" applyNumberFormat="1" applyFont="1"/>
    <xf numFmtId="0" fontId="0" fillId="16" borderId="0" xfId="0" applyFill="1"/>
    <xf numFmtId="41" fontId="0" fillId="0" borderId="0" xfId="0" applyNumberFormat="1"/>
    <xf numFmtId="9" fontId="1" fillId="0" borderId="0" xfId="2" applyFont="1"/>
    <xf numFmtId="165" fontId="10" fillId="17" borderId="0" xfId="0" applyNumberFormat="1" applyFont="1" applyFill="1"/>
    <xf numFmtId="0" fontId="0" fillId="23" borderId="0" xfId="0" applyFill="1"/>
    <xf numFmtId="0" fontId="0" fillId="5" borderId="0" xfId="0" applyFill="1" applyAlignment="1">
      <alignment horizontal="center"/>
    </xf>
    <xf numFmtId="3" fontId="10" fillId="24" borderId="0" xfId="0" applyNumberFormat="1" applyFont="1" applyFill="1"/>
    <xf numFmtId="10" fontId="14" fillId="0" borderId="0" xfId="0" applyNumberFormat="1" applyFont="1"/>
    <xf numFmtId="3" fontId="20" fillId="0" borderId="0" xfId="0" applyNumberFormat="1" applyFont="1"/>
    <xf numFmtId="3" fontId="10" fillId="28" borderId="0" xfId="0" applyNumberFormat="1" applyFont="1" applyFill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5" fillId="5" borderId="0" xfId="0" applyFont="1" applyFill="1"/>
    <xf numFmtId="0" fontId="24" fillId="0" borderId="0" xfId="0" applyFont="1" applyAlignment="1">
      <alignment vertical="center"/>
    </xf>
    <xf numFmtId="0" fontId="24" fillId="0" borderId="18" xfId="0" applyFont="1" applyBorder="1" applyAlignment="1">
      <alignment vertical="center"/>
    </xf>
    <xf numFmtId="0" fontId="26" fillId="2" borderId="1" xfId="0" applyFont="1" applyFill="1" applyBorder="1" applyAlignment="1">
      <alignment horizontal="center" wrapText="1"/>
    </xf>
    <xf numFmtId="0" fontId="26" fillId="2" borderId="9" xfId="0" applyFont="1" applyFill="1" applyBorder="1" applyAlignment="1">
      <alignment horizontal="center" wrapText="1"/>
    </xf>
    <xf numFmtId="0" fontId="26" fillId="7" borderId="19" xfId="0" applyFont="1" applyFill="1" applyBorder="1" applyAlignment="1">
      <alignment horizontal="center" wrapText="1"/>
    </xf>
    <xf numFmtId="0" fontId="26" fillId="7" borderId="20" xfId="0" applyFont="1" applyFill="1" applyBorder="1" applyAlignment="1">
      <alignment horizontal="center" wrapText="1"/>
    </xf>
    <xf numFmtId="0" fontId="26" fillId="7" borderId="21" xfId="0" applyFont="1" applyFill="1" applyBorder="1" applyAlignment="1">
      <alignment horizontal="center" wrapText="1"/>
    </xf>
    <xf numFmtId="0" fontId="26" fillId="2" borderId="16" xfId="0" applyFont="1" applyFill="1" applyBorder="1" applyAlignment="1">
      <alignment horizontal="center" wrapText="1"/>
    </xf>
    <xf numFmtId="0" fontId="26" fillId="2" borderId="8" xfId="0" applyFont="1" applyFill="1" applyBorder="1" applyAlignment="1">
      <alignment horizontal="center" wrapText="1"/>
    </xf>
    <xf numFmtId="0" fontId="26" fillId="2" borderId="11" xfId="0" applyFont="1" applyFill="1" applyBorder="1" applyAlignment="1">
      <alignment horizontal="center" wrapText="1"/>
    </xf>
    <xf numFmtId="0" fontId="27" fillId="0" borderId="0" xfId="0" applyFont="1"/>
    <xf numFmtId="3" fontId="27" fillId="0" borderId="1" xfId="0" applyNumberFormat="1" applyFont="1" applyBorder="1"/>
    <xf numFmtId="3" fontId="28" fillId="0" borderId="12" xfId="0" applyNumberFormat="1" applyFont="1" applyBorder="1"/>
    <xf numFmtId="3" fontId="29" fillId="0" borderId="0" xfId="0" applyNumberFormat="1" applyFont="1"/>
    <xf numFmtId="165" fontId="27" fillId="0" borderId="13" xfId="0" applyNumberFormat="1" applyFont="1" applyBorder="1"/>
    <xf numFmtId="3" fontId="27" fillId="0" borderId="9" xfId="0" applyNumberFormat="1" applyFont="1" applyBorder="1"/>
    <xf numFmtId="3" fontId="28" fillId="0" borderId="14" xfId="0" applyNumberFormat="1" applyFont="1" applyBorder="1"/>
    <xf numFmtId="3" fontId="29" fillId="0" borderId="3" xfId="0" applyNumberFormat="1" applyFont="1" applyBorder="1"/>
    <xf numFmtId="165" fontId="27" fillId="0" borderId="15" xfId="0" applyNumberFormat="1" applyFont="1" applyBorder="1"/>
    <xf numFmtId="0" fontId="28" fillId="5" borderId="0" xfId="0" applyFont="1" applyFill="1"/>
    <xf numFmtId="3" fontId="28" fillId="5" borderId="2" xfId="0" applyNumberFormat="1" applyFont="1" applyFill="1" applyBorder="1"/>
    <xf numFmtId="3" fontId="28" fillId="5" borderId="10" xfId="0" applyNumberFormat="1" applyFont="1" applyFill="1" applyBorder="1"/>
    <xf numFmtId="0" fontId="25" fillId="6" borderId="0" xfId="0" applyFont="1" applyFill="1"/>
    <xf numFmtId="0" fontId="26" fillId="7" borderId="1" xfId="0" applyFont="1" applyFill="1" applyBorder="1" applyAlignment="1">
      <alignment horizontal="center" wrapText="1"/>
    </xf>
    <xf numFmtId="0" fontId="26" fillId="7" borderId="9" xfId="0" applyFont="1" applyFill="1" applyBorder="1" applyAlignment="1">
      <alignment horizontal="center" wrapText="1"/>
    </xf>
    <xf numFmtId="0" fontId="26" fillId="7" borderId="17" xfId="0" applyFont="1" applyFill="1" applyBorder="1" applyAlignment="1">
      <alignment horizontal="center" wrapText="1"/>
    </xf>
    <xf numFmtId="0" fontId="27" fillId="6" borderId="0" xfId="0" applyFont="1" applyFill="1"/>
    <xf numFmtId="3" fontId="30" fillId="20" borderId="1" xfId="0" applyNumberFormat="1" applyFont="1" applyFill="1" applyBorder="1"/>
    <xf numFmtId="3" fontId="30" fillId="4" borderId="1" xfId="0" applyNumberFormat="1" applyFont="1" applyFill="1" applyBorder="1"/>
    <xf numFmtId="3" fontId="30" fillId="4" borderId="9" xfId="0" applyNumberFormat="1" applyFont="1" applyFill="1" applyBorder="1"/>
    <xf numFmtId="165" fontId="28" fillId="0" borderId="0" xfId="0" applyNumberFormat="1" applyFont="1"/>
    <xf numFmtId="167" fontId="31" fillId="0" borderId="13" xfId="0" applyNumberFormat="1" applyFont="1" applyBorder="1"/>
    <xf numFmtId="3" fontId="30" fillId="4" borderId="17" xfId="0" applyNumberFormat="1" applyFont="1" applyFill="1" applyBorder="1"/>
    <xf numFmtId="0" fontId="28" fillId="6" borderId="0" xfId="0" applyFont="1" applyFill="1"/>
    <xf numFmtId="165" fontId="28" fillId="0" borderId="3" xfId="0" applyNumberFormat="1" applyFont="1" applyBorder="1"/>
    <xf numFmtId="167" fontId="31" fillId="0" borderId="15" xfId="0" applyNumberFormat="1" applyFont="1" applyBorder="1"/>
    <xf numFmtId="3" fontId="28" fillId="6" borderId="2" xfId="0" applyNumberFormat="1" applyFont="1" applyFill="1" applyBorder="1"/>
    <xf numFmtId="3" fontId="28" fillId="6" borderId="10" xfId="0" applyNumberFormat="1" applyFont="1" applyFill="1" applyBorder="1"/>
    <xf numFmtId="165" fontId="28" fillId="6" borderId="10" xfId="2" applyNumberFormat="1" applyFont="1" applyFill="1" applyBorder="1"/>
    <xf numFmtId="9" fontId="32" fillId="0" borderId="0" xfId="2" applyFont="1"/>
    <xf numFmtId="165" fontId="33" fillId="0" borderId="0" xfId="2" applyNumberFormat="1" applyFont="1" applyFill="1" applyBorder="1"/>
    <xf numFmtId="10" fontId="27" fillId="0" borderId="0" xfId="2" applyNumberFormat="1" applyFont="1" applyFill="1" applyBorder="1"/>
    <xf numFmtId="0" fontId="25" fillId="8" borderId="0" xfId="0" applyFont="1" applyFill="1"/>
    <xf numFmtId="3" fontId="21" fillId="0" borderId="0" xfId="0" applyNumberFormat="1" applyFont="1"/>
    <xf numFmtId="0" fontId="26" fillId="9" borderId="1" xfId="0" applyFont="1" applyFill="1" applyBorder="1" applyAlignment="1">
      <alignment horizontal="center" wrapText="1"/>
    </xf>
    <xf numFmtId="0" fontId="26" fillId="9" borderId="9" xfId="0" applyFont="1" applyFill="1" applyBorder="1" applyAlignment="1">
      <alignment horizontal="center" wrapText="1"/>
    </xf>
    <xf numFmtId="0" fontId="26" fillId="9" borderId="19" xfId="0" applyFont="1" applyFill="1" applyBorder="1" applyAlignment="1">
      <alignment horizontal="center" wrapText="1"/>
    </xf>
    <xf numFmtId="0" fontId="26" fillId="9" borderId="20" xfId="0" applyFont="1" applyFill="1" applyBorder="1" applyAlignment="1">
      <alignment horizontal="center" wrapText="1"/>
    </xf>
    <xf numFmtId="0" fontId="26" fillId="9" borderId="21" xfId="0" applyFont="1" applyFill="1" applyBorder="1" applyAlignment="1">
      <alignment horizontal="center" wrapText="1"/>
    </xf>
    <xf numFmtId="0" fontId="26" fillId="9" borderId="17" xfId="0" applyFont="1" applyFill="1" applyBorder="1" applyAlignment="1">
      <alignment horizontal="center" wrapText="1"/>
    </xf>
    <xf numFmtId="0" fontId="27" fillId="8" borderId="0" xfId="0" applyFont="1" applyFill="1"/>
    <xf numFmtId="0" fontId="28" fillId="8" borderId="0" xfId="0" applyFont="1" applyFill="1"/>
    <xf numFmtId="3" fontId="28" fillId="0" borderId="2" xfId="0" applyNumberFormat="1" applyFont="1" applyBorder="1"/>
    <xf numFmtId="3" fontId="28" fillId="0" borderId="10" xfId="0" applyNumberFormat="1" applyFont="1" applyBorder="1"/>
    <xf numFmtId="165" fontId="34" fillId="0" borderId="0" xfId="2" applyNumberFormat="1" applyFont="1"/>
    <xf numFmtId="165" fontId="21" fillId="0" borderId="0" xfId="2" applyNumberFormat="1" applyFont="1"/>
    <xf numFmtId="41" fontId="35" fillId="0" borderId="0" xfId="1" applyFont="1"/>
    <xf numFmtId="0" fontId="25" fillId="4" borderId="0" xfId="0" applyFont="1" applyFill="1" applyAlignment="1">
      <alignment horizontal="left"/>
    </xf>
    <xf numFmtId="0" fontId="21" fillId="0" borderId="18" xfId="0" applyFont="1" applyBorder="1"/>
    <xf numFmtId="0" fontId="21" fillId="0" borderId="4" xfId="0" applyFont="1" applyBorder="1"/>
    <xf numFmtId="0" fontId="21" fillId="0" borderId="5" xfId="0" applyFont="1" applyBorder="1"/>
    <xf numFmtId="0" fontId="26" fillId="2" borderId="22" xfId="0" applyFont="1" applyFill="1" applyBorder="1" applyAlignment="1">
      <alignment horizontal="center" wrapText="1"/>
    </xf>
    <xf numFmtId="0" fontId="26" fillId="2" borderId="23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wrapText="1"/>
    </xf>
    <xf numFmtId="0" fontId="26" fillId="2" borderId="17" xfId="0" applyFont="1" applyFill="1" applyBorder="1" applyAlignment="1">
      <alignment horizontal="center" wrapText="1"/>
    </xf>
    <xf numFmtId="4" fontId="30" fillId="20" borderId="1" xfId="0" applyNumberFormat="1" applyFont="1" applyFill="1" applyBorder="1"/>
    <xf numFmtId="4" fontId="30" fillId="4" borderId="1" xfId="0" applyNumberFormat="1" applyFont="1" applyFill="1" applyBorder="1"/>
    <xf numFmtId="4" fontId="30" fillId="4" borderId="9" xfId="0" applyNumberFormat="1" applyFont="1" applyFill="1" applyBorder="1"/>
    <xf numFmtId="4" fontId="28" fillId="0" borderId="12" xfId="0" applyNumberFormat="1" applyFont="1" applyBorder="1"/>
    <xf numFmtId="4" fontId="29" fillId="0" borderId="0" xfId="0" applyNumberFormat="1" applyFont="1"/>
    <xf numFmtId="165" fontId="31" fillId="0" borderId="13" xfId="0" applyNumberFormat="1" applyFont="1" applyBorder="1"/>
    <xf numFmtId="4" fontId="30" fillId="4" borderId="17" xfId="0" applyNumberFormat="1" applyFont="1" applyFill="1" applyBorder="1"/>
    <xf numFmtId="0" fontId="28" fillId="0" borderId="0" xfId="0" applyFont="1"/>
    <xf numFmtId="4" fontId="28" fillId="0" borderId="14" xfId="0" applyNumberFormat="1" applyFont="1" applyBorder="1"/>
    <xf numFmtId="4" fontId="29" fillId="0" borderId="3" xfId="0" applyNumberFormat="1" applyFont="1" applyBorder="1"/>
    <xf numFmtId="165" fontId="31" fillId="0" borderId="15" xfId="0" applyNumberFormat="1" applyFont="1" applyBorder="1"/>
    <xf numFmtId="0" fontId="26" fillId="7" borderId="22" xfId="0" applyFont="1" applyFill="1" applyBorder="1" applyAlignment="1">
      <alignment horizontal="center" wrapText="1"/>
    </xf>
    <xf numFmtId="0" fontId="26" fillId="7" borderId="23" xfId="0" applyFont="1" applyFill="1" applyBorder="1" applyAlignment="1">
      <alignment horizontal="center" wrapText="1"/>
    </xf>
    <xf numFmtId="0" fontId="26" fillId="7" borderId="24" xfId="0" applyFont="1" applyFill="1" applyBorder="1" applyAlignment="1">
      <alignment horizontal="center" wrapText="1"/>
    </xf>
    <xf numFmtId="3" fontId="27" fillId="21" borderId="1" xfId="0" applyNumberFormat="1" applyFont="1" applyFill="1" applyBorder="1"/>
    <xf numFmtId="3" fontId="27" fillId="0" borderId="17" xfId="0" applyNumberFormat="1" applyFont="1" applyBorder="1"/>
    <xf numFmtId="3" fontId="27" fillId="21" borderId="8" xfId="0" applyNumberFormat="1" applyFont="1" applyFill="1" applyBorder="1"/>
    <xf numFmtId="3" fontId="27" fillId="0" borderId="8" xfId="0" applyNumberFormat="1" applyFont="1" applyBorder="1"/>
    <xf numFmtId="3" fontId="27" fillId="0" borderId="11" xfId="0" applyNumberFormat="1" applyFont="1" applyBorder="1"/>
    <xf numFmtId="165" fontId="36" fillId="0" borderId="0" xfId="2" applyNumberFormat="1" applyFont="1" applyFill="1" applyBorder="1"/>
    <xf numFmtId="165" fontId="37" fillId="0" borderId="0" xfId="2" applyNumberFormat="1" applyFont="1" applyFill="1" applyBorder="1"/>
    <xf numFmtId="3" fontId="27" fillId="0" borderId="0" xfId="0" applyNumberFormat="1" applyFont="1"/>
    <xf numFmtId="3" fontId="28" fillId="0" borderId="0" xfId="0" applyNumberFormat="1" applyFont="1"/>
    <xf numFmtId="41" fontId="38" fillId="0" borderId="0" xfId="1" applyFont="1"/>
    <xf numFmtId="0" fontId="39" fillId="0" borderId="0" xfId="0" applyFont="1"/>
    <xf numFmtId="0" fontId="39" fillId="0" borderId="0" xfId="0" applyFont="1" applyAlignment="1">
      <alignment horizontal="left"/>
    </xf>
    <xf numFmtId="10" fontId="40" fillId="0" borderId="0" xfId="0" applyNumberFormat="1" applyFont="1"/>
    <xf numFmtId="0" fontId="40" fillId="0" borderId="0" xfId="0" applyFont="1"/>
    <xf numFmtId="0" fontId="26" fillId="10" borderId="1" xfId="0" applyFont="1" applyFill="1" applyBorder="1" applyAlignment="1">
      <alignment horizontal="center" wrapText="1"/>
    </xf>
    <xf numFmtId="0" fontId="26" fillId="10" borderId="9" xfId="0" applyFont="1" applyFill="1" applyBorder="1" applyAlignment="1">
      <alignment horizontal="center" wrapText="1"/>
    </xf>
    <xf numFmtId="0" fontId="26" fillId="10" borderId="22" xfId="0" applyFont="1" applyFill="1" applyBorder="1" applyAlignment="1">
      <alignment horizontal="center" wrapText="1"/>
    </xf>
    <xf numFmtId="0" fontId="26" fillId="10" borderId="23" xfId="0" applyFont="1" applyFill="1" applyBorder="1" applyAlignment="1">
      <alignment horizontal="center" wrapText="1"/>
    </xf>
    <xf numFmtId="0" fontId="26" fillId="10" borderId="24" xfId="0" applyFont="1" applyFill="1" applyBorder="1" applyAlignment="1">
      <alignment horizontal="center" wrapText="1"/>
    </xf>
    <xf numFmtId="0" fontId="26" fillId="10" borderId="17" xfId="0" applyFont="1" applyFill="1" applyBorder="1" applyAlignment="1">
      <alignment horizontal="center" wrapText="1"/>
    </xf>
    <xf numFmtId="0" fontId="26" fillId="0" borderId="0" xfId="0" applyFont="1" applyAlignment="1">
      <alignment horizontal="center" wrapText="1"/>
    </xf>
    <xf numFmtId="0" fontId="41" fillId="0" borderId="0" xfId="0" applyFont="1"/>
    <xf numFmtId="1" fontId="21" fillId="0" borderId="0" xfId="0" applyNumberFormat="1" applyFont="1"/>
    <xf numFmtId="167" fontId="31" fillId="0" borderId="0" xfId="0" applyNumberFormat="1" applyFont="1"/>
    <xf numFmtId="0" fontId="25" fillId="0" borderId="0" xfId="0" applyFont="1"/>
    <xf numFmtId="169" fontId="42" fillId="0" borderId="0" xfId="1" applyNumberFormat="1" applyFont="1"/>
    <xf numFmtId="3" fontId="28" fillId="0" borderId="25" xfId="0" applyNumberFormat="1" applyFont="1" applyBorder="1"/>
    <xf numFmtId="3" fontId="29" fillId="0" borderId="26" xfId="0" applyNumberFormat="1" applyFont="1" applyBorder="1"/>
    <xf numFmtId="167" fontId="31" fillId="0" borderId="27" xfId="0" applyNumberFormat="1" applyFont="1" applyBorder="1"/>
    <xf numFmtId="0" fontId="43" fillId="0" borderId="0" xfId="0" applyFont="1" applyAlignment="1">
      <alignment horizontal="left" indent="1"/>
    </xf>
    <xf numFmtId="3" fontId="30" fillId="0" borderId="1" xfId="0" applyNumberFormat="1" applyFont="1" applyBorder="1"/>
    <xf numFmtId="3" fontId="30" fillId="0" borderId="9" xfId="0" applyNumberFormat="1" applyFont="1" applyBorder="1"/>
    <xf numFmtId="3" fontId="27" fillId="0" borderId="12" xfId="0" applyNumberFormat="1" applyFont="1" applyBorder="1"/>
    <xf numFmtId="3" fontId="30" fillId="0" borderId="17" xfId="0" applyNumberFormat="1" applyFont="1" applyBorder="1"/>
    <xf numFmtId="0" fontId="44" fillId="0" borderId="0" xfId="0" applyFont="1" applyAlignment="1">
      <alignment horizontal="left" indent="1"/>
    </xf>
    <xf numFmtId="3" fontId="30" fillId="29" borderId="1" xfId="0" applyNumberFormat="1" applyFont="1" applyFill="1" applyBorder="1"/>
    <xf numFmtId="3" fontId="30" fillId="29" borderId="17" xfId="0" applyNumberFormat="1" applyFont="1" applyFill="1" applyBorder="1"/>
    <xf numFmtId="10" fontId="21" fillId="0" borderId="0" xfId="2" applyNumberFormat="1" applyFont="1"/>
    <xf numFmtId="10" fontId="21" fillId="0" borderId="0" xfId="0" applyNumberFormat="1" applyFont="1"/>
    <xf numFmtId="41" fontId="21" fillId="0" borderId="0" xfId="0" applyNumberFormat="1" applyFont="1"/>
    <xf numFmtId="3" fontId="28" fillId="5" borderId="0" xfId="0" applyNumberFormat="1" applyFont="1" applyFill="1"/>
    <xf numFmtId="10" fontId="46" fillId="0" borderId="0" xfId="2" applyNumberFormat="1" applyFont="1"/>
    <xf numFmtId="4" fontId="28" fillId="0" borderId="0" xfId="0" applyNumberFormat="1" applyFont="1"/>
    <xf numFmtId="9" fontId="28" fillId="0" borderId="0" xfId="2" applyFont="1" applyFill="1" applyBorder="1"/>
    <xf numFmtId="3" fontId="30" fillId="29" borderId="9" xfId="0" applyNumberFormat="1" applyFont="1" applyFill="1" applyBorder="1"/>
    <xf numFmtId="3" fontId="28" fillId="0" borderId="28" xfId="0" applyNumberFormat="1" applyFont="1" applyBorder="1"/>
    <xf numFmtId="3" fontId="29" fillId="0" borderId="29" xfId="0" applyNumberFormat="1" applyFont="1" applyBorder="1"/>
    <xf numFmtId="167" fontId="31" fillId="0" borderId="30" xfId="0" applyNumberFormat="1" applyFont="1" applyBorder="1"/>
    <xf numFmtId="0" fontId="28" fillId="11" borderId="0" xfId="0" applyFont="1" applyFill="1"/>
    <xf numFmtId="3" fontId="28" fillId="11" borderId="2" xfId="0" applyNumberFormat="1" applyFont="1" applyFill="1" applyBorder="1"/>
    <xf numFmtId="3" fontId="28" fillId="11" borderId="0" xfId="0" applyNumberFormat="1" applyFont="1" applyFill="1"/>
    <xf numFmtId="0" fontId="40" fillId="0" borderId="0" xfId="0" applyFont="1" applyAlignment="1">
      <alignment horizontal="right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0" fontId="21" fillId="0" borderId="6" xfId="0" applyFont="1" applyBorder="1"/>
    <xf numFmtId="3" fontId="27" fillId="18" borderId="1" xfId="0" applyNumberFormat="1" applyFont="1" applyFill="1" applyBorder="1"/>
    <xf numFmtId="3" fontId="27" fillId="4" borderId="1" xfId="0" applyNumberFormat="1" applyFont="1" applyFill="1" applyBorder="1"/>
    <xf numFmtId="3" fontId="30" fillId="18" borderId="1" xfId="0" applyNumberFormat="1" applyFont="1" applyFill="1" applyBorder="1"/>
    <xf numFmtId="3" fontId="27" fillId="27" borderId="1" xfId="0" applyNumberFormat="1" applyFont="1" applyFill="1" applyBorder="1"/>
    <xf numFmtId="3" fontId="30" fillId="27" borderId="1" xfId="0" applyNumberFormat="1" applyFont="1" applyFill="1" applyBorder="1"/>
    <xf numFmtId="0" fontId="28" fillId="22" borderId="0" xfId="0" applyFont="1" applyFill="1"/>
    <xf numFmtId="0" fontId="28" fillId="17" borderId="0" xfId="0" applyFont="1" applyFill="1"/>
    <xf numFmtId="3" fontId="47" fillId="0" borderId="0" xfId="0" applyNumberFormat="1" applyFont="1"/>
    <xf numFmtId="0" fontId="28" fillId="26" borderId="0" xfId="0" applyFont="1" applyFill="1"/>
    <xf numFmtId="0" fontId="21" fillId="19" borderId="0" xfId="0" applyFont="1" applyFill="1"/>
    <xf numFmtId="3" fontId="30" fillId="0" borderId="0" xfId="0" applyNumberFormat="1" applyFont="1"/>
    <xf numFmtId="165" fontId="30" fillId="0" borderId="0" xfId="0" applyNumberFormat="1" applyFont="1"/>
    <xf numFmtId="0" fontId="28" fillId="12" borderId="0" xfId="0" applyFont="1" applyFill="1"/>
    <xf numFmtId="3" fontId="48" fillId="0" borderId="1" xfId="0" applyNumberFormat="1" applyFont="1" applyBorder="1"/>
    <xf numFmtId="165" fontId="31" fillId="0" borderId="0" xfId="0" applyNumberFormat="1" applyFont="1"/>
    <xf numFmtId="3" fontId="28" fillId="12" borderId="1" xfId="0" applyNumberFormat="1" applyFont="1" applyFill="1" applyBorder="1"/>
    <xf numFmtId="3" fontId="28" fillId="12" borderId="0" xfId="0" applyNumberFormat="1" applyFont="1" applyFill="1"/>
    <xf numFmtId="3" fontId="29" fillId="25" borderId="0" xfId="0" applyNumberFormat="1" applyFont="1" applyFill="1"/>
    <xf numFmtId="165" fontId="31" fillId="25" borderId="0" xfId="0" applyNumberFormat="1" applyFont="1" applyFill="1"/>
    <xf numFmtId="3" fontId="28" fillId="0" borderId="1" xfId="0" applyNumberFormat="1" applyFont="1" applyBorder="1"/>
    <xf numFmtId="165" fontId="27" fillId="0" borderId="1" xfId="0" applyNumberFormat="1" applyFont="1" applyBorder="1"/>
    <xf numFmtId="0" fontId="26" fillId="2" borderId="0" xfId="0" applyFont="1" applyFill="1" applyAlignment="1">
      <alignment horizontal="center"/>
    </xf>
    <xf numFmtId="0" fontId="28" fillId="3" borderId="1" xfId="0" applyFont="1" applyFill="1" applyBorder="1"/>
    <xf numFmtId="3" fontId="29" fillId="6" borderId="1" xfId="0" applyNumberFormat="1" applyFont="1" applyFill="1" applyBorder="1"/>
    <xf numFmtId="3" fontId="28" fillId="5" borderId="1" xfId="0" applyNumberFormat="1" applyFont="1" applyFill="1" applyBorder="1"/>
    <xf numFmtId="166" fontId="31" fillId="0" borderId="1" xfId="0" applyNumberFormat="1" applyFont="1" applyBorder="1"/>
    <xf numFmtId="165" fontId="29" fillId="6" borderId="1" xfId="0" applyNumberFormat="1" applyFont="1" applyFill="1" applyBorder="1"/>
    <xf numFmtId="165" fontId="28" fillId="5" borderId="1" xfId="0" applyNumberFormat="1" applyFont="1" applyFill="1" applyBorder="1"/>
    <xf numFmtId="168" fontId="27" fillId="0" borderId="1" xfId="0" applyNumberFormat="1" applyFont="1" applyBorder="1"/>
    <xf numFmtId="0" fontId="25" fillId="12" borderId="0" xfId="0" applyFont="1" applyFill="1"/>
    <xf numFmtId="3" fontId="30" fillId="14" borderId="1" xfId="0" applyNumberFormat="1" applyFont="1" applyFill="1" applyBorder="1"/>
    <xf numFmtId="0" fontId="25" fillId="11" borderId="0" xfId="0" applyFont="1" applyFill="1"/>
    <xf numFmtId="0" fontId="49" fillId="0" borderId="0" xfId="0" applyFont="1"/>
    <xf numFmtId="170" fontId="28" fillId="0" borderId="2" xfId="0" applyNumberFormat="1" applyFont="1" applyBorder="1"/>
    <xf numFmtId="170" fontId="28" fillId="0" borderId="0" xfId="0" applyNumberFormat="1" applyFont="1"/>
    <xf numFmtId="170" fontId="28" fillId="25" borderId="0" xfId="0" applyNumberFormat="1" applyFont="1" applyFill="1"/>
    <xf numFmtId="170" fontId="28" fillId="12" borderId="0" xfId="0" applyNumberFormat="1" applyFont="1" applyFill="1"/>
    <xf numFmtId="170" fontId="21" fillId="0" borderId="0" xfId="0" applyNumberFormat="1" applyFont="1"/>
    <xf numFmtId="3" fontId="50" fillId="0" borderId="0" xfId="0" applyNumberFormat="1" applyFont="1"/>
    <xf numFmtId="0" fontId="51" fillId="0" borderId="0" xfId="0" applyFont="1"/>
    <xf numFmtId="0" fontId="26" fillId="2" borderId="0" xfId="0" applyFont="1" applyFill="1"/>
    <xf numFmtId="0" fontId="21" fillId="2" borderId="0" xfId="0" applyFont="1" applyFill="1"/>
    <xf numFmtId="0" fontId="28" fillId="3" borderId="0" xfId="0" applyFont="1" applyFill="1"/>
    <xf numFmtId="3" fontId="29" fillId="4" borderId="1" xfId="0" applyNumberFormat="1" applyFont="1" applyFill="1" applyBorder="1"/>
    <xf numFmtId="10" fontId="29" fillId="4" borderId="1" xfId="0" applyNumberFormat="1" applyFont="1" applyFill="1" applyBorder="1"/>
    <xf numFmtId="164" fontId="29" fillId="4" borderId="1" xfId="0" applyNumberFormat="1" applyFont="1" applyFill="1" applyBorder="1"/>
    <xf numFmtId="0" fontId="28" fillId="4" borderId="1" xfId="0" applyFont="1" applyFill="1" applyBorder="1"/>
    <xf numFmtId="165" fontId="48" fillId="0" borderId="1" xfId="0" applyNumberFormat="1" applyFont="1" applyBorder="1"/>
    <xf numFmtId="9" fontId="21" fillId="0" borderId="0" xfId="2" applyFont="1"/>
    <xf numFmtId="165" fontId="52" fillId="0" borderId="0" xfId="0" applyNumberFormat="1" applyFont="1"/>
    <xf numFmtId="0" fontId="53" fillId="0" borderId="0" xfId="0" applyFont="1"/>
    <xf numFmtId="165" fontId="52" fillId="25" borderId="0" xfId="0" applyNumberFormat="1" applyFont="1" applyFill="1"/>
    <xf numFmtId="3" fontId="30" fillId="24" borderId="1" xfId="0" applyNumberFormat="1" applyFont="1" applyFill="1" applyBorder="1"/>
    <xf numFmtId="9" fontId="42" fillId="0" borderId="0" xfId="2" applyFont="1"/>
    <xf numFmtId="3" fontId="30" fillId="30" borderId="9" xfId="0" applyNumberFormat="1" applyFont="1" applyFill="1" applyBorder="1"/>
    <xf numFmtId="38" fontId="28" fillId="0" borderId="0" xfId="0" applyNumberFormat="1" applyFont="1"/>
    <xf numFmtId="38" fontId="21" fillId="0" borderId="0" xfId="0" applyNumberFormat="1" applyFont="1"/>
    <xf numFmtId="38" fontId="28" fillId="12" borderId="0" xfId="0" applyNumberFormat="1" applyFont="1" applyFill="1"/>
    <xf numFmtId="165" fontId="28" fillId="0" borderId="0" xfId="2" applyNumberFormat="1" applyFont="1"/>
    <xf numFmtId="3" fontId="30" fillId="31" borderId="1" xfId="0" applyNumberFormat="1" applyFont="1" applyFill="1" applyBorder="1"/>
    <xf numFmtId="3" fontId="4" fillId="25" borderId="0" xfId="0" applyNumberFormat="1" applyFont="1" applyFill="1"/>
    <xf numFmtId="3" fontId="30" fillId="32" borderId="1" xfId="0" applyNumberFormat="1" applyFont="1" applyFill="1" applyBorder="1"/>
    <xf numFmtId="3" fontId="30" fillId="30" borderId="1" xfId="0" applyNumberFormat="1" applyFont="1" applyFill="1" applyBorder="1"/>
    <xf numFmtId="3" fontId="48" fillId="0" borderId="9" xfId="0" applyNumberFormat="1" applyFont="1" applyBorder="1"/>
    <xf numFmtId="3" fontId="28" fillId="12" borderId="9" xfId="0" applyNumberFormat="1" applyFont="1" applyFill="1" applyBorder="1"/>
    <xf numFmtId="3" fontId="28" fillId="0" borderId="9" xfId="0" applyNumberFormat="1" applyFont="1" applyBorder="1"/>
    <xf numFmtId="165" fontId="27" fillId="0" borderId="9" xfId="0" applyNumberFormat="1" applyFont="1" applyBorder="1"/>
    <xf numFmtId="38" fontId="28" fillId="0" borderId="6" xfId="0" applyNumberFormat="1" applyFont="1" applyBorder="1"/>
    <xf numFmtId="38" fontId="28" fillId="12" borderId="6" xfId="0" applyNumberFormat="1" applyFont="1" applyFill="1" applyBorder="1"/>
    <xf numFmtId="38" fontId="21" fillId="0" borderId="6" xfId="0" applyNumberFormat="1" applyFont="1" applyBorder="1"/>
    <xf numFmtId="165" fontId="28" fillId="0" borderId="6" xfId="2" applyNumberFormat="1" applyFont="1" applyBorder="1"/>
    <xf numFmtId="169" fontId="42" fillId="0" borderId="0" xfId="1" applyNumberFormat="1" applyFont="1" applyBorder="1"/>
    <xf numFmtId="10" fontId="46" fillId="0" borderId="0" xfId="2" applyNumberFormat="1" applyFont="1" applyBorder="1"/>
    <xf numFmtId="3" fontId="30" fillId="32" borderId="17" xfId="0" applyNumberFormat="1" applyFont="1" applyFill="1" applyBorder="1"/>
    <xf numFmtId="3" fontId="30" fillId="4" borderId="31" xfId="0" applyNumberFormat="1" applyFont="1" applyFill="1" applyBorder="1"/>
    <xf numFmtId="0" fontId="26" fillId="0" borderId="18" xfId="0" applyFont="1" applyBorder="1" applyAlignment="1">
      <alignment horizontal="center" wrapText="1"/>
    </xf>
    <xf numFmtId="165" fontId="31" fillId="0" borderId="18" xfId="0" applyNumberFormat="1" applyFont="1" applyBorder="1"/>
    <xf numFmtId="165" fontId="31" fillId="0" borderId="32" xfId="0" applyNumberFormat="1" applyFont="1" applyBorder="1"/>
    <xf numFmtId="167" fontId="31" fillId="0" borderId="18" xfId="0" applyNumberFormat="1" applyFont="1" applyBorder="1"/>
    <xf numFmtId="1" fontId="34" fillId="0" borderId="18" xfId="2" applyNumberFormat="1" applyFont="1" applyBorder="1"/>
    <xf numFmtId="167" fontId="31" fillId="0" borderId="33" xfId="0" applyNumberFormat="1" applyFont="1" applyBorder="1"/>
    <xf numFmtId="167" fontId="31" fillId="0" borderId="32" xfId="0" applyNumberFormat="1" applyFont="1" applyBorder="1"/>
    <xf numFmtId="41" fontId="38" fillId="0" borderId="0" xfId="1" applyFont="1" applyBorder="1"/>
    <xf numFmtId="165" fontId="36" fillId="0" borderId="18" xfId="2" applyNumberFormat="1" applyFont="1" applyFill="1" applyBorder="1"/>
    <xf numFmtId="167" fontId="31" fillId="0" borderId="34" xfId="0" applyNumberFormat="1" applyFont="1" applyBorder="1"/>
    <xf numFmtId="3" fontId="28" fillId="6" borderId="35" xfId="0" applyNumberFormat="1" applyFont="1" applyFill="1" applyBorder="1"/>
    <xf numFmtId="165" fontId="21" fillId="0" borderId="0" xfId="2" applyNumberFormat="1" applyFont="1" applyBorder="1"/>
    <xf numFmtId="165" fontId="27" fillId="0" borderId="18" xfId="0" applyNumberFormat="1" applyFont="1" applyBorder="1"/>
    <xf numFmtId="165" fontId="27" fillId="0" borderId="32" xfId="0" applyNumberFormat="1" applyFont="1" applyBorder="1"/>
    <xf numFmtId="3" fontId="28" fillId="5" borderId="35" xfId="0" applyNumberFormat="1" applyFont="1" applyFill="1" applyBorder="1"/>
    <xf numFmtId="9" fontId="32" fillId="0" borderId="0" xfId="2" applyFont="1" applyBorder="1"/>
    <xf numFmtId="165" fontId="31" fillId="0" borderId="18" xfId="2" applyNumberFormat="1" applyFont="1" applyFill="1" applyBorder="1"/>
    <xf numFmtId="3" fontId="28" fillId="0" borderId="35" xfId="0" applyNumberFormat="1" applyFont="1" applyBorder="1"/>
    <xf numFmtId="165" fontId="34" fillId="0" borderId="0" xfId="2" applyNumberFormat="1" applyFont="1" applyBorder="1"/>
    <xf numFmtId="3" fontId="21" fillId="0" borderId="18" xfId="0" applyNumberFormat="1" applyFont="1" applyBorder="1"/>
    <xf numFmtId="0" fontId="55" fillId="0" borderId="0" xfId="0" applyFont="1"/>
    <xf numFmtId="10" fontId="1" fillId="0" borderId="0" xfId="2" applyNumberFormat="1" applyFont="1"/>
    <xf numFmtId="3" fontId="30" fillId="33" borderId="1" xfId="0" applyNumberFormat="1" applyFont="1" applyFill="1" applyBorder="1"/>
    <xf numFmtId="9" fontId="21" fillId="0" borderId="0" xfId="0" applyNumberFormat="1" applyFont="1"/>
    <xf numFmtId="3" fontId="30" fillId="34" borderId="1" xfId="0" applyNumberFormat="1" applyFont="1" applyFill="1" applyBorder="1"/>
    <xf numFmtId="165" fontId="0" fillId="0" borderId="0" xfId="2" applyNumberFormat="1" applyFont="1"/>
    <xf numFmtId="10" fontId="54" fillId="0" borderId="0" xfId="0" applyNumberFormat="1" applyFont="1"/>
    <xf numFmtId="0" fontId="7" fillId="0" borderId="0" xfId="0" applyFont="1"/>
    <xf numFmtId="165" fontId="46" fillId="0" borderId="0" xfId="2" applyNumberFormat="1" applyFont="1"/>
    <xf numFmtId="165" fontId="46" fillId="0" borderId="0" xfId="2" applyNumberFormat="1" applyFont="1" applyBorder="1"/>
    <xf numFmtId="3" fontId="56" fillId="12" borderId="0" xfId="0" applyNumberFormat="1" applyFont="1" applyFill="1"/>
    <xf numFmtId="3" fontId="56" fillId="0" borderId="0" xfId="0" applyNumberFormat="1" applyFont="1"/>
    <xf numFmtId="166" fontId="57" fillId="0" borderId="1" xfId="0" applyNumberFormat="1" applyFont="1" applyBorder="1"/>
    <xf numFmtId="9" fontId="34" fillId="0" borderId="0" xfId="2" applyFont="1"/>
    <xf numFmtId="4" fontId="58" fillId="0" borderId="0" xfId="0" applyNumberFormat="1" applyFont="1"/>
    <xf numFmtId="0" fontId="27" fillId="26" borderId="0" xfId="0" applyFont="1" applyFill="1"/>
    <xf numFmtId="0" fontId="45" fillId="26" borderId="0" xfId="0" applyFont="1" applyFill="1"/>
    <xf numFmtId="3" fontId="30" fillId="35" borderId="1" xfId="0" applyNumberFormat="1" applyFont="1" applyFill="1" applyBorder="1"/>
    <xf numFmtId="3" fontId="30" fillId="36" borderId="1" xfId="0" applyNumberFormat="1" applyFont="1" applyFill="1" applyBorder="1"/>
    <xf numFmtId="41" fontId="46" fillId="0" borderId="0" xfId="0" applyNumberFormat="1" applyFont="1"/>
    <xf numFmtId="0" fontId="0" fillId="0" borderId="1" xfId="0" applyBorder="1"/>
    <xf numFmtId="41" fontId="1" fillId="0" borderId="1" xfId="1" applyBorder="1"/>
    <xf numFmtId="3" fontId="0" fillId="0" borderId="1" xfId="0" applyNumberFormat="1" applyBorder="1"/>
    <xf numFmtId="41" fontId="59" fillId="0" borderId="0" xfId="1" applyFont="1"/>
    <xf numFmtId="9" fontId="60" fillId="0" borderId="0" xfId="2" applyFont="1"/>
    <xf numFmtId="0" fontId="24" fillId="0" borderId="4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0" xfId="0" applyFont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18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63" fillId="37" borderId="0" xfId="0" applyNumberFormat="1" applyFont="1" applyFill="1" applyBorder="1" applyAlignment="1">
      <alignment horizontal="left" vertical="center" indent="1"/>
    </xf>
    <xf numFmtId="0" fontId="64" fillId="37" borderId="0" xfId="0" applyNumberFormat="1" applyFont="1" applyFill="1" applyBorder="1" applyAlignment="1">
      <alignment horizontal="left" vertical="center" wrapText="1" indent="1"/>
    </xf>
    <xf numFmtId="0" fontId="65" fillId="38" borderId="0" xfId="0" applyNumberFormat="1" applyFont="1" applyFill="1" applyBorder="1" applyAlignment="1">
      <alignment horizontal="left" vertical="center" indent="1"/>
    </xf>
    <xf numFmtId="0" fontId="66" fillId="39" borderId="36" xfId="0" applyNumberFormat="1" applyFont="1" applyFill="1" applyBorder="1" applyAlignment="1">
      <alignment horizontal="center" vertical="center" wrapText="1"/>
    </xf>
    <xf numFmtId="0" fontId="66" fillId="39" borderId="36" xfId="0" applyNumberFormat="1" applyFont="1" applyFill="1" applyBorder="1" applyAlignment="1">
      <alignment horizontal="left" vertical="center" wrapText="1"/>
    </xf>
    <xf numFmtId="0" fontId="61" fillId="0" borderId="36" xfId="0" applyNumberFormat="1" applyFont="1" applyFill="1" applyBorder="1" applyAlignment="1">
      <alignment horizontal="left" vertical="top" wrapText="1"/>
    </xf>
    <xf numFmtId="0" fontId="62" fillId="0" borderId="36" xfId="0" applyNumberFormat="1" applyFont="1" applyFill="1" applyBorder="1" applyAlignment="1">
      <alignment horizontal="left" vertical="top" wrapText="1"/>
    </xf>
    <xf numFmtId="0" fontId="61" fillId="0" borderId="36" xfId="0" applyNumberFormat="1" applyFont="1" applyFill="1" applyBorder="1" applyAlignment="1">
      <alignment horizontal="center" vertical="top" wrapText="1"/>
    </xf>
    <xf numFmtId="0" fontId="72" fillId="0" borderId="36" xfId="0" applyNumberFormat="1" applyFont="1" applyFill="1" applyBorder="1" applyAlignment="1">
      <alignment horizontal="center" vertical="top"/>
    </xf>
    <xf numFmtId="0" fontId="68" fillId="0" borderId="36" xfId="0" applyNumberFormat="1" applyFont="1" applyFill="1" applyBorder="1" applyAlignment="1">
      <alignment horizontal="left" vertical="top" wrapText="1"/>
    </xf>
    <xf numFmtId="0" fontId="61" fillId="0" borderId="0" xfId="0" applyNumberFormat="1" applyFont="1" applyFill="1" applyBorder="1" applyAlignment="1">
      <alignment horizontal="left" vertical="top" wrapText="1"/>
    </xf>
    <xf numFmtId="0" fontId="62" fillId="0" borderId="0" xfId="0" applyNumberFormat="1" applyFont="1" applyFill="1" applyBorder="1" applyAlignment="1">
      <alignment horizontal="left" vertical="top" wrapText="1"/>
    </xf>
    <xf numFmtId="0" fontId="67" fillId="0" borderId="0" xfId="0" applyNumberFormat="1" applyFont="1" applyFill="1" applyBorder="1" applyAlignment="1">
      <alignment horizontal="left" vertical="top" wrapText="1"/>
    </xf>
    <xf numFmtId="201" fontId="61" fillId="0" borderId="36" xfId="0" applyNumberFormat="1" applyFont="1" applyFill="1" applyBorder="1" applyAlignment="1">
      <alignment horizontal="right" vertical="top"/>
    </xf>
    <xf numFmtId="201" fontId="62" fillId="41" borderId="36" xfId="0" applyNumberFormat="1" applyFont="1" applyFill="1" applyBorder="1" applyAlignment="1">
      <alignment horizontal="right" vertical="top"/>
    </xf>
    <xf numFmtId="201" fontId="69" fillId="40" borderId="36" xfId="0" applyNumberFormat="1" applyFont="1" applyFill="1" applyBorder="1" applyAlignment="1">
      <alignment horizontal="right" vertical="top"/>
    </xf>
    <xf numFmtId="203" fontId="69" fillId="40" borderId="36" xfId="0" applyNumberFormat="1" applyFont="1" applyFill="1" applyBorder="1" applyAlignment="1">
      <alignment horizontal="right" vertical="top"/>
    </xf>
    <xf numFmtId="0" fontId="69" fillId="40" borderId="36" xfId="0" applyNumberFormat="1" applyFont="1" applyFill="1" applyBorder="1" applyAlignment="1">
      <alignment horizontal="left" vertical="top" wrapText="1"/>
    </xf>
    <xf numFmtId="202" fontId="61" fillId="0" borderId="36" xfId="0" applyNumberFormat="1" applyFont="1" applyFill="1" applyBorder="1" applyAlignment="1">
      <alignment horizontal="right" vertical="top"/>
    </xf>
    <xf numFmtId="202" fontId="62" fillId="41" borderId="36" xfId="0" applyNumberFormat="1" applyFont="1" applyFill="1" applyBorder="1" applyAlignment="1">
      <alignment horizontal="right" vertical="top"/>
    </xf>
    <xf numFmtId="203" fontId="61" fillId="0" borderId="36" xfId="0" applyNumberFormat="1" applyFont="1" applyFill="1" applyBorder="1" applyAlignment="1">
      <alignment horizontal="right" vertical="top"/>
    </xf>
    <xf numFmtId="204" fontId="61" fillId="0" borderId="36" xfId="0" applyNumberFormat="1" applyFont="1" applyFill="1" applyBorder="1" applyAlignment="1">
      <alignment horizontal="right" vertical="top"/>
    </xf>
    <xf numFmtId="0" fontId="70" fillId="42" borderId="36" xfId="0" applyNumberFormat="1" applyFont="1" applyFill="1" applyBorder="1" applyAlignment="1">
      <alignment horizontal="left" vertical="top" wrapText="1"/>
    </xf>
    <xf numFmtId="0" fontId="71" fillId="0" borderId="36" xfId="0" applyNumberFormat="1" applyFont="1" applyFill="1" applyBorder="1" applyAlignment="1">
      <alignment horizontal="center" vertical="top"/>
    </xf>
    <xf numFmtId="0" fontId="70" fillId="0" borderId="36" xfId="0" applyNumberFormat="1" applyFont="1" applyFill="1" applyBorder="1" applyAlignment="1">
      <alignment horizontal="center" vertical="top"/>
    </xf>
    <xf numFmtId="0" fontId="75" fillId="43" borderId="0" xfId="0" applyNumberFormat="1" applyFont="1" applyFill="1" applyBorder="1" applyAlignment="1">
      <alignment horizontal="left" vertical="center" indent="1"/>
    </xf>
    <xf numFmtId="0" fontId="76" fillId="43" borderId="0" xfId="0" applyNumberFormat="1" applyFont="1" applyFill="1" applyBorder="1" applyAlignment="1">
      <alignment horizontal="left" vertical="center" wrapText="1" indent="1"/>
    </xf>
    <xf numFmtId="0" fontId="77" fillId="44" borderId="0" xfId="0" applyNumberFormat="1" applyFont="1" applyFill="1" applyBorder="1" applyAlignment="1">
      <alignment horizontal="left" vertical="center" indent="1"/>
    </xf>
    <xf numFmtId="0" fontId="78" fillId="45" borderId="37" xfId="0" applyNumberFormat="1" applyFont="1" applyFill="1" applyBorder="1" applyAlignment="1">
      <alignment horizontal="center" vertical="center" wrapText="1"/>
    </xf>
    <xf numFmtId="0" fontId="78" fillId="45" borderId="37" xfId="0" applyNumberFormat="1" applyFont="1" applyFill="1" applyBorder="1" applyAlignment="1">
      <alignment horizontal="left" vertical="center" wrapText="1"/>
    </xf>
    <xf numFmtId="0" fontId="73" fillId="0" borderId="37" xfId="0" applyNumberFormat="1" applyFont="1" applyFill="1" applyBorder="1" applyAlignment="1">
      <alignment horizontal="left" vertical="top" wrapText="1"/>
    </xf>
    <xf numFmtId="0" fontId="74" fillId="0" borderId="37" xfId="0" applyNumberFormat="1" applyFont="1" applyFill="1" applyBorder="1" applyAlignment="1">
      <alignment horizontal="left" vertical="top" wrapText="1"/>
    </xf>
    <xf numFmtId="0" fontId="73" fillId="0" borderId="37" xfId="0" applyNumberFormat="1" applyFont="1" applyFill="1" applyBorder="1" applyAlignment="1">
      <alignment horizontal="center" vertical="top" wrapText="1"/>
    </xf>
    <xf numFmtId="0" fontId="84" fillId="0" borderId="37" xfId="0" applyNumberFormat="1" applyFont="1" applyFill="1" applyBorder="1" applyAlignment="1">
      <alignment horizontal="center" vertical="top"/>
    </xf>
    <xf numFmtId="0" fontId="80" fillId="0" borderId="37" xfId="0" applyNumberFormat="1" applyFont="1" applyFill="1" applyBorder="1" applyAlignment="1">
      <alignment horizontal="left" vertical="top" wrapText="1"/>
    </xf>
    <xf numFmtId="0" fontId="73" fillId="0" borderId="0" xfId="0" applyNumberFormat="1" applyFont="1" applyFill="1" applyBorder="1" applyAlignment="1">
      <alignment horizontal="left" vertical="top" wrapText="1"/>
    </xf>
    <xf numFmtId="0" fontId="74" fillId="0" borderId="0" xfId="0" applyNumberFormat="1" applyFont="1" applyFill="1" applyBorder="1" applyAlignment="1">
      <alignment horizontal="left" vertical="top" wrapText="1"/>
    </xf>
    <xf numFmtId="0" fontId="79" fillId="0" borderId="0" xfId="0" applyNumberFormat="1" applyFont="1" applyFill="1" applyBorder="1" applyAlignment="1">
      <alignment horizontal="left" vertical="top" wrapText="1"/>
    </xf>
    <xf numFmtId="205" fontId="73" fillId="0" borderId="37" xfId="0" applyNumberFormat="1" applyFont="1" applyFill="1" applyBorder="1" applyAlignment="1">
      <alignment horizontal="right" vertical="top"/>
    </xf>
    <xf numFmtId="205" fontId="74" fillId="47" borderId="37" xfId="0" applyNumberFormat="1" applyFont="1" applyFill="1" applyBorder="1" applyAlignment="1">
      <alignment horizontal="right" vertical="top"/>
    </xf>
    <xf numFmtId="205" fontId="81" fillId="46" borderId="37" xfId="0" applyNumberFormat="1" applyFont="1" applyFill="1" applyBorder="1" applyAlignment="1">
      <alignment horizontal="right" vertical="top"/>
    </xf>
    <xf numFmtId="207" fontId="81" fillId="46" borderId="37" xfId="0" applyNumberFormat="1" applyFont="1" applyFill="1" applyBorder="1" applyAlignment="1">
      <alignment horizontal="right" vertical="top"/>
    </xf>
    <xf numFmtId="0" fontId="81" fillId="46" borderId="37" xfId="0" applyNumberFormat="1" applyFont="1" applyFill="1" applyBorder="1" applyAlignment="1">
      <alignment horizontal="left" vertical="top" wrapText="1"/>
    </xf>
    <xf numFmtId="206" fontId="73" fillId="0" borderId="37" xfId="0" applyNumberFormat="1" applyFont="1" applyFill="1" applyBorder="1" applyAlignment="1">
      <alignment horizontal="right" vertical="top"/>
    </xf>
    <xf numFmtId="206" fontId="74" fillId="47" borderId="37" xfId="0" applyNumberFormat="1" applyFont="1" applyFill="1" applyBorder="1" applyAlignment="1">
      <alignment horizontal="right" vertical="top"/>
    </xf>
    <xf numFmtId="207" fontId="73" fillId="0" borderId="37" xfId="0" applyNumberFormat="1" applyFont="1" applyFill="1" applyBorder="1" applyAlignment="1">
      <alignment horizontal="right" vertical="top"/>
    </xf>
    <xf numFmtId="208" fontId="73" fillId="0" borderId="37" xfId="0" applyNumberFormat="1" applyFont="1" applyFill="1" applyBorder="1" applyAlignment="1">
      <alignment horizontal="right" vertical="top"/>
    </xf>
    <xf numFmtId="0" fontId="82" fillId="48" borderId="37" xfId="0" applyNumberFormat="1" applyFont="1" applyFill="1" applyBorder="1" applyAlignment="1">
      <alignment horizontal="left" vertical="top" wrapText="1"/>
    </xf>
    <xf numFmtId="0" fontId="83" fillId="0" borderId="37" xfId="0" applyNumberFormat="1" applyFont="1" applyFill="1" applyBorder="1" applyAlignment="1">
      <alignment horizontal="center" vertical="top"/>
    </xf>
    <xf numFmtId="0" fontId="82" fillId="0" borderId="37" xfId="0" applyNumberFormat="1" applyFont="1" applyFill="1" applyBorder="1" applyAlignment="1">
      <alignment horizontal="center" vertical="top"/>
    </xf>
  </cellXfs>
  <cellStyles count="3">
    <cellStyle name="Millares [0]" xfId="1" builtinId="6"/>
    <cellStyle name="Normal" xfId="0" builtinId="0"/>
    <cellStyle name="Porcentaje" xfId="2" builtinId="5"/>
  </cellStyles>
  <dxfs count="2">
    <dxf>
      <font>
        <b/>
        <color rgb="FFC00000"/>
      </font>
      <fill>
        <patternFill>
          <bgColor rgb="FFFCE4D6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CC0000"/>
      <rgbColor rgb="FF00FFFF"/>
      <rgbColor rgb="FF990000"/>
      <rgbColor rgb="FF008000"/>
      <rgbColor rgb="FF000099"/>
      <rgbColor rgb="FF996633"/>
      <rgbColor rgb="FF800080"/>
      <rgbColor rgb="FF1D8348"/>
      <rgbColor rgb="FFB3B3B3"/>
      <rgbColor rgb="FF878787"/>
      <rgbColor rgb="FF9999FF"/>
      <rgbColor rgb="FF8E44AD"/>
      <rgbColor rgb="FFFFF2CC"/>
      <rgbColor rgb="FFE8F8F5"/>
      <rgbColor rgb="FFCC0066"/>
      <rgbColor rgb="FFE74C3C"/>
      <rgbColor rgb="FF0066CC"/>
      <rgbColor rgb="FFD9D9D9"/>
      <rgbColor rgb="FF000080"/>
      <rgbColor rgb="FFFF00FF"/>
      <rgbColor rgb="FFFFFF00"/>
      <rgbColor rgb="FF00FFFF"/>
      <rgbColor rgb="FF663399"/>
      <rgbColor rgb="FFAA0000"/>
      <rgbColor rgb="FF00AA00"/>
      <rgbColor rgb="FF0000FF"/>
      <rgbColor rgb="FF00CCFF"/>
      <rgbColor rgb="FFD6EAF8"/>
      <rgbColor rgb="FFD5F5E3"/>
      <rgbColor rgb="FFFDEBD0"/>
      <rgbColor rgb="FFF2F2F2"/>
      <rgbColor rgb="FFCC6600"/>
      <rgbColor rgb="FFCC99FF"/>
      <rgbColor rgb="FFFADBD8"/>
      <rgbColor rgb="FF2E86C1"/>
      <rgbColor rgb="FF1ABC9C"/>
      <rgbColor rgb="FF9BBB59"/>
      <rgbColor rgb="FFF39C12"/>
      <rgbColor rgb="FFFF9900"/>
      <rgbColor rgb="FFFF6600"/>
      <rgbColor rgb="FF4A7EBB"/>
      <rgbColor rgb="FF4F81BD"/>
      <rgbColor rgb="FF003366"/>
      <rgbColor rgb="FF27AE60"/>
      <rgbColor rgb="FF006600"/>
      <rgbColor rgb="FFD35400"/>
      <rgbColor rgb="FF922B21"/>
      <rgbColor rgb="FFC0504D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  <color rgb="FFD5F5E3"/>
      <color rgb="FF0086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5" Type="http://schemas.openxmlformats.org/officeDocument/2006/relationships/worksheet" Target="worksheets/sheet28.xml"/><Relationship Id="rId36" Type="http://schemas.openxmlformats.org/officeDocument/2006/relationships/worksheet" Target="worksheets/sheet2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Y"/>
              <a:t>Ingresos Acumulados: Ejecutado vs Proyectado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Ejec.'!$C$16</c:f>
              <c:strCache>
                <c:ptCount val="1"/>
                <c:pt idx="0">
                  <c:v>Ingresos
Ejec. Acum.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788286132741714E-2"/>
                  <c:y val="-2.3079639033407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376-463C-B76F-FBBBAC3C9226}"/>
                </c:ext>
              </c:extLst>
            </c:dLbl>
            <c:dLbl>
              <c:idx val="1"/>
              <c:layout>
                <c:manualLayout>
                  <c:x val="-4.9788286132741728E-2"/>
                  <c:y val="-2.6376730323893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376-463C-B76F-FBBBAC3C9226}"/>
                </c:ext>
              </c:extLst>
            </c:dLbl>
            <c:dLbl>
              <c:idx val="2"/>
              <c:layout>
                <c:manualLayout>
                  <c:x val="-5.3987181160366007E-2"/>
                  <c:y val="-1.97825477429203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3376-463C-B76F-FBBBAC3C9226}"/>
                </c:ext>
              </c:extLst>
            </c:dLbl>
            <c:dLbl>
              <c:idx val="3"/>
              <c:layout>
                <c:manualLayout>
                  <c:x val="-5.0303939908063977E-2"/>
                  <c:y val="-2.63767303238937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376-463C-B76F-FBBBAC3C9226}"/>
                </c:ext>
              </c:extLst>
            </c:dLbl>
            <c:dLbl>
              <c:idx val="4"/>
              <c:layout>
                <c:manualLayout>
                  <c:x val="-5.398718116036607E-2"/>
                  <c:y val="-2.9673821614380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376-463C-B76F-FBBBAC3C9226}"/>
                </c:ext>
              </c:extLst>
            </c:dLbl>
            <c:dLbl>
              <c:idx val="5"/>
              <c:layout>
                <c:manualLayout>
                  <c:x val="-5.8434622467771709E-2"/>
                  <c:y val="-2.9673821614380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376-463C-B76F-FBBBAC3C9226}"/>
                </c:ext>
              </c:extLst>
            </c:dLbl>
            <c:dLbl>
              <c:idx val="6"/>
              <c:layout>
                <c:manualLayout>
                  <c:x val="-5.6593001841620694E-2"/>
                  <c:y val="-2.96738216143806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376-463C-B76F-FBBBAC3C9226}"/>
                </c:ext>
              </c:extLst>
            </c:dLbl>
            <c:dLbl>
              <c:idx val="7"/>
              <c:layout>
                <c:manualLayout>
                  <c:x val="-5.4751381215469748E-2"/>
                  <c:y val="-2.63767303238937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376-463C-B76F-FBBBAC3C9226}"/>
                </c:ext>
              </c:extLst>
            </c:dLbl>
            <c:dLbl>
              <c:idx val="8"/>
              <c:layout>
                <c:manualLayout>
                  <c:x val="-5.8434622467771771E-2"/>
                  <c:y val="-3.297091290486723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76-463C-B76F-FBBBAC3C9226}"/>
                </c:ext>
              </c:extLst>
            </c:dLbl>
            <c:dLbl>
              <c:idx val="9"/>
              <c:layout>
                <c:manualLayout>
                  <c:x val="-5.8434622467771639E-2"/>
                  <c:y val="-3.956509548584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76-463C-B76F-FBBBAC3C9226}"/>
                </c:ext>
              </c:extLst>
            </c:dLbl>
            <c:dLbl>
              <c:idx val="10"/>
              <c:layout>
                <c:manualLayout>
                  <c:x val="-6.0276243093922655E-2"/>
                  <c:y val="-3.62680041953539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76-463C-B76F-FBBBAC3C9226}"/>
                </c:ext>
              </c:extLst>
            </c:dLbl>
            <c:dLbl>
              <c:idx val="11"/>
              <c:layout>
                <c:manualLayout>
                  <c:x val="-1.6162178622699787E-2"/>
                  <c:y val="-4.28621867763274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76-463C-B76F-FBBBAC3C92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Ejec.'!$B$17:$B$28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Ejec.'!$C$17:$C$28</c:f>
              <c:numCache>
                <c:formatCode>#,##0</c:formatCode>
                <c:ptCount val="12"/>
                <c:pt idx="0">
                  <c:v>20196</c:v>
                </c:pt>
                <c:pt idx="1">
                  <c:v>20196</c:v>
                </c:pt>
                <c:pt idx="2">
                  <c:v>129294.9488</c:v>
                </c:pt>
                <c:pt idx="3">
                  <c:v>284234.36745000002</c:v>
                </c:pt>
                <c:pt idx="4">
                  <c:v>496577.74294999999</c:v>
                </c:pt>
                <c:pt idx="5">
                  <c:v>1043777.23095</c:v>
                </c:pt>
                <c:pt idx="6">
                  <c:v>1302637.23095</c:v>
                </c:pt>
                <c:pt idx="7">
                  <c:v>1597107.23095</c:v>
                </c:pt>
                <c:pt idx="8">
                  <c:v>1917747.23095</c:v>
                </c:pt>
                <c:pt idx="9">
                  <c:v>2625327.2309499998</c:v>
                </c:pt>
                <c:pt idx="10">
                  <c:v>3505227.2309499998</c:v>
                </c:pt>
                <c:pt idx="11">
                  <c:v>4208607.2309499998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DB-4AB7-AD5C-1D75B0CFAAE5}"/>
            </c:ext>
          </c:extLst>
        </c:ser>
        <c:ser>
          <c:idx val="1"/>
          <c:order val="1"/>
          <c:tx>
            <c:strRef>
              <c:f>'Dashboard Ejec.'!$D$16</c:f>
              <c:strCache>
                <c:ptCount val="1"/>
                <c:pt idx="0">
                  <c:v>Ingresos
Proy. Acum.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0891590510642265E-2"/>
                  <c:y val="-4.4490569838371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373-41DB-9D6E-1F9668AA8602}"/>
                </c:ext>
              </c:extLst>
            </c:dLbl>
            <c:dLbl>
              <c:idx val="1"/>
              <c:layout>
                <c:manualLayout>
                  <c:x val="-5.6539032702505647E-2"/>
                  <c:y val="-4.7271230453269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373-41DB-9D6E-1F9668AA8602}"/>
                </c:ext>
              </c:extLst>
            </c:dLbl>
            <c:dLbl>
              <c:idx val="2"/>
              <c:layout>
                <c:manualLayout>
                  <c:x val="-5.4917378640900669E-2"/>
                  <c:y val="-4.72712304532696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373-41DB-9D6E-1F9668AA8602}"/>
                </c:ext>
              </c:extLst>
            </c:dLbl>
            <c:dLbl>
              <c:idx val="3"/>
              <c:layout>
                <c:manualLayout>
                  <c:x val="-5.329572457929569E-2"/>
                  <c:y val="-4.72712304532695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373-41DB-9D6E-1F9668AA8602}"/>
                </c:ext>
              </c:extLst>
            </c:dLbl>
            <c:dLbl>
              <c:idx val="4"/>
              <c:layout>
                <c:manualLayout>
                  <c:x val="-5.6539032702505647E-2"/>
                  <c:y val="-5.56132122979642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373-41DB-9D6E-1F9668AA8602}"/>
                </c:ext>
              </c:extLst>
            </c:dLbl>
            <c:dLbl>
              <c:idx val="5"/>
              <c:layout>
                <c:manualLayout>
                  <c:x val="-5.3295724579295753E-2"/>
                  <c:y val="-5.561321229796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373-41DB-9D6E-1F9668AA8602}"/>
                </c:ext>
              </c:extLst>
            </c:dLbl>
            <c:dLbl>
              <c:idx val="6"/>
              <c:layout>
                <c:manualLayout>
                  <c:x val="-5.4917378640900669E-2"/>
                  <c:y val="-6.39551941426588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373-41DB-9D6E-1F9668AA8602}"/>
                </c:ext>
              </c:extLst>
            </c:dLbl>
            <c:dLbl>
              <c:idx val="7"/>
              <c:layout>
                <c:manualLayout>
                  <c:x val="-5.329572457929569E-2"/>
                  <c:y val="-5.28325516830659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373-41DB-9D6E-1F9668AA8602}"/>
                </c:ext>
              </c:extLst>
            </c:dLbl>
            <c:dLbl>
              <c:idx val="8"/>
              <c:layout>
                <c:manualLayout>
                  <c:x val="-5.4917378640900669E-2"/>
                  <c:y val="-5.28325516830660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373-41DB-9D6E-1F9668AA8602}"/>
                </c:ext>
              </c:extLst>
            </c:dLbl>
            <c:dLbl>
              <c:idx val="9"/>
              <c:layout>
                <c:manualLayout>
                  <c:x val="-5.6539032702505765E-2"/>
                  <c:y val="-5.00518910681677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373-41DB-9D6E-1F9668AA8602}"/>
                </c:ext>
              </c:extLst>
            </c:dLbl>
            <c:dLbl>
              <c:idx val="10"/>
              <c:layout>
                <c:manualLayout>
                  <c:x val="-5.6539032702505765E-2"/>
                  <c:y val="-4.72712304532695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373-41DB-9D6E-1F9668AA8602}"/>
                </c:ext>
              </c:extLst>
            </c:dLbl>
            <c:dLbl>
              <c:idx val="11"/>
              <c:layout>
                <c:manualLayout>
                  <c:x val="-1.1963283595075477E-2"/>
                  <c:y val="-3.62680041953539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376-463C-B76F-FBBBAC3C922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Ejec.'!$B$17:$B$28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Ejec.'!$D$17:$D$28</c:f>
              <c:numCache>
                <c:formatCode>#,##0</c:formatCode>
                <c:ptCount val="12"/>
                <c:pt idx="0">
                  <c:v>901700</c:v>
                </c:pt>
                <c:pt idx="1">
                  <c:v>1803400</c:v>
                </c:pt>
                <c:pt idx="2">
                  <c:v>2705100</c:v>
                </c:pt>
                <c:pt idx="3">
                  <c:v>3606800</c:v>
                </c:pt>
                <c:pt idx="4">
                  <c:v>4508500</c:v>
                </c:pt>
                <c:pt idx="5">
                  <c:v>5410200</c:v>
                </c:pt>
                <c:pt idx="6">
                  <c:v>6311900</c:v>
                </c:pt>
                <c:pt idx="7">
                  <c:v>7213600</c:v>
                </c:pt>
                <c:pt idx="8">
                  <c:v>8115300</c:v>
                </c:pt>
                <c:pt idx="9">
                  <c:v>9017000</c:v>
                </c:pt>
                <c:pt idx="10">
                  <c:v>9918700</c:v>
                </c:pt>
                <c:pt idx="11">
                  <c:v>10820400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DB-4AB7-AD5C-1D75B0CFAA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75664850"/>
        <c:axId val="43884121"/>
      </c:lineChart>
      <c:catAx>
        <c:axId val="756648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43884121"/>
        <c:crosses val="autoZero"/>
        <c:auto val="1"/>
        <c:lblAlgn val="ctr"/>
        <c:lblOffset val="100"/>
        <c:noMultiLvlLbl val="0"/>
      </c:catAx>
      <c:valAx>
        <c:axId val="43884121"/>
        <c:scaling>
          <c:orientation val="minMax"/>
          <c:max val="1100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Y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756648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Y"/>
              <a:t>EBITDA Acumulado: Ejecutado vs Proyectado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>
        <c:manualLayout>
          <c:layoutTarget val="inner"/>
          <c:xMode val="edge"/>
          <c:yMode val="edge"/>
          <c:x val="5.8355285251503221E-2"/>
          <c:y val="0.24118071937869431"/>
          <c:w val="0.94164471474849676"/>
          <c:h val="0.75671468709412359"/>
        </c:manualLayout>
      </c:layout>
      <c:lineChart>
        <c:grouping val="standard"/>
        <c:varyColors val="0"/>
        <c:ser>
          <c:idx val="0"/>
          <c:order val="0"/>
          <c:tx>
            <c:strRef>
              <c:f>'Dashboard Ejec.'!$E$16</c:f>
              <c:strCache>
                <c:ptCount val="1"/>
                <c:pt idx="0">
                  <c:v>EBITDA
Ejec. Acum.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2373308175187795E-2"/>
                  <c:y val="6.7587944155682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B54-40DB-8E36-B4EE95CFF136}"/>
                </c:ext>
              </c:extLst>
            </c:dLbl>
            <c:dLbl>
              <c:idx val="1"/>
              <c:layout>
                <c:manualLayout>
                  <c:x val="-5.2373308175187781E-2"/>
                  <c:y val="5.793252356201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54-40DB-8E36-B4EE95CFF136}"/>
                </c:ext>
              </c:extLst>
            </c:dLbl>
            <c:dLbl>
              <c:idx val="2"/>
              <c:layout>
                <c:manualLayout>
                  <c:x val="-5.4216626147538007E-2"/>
                  <c:y val="3.21847353122299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B54-40DB-8E36-B4EE95CFF136}"/>
                </c:ext>
              </c:extLst>
            </c:dLbl>
            <c:dLbl>
              <c:idx val="3"/>
              <c:layout>
                <c:manualLayout>
                  <c:x val="-5.8419391124496532E-2"/>
                  <c:y val="2.5747788249783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54-40DB-8E36-B4EE95CFF136}"/>
                </c:ext>
              </c:extLst>
            </c:dLbl>
            <c:dLbl>
              <c:idx val="4"/>
              <c:layout>
                <c:manualLayout>
                  <c:x val="-5.2889437207445843E-2"/>
                  <c:y val="-5.14955764995679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B54-40DB-8E36-B4EE95CFF136}"/>
                </c:ext>
              </c:extLst>
            </c:dLbl>
            <c:dLbl>
              <c:idx val="5"/>
              <c:layout>
                <c:manualLayout>
                  <c:x val="-5.6576073152146307E-2"/>
                  <c:y val="4.8277102968344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B54-40DB-8E36-B4EE95CFF136}"/>
                </c:ext>
              </c:extLst>
            </c:dLbl>
            <c:dLbl>
              <c:idx val="6"/>
              <c:layout>
                <c:manualLayout>
                  <c:x val="-5.8419391124496602E-2"/>
                  <c:y val="4.827710296834480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B54-40DB-8E36-B4EE95CFF136}"/>
                </c:ext>
              </c:extLst>
            </c:dLbl>
            <c:dLbl>
              <c:idx val="7"/>
              <c:layout>
                <c:manualLayout>
                  <c:x val="-5.8419391124496671E-2"/>
                  <c:y val="4.18401559058990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B54-40DB-8E36-B4EE95CFF136}"/>
                </c:ext>
              </c:extLst>
            </c:dLbl>
            <c:dLbl>
              <c:idx val="8"/>
              <c:layout>
                <c:manualLayout>
                  <c:x val="-5.6576073152146307E-2"/>
                  <c:y val="3.5403208843452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B54-40DB-8E36-B4EE95CFF136}"/>
                </c:ext>
              </c:extLst>
            </c:dLbl>
            <c:dLbl>
              <c:idx val="9"/>
              <c:layout>
                <c:manualLayout>
                  <c:x val="-5.6576073152146307E-2"/>
                  <c:y val="5.4714050030790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B54-40DB-8E36-B4EE95CFF136}"/>
                </c:ext>
              </c:extLst>
            </c:dLbl>
            <c:dLbl>
              <c:idx val="10"/>
              <c:layout>
                <c:manualLayout>
                  <c:x val="-5.2373308175187913E-2"/>
                  <c:y val="5.4714050030790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9B54-40DB-8E36-B4EE95CFF136}"/>
                </c:ext>
              </c:extLst>
            </c:dLbl>
            <c:dLbl>
              <c:idx val="11"/>
              <c:layout>
                <c:manualLayout>
                  <c:x val="-7.6307558329402371E-3"/>
                  <c:y val="7.402489121812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B54-40DB-8E36-B4EE95CFF1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Ejec.'!$B$17:$B$28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Ejec.'!$E$17:$E$28</c:f>
              <c:numCache>
                <c:formatCode>#,##0</c:formatCode>
                <c:ptCount val="12"/>
                <c:pt idx="0">
                  <c:v>-24628.219193904246</c:v>
                </c:pt>
                <c:pt idx="1">
                  <c:v>-46351.929023171084</c:v>
                </c:pt>
                <c:pt idx="2">
                  <c:v>-95315.723656166316</c:v>
                </c:pt>
                <c:pt idx="3">
                  <c:v>-142602.92340694153</c:v>
                </c:pt>
                <c:pt idx="4">
                  <c:v>-405676.57625111652</c:v>
                </c:pt>
                <c:pt idx="5">
                  <c:v>-238477.64735216566</c:v>
                </c:pt>
                <c:pt idx="6">
                  <c:v>-245080.84451150824</c:v>
                </c:pt>
                <c:pt idx="7">
                  <c:v>-232054.25406162319</c:v>
                </c:pt>
                <c:pt idx="8">
                  <c:v>-208815.99749130011</c:v>
                </c:pt>
                <c:pt idx="9">
                  <c:v>-122419.55298944087</c:v>
                </c:pt>
                <c:pt idx="10">
                  <c:v>-52960.656626532349</c:v>
                </c:pt>
                <c:pt idx="11">
                  <c:v>-23859.585545665745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BB-461B-9F45-286420BFFA23}"/>
            </c:ext>
          </c:extLst>
        </c:ser>
        <c:ser>
          <c:idx val="1"/>
          <c:order val="1"/>
          <c:tx>
            <c:strRef>
              <c:f>'Dashboard Ejec.'!$F$16</c:f>
              <c:strCache>
                <c:ptCount val="1"/>
                <c:pt idx="0">
                  <c:v>EBITDA
Proy. Acum.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9834173954062193E-2"/>
                  <c:y val="-4.1840155905898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54-40DB-8E36-B4EE95CFF136}"/>
                </c:ext>
              </c:extLst>
            </c:dLbl>
            <c:dLbl>
              <c:idx val="1"/>
              <c:layout>
                <c:manualLayout>
                  <c:x val="-5.4036938931020718E-2"/>
                  <c:y val="-3.5403208843452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54-40DB-8E36-B4EE95CFF136}"/>
                </c:ext>
              </c:extLst>
            </c:dLbl>
            <c:dLbl>
              <c:idx val="2"/>
              <c:layout>
                <c:manualLayout>
                  <c:x val="-4.8506985013970029E-2"/>
                  <c:y val="-4.1840155905898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54-40DB-8E36-B4EE95CFF136}"/>
                </c:ext>
              </c:extLst>
            </c:dLbl>
            <c:dLbl>
              <c:idx val="3"/>
              <c:layout>
                <c:manualLayout>
                  <c:x val="-5.2193620958670486E-2"/>
                  <c:y val="-3.8621682374675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54-40DB-8E36-B4EE95CFF136}"/>
                </c:ext>
              </c:extLst>
            </c:dLbl>
            <c:dLbl>
              <c:idx val="4"/>
              <c:layout>
                <c:manualLayout>
                  <c:x val="-5.4036938931020788E-2"/>
                  <c:y val="-3.5403208843452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54-40DB-8E36-B4EE95CFF136}"/>
                </c:ext>
              </c:extLst>
            </c:dLbl>
            <c:dLbl>
              <c:idx val="5"/>
              <c:layout>
                <c:manualLayout>
                  <c:x val="-4.8506985013970029E-2"/>
                  <c:y val="-3.8621682374675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54-40DB-8E36-B4EE95CFF136}"/>
                </c:ext>
              </c:extLst>
            </c:dLbl>
            <c:dLbl>
              <c:idx val="6"/>
              <c:layout>
                <c:manualLayout>
                  <c:x val="-5.5880039188649873E-2"/>
                  <c:y val="-3.540308213189659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Y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6.5677419354838701E-2"/>
                      <c:h val="7.719521435793985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9B54-40DB-8E36-B4EE95CFF136}"/>
                </c:ext>
              </c:extLst>
            </c:dLbl>
            <c:dLbl>
              <c:idx val="7"/>
              <c:layout>
                <c:manualLayout>
                  <c:x val="-5.4036938931020718E-2"/>
                  <c:y val="-4.1840155905898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54-40DB-8E36-B4EE95CFF136}"/>
                </c:ext>
              </c:extLst>
            </c:dLbl>
            <c:dLbl>
              <c:idx val="8"/>
              <c:layout>
                <c:manualLayout>
                  <c:x val="-5.4036938931020718E-2"/>
                  <c:y val="-3.8621682374675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B54-40DB-8E36-B4EE95CFF136}"/>
                </c:ext>
              </c:extLst>
            </c:dLbl>
            <c:dLbl>
              <c:idx val="9"/>
              <c:layout>
                <c:manualLayout>
                  <c:x val="-5.7723574875721315E-2"/>
                  <c:y val="-3.21847353122299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54-40DB-8E36-B4EE95CFF136}"/>
                </c:ext>
              </c:extLst>
            </c:dLbl>
            <c:dLbl>
              <c:idx val="10"/>
              <c:layout>
                <c:manualLayout>
                  <c:x val="-5.4036938931020718E-2"/>
                  <c:y val="-3.21847353122299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B54-40DB-8E36-B4EE95CFF136}"/>
                </c:ext>
              </c:extLst>
            </c:dLbl>
            <c:dLbl>
              <c:idx val="11"/>
              <c:layout>
                <c:manualLayout>
                  <c:x val="-5.2713088283319427E-3"/>
                  <c:y val="-3.21847353122299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54-40DB-8E36-B4EE95CFF13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Ejec.'!$B$17:$B$28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Ejec.'!$F$17:$F$28</c:f>
              <c:numCache>
                <c:formatCode>#,##0</c:formatCode>
                <c:ptCount val="12"/>
                <c:pt idx="0">
                  <c:v>70096.949915000121</c:v>
                </c:pt>
                <c:pt idx="1">
                  <c:v>140193.89983000024</c:v>
                </c:pt>
                <c:pt idx="2">
                  <c:v>210290.84974500036</c:v>
                </c:pt>
                <c:pt idx="3">
                  <c:v>280387.79966000048</c:v>
                </c:pt>
                <c:pt idx="4">
                  <c:v>350484.74957500061</c:v>
                </c:pt>
                <c:pt idx="5">
                  <c:v>420581.69949000073</c:v>
                </c:pt>
                <c:pt idx="6">
                  <c:v>490678.64940500085</c:v>
                </c:pt>
                <c:pt idx="7">
                  <c:v>560775.59932000097</c:v>
                </c:pt>
                <c:pt idx="8">
                  <c:v>630872.54923500109</c:v>
                </c:pt>
                <c:pt idx="9">
                  <c:v>700969.49915000121</c:v>
                </c:pt>
                <c:pt idx="10">
                  <c:v>771066.44906500133</c:v>
                </c:pt>
                <c:pt idx="11">
                  <c:v>841163.39898000145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BB-461B-9F45-286420BFFA2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53549680"/>
        <c:axId val="81737010"/>
      </c:lineChart>
      <c:catAx>
        <c:axId val="5354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81737010"/>
        <c:crosses val="autoZero"/>
        <c:auto val="1"/>
        <c:lblAlgn val="ctr"/>
        <c:lblOffset val="100"/>
        <c:noMultiLvlLbl val="0"/>
      </c:catAx>
      <c:valAx>
        <c:axId val="817370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Y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5354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Y"/>
              <a:t>Ingresos Acumulados: Ejecutado vs Proyectado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'Dashboard Ejec.'!$K$16</c:f>
              <c:strCache>
                <c:ptCount val="1"/>
                <c:pt idx="0">
                  <c:v>Ingresos
Ejec. Acum.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6.5036904917272098E-2"/>
                  <c:y val="-5.27534606477875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32A-43CC-BFB6-9591F27F0616}"/>
                </c:ext>
              </c:extLst>
            </c:dLbl>
            <c:dLbl>
              <c:idx val="1"/>
              <c:layout>
                <c:manualLayout>
                  <c:x val="-6.7642725598526743E-2"/>
                  <c:y val="-4.94563693573008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32A-43CC-BFB6-9591F27F0616}"/>
                </c:ext>
              </c:extLst>
            </c:dLbl>
            <c:dLbl>
              <c:idx val="2"/>
              <c:layout>
                <c:manualLayout>
                  <c:x val="-7.1325966850828731E-2"/>
                  <c:y val="-4.61592780668141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32A-43CC-BFB6-9591F27F0616}"/>
                </c:ext>
              </c:extLst>
            </c:dLbl>
            <c:dLbl>
              <c:idx val="3"/>
              <c:layout>
                <c:manualLayout>
                  <c:x val="-6.2117863720073663E-2"/>
                  <c:y val="-3.62680041953539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32A-43CC-BFB6-9591F27F0616}"/>
                </c:ext>
              </c:extLst>
            </c:dLbl>
            <c:dLbl>
              <c:idx val="4"/>
              <c:layout>
                <c:manualLayout>
                  <c:x val="-6.5801104972375693E-2"/>
                  <c:y val="-2.96738216143806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32A-43CC-BFB6-9591F27F0616}"/>
                </c:ext>
              </c:extLst>
            </c:dLbl>
            <c:dLbl>
              <c:idx val="5"/>
              <c:layout>
                <c:manualLayout>
                  <c:x val="-6.7642725598526701E-2"/>
                  <c:y val="-2.9673821614380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2A-43CC-BFB6-9591F27F0616}"/>
                </c:ext>
              </c:extLst>
            </c:dLbl>
            <c:dLbl>
              <c:idx val="6"/>
              <c:layout>
                <c:manualLayout>
                  <c:x val="-6.2117863720073732E-2"/>
                  <c:y val="-3.29709129048672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2A-43CC-BFB6-9591F27F0616}"/>
                </c:ext>
              </c:extLst>
            </c:dLbl>
            <c:dLbl>
              <c:idx val="7"/>
              <c:layout>
                <c:manualLayout>
                  <c:x val="-6.4475138121546968E-2"/>
                  <c:y val="-3.95650954858406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2A-43CC-BFB6-9591F27F0616}"/>
                </c:ext>
              </c:extLst>
            </c:dLbl>
            <c:dLbl>
              <c:idx val="8"/>
              <c:layout>
                <c:manualLayout>
                  <c:x val="-6.4475138121547093E-2"/>
                  <c:y val="-4.28621867763274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2A-43CC-BFB6-9591F27F0616}"/>
                </c:ext>
              </c:extLst>
            </c:dLbl>
            <c:dLbl>
              <c:idx val="9"/>
              <c:layout>
                <c:manualLayout>
                  <c:x val="-6.4475138121547093E-2"/>
                  <c:y val="-4.61592780668141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2A-43CC-BFB6-9591F27F0616}"/>
                </c:ext>
              </c:extLst>
            </c:dLbl>
            <c:dLbl>
              <c:idx val="10"/>
              <c:layout>
                <c:manualLayout>
                  <c:x val="-6.4475138121546968E-2"/>
                  <c:y val="-3.62680041953539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2A-43CC-BFB6-9591F27F0616}"/>
                </c:ext>
              </c:extLst>
            </c:dLbl>
            <c:dLbl>
              <c:idx val="11"/>
              <c:layout>
                <c:manualLayout>
                  <c:x val="-1.1963283595075477E-2"/>
                  <c:y val="-3.95650954858406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2A-43CC-BFB6-9591F27F06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Ejec.'!$J$17:$J$28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Ejec.'!$K$17:$K$28</c:f>
              <c:numCache>
                <c:formatCode>#,##0</c:formatCode>
                <c:ptCount val="12"/>
                <c:pt idx="0">
                  <c:v>865260</c:v>
                </c:pt>
                <c:pt idx="1">
                  <c:v>1853430</c:v>
                </c:pt>
                <c:pt idx="2">
                  <c:v>3227955</c:v>
                </c:pt>
                <c:pt idx="3">
                  <c:v>4717185</c:v>
                </c:pt>
                <c:pt idx="4">
                  <c:v>6296955</c:v>
                </c:pt>
                <c:pt idx="5">
                  <c:v>7876725</c:v>
                </c:pt>
                <c:pt idx="6">
                  <c:v>9456495</c:v>
                </c:pt>
                <c:pt idx="7">
                  <c:v>11036265</c:v>
                </c:pt>
                <c:pt idx="8">
                  <c:v>12616035</c:v>
                </c:pt>
                <c:pt idx="9">
                  <c:v>14195805</c:v>
                </c:pt>
                <c:pt idx="10">
                  <c:v>15775575</c:v>
                </c:pt>
                <c:pt idx="11">
                  <c:v>17355345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51-47DD-94BF-EFE8AD0D9582}"/>
            </c:ext>
          </c:extLst>
        </c:ser>
        <c:ser>
          <c:idx val="1"/>
          <c:order val="1"/>
          <c:tx>
            <c:strRef>
              <c:f>'Dashboard Ejec.'!$L$16</c:f>
              <c:strCache>
                <c:ptCount val="1"/>
                <c:pt idx="0">
                  <c:v>Ingresos
Proy. Acum.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4574759646756843E-2"/>
                  <c:y val="3.46397084021309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751-47DD-94BF-EFE8AD0D9582}"/>
                </c:ext>
              </c:extLst>
            </c:dLbl>
            <c:dLbl>
              <c:idx val="1"/>
              <c:layout>
                <c:manualLayout>
                  <c:x val="-4.5489334551413116E-2"/>
                  <c:y val="6.81269925335159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751-47DD-94BF-EFE8AD0D9582}"/>
                </c:ext>
              </c:extLst>
            </c:dLbl>
            <c:dLbl>
              <c:idx val="2"/>
              <c:layout>
                <c:manualLayout>
                  <c:x val="-5.491741709081948E-2"/>
                  <c:y val="4.50473535001089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751-47DD-94BF-EFE8AD0D9582}"/>
                </c:ext>
              </c:extLst>
            </c:dLbl>
            <c:dLbl>
              <c:idx val="3"/>
              <c:layout>
                <c:manualLayout>
                  <c:x val="-5.3295775873319767E-2"/>
                  <c:y val="3.84531709191355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751-47DD-94BF-EFE8AD0D9582}"/>
                </c:ext>
              </c:extLst>
            </c:dLbl>
            <c:dLbl>
              <c:idx val="4"/>
              <c:layout>
                <c:manualLayout>
                  <c:x val="-5.2855817056017169E-2"/>
                  <c:y val="3.6705452921690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751-47DD-94BF-EFE8AD0D9582}"/>
                </c:ext>
              </c:extLst>
            </c:dLbl>
            <c:dLbl>
              <c:idx val="5"/>
              <c:layout>
                <c:manualLayout>
                  <c:x val="-5.5137396499470651E-2"/>
                  <c:y val="4.32996355026636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751-47DD-94BF-EFE8AD0D9582}"/>
                </c:ext>
              </c:extLst>
            </c:dLbl>
            <c:dLbl>
              <c:idx val="6"/>
              <c:layout>
                <c:manualLayout>
                  <c:x val="-5.3075796464668437E-2"/>
                  <c:y val="3.82545666012440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751-47DD-94BF-EFE8AD0D9582}"/>
                </c:ext>
              </c:extLst>
            </c:dLbl>
            <c:dLbl>
              <c:idx val="7"/>
              <c:layout>
                <c:manualLayout>
                  <c:x val="-4.4087672742564636E-2"/>
                  <c:y val="3.28917307911980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751-47DD-94BF-EFE8AD0D9582}"/>
                </c:ext>
              </c:extLst>
            </c:dLbl>
            <c:dLbl>
              <c:idx val="8"/>
              <c:layout>
                <c:manualLayout>
                  <c:x val="-5.3075796464668569E-2"/>
                  <c:y val="2.300045691973789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751-47DD-94BF-EFE8AD0D9582}"/>
                </c:ext>
              </c:extLst>
            </c:dLbl>
            <c:dLbl>
              <c:idx val="9"/>
              <c:layout>
                <c:manualLayout>
                  <c:x val="-3.6281231420658054E-2"/>
                  <c:y val="1.58899031122464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751-47DD-94BF-EFE8AD0D9582}"/>
                </c:ext>
              </c:extLst>
            </c:dLbl>
            <c:dLbl>
              <c:idx val="10"/>
              <c:layout>
                <c:manualLayout>
                  <c:x val="-2.3389887037600962E-2"/>
                  <c:y val="2.85618970476753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751-47DD-94BF-EFE8AD0D9582}"/>
                </c:ext>
              </c:extLst>
            </c:dLbl>
            <c:dLbl>
              <c:idx val="11"/>
              <c:layout>
                <c:manualLayout>
                  <c:x val="-9.1355983816953517E-4"/>
                  <c:y val="2.96738216143805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32A-43CC-BFB6-9591F27F06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Ejec.'!$J$17:$J$28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Ejec.'!$L$17:$L$28</c:f>
              <c:numCache>
                <c:formatCode>#,##0</c:formatCode>
                <c:ptCount val="12"/>
                <c:pt idx="0">
                  <c:v>1132594.5</c:v>
                </c:pt>
                <c:pt idx="1">
                  <c:v>2265189</c:v>
                </c:pt>
                <c:pt idx="2">
                  <c:v>3397783.5</c:v>
                </c:pt>
                <c:pt idx="3">
                  <c:v>4530378</c:v>
                </c:pt>
                <c:pt idx="4">
                  <c:v>5662972.5</c:v>
                </c:pt>
                <c:pt idx="5">
                  <c:v>6795567</c:v>
                </c:pt>
                <c:pt idx="6">
                  <c:v>7928161.5</c:v>
                </c:pt>
                <c:pt idx="7">
                  <c:v>9060756</c:v>
                </c:pt>
                <c:pt idx="8">
                  <c:v>10193350.5</c:v>
                </c:pt>
                <c:pt idx="9">
                  <c:v>11325945</c:v>
                </c:pt>
                <c:pt idx="10">
                  <c:v>12458539.5</c:v>
                </c:pt>
                <c:pt idx="11">
                  <c:v>13591134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D751-47DD-94BF-EFE8AD0D958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75664850"/>
        <c:axId val="43884121"/>
      </c:lineChart>
      <c:catAx>
        <c:axId val="7566485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43884121"/>
        <c:crosses val="autoZero"/>
        <c:auto val="1"/>
        <c:lblAlgn val="ctr"/>
        <c:lblOffset val="100"/>
        <c:noMultiLvlLbl val="0"/>
      </c:catAx>
      <c:valAx>
        <c:axId val="43884121"/>
        <c:scaling>
          <c:orientation val="minMax"/>
          <c:max val="1800000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Y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756648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PY"/>
              <a:t>EBITDA Acumulado: Ejecutado vs Proyectado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Y"/>
        </a:p>
      </c:txPr>
    </c:title>
    <c:autoTitleDeleted val="0"/>
    <c:plotArea>
      <c:layout>
        <c:manualLayout>
          <c:layoutTarget val="inner"/>
          <c:xMode val="edge"/>
          <c:yMode val="edge"/>
          <c:x val="5.8355285251503221E-2"/>
          <c:y val="0.24118071937869431"/>
          <c:w val="0.94164471474849676"/>
          <c:h val="0.75671468709412359"/>
        </c:manualLayout>
      </c:layout>
      <c:lineChart>
        <c:grouping val="standard"/>
        <c:varyColors val="0"/>
        <c:ser>
          <c:idx val="0"/>
          <c:order val="0"/>
          <c:tx>
            <c:strRef>
              <c:f>'Dashboard Ejec.'!$M$16</c:f>
              <c:strCache>
                <c:ptCount val="1"/>
                <c:pt idx="0">
                  <c:v>EBITDA
Ejec. Acum.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5880256903370951E-2"/>
                  <c:y val="-4.1840155905898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EFE-4EE7-964B-F19DFCB47F5D}"/>
                </c:ext>
              </c:extLst>
            </c:dLbl>
            <c:dLbl>
              <c:idx val="1"/>
              <c:layout>
                <c:manualLayout>
                  <c:x val="-5.5880256903370951E-2"/>
                  <c:y val="-3.8621682374675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EFE-4EE7-964B-F19DFCB47F5D}"/>
                </c:ext>
              </c:extLst>
            </c:dLbl>
            <c:dLbl>
              <c:idx val="2"/>
              <c:layout>
                <c:manualLayout>
                  <c:x val="-5.4036938931020753E-2"/>
                  <c:y val="-2.89662617810069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EFE-4EE7-964B-F19DFCB47F5D}"/>
                </c:ext>
              </c:extLst>
            </c:dLbl>
            <c:dLbl>
              <c:idx val="3"/>
              <c:layout>
                <c:manualLayout>
                  <c:x val="-5.2193620958670486E-2"/>
                  <c:y val="-4.827710296834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EFE-4EE7-964B-F19DFCB47F5D}"/>
                </c:ext>
              </c:extLst>
            </c:dLbl>
            <c:dLbl>
              <c:idx val="4"/>
              <c:layout>
                <c:manualLayout>
                  <c:x val="-5.848847926267281E-2"/>
                  <c:y val="-4.5058629437121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EFE-4EE7-964B-F19DFCB47F5D}"/>
                </c:ext>
              </c:extLst>
            </c:dLbl>
            <c:dLbl>
              <c:idx val="5"/>
              <c:layout>
                <c:manualLayout>
                  <c:x val="-6.0331797235023112E-2"/>
                  <c:y val="-4.5058629437121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EFE-4EE7-964B-F19DFCB47F5D}"/>
                </c:ext>
              </c:extLst>
            </c:dLbl>
            <c:dLbl>
              <c:idx val="6"/>
              <c:layout>
                <c:manualLayout>
                  <c:x val="-5.8488479262672741E-2"/>
                  <c:y val="-4.18401559058988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EFE-4EE7-964B-F19DFCB47F5D}"/>
                </c:ext>
              </c:extLst>
            </c:dLbl>
            <c:dLbl>
              <c:idx val="7"/>
              <c:layout>
                <c:manualLayout>
                  <c:x val="-6.5861751152073739E-2"/>
                  <c:y val="-3.8621682374675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EFE-4EE7-964B-F19DFCB47F5D}"/>
                </c:ext>
              </c:extLst>
            </c:dLbl>
            <c:dLbl>
              <c:idx val="8"/>
              <c:layout>
                <c:manualLayout>
                  <c:x val="-6.40184331797235E-2"/>
                  <c:y val="-3.21847353122300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EFE-4EE7-964B-F19DFCB47F5D}"/>
                </c:ext>
              </c:extLst>
            </c:dLbl>
            <c:dLbl>
              <c:idx val="9"/>
              <c:layout>
                <c:manualLayout>
                  <c:x val="-6.40184331797235E-2"/>
                  <c:y val="-3.54032088434529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FE-4EE7-964B-F19DFCB47F5D}"/>
                </c:ext>
              </c:extLst>
            </c:dLbl>
            <c:dLbl>
              <c:idx val="10"/>
              <c:layout>
                <c:manualLayout>
                  <c:x val="-6.5861751152073864E-2"/>
                  <c:y val="-3.21847353122299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EFE-4EE7-964B-F19DFCB47F5D}"/>
                </c:ext>
              </c:extLst>
            </c:dLbl>
            <c:dLbl>
              <c:idx val="11"/>
              <c:layout>
                <c:manualLayout>
                  <c:x val="-1.351750897515118E-16"/>
                  <c:y val="-2.57477882497839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EFE-4EE7-964B-F19DFCB47F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Ejec.'!$J$17:$J$28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Ejec.'!$M$17:$M$28</c:f>
              <c:numCache>
                <c:formatCode>#,##0</c:formatCode>
                <c:ptCount val="12"/>
                <c:pt idx="0">
                  <c:v>124525.02087980449</c:v>
                </c:pt>
                <c:pt idx="1">
                  <c:v>238448.8627845314</c:v>
                </c:pt>
                <c:pt idx="2">
                  <c:v>430781.50720908178</c:v>
                </c:pt>
                <c:pt idx="3">
                  <c:v>627244.3218182493</c:v>
                </c:pt>
                <c:pt idx="4">
                  <c:v>855010.79591640376</c:v>
                </c:pt>
                <c:pt idx="5">
                  <c:v>1082777.2700145582</c:v>
                </c:pt>
                <c:pt idx="6">
                  <c:v>1310543.7441127128</c:v>
                </c:pt>
                <c:pt idx="7">
                  <c:v>1538310.2182108671</c:v>
                </c:pt>
                <c:pt idx="8">
                  <c:v>1766076.6923090215</c:v>
                </c:pt>
                <c:pt idx="9">
                  <c:v>1993843.1664071758</c:v>
                </c:pt>
                <c:pt idx="10">
                  <c:v>2221609.6405053302</c:v>
                </c:pt>
                <c:pt idx="11">
                  <c:v>2449376.1146034845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870-4EC6-83F0-5F3955BB169B}"/>
            </c:ext>
          </c:extLst>
        </c:ser>
        <c:ser>
          <c:idx val="1"/>
          <c:order val="1"/>
          <c:tx>
            <c:strRef>
              <c:f>'Dashboard Ejec.'!$N$16</c:f>
              <c:strCache>
                <c:ptCount val="1"/>
                <c:pt idx="0">
                  <c:v>EBITDA
Proy. Acum.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5.4036938931020718E-2"/>
                  <c:y val="2.25293147185608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CEFE-4EE7-964B-F19DFCB47F5D}"/>
                </c:ext>
              </c:extLst>
            </c:dLbl>
            <c:dLbl>
              <c:idx val="1"/>
              <c:layout>
                <c:manualLayout>
                  <c:x val="-5.4036938931020718E-2"/>
                  <c:y val="3.8621682374675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CEFE-4EE7-964B-F19DFCB47F5D}"/>
                </c:ext>
              </c:extLst>
            </c:dLbl>
            <c:dLbl>
              <c:idx val="2"/>
              <c:layout>
                <c:manualLayout>
                  <c:x val="-5.4036938931020753E-2"/>
                  <c:y val="3.2184735312229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EFE-4EE7-964B-F19DFCB47F5D}"/>
                </c:ext>
              </c:extLst>
            </c:dLbl>
            <c:dLbl>
              <c:idx val="3"/>
              <c:layout>
                <c:manualLayout>
                  <c:x val="-5.4036938931020718E-2"/>
                  <c:y val="3.8621682374675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CEFE-4EE7-964B-F19DFCB47F5D}"/>
                </c:ext>
              </c:extLst>
            </c:dLbl>
            <c:dLbl>
              <c:idx val="4"/>
              <c:layout>
                <c:manualLayout>
                  <c:x val="-5.2193620958670556E-2"/>
                  <c:y val="3.86216823746759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CEFE-4EE7-964B-F19DFCB47F5D}"/>
                </c:ext>
              </c:extLst>
            </c:dLbl>
            <c:dLbl>
              <c:idx val="5"/>
              <c:layout>
                <c:manualLayout>
                  <c:x val="-5.2193620958670486E-2"/>
                  <c:y val="4.5058629437121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CEFE-4EE7-964B-F19DFCB47F5D}"/>
                </c:ext>
              </c:extLst>
            </c:dLbl>
            <c:dLbl>
              <c:idx val="6"/>
              <c:layout>
                <c:manualLayout>
                  <c:x val="-6.0331797235023042E-2"/>
                  <c:y val="4.505862943712192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EFE-4EE7-964B-F19DFCB47F5D}"/>
                </c:ext>
              </c:extLst>
            </c:dLbl>
            <c:dLbl>
              <c:idx val="7"/>
              <c:layout>
                <c:manualLayout>
                  <c:x val="-6.0331797235023042E-2"/>
                  <c:y val="4.8277102968344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EFE-4EE7-964B-F19DFCB47F5D}"/>
                </c:ext>
              </c:extLst>
            </c:dLbl>
            <c:dLbl>
              <c:idx val="8"/>
              <c:layout>
                <c:manualLayout>
                  <c:x val="-6.0331797235023042E-2"/>
                  <c:y val="5.47140500307909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EFE-4EE7-964B-F19DFCB47F5D}"/>
                </c:ext>
              </c:extLst>
            </c:dLbl>
            <c:dLbl>
              <c:idx val="9"/>
              <c:layout>
                <c:manualLayout>
                  <c:x val="-6.0331797235023042E-2"/>
                  <c:y val="4.184015590589881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EFE-4EE7-964B-F19DFCB47F5D}"/>
                </c:ext>
              </c:extLst>
            </c:dLbl>
            <c:dLbl>
              <c:idx val="10"/>
              <c:layout>
                <c:manualLayout>
                  <c:x val="-6.0331797235023174E-2"/>
                  <c:y val="4.1840155905898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EFE-4EE7-964B-F19DFCB47F5D}"/>
                </c:ext>
              </c:extLst>
            </c:dLbl>
            <c:dLbl>
              <c:idx val="11"/>
              <c:layout>
                <c:manualLayout>
                  <c:x val="-7.4226205595268329E-4"/>
                  <c:y val="4.18401559058989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1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EFE-4EE7-964B-F19DFCB47F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PY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'Dashboard Ejec.'!$J$17:$J$28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'Dashboard Ejec.'!$N$17:$N$28</c:f>
              <c:numCache>
                <c:formatCode>#,##0</c:formatCode>
                <c:ptCount val="12"/>
                <c:pt idx="0">
                  <c:v>155742.30301572915</c:v>
                </c:pt>
                <c:pt idx="1">
                  <c:v>311484.6060314583</c:v>
                </c:pt>
                <c:pt idx="2">
                  <c:v>467226.90904718742</c:v>
                </c:pt>
                <c:pt idx="3">
                  <c:v>622969.2120629166</c:v>
                </c:pt>
                <c:pt idx="4">
                  <c:v>778711.51507864578</c:v>
                </c:pt>
                <c:pt idx="5">
                  <c:v>934453.81809437484</c:v>
                </c:pt>
                <c:pt idx="6">
                  <c:v>1090196.121110104</c:v>
                </c:pt>
                <c:pt idx="7">
                  <c:v>1245938.4241258332</c:v>
                </c:pt>
                <c:pt idx="8">
                  <c:v>1401680.7271415624</c:v>
                </c:pt>
                <c:pt idx="9">
                  <c:v>1557423.0301572916</c:v>
                </c:pt>
                <c:pt idx="10">
                  <c:v>1713165.3331730207</c:v>
                </c:pt>
                <c:pt idx="11">
                  <c:v>1868907.6361887497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870-4EC6-83F0-5F3955BB169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  <a:effectLst/>
          </c:spPr>
        </c:hiLowLines>
        <c:smooth val="0"/>
        <c:axId val="53549680"/>
        <c:axId val="81737010"/>
      </c:lineChart>
      <c:catAx>
        <c:axId val="5354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81737010"/>
        <c:crosses val="autoZero"/>
        <c:auto val="1"/>
        <c:lblAlgn val="ctr"/>
        <c:lblOffset val="100"/>
        <c:noMultiLvlLbl val="0"/>
      </c:catAx>
      <c:valAx>
        <c:axId val="8173701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Y"/>
                  <a:t>USD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s-PY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PY"/>
          </a:p>
        </c:txPr>
        <c:crossAx val="53549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PY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Y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Y" sz="1800" b="1" strike="noStrike" spc="-1">
                <a:solidFill>
                  <a:srgbClr val="000000"/>
                </a:solidFill>
                <a:latin typeface="Calibri"/>
              </a:rPr>
              <a:t>Ingresos vs Costos vs EBITDA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Ingresos</c:v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Y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Dashboard!$C$17:$L$17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Dashboard!$C$18:$L$18</c:f>
              <c:numCache>
                <c:formatCode>#,##0</c:formatCode>
                <c:ptCount val="10"/>
                <c:pt idx="0">
                  <c:v>4208607.2309499998</c:v>
                </c:pt>
                <c:pt idx="1">
                  <c:v>17355345</c:v>
                </c:pt>
                <c:pt idx="2">
                  <c:v>18854496.150000002</c:v>
                </c:pt>
                <c:pt idx="3">
                  <c:v>20195139.068999998</c:v>
                </c:pt>
                <c:pt idx="4">
                  <c:v>21621692.26224</c:v>
                </c:pt>
                <c:pt idx="5">
                  <c:v>23156432.836210802</c:v>
                </c:pt>
                <c:pt idx="6">
                  <c:v>24800444.267548323</c:v>
                </c:pt>
                <c:pt idx="7">
                  <c:v>26553500.487099838</c:v>
                </c:pt>
                <c:pt idx="8">
                  <c:v>28438953.334089424</c:v>
                </c:pt>
                <c:pt idx="9">
                  <c:v>30456342.767957889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B-404A-B27D-DFA24CA264F2}"/>
            </c:ext>
          </c:extLst>
        </c:ser>
        <c:ser>
          <c:idx val="1"/>
          <c:order val="1"/>
          <c:tx>
            <c:v>Costos</c:v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Y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Dashboard!$C$17:$L$17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Dashboard!$C$19:$L$19</c:f>
              <c:numCache>
                <c:formatCode>#,##0</c:formatCode>
                <c:ptCount val="10"/>
                <c:pt idx="0">
                  <c:v>4501298.9115020437</c:v>
                </c:pt>
                <c:pt idx="1">
                  <c:v>15700992.104202751</c:v>
                </c:pt>
                <c:pt idx="2">
                  <c:v>17083587.015730627</c:v>
                </c:pt>
                <c:pt idx="3">
                  <c:v>18035418.513475318</c:v>
                </c:pt>
                <c:pt idx="4">
                  <c:v>19345874.952488098</c:v>
                </c:pt>
                <c:pt idx="5">
                  <c:v>20816230.418998785</c:v>
                </c:pt>
                <c:pt idx="6">
                  <c:v>22148756.88984504</c:v>
                </c:pt>
                <c:pt idx="7">
                  <c:v>23939816.299895175</c:v>
                </c:pt>
                <c:pt idx="8">
                  <c:v>25871712.51426325</c:v>
                </c:pt>
                <c:pt idx="9">
                  <c:v>28011702.10582754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1B-404A-B27D-DFA24CA264F2}"/>
            </c:ext>
          </c:extLst>
        </c:ser>
        <c:ser>
          <c:idx val="2"/>
          <c:order val="2"/>
          <c:tx>
            <c:v>EBITDA</c:v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Y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Dashboard!$C$17:$L$17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Dashboard!$C$20:$L$20</c:f>
              <c:numCache>
                <c:formatCode>#,##0</c:formatCode>
                <c:ptCount val="10"/>
                <c:pt idx="0">
                  <c:v>-23859.585545666167</c:v>
                </c:pt>
                <c:pt idx="1">
                  <c:v>2449376.1146034813</c:v>
                </c:pt>
                <c:pt idx="2">
                  <c:v>2750225.2471809983</c:v>
                </c:pt>
                <c:pt idx="3">
                  <c:v>2810091.8644371796</c:v>
                </c:pt>
                <c:pt idx="4">
                  <c:v>2853865.5314269564</c:v>
                </c:pt>
                <c:pt idx="5">
                  <c:v>2892816.4576387797</c:v>
                </c:pt>
                <c:pt idx="6">
                  <c:v>2921302.5530457506</c:v>
                </c:pt>
                <c:pt idx="7">
                  <c:v>2929326.759807406</c:v>
                </c:pt>
                <c:pt idx="8">
                  <c:v>2924965.5842097355</c:v>
                </c:pt>
                <c:pt idx="9">
                  <c:v>2901653.0977467881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1B-404A-B27D-DFA24CA26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08595"/>
        <c:axId val="29212437"/>
      </c:barChart>
      <c:catAx>
        <c:axId val="181085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Y" sz="1000" b="1" strike="noStrike" spc="-1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29212437"/>
        <c:crosses val="autoZero"/>
        <c:auto val="1"/>
        <c:lblAlgn val="ctr"/>
        <c:lblOffset val="100"/>
        <c:noMultiLvlLbl val="0"/>
      </c:catAx>
      <c:valAx>
        <c:axId val="292124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Y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181085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Y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Y" sz="1800" b="1" strike="noStrike" spc="-1">
                <a:solidFill>
                  <a:srgbClr val="000000"/>
                </a:solidFill>
                <a:latin typeface="Calibri"/>
              </a:rPr>
              <a:t>Utilidad Neta Proyectada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Utilidad Neta</c:v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PY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Dashboard!$C$17:$L$17</c:f>
              <c:strCache>
                <c:ptCount val="10"/>
                <c:pt idx="0">
                  <c:v>AÑO 1</c:v>
                </c:pt>
                <c:pt idx="1">
                  <c:v>AÑO 2</c:v>
                </c:pt>
                <c:pt idx="2">
                  <c:v>AÑO 3</c:v>
                </c:pt>
                <c:pt idx="3">
                  <c:v>AÑO 4</c:v>
                </c:pt>
                <c:pt idx="4">
                  <c:v>AÑO 5</c:v>
                </c:pt>
                <c:pt idx="5">
                  <c:v>AÑO 6</c:v>
                </c:pt>
                <c:pt idx="6">
                  <c:v>AÑO 7</c:v>
                </c:pt>
                <c:pt idx="7">
                  <c:v>AÑO 8</c:v>
                </c:pt>
                <c:pt idx="8">
                  <c:v>AÑO 9</c:v>
                </c:pt>
                <c:pt idx="9">
                  <c:v>AÑO 10</c:v>
                </c:pt>
              </c:strCache>
            </c:strRef>
          </c:cat>
          <c:val>
            <c:numRef>
              <c:f>Dashboard!$C$21:$L$21</c:f>
              <c:numCache>
                <c:formatCode>#,##0</c:formatCode>
                <c:ptCount val="10"/>
                <c:pt idx="0">
                  <c:v>-334777.75286154298</c:v>
                </c:pt>
                <c:pt idx="1">
                  <c:v>1480799.445797248</c:v>
                </c:pt>
                <c:pt idx="2">
                  <c:v>1582364.1727693735</c:v>
                </c:pt>
                <c:pt idx="3">
                  <c:v>1957769.1648346798</c:v>
                </c:pt>
                <c:pt idx="4">
                  <c:v>2059600.3871295049</c:v>
                </c:pt>
                <c:pt idx="5">
                  <c:v>2108638.0888499077</c:v>
                </c:pt>
                <c:pt idx="6">
                  <c:v>2403682.9350278014</c:v>
                </c:pt>
                <c:pt idx="7">
                  <c:v>2348149.1823336678</c:v>
                </c:pt>
                <c:pt idx="8">
                  <c:v>2282851.2864852794</c:v>
                </c:pt>
                <c:pt idx="9">
                  <c:v>2140077.2344507705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8B-420F-9DAD-85C919D4F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29392"/>
        <c:axId val="83985861"/>
      </c:lineChart>
      <c:catAx>
        <c:axId val="83293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83985861"/>
        <c:crosses val="autoZero"/>
        <c:auto val="1"/>
        <c:lblAlgn val="ctr"/>
        <c:lblOffset val="100"/>
        <c:noMultiLvlLbl val="0"/>
      </c:catAx>
      <c:valAx>
        <c:axId val="83985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Y" sz="1000" b="1" strike="noStrike" spc="-1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Y"/>
          </a:p>
        </c:txPr>
        <c:crossAx val="83293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Y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355600</xdr:colOff>
      <xdr:row>29</xdr:row>
      <xdr:rowOff>63500</xdr:rowOff>
    </xdr:from>
    <xdr:to>
      <xdr:col>7</xdr:col>
      <xdr:colOff>977900</xdr:colOff>
      <xdr:row>51</xdr:row>
      <xdr:rowOff>3780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361950</xdr:colOff>
      <xdr:row>51</xdr:row>
      <xdr:rowOff>41830</xdr:rowOff>
    </xdr:from>
    <xdr:to>
      <xdr:col>7</xdr:col>
      <xdr:colOff>977900</xdr:colOff>
      <xdr:row>73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9</xdr:col>
      <xdr:colOff>0</xdr:colOff>
      <xdr:row>29</xdr:row>
      <xdr:rowOff>63500</xdr:rowOff>
    </xdr:from>
    <xdr:ext cx="6896100" cy="3851880"/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13B8CDBA-A647-4277-9C74-08BF6AAF5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9</xdr:col>
      <xdr:colOff>0</xdr:colOff>
      <xdr:row>51</xdr:row>
      <xdr:rowOff>41830</xdr:rowOff>
    </xdr:from>
    <xdr:ext cx="6889750" cy="3945970"/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D8E7AB79-44FE-48C4-90B6-C96D8F627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160560</xdr:rowOff>
    </xdr:from>
    <xdr:to>
      <xdr:col>9</xdr:col>
      <xdr:colOff>70560</xdr:colOff>
      <xdr:row>55</xdr:row>
      <xdr:rowOff>50170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43</xdr:row>
      <xdr:rowOff>160920</xdr:rowOff>
    </xdr:from>
    <xdr:to>
      <xdr:col>9</xdr:col>
      <xdr:colOff>70560</xdr:colOff>
      <xdr:row>71</xdr:row>
      <xdr:rowOff>50170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CALCULADORA%20PRESTAMO.xlsx" TargetMode="External"/><Relationship Id="rId2" Type="http://schemas.openxmlformats.org/officeDocument/2006/relationships/externalLinkPath" Target="file:///C:\Users\gfi7\Downloads\CALCULADORA%20PRESTAMO.xlsx" TargetMode="External"/><Relationship Id="rId1" Type="http://schemas.openxmlformats.org/officeDocument/2006/relationships/externalLinkPath" Target="/Users/gfi7/Downloads/CALCULADORA%20PRESTAM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fi7\Downloads\Planes%20de%20Negocios\Planes%20de%20Negocios\1%20Maquila%201%20-%20Alianza%20del%20Acero\CALCULADORA%20PRESTAMO%20ALIANZA.xlsx" TargetMode="External"/><Relationship Id="rId1" Type="http://schemas.openxmlformats.org/officeDocument/2006/relationships/externalLinkPath" Target="CALCULADORA%20PRESTAMO%20ALIANZ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fi7\Downloads\Planes%20de%20Negocios\Planes%20de%20Negocios\1%20Maquila%201%20-%20Alianza%20del%20Acero\CALCULADORA%20PRESTAMO%20ALIANZA%20CR&#201;DITO%20USD%201.1M.xlsx" TargetMode="External"/><Relationship Id="rId1" Type="http://schemas.openxmlformats.org/officeDocument/2006/relationships/externalLinkPath" Target="CALCULADORA%20PRESTAMO%20ALIANZA%20CR&#201;DITO%20USD%201.1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lculadora de préstamos"/>
      <sheetName val="CALCULADORA PRESTAMO"/>
    </sheetNames>
    <definedNames>
      <definedName name="AñosPréstamo" refersTo="='Calculadora de préstamos'!$D$5" sheetId="0"/>
      <definedName name="CantidadPréstamo" refersTo="='Calculadora de préstamos'!$D$3" sheetId="0"/>
      <definedName name="CantidadPréstamo" refersTo="#¡REF!"/>
      <definedName name="FechaInicioPréstamo" refersTo="='Calculadora de préstamos'!$D$6" sheetId="0"/>
      <definedName name="NúmeroDePago" refersTo="#¡REF!" sheetId="0"/>
      <definedName name="NúmeroDePago" refersTo="#¡REF!"/>
      <definedName name="NúmeroDePagos" refersTo="='Calculadora de préstamos'!$H$4" sheetId="0"/>
      <definedName name="NúmeroDePagos" refersTo="#¡REF!"/>
      <definedName name="TasaInterés" refersTo="='Calculadora de préstamos'!$D$4" sheetId="0"/>
      <definedName name="TasaInterés" refersTo="#¡REF!"/>
    </definedNames>
    <sheetDataSet>
      <sheetData sheetId="0">
        <row r="1">
          <cell r="B1" t="str">
            <v>CALCULADORA DE PRÉSTAMOS SIMPLE</v>
          </cell>
        </row>
        <row r="2">
          <cell r="B2" t="str">
            <v>VALORES DEL PRÉSTAMO</v>
          </cell>
        </row>
        <row r="3">
          <cell r="B3" t="str">
            <v>Importe del préstamo</v>
          </cell>
          <cell r="D3">
            <v>4468594</v>
          </cell>
        </row>
        <row r="4">
          <cell r="B4" t="str">
            <v>Tasa de interés anual</v>
          </cell>
          <cell r="D4">
            <v>0.09</v>
          </cell>
          <cell r="H4">
            <v>60</v>
          </cell>
        </row>
        <row r="5">
          <cell r="B5" t="str">
            <v>Periodo del préstamo en años</v>
          </cell>
          <cell r="D5">
            <v>5</v>
          </cell>
        </row>
        <row r="6">
          <cell r="B6" t="str">
            <v>Fecha de inicio del préstamo</v>
          </cell>
          <cell r="D6">
            <v>46203</v>
          </cell>
        </row>
        <row r="8">
          <cell r="B8" t="str">
            <v>N.º DE PAGO</v>
          </cell>
        </row>
        <row r="9">
          <cell r="B9">
            <v>1</v>
          </cell>
        </row>
        <row r="10">
          <cell r="B10">
            <v>2</v>
          </cell>
        </row>
        <row r="11">
          <cell r="B11">
            <v>3</v>
          </cell>
        </row>
        <row r="12">
          <cell r="B12">
            <v>4</v>
          </cell>
        </row>
        <row r="13">
          <cell r="B13">
            <v>5</v>
          </cell>
        </row>
        <row r="14">
          <cell r="B14">
            <v>6</v>
          </cell>
        </row>
        <row r="15">
          <cell r="B15">
            <v>7</v>
          </cell>
        </row>
        <row r="16">
          <cell r="B16">
            <v>8</v>
          </cell>
        </row>
        <row r="17">
          <cell r="B17">
            <v>9</v>
          </cell>
        </row>
        <row r="18">
          <cell r="B18">
            <v>10</v>
          </cell>
        </row>
        <row r="19">
          <cell r="B19">
            <v>11</v>
          </cell>
        </row>
        <row r="20">
          <cell r="B20">
            <v>12</v>
          </cell>
        </row>
        <row r="21">
          <cell r="B21">
            <v>13</v>
          </cell>
        </row>
        <row r="22">
          <cell r="B22">
            <v>14</v>
          </cell>
        </row>
        <row r="23">
          <cell r="B23">
            <v>15</v>
          </cell>
        </row>
        <row r="24">
          <cell r="B24">
            <v>16</v>
          </cell>
        </row>
        <row r="25">
          <cell r="B25">
            <v>17</v>
          </cell>
        </row>
        <row r="26">
          <cell r="B26">
            <v>18</v>
          </cell>
        </row>
        <row r="27">
          <cell r="B27">
            <v>19</v>
          </cell>
        </row>
        <row r="28">
          <cell r="B28">
            <v>20</v>
          </cell>
        </row>
        <row r="29">
          <cell r="B29">
            <v>21</v>
          </cell>
        </row>
        <row r="30">
          <cell r="B30">
            <v>22</v>
          </cell>
        </row>
        <row r="31">
          <cell r="B31">
            <v>23</v>
          </cell>
        </row>
        <row r="32">
          <cell r="B32">
            <v>24</v>
          </cell>
        </row>
        <row r="33">
          <cell r="B33">
            <v>25</v>
          </cell>
        </row>
        <row r="34">
          <cell r="B34">
            <v>26</v>
          </cell>
        </row>
        <row r="35">
          <cell r="B35">
            <v>27</v>
          </cell>
        </row>
        <row r="36">
          <cell r="B36">
            <v>28</v>
          </cell>
        </row>
        <row r="37">
          <cell r="B37">
            <v>29</v>
          </cell>
        </row>
        <row r="38">
          <cell r="B38">
            <v>30</v>
          </cell>
        </row>
        <row r="39">
          <cell r="B39">
            <v>31</v>
          </cell>
        </row>
        <row r="40">
          <cell r="B40">
            <v>32</v>
          </cell>
        </row>
        <row r="41">
          <cell r="B41">
            <v>33</v>
          </cell>
        </row>
        <row r="42">
          <cell r="B42">
            <v>34</v>
          </cell>
        </row>
        <row r="43">
          <cell r="B43">
            <v>35</v>
          </cell>
        </row>
        <row r="44">
          <cell r="B44">
            <v>36</v>
          </cell>
        </row>
        <row r="45">
          <cell r="B45">
            <v>37</v>
          </cell>
        </row>
        <row r="46">
          <cell r="B46">
            <v>38</v>
          </cell>
        </row>
        <row r="47">
          <cell r="B47">
            <v>39</v>
          </cell>
        </row>
        <row r="48">
          <cell r="B48">
            <v>40</v>
          </cell>
        </row>
        <row r="49">
          <cell r="B49">
            <v>41</v>
          </cell>
        </row>
        <row r="50">
          <cell r="B50">
            <v>42</v>
          </cell>
        </row>
        <row r="51">
          <cell r="B51">
            <v>43</v>
          </cell>
        </row>
        <row r="52">
          <cell r="B52">
            <v>44</v>
          </cell>
        </row>
        <row r="53">
          <cell r="B53">
            <v>45</v>
          </cell>
        </row>
        <row r="54">
          <cell r="B54">
            <v>46</v>
          </cell>
        </row>
        <row r="55">
          <cell r="B55">
            <v>47</v>
          </cell>
        </row>
        <row r="56">
          <cell r="B56">
            <v>48</v>
          </cell>
        </row>
        <row r="57">
          <cell r="B57">
            <v>49</v>
          </cell>
        </row>
        <row r="58">
          <cell r="B58">
            <v>50</v>
          </cell>
        </row>
        <row r="59">
          <cell r="B59">
            <v>51</v>
          </cell>
        </row>
        <row r="60">
          <cell r="B60">
            <v>52</v>
          </cell>
        </row>
        <row r="61">
          <cell r="B61">
            <v>53</v>
          </cell>
        </row>
        <row r="62">
          <cell r="B62">
            <v>54</v>
          </cell>
        </row>
        <row r="63">
          <cell r="B63">
            <v>55</v>
          </cell>
        </row>
        <row r="64">
          <cell r="B64">
            <v>56</v>
          </cell>
        </row>
        <row r="65">
          <cell r="B65">
            <v>57</v>
          </cell>
        </row>
        <row r="66">
          <cell r="B66">
            <v>58</v>
          </cell>
        </row>
        <row r="67">
          <cell r="B67">
            <v>59</v>
          </cell>
        </row>
        <row r="68">
          <cell r="B68">
            <v>60</v>
          </cell>
        </row>
        <row r="69">
          <cell r="B69" t="str">
            <v/>
          </cell>
        </row>
        <row r="70">
          <cell r="B70" t="str">
            <v/>
          </cell>
        </row>
        <row r="71">
          <cell r="B71" t="str">
            <v/>
          </cell>
        </row>
        <row r="72">
          <cell r="B72" t="str">
            <v/>
          </cell>
        </row>
        <row r="73">
          <cell r="B73" t="str">
            <v/>
          </cell>
        </row>
        <row r="74">
          <cell r="B74" t="str">
            <v/>
          </cell>
        </row>
        <row r="75">
          <cell r="B75" t="str">
            <v/>
          </cell>
        </row>
        <row r="76">
          <cell r="B76" t="str">
            <v/>
          </cell>
        </row>
        <row r="77">
          <cell r="B77" t="str">
            <v/>
          </cell>
        </row>
        <row r="78">
          <cell r="B78" t="str">
            <v/>
          </cell>
        </row>
        <row r="79">
          <cell r="B79" t="str">
            <v/>
          </cell>
        </row>
        <row r="80">
          <cell r="B80" t="str">
            <v/>
          </cell>
        </row>
        <row r="81">
          <cell r="B81" t="str">
            <v/>
          </cell>
        </row>
        <row r="82">
          <cell r="B82" t="str">
            <v/>
          </cell>
        </row>
        <row r="83">
          <cell r="B83" t="str">
            <v/>
          </cell>
        </row>
        <row r="84">
          <cell r="B84" t="str">
            <v/>
          </cell>
        </row>
        <row r="85">
          <cell r="B85" t="str">
            <v/>
          </cell>
        </row>
        <row r="86">
          <cell r="B86" t="str">
            <v/>
          </cell>
        </row>
        <row r="87">
          <cell r="B87" t="str">
            <v/>
          </cell>
        </row>
        <row r="88">
          <cell r="B88" t="str">
            <v/>
          </cell>
        </row>
        <row r="89">
          <cell r="B89" t="str">
            <v/>
          </cell>
        </row>
        <row r="90">
          <cell r="B90" t="str">
            <v/>
          </cell>
        </row>
        <row r="91">
          <cell r="B91" t="str">
            <v/>
          </cell>
        </row>
        <row r="92">
          <cell r="B92" t="str">
            <v/>
          </cell>
        </row>
        <row r="93">
          <cell r="B93" t="str">
            <v/>
          </cell>
        </row>
        <row r="94">
          <cell r="B94" t="str">
            <v/>
          </cell>
        </row>
        <row r="95">
          <cell r="B95" t="str">
            <v/>
          </cell>
        </row>
        <row r="96">
          <cell r="B96" t="str">
            <v/>
          </cell>
        </row>
        <row r="97">
          <cell r="B97" t="str">
            <v/>
          </cell>
        </row>
        <row r="98">
          <cell r="B98" t="str">
            <v/>
          </cell>
        </row>
        <row r="99">
          <cell r="B99" t="str">
            <v/>
          </cell>
        </row>
        <row r="100">
          <cell r="B100" t="str">
            <v/>
          </cell>
        </row>
        <row r="101">
          <cell r="B101" t="str">
            <v/>
          </cell>
        </row>
        <row r="102">
          <cell r="B102" t="str">
            <v/>
          </cell>
        </row>
        <row r="103">
          <cell r="B103" t="str">
            <v/>
          </cell>
        </row>
        <row r="104">
          <cell r="B104" t="str">
            <v/>
          </cell>
        </row>
        <row r="105">
          <cell r="B105" t="str">
            <v/>
          </cell>
        </row>
        <row r="106">
          <cell r="B106" t="str">
            <v/>
          </cell>
        </row>
        <row r="107">
          <cell r="B107" t="str">
            <v/>
          </cell>
        </row>
        <row r="108">
          <cell r="B108" t="str">
            <v/>
          </cell>
        </row>
        <row r="109">
          <cell r="B109" t="str">
            <v/>
          </cell>
        </row>
        <row r="110">
          <cell r="B110" t="str">
            <v/>
          </cell>
        </row>
        <row r="111">
          <cell r="B111" t="str">
            <v/>
          </cell>
        </row>
        <row r="112">
          <cell r="B112" t="str">
            <v/>
          </cell>
        </row>
        <row r="113">
          <cell r="B113" t="str">
            <v/>
          </cell>
        </row>
        <row r="114">
          <cell r="B114" t="str">
            <v/>
          </cell>
        </row>
        <row r="115">
          <cell r="B115" t="str">
            <v/>
          </cell>
        </row>
        <row r="116">
          <cell r="B116" t="str">
            <v/>
          </cell>
        </row>
        <row r="117">
          <cell r="B117" t="str">
            <v/>
          </cell>
        </row>
        <row r="118">
          <cell r="B118" t="str">
            <v/>
          </cell>
        </row>
        <row r="119">
          <cell r="B119" t="str">
            <v/>
          </cell>
        </row>
        <row r="120">
          <cell r="B120" t="str">
            <v/>
          </cell>
        </row>
        <row r="121">
          <cell r="B121" t="str">
            <v/>
          </cell>
        </row>
        <row r="122">
          <cell r="B122" t="str">
            <v/>
          </cell>
        </row>
        <row r="123">
          <cell r="B123" t="str">
            <v/>
          </cell>
        </row>
        <row r="124">
          <cell r="B124" t="str">
            <v/>
          </cell>
        </row>
        <row r="125">
          <cell r="B125" t="str">
            <v/>
          </cell>
        </row>
        <row r="126">
          <cell r="B126" t="str">
            <v/>
          </cell>
        </row>
        <row r="127">
          <cell r="B127" t="str">
            <v/>
          </cell>
        </row>
        <row r="128">
          <cell r="B128" t="str">
            <v/>
          </cell>
        </row>
        <row r="129">
          <cell r="B129" t="str">
            <v/>
          </cell>
        </row>
        <row r="130">
          <cell r="B130" t="str">
            <v/>
          </cell>
        </row>
        <row r="131">
          <cell r="B131" t="str">
            <v/>
          </cell>
        </row>
        <row r="132">
          <cell r="B132" t="str">
            <v/>
          </cell>
        </row>
        <row r="133">
          <cell r="B133" t="str">
            <v/>
          </cell>
        </row>
        <row r="134">
          <cell r="B134" t="str">
            <v/>
          </cell>
        </row>
        <row r="135">
          <cell r="B135" t="str">
            <v/>
          </cell>
        </row>
        <row r="136">
          <cell r="B136" t="str">
            <v/>
          </cell>
        </row>
        <row r="137">
          <cell r="B137" t="str">
            <v/>
          </cell>
        </row>
        <row r="138">
          <cell r="B138" t="str">
            <v/>
          </cell>
        </row>
        <row r="139">
          <cell r="B139" t="str">
            <v/>
          </cell>
        </row>
        <row r="140">
          <cell r="B140" t="str">
            <v/>
          </cell>
        </row>
        <row r="141">
          <cell r="B141" t="str">
            <v/>
          </cell>
        </row>
        <row r="142">
          <cell r="B142" t="str">
            <v/>
          </cell>
        </row>
        <row r="143">
          <cell r="B143" t="str">
            <v/>
          </cell>
        </row>
        <row r="144">
          <cell r="B144" t="str">
            <v/>
          </cell>
        </row>
        <row r="145">
          <cell r="B145" t="str">
            <v/>
          </cell>
        </row>
        <row r="146">
          <cell r="B146" t="str">
            <v/>
          </cell>
        </row>
        <row r="147">
          <cell r="B147" t="str">
            <v/>
          </cell>
        </row>
        <row r="148">
          <cell r="B148" t="str">
            <v/>
          </cell>
        </row>
        <row r="149">
          <cell r="B149" t="str">
            <v/>
          </cell>
        </row>
        <row r="150">
          <cell r="B150" t="str">
            <v/>
          </cell>
        </row>
        <row r="151">
          <cell r="B151" t="str">
            <v/>
          </cell>
        </row>
        <row r="152">
          <cell r="B152" t="str">
            <v/>
          </cell>
        </row>
        <row r="153">
          <cell r="B153" t="str">
            <v/>
          </cell>
        </row>
        <row r="154">
          <cell r="B154" t="str">
            <v/>
          </cell>
        </row>
        <row r="155">
          <cell r="B155" t="str">
            <v/>
          </cell>
        </row>
        <row r="156">
          <cell r="B156" t="str">
            <v/>
          </cell>
        </row>
        <row r="157">
          <cell r="B157" t="str">
            <v/>
          </cell>
        </row>
        <row r="158">
          <cell r="B158" t="str">
            <v/>
          </cell>
        </row>
        <row r="159">
          <cell r="B159" t="str">
            <v/>
          </cell>
        </row>
        <row r="160">
          <cell r="B160" t="str">
            <v/>
          </cell>
        </row>
        <row r="161">
          <cell r="B161" t="str">
            <v/>
          </cell>
        </row>
        <row r="162">
          <cell r="B162" t="str">
            <v/>
          </cell>
        </row>
        <row r="163">
          <cell r="B163" t="str">
            <v/>
          </cell>
        </row>
        <row r="164">
          <cell r="B164" t="str">
            <v/>
          </cell>
        </row>
        <row r="165">
          <cell r="B165" t="str">
            <v/>
          </cell>
        </row>
        <row r="166">
          <cell r="B166" t="str">
            <v/>
          </cell>
        </row>
        <row r="167">
          <cell r="B167" t="str">
            <v/>
          </cell>
        </row>
        <row r="168">
          <cell r="B168" t="str">
            <v/>
          </cell>
        </row>
        <row r="169">
          <cell r="B169" t="str">
            <v/>
          </cell>
        </row>
        <row r="170">
          <cell r="B170" t="str">
            <v/>
          </cell>
        </row>
        <row r="171">
          <cell r="B171" t="str">
            <v/>
          </cell>
        </row>
        <row r="172">
          <cell r="B172" t="str">
            <v/>
          </cell>
        </row>
        <row r="173">
          <cell r="B173" t="str">
            <v/>
          </cell>
        </row>
        <row r="174">
          <cell r="B174" t="str">
            <v/>
          </cell>
        </row>
        <row r="175">
          <cell r="B175" t="str">
            <v/>
          </cell>
        </row>
        <row r="176">
          <cell r="B176" t="str">
            <v/>
          </cell>
        </row>
        <row r="177">
          <cell r="B177" t="str">
            <v/>
          </cell>
        </row>
        <row r="178">
          <cell r="B178" t="str">
            <v/>
          </cell>
        </row>
        <row r="179">
          <cell r="B179" t="str">
            <v/>
          </cell>
        </row>
        <row r="180">
          <cell r="B180" t="str">
            <v/>
          </cell>
        </row>
        <row r="181">
          <cell r="B181" t="str">
            <v/>
          </cell>
        </row>
        <row r="182">
          <cell r="B182" t="str">
            <v/>
          </cell>
        </row>
        <row r="183">
          <cell r="B183" t="str">
            <v/>
          </cell>
        </row>
        <row r="184">
          <cell r="B184" t="str">
            <v/>
          </cell>
        </row>
        <row r="185">
          <cell r="B185" t="str">
            <v/>
          </cell>
        </row>
        <row r="186">
          <cell r="B186" t="str">
            <v/>
          </cell>
        </row>
        <row r="187">
          <cell r="B187" t="str">
            <v/>
          </cell>
        </row>
        <row r="188">
          <cell r="B188" t="str">
            <v/>
          </cell>
        </row>
        <row r="189">
          <cell r="B189" t="str">
            <v/>
          </cell>
        </row>
        <row r="190">
          <cell r="B190" t="str">
            <v/>
          </cell>
        </row>
        <row r="191">
          <cell r="B191" t="str">
            <v/>
          </cell>
        </row>
        <row r="192">
          <cell r="B192" t="str">
            <v/>
          </cell>
        </row>
        <row r="193">
          <cell r="B193" t="str">
            <v/>
          </cell>
        </row>
        <row r="194">
          <cell r="B194" t="str">
            <v/>
          </cell>
        </row>
        <row r="195">
          <cell r="B195" t="str">
            <v/>
          </cell>
        </row>
        <row r="196">
          <cell r="B196" t="str">
            <v/>
          </cell>
        </row>
        <row r="197">
          <cell r="B197" t="str">
            <v/>
          </cell>
        </row>
        <row r="198">
          <cell r="B198" t="str">
            <v/>
          </cell>
        </row>
        <row r="199">
          <cell r="B199" t="str">
            <v/>
          </cell>
        </row>
        <row r="200">
          <cell r="B200" t="str">
            <v/>
          </cell>
        </row>
        <row r="201">
          <cell r="B201" t="str">
            <v/>
          </cell>
        </row>
        <row r="202">
          <cell r="B202" t="str">
            <v/>
          </cell>
        </row>
        <row r="203">
          <cell r="B203" t="str">
            <v/>
          </cell>
        </row>
        <row r="204">
          <cell r="B204" t="str">
            <v/>
          </cell>
        </row>
        <row r="205">
          <cell r="B205" t="str">
            <v/>
          </cell>
        </row>
        <row r="206">
          <cell r="B206" t="str">
            <v/>
          </cell>
        </row>
        <row r="207">
          <cell r="B207" t="str">
            <v/>
          </cell>
        </row>
        <row r="208">
          <cell r="B208" t="str">
            <v/>
          </cell>
        </row>
        <row r="209">
          <cell r="B209" t="str">
            <v/>
          </cell>
        </row>
        <row r="210">
          <cell r="B210" t="str">
            <v/>
          </cell>
        </row>
        <row r="211">
          <cell r="B211" t="str">
            <v/>
          </cell>
        </row>
        <row r="212">
          <cell r="B212" t="str">
            <v/>
          </cell>
        </row>
        <row r="213">
          <cell r="B213" t="str">
            <v/>
          </cell>
        </row>
        <row r="214">
          <cell r="B214" t="str">
            <v/>
          </cell>
        </row>
        <row r="215">
          <cell r="B215" t="str">
            <v/>
          </cell>
        </row>
        <row r="216">
          <cell r="B216" t="str">
            <v/>
          </cell>
        </row>
        <row r="217">
          <cell r="B217" t="str">
            <v/>
          </cell>
        </row>
        <row r="218">
          <cell r="B218" t="str">
            <v/>
          </cell>
        </row>
        <row r="219">
          <cell r="B219" t="str">
            <v/>
          </cell>
        </row>
        <row r="220">
          <cell r="B220" t="str">
            <v/>
          </cell>
        </row>
        <row r="221">
          <cell r="B221" t="str">
            <v/>
          </cell>
        </row>
        <row r="222">
          <cell r="B222" t="str">
            <v/>
          </cell>
        </row>
        <row r="223">
          <cell r="B223" t="str">
            <v/>
          </cell>
        </row>
        <row r="224">
          <cell r="B224" t="str">
            <v/>
          </cell>
        </row>
        <row r="225">
          <cell r="B225" t="str">
            <v/>
          </cell>
        </row>
        <row r="226">
          <cell r="B226" t="str">
            <v/>
          </cell>
        </row>
        <row r="227">
          <cell r="B227" t="str">
            <v/>
          </cell>
        </row>
        <row r="228">
          <cell r="B228" t="str">
            <v/>
          </cell>
        </row>
        <row r="229">
          <cell r="B229" t="str">
            <v/>
          </cell>
        </row>
        <row r="230">
          <cell r="B230" t="str">
            <v/>
          </cell>
        </row>
        <row r="231">
          <cell r="B231" t="str">
            <v/>
          </cell>
        </row>
        <row r="232">
          <cell r="B232" t="str">
            <v/>
          </cell>
        </row>
        <row r="233">
          <cell r="B233" t="str">
            <v/>
          </cell>
        </row>
        <row r="234">
          <cell r="B234" t="str">
            <v/>
          </cell>
        </row>
        <row r="235">
          <cell r="B235" t="str">
            <v/>
          </cell>
        </row>
        <row r="236">
          <cell r="B236" t="str">
            <v/>
          </cell>
        </row>
        <row r="237">
          <cell r="B237" t="str">
            <v/>
          </cell>
        </row>
        <row r="238">
          <cell r="B238" t="str">
            <v/>
          </cell>
        </row>
        <row r="239">
          <cell r="B239" t="str">
            <v/>
          </cell>
        </row>
        <row r="240">
          <cell r="B240" t="str">
            <v/>
          </cell>
        </row>
        <row r="241">
          <cell r="B241" t="str">
            <v/>
          </cell>
        </row>
        <row r="242">
          <cell r="B242" t="str">
            <v/>
          </cell>
        </row>
        <row r="243">
          <cell r="B243" t="str">
            <v/>
          </cell>
        </row>
        <row r="244">
          <cell r="B244" t="str">
            <v/>
          </cell>
        </row>
        <row r="245">
          <cell r="B245" t="str">
            <v/>
          </cell>
        </row>
        <row r="246">
          <cell r="B246" t="str">
            <v/>
          </cell>
        </row>
        <row r="247">
          <cell r="B247" t="str">
            <v/>
          </cell>
        </row>
        <row r="248">
          <cell r="B248" t="str">
            <v/>
          </cell>
        </row>
        <row r="249">
          <cell r="B249" t="str">
            <v/>
          </cell>
        </row>
        <row r="250">
          <cell r="B250" t="str">
            <v/>
          </cell>
        </row>
        <row r="251">
          <cell r="B251" t="str">
            <v/>
          </cell>
        </row>
        <row r="252">
          <cell r="B252" t="str">
            <v/>
          </cell>
        </row>
        <row r="253">
          <cell r="B253" t="str">
            <v/>
          </cell>
        </row>
        <row r="254">
          <cell r="B254" t="str">
            <v/>
          </cell>
        </row>
        <row r="255">
          <cell r="B255" t="str">
            <v/>
          </cell>
        </row>
        <row r="256">
          <cell r="B256" t="str">
            <v/>
          </cell>
        </row>
        <row r="257">
          <cell r="B257" t="str">
            <v/>
          </cell>
        </row>
        <row r="258">
          <cell r="B258" t="str">
            <v/>
          </cell>
        </row>
        <row r="259">
          <cell r="B259" t="str">
            <v/>
          </cell>
        </row>
        <row r="260">
          <cell r="B260" t="str">
            <v/>
          </cell>
        </row>
        <row r="261">
          <cell r="B261" t="str">
            <v/>
          </cell>
        </row>
        <row r="262">
          <cell r="B262" t="str">
            <v/>
          </cell>
        </row>
        <row r="263">
          <cell r="B263" t="str">
            <v/>
          </cell>
        </row>
        <row r="264">
          <cell r="B264" t="str">
            <v/>
          </cell>
        </row>
        <row r="265">
          <cell r="B265" t="str">
            <v/>
          </cell>
        </row>
        <row r="266">
          <cell r="B266" t="str">
            <v/>
          </cell>
        </row>
        <row r="267">
          <cell r="B267" t="str">
            <v/>
          </cell>
        </row>
        <row r="268">
          <cell r="B268" t="str">
            <v/>
          </cell>
        </row>
        <row r="269">
          <cell r="B269" t="str">
            <v/>
          </cell>
        </row>
        <row r="270">
          <cell r="B270" t="str">
            <v/>
          </cell>
        </row>
        <row r="271">
          <cell r="B271" t="str">
            <v/>
          </cell>
        </row>
        <row r="272">
          <cell r="B272" t="str">
            <v/>
          </cell>
        </row>
        <row r="273">
          <cell r="B273" t="str">
            <v/>
          </cell>
        </row>
        <row r="274">
          <cell r="B274" t="str">
            <v/>
          </cell>
        </row>
        <row r="275">
          <cell r="B275" t="str">
            <v/>
          </cell>
        </row>
        <row r="276">
          <cell r="B276" t="str">
            <v/>
          </cell>
        </row>
        <row r="277">
          <cell r="B277" t="str">
            <v/>
          </cell>
        </row>
        <row r="278">
          <cell r="B278" t="str">
            <v/>
          </cell>
        </row>
        <row r="279">
          <cell r="B279" t="str">
            <v/>
          </cell>
        </row>
        <row r="280">
          <cell r="B280" t="str">
            <v/>
          </cell>
        </row>
        <row r="281">
          <cell r="B281" t="str">
            <v/>
          </cell>
        </row>
        <row r="282">
          <cell r="B282" t="str">
            <v/>
          </cell>
        </row>
        <row r="283">
          <cell r="B283" t="str">
            <v/>
          </cell>
        </row>
        <row r="284">
          <cell r="B284" t="str">
            <v/>
          </cell>
        </row>
        <row r="285">
          <cell r="B285" t="str">
            <v/>
          </cell>
        </row>
        <row r="286">
          <cell r="B286" t="str">
            <v/>
          </cell>
        </row>
        <row r="287">
          <cell r="B287" t="str">
            <v/>
          </cell>
        </row>
        <row r="288">
          <cell r="B288" t="str">
            <v/>
          </cell>
        </row>
        <row r="289">
          <cell r="B289" t="str">
            <v/>
          </cell>
        </row>
        <row r="290">
          <cell r="B290" t="str">
            <v/>
          </cell>
        </row>
        <row r="291">
          <cell r="B291" t="str">
            <v/>
          </cell>
        </row>
        <row r="292">
          <cell r="B292" t="str">
            <v/>
          </cell>
        </row>
        <row r="293">
          <cell r="B293" t="str">
            <v/>
          </cell>
        </row>
        <row r="294">
          <cell r="B294" t="str">
            <v/>
          </cell>
        </row>
        <row r="295">
          <cell r="B295" t="str">
            <v/>
          </cell>
        </row>
        <row r="296">
          <cell r="B296" t="str">
            <v/>
          </cell>
        </row>
        <row r="297">
          <cell r="B297" t="str">
            <v/>
          </cell>
        </row>
        <row r="298">
          <cell r="B298" t="str">
            <v/>
          </cell>
        </row>
        <row r="299">
          <cell r="B299" t="str">
            <v/>
          </cell>
        </row>
        <row r="300">
          <cell r="B300" t="str">
            <v/>
          </cell>
        </row>
        <row r="301">
          <cell r="B301" t="str">
            <v/>
          </cell>
        </row>
        <row r="302">
          <cell r="B302" t="str">
            <v/>
          </cell>
        </row>
        <row r="303">
          <cell r="B303" t="str">
            <v/>
          </cell>
        </row>
        <row r="304">
          <cell r="B304" t="str">
            <v/>
          </cell>
        </row>
        <row r="305">
          <cell r="B305" t="str">
            <v/>
          </cell>
        </row>
        <row r="306">
          <cell r="B306" t="str">
            <v/>
          </cell>
        </row>
        <row r="307">
          <cell r="B307" t="str">
            <v/>
          </cell>
        </row>
        <row r="308">
          <cell r="B308" t="str">
            <v/>
          </cell>
        </row>
        <row r="309">
          <cell r="B309" t="str">
            <v/>
          </cell>
        </row>
        <row r="310">
          <cell r="B310" t="str">
            <v/>
          </cell>
        </row>
        <row r="311">
          <cell r="B311" t="str">
            <v/>
          </cell>
        </row>
        <row r="312">
          <cell r="B312" t="str">
            <v/>
          </cell>
        </row>
        <row r="313">
          <cell r="B313" t="str">
            <v/>
          </cell>
        </row>
        <row r="314">
          <cell r="B314" t="str">
            <v/>
          </cell>
        </row>
        <row r="315">
          <cell r="B315" t="str">
            <v/>
          </cell>
        </row>
        <row r="316">
          <cell r="B316" t="str">
            <v/>
          </cell>
        </row>
        <row r="317">
          <cell r="B317" t="str">
            <v/>
          </cell>
        </row>
        <row r="318">
          <cell r="B318" t="str">
            <v/>
          </cell>
        </row>
        <row r="319">
          <cell r="B319" t="str">
            <v/>
          </cell>
        </row>
        <row r="320">
          <cell r="B320" t="str">
            <v/>
          </cell>
        </row>
        <row r="321">
          <cell r="B321" t="str">
            <v/>
          </cell>
        </row>
        <row r="322">
          <cell r="B322" t="str">
            <v/>
          </cell>
        </row>
        <row r="323">
          <cell r="B323" t="str">
            <v/>
          </cell>
        </row>
        <row r="324">
          <cell r="B324" t="str">
            <v/>
          </cell>
        </row>
        <row r="325">
          <cell r="B325" t="str">
            <v/>
          </cell>
        </row>
        <row r="326">
          <cell r="B326" t="str">
            <v/>
          </cell>
        </row>
        <row r="327">
          <cell r="B327" t="str">
            <v/>
          </cell>
        </row>
        <row r="328">
          <cell r="B328" t="str">
            <v/>
          </cell>
        </row>
        <row r="329">
          <cell r="B329" t="str">
            <v/>
          </cell>
        </row>
        <row r="330">
          <cell r="B330" t="str">
            <v/>
          </cell>
        </row>
        <row r="331">
          <cell r="B331" t="str">
            <v/>
          </cell>
        </row>
        <row r="332">
          <cell r="B332" t="str">
            <v/>
          </cell>
        </row>
        <row r="333">
          <cell r="B333" t="str">
            <v/>
          </cell>
        </row>
        <row r="334">
          <cell r="B334" t="str">
            <v/>
          </cell>
        </row>
        <row r="335">
          <cell r="B335" t="str">
            <v/>
          </cell>
        </row>
        <row r="336">
          <cell r="B336" t="str">
            <v/>
          </cell>
        </row>
        <row r="337">
          <cell r="B337" t="str">
            <v/>
          </cell>
        </row>
        <row r="338">
          <cell r="B338" t="str">
            <v/>
          </cell>
        </row>
        <row r="339">
          <cell r="B339" t="str">
            <v/>
          </cell>
        </row>
        <row r="340">
          <cell r="B340" t="str">
            <v/>
          </cell>
        </row>
        <row r="341">
          <cell r="B341" t="str">
            <v/>
          </cell>
        </row>
        <row r="342">
          <cell r="B342" t="str">
            <v/>
          </cell>
        </row>
        <row r="343">
          <cell r="B343" t="str">
            <v/>
          </cell>
        </row>
        <row r="344">
          <cell r="B344" t="str">
            <v/>
          </cell>
        </row>
        <row r="345">
          <cell r="B345" t="str">
            <v/>
          </cell>
        </row>
        <row r="346">
          <cell r="B346" t="str">
            <v/>
          </cell>
        </row>
        <row r="347">
          <cell r="B347" t="str">
            <v/>
          </cell>
        </row>
        <row r="348">
          <cell r="B348" t="str">
            <v/>
          </cell>
        </row>
        <row r="349">
          <cell r="B349" t="str">
            <v/>
          </cell>
        </row>
        <row r="350">
          <cell r="B350" t="str">
            <v/>
          </cell>
        </row>
        <row r="351">
          <cell r="B351" t="str">
            <v/>
          </cell>
        </row>
        <row r="352">
          <cell r="B352" t="str">
            <v/>
          </cell>
        </row>
        <row r="353">
          <cell r="B353" t="str">
            <v/>
          </cell>
        </row>
        <row r="354">
          <cell r="B354" t="str">
            <v/>
          </cell>
        </row>
        <row r="355">
          <cell r="B355" t="str">
            <v/>
          </cell>
        </row>
        <row r="356">
          <cell r="B356" t="str">
            <v/>
          </cell>
        </row>
        <row r="357">
          <cell r="B357" t="str">
            <v/>
          </cell>
        </row>
        <row r="358">
          <cell r="B358" t="str">
            <v/>
          </cell>
        </row>
        <row r="359">
          <cell r="B359" t="str">
            <v/>
          </cell>
        </row>
        <row r="360">
          <cell r="B360" t="str">
            <v/>
          </cell>
        </row>
        <row r="361">
          <cell r="B361" t="str">
            <v/>
          </cell>
        </row>
        <row r="362">
          <cell r="B362" t="str">
            <v/>
          </cell>
        </row>
        <row r="363">
          <cell r="B363" t="str">
            <v/>
          </cell>
        </row>
        <row r="364">
          <cell r="B364" t="str">
            <v/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dora de préstamos"/>
    </sheetNames>
    <definedNames>
      <definedName name="AñosPréstamo" sheetId="0"/>
      <definedName name="CantidadPréstamo" sheetId="0"/>
      <definedName name="FechaInicioPréstamo" sheetId="0"/>
      <definedName name="NúmeroDePagos" sheetId="0"/>
      <definedName name="TasaInterés" sheetId="0"/>
    </definedNames>
    <sheetDataSet>
      <sheetData sheetId="0">
        <row r="3">
          <cell r="D3">
            <v>4468594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lculadora de préstamos"/>
    </sheetNames>
    <sheetDataSet>
      <sheetData sheetId="0">
        <row r="9">
          <cell r="F9">
            <v>14584.190748989409</v>
          </cell>
          <cell r="G9">
            <v>8250</v>
          </cell>
        </row>
        <row r="10">
          <cell r="F10">
            <v>14693.572179606828</v>
          </cell>
          <cell r="G10">
            <v>8140.6185693825792</v>
          </cell>
        </row>
        <row r="11">
          <cell r="F11">
            <v>14803.773970953882</v>
          </cell>
          <cell r="G11">
            <v>8030.4167780355283</v>
          </cell>
        </row>
        <row r="12">
          <cell r="F12">
            <v>14914.802275736036</v>
          </cell>
          <cell r="G12">
            <v>7919.3884732533734</v>
          </cell>
        </row>
        <row r="13">
          <cell r="F13">
            <v>15026.663292804056</v>
          </cell>
          <cell r="G13">
            <v>7807.5274561853539</v>
          </cell>
        </row>
        <row r="14">
          <cell r="F14">
            <v>15139.363267500088</v>
          </cell>
          <cell r="G14">
            <v>7694.8274814893248</v>
          </cell>
        </row>
        <row r="15">
          <cell r="F15">
            <v>15252.908492006338</v>
          </cell>
          <cell r="G15">
            <v>7581.2822569830732</v>
          </cell>
        </row>
        <row r="16">
          <cell r="F16">
            <v>15367.305305696384</v>
          </cell>
          <cell r="G16">
            <v>7466.8854432930257</v>
          </cell>
        </row>
        <row r="17">
          <cell r="F17">
            <v>15482.560095489107</v>
          </cell>
          <cell r="G17">
            <v>7351.6306535003032</v>
          </cell>
        </row>
        <row r="18">
          <cell r="F18">
            <v>15598.679296205275</v>
          </cell>
          <cell r="G18">
            <v>7235.5114527841342</v>
          </cell>
        </row>
        <row r="19">
          <cell r="F19">
            <v>15715.669390926816</v>
          </cell>
          <cell r="G19">
            <v>7118.5213580625941</v>
          </cell>
        </row>
        <row r="20">
          <cell r="F20">
            <v>15833.536911358768</v>
          </cell>
          <cell r="G20">
            <v>7000.6538376306444</v>
          </cell>
        </row>
        <row r="21">
          <cell r="F21">
            <v>15952.288438193957</v>
          </cell>
          <cell r="G21">
            <v>6881.9023107954526</v>
          </cell>
        </row>
        <row r="22">
          <cell r="F22">
            <v>16071.930601480411</v>
          </cell>
          <cell r="G22">
            <v>6762.2601475089996</v>
          </cell>
        </row>
        <row r="23">
          <cell r="F23">
            <v>16192.470080991516</v>
          </cell>
          <cell r="G23">
            <v>6641.7206679978945</v>
          </cell>
        </row>
        <row r="24">
          <cell r="F24">
            <v>16313.913606598953</v>
          </cell>
          <cell r="G24">
            <v>6520.2771423904578</v>
          </cell>
        </row>
        <row r="25">
          <cell r="F25">
            <v>16436.267958648445</v>
          </cell>
          <cell r="G25">
            <v>6397.9227903409655</v>
          </cell>
        </row>
        <row r="26">
          <cell r="F26">
            <v>16559.539968338304</v>
          </cell>
          <cell r="G26">
            <v>6274.6507806511036</v>
          </cell>
        </row>
        <row r="27">
          <cell r="F27">
            <v>16683.736518100843</v>
          </cell>
          <cell r="G27">
            <v>6150.4542308885657</v>
          </cell>
        </row>
        <row r="28">
          <cell r="F28">
            <v>16808.864541986604</v>
          </cell>
          <cell r="G28">
            <v>6025.3262070028104</v>
          </cell>
        </row>
        <row r="29">
          <cell r="F29">
            <v>16934.931026051498</v>
          </cell>
          <cell r="G29">
            <v>5899.2597229379098</v>
          </cell>
        </row>
        <row r="30">
          <cell r="F30">
            <v>17061.943008746886</v>
          </cell>
          <cell r="G30">
            <v>5772.2477402425238</v>
          </cell>
        </row>
        <row r="31">
          <cell r="F31">
            <v>17189.907581312487</v>
          </cell>
          <cell r="G31">
            <v>5644.2831676769219</v>
          </cell>
        </row>
        <row r="32">
          <cell r="F32">
            <v>17318.831888172332</v>
          </cell>
          <cell r="G32">
            <v>5515.3588608170785</v>
          </cell>
        </row>
        <row r="33">
          <cell r="F33">
            <v>17448.723127333626</v>
          </cell>
          <cell r="G33">
            <v>5385.4676216557855</v>
          </cell>
        </row>
        <row r="34">
          <cell r="F34">
            <v>17579.588550788627</v>
          </cell>
          <cell r="G34">
            <v>5254.6021982007833</v>
          </cell>
        </row>
        <row r="35">
          <cell r="F35">
            <v>17711.435464919541</v>
          </cell>
          <cell r="G35">
            <v>5122.7552840698681</v>
          </cell>
        </row>
        <row r="36">
          <cell r="F36">
            <v>17844.271230906437</v>
          </cell>
          <cell r="G36">
            <v>4989.9195180829729</v>
          </cell>
        </row>
        <row r="37">
          <cell r="F37">
            <v>17978.103265138234</v>
          </cell>
          <cell r="G37">
            <v>4856.0874838511736</v>
          </cell>
        </row>
        <row r="38">
          <cell r="F38">
            <v>18112.939039626774</v>
          </cell>
          <cell r="G38">
            <v>4721.2517093626375</v>
          </cell>
        </row>
        <row r="39">
          <cell r="F39">
            <v>18248.786082423972</v>
          </cell>
          <cell r="G39">
            <v>4585.4046665654369</v>
          </cell>
        </row>
        <row r="40">
          <cell r="F40">
            <v>18385.651978042155</v>
          </cell>
          <cell r="G40">
            <v>4448.5387709472561</v>
          </cell>
        </row>
        <row r="41">
          <cell r="F41">
            <v>18523.544367877468</v>
          </cell>
          <cell r="G41">
            <v>4310.6463811119402</v>
          </cell>
        </row>
        <row r="42">
          <cell r="F42">
            <v>18662.470950636551</v>
          </cell>
          <cell r="G42">
            <v>4171.7197983528586</v>
          </cell>
        </row>
        <row r="43">
          <cell r="F43">
            <v>18802.439482766327</v>
          </cell>
          <cell r="G43">
            <v>4031.7512662230856</v>
          </cell>
        </row>
        <row r="44">
          <cell r="F44">
            <v>18943.457778887074</v>
          </cell>
          <cell r="G44">
            <v>3890.7329701023377</v>
          </cell>
        </row>
        <row r="45">
          <cell r="F45">
            <v>19085.533712228724</v>
          </cell>
          <cell r="G45">
            <v>3748.6570367606842</v>
          </cell>
        </row>
        <row r="46">
          <cell r="F46">
            <v>19228.675215070441</v>
          </cell>
          <cell r="G46">
            <v>3605.5155339189696</v>
          </cell>
        </row>
        <row r="47">
          <cell r="F47">
            <v>19372.89027918347</v>
          </cell>
          <cell r="G47">
            <v>3461.3004698059408</v>
          </cell>
        </row>
        <row r="48">
          <cell r="F48">
            <v>19518.186956277346</v>
          </cell>
          <cell r="G48">
            <v>3316.0037927120643</v>
          </cell>
        </row>
        <row r="49">
          <cell r="F49">
            <v>19664.573358449426</v>
          </cell>
          <cell r="G49">
            <v>3169.6173905399842</v>
          </cell>
        </row>
        <row r="50">
          <cell r="F50">
            <v>19812.057658637797</v>
          </cell>
          <cell r="G50">
            <v>3022.1330903516141</v>
          </cell>
        </row>
        <row r="51">
          <cell r="F51">
            <v>19960.648091077583</v>
          </cell>
          <cell r="G51">
            <v>2873.5426579118302</v>
          </cell>
        </row>
        <row r="52">
          <cell r="F52">
            <v>20110.352951760662</v>
          </cell>
          <cell r="G52">
            <v>2723.8377972287485</v>
          </cell>
        </row>
        <row r="53">
          <cell r="F53">
            <v>20261.180598898864</v>
          </cell>
          <cell r="G53">
            <v>2573.0101500905439</v>
          </cell>
        </row>
        <row r="54">
          <cell r="F54">
            <v>20413.13945339061</v>
          </cell>
          <cell r="G54">
            <v>2421.0512955988024</v>
          </cell>
        </row>
        <row r="55">
          <cell r="F55">
            <v>20566.237999291039</v>
          </cell>
          <cell r="G55">
            <v>2267.9527496983728</v>
          </cell>
        </row>
        <row r="56">
          <cell r="F56">
            <v>20720.48478428572</v>
          </cell>
          <cell r="G56">
            <v>2113.7059647036904</v>
          </cell>
        </row>
        <row r="57">
          <cell r="F57">
            <v>20875.888420167863</v>
          </cell>
          <cell r="G57">
            <v>1958.3023288215472</v>
          </cell>
        </row>
        <row r="58">
          <cell r="F58">
            <v>21032.457583319123</v>
          </cell>
          <cell r="G58">
            <v>1801.7331656702881</v>
          </cell>
        </row>
        <row r="59">
          <cell r="F59">
            <v>21190.201015194016</v>
          </cell>
          <cell r="G59">
            <v>1643.9897337953946</v>
          </cell>
        </row>
        <row r="60">
          <cell r="F60">
            <v>21349.127522807972</v>
          </cell>
          <cell r="G60">
            <v>1485.0632261814394</v>
          </cell>
        </row>
        <row r="61">
          <cell r="F61">
            <v>21509.245979229028</v>
          </cell>
          <cell r="G61">
            <v>1324.9447697603798</v>
          </cell>
        </row>
        <row r="62">
          <cell r="F62">
            <v>21670.565324073246</v>
          </cell>
          <cell r="G62">
            <v>1163.625424916162</v>
          </cell>
        </row>
        <row r="63">
          <cell r="F63">
            <v>21833.094564003797</v>
          </cell>
          <cell r="G63">
            <v>1001.0961849856126</v>
          </cell>
        </row>
        <row r="64">
          <cell r="F64">
            <v>21996.842773233828</v>
          </cell>
          <cell r="G64">
            <v>837.34797575558423</v>
          </cell>
        </row>
        <row r="65">
          <cell r="F65">
            <v>22161.819094033079</v>
          </cell>
          <cell r="G65">
            <v>672.37165495633053</v>
          </cell>
        </row>
        <row r="66">
          <cell r="F66">
            <v>22328.032737238325</v>
          </cell>
          <cell r="G66">
            <v>506.15801175108237</v>
          </cell>
        </row>
        <row r="67">
          <cell r="F67">
            <v>22495.492982767613</v>
          </cell>
          <cell r="G67">
            <v>338.69776622179489</v>
          </cell>
        </row>
        <row r="68">
          <cell r="F68">
            <v>22664.209180138376</v>
          </cell>
          <cell r="G68">
            <v>169.98156885103782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CEB28C-8094-4428-9FBC-BC1B7C937FC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c294541-961a-4d0d-a097-b885c467e26e&quot;"/>
  </we:properties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7AE60"/>
  </sheetPr>
  <dimension ref="B1:AG51"/>
  <sheetViews>
    <sheetView showGridLines="0" zoomScale="130" zoomScaleNormal="13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AC37" sqref="AC37"/>
    </sheetView>
  </sheetViews>
  <sheetFormatPr baseColWidth="10" defaultColWidth="8.6328125" defaultRowHeight="14" outlineLevelRow="1" outlineLevelCol="1"/>
  <cols>
    <col min="1" max="1" width="6.08984375" style="72" customWidth="1"/>
    <col min="2" max="2" width="44.453125" style="72" customWidth="1"/>
    <col min="3" max="3" width="4.90625" style="72" hidden="1" customWidth="1" outlineLevel="1"/>
    <col min="4" max="4" width="4.7265625" style="72" hidden="1" customWidth="1" outlineLevel="1"/>
    <col min="5" max="5" width="4.6328125" style="72" hidden="1" customWidth="1" outlineLevel="1"/>
    <col min="6" max="6" width="4.54296875" style="72" hidden="1" customWidth="1" outlineLevel="1"/>
    <col min="7" max="7" width="5.08984375" style="72" hidden="1" customWidth="1" outlineLevel="1"/>
    <col min="8" max="8" width="4.6328125" style="72" hidden="1" customWidth="1" outlineLevel="1"/>
    <col min="9" max="9" width="4.08984375" style="72" hidden="1" customWidth="1" outlineLevel="1"/>
    <col min="10" max="10" width="5" style="72" hidden="1" customWidth="1" outlineLevel="1"/>
    <col min="11" max="11" width="4.90625" style="72" hidden="1" customWidth="1" outlineLevel="1"/>
    <col min="12" max="12" width="4.453125" style="72" hidden="1" customWidth="1" outlineLevel="1"/>
    <col min="13" max="13" width="5" style="72" hidden="1" customWidth="1" outlineLevel="1"/>
    <col min="14" max="14" width="4.1796875" style="72" hidden="1" customWidth="1" outlineLevel="1"/>
    <col min="15" max="15" width="11.08984375" style="72" bestFit="1" customWidth="1" collapsed="1"/>
    <col min="16" max="16" width="11.1796875" style="72" bestFit="1" customWidth="1"/>
    <col min="17" max="17" width="8.36328125" style="72" bestFit="1" customWidth="1"/>
    <col min="18" max="29" width="5.453125" style="72" hidden="1" customWidth="1" outlineLevel="1"/>
    <col min="30" max="30" width="10.7265625" style="72" bestFit="1" customWidth="1" collapsed="1"/>
    <col min="31" max="31" width="11" style="72" customWidth="1"/>
    <col min="32" max="32" width="7.453125" style="72" bestFit="1" customWidth="1"/>
    <col min="33" max="35" width="13" style="72" customWidth="1"/>
    <col min="36" max="16384" width="8.6328125" style="72"/>
  </cols>
  <sheetData>
    <row r="1" spans="2:32" ht="9" customHeight="1"/>
    <row r="2" spans="2:32" ht="18">
      <c r="B2" s="73" t="s">
        <v>481</v>
      </c>
    </row>
    <row r="3" spans="2:32">
      <c r="B3" s="74" t="s">
        <v>479</v>
      </c>
    </row>
    <row r="4" spans="2:32" ht="8.5" customHeight="1">
      <c r="B4" s="74"/>
    </row>
    <row r="5" spans="2:32" ht="14.5" customHeight="1">
      <c r="C5" s="332">
        <v>2026</v>
      </c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3"/>
      <c r="R5" s="332">
        <v>2027</v>
      </c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</row>
    <row r="6" spans="2:32" ht="16" customHeight="1" thickBot="1">
      <c r="B6" s="75" t="s">
        <v>151</v>
      </c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7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</row>
    <row r="7" spans="2:32" ht="28">
      <c r="B7" s="78" t="s">
        <v>152</v>
      </c>
      <c r="C7" s="78" t="s">
        <v>139</v>
      </c>
      <c r="D7" s="78" t="s">
        <v>140</v>
      </c>
      <c r="E7" s="78" t="s">
        <v>141</v>
      </c>
      <c r="F7" s="78" t="s">
        <v>142</v>
      </c>
      <c r="G7" s="78" t="s">
        <v>143</v>
      </c>
      <c r="H7" s="78" t="s">
        <v>144</v>
      </c>
      <c r="I7" s="78" t="s">
        <v>145</v>
      </c>
      <c r="J7" s="78" t="s">
        <v>146</v>
      </c>
      <c r="K7" s="78" t="s">
        <v>147</v>
      </c>
      <c r="L7" s="78" t="s">
        <v>148</v>
      </c>
      <c r="M7" s="78" t="s">
        <v>149</v>
      </c>
      <c r="N7" s="79" t="s">
        <v>150</v>
      </c>
      <c r="O7" s="80" t="s">
        <v>153</v>
      </c>
      <c r="P7" s="81" t="s">
        <v>154</v>
      </c>
      <c r="Q7" s="81" t="s">
        <v>155</v>
      </c>
      <c r="R7" s="83" t="s">
        <v>139</v>
      </c>
      <c r="S7" s="84" t="s">
        <v>140</v>
      </c>
      <c r="T7" s="84" t="s">
        <v>141</v>
      </c>
      <c r="U7" s="84" t="s">
        <v>142</v>
      </c>
      <c r="V7" s="84" t="s">
        <v>143</v>
      </c>
      <c r="W7" s="84" t="s">
        <v>144</v>
      </c>
      <c r="X7" s="84" t="s">
        <v>145</v>
      </c>
      <c r="Y7" s="84" t="s">
        <v>146</v>
      </c>
      <c r="Z7" s="84" t="s">
        <v>147</v>
      </c>
      <c r="AA7" s="84" t="s">
        <v>148</v>
      </c>
      <c r="AB7" s="84" t="s">
        <v>149</v>
      </c>
      <c r="AC7" s="85" t="s">
        <v>150</v>
      </c>
      <c r="AD7" s="80" t="s">
        <v>153</v>
      </c>
      <c r="AE7" s="81" t="s">
        <v>467</v>
      </c>
      <c r="AF7" s="82" t="s">
        <v>155</v>
      </c>
    </row>
    <row r="8" spans="2:32" hidden="1" outlineLevel="1">
      <c r="B8" s="86" t="s">
        <v>156</v>
      </c>
      <c r="C8" s="87">
        <f>+$P$8/12</f>
        <v>233.5</v>
      </c>
      <c r="D8" s="87">
        <f t="shared" ref="D8:N8" si="0">+$P$8/12</f>
        <v>233.5</v>
      </c>
      <c r="E8" s="87">
        <f t="shared" si="0"/>
        <v>233.5</v>
      </c>
      <c r="F8" s="87">
        <f t="shared" si="0"/>
        <v>233.5</v>
      </c>
      <c r="G8" s="87">
        <f t="shared" si="0"/>
        <v>233.5</v>
      </c>
      <c r="H8" s="87">
        <f t="shared" si="0"/>
        <v>233.5</v>
      </c>
      <c r="I8" s="87">
        <f t="shared" si="0"/>
        <v>233.5</v>
      </c>
      <c r="J8" s="87">
        <f t="shared" si="0"/>
        <v>233.5</v>
      </c>
      <c r="K8" s="87">
        <f t="shared" si="0"/>
        <v>233.5</v>
      </c>
      <c r="L8" s="87">
        <f t="shared" si="0"/>
        <v>233.5</v>
      </c>
      <c r="M8" s="87">
        <f t="shared" si="0"/>
        <v>233.5</v>
      </c>
      <c r="N8" s="87">
        <f t="shared" si="0"/>
        <v>233.5</v>
      </c>
      <c r="O8" s="88">
        <f t="shared" ref="O8:O15" si="1">SUM(C8:N8)</f>
        <v>2802</v>
      </c>
      <c r="P8" s="89">
        <v>2802</v>
      </c>
      <c r="Q8" s="297">
        <f t="shared" ref="Q8:Q15" si="2">IF(P8=0,0,O8/P8)</f>
        <v>1</v>
      </c>
      <c r="R8" s="156">
        <f>+$AE$8/12</f>
        <v>245.16666666666666</v>
      </c>
      <c r="S8" s="87">
        <f t="shared" ref="S8:AC8" si="3">+$AE$8/12</f>
        <v>245.16666666666666</v>
      </c>
      <c r="T8" s="87">
        <f t="shared" si="3"/>
        <v>245.16666666666666</v>
      </c>
      <c r="U8" s="87">
        <f t="shared" si="3"/>
        <v>245.16666666666666</v>
      </c>
      <c r="V8" s="87">
        <f t="shared" si="3"/>
        <v>245.16666666666666</v>
      </c>
      <c r="W8" s="87">
        <f t="shared" si="3"/>
        <v>245.16666666666666</v>
      </c>
      <c r="X8" s="87">
        <f t="shared" si="3"/>
        <v>245.16666666666666</v>
      </c>
      <c r="Y8" s="87">
        <f t="shared" si="3"/>
        <v>245.16666666666666</v>
      </c>
      <c r="Z8" s="87">
        <f t="shared" si="3"/>
        <v>245.16666666666666</v>
      </c>
      <c r="AA8" s="87">
        <f t="shared" si="3"/>
        <v>245.16666666666666</v>
      </c>
      <c r="AB8" s="87">
        <f t="shared" si="3"/>
        <v>245.16666666666666</v>
      </c>
      <c r="AC8" s="87">
        <f t="shared" si="3"/>
        <v>245.16666666666666</v>
      </c>
      <c r="AD8" s="88">
        <f t="shared" ref="AD8:AD15" si="4">SUM(R8:AC8)</f>
        <v>2941.9999999999995</v>
      </c>
      <c r="AE8" s="89">
        <v>2942</v>
      </c>
      <c r="AF8" s="90">
        <f t="shared" ref="AF8:AF15" si="5">IF(AE8=0,0,AD8/AE8)</f>
        <v>0.99999999999999989</v>
      </c>
    </row>
    <row r="9" spans="2:32" hidden="1" outlineLevel="1">
      <c r="B9" s="86" t="s">
        <v>157</v>
      </c>
      <c r="C9" s="87">
        <f>+$P$9/12</f>
        <v>264</v>
      </c>
      <c r="D9" s="87">
        <f t="shared" ref="D9:N9" si="6">+$P$9/12</f>
        <v>264</v>
      </c>
      <c r="E9" s="87">
        <f t="shared" si="6"/>
        <v>264</v>
      </c>
      <c r="F9" s="87">
        <f t="shared" si="6"/>
        <v>264</v>
      </c>
      <c r="G9" s="87">
        <f t="shared" si="6"/>
        <v>264</v>
      </c>
      <c r="H9" s="87">
        <f t="shared" si="6"/>
        <v>264</v>
      </c>
      <c r="I9" s="87">
        <f t="shared" si="6"/>
        <v>264</v>
      </c>
      <c r="J9" s="87">
        <f t="shared" si="6"/>
        <v>264</v>
      </c>
      <c r="K9" s="87">
        <f t="shared" si="6"/>
        <v>264</v>
      </c>
      <c r="L9" s="87">
        <f t="shared" si="6"/>
        <v>264</v>
      </c>
      <c r="M9" s="87">
        <f t="shared" si="6"/>
        <v>264</v>
      </c>
      <c r="N9" s="87">
        <f t="shared" si="6"/>
        <v>264</v>
      </c>
      <c r="O9" s="88">
        <f t="shared" si="1"/>
        <v>3168</v>
      </c>
      <c r="P9" s="89">
        <v>3168</v>
      </c>
      <c r="Q9" s="297">
        <f t="shared" si="2"/>
        <v>1</v>
      </c>
      <c r="R9" s="156">
        <f>+$AE$9/12</f>
        <v>277.16666666666669</v>
      </c>
      <c r="S9" s="87">
        <f t="shared" ref="S9:AC9" si="7">+$AE$9/12</f>
        <v>277.16666666666669</v>
      </c>
      <c r="T9" s="87">
        <f t="shared" si="7"/>
        <v>277.16666666666669</v>
      </c>
      <c r="U9" s="87">
        <f t="shared" si="7"/>
        <v>277.16666666666669</v>
      </c>
      <c r="V9" s="87">
        <f t="shared" si="7"/>
        <v>277.16666666666669</v>
      </c>
      <c r="W9" s="87">
        <f t="shared" si="7"/>
        <v>277.16666666666669</v>
      </c>
      <c r="X9" s="87">
        <f t="shared" si="7"/>
        <v>277.16666666666669</v>
      </c>
      <c r="Y9" s="87">
        <f t="shared" si="7"/>
        <v>277.16666666666669</v>
      </c>
      <c r="Z9" s="87">
        <f t="shared" si="7"/>
        <v>277.16666666666669</v>
      </c>
      <c r="AA9" s="87">
        <f t="shared" si="7"/>
        <v>277.16666666666669</v>
      </c>
      <c r="AB9" s="87">
        <f t="shared" si="7"/>
        <v>277.16666666666669</v>
      </c>
      <c r="AC9" s="87">
        <f t="shared" si="7"/>
        <v>277.16666666666669</v>
      </c>
      <c r="AD9" s="88">
        <f t="shared" si="4"/>
        <v>3325.9999999999995</v>
      </c>
      <c r="AE9" s="89">
        <v>3326</v>
      </c>
      <c r="AF9" s="90">
        <f t="shared" si="5"/>
        <v>0.99999999999999989</v>
      </c>
    </row>
    <row r="10" spans="2:32" hidden="1" outlineLevel="1">
      <c r="B10" s="86" t="s">
        <v>158</v>
      </c>
      <c r="C10" s="87">
        <f>+$P$10/12</f>
        <v>30.416666666666668</v>
      </c>
      <c r="D10" s="87">
        <f t="shared" ref="D10:N10" si="8">+$P$10/12</f>
        <v>30.416666666666668</v>
      </c>
      <c r="E10" s="87">
        <f t="shared" si="8"/>
        <v>30.416666666666668</v>
      </c>
      <c r="F10" s="87">
        <f t="shared" si="8"/>
        <v>30.416666666666668</v>
      </c>
      <c r="G10" s="87">
        <f t="shared" si="8"/>
        <v>30.416666666666668</v>
      </c>
      <c r="H10" s="87">
        <f t="shared" si="8"/>
        <v>30.416666666666668</v>
      </c>
      <c r="I10" s="87">
        <f t="shared" si="8"/>
        <v>30.416666666666668</v>
      </c>
      <c r="J10" s="87">
        <f t="shared" si="8"/>
        <v>30.416666666666668</v>
      </c>
      <c r="K10" s="87">
        <f t="shared" si="8"/>
        <v>30.416666666666668</v>
      </c>
      <c r="L10" s="87">
        <f t="shared" si="8"/>
        <v>30.416666666666668</v>
      </c>
      <c r="M10" s="87">
        <f t="shared" si="8"/>
        <v>30.416666666666668</v>
      </c>
      <c r="N10" s="87">
        <f t="shared" si="8"/>
        <v>30.416666666666668</v>
      </c>
      <c r="O10" s="88">
        <f t="shared" si="1"/>
        <v>365.00000000000006</v>
      </c>
      <c r="P10" s="89">
        <v>365</v>
      </c>
      <c r="Q10" s="297">
        <f t="shared" si="2"/>
        <v>1.0000000000000002</v>
      </c>
      <c r="R10" s="156">
        <f>+$AE$10/12</f>
        <v>31.916666666666668</v>
      </c>
      <c r="S10" s="87">
        <f t="shared" ref="S10:AC10" si="9">+$AE$10/12</f>
        <v>31.916666666666668</v>
      </c>
      <c r="T10" s="87">
        <f t="shared" si="9"/>
        <v>31.916666666666668</v>
      </c>
      <c r="U10" s="87">
        <f t="shared" si="9"/>
        <v>31.916666666666668</v>
      </c>
      <c r="V10" s="87">
        <f t="shared" si="9"/>
        <v>31.916666666666668</v>
      </c>
      <c r="W10" s="87">
        <f t="shared" si="9"/>
        <v>31.916666666666668</v>
      </c>
      <c r="X10" s="87">
        <f t="shared" si="9"/>
        <v>31.916666666666668</v>
      </c>
      <c r="Y10" s="87">
        <f t="shared" si="9"/>
        <v>31.916666666666668</v>
      </c>
      <c r="Z10" s="87">
        <f t="shared" si="9"/>
        <v>31.916666666666668</v>
      </c>
      <c r="AA10" s="87">
        <f t="shared" si="9"/>
        <v>31.916666666666668</v>
      </c>
      <c r="AB10" s="87">
        <f t="shared" si="9"/>
        <v>31.916666666666668</v>
      </c>
      <c r="AC10" s="87">
        <f t="shared" si="9"/>
        <v>31.916666666666668</v>
      </c>
      <c r="AD10" s="88">
        <f t="shared" si="4"/>
        <v>383.00000000000006</v>
      </c>
      <c r="AE10" s="89">
        <v>383</v>
      </c>
      <c r="AF10" s="90">
        <f t="shared" si="5"/>
        <v>1.0000000000000002</v>
      </c>
    </row>
    <row r="11" spans="2:32" hidden="1" outlineLevel="1">
      <c r="B11" s="86" t="s">
        <v>515</v>
      </c>
      <c r="C11" s="87">
        <f>+$P$11/12</f>
        <v>142.16666666666666</v>
      </c>
      <c r="D11" s="87">
        <f t="shared" ref="D11:N11" si="10">+$P$11/12</f>
        <v>142.16666666666666</v>
      </c>
      <c r="E11" s="87">
        <f t="shared" si="10"/>
        <v>142.16666666666666</v>
      </c>
      <c r="F11" s="87">
        <f t="shared" si="10"/>
        <v>142.16666666666666</v>
      </c>
      <c r="G11" s="87">
        <f t="shared" si="10"/>
        <v>142.16666666666666</v>
      </c>
      <c r="H11" s="87">
        <f t="shared" si="10"/>
        <v>142.16666666666666</v>
      </c>
      <c r="I11" s="87">
        <f t="shared" si="10"/>
        <v>142.16666666666666</v>
      </c>
      <c r="J11" s="87">
        <f t="shared" si="10"/>
        <v>142.16666666666666</v>
      </c>
      <c r="K11" s="87">
        <f t="shared" si="10"/>
        <v>142.16666666666666</v>
      </c>
      <c r="L11" s="87">
        <f t="shared" si="10"/>
        <v>142.16666666666666</v>
      </c>
      <c r="M11" s="87">
        <f t="shared" si="10"/>
        <v>142.16666666666666</v>
      </c>
      <c r="N11" s="87">
        <f t="shared" si="10"/>
        <v>142.16666666666666</v>
      </c>
      <c r="O11" s="88">
        <f t="shared" si="1"/>
        <v>1706.0000000000002</v>
      </c>
      <c r="P11" s="89">
        <v>1706</v>
      </c>
      <c r="Q11" s="297">
        <f t="shared" si="2"/>
        <v>1.0000000000000002</v>
      </c>
      <c r="R11" s="156">
        <f>+$AE$11/12</f>
        <v>149.25</v>
      </c>
      <c r="S11" s="87">
        <f t="shared" ref="S11:AC11" si="11">+$AE$11/12</f>
        <v>149.25</v>
      </c>
      <c r="T11" s="87">
        <f t="shared" si="11"/>
        <v>149.25</v>
      </c>
      <c r="U11" s="87">
        <f t="shared" si="11"/>
        <v>149.25</v>
      </c>
      <c r="V11" s="87">
        <f t="shared" si="11"/>
        <v>149.25</v>
      </c>
      <c r="W11" s="87">
        <f t="shared" si="11"/>
        <v>149.25</v>
      </c>
      <c r="X11" s="87">
        <f t="shared" si="11"/>
        <v>149.25</v>
      </c>
      <c r="Y11" s="87">
        <f t="shared" si="11"/>
        <v>149.25</v>
      </c>
      <c r="Z11" s="87">
        <f t="shared" si="11"/>
        <v>149.25</v>
      </c>
      <c r="AA11" s="87">
        <f t="shared" si="11"/>
        <v>149.25</v>
      </c>
      <c r="AB11" s="87">
        <f t="shared" si="11"/>
        <v>149.25</v>
      </c>
      <c r="AC11" s="87">
        <f t="shared" si="11"/>
        <v>149.25</v>
      </c>
      <c r="AD11" s="88">
        <f t="shared" si="4"/>
        <v>1791</v>
      </c>
      <c r="AE11" s="89">
        <v>1791</v>
      </c>
      <c r="AF11" s="90">
        <f t="shared" si="5"/>
        <v>1</v>
      </c>
    </row>
    <row r="12" spans="2:32" hidden="1" outlineLevel="1">
      <c r="B12" s="86" t="s">
        <v>516</v>
      </c>
      <c r="C12" s="87">
        <f>+$P$12/12</f>
        <v>15.25</v>
      </c>
      <c r="D12" s="87">
        <f t="shared" ref="D12:N12" si="12">+$P$12/12</f>
        <v>15.25</v>
      </c>
      <c r="E12" s="87">
        <f t="shared" si="12"/>
        <v>15.25</v>
      </c>
      <c r="F12" s="87">
        <f t="shared" si="12"/>
        <v>15.25</v>
      </c>
      <c r="G12" s="87">
        <f t="shared" si="12"/>
        <v>15.25</v>
      </c>
      <c r="H12" s="87">
        <f t="shared" si="12"/>
        <v>15.25</v>
      </c>
      <c r="I12" s="87">
        <f t="shared" si="12"/>
        <v>15.25</v>
      </c>
      <c r="J12" s="87">
        <f t="shared" si="12"/>
        <v>15.25</v>
      </c>
      <c r="K12" s="87">
        <f t="shared" si="12"/>
        <v>15.25</v>
      </c>
      <c r="L12" s="87">
        <f t="shared" si="12"/>
        <v>15.25</v>
      </c>
      <c r="M12" s="87">
        <f t="shared" si="12"/>
        <v>15.25</v>
      </c>
      <c r="N12" s="87">
        <f t="shared" si="12"/>
        <v>15.25</v>
      </c>
      <c r="O12" s="88">
        <f t="shared" si="1"/>
        <v>183</v>
      </c>
      <c r="P12" s="89">
        <v>183</v>
      </c>
      <c r="Q12" s="297">
        <f t="shared" si="2"/>
        <v>1</v>
      </c>
      <c r="R12" s="156">
        <f>+$AE$12/12</f>
        <v>16</v>
      </c>
      <c r="S12" s="87">
        <f t="shared" ref="S12:AC12" si="13">+$AE$12/12</f>
        <v>16</v>
      </c>
      <c r="T12" s="87">
        <f t="shared" si="13"/>
        <v>16</v>
      </c>
      <c r="U12" s="87">
        <f t="shared" si="13"/>
        <v>16</v>
      </c>
      <c r="V12" s="87">
        <f t="shared" si="13"/>
        <v>16</v>
      </c>
      <c r="W12" s="87">
        <f t="shared" si="13"/>
        <v>16</v>
      </c>
      <c r="X12" s="87">
        <f t="shared" si="13"/>
        <v>16</v>
      </c>
      <c r="Y12" s="87">
        <f t="shared" si="13"/>
        <v>16</v>
      </c>
      <c r="Z12" s="87">
        <f t="shared" si="13"/>
        <v>16</v>
      </c>
      <c r="AA12" s="87">
        <f t="shared" si="13"/>
        <v>16</v>
      </c>
      <c r="AB12" s="87">
        <f t="shared" si="13"/>
        <v>16</v>
      </c>
      <c r="AC12" s="87">
        <f t="shared" si="13"/>
        <v>16</v>
      </c>
      <c r="AD12" s="88">
        <f t="shared" si="4"/>
        <v>192</v>
      </c>
      <c r="AE12" s="89">
        <v>192</v>
      </c>
      <c r="AF12" s="90">
        <f t="shared" si="5"/>
        <v>1</v>
      </c>
    </row>
    <row r="13" spans="2:32" hidden="1" outlineLevel="1">
      <c r="B13" s="86" t="s">
        <v>517</v>
      </c>
      <c r="C13" s="87">
        <f>+$P$13/12</f>
        <v>35.5</v>
      </c>
      <c r="D13" s="87">
        <f t="shared" ref="D13:N13" si="14">+$P$13/12</f>
        <v>35.5</v>
      </c>
      <c r="E13" s="87">
        <f t="shared" si="14"/>
        <v>35.5</v>
      </c>
      <c r="F13" s="87">
        <f t="shared" si="14"/>
        <v>35.5</v>
      </c>
      <c r="G13" s="87">
        <f t="shared" si="14"/>
        <v>35.5</v>
      </c>
      <c r="H13" s="87">
        <f t="shared" si="14"/>
        <v>35.5</v>
      </c>
      <c r="I13" s="87">
        <f t="shared" si="14"/>
        <v>35.5</v>
      </c>
      <c r="J13" s="87">
        <f t="shared" si="14"/>
        <v>35.5</v>
      </c>
      <c r="K13" s="87">
        <f t="shared" si="14"/>
        <v>35.5</v>
      </c>
      <c r="L13" s="87">
        <f t="shared" si="14"/>
        <v>35.5</v>
      </c>
      <c r="M13" s="87">
        <f t="shared" si="14"/>
        <v>35.5</v>
      </c>
      <c r="N13" s="87">
        <f t="shared" si="14"/>
        <v>35.5</v>
      </c>
      <c r="O13" s="88">
        <f t="shared" si="1"/>
        <v>426</v>
      </c>
      <c r="P13" s="89">
        <v>426</v>
      </c>
      <c r="Q13" s="297">
        <f t="shared" si="2"/>
        <v>1</v>
      </c>
      <c r="R13" s="156">
        <f>+$AE$13/12</f>
        <v>37.25</v>
      </c>
      <c r="S13" s="87">
        <f t="shared" ref="S13:AC13" si="15">+$AE$13/12</f>
        <v>37.25</v>
      </c>
      <c r="T13" s="87">
        <f t="shared" si="15"/>
        <v>37.25</v>
      </c>
      <c r="U13" s="87">
        <f t="shared" si="15"/>
        <v>37.25</v>
      </c>
      <c r="V13" s="87">
        <f t="shared" si="15"/>
        <v>37.25</v>
      </c>
      <c r="W13" s="87">
        <f t="shared" si="15"/>
        <v>37.25</v>
      </c>
      <c r="X13" s="87">
        <f t="shared" si="15"/>
        <v>37.25</v>
      </c>
      <c r="Y13" s="87">
        <f t="shared" si="15"/>
        <v>37.25</v>
      </c>
      <c r="Z13" s="87">
        <f t="shared" si="15"/>
        <v>37.25</v>
      </c>
      <c r="AA13" s="87">
        <f t="shared" si="15"/>
        <v>37.25</v>
      </c>
      <c r="AB13" s="87">
        <f t="shared" si="15"/>
        <v>37.25</v>
      </c>
      <c r="AC13" s="87">
        <f t="shared" si="15"/>
        <v>37.25</v>
      </c>
      <c r="AD13" s="88">
        <f t="shared" si="4"/>
        <v>447</v>
      </c>
      <c r="AE13" s="89">
        <v>447</v>
      </c>
      <c r="AF13" s="90">
        <f t="shared" si="5"/>
        <v>1</v>
      </c>
    </row>
    <row r="14" spans="2:32" hidden="1" outlineLevel="1">
      <c r="B14" s="86" t="s">
        <v>518</v>
      </c>
      <c r="C14" s="87">
        <f>+$P$14/12</f>
        <v>60.916666666666664</v>
      </c>
      <c r="D14" s="87">
        <f t="shared" ref="D14:N14" si="16">+$P$14/12</f>
        <v>60.916666666666664</v>
      </c>
      <c r="E14" s="87">
        <f t="shared" si="16"/>
        <v>60.916666666666664</v>
      </c>
      <c r="F14" s="87">
        <f t="shared" si="16"/>
        <v>60.916666666666664</v>
      </c>
      <c r="G14" s="87">
        <f t="shared" si="16"/>
        <v>60.916666666666664</v>
      </c>
      <c r="H14" s="87">
        <f t="shared" si="16"/>
        <v>60.916666666666664</v>
      </c>
      <c r="I14" s="87">
        <f t="shared" si="16"/>
        <v>60.916666666666664</v>
      </c>
      <c r="J14" s="87">
        <f t="shared" si="16"/>
        <v>60.916666666666664</v>
      </c>
      <c r="K14" s="87">
        <f t="shared" si="16"/>
        <v>60.916666666666664</v>
      </c>
      <c r="L14" s="87">
        <f t="shared" si="16"/>
        <v>60.916666666666664</v>
      </c>
      <c r="M14" s="87">
        <f t="shared" si="16"/>
        <v>60.916666666666664</v>
      </c>
      <c r="N14" s="87">
        <f t="shared" si="16"/>
        <v>60.916666666666664</v>
      </c>
      <c r="O14" s="88">
        <f t="shared" si="1"/>
        <v>730.99999999999989</v>
      </c>
      <c r="P14" s="89">
        <v>731</v>
      </c>
      <c r="Q14" s="297">
        <f t="shared" si="2"/>
        <v>0.99999999999999989</v>
      </c>
      <c r="R14" s="156">
        <f>+$AE$14/12</f>
        <v>64</v>
      </c>
      <c r="S14" s="87">
        <f t="shared" ref="S14:AC14" si="17">+$AE$14/12</f>
        <v>64</v>
      </c>
      <c r="T14" s="87">
        <f t="shared" si="17"/>
        <v>64</v>
      </c>
      <c r="U14" s="87">
        <f t="shared" si="17"/>
        <v>64</v>
      </c>
      <c r="V14" s="87">
        <f t="shared" si="17"/>
        <v>64</v>
      </c>
      <c r="W14" s="87">
        <f t="shared" si="17"/>
        <v>64</v>
      </c>
      <c r="X14" s="87">
        <f t="shared" si="17"/>
        <v>64</v>
      </c>
      <c r="Y14" s="87">
        <f t="shared" si="17"/>
        <v>64</v>
      </c>
      <c r="Z14" s="87">
        <f t="shared" si="17"/>
        <v>64</v>
      </c>
      <c r="AA14" s="87">
        <f t="shared" si="17"/>
        <v>64</v>
      </c>
      <c r="AB14" s="87">
        <f t="shared" si="17"/>
        <v>64</v>
      </c>
      <c r="AC14" s="87">
        <f t="shared" si="17"/>
        <v>64</v>
      </c>
      <c r="AD14" s="88">
        <f t="shared" si="4"/>
        <v>768</v>
      </c>
      <c r="AE14" s="89">
        <v>768</v>
      </c>
      <c r="AF14" s="90">
        <f t="shared" si="5"/>
        <v>1</v>
      </c>
    </row>
    <row r="15" spans="2:32" hidden="1" outlineLevel="1">
      <c r="B15" s="86" t="s">
        <v>519</v>
      </c>
      <c r="C15" s="87">
        <f>+$P$15/12</f>
        <v>142.16666666666666</v>
      </c>
      <c r="D15" s="87">
        <f t="shared" ref="D15:N15" si="18">+$P$15/12</f>
        <v>142.16666666666666</v>
      </c>
      <c r="E15" s="87">
        <f t="shared" si="18"/>
        <v>142.16666666666666</v>
      </c>
      <c r="F15" s="87">
        <f t="shared" si="18"/>
        <v>142.16666666666666</v>
      </c>
      <c r="G15" s="87">
        <f t="shared" si="18"/>
        <v>142.16666666666666</v>
      </c>
      <c r="H15" s="87">
        <f t="shared" si="18"/>
        <v>142.16666666666666</v>
      </c>
      <c r="I15" s="87">
        <f t="shared" si="18"/>
        <v>142.16666666666666</v>
      </c>
      <c r="J15" s="87">
        <f t="shared" si="18"/>
        <v>142.16666666666666</v>
      </c>
      <c r="K15" s="87">
        <f t="shared" si="18"/>
        <v>142.16666666666666</v>
      </c>
      <c r="L15" s="87">
        <f t="shared" si="18"/>
        <v>142.16666666666666</v>
      </c>
      <c r="M15" s="87">
        <f t="shared" si="18"/>
        <v>142.16666666666666</v>
      </c>
      <c r="N15" s="87">
        <f t="shared" si="18"/>
        <v>142.16666666666666</v>
      </c>
      <c r="O15" s="88">
        <f t="shared" si="1"/>
        <v>1706.0000000000002</v>
      </c>
      <c r="P15" s="89">
        <v>1706</v>
      </c>
      <c r="Q15" s="297">
        <f t="shared" si="2"/>
        <v>1.0000000000000002</v>
      </c>
      <c r="R15" s="156">
        <f>+$AE$15/12</f>
        <v>149.25</v>
      </c>
      <c r="S15" s="87">
        <f t="shared" ref="S15:AC15" si="19">+$AE$15/12</f>
        <v>149.25</v>
      </c>
      <c r="T15" s="87">
        <f t="shared" si="19"/>
        <v>149.25</v>
      </c>
      <c r="U15" s="87">
        <f t="shared" si="19"/>
        <v>149.25</v>
      </c>
      <c r="V15" s="87">
        <f t="shared" si="19"/>
        <v>149.25</v>
      </c>
      <c r="W15" s="87">
        <f t="shared" si="19"/>
        <v>149.25</v>
      </c>
      <c r="X15" s="87">
        <f t="shared" si="19"/>
        <v>149.25</v>
      </c>
      <c r="Y15" s="87">
        <f t="shared" si="19"/>
        <v>149.25</v>
      </c>
      <c r="Z15" s="87">
        <f t="shared" si="19"/>
        <v>149.25</v>
      </c>
      <c r="AA15" s="87">
        <f t="shared" si="19"/>
        <v>149.25</v>
      </c>
      <c r="AB15" s="87">
        <f t="shared" si="19"/>
        <v>149.25</v>
      </c>
      <c r="AC15" s="87">
        <f t="shared" si="19"/>
        <v>149.25</v>
      </c>
      <c r="AD15" s="88">
        <f t="shared" si="4"/>
        <v>1791</v>
      </c>
      <c r="AE15" s="89">
        <v>1791</v>
      </c>
      <c r="AF15" s="90">
        <f t="shared" si="5"/>
        <v>1</v>
      </c>
    </row>
    <row r="16" spans="2:32" hidden="1" outlineLevel="1">
      <c r="B16" s="86" t="s">
        <v>520</v>
      </c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91"/>
      <c r="O16" s="88"/>
      <c r="P16" s="89">
        <v>0</v>
      </c>
      <c r="Q16" s="297"/>
      <c r="R16" s="156">
        <f>+$AE$16/12</f>
        <v>73.833333333333329</v>
      </c>
      <c r="S16" s="87">
        <f t="shared" ref="S16:AC16" si="20">+$AE$16/12</f>
        <v>73.833333333333329</v>
      </c>
      <c r="T16" s="87">
        <f t="shared" si="20"/>
        <v>73.833333333333329</v>
      </c>
      <c r="U16" s="87">
        <f t="shared" si="20"/>
        <v>73.833333333333329</v>
      </c>
      <c r="V16" s="87">
        <f t="shared" si="20"/>
        <v>73.833333333333329</v>
      </c>
      <c r="W16" s="87">
        <f t="shared" si="20"/>
        <v>73.833333333333329</v>
      </c>
      <c r="X16" s="87">
        <f t="shared" si="20"/>
        <v>73.833333333333329</v>
      </c>
      <c r="Y16" s="87">
        <f t="shared" si="20"/>
        <v>73.833333333333329</v>
      </c>
      <c r="Z16" s="87">
        <f t="shared" si="20"/>
        <v>73.833333333333329</v>
      </c>
      <c r="AA16" s="87">
        <f t="shared" si="20"/>
        <v>73.833333333333329</v>
      </c>
      <c r="AB16" s="87">
        <f t="shared" si="20"/>
        <v>73.833333333333329</v>
      </c>
      <c r="AC16" s="87">
        <f t="shared" si="20"/>
        <v>73.833333333333329</v>
      </c>
      <c r="AD16" s="88">
        <f t="shared" ref="AD16:AD17" si="21">SUM(R16:AC16)</f>
        <v>886.00000000000011</v>
      </c>
      <c r="AE16" s="89">
        <v>886</v>
      </c>
      <c r="AF16" s="90">
        <f t="shared" ref="AF16:AF17" si="22">IF(AE16=0,0,AD16/AE16)</f>
        <v>1.0000000000000002</v>
      </c>
    </row>
    <row r="17" spans="2:32" ht="14.5" hidden="1" outlineLevel="1" thickBot="1">
      <c r="B17" s="86" t="s">
        <v>521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91"/>
      <c r="O17" s="92"/>
      <c r="P17" s="93">
        <v>0</v>
      </c>
      <c r="Q17" s="298"/>
      <c r="R17" s="156">
        <f>+$AE$17/12</f>
        <v>5.083333333333333</v>
      </c>
      <c r="S17" s="87">
        <f t="shared" ref="S17:AC17" si="23">+$AE$17/12</f>
        <v>5.083333333333333</v>
      </c>
      <c r="T17" s="87">
        <f t="shared" si="23"/>
        <v>5.083333333333333</v>
      </c>
      <c r="U17" s="87">
        <f t="shared" si="23"/>
        <v>5.083333333333333</v>
      </c>
      <c r="V17" s="87">
        <f t="shared" si="23"/>
        <v>5.083333333333333</v>
      </c>
      <c r="W17" s="87">
        <f t="shared" si="23"/>
        <v>5.083333333333333</v>
      </c>
      <c r="X17" s="87">
        <f t="shared" si="23"/>
        <v>5.083333333333333</v>
      </c>
      <c r="Y17" s="87">
        <f t="shared" si="23"/>
        <v>5.083333333333333</v>
      </c>
      <c r="Z17" s="87">
        <f t="shared" si="23"/>
        <v>5.083333333333333</v>
      </c>
      <c r="AA17" s="87">
        <f t="shared" si="23"/>
        <v>5.083333333333333</v>
      </c>
      <c r="AB17" s="87">
        <f t="shared" si="23"/>
        <v>5.083333333333333</v>
      </c>
      <c r="AC17" s="87">
        <f t="shared" si="23"/>
        <v>5.083333333333333</v>
      </c>
      <c r="AD17" s="92">
        <f t="shared" si="21"/>
        <v>61.000000000000007</v>
      </c>
      <c r="AE17" s="93">
        <v>61</v>
      </c>
      <c r="AF17" s="94">
        <f t="shared" si="22"/>
        <v>1.0000000000000002</v>
      </c>
    </row>
    <row r="18" spans="2:32" ht="14.5" collapsed="1" thickBot="1">
      <c r="B18" s="95" t="s">
        <v>159</v>
      </c>
      <c r="C18" s="96">
        <f t="shared" ref="C18:N18" si="24">SUM(C8:C15)</f>
        <v>923.91666666666652</v>
      </c>
      <c r="D18" s="96">
        <f t="shared" si="24"/>
        <v>923.91666666666652</v>
      </c>
      <c r="E18" s="96">
        <f t="shared" si="24"/>
        <v>923.91666666666652</v>
      </c>
      <c r="F18" s="96">
        <f t="shared" si="24"/>
        <v>923.91666666666652</v>
      </c>
      <c r="G18" s="96">
        <f t="shared" si="24"/>
        <v>923.91666666666652</v>
      </c>
      <c r="H18" s="96">
        <f t="shared" si="24"/>
        <v>923.91666666666652</v>
      </c>
      <c r="I18" s="96">
        <f t="shared" si="24"/>
        <v>923.91666666666652</v>
      </c>
      <c r="J18" s="96">
        <f t="shared" si="24"/>
        <v>923.91666666666652</v>
      </c>
      <c r="K18" s="96">
        <f t="shared" si="24"/>
        <v>923.91666666666652</v>
      </c>
      <c r="L18" s="96">
        <f t="shared" si="24"/>
        <v>923.91666666666652</v>
      </c>
      <c r="M18" s="96">
        <f t="shared" si="24"/>
        <v>923.91666666666652</v>
      </c>
      <c r="N18" s="96">
        <f t="shared" si="24"/>
        <v>923.91666666666652</v>
      </c>
      <c r="O18" s="97">
        <f>SUM(O8:O17)</f>
        <v>11087</v>
      </c>
      <c r="P18" s="97">
        <f>SUM(P8:P17)</f>
        <v>11087</v>
      </c>
      <c r="Q18" s="299"/>
      <c r="R18" s="97">
        <f t="shared" ref="R18:AE18" si="25">SUM(R8:R17)</f>
        <v>1048.9166666666665</v>
      </c>
      <c r="S18" s="97">
        <f t="shared" si="25"/>
        <v>1048.9166666666665</v>
      </c>
      <c r="T18" s="97">
        <f t="shared" si="25"/>
        <v>1048.9166666666665</v>
      </c>
      <c r="U18" s="97">
        <f t="shared" si="25"/>
        <v>1048.9166666666665</v>
      </c>
      <c r="V18" s="97">
        <f t="shared" si="25"/>
        <v>1048.9166666666665</v>
      </c>
      <c r="W18" s="97">
        <f t="shared" si="25"/>
        <v>1048.9166666666665</v>
      </c>
      <c r="X18" s="97">
        <f t="shared" si="25"/>
        <v>1048.9166666666665</v>
      </c>
      <c r="Y18" s="97">
        <f t="shared" si="25"/>
        <v>1048.9166666666665</v>
      </c>
      <c r="Z18" s="97">
        <f t="shared" si="25"/>
        <v>1048.9166666666665</v>
      </c>
      <c r="AA18" s="97">
        <f t="shared" si="25"/>
        <v>1048.9166666666665</v>
      </c>
      <c r="AB18" s="97">
        <f t="shared" si="25"/>
        <v>1048.9166666666665</v>
      </c>
      <c r="AC18" s="97">
        <f t="shared" si="25"/>
        <v>1048.9166666666665</v>
      </c>
      <c r="AD18" s="97">
        <f t="shared" si="25"/>
        <v>12587</v>
      </c>
      <c r="AE18" s="97">
        <f t="shared" si="25"/>
        <v>12587</v>
      </c>
      <c r="AF18" s="97"/>
    </row>
    <row r="19" spans="2:32" ht="14.5" thickTop="1">
      <c r="Q19" s="134"/>
    </row>
    <row r="20" spans="2:32" ht="16" thickBot="1">
      <c r="B20" s="98" t="s">
        <v>471</v>
      </c>
      <c r="Q20" s="134"/>
    </row>
    <row r="21" spans="2:32" ht="28">
      <c r="B21" s="99" t="s">
        <v>152</v>
      </c>
      <c r="C21" s="99" t="s">
        <v>139</v>
      </c>
      <c r="D21" s="99" t="s">
        <v>140</v>
      </c>
      <c r="E21" s="99" t="s">
        <v>141</v>
      </c>
      <c r="F21" s="99" t="s">
        <v>142</v>
      </c>
      <c r="G21" s="99" t="s">
        <v>143</v>
      </c>
      <c r="H21" s="99" t="s">
        <v>144</v>
      </c>
      <c r="I21" s="99" t="s">
        <v>145</v>
      </c>
      <c r="J21" s="99" t="s">
        <v>146</v>
      </c>
      <c r="K21" s="99" t="s">
        <v>147</v>
      </c>
      <c r="L21" s="99" t="s">
        <v>148</v>
      </c>
      <c r="M21" s="99" t="s">
        <v>149</v>
      </c>
      <c r="N21" s="100" t="s">
        <v>150</v>
      </c>
      <c r="O21" s="80" t="s">
        <v>160</v>
      </c>
      <c r="P21" s="81" t="s">
        <v>161</v>
      </c>
      <c r="Q21" s="81" t="s">
        <v>162</v>
      </c>
      <c r="R21" s="101" t="s">
        <v>139</v>
      </c>
      <c r="S21" s="99" t="s">
        <v>140</v>
      </c>
      <c r="T21" s="99" t="s">
        <v>141</v>
      </c>
      <c r="U21" s="99" t="s">
        <v>142</v>
      </c>
      <c r="V21" s="99" t="s">
        <v>143</v>
      </c>
      <c r="W21" s="99" t="s">
        <v>144</v>
      </c>
      <c r="X21" s="99" t="s">
        <v>145</v>
      </c>
      <c r="Y21" s="99" t="s">
        <v>146</v>
      </c>
      <c r="Z21" s="99" t="s">
        <v>147</v>
      </c>
      <c r="AA21" s="99" t="s">
        <v>148</v>
      </c>
      <c r="AB21" s="99" t="s">
        <v>149</v>
      </c>
      <c r="AC21" s="100" t="s">
        <v>150</v>
      </c>
      <c r="AD21" s="80" t="s">
        <v>160</v>
      </c>
      <c r="AE21" s="81" t="s">
        <v>161</v>
      </c>
      <c r="AF21" s="82" t="s">
        <v>162</v>
      </c>
    </row>
    <row r="22" spans="2:32" hidden="1" outlineLevel="1">
      <c r="B22" s="102" t="s">
        <v>156</v>
      </c>
      <c r="C22" s="103">
        <v>29.7</v>
      </c>
      <c r="D22" s="103">
        <v>0</v>
      </c>
      <c r="E22" s="103">
        <v>22.335000000000001</v>
      </c>
      <c r="F22" s="103">
        <v>59.945</v>
      </c>
      <c r="G22" s="103">
        <v>14</v>
      </c>
      <c r="H22" s="104">
        <v>46</v>
      </c>
      <c r="I22" s="104">
        <v>90</v>
      </c>
      <c r="J22" s="104">
        <v>90</v>
      </c>
      <c r="K22" s="104">
        <v>90</v>
      </c>
      <c r="L22" s="104">
        <v>90</v>
      </c>
      <c r="M22" s="104">
        <v>90</v>
      </c>
      <c r="N22" s="105">
        <v>90</v>
      </c>
      <c r="O22" s="88">
        <f t="shared" ref="O22:O30" si="26">SUM(C22:N22)</f>
        <v>711.98</v>
      </c>
      <c r="P22" s="106">
        <f>IF(O8=0,0,O22/O8)</f>
        <v>0.25409707351891508</v>
      </c>
      <c r="Q22" s="288">
        <f>O22-O8</f>
        <v>-2090.02</v>
      </c>
      <c r="R22" s="108">
        <v>30</v>
      </c>
      <c r="S22" s="104">
        <v>60</v>
      </c>
      <c r="T22" s="104">
        <v>90</v>
      </c>
      <c r="U22" s="104">
        <v>90</v>
      </c>
      <c r="V22" s="104">
        <v>90</v>
      </c>
      <c r="W22" s="104">
        <v>90</v>
      </c>
      <c r="X22" s="104">
        <v>90</v>
      </c>
      <c r="Y22" s="104">
        <v>90</v>
      </c>
      <c r="Z22" s="104">
        <v>90</v>
      </c>
      <c r="AA22" s="104">
        <v>90</v>
      </c>
      <c r="AB22" s="104">
        <v>90</v>
      </c>
      <c r="AC22" s="105">
        <v>90</v>
      </c>
      <c r="AD22" s="88">
        <f t="shared" ref="AD22:AD30" si="27">SUM(R22:AC22)</f>
        <v>990</v>
      </c>
      <c r="AE22" s="106">
        <f>IF(AD8=0,0,AD22/AD8)</f>
        <v>0.33650577838205309</v>
      </c>
      <c r="AF22" s="107">
        <f>AD22-AD8</f>
        <v>-1951.9999999999995</v>
      </c>
    </row>
    <row r="23" spans="2:32" hidden="1" outlineLevel="1">
      <c r="B23" s="102" t="s">
        <v>157</v>
      </c>
      <c r="C23" s="103">
        <v>0</v>
      </c>
      <c r="D23" s="103">
        <v>0</v>
      </c>
      <c r="E23" s="103">
        <v>121.97</v>
      </c>
      <c r="F23" s="103">
        <v>134.773</v>
      </c>
      <c r="G23" s="103">
        <v>350.47</v>
      </c>
      <c r="H23" s="104">
        <v>348.83199999999999</v>
      </c>
      <c r="I23" s="104">
        <v>110</v>
      </c>
      <c r="J23" s="104">
        <v>50</v>
      </c>
      <c r="K23" s="104">
        <v>0</v>
      </c>
      <c r="L23" s="104">
        <v>150</v>
      </c>
      <c r="M23" s="104">
        <v>300</v>
      </c>
      <c r="N23" s="105">
        <v>240</v>
      </c>
      <c r="O23" s="88">
        <f t="shared" si="26"/>
        <v>1806.0450000000001</v>
      </c>
      <c r="P23" s="106">
        <f>IF(O9=0,0,O23/O9)</f>
        <v>0.5700899621212121</v>
      </c>
      <c r="Q23" s="288">
        <f>O23-O9</f>
        <v>-1361.9549999999999</v>
      </c>
      <c r="R23" s="108">
        <v>300</v>
      </c>
      <c r="S23" s="104">
        <v>300</v>
      </c>
      <c r="T23" s="104">
        <v>390</v>
      </c>
      <c r="U23" s="104">
        <v>420</v>
      </c>
      <c r="V23" s="104">
        <v>420</v>
      </c>
      <c r="W23" s="104">
        <v>420</v>
      </c>
      <c r="X23" s="104">
        <v>420</v>
      </c>
      <c r="Y23" s="104">
        <v>420</v>
      </c>
      <c r="Z23" s="104">
        <v>420</v>
      </c>
      <c r="AA23" s="104">
        <v>420</v>
      </c>
      <c r="AB23" s="104">
        <v>420</v>
      </c>
      <c r="AC23" s="105">
        <v>420</v>
      </c>
      <c r="AD23" s="88">
        <f t="shared" si="27"/>
        <v>4770</v>
      </c>
      <c r="AE23" s="106">
        <f>IF(AD9=0,0,AD23/AD9)</f>
        <v>1.4341551413108842</v>
      </c>
      <c r="AF23" s="107">
        <f>AD23-AD9</f>
        <v>1444.0000000000005</v>
      </c>
    </row>
    <row r="24" spans="2:32" hidden="1" outlineLevel="1">
      <c r="B24" s="102" t="s">
        <v>158</v>
      </c>
      <c r="C24" s="103">
        <v>0</v>
      </c>
      <c r="D24" s="103">
        <v>0</v>
      </c>
      <c r="E24" s="103">
        <v>5.16</v>
      </c>
      <c r="F24" s="103">
        <v>14.688000000000001</v>
      </c>
      <c r="G24" s="103">
        <v>59.125</v>
      </c>
      <c r="H24" s="104">
        <v>10.167999999999999</v>
      </c>
      <c r="I24" s="104">
        <v>70</v>
      </c>
      <c r="J24" s="104">
        <v>50</v>
      </c>
      <c r="K24" s="104">
        <v>50</v>
      </c>
      <c r="L24" s="104">
        <v>30</v>
      </c>
      <c r="M24" s="104">
        <v>60</v>
      </c>
      <c r="N24" s="105">
        <v>60</v>
      </c>
      <c r="O24" s="88">
        <f t="shared" si="26"/>
        <v>409.14099999999996</v>
      </c>
      <c r="P24" s="106">
        <f>IF(O10=0,0,O24/O10)</f>
        <v>1.1209342465753422</v>
      </c>
      <c r="Q24" s="288">
        <f>O24-O10</f>
        <v>44.140999999999906</v>
      </c>
      <c r="R24" s="108">
        <v>90</v>
      </c>
      <c r="S24" s="104">
        <v>90</v>
      </c>
      <c r="T24" s="104">
        <v>120</v>
      </c>
      <c r="U24" s="104">
        <v>150</v>
      </c>
      <c r="V24" s="104">
        <v>150</v>
      </c>
      <c r="W24" s="104">
        <v>150</v>
      </c>
      <c r="X24" s="104">
        <v>150</v>
      </c>
      <c r="Y24" s="104">
        <v>150</v>
      </c>
      <c r="Z24" s="104">
        <v>150</v>
      </c>
      <c r="AA24" s="104">
        <v>150</v>
      </c>
      <c r="AB24" s="104">
        <v>150</v>
      </c>
      <c r="AC24" s="105">
        <v>150</v>
      </c>
      <c r="AD24" s="88">
        <f t="shared" si="27"/>
        <v>1650</v>
      </c>
      <c r="AE24" s="106">
        <f>IF(AD10=0,0,AD24/AD10)</f>
        <v>4.3080939947780674</v>
      </c>
      <c r="AF24" s="107">
        <f>AD24-AD10</f>
        <v>1267</v>
      </c>
    </row>
    <row r="25" spans="2:32" hidden="1" outlineLevel="1">
      <c r="B25" s="109" t="s">
        <v>514</v>
      </c>
      <c r="C25" s="103">
        <v>0</v>
      </c>
      <c r="D25" s="103">
        <v>0</v>
      </c>
      <c r="E25" s="103">
        <v>0</v>
      </c>
      <c r="F25" s="103">
        <v>0</v>
      </c>
      <c r="G25" s="103">
        <v>0</v>
      </c>
      <c r="H25" s="104">
        <v>0</v>
      </c>
      <c r="I25" s="104">
        <v>0</v>
      </c>
      <c r="J25" s="104">
        <v>0</v>
      </c>
      <c r="K25" s="104">
        <v>30</v>
      </c>
      <c r="L25" s="104">
        <v>180</v>
      </c>
      <c r="M25" s="104">
        <v>150</v>
      </c>
      <c r="N25" s="105">
        <v>120</v>
      </c>
      <c r="O25" s="88">
        <f t="shared" ref="O25" si="28">SUM(C25:N25)</f>
        <v>480</v>
      </c>
      <c r="P25" s="106">
        <f>IF(O19=0,0,O25/O19)</f>
        <v>0</v>
      </c>
      <c r="Q25" s="288">
        <f>O25-O19</f>
        <v>480</v>
      </c>
      <c r="R25" s="108">
        <v>90</v>
      </c>
      <c r="S25" s="104">
        <v>90</v>
      </c>
      <c r="T25" s="104">
        <v>120</v>
      </c>
      <c r="U25" s="104">
        <v>150</v>
      </c>
      <c r="V25" s="104">
        <v>150</v>
      </c>
      <c r="W25" s="104">
        <v>150</v>
      </c>
      <c r="X25" s="104">
        <v>150</v>
      </c>
      <c r="Y25" s="104">
        <v>150</v>
      </c>
      <c r="Z25" s="104">
        <v>150</v>
      </c>
      <c r="AA25" s="104">
        <v>150</v>
      </c>
      <c r="AB25" s="104">
        <v>150</v>
      </c>
      <c r="AC25" s="105">
        <v>150</v>
      </c>
      <c r="AD25" s="88">
        <f t="shared" si="27"/>
        <v>1650</v>
      </c>
      <c r="AE25" s="106">
        <f>IF(AD19=0,0,AD25/AD19)</f>
        <v>0</v>
      </c>
      <c r="AF25" s="107">
        <f>AD25-AD19</f>
        <v>1650</v>
      </c>
    </row>
    <row r="26" spans="2:32" hidden="1" outlineLevel="1">
      <c r="B26" s="102" t="s">
        <v>515</v>
      </c>
      <c r="C26" s="103">
        <v>0</v>
      </c>
      <c r="D26" s="103">
        <v>0</v>
      </c>
      <c r="E26" s="103">
        <v>0</v>
      </c>
      <c r="F26" s="103">
        <v>0</v>
      </c>
      <c r="G26" s="103">
        <v>0</v>
      </c>
      <c r="H26" s="104">
        <v>0</v>
      </c>
      <c r="I26" s="104">
        <v>0</v>
      </c>
      <c r="J26" s="104">
        <v>60</v>
      </c>
      <c r="K26" s="104">
        <v>60</v>
      </c>
      <c r="L26" s="104">
        <v>60</v>
      </c>
      <c r="M26" s="104">
        <v>30</v>
      </c>
      <c r="N26" s="105">
        <v>30</v>
      </c>
      <c r="O26" s="88">
        <f t="shared" si="26"/>
        <v>240</v>
      </c>
      <c r="P26" s="106">
        <f>IF(O11=0,0,O26/O11)</f>
        <v>0.14067995310668227</v>
      </c>
      <c r="Q26" s="288">
        <f>O26-O11</f>
        <v>-1466.0000000000002</v>
      </c>
      <c r="R26" s="108">
        <v>30</v>
      </c>
      <c r="S26" s="104">
        <v>30</v>
      </c>
      <c r="T26" s="104">
        <v>60</v>
      </c>
      <c r="U26" s="104">
        <v>60</v>
      </c>
      <c r="V26" s="104">
        <v>60</v>
      </c>
      <c r="W26" s="104">
        <v>60</v>
      </c>
      <c r="X26" s="104">
        <v>60</v>
      </c>
      <c r="Y26" s="104">
        <v>60</v>
      </c>
      <c r="Z26" s="104">
        <v>60</v>
      </c>
      <c r="AA26" s="104">
        <v>60</v>
      </c>
      <c r="AB26" s="104">
        <v>60</v>
      </c>
      <c r="AC26" s="105">
        <v>60</v>
      </c>
      <c r="AD26" s="88">
        <f t="shared" si="27"/>
        <v>660</v>
      </c>
      <c r="AE26" s="106">
        <f t="shared" ref="AE26:AE32" si="29">IF(AD11=0,0,AD26/AD11)</f>
        <v>0.36850921273031828</v>
      </c>
      <c r="AF26" s="107">
        <f t="shared" ref="AF26:AF32" si="30">AD26-AD11</f>
        <v>-1131</v>
      </c>
    </row>
    <row r="27" spans="2:32" hidden="1" outlineLevel="1">
      <c r="B27" s="102" t="s">
        <v>516</v>
      </c>
      <c r="C27" s="103">
        <v>0</v>
      </c>
      <c r="D27" s="103">
        <v>0</v>
      </c>
      <c r="E27" s="103">
        <v>0</v>
      </c>
      <c r="F27" s="103">
        <v>0</v>
      </c>
      <c r="G27" s="103">
        <v>8</v>
      </c>
      <c r="H27" s="104">
        <v>0</v>
      </c>
      <c r="I27" s="104">
        <v>0</v>
      </c>
      <c r="J27" s="104">
        <v>30</v>
      </c>
      <c r="K27" s="104">
        <v>30</v>
      </c>
      <c r="L27" s="104">
        <v>30</v>
      </c>
      <c r="M27" s="104">
        <v>30</v>
      </c>
      <c r="N27" s="105">
        <v>30</v>
      </c>
      <c r="O27" s="88">
        <f t="shared" si="26"/>
        <v>158</v>
      </c>
      <c r="P27" s="106">
        <f>IF(O12=0,0,O27/O12)</f>
        <v>0.86338797814207646</v>
      </c>
      <c r="Q27" s="288">
        <f>O27-O12</f>
        <v>-25</v>
      </c>
      <c r="R27" s="108">
        <v>0</v>
      </c>
      <c r="S27" s="104">
        <v>30</v>
      </c>
      <c r="T27" s="104">
        <v>30</v>
      </c>
      <c r="U27" s="104">
        <v>30</v>
      </c>
      <c r="V27" s="104">
        <v>30</v>
      </c>
      <c r="W27" s="104">
        <v>30</v>
      </c>
      <c r="X27" s="104">
        <v>30</v>
      </c>
      <c r="Y27" s="104">
        <v>30</v>
      </c>
      <c r="Z27" s="104">
        <v>30</v>
      </c>
      <c r="AA27" s="104">
        <v>30</v>
      </c>
      <c r="AB27" s="104">
        <v>30</v>
      </c>
      <c r="AC27" s="105">
        <v>30</v>
      </c>
      <c r="AD27" s="88">
        <f t="shared" si="27"/>
        <v>330</v>
      </c>
      <c r="AE27" s="106">
        <f t="shared" si="29"/>
        <v>1.71875</v>
      </c>
      <c r="AF27" s="107">
        <f t="shared" si="30"/>
        <v>138</v>
      </c>
    </row>
    <row r="28" spans="2:32" hidden="1" outlineLevel="1">
      <c r="B28" s="102" t="s">
        <v>517</v>
      </c>
      <c r="C28" s="103">
        <v>0</v>
      </c>
      <c r="D28" s="103">
        <v>0</v>
      </c>
      <c r="E28" s="103">
        <v>0</v>
      </c>
      <c r="F28" s="103">
        <v>0</v>
      </c>
      <c r="G28" s="103">
        <v>0</v>
      </c>
      <c r="H28" s="104">
        <v>0</v>
      </c>
      <c r="I28" s="104">
        <v>0</v>
      </c>
      <c r="J28" s="104">
        <v>0</v>
      </c>
      <c r="K28" s="104">
        <v>30</v>
      </c>
      <c r="L28" s="104">
        <v>30</v>
      </c>
      <c r="M28" s="104">
        <v>30</v>
      </c>
      <c r="N28" s="105">
        <v>30</v>
      </c>
      <c r="O28" s="88">
        <f t="shared" si="26"/>
        <v>120</v>
      </c>
      <c r="P28" s="106">
        <f>IF(O13=0,0,O28/O13)</f>
        <v>0.28169014084507044</v>
      </c>
      <c r="Q28" s="288">
        <f>O28-O13</f>
        <v>-306</v>
      </c>
      <c r="R28" s="108">
        <v>30</v>
      </c>
      <c r="S28" s="104">
        <v>30</v>
      </c>
      <c r="T28" s="104">
        <v>45</v>
      </c>
      <c r="U28" s="104">
        <v>60</v>
      </c>
      <c r="V28" s="104">
        <v>60</v>
      </c>
      <c r="W28" s="104">
        <v>60</v>
      </c>
      <c r="X28" s="104">
        <v>60</v>
      </c>
      <c r="Y28" s="104">
        <v>60</v>
      </c>
      <c r="Z28" s="104">
        <v>60</v>
      </c>
      <c r="AA28" s="104">
        <v>60</v>
      </c>
      <c r="AB28" s="104">
        <v>60</v>
      </c>
      <c r="AC28" s="105">
        <v>60</v>
      </c>
      <c r="AD28" s="88">
        <f t="shared" si="27"/>
        <v>645</v>
      </c>
      <c r="AE28" s="106">
        <f t="shared" si="29"/>
        <v>1.4429530201342282</v>
      </c>
      <c r="AF28" s="107">
        <f t="shared" si="30"/>
        <v>198</v>
      </c>
    </row>
    <row r="29" spans="2:32" hidden="1" outlineLevel="1">
      <c r="B29" s="102" t="s">
        <v>518</v>
      </c>
      <c r="C29" s="103">
        <v>0</v>
      </c>
      <c r="D29" s="103">
        <v>0</v>
      </c>
      <c r="E29" s="103">
        <v>0</v>
      </c>
      <c r="F29" s="103">
        <v>0</v>
      </c>
      <c r="G29" s="103">
        <v>6</v>
      </c>
      <c r="H29" s="104">
        <v>0</v>
      </c>
      <c r="I29" s="104">
        <v>0</v>
      </c>
      <c r="J29" s="104">
        <v>0</v>
      </c>
      <c r="K29" s="104">
        <v>0</v>
      </c>
      <c r="L29" s="104">
        <v>54</v>
      </c>
      <c r="M29" s="104">
        <v>30</v>
      </c>
      <c r="N29" s="105">
        <v>30</v>
      </c>
      <c r="O29" s="88">
        <f t="shared" si="26"/>
        <v>120</v>
      </c>
      <c r="P29" s="106">
        <f>IF(O14=0,0,O29/O14)</f>
        <v>0.16415868673050618</v>
      </c>
      <c r="Q29" s="288">
        <f>O29-O14</f>
        <v>-610.99999999999989</v>
      </c>
      <c r="R29" s="108">
        <v>30</v>
      </c>
      <c r="S29" s="104">
        <v>30</v>
      </c>
      <c r="T29" s="104">
        <v>60</v>
      </c>
      <c r="U29" s="104">
        <v>60</v>
      </c>
      <c r="V29" s="104">
        <v>60</v>
      </c>
      <c r="W29" s="104">
        <v>60</v>
      </c>
      <c r="X29" s="104">
        <v>60</v>
      </c>
      <c r="Y29" s="104">
        <v>60</v>
      </c>
      <c r="Z29" s="104">
        <v>60</v>
      </c>
      <c r="AA29" s="104">
        <v>60</v>
      </c>
      <c r="AB29" s="104">
        <v>60</v>
      </c>
      <c r="AC29" s="105">
        <v>60</v>
      </c>
      <c r="AD29" s="88">
        <f t="shared" si="27"/>
        <v>660</v>
      </c>
      <c r="AE29" s="106">
        <f t="shared" si="29"/>
        <v>0.859375</v>
      </c>
      <c r="AF29" s="107">
        <f t="shared" si="30"/>
        <v>-108</v>
      </c>
    </row>
    <row r="30" spans="2:32" hidden="1" outlineLevel="1">
      <c r="B30" s="102" t="s">
        <v>519</v>
      </c>
      <c r="C30" s="103">
        <v>0</v>
      </c>
      <c r="D30" s="103">
        <v>0</v>
      </c>
      <c r="E30" s="103">
        <v>0</v>
      </c>
      <c r="F30" s="103">
        <v>0</v>
      </c>
      <c r="G30" s="103">
        <v>74</v>
      </c>
      <c r="H30" s="104">
        <v>0</v>
      </c>
      <c r="I30" s="104">
        <v>0</v>
      </c>
      <c r="J30" s="104">
        <v>0</v>
      </c>
      <c r="K30" s="104">
        <v>0</v>
      </c>
      <c r="L30" s="104">
        <v>16</v>
      </c>
      <c r="M30" s="104">
        <v>120</v>
      </c>
      <c r="N30" s="105">
        <v>60</v>
      </c>
      <c r="O30" s="88">
        <f t="shared" si="26"/>
        <v>270</v>
      </c>
      <c r="P30" s="106">
        <f>IF(O15=0,0,O30/O15)</f>
        <v>0.15826494724501755</v>
      </c>
      <c r="Q30" s="288">
        <f>O30-O15</f>
        <v>-1436.0000000000002</v>
      </c>
      <c r="R30" s="108">
        <v>90</v>
      </c>
      <c r="S30" s="104">
        <v>90</v>
      </c>
      <c r="T30" s="104">
        <v>120</v>
      </c>
      <c r="U30" s="104">
        <v>120</v>
      </c>
      <c r="V30" s="104">
        <v>150</v>
      </c>
      <c r="W30" s="104">
        <v>150</v>
      </c>
      <c r="X30" s="104">
        <v>150</v>
      </c>
      <c r="Y30" s="104">
        <v>150</v>
      </c>
      <c r="Z30" s="104">
        <v>150</v>
      </c>
      <c r="AA30" s="104">
        <v>150</v>
      </c>
      <c r="AB30" s="104">
        <v>150</v>
      </c>
      <c r="AC30" s="105">
        <v>150</v>
      </c>
      <c r="AD30" s="88">
        <f t="shared" si="27"/>
        <v>1620</v>
      </c>
      <c r="AE30" s="106">
        <f t="shared" si="29"/>
        <v>0.90452261306532666</v>
      </c>
      <c r="AF30" s="107">
        <f t="shared" si="30"/>
        <v>-171</v>
      </c>
    </row>
    <row r="31" spans="2:32" hidden="1" outlineLevel="1">
      <c r="B31" s="102" t="s">
        <v>520</v>
      </c>
      <c r="C31" s="103"/>
      <c r="D31" s="103"/>
      <c r="E31" s="103"/>
      <c r="F31" s="103"/>
      <c r="G31" s="103"/>
      <c r="H31" s="104"/>
      <c r="I31" s="104"/>
      <c r="J31" s="104"/>
      <c r="K31" s="104"/>
      <c r="L31" s="104"/>
      <c r="M31" s="104"/>
      <c r="N31" s="105"/>
      <c r="O31" s="88"/>
      <c r="P31" s="106"/>
      <c r="Q31" s="288"/>
      <c r="R31" s="108">
        <v>30</v>
      </c>
      <c r="S31" s="104">
        <v>60</v>
      </c>
      <c r="T31" s="104">
        <v>60</v>
      </c>
      <c r="U31" s="104">
        <v>60</v>
      </c>
      <c r="V31" s="104">
        <v>90</v>
      </c>
      <c r="W31" s="104">
        <v>90</v>
      </c>
      <c r="X31" s="104">
        <v>90</v>
      </c>
      <c r="Y31" s="104">
        <v>90</v>
      </c>
      <c r="Z31" s="104">
        <v>90</v>
      </c>
      <c r="AA31" s="104">
        <v>90</v>
      </c>
      <c r="AB31" s="104">
        <v>90</v>
      </c>
      <c r="AC31" s="105">
        <v>90</v>
      </c>
      <c r="AD31" s="88">
        <f t="shared" ref="AD31:AD32" si="31">SUM(R31:AC31)</f>
        <v>930</v>
      </c>
      <c r="AE31" s="106">
        <f t="shared" si="29"/>
        <v>1.0496613995485327</v>
      </c>
      <c r="AF31" s="107">
        <f t="shared" si="30"/>
        <v>43.999999999999886</v>
      </c>
    </row>
    <row r="32" spans="2:32" ht="14.5" hidden="1" outlineLevel="1" thickBot="1">
      <c r="B32" s="102" t="s">
        <v>521</v>
      </c>
      <c r="C32" s="103"/>
      <c r="D32" s="103"/>
      <c r="E32" s="103"/>
      <c r="F32" s="103"/>
      <c r="G32" s="103"/>
      <c r="H32" s="104"/>
      <c r="I32" s="104"/>
      <c r="J32" s="104"/>
      <c r="K32" s="104"/>
      <c r="L32" s="104"/>
      <c r="M32" s="104"/>
      <c r="N32" s="105"/>
      <c r="O32" s="92"/>
      <c r="P32" s="110"/>
      <c r="Q32" s="291"/>
      <c r="R32" s="108">
        <v>15</v>
      </c>
      <c r="S32" s="104">
        <v>15</v>
      </c>
      <c r="T32" s="104">
        <v>30</v>
      </c>
      <c r="U32" s="104">
        <v>30</v>
      </c>
      <c r="V32" s="104">
        <v>30</v>
      </c>
      <c r="W32" s="104">
        <v>30</v>
      </c>
      <c r="X32" s="104">
        <v>30</v>
      </c>
      <c r="Y32" s="104">
        <v>30</v>
      </c>
      <c r="Z32" s="104">
        <v>30</v>
      </c>
      <c r="AA32" s="104">
        <v>30</v>
      </c>
      <c r="AB32" s="104">
        <v>30</v>
      </c>
      <c r="AC32" s="105">
        <v>30</v>
      </c>
      <c r="AD32" s="92">
        <f t="shared" si="31"/>
        <v>330</v>
      </c>
      <c r="AE32" s="110">
        <f t="shared" si="29"/>
        <v>5.4098360655737698</v>
      </c>
      <c r="AF32" s="111">
        <f t="shared" si="30"/>
        <v>269</v>
      </c>
    </row>
    <row r="33" spans="2:33" ht="14.5" collapsed="1" thickBot="1">
      <c r="B33" s="109" t="s">
        <v>163</v>
      </c>
      <c r="C33" s="112">
        <f>SUM(C22:C32)</f>
        <v>29.7</v>
      </c>
      <c r="D33" s="112">
        <f t="shared" ref="D33:O33" si="32">SUM(D22:D32)</f>
        <v>0</v>
      </c>
      <c r="E33" s="112">
        <f t="shared" si="32"/>
        <v>149.465</v>
      </c>
      <c r="F33" s="112">
        <f t="shared" si="32"/>
        <v>209.40599999999998</v>
      </c>
      <c r="G33" s="112">
        <f t="shared" si="32"/>
        <v>511.59500000000003</v>
      </c>
      <c r="H33" s="112">
        <f t="shared" si="32"/>
        <v>405</v>
      </c>
      <c r="I33" s="112">
        <f t="shared" si="32"/>
        <v>270</v>
      </c>
      <c r="J33" s="112">
        <f t="shared" si="32"/>
        <v>280</v>
      </c>
      <c r="K33" s="112">
        <f t="shared" si="32"/>
        <v>290</v>
      </c>
      <c r="L33" s="112">
        <f t="shared" si="32"/>
        <v>640</v>
      </c>
      <c r="M33" s="112">
        <f t="shared" si="32"/>
        <v>840</v>
      </c>
      <c r="N33" s="112">
        <f t="shared" si="32"/>
        <v>690</v>
      </c>
      <c r="O33" s="113">
        <f t="shared" si="32"/>
        <v>4315.1660000000002</v>
      </c>
      <c r="P33" s="114">
        <f>+O33/O18</f>
        <v>0.3892095246685307</v>
      </c>
      <c r="Q33" s="295">
        <f>SUM(Q22:Q32)</f>
        <v>-6771.8339999999998</v>
      </c>
      <c r="R33" s="112">
        <f>SUM(R22:R32)</f>
        <v>735</v>
      </c>
      <c r="S33" s="112">
        <f t="shared" ref="S33:AC33" si="33">SUM(S22:S32)</f>
        <v>825</v>
      </c>
      <c r="T33" s="112">
        <f t="shared" si="33"/>
        <v>1125</v>
      </c>
      <c r="U33" s="112">
        <f t="shared" si="33"/>
        <v>1230</v>
      </c>
      <c r="V33" s="112">
        <f t="shared" si="33"/>
        <v>1290</v>
      </c>
      <c r="W33" s="112">
        <f t="shared" si="33"/>
        <v>1290</v>
      </c>
      <c r="X33" s="112">
        <f t="shared" si="33"/>
        <v>1290</v>
      </c>
      <c r="Y33" s="112">
        <f t="shared" si="33"/>
        <v>1290</v>
      </c>
      <c r="Z33" s="112">
        <f t="shared" si="33"/>
        <v>1290</v>
      </c>
      <c r="AA33" s="112">
        <f t="shared" si="33"/>
        <v>1290</v>
      </c>
      <c r="AB33" s="112">
        <f t="shared" si="33"/>
        <v>1290</v>
      </c>
      <c r="AC33" s="112">
        <f t="shared" si="33"/>
        <v>1290</v>
      </c>
      <c r="AD33" s="113">
        <f>SUM(AD22:AD32)</f>
        <v>14235</v>
      </c>
      <c r="AE33" s="114">
        <f>+AD33/AD18</f>
        <v>1.1309287359974578</v>
      </c>
      <c r="AF33" s="113">
        <f>SUM(AF22:AF32)</f>
        <v>1648.0000000000009</v>
      </c>
    </row>
    <row r="34" spans="2:33" ht="14.5" thickTop="1">
      <c r="C34" s="300">
        <f t="shared" ref="C34:F34" si="34">+C33/$O$33</f>
        <v>6.8827016156504748E-3</v>
      </c>
      <c r="D34" s="300">
        <f t="shared" si="34"/>
        <v>0</v>
      </c>
      <c r="E34" s="300">
        <f t="shared" si="34"/>
        <v>3.4637137945562231E-2</v>
      </c>
      <c r="F34" s="300">
        <f t="shared" si="34"/>
        <v>4.8527912947033777E-2</v>
      </c>
      <c r="G34" s="300">
        <f>+G33/$O$33</f>
        <v>0.11855743208951869</v>
      </c>
      <c r="H34" s="300">
        <f t="shared" ref="H34:N34" si="35">+H33/$O$33</f>
        <v>9.3855022031597388E-2</v>
      </c>
      <c r="I34" s="300">
        <f t="shared" si="35"/>
        <v>6.2570014687731587E-2</v>
      </c>
      <c r="J34" s="300">
        <f t="shared" si="35"/>
        <v>6.4887422639129055E-2</v>
      </c>
      <c r="K34" s="300">
        <f t="shared" si="35"/>
        <v>6.7204830590526524E-2</v>
      </c>
      <c r="L34" s="300">
        <f t="shared" si="35"/>
        <v>0.14831410888943786</v>
      </c>
      <c r="M34" s="300">
        <f t="shared" si="35"/>
        <v>0.19466226791738717</v>
      </c>
      <c r="N34" s="300">
        <f t="shared" si="35"/>
        <v>0.15990114864642518</v>
      </c>
      <c r="Q34" s="301">
        <f>+Q33/O18</f>
        <v>-0.61079047533146924</v>
      </c>
      <c r="R34" s="115">
        <f>+R33/$AD$33</f>
        <v>5.1633298208640675E-2</v>
      </c>
      <c r="S34" s="115">
        <f t="shared" ref="S34:AC34" si="36">+S33/$AD$33</f>
        <v>5.7955742887249737E-2</v>
      </c>
      <c r="T34" s="115">
        <f t="shared" si="36"/>
        <v>7.9030558482613283E-2</v>
      </c>
      <c r="U34" s="115">
        <f t="shared" si="36"/>
        <v>8.6406743940990516E-2</v>
      </c>
      <c r="V34" s="115">
        <f t="shared" si="36"/>
        <v>9.0621707060063228E-2</v>
      </c>
      <c r="W34" s="115">
        <f t="shared" si="36"/>
        <v>9.0621707060063228E-2</v>
      </c>
      <c r="X34" s="115">
        <f t="shared" si="36"/>
        <v>9.0621707060063228E-2</v>
      </c>
      <c r="Y34" s="115">
        <f t="shared" si="36"/>
        <v>9.0621707060063228E-2</v>
      </c>
      <c r="Z34" s="115">
        <f t="shared" si="36"/>
        <v>9.0621707060063228E-2</v>
      </c>
      <c r="AA34" s="115">
        <f t="shared" si="36"/>
        <v>9.0621707060063228E-2</v>
      </c>
      <c r="AB34" s="115">
        <f t="shared" si="36"/>
        <v>9.0621707060063228E-2</v>
      </c>
      <c r="AC34" s="115">
        <f t="shared" si="36"/>
        <v>9.0621707060063228E-2</v>
      </c>
      <c r="AF34" s="116">
        <f>+AF33/AD18</f>
        <v>0.13092873599745777</v>
      </c>
      <c r="AG34" s="117"/>
    </row>
    <row r="35" spans="2:33" ht="16" thickBot="1">
      <c r="B35" s="118" t="s">
        <v>472</v>
      </c>
      <c r="F35" s="119"/>
      <c r="Q35" s="134"/>
    </row>
    <row r="36" spans="2:33" ht="28">
      <c r="B36" s="120" t="s">
        <v>152</v>
      </c>
      <c r="C36" s="120" t="s">
        <v>139</v>
      </c>
      <c r="D36" s="120" t="s">
        <v>140</v>
      </c>
      <c r="E36" s="120" t="s">
        <v>141</v>
      </c>
      <c r="F36" s="120" t="s">
        <v>142</v>
      </c>
      <c r="G36" s="120" t="s">
        <v>143</v>
      </c>
      <c r="H36" s="120" t="s">
        <v>144</v>
      </c>
      <c r="I36" s="120" t="s">
        <v>145</v>
      </c>
      <c r="J36" s="120" t="s">
        <v>146</v>
      </c>
      <c r="K36" s="120" t="s">
        <v>147</v>
      </c>
      <c r="L36" s="120" t="s">
        <v>148</v>
      </c>
      <c r="M36" s="120" t="s">
        <v>149</v>
      </c>
      <c r="N36" s="121" t="s">
        <v>150</v>
      </c>
      <c r="O36" s="122" t="s">
        <v>164</v>
      </c>
      <c r="P36" s="123" t="s">
        <v>165</v>
      </c>
      <c r="Q36" s="123" t="s">
        <v>162</v>
      </c>
      <c r="R36" s="125" t="s">
        <v>139</v>
      </c>
      <c r="S36" s="120" t="s">
        <v>140</v>
      </c>
      <c r="T36" s="120" t="s">
        <v>141</v>
      </c>
      <c r="U36" s="120" t="s">
        <v>142</v>
      </c>
      <c r="V36" s="120" t="s">
        <v>143</v>
      </c>
      <c r="W36" s="120" t="s">
        <v>144</v>
      </c>
      <c r="X36" s="120" t="s">
        <v>145</v>
      </c>
      <c r="Y36" s="120" t="s">
        <v>146</v>
      </c>
      <c r="Z36" s="120" t="s">
        <v>147</v>
      </c>
      <c r="AA36" s="120" t="s">
        <v>148</v>
      </c>
      <c r="AB36" s="120" t="s">
        <v>149</v>
      </c>
      <c r="AC36" s="121" t="s">
        <v>150</v>
      </c>
      <c r="AD36" s="122" t="s">
        <v>164</v>
      </c>
      <c r="AE36" s="123" t="s">
        <v>470</v>
      </c>
      <c r="AF36" s="124" t="s">
        <v>162</v>
      </c>
    </row>
    <row r="37" spans="2:33" hidden="1" outlineLevel="1">
      <c r="B37" s="126" t="s">
        <v>156</v>
      </c>
      <c r="C37" s="103">
        <v>29.7</v>
      </c>
      <c r="D37" s="103">
        <v>0</v>
      </c>
      <c r="E37" s="103">
        <v>22.335000000000001</v>
      </c>
      <c r="F37" s="103">
        <v>59.945</v>
      </c>
      <c r="G37" s="103">
        <v>0</v>
      </c>
      <c r="H37" s="104">
        <v>60</v>
      </c>
      <c r="I37" s="104">
        <v>90</v>
      </c>
      <c r="J37" s="104">
        <v>90</v>
      </c>
      <c r="K37" s="104">
        <v>90</v>
      </c>
      <c r="L37" s="104">
        <v>90</v>
      </c>
      <c r="M37" s="104">
        <v>90</v>
      </c>
      <c r="N37" s="105">
        <v>90</v>
      </c>
      <c r="O37" s="88">
        <f t="shared" ref="O37:O45" si="37">SUM(C37:N37)</f>
        <v>711.98</v>
      </c>
      <c r="P37" s="89">
        <v>2760</v>
      </c>
      <c r="Q37" s="288">
        <f t="shared" ref="Q37:Q45" si="38">O37-P37</f>
        <v>-2048.02</v>
      </c>
      <c r="R37" s="108">
        <v>30</v>
      </c>
      <c r="S37" s="104">
        <v>60</v>
      </c>
      <c r="T37" s="104">
        <v>90</v>
      </c>
      <c r="U37" s="104">
        <v>90</v>
      </c>
      <c r="V37" s="104">
        <v>90</v>
      </c>
      <c r="W37" s="104">
        <v>90</v>
      </c>
      <c r="X37" s="104">
        <v>90</v>
      </c>
      <c r="Y37" s="104">
        <v>90</v>
      </c>
      <c r="Z37" s="104">
        <v>90</v>
      </c>
      <c r="AA37" s="104">
        <v>90</v>
      </c>
      <c r="AB37" s="104">
        <v>90</v>
      </c>
      <c r="AC37" s="105">
        <v>90</v>
      </c>
      <c r="AD37" s="88">
        <f t="shared" ref="AD37:AD45" si="39">SUM(R37:AC37)</f>
        <v>990</v>
      </c>
      <c r="AE37" s="89">
        <v>2898</v>
      </c>
      <c r="AF37" s="107">
        <f t="shared" ref="AF37:AF45" si="40">AD37-AE37</f>
        <v>-1908</v>
      </c>
    </row>
    <row r="38" spans="2:33" hidden="1" outlineLevel="1">
      <c r="B38" s="126" t="s">
        <v>157</v>
      </c>
      <c r="C38" s="103">
        <v>0</v>
      </c>
      <c r="D38" s="103">
        <v>0</v>
      </c>
      <c r="E38" s="103">
        <v>121.97</v>
      </c>
      <c r="F38" s="103">
        <v>134.773</v>
      </c>
      <c r="G38" s="103">
        <v>224.47</v>
      </c>
      <c r="H38" s="104">
        <v>474.83199999999999</v>
      </c>
      <c r="I38" s="104">
        <v>110</v>
      </c>
      <c r="J38" s="104">
        <v>50</v>
      </c>
      <c r="K38" s="104">
        <v>0</v>
      </c>
      <c r="L38" s="104">
        <v>120</v>
      </c>
      <c r="M38" s="104">
        <v>300</v>
      </c>
      <c r="N38" s="105">
        <v>210</v>
      </c>
      <c r="O38" s="88">
        <f t="shared" si="37"/>
        <v>1746.0450000000001</v>
      </c>
      <c r="P38" s="89">
        <v>3120</v>
      </c>
      <c r="Q38" s="288">
        <f t="shared" si="38"/>
        <v>-1373.9549999999999</v>
      </c>
      <c r="R38" s="108">
        <v>300</v>
      </c>
      <c r="S38" s="104">
        <v>300</v>
      </c>
      <c r="T38" s="104">
        <v>390</v>
      </c>
      <c r="U38" s="104">
        <v>420</v>
      </c>
      <c r="V38" s="104">
        <v>420</v>
      </c>
      <c r="W38" s="104">
        <v>420</v>
      </c>
      <c r="X38" s="104">
        <v>420</v>
      </c>
      <c r="Y38" s="104">
        <v>420</v>
      </c>
      <c r="Z38" s="104">
        <v>420</v>
      </c>
      <c r="AA38" s="104">
        <v>420</v>
      </c>
      <c r="AB38" s="104">
        <v>420</v>
      </c>
      <c r="AC38" s="105">
        <v>420</v>
      </c>
      <c r="AD38" s="88">
        <f t="shared" si="39"/>
        <v>4770</v>
      </c>
      <c r="AE38" s="89">
        <v>3276</v>
      </c>
      <c r="AF38" s="107">
        <f t="shared" si="40"/>
        <v>1494</v>
      </c>
    </row>
    <row r="39" spans="2:33" hidden="1" outlineLevel="1">
      <c r="B39" s="126" t="s">
        <v>158</v>
      </c>
      <c r="C39" s="103">
        <v>0</v>
      </c>
      <c r="D39" s="103">
        <v>0</v>
      </c>
      <c r="E39" s="103">
        <v>5.16</v>
      </c>
      <c r="F39" s="103">
        <v>14.688000000000001</v>
      </c>
      <c r="G39" s="103">
        <v>34.125</v>
      </c>
      <c r="H39" s="104">
        <v>35.167999999999999</v>
      </c>
      <c r="I39" s="104">
        <v>70</v>
      </c>
      <c r="J39" s="104">
        <v>50</v>
      </c>
      <c r="K39" s="104">
        <v>50</v>
      </c>
      <c r="L39" s="104">
        <v>30</v>
      </c>
      <c r="M39" s="104">
        <v>60</v>
      </c>
      <c r="N39" s="105">
        <v>30</v>
      </c>
      <c r="O39" s="88">
        <f t="shared" si="37"/>
        <v>379.14099999999996</v>
      </c>
      <c r="P39" s="89">
        <v>360</v>
      </c>
      <c r="Q39" s="288">
        <f t="shared" si="38"/>
        <v>19.140999999999963</v>
      </c>
      <c r="R39" s="108">
        <v>90</v>
      </c>
      <c r="S39" s="104">
        <v>90</v>
      </c>
      <c r="T39" s="104">
        <v>120</v>
      </c>
      <c r="U39" s="104">
        <v>150</v>
      </c>
      <c r="V39" s="104">
        <v>150</v>
      </c>
      <c r="W39" s="104">
        <v>150</v>
      </c>
      <c r="X39" s="104">
        <v>150</v>
      </c>
      <c r="Y39" s="104">
        <v>150</v>
      </c>
      <c r="Z39" s="104">
        <v>150</v>
      </c>
      <c r="AA39" s="104">
        <v>150</v>
      </c>
      <c r="AB39" s="104">
        <v>150</v>
      </c>
      <c r="AC39" s="105">
        <v>150</v>
      </c>
      <c r="AD39" s="88">
        <f t="shared" si="39"/>
        <v>1650</v>
      </c>
      <c r="AE39" s="89">
        <v>377</v>
      </c>
      <c r="AF39" s="107">
        <f t="shared" si="40"/>
        <v>1273</v>
      </c>
    </row>
    <row r="40" spans="2:33" hidden="1" outlineLevel="1">
      <c r="B40" s="127" t="s">
        <v>514</v>
      </c>
      <c r="C40" s="103">
        <v>0</v>
      </c>
      <c r="D40" s="103">
        <v>0</v>
      </c>
      <c r="E40" s="103">
        <v>0</v>
      </c>
      <c r="F40" s="103">
        <v>0</v>
      </c>
      <c r="G40" s="103">
        <v>0</v>
      </c>
      <c r="H40" s="104">
        <v>0</v>
      </c>
      <c r="I40" s="104">
        <v>0</v>
      </c>
      <c r="J40" s="104">
        <v>0</v>
      </c>
      <c r="K40" s="104">
        <v>30</v>
      </c>
      <c r="L40" s="104">
        <v>150</v>
      </c>
      <c r="M40" s="104">
        <v>120</v>
      </c>
      <c r="N40" s="105">
        <v>150</v>
      </c>
      <c r="O40" s="88">
        <f t="shared" ref="O40" si="41">SUM(C40:N40)</f>
        <v>450</v>
      </c>
      <c r="P40" s="89">
        <v>0</v>
      </c>
      <c r="Q40" s="288">
        <f t="shared" ref="Q40" si="42">O40-P40</f>
        <v>450</v>
      </c>
      <c r="R40" s="108">
        <v>90</v>
      </c>
      <c r="S40" s="104">
        <v>90</v>
      </c>
      <c r="T40" s="104">
        <v>120</v>
      </c>
      <c r="U40" s="104">
        <v>150</v>
      </c>
      <c r="V40" s="104">
        <v>150</v>
      </c>
      <c r="W40" s="104">
        <v>150</v>
      </c>
      <c r="X40" s="104">
        <v>150</v>
      </c>
      <c r="Y40" s="104">
        <v>150</v>
      </c>
      <c r="Z40" s="104">
        <v>150</v>
      </c>
      <c r="AA40" s="104">
        <v>150</v>
      </c>
      <c r="AB40" s="104">
        <v>150</v>
      </c>
      <c r="AC40" s="105">
        <v>150</v>
      </c>
      <c r="AD40" s="88">
        <f t="shared" si="39"/>
        <v>1650</v>
      </c>
      <c r="AE40" s="89">
        <v>0</v>
      </c>
      <c r="AF40" s="107">
        <f t="shared" si="40"/>
        <v>1650</v>
      </c>
    </row>
    <row r="41" spans="2:33" hidden="1" outlineLevel="1">
      <c r="B41" s="126" t="s">
        <v>515</v>
      </c>
      <c r="C41" s="103">
        <v>0</v>
      </c>
      <c r="D41" s="103">
        <v>0</v>
      </c>
      <c r="E41" s="103">
        <v>0</v>
      </c>
      <c r="F41" s="103">
        <v>0</v>
      </c>
      <c r="G41" s="103">
        <v>0</v>
      </c>
      <c r="H41" s="104">
        <v>0</v>
      </c>
      <c r="I41" s="104">
        <v>0</v>
      </c>
      <c r="J41" s="104">
        <v>60</v>
      </c>
      <c r="K41" s="104">
        <v>60</v>
      </c>
      <c r="L41" s="104">
        <v>60</v>
      </c>
      <c r="M41" s="104">
        <v>30</v>
      </c>
      <c r="N41" s="105">
        <v>30</v>
      </c>
      <c r="O41" s="88">
        <f t="shared" si="37"/>
        <v>240</v>
      </c>
      <c r="P41" s="89">
        <v>1680</v>
      </c>
      <c r="Q41" s="288">
        <f t="shared" si="38"/>
        <v>-1440</v>
      </c>
      <c r="R41" s="108">
        <v>30</v>
      </c>
      <c r="S41" s="104">
        <v>30</v>
      </c>
      <c r="T41" s="104">
        <v>60</v>
      </c>
      <c r="U41" s="104">
        <v>60</v>
      </c>
      <c r="V41" s="104">
        <v>60</v>
      </c>
      <c r="W41" s="104">
        <v>60</v>
      </c>
      <c r="X41" s="104">
        <v>60</v>
      </c>
      <c r="Y41" s="104">
        <v>60</v>
      </c>
      <c r="Z41" s="104">
        <v>60</v>
      </c>
      <c r="AA41" s="104">
        <v>60</v>
      </c>
      <c r="AB41" s="104">
        <v>60</v>
      </c>
      <c r="AC41" s="105">
        <v>60</v>
      </c>
      <c r="AD41" s="88">
        <f t="shared" si="39"/>
        <v>660</v>
      </c>
      <c r="AE41" s="89">
        <v>1764</v>
      </c>
      <c r="AF41" s="107">
        <f t="shared" si="40"/>
        <v>-1104</v>
      </c>
    </row>
    <row r="42" spans="2:33" hidden="1" outlineLevel="1">
      <c r="B42" s="126" t="s">
        <v>516</v>
      </c>
      <c r="C42" s="103">
        <v>0</v>
      </c>
      <c r="D42" s="103">
        <v>0</v>
      </c>
      <c r="E42" s="103">
        <v>0</v>
      </c>
      <c r="F42" s="103">
        <v>0</v>
      </c>
      <c r="G42" s="103">
        <v>8</v>
      </c>
      <c r="H42" s="104">
        <v>0</v>
      </c>
      <c r="I42" s="104">
        <v>0</v>
      </c>
      <c r="J42" s="104">
        <v>30</v>
      </c>
      <c r="K42" s="104">
        <v>30</v>
      </c>
      <c r="L42" s="104">
        <v>30</v>
      </c>
      <c r="M42" s="104">
        <v>30</v>
      </c>
      <c r="N42" s="105">
        <v>30</v>
      </c>
      <c r="O42" s="88">
        <f t="shared" si="37"/>
        <v>158</v>
      </c>
      <c r="P42" s="89">
        <v>180</v>
      </c>
      <c r="Q42" s="288">
        <f t="shared" si="38"/>
        <v>-22</v>
      </c>
      <c r="R42" s="108">
        <v>0</v>
      </c>
      <c r="S42" s="104">
        <v>30</v>
      </c>
      <c r="T42" s="104">
        <v>30</v>
      </c>
      <c r="U42" s="104">
        <v>30</v>
      </c>
      <c r="V42" s="104">
        <v>30</v>
      </c>
      <c r="W42" s="104">
        <v>30</v>
      </c>
      <c r="X42" s="104">
        <v>30</v>
      </c>
      <c r="Y42" s="104">
        <v>30</v>
      </c>
      <c r="Z42" s="104">
        <v>30</v>
      </c>
      <c r="AA42" s="104">
        <v>30</v>
      </c>
      <c r="AB42" s="104">
        <v>30</v>
      </c>
      <c r="AC42" s="105">
        <v>30</v>
      </c>
      <c r="AD42" s="88">
        <f t="shared" si="39"/>
        <v>330</v>
      </c>
      <c r="AE42" s="89">
        <v>189</v>
      </c>
      <c r="AF42" s="107">
        <f t="shared" si="40"/>
        <v>141</v>
      </c>
    </row>
    <row r="43" spans="2:33" hidden="1" outlineLevel="1">
      <c r="B43" s="126" t="s">
        <v>517</v>
      </c>
      <c r="C43" s="103">
        <v>0</v>
      </c>
      <c r="D43" s="103">
        <v>0</v>
      </c>
      <c r="E43" s="103">
        <v>0</v>
      </c>
      <c r="F43" s="103">
        <v>0</v>
      </c>
      <c r="G43" s="103">
        <v>0</v>
      </c>
      <c r="H43" s="104">
        <v>0</v>
      </c>
      <c r="I43" s="104">
        <v>0</v>
      </c>
      <c r="J43" s="104">
        <v>0</v>
      </c>
      <c r="K43" s="104">
        <v>30</v>
      </c>
      <c r="L43" s="104">
        <v>30</v>
      </c>
      <c r="M43" s="104">
        <v>30</v>
      </c>
      <c r="N43" s="105">
        <v>30</v>
      </c>
      <c r="O43" s="88">
        <f t="shared" si="37"/>
        <v>120</v>
      </c>
      <c r="P43" s="89">
        <v>420</v>
      </c>
      <c r="Q43" s="288">
        <f t="shared" si="38"/>
        <v>-300</v>
      </c>
      <c r="R43" s="108">
        <v>30</v>
      </c>
      <c r="S43" s="104">
        <v>30</v>
      </c>
      <c r="T43" s="104">
        <v>45</v>
      </c>
      <c r="U43" s="104">
        <v>60</v>
      </c>
      <c r="V43" s="104">
        <v>60</v>
      </c>
      <c r="W43" s="104">
        <v>60</v>
      </c>
      <c r="X43" s="104">
        <v>60</v>
      </c>
      <c r="Y43" s="104">
        <v>60</v>
      </c>
      <c r="Z43" s="104">
        <v>60</v>
      </c>
      <c r="AA43" s="104">
        <v>60</v>
      </c>
      <c r="AB43" s="104">
        <v>60</v>
      </c>
      <c r="AC43" s="105">
        <v>60</v>
      </c>
      <c r="AD43" s="88">
        <f t="shared" si="39"/>
        <v>645</v>
      </c>
      <c r="AE43" s="89">
        <v>440</v>
      </c>
      <c r="AF43" s="107">
        <f t="shared" si="40"/>
        <v>205</v>
      </c>
    </row>
    <row r="44" spans="2:33" hidden="1" outlineLevel="1">
      <c r="B44" s="126" t="s">
        <v>518</v>
      </c>
      <c r="C44" s="103">
        <v>0</v>
      </c>
      <c r="D44" s="103">
        <v>0</v>
      </c>
      <c r="E44" s="103">
        <v>0</v>
      </c>
      <c r="F44" s="103">
        <v>0</v>
      </c>
      <c r="G44" s="103">
        <v>0</v>
      </c>
      <c r="H44" s="104">
        <v>0</v>
      </c>
      <c r="I44" s="104">
        <v>0</v>
      </c>
      <c r="J44" s="104">
        <v>0</v>
      </c>
      <c r="K44" s="104">
        <v>0</v>
      </c>
      <c r="L44" s="104">
        <v>45</v>
      </c>
      <c r="M44" s="104">
        <v>45</v>
      </c>
      <c r="N44" s="105">
        <v>30</v>
      </c>
      <c r="O44" s="88">
        <f t="shared" si="37"/>
        <v>120</v>
      </c>
      <c r="P44" s="89">
        <v>720</v>
      </c>
      <c r="Q44" s="288">
        <f t="shared" si="38"/>
        <v>-600</v>
      </c>
      <c r="R44" s="108">
        <v>30</v>
      </c>
      <c r="S44" s="104">
        <v>30</v>
      </c>
      <c r="T44" s="104">
        <v>60</v>
      </c>
      <c r="U44" s="104">
        <v>60</v>
      </c>
      <c r="V44" s="104">
        <v>60</v>
      </c>
      <c r="W44" s="104">
        <v>60</v>
      </c>
      <c r="X44" s="104">
        <v>60</v>
      </c>
      <c r="Y44" s="104">
        <v>60</v>
      </c>
      <c r="Z44" s="104">
        <v>60</v>
      </c>
      <c r="AA44" s="104">
        <v>60</v>
      </c>
      <c r="AB44" s="104">
        <v>60</v>
      </c>
      <c r="AC44" s="105">
        <v>60</v>
      </c>
      <c r="AD44" s="88">
        <f t="shared" si="39"/>
        <v>660</v>
      </c>
      <c r="AE44" s="89">
        <v>756</v>
      </c>
      <c r="AF44" s="107">
        <f t="shared" si="40"/>
        <v>-96</v>
      </c>
    </row>
    <row r="45" spans="2:33" hidden="1" outlineLevel="1">
      <c r="B45" s="126" t="s">
        <v>519</v>
      </c>
      <c r="C45" s="103">
        <v>0</v>
      </c>
      <c r="D45" s="103">
        <v>0</v>
      </c>
      <c r="E45" s="103">
        <v>0</v>
      </c>
      <c r="F45" s="103">
        <v>0</v>
      </c>
      <c r="G45" s="103">
        <v>0</v>
      </c>
      <c r="H45" s="104">
        <v>0</v>
      </c>
      <c r="I45" s="104">
        <v>0</v>
      </c>
      <c r="J45" s="104">
        <v>0</v>
      </c>
      <c r="K45" s="104">
        <v>0</v>
      </c>
      <c r="L45" s="104">
        <v>90</v>
      </c>
      <c r="M45" s="104">
        <v>120</v>
      </c>
      <c r="N45" s="105">
        <v>60</v>
      </c>
      <c r="O45" s="88">
        <f t="shared" si="37"/>
        <v>270</v>
      </c>
      <c r="P45" s="89">
        <v>1680</v>
      </c>
      <c r="Q45" s="288">
        <f t="shared" si="38"/>
        <v>-1410</v>
      </c>
      <c r="R45" s="108">
        <v>90</v>
      </c>
      <c r="S45" s="104">
        <v>90</v>
      </c>
      <c r="T45" s="104">
        <v>120</v>
      </c>
      <c r="U45" s="104">
        <v>120</v>
      </c>
      <c r="V45" s="104">
        <v>150</v>
      </c>
      <c r="W45" s="104">
        <v>150</v>
      </c>
      <c r="X45" s="104">
        <v>150</v>
      </c>
      <c r="Y45" s="104">
        <v>150</v>
      </c>
      <c r="Z45" s="104">
        <v>150</v>
      </c>
      <c r="AA45" s="104">
        <v>150</v>
      </c>
      <c r="AB45" s="104">
        <v>150</v>
      </c>
      <c r="AC45" s="105">
        <v>150</v>
      </c>
      <c r="AD45" s="88">
        <f t="shared" si="39"/>
        <v>1620</v>
      </c>
      <c r="AE45" s="89">
        <v>1764</v>
      </c>
      <c r="AF45" s="107">
        <f t="shared" si="40"/>
        <v>-144</v>
      </c>
    </row>
    <row r="46" spans="2:33" hidden="1" outlineLevel="1">
      <c r="B46" s="126" t="s">
        <v>520</v>
      </c>
      <c r="C46" s="103"/>
      <c r="D46" s="103"/>
      <c r="E46" s="103"/>
      <c r="F46" s="103"/>
      <c r="G46" s="103"/>
      <c r="H46" s="104"/>
      <c r="I46" s="104"/>
      <c r="J46" s="104"/>
      <c r="K46" s="104"/>
      <c r="L46" s="104"/>
      <c r="M46" s="104"/>
      <c r="N46" s="105"/>
      <c r="O46" s="88"/>
      <c r="P46" s="89"/>
      <c r="Q46" s="288"/>
      <c r="R46" s="108">
        <v>30</v>
      </c>
      <c r="S46" s="104">
        <v>60</v>
      </c>
      <c r="T46" s="104">
        <v>60</v>
      </c>
      <c r="U46" s="104">
        <v>60</v>
      </c>
      <c r="V46" s="104">
        <v>90</v>
      </c>
      <c r="W46" s="104">
        <v>90</v>
      </c>
      <c r="X46" s="104">
        <v>90</v>
      </c>
      <c r="Y46" s="104">
        <v>90</v>
      </c>
      <c r="Z46" s="104">
        <v>90</v>
      </c>
      <c r="AA46" s="104">
        <v>90</v>
      </c>
      <c r="AB46" s="104">
        <v>90</v>
      </c>
      <c r="AC46" s="105">
        <v>90</v>
      </c>
      <c r="AD46" s="88">
        <f t="shared" ref="AD46:AD47" si="43">SUM(R46:AC46)</f>
        <v>930</v>
      </c>
      <c r="AE46" s="89">
        <v>873</v>
      </c>
      <c r="AF46" s="107">
        <f t="shared" ref="AF46:AF47" si="44">AD46-AE46</f>
        <v>57</v>
      </c>
    </row>
    <row r="47" spans="2:33" ht="14.5" hidden="1" outlineLevel="1" thickBot="1">
      <c r="B47" s="126" t="s">
        <v>521</v>
      </c>
      <c r="C47" s="103"/>
      <c r="D47" s="103"/>
      <c r="E47" s="103"/>
      <c r="F47" s="103"/>
      <c r="G47" s="103"/>
      <c r="H47" s="104"/>
      <c r="I47" s="104"/>
      <c r="J47" s="104"/>
      <c r="K47" s="104"/>
      <c r="L47" s="104"/>
      <c r="M47" s="104"/>
      <c r="N47" s="105"/>
      <c r="O47" s="92"/>
      <c r="P47" s="93"/>
      <c r="Q47" s="291"/>
      <c r="R47" s="108">
        <v>15</v>
      </c>
      <c r="S47" s="104">
        <v>15</v>
      </c>
      <c r="T47" s="104">
        <v>30</v>
      </c>
      <c r="U47" s="104">
        <v>30</v>
      </c>
      <c r="V47" s="104">
        <v>30</v>
      </c>
      <c r="W47" s="104">
        <v>30</v>
      </c>
      <c r="X47" s="104">
        <v>30</v>
      </c>
      <c r="Y47" s="104">
        <v>30</v>
      </c>
      <c r="Z47" s="104">
        <v>30</v>
      </c>
      <c r="AA47" s="104">
        <v>30</v>
      </c>
      <c r="AB47" s="104">
        <v>30</v>
      </c>
      <c r="AC47" s="105">
        <v>30</v>
      </c>
      <c r="AD47" s="92">
        <f t="shared" si="43"/>
        <v>330</v>
      </c>
      <c r="AE47" s="93">
        <v>60</v>
      </c>
      <c r="AF47" s="111">
        <f t="shared" si="44"/>
        <v>270</v>
      </c>
    </row>
    <row r="48" spans="2:33" ht="14.5" collapsed="1" thickBot="1">
      <c r="B48" s="127" t="s">
        <v>166</v>
      </c>
      <c r="C48" s="128">
        <f>SUM(C37:C47)</f>
        <v>29.7</v>
      </c>
      <c r="D48" s="128">
        <f t="shared" ref="D48:P48" si="45">SUM(D37:D47)</f>
        <v>0</v>
      </c>
      <c r="E48" s="128">
        <f t="shared" si="45"/>
        <v>149.465</v>
      </c>
      <c r="F48" s="128">
        <f t="shared" si="45"/>
        <v>209.40599999999998</v>
      </c>
      <c r="G48" s="128">
        <f t="shared" si="45"/>
        <v>266.59500000000003</v>
      </c>
      <c r="H48" s="128">
        <f t="shared" si="45"/>
        <v>570</v>
      </c>
      <c r="I48" s="128">
        <f t="shared" si="45"/>
        <v>270</v>
      </c>
      <c r="J48" s="128">
        <f t="shared" si="45"/>
        <v>280</v>
      </c>
      <c r="K48" s="128">
        <f t="shared" si="45"/>
        <v>290</v>
      </c>
      <c r="L48" s="128">
        <f t="shared" si="45"/>
        <v>645</v>
      </c>
      <c r="M48" s="128">
        <f t="shared" si="45"/>
        <v>825</v>
      </c>
      <c r="N48" s="128">
        <f t="shared" si="45"/>
        <v>660</v>
      </c>
      <c r="O48" s="129">
        <f t="shared" si="45"/>
        <v>4195.1660000000002</v>
      </c>
      <c r="P48" s="129">
        <f t="shared" si="45"/>
        <v>10920</v>
      </c>
      <c r="Q48" s="302">
        <f>SUM(Q37:Q47)</f>
        <v>-6724.8339999999998</v>
      </c>
      <c r="R48" s="128">
        <f>SUM(R37:R47)</f>
        <v>735</v>
      </c>
      <c r="S48" s="128">
        <f t="shared" ref="S48:AC48" si="46">SUM(S37:S47)</f>
        <v>825</v>
      </c>
      <c r="T48" s="128">
        <f t="shared" si="46"/>
        <v>1125</v>
      </c>
      <c r="U48" s="128">
        <f t="shared" si="46"/>
        <v>1230</v>
      </c>
      <c r="V48" s="128">
        <f t="shared" si="46"/>
        <v>1290</v>
      </c>
      <c r="W48" s="128">
        <f t="shared" si="46"/>
        <v>1290</v>
      </c>
      <c r="X48" s="128">
        <f t="shared" si="46"/>
        <v>1290</v>
      </c>
      <c r="Y48" s="128">
        <f t="shared" si="46"/>
        <v>1290</v>
      </c>
      <c r="Z48" s="128">
        <f t="shared" si="46"/>
        <v>1290</v>
      </c>
      <c r="AA48" s="128">
        <f t="shared" si="46"/>
        <v>1290</v>
      </c>
      <c r="AB48" s="128">
        <f t="shared" si="46"/>
        <v>1290</v>
      </c>
      <c r="AC48" s="128">
        <f t="shared" si="46"/>
        <v>1290</v>
      </c>
      <c r="AD48" s="129">
        <f>SUM(AD37:AD47)</f>
        <v>14235</v>
      </c>
      <c r="AE48" s="129">
        <f>SUM(AE37:AE47)</f>
        <v>12397</v>
      </c>
      <c r="AF48" s="129">
        <f>SUM(AF37:AF47)</f>
        <v>1838</v>
      </c>
    </row>
    <row r="49" spans="3:33" ht="14.5" thickTop="1">
      <c r="P49" s="303">
        <f>+O48/P48</f>
        <v>0.38417271062271063</v>
      </c>
      <c r="Q49" s="301">
        <f>+Q48/P48</f>
        <v>-0.61582728937728937</v>
      </c>
      <c r="AE49" s="130">
        <f>+AD48/AE48</f>
        <v>1.1482616762119868</v>
      </c>
      <c r="AF49" s="116">
        <f>+AF48/AE48</f>
        <v>0.14826167621198677</v>
      </c>
      <c r="AG49" s="117"/>
    </row>
    <row r="50" spans="3:33">
      <c r="O50" s="296"/>
      <c r="Q50" s="304"/>
    </row>
    <row r="51" spans="3:33"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</row>
  </sheetData>
  <mergeCells count="2">
    <mergeCell ref="C5:Q5"/>
    <mergeCell ref="R5:AF5"/>
  </mergeCells>
  <pageMargins left="0.75" right="0.75" top="1" bottom="1" header="0.511811023622047" footer="0.511811023622047"/>
  <pageSetup paperSize="9" orientation="portrait" horizontalDpi="300" verticalDpi="300"/>
  <ignoredErrors>
    <ignoredError sqref="P33 AE3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86C1"/>
  </sheetPr>
  <dimension ref="B2:AF40"/>
  <sheetViews>
    <sheetView showGridLines="0" zoomScale="115" zoomScaleNormal="115"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AE42" sqref="AE42"/>
    </sheetView>
  </sheetViews>
  <sheetFormatPr baseColWidth="10" defaultColWidth="8.6328125" defaultRowHeight="14" outlineLevelRow="1" outlineLevelCol="1"/>
  <cols>
    <col min="1" max="1" width="5.08984375" style="72" customWidth="1"/>
    <col min="2" max="2" width="35.54296875" style="72" customWidth="1"/>
    <col min="3" max="14" width="8" style="72" hidden="1" customWidth="1" outlineLevel="1"/>
    <col min="15" max="15" width="13.7265625" style="72" customWidth="1" collapsed="1"/>
    <col min="16" max="16" width="10" style="72" bestFit="1" customWidth="1"/>
    <col min="17" max="17" width="10.6328125" style="72" bestFit="1" customWidth="1"/>
    <col min="18" max="29" width="9" style="72" hidden="1" customWidth="1" outlineLevel="1"/>
    <col min="30" max="30" width="10" style="72" bestFit="1" customWidth="1" collapsed="1"/>
    <col min="31" max="31" width="10" style="72" bestFit="1" customWidth="1"/>
    <col min="32" max="32" width="10.6328125" style="72" bestFit="1" customWidth="1"/>
    <col min="33" max="16384" width="8.6328125" style="72"/>
  </cols>
  <sheetData>
    <row r="2" spans="2:32" ht="18">
      <c r="B2" s="73" t="s">
        <v>480</v>
      </c>
    </row>
    <row r="3" spans="2:32">
      <c r="B3" s="74" t="s">
        <v>482</v>
      </c>
    </row>
    <row r="4" spans="2:32">
      <c r="B4" s="74"/>
    </row>
    <row r="5" spans="2:32" ht="20">
      <c r="C5" s="334">
        <v>2026</v>
      </c>
      <c r="D5" s="334"/>
      <c r="E5" s="334"/>
      <c r="F5" s="334"/>
      <c r="G5" s="334"/>
      <c r="H5" s="334"/>
      <c r="I5" s="334"/>
      <c r="J5" s="334"/>
      <c r="K5" s="334"/>
      <c r="L5" s="334"/>
      <c r="M5" s="334"/>
      <c r="N5" s="334"/>
      <c r="O5" s="334"/>
      <c r="P5" s="334"/>
      <c r="Q5" s="335"/>
      <c r="R5" s="334">
        <v>2027</v>
      </c>
      <c r="S5" s="334"/>
      <c r="T5" s="334"/>
      <c r="U5" s="334"/>
      <c r="V5" s="334"/>
      <c r="W5" s="334"/>
      <c r="X5" s="334"/>
      <c r="Y5" s="334"/>
      <c r="Z5" s="334"/>
      <c r="AA5" s="334"/>
      <c r="AB5" s="334"/>
      <c r="AC5" s="334"/>
      <c r="AD5" s="334"/>
      <c r="AE5" s="334"/>
      <c r="AF5" s="334"/>
    </row>
    <row r="6" spans="2:32" ht="16" thickBot="1">
      <c r="B6" s="133" t="s">
        <v>567</v>
      </c>
      <c r="Q6" s="134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</row>
    <row r="7" spans="2:32" ht="31" customHeight="1">
      <c r="B7" s="78" t="s">
        <v>152</v>
      </c>
      <c r="C7" s="78" t="s">
        <v>139</v>
      </c>
      <c r="D7" s="78" t="s">
        <v>140</v>
      </c>
      <c r="E7" s="78" t="s">
        <v>141</v>
      </c>
      <c r="F7" s="78" t="s">
        <v>142</v>
      </c>
      <c r="G7" s="78" t="s">
        <v>143</v>
      </c>
      <c r="H7" s="78" t="s">
        <v>144</v>
      </c>
      <c r="I7" s="78" t="s">
        <v>145</v>
      </c>
      <c r="J7" s="78" t="s">
        <v>146</v>
      </c>
      <c r="K7" s="78" t="s">
        <v>147</v>
      </c>
      <c r="L7" s="78" t="s">
        <v>148</v>
      </c>
      <c r="M7" s="78" t="s">
        <v>149</v>
      </c>
      <c r="N7" s="79" t="s">
        <v>150</v>
      </c>
      <c r="O7" s="137" t="s">
        <v>167</v>
      </c>
      <c r="P7" s="138" t="s">
        <v>168</v>
      </c>
      <c r="Q7" s="138" t="s">
        <v>169</v>
      </c>
      <c r="R7" s="140" t="s">
        <v>139</v>
      </c>
      <c r="S7" s="78" t="s">
        <v>140</v>
      </c>
      <c r="T7" s="78" t="s">
        <v>141</v>
      </c>
      <c r="U7" s="78" t="s">
        <v>142</v>
      </c>
      <c r="V7" s="78" t="s">
        <v>143</v>
      </c>
      <c r="W7" s="78" t="s">
        <v>144</v>
      </c>
      <c r="X7" s="78" t="s">
        <v>145</v>
      </c>
      <c r="Y7" s="78" t="s">
        <v>146</v>
      </c>
      <c r="Z7" s="78" t="s">
        <v>147</v>
      </c>
      <c r="AA7" s="78" t="s">
        <v>148</v>
      </c>
      <c r="AB7" s="78" t="s">
        <v>149</v>
      </c>
      <c r="AC7" s="79" t="s">
        <v>150</v>
      </c>
      <c r="AD7" s="137" t="s">
        <v>477</v>
      </c>
      <c r="AE7" s="138" t="s">
        <v>168</v>
      </c>
      <c r="AF7" s="139" t="s">
        <v>169</v>
      </c>
    </row>
    <row r="8" spans="2:32" hidden="1" outlineLevel="1">
      <c r="B8" s="86" t="s">
        <v>156</v>
      </c>
      <c r="C8" s="141">
        <v>680</v>
      </c>
      <c r="D8" s="141">
        <v>0</v>
      </c>
      <c r="E8" s="141">
        <v>660</v>
      </c>
      <c r="F8" s="141">
        <v>760</v>
      </c>
      <c r="G8" s="142">
        <v>680</v>
      </c>
      <c r="H8" s="142">
        <v>858</v>
      </c>
      <c r="I8" s="142">
        <v>858</v>
      </c>
      <c r="J8" s="142">
        <v>858</v>
      </c>
      <c r="K8" s="142">
        <v>858</v>
      </c>
      <c r="L8" s="142">
        <v>858</v>
      </c>
      <c r="M8" s="142">
        <v>858</v>
      </c>
      <c r="N8" s="143">
        <v>858</v>
      </c>
      <c r="O8" s="144">
        <f>IF(Ej_Producción!O37=0,0,O23/Ej_Producción!O37)</f>
        <v>836.1123907974943</v>
      </c>
      <c r="P8" s="145">
        <v>800</v>
      </c>
      <c r="Q8" s="286">
        <f t="shared" ref="Q8:Q18" si="0">IF(P8=0,0,(O8-P8)/P8)</f>
        <v>4.5140488496867873E-2</v>
      </c>
      <c r="R8" s="147">
        <v>858</v>
      </c>
      <c r="S8" s="142">
        <v>858</v>
      </c>
      <c r="T8" s="142">
        <v>858</v>
      </c>
      <c r="U8" s="142">
        <v>858</v>
      </c>
      <c r="V8" s="142">
        <v>858</v>
      </c>
      <c r="W8" s="142">
        <v>858</v>
      </c>
      <c r="X8" s="142">
        <v>858</v>
      </c>
      <c r="Y8" s="142">
        <v>858</v>
      </c>
      <c r="Z8" s="142">
        <v>858</v>
      </c>
      <c r="AA8" s="142">
        <v>858</v>
      </c>
      <c r="AB8" s="142">
        <v>858</v>
      </c>
      <c r="AC8" s="143">
        <v>858</v>
      </c>
      <c r="AD8" s="144">
        <f>IF(Ej_Producción!AD37=0,0,AD23/Ej_Producción!AD37)</f>
        <v>858</v>
      </c>
      <c r="AE8" s="145">
        <v>840</v>
      </c>
      <c r="AF8" s="146">
        <f t="shared" ref="AF8:AF16" si="1">IF(AE8=0,0,(AD8-AE8)/AE8)</f>
        <v>2.1428571428571429E-2</v>
      </c>
    </row>
    <row r="9" spans="2:32" hidden="1" outlineLevel="1">
      <c r="B9" s="86" t="s">
        <v>157</v>
      </c>
      <c r="C9" s="141">
        <v>0</v>
      </c>
      <c r="D9" s="141">
        <v>0</v>
      </c>
      <c r="E9" s="141">
        <v>741.04</v>
      </c>
      <c r="F9" s="141">
        <v>720.05</v>
      </c>
      <c r="G9" s="142">
        <v>776.65</v>
      </c>
      <c r="H9" s="142">
        <v>964</v>
      </c>
      <c r="I9" s="142">
        <v>964</v>
      </c>
      <c r="J9" s="142">
        <v>964</v>
      </c>
      <c r="K9" s="142">
        <v>964</v>
      </c>
      <c r="L9" s="142">
        <v>964</v>
      </c>
      <c r="M9" s="142">
        <v>964</v>
      </c>
      <c r="N9" s="143">
        <v>964</v>
      </c>
      <c r="O9" s="144">
        <f>IF(Ej_Producción!O38=0,0,O24/Ej_Producción!O38)</f>
        <v>905.50966381164278</v>
      </c>
      <c r="P9" s="145">
        <v>900</v>
      </c>
      <c r="Q9" s="286">
        <f t="shared" si="0"/>
        <v>6.12184867960309E-3</v>
      </c>
      <c r="R9" s="147">
        <v>964</v>
      </c>
      <c r="S9" s="142">
        <v>964</v>
      </c>
      <c r="T9" s="142">
        <v>964</v>
      </c>
      <c r="U9" s="142">
        <v>964</v>
      </c>
      <c r="V9" s="142">
        <v>964</v>
      </c>
      <c r="W9" s="142">
        <v>964</v>
      </c>
      <c r="X9" s="142">
        <v>964</v>
      </c>
      <c r="Y9" s="142">
        <v>964</v>
      </c>
      <c r="Z9" s="142">
        <v>964</v>
      </c>
      <c r="AA9" s="142">
        <v>964</v>
      </c>
      <c r="AB9" s="142">
        <v>964</v>
      </c>
      <c r="AC9" s="143">
        <v>964</v>
      </c>
      <c r="AD9" s="144">
        <f>IF(Ej_Producción!AD38=0,0,AD24/Ej_Producción!AD38)</f>
        <v>964</v>
      </c>
      <c r="AE9" s="145">
        <v>945</v>
      </c>
      <c r="AF9" s="146">
        <f t="shared" si="1"/>
        <v>2.0105820105820106E-2</v>
      </c>
    </row>
    <row r="10" spans="2:32" hidden="1" outlineLevel="1">
      <c r="B10" s="86" t="s">
        <v>158</v>
      </c>
      <c r="C10" s="141">
        <v>0</v>
      </c>
      <c r="D10" s="141">
        <v>0</v>
      </c>
      <c r="E10" s="141">
        <v>770</v>
      </c>
      <c r="F10" s="141">
        <v>840</v>
      </c>
      <c r="G10" s="142">
        <v>870</v>
      </c>
      <c r="H10" s="142">
        <v>1080</v>
      </c>
      <c r="I10" s="142">
        <v>1080</v>
      </c>
      <c r="J10" s="142">
        <v>1080</v>
      </c>
      <c r="K10" s="142">
        <v>1080</v>
      </c>
      <c r="L10" s="142">
        <v>1080</v>
      </c>
      <c r="M10" s="142">
        <v>1080</v>
      </c>
      <c r="N10" s="143">
        <v>1080</v>
      </c>
      <c r="O10" s="144">
        <f>IF(Ej_Producción!O39=0,0,O25/Ej_Producción!O39)</f>
        <v>1047.5820604999196</v>
      </c>
      <c r="P10" s="145">
        <v>1010</v>
      </c>
      <c r="Q10" s="286">
        <f t="shared" si="0"/>
        <v>3.7209960891009537E-2</v>
      </c>
      <c r="R10" s="147">
        <v>1080</v>
      </c>
      <c r="S10" s="142">
        <v>1080</v>
      </c>
      <c r="T10" s="142">
        <v>1080</v>
      </c>
      <c r="U10" s="142">
        <v>1080</v>
      </c>
      <c r="V10" s="142">
        <v>1080</v>
      </c>
      <c r="W10" s="142">
        <v>1080</v>
      </c>
      <c r="X10" s="142">
        <v>1080</v>
      </c>
      <c r="Y10" s="142">
        <v>1080</v>
      </c>
      <c r="Z10" s="142">
        <v>1080</v>
      </c>
      <c r="AA10" s="142">
        <v>1080</v>
      </c>
      <c r="AB10" s="142">
        <v>1080</v>
      </c>
      <c r="AC10" s="143">
        <v>1080</v>
      </c>
      <c r="AD10" s="144">
        <f>IF(Ej_Producción!AD39=0,0,AD25/Ej_Producción!AD39)</f>
        <v>1080</v>
      </c>
      <c r="AE10" s="145">
        <v>1060.5</v>
      </c>
      <c r="AF10" s="146">
        <f t="shared" si="1"/>
        <v>1.8387553041018388E-2</v>
      </c>
    </row>
    <row r="11" spans="2:32" hidden="1" outlineLevel="1">
      <c r="B11" s="148" t="s">
        <v>514</v>
      </c>
      <c r="C11" s="141">
        <v>0</v>
      </c>
      <c r="D11" s="141">
        <v>0</v>
      </c>
      <c r="E11" s="141">
        <v>0</v>
      </c>
      <c r="F11" s="141">
        <v>0</v>
      </c>
      <c r="G11" s="142">
        <v>0</v>
      </c>
      <c r="H11" s="142">
        <v>1080</v>
      </c>
      <c r="I11" s="142">
        <v>1080</v>
      </c>
      <c r="J11" s="142">
        <v>1080</v>
      </c>
      <c r="K11" s="142">
        <v>1080</v>
      </c>
      <c r="L11" s="142">
        <v>1080</v>
      </c>
      <c r="M11" s="142">
        <v>1080</v>
      </c>
      <c r="N11" s="143">
        <v>1080</v>
      </c>
      <c r="O11" s="144">
        <f>IF(Ej_Producción!O40=0,0,O26/Ej_Producción!O40)</f>
        <v>1080</v>
      </c>
      <c r="P11" s="145">
        <v>0</v>
      </c>
      <c r="Q11" s="286">
        <f t="shared" si="0"/>
        <v>0</v>
      </c>
      <c r="R11" s="147">
        <v>1080</v>
      </c>
      <c r="S11" s="142">
        <v>1080</v>
      </c>
      <c r="T11" s="142">
        <v>1080</v>
      </c>
      <c r="U11" s="142">
        <v>1080</v>
      </c>
      <c r="V11" s="142">
        <v>1080</v>
      </c>
      <c r="W11" s="142">
        <v>1080</v>
      </c>
      <c r="X11" s="142">
        <v>1080</v>
      </c>
      <c r="Y11" s="142">
        <v>1080</v>
      </c>
      <c r="Z11" s="142">
        <v>1080</v>
      </c>
      <c r="AA11" s="142">
        <v>1080</v>
      </c>
      <c r="AB11" s="142">
        <v>1080</v>
      </c>
      <c r="AC11" s="143">
        <v>1080</v>
      </c>
      <c r="AD11" s="144">
        <f>IF(Ej_Producción!AD40=0,0,AD26/Ej_Producción!AD40)</f>
        <v>1080</v>
      </c>
      <c r="AE11" s="145">
        <v>0</v>
      </c>
      <c r="AF11" s="146">
        <f t="shared" si="1"/>
        <v>0</v>
      </c>
    </row>
    <row r="12" spans="2:32" hidden="1" outlineLevel="1">
      <c r="B12" s="86" t="s">
        <v>515</v>
      </c>
      <c r="C12" s="141">
        <v>0</v>
      </c>
      <c r="D12" s="141">
        <v>0</v>
      </c>
      <c r="E12" s="141">
        <v>0</v>
      </c>
      <c r="F12" s="141">
        <v>0</v>
      </c>
      <c r="G12" s="142">
        <v>0</v>
      </c>
      <c r="H12" s="142">
        <v>1218</v>
      </c>
      <c r="I12" s="142">
        <v>1218</v>
      </c>
      <c r="J12" s="142">
        <v>1218</v>
      </c>
      <c r="K12" s="142">
        <v>1218</v>
      </c>
      <c r="L12" s="142">
        <v>1218</v>
      </c>
      <c r="M12" s="142">
        <v>1218</v>
      </c>
      <c r="N12" s="143">
        <v>1218</v>
      </c>
      <c r="O12" s="144">
        <f>IF(Ej_Producción!O41=0,0,O27/Ej_Producción!O41)</f>
        <v>1218</v>
      </c>
      <c r="P12" s="145">
        <v>1150</v>
      </c>
      <c r="Q12" s="286">
        <f t="shared" si="0"/>
        <v>5.9130434782608696E-2</v>
      </c>
      <c r="R12" s="147">
        <v>1218</v>
      </c>
      <c r="S12" s="142">
        <v>1218</v>
      </c>
      <c r="T12" s="142">
        <v>1218</v>
      </c>
      <c r="U12" s="142">
        <v>1218</v>
      </c>
      <c r="V12" s="142">
        <v>1218</v>
      </c>
      <c r="W12" s="142">
        <v>1218</v>
      </c>
      <c r="X12" s="142">
        <v>1218</v>
      </c>
      <c r="Y12" s="142">
        <v>1218</v>
      </c>
      <c r="Z12" s="142">
        <v>1218</v>
      </c>
      <c r="AA12" s="142">
        <v>1218</v>
      </c>
      <c r="AB12" s="142">
        <v>1218</v>
      </c>
      <c r="AC12" s="143">
        <v>1218</v>
      </c>
      <c r="AD12" s="144">
        <f>IF(Ej_Producción!AD41=0,0,AD27/Ej_Producción!AD41)</f>
        <v>1218</v>
      </c>
      <c r="AE12" s="145">
        <v>1207.5</v>
      </c>
      <c r="AF12" s="146">
        <f t="shared" si="1"/>
        <v>8.6956521739130436E-3</v>
      </c>
    </row>
    <row r="13" spans="2:32" hidden="1" outlineLevel="1">
      <c r="B13" s="86" t="s">
        <v>516</v>
      </c>
      <c r="C13" s="141">
        <v>0</v>
      </c>
      <c r="D13" s="141">
        <v>0</v>
      </c>
      <c r="E13" s="141">
        <v>0</v>
      </c>
      <c r="F13" s="141">
        <v>0</v>
      </c>
      <c r="G13" s="142">
        <v>1040</v>
      </c>
      <c r="H13" s="142">
        <v>1399</v>
      </c>
      <c r="I13" s="142">
        <v>1399</v>
      </c>
      <c r="J13" s="142">
        <v>1399</v>
      </c>
      <c r="K13" s="142">
        <v>1399</v>
      </c>
      <c r="L13" s="142">
        <v>1399</v>
      </c>
      <c r="M13" s="142">
        <v>1399</v>
      </c>
      <c r="N13" s="143">
        <v>1399</v>
      </c>
      <c r="O13" s="144">
        <f>IF(Ej_Producción!O42=0,0,O28/Ej_Producción!O42)</f>
        <v>1380.8227848101267</v>
      </c>
      <c r="P13" s="145">
        <v>1310</v>
      </c>
      <c r="Q13" s="286">
        <f t="shared" si="0"/>
        <v>5.4063194511547084E-2</v>
      </c>
      <c r="R13" s="147">
        <v>1399</v>
      </c>
      <c r="S13" s="142">
        <v>1399</v>
      </c>
      <c r="T13" s="142">
        <v>1399</v>
      </c>
      <c r="U13" s="142">
        <v>1399</v>
      </c>
      <c r="V13" s="142">
        <v>1399</v>
      </c>
      <c r="W13" s="142">
        <v>1399</v>
      </c>
      <c r="X13" s="142">
        <v>1399</v>
      </c>
      <c r="Y13" s="142">
        <v>1399</v>
      </c>
      <c r="Z13" s="142">
        <v>1399</v>
      </c>
      <c r="AA13" s="142">
        <v>1399</v>
      </c>
      <c r="AB13" s="142">
        <v>1399</v>
      </c>
      <c r="AC13" s="143">
        <v>1399</v>
      </c>
      <c r="AD13" s="144">
        <f>IF(Ej_Producción!AD42=0,0,AD28/Ej_Producción!AD42)</f>
        <v>1399</v>
      </c>
      <c r="AE13" s="145">
        <v>1375.5</v>
      </c>
      <c r="AF13" s="146">
        <f t="shared" si="1"/>
        <v>1.708469647400945E-2</v>
      </c>
    </row>
    <row r="14" spans="2:32" hidden="1" outlineLevel="1">
      <c r="B14" s="86" t="s">
        <v>517</v>
      </c>
      <c r="C14" s="141">
        <v>0</v>
      </c>
      <c r="D14" s="141">
        <v>0</v>
      </c>
      <c r="E14" s="141">
        <v>0</v>
      </c>
      <c r="F14" s="141">
        <v>0</v>
      </c>
      <c r="G14" s="142">
        <v>0</v>
      </c>
      <c r="H14" s="142">
        <v>1399</v>
      </c>
      <c r="I14" s="142">
        <v>1399</v>
      </c>
      <c r="J14" s="142">
        <v>1399</v>
      </c>
      <c r="K14" s="142">
        <v>1399</v>
      </c>
      <c r="L14" s="142">
        <v>1399</v>
      </c>
      <c r="M14" s="142">
        <v>1399</v>
      </c>
      <c r="N14" s="143">
        <v>1399</v>
      </c>
      <c r="O14" s="144">
        <f>IF(Ej_Producción!O43=0,0,O29/Ej_Producción!O43)</f>
        <v>1399</v>
      </c>
      <c r="P14" s="145">
        <v>1330</v>
      </c>
      <c r="Q14" s="286">
        <f t="shared" si="0"/>
        <v>5.1879699248120303E-2</v>
      </c>
      <c r="R14" s="147">
        <v>1399</v>
      </c>
      <c r="S14" s="142">
        <v>1399</v>
      </c>
      <c r="T14" s="142">
        <v>1399</v>
      </c>
      <c r="U14" s="142">
        <v>1399</v>
      </c>
      <c r="V14" s="142">
        <v>1399</v>
      </c>
      <c r="W14" s="142">
        <v>1399</v>
      </c>
      <c r="X14" s="142">
        <v>1399</v>
      </c>
      <c r="Y14" s="142">
        <v>1399</v>
      </c>
      <c r="Z14" s="142">
        <v>1399</v>
      </c>
      <c r="AA14" s="142">
        <v>1399</v>
      </c>
      <c r="AB14" s="142">
        <v>1399</v>
      </c>
      <c r="AC14" s="143">
        <v>1399</v>
      </c>
      <c r="AD14" s="144">
        <f>IF(Ej_Producción!AD43=0,0,AD29/Ej_Producción!AD43)</f>
        <v>1399</v>
      </c>
      <c r="AE14" s="145">
        <v>1396.5</v>
      </c>
      <c r="AF14" s="146">
        <f t="shared" si="1"/>
        <v>1.7901897601145722E-3</v>
      </c>
    </row>
    <row r="15" spans="2:32" hidden="1" outlineLevel="1">
      <c r="B15" s="86" t="s">
        <v>518</v>
      </c>
      <c r="C15" s="141">
        <v>0</v>
      </c>
      <c r="D15" s="141">
        <v>0</v>
      </c>
      <c r="E15" s="141">
        <v>0</v>
      </c>
      <c r="F15" s="141">
        <v>0</v>
      </c>
      <c r="G15" s="142">
        <v>0</v>
      </c>
      <c r="H15" s="142">
        <v>1272</v>
      </c>
      <c r="I15" s="142">
        <v>1272</v>
      </c>
      <c r="J15" s="142">
        <v>1272</v>
      </c>
      <c r="K15" s="142">
        <v>1272</v>
      </c>
      <c r="L15" s="142">
        <v>1272</v>
      </c>
      <c r="M15" s="142">
        <v>1272</v>
      </c>
      <c r="N15" s="143">
        <v>1272</v>
      </c>
      <c r="O15" s="144">
        <f>IF(Ej_Producción!O44=0,0,O30/Ej_Producción!O44)</f>
        <v>1272</v>
      </c>
      <c r="P15" s="145">
        <v>1180</v>
      </c>
      <c r="Q15" s="286">
        <f t="shared" si="0"/>
        <v>7.796610169491526E-2</v>
      </c>
      <c r="R15" s="147">
        <v>1272</v>
      </c>
      <c r="S15" s="142">
        <v>1272</v>
      </c>
      <c r="T15" s="142">
        <v>1272</v>
      </c>
      <c r="U15" s="142">
        <v>1272</v>
      </c>
      <c r="V15" s="142">
        <v>1272</v>
      </c>
      <c r="W15" s="142">
        <v>1272</v>
      </c>
      <c r="X15" s="142">
        <v>1272</v>
      </c>
      <c r="Y15" s="142">
        <v>1272</v>
      </c>
      <c r="Z15" s="142">
        <v>1272</v>
      </c>
      <c r="AA15" s="142">
        <v>1272</v>
      </c>
      <c r="AB15" s="142">
        <v>1272</v>
      </c>
      <c r="AC15" s="143">
        <v>1272</v>
      </c>
      <c r="AD15" s="144">
        <f>IF(Ej_Producción!AD44=0,0,AD30/Ej_Producción!AD44)</f>
        <v>1272</v>
      </c>
      <c r="AE15" s="145">
        <v>1239</v>
      </c>
      <c r="AF15" s="146">
        <f t="shared" si="1"/>
        <v>2.6634382566585957E-2</v>
      </c>
    </row>
    <row r="16" spans="2:32" hidden="1" outlineLevel="1">
      <c r="B16" s="86" t="s">
        <v>519</v>
      </c>
      <c r="C16" s="141">
        <v>0</v>
      </c>
      <c r="D16" s="141">
        <v>0</v>
      </c>
      <c r="E16" s="141">
        <v>0</v>
      </c>
      <c r="F16" s="141">
        <v>0</v>
      </c>
      <c r="G16" s="142">
        <v>0</v>
      </c>
      <c r="H16" s="142">
        <v>1178</v>
      </c>
      <c r="I16" s="142">
        <v>1178</v>
      </c>
      <c r="J16" s="142">
        <v>1178</v>
      </c>
      <c r="K16" s="142">
        <v>1178</v>
      </c>
      <c r="L16" s="142">
        <v>1178</v>
      </c>
      <c r="M16" s="142">
        <v>1178</v>
      </c>
      <c r="N16" s="143">
        <v>1178</v>
      </c>
      <c r="O16" s="144">
        <f>IF(Ej_Producción!O45=0,0,O31/Ej_Producción!O45)</f>
        <v>1178</v>
      </c>
      <c r="P16" s="145">
        <v>1110</v>
      </c>
      <c r="Q16" s="286">
        <f t="shared" si="0"/>
        <v>6.126126126126126E-2</v>
      </c>
      <c r="R16" s="147">
        <v>1178</v>
      </c>
      <c r="S16" s="142">
        <v>1178</v>
      </c>
      <c r="T16" s="142">
        <v>1178</v>
      </c>
      <c r="U16" s="142">
        <v>1178</v>
      </c>
      <c r="V16" s="142">
        <v>1178</v>
      </c>
      <c r="W16" s="142">
        <v>1178</v>
      </c>
      <c r="X16" s="142">
        <v>1178</v>
      </c>
      <c r="Y16" s="142">
        <v>1178</v>
      </c>
      <c r="Z16" s="142">
        <v>1178</v>
      </c>
      <c r="AA16" s="142">
        <v>1178</v>
      </c>
      <c r="AB16" s="142">
        <v>1178</v>
      </c>
      <c r="AC16" s="143">
        <v>1178</v>
      </c>
      <c r="AD16" s="144">
        <f>IF(Ej_Producción!AD45=0,0,AD31/Ej_Producción!AD45)</f>
        <v>1178</v>
      </c>
      <c r="AE16" s="145">
        <v>1165.5</v>
      </c>
      <c r="AF16" s="146">
        <f t="shared" si="1"/>
        <v>1.0725010725010725E-2</v>
      </c>
    </row>
    <row r="17" spans="2:32" hidden="1" outlineLevel="1">
      <c r="B17" s="86" t="s">
        <v>520</v>
      </c>
      <c r="C17" s="141"/>
      <c r="D17" s="141"/>
      <c r="E17" s="141"/>
      <c r="F17" s="141"/>
      <c r="G17" s="142"/>
      <c r="H17" s="142"/>
      <c r="I17" s="142"/>
      <c r="J17" s="142"/>
      <c r="K17" s="142"/>
      <c r="L17" s="142"/>
      <c r="M17" s="142"/>
      <c r="N17" s="143"/>
      <c r="O17" s="144">
        <f>IF(Ej_Producción!O46=0,0,O32/Ej_Producción!O46)</f>
        <v>0</v>
      </c>
      <c r="P17" s="145">
        <v>0</v>
      </c>
      <c r="Q17" s="286">
        <f t="shared" si="0"/>
        <v>0</v>
      </c>
      <c r="R17" s="147">
        <v>1840</v>
      </c>
      <c r="S17" s="142">
        <v>1840</v>
      </c>
      <c r="T17" s="142">
        <v>1840</v>
      </c>
      <c r="U17" s="142">
        <v>1840</v>
      </c>
      <c r="V17" s="142">
        <v>1840</v>
      </c>
      <c r="W17" s="142">
        <v>1840</v>
      </c>
      <c r="X17" s="142">
        <v>1840</v>
      </c>
      <c r="Y17" s="142">
        <v>1840</v>
      </c>
      <c r="Z17" s="142">
        <v>1840</v>
      </c>
      <c r="AA17" s="142">
        <v>1840</v>
      </c>
      <c r="AB17" s="142">
        <v>1840</v>
      </c>
      <c r="AC17" s="143">
        <v>1840</v>
      </c>
      <c r="AD17" s="144">
        <f>IF(Ej_Producción!AD46=0,0,AD32/Ej_Producción!AD46)</f>
        <v>1840</v>
      </c>
      <c r="AE17" s="145">
        <v>1700</v>
      </c>
      <c r="AF17" s="146">
        <f t="shared" ref="AF17:AF18" si="2">IF(AE17=0,0,(AD17-AE17)/AE17)</f>
        <v>8.2352941176470587E-2</v>
      </c>
    </row>
    <row r="18" spans="2:32" ht="14.5" hidden="1" outlineLevel="1" thickBot="1">
      <c r="B18" s="86" t="s">
        <v>521</v>
      </c>
      <c r="C18" s="141"/>
      <c r="D18" s="141"/>
      <c r="E18" s="141"/>
      <c r="F18" s="141"/>
      <c r="G18" s="142"/>
      <c r="H18" s="142"/>
      <c r="I18" s="142"/>
      <c r="J18" s="142"/>
      <c r="K18" s="142"/>
      <c r="L18" s="142"/>
      <c r="M18" s="142"/>
      <c r="N18" s="143"/>
      <c r="O18" s="149">
        <f>IF(Ej_Producción!O47=0,0,O33/Ej_Producción!O47)</f>
        <v>0</v>
      </c>
      <c r="P18" s="150">
        <v>0</v>
      </c>
      <c r="Q18" s="287">
        <f t="shared" si="0"/>
        <v>0</v>
      </c>
      <c r="R18" s="147">
        <v>5202</v>
      </c>
      <c r="S18" s="142">
        <v>5202</v>
      </c>
      <c r="T18" s="142">
        <v>5202</v>
      </c>
      <c r="U18" s="142">
        <v>5202</v>
      </c>
      <c r="V18" s="142">
        <v>5202</v>
      </c>
      <c r="W18" s="142">
        <v>5202</v>
      </c>
      <c r="X18" s="142">
        <v>5202</v>
      </c>
      <c r="Y18" s="142">
        <v>5202</v>
      </c>
      <c r="Z18" s="142">
        <v>5202</v>
      </c>
      <c r="AA18" s="142">
        <v>5202</v>
      </c>
      <c r="AB18" s="142">
        <v>5202</v>
      </c>
      <c r="AC18" s="143">
        <v>5202</v>
      </c>
      <c r="AD18" s="149">
        <f>IF(Ej_Producción!AD47=0,0,AD33/Ej_Producción!AD47)</f>
        <v>5202</v>
      </c>
      <c r="AE18" s="150">
        <v>3000</v>
      </c>
      <c r="AF18" s="151">
        <f t="shared" si="2"/>
        <v>0.73399999999999999</v>
      </c>
    </row>
    <row r="19" spans="2:32" collapsed="1">
      <c r="Q19" s="134"/>
    </row>
    <row r="20" spans="2:32">
      <c r="Q20" s="134"/>
    </row>
    <row r="21" spans="2:32" ht="16" thickBot="1">
      <c r="B21" s="98" t="s">
        <v>483</v>
      </c>
      <c r="Q21" s="134"/>
    </row>
    <row r="22" spans="2:32" ht="28">
      <c r="B22" s="99" t="s">
        <v>152</v>
      </c>
      <c r="C22" s="99" t="s">
        <v>139</v>
      </c>
      <c r="D22" s="99" t="s">
        <v>140</v>
      </c>
      <c r="E22" s="99" t="s">
        <v>141</v>
      </c>
      <c r="F22" s="99" t="s">
        <v>142</v>
      </c>
      <c r="G22" s="99" t="s">
        <v>143</v>
      </c>
      <c r="H22" s="99" t="s">
        <v>144</v>
      </c>
      <c r="I22" s="99" t="s">
        <v>145</v>
      </c>
      <c r="J22" s="99" t="s">
        <v>146</v>
      </c>
      <c r="K22" s="99" t="s">
        <v>147</v>
      </c>
      <c r="L22" s="99" t="s">
        <v>148</v>
      </c>
      <c r="M22" s="99" t="s">
        <v>149</v>
      </c>
      <c r="N22" s="100" t="s">
        <v>150</v>
      </c>
      <c r="O22" s="152" t="s">
        <v>478</v>
      </c>
      <c r="P22" s="153" t="s">
        <v>154</v>
      </c>
      <c r="Q22" s="153" t="s">
        <v>170</v>
      </c>
      <c r="R22" s="101" t="s">
        <v>139</v>
      </c>
      <c r="S22" s="99" t="s">
        <v>140</v>
      </c>
      <c r="T22" s="99" t="s">
        <v>141</v>
      </c>
      <c r="U22" s="99" t="s">
        <v>142</v>
      </c>
      <c r="V22" s="99" t="s">
        <v>143</v>
      </c>
      <c r="W22" s="99" t="s">
        <v>144</v>
      </c>
      <c r="X22" s="99" t="s">
        <v>145</v>
      </c>
      <c r="Y22" s="99" t="s">
        <v>146</v>
      </c>
      <c r="Z22" s="99" t="s">
        <v>147</v>
      </c>
      <c r="AA22" s="99" t="s">
        <v>148</v>
      </c>
      <c r="AB22" s="99" t="s">
        <v>149</v>
      </c>
      <c r="AC22" s="100" t="s">
        <v>150</v>
      </c>
      <c r="AD22" s="152" t="s">
        <v>153</v>
      </c>
      <c r="AE22" s="153" t="s">
        <v>467</v>
      </c>
      <c r="AF22" s="154" t="s">
        <v>170</v>
      </c>
    </row>
    <row r="23" spans="2:32" hidden="1" outlineLevel="1">
      <c r="B23" s="102" t="s">
        <v>156</v>
      </c>
      <c r="C23" s="155">
        <f>C8*Ej_Producción!C37</f>
        <v>20196</v>
      </c>
      <c r="D23" s="155">
        <f>D8*Ej_Producción!D37</f>
        <v>0</v>
      </c>
      <c r="E23" s="155">
        <f>E8*Ej_Producción!E37</f>
        <v>14741.1</v>
      </c>
      <c r="F23" s="155">
        <f>F8*Ej_Producción!F37</f>
        <v>45558.2</v>
      </c>
      <c r="G23" s="87">
        <f>G8*Ej_Producción!G37</f>
        <v>0</v>
      </c>
      <c r="H23" s="87">
        <f>H8*Ej_Producción!H37</f>
        <v>51480</v>
      </c>
      <c r="I23" s="87">
        <f>I8*Ej_Producción!I37</f>
        <v>77220</v>
      </c>
      <c r="J23" s="87">
        <f>J8*Ej_Producción!J37</f>
        <v>77220</v>
      </c>
      <c r="K23" s="87">
        <f>K8*Ej_Producción!K37</f>
        <v>77220</v>
      </c>
      <c r="L23" s="87">
        <f>L8*Ej_Producción!L37</f>
        <v>77220</v>
      </c>
      <c r="M23" s="87">
        <f>M8*Ej_Producción!M37</f>
        <v>77220</v>
      </c>
      <c r="N23" s="91">
        <f>N8*Ej_Producción!N37</f>
        <v>77220</v>
      </c>
      <c r="O23" s="88">
        <f t="shared" ref="O23:O31" si="3">SUM(C23:N23)</f>
        <v>595295.30000000005</v>
      </c>
      <c r="P23" s="89">
        <v>2208000</v>
      </c>
      <c r="Q23" s="288">
        <f t="shared" ref="Q23:Q31" si="4">O23-P23</f>
        <v>-1612704.7</v>
      </c>
      <c r="R23" s="156">
        <f>R8*Ej_Producción!R37</f>
        <v>25740</v>
      </c>
      <c r="S23" s="87">
        <f>S8*Ej_Producción!S37</f>
        <v>51480</v>
      </c>
      <c r="T23" s="87">
        <f>T8*Ej_Producción!T37</f>
        <v>77220</v>
      </c>
      <c r="U23" s="87">
        <f>U8*Ej_Producción!U37</f>
        <v>77220</v>
      </c>
      <c r="V23" s="87">
        <f>V8*Ej_Producción!V37</f>
        <v>77220</v>
      </c>
      <c r="W23" s="87">
        <f>W8*Ej_Producción!W37</f>
        <v>77220</v>
      </c>
      <c r="X23" s="87">
        <f>X8*Ej_Producción!X37</f>
        <v>77220</v>
      </c>
      <c r="Y23" s="87">
        <f>Y8*Ej_Producción!Y37</f>
        <v>77220</v>
      </c>
      <c r="Z23" s="87">
        <f>Z8*Ej_Producción!Z37</f>
        <v>77220</v>
      </c>
      <c r="AA23" s="87">
        <f>AA8*Ej_Producción!AA37</f>
        <v>77220</v>
      </c>
      <c r="AB23" s="87">
        <f>AB8*Ej_Producción!AB37</f>
        <v>77220</v>
      </c>
      <c r="AC23" s="91">
        <f>AC8*Ej_Producción!AC37</f>
        <v>77220</v>
      </c>
      <c r="AD23" s="88">
        <f t="shared" ref="AD23:AD33" si="5">SUM(R23:AC23)</f>
        <v>849420</v>
      </c>
      <c r="AE23" s="89">
        <v>2434320</v>
      </c>
      <c r="AF23" s="107">
        <f t="shared" ref="AF23:AF33" si="6">AD23-AE23</f>
        <v>-1584900</v>
      </c>
    </row>
    <row r="24" spans="2:32" hidden="1" outlineLevel="1">
      <c r="B24" s="102" t="s">
        <v>157</v>
      </c>
      <c r="C24" s="155">
        <f>C9*Ej_Producción!C38</f>
        <v>0</v>
      </c>
      <c r="D24" s="155">
        <f>D9*Ej_Producción!D38</f>
        <v>0</v>
      </c>
      <c r="E24" s="155">
        <f>E9*Ej_Producción!E38</f>
        <v>90384.648799999995</v>
      </c>
      <c r="F24" s="155">
        <f>F9*Ej_Producción!F38</f>
        <v>97043.298649999997</v>
      </c>
      <c r="G24" s="87">
        <f>G9*Ej_Producción!G38</f>
        <v>174334.62549999999</v>
      </c>
      <c r="H24" s="87">
        <f>H9*Ej_Producción!H38</f>
        <v>457738.04800000001</v>
      </c>
      <c r="I24" s="87">
        <f>I9*Ej_Producción!I38</f>
        <v>106040</v>
      </c>
      <c r="J24" s="87">
        <f>J9*Ej_Producción!J38</f>
        <v>48200</v>
      </c>
      <c r="K24" s="87">
        <f>K9*Ej_Producción!K38</f>
        <v>0</v>
      </c>
      <c r="L24" s="87">
        <f>L9*Ej_Producción!L38</f>
        <v>115680</v>
      </c>
      <c r="M24" s="87">
        <f>M9*Ej_Producción!M38</f>
        <v>289200</v>
      </c>
      <c r="N24" s="91">
        <f>N9*Ej_Producción!N38</f>
        <v>202440</v>
      </c>
      <c r="O24" s="88">
        <f t="shared" si="3"/>
        <v>1581060.6209499999</v>
      </c>
      <c r="P24" s="89">
        <v>2808000</v>
      </c>
      <c r="Q24" s="288">
        <f t="shared" si="4"/>
        <v>-1226939.3790500001</v>
      </c>
      <c r="R24" s="156">
        <f>R9*Ej_Producción!R38</f>
        <v>289200</v>
      </c>
      <c r="S24" s="87">
        <f>S9*Ej_Producción!S38</f>
        <v>289200</v>
      </c>
      <c r="T24" s="87">
        <f>T9*Ej_Producción!T38</f>
        <v>375960</v>
      </c>
      <c r="U24" s="87">
        <f>U9*Ej_Producción!U38</f>
        <v>404880</v>
      </c>
      <c r="V24" s="87">
        <f>V9*Ej_Producción!V38</f>
        <v>404880</v>
      </c>
      <c r="W24" s="87">
        <f>W9*Ej_Producción!W38</f>
        <v>404880</v>
      </c>
      <c r="X24" s="87">
        <f>X9*Ej_Producción!X38</f>
        <v>404880</v>
      </c>
      <c r="Y24" s="87">
        <f>Y9*Ej_Producción!Y38</f>
        <v>404880</v>
      </c>
      <c r="Z24" s="87">
        <f>Z9*Ej_Producción!Z38</f>
        <v>404880</v>
      </c>
      <c r="AA24" s="87">
        <f>AA9*Ej_Producción!AA38</f>
        <v>404880</v>
      </c>
      <c r="AB24" s="87">
        <f>AB9*Ej_Producción!AB38</f>
        <v>404880</v>
      </c>
      <c r="AC24" s="91">
        <f>AC9*Ej_Producción!AC38</f>
        <v>404880</v>
      </c>
      <c r="AD24" s="88">
        <f t="shared" si="5"/>
        <v>4598280</v>
      </c>
      <c r="AE24" s="89">
        <v>3095820</v>
      </c>
      <c r="AF24" s="107">
        <f t="shared" si="6"/>
        <v>1502460</v>
      </c>
    </row>
    <row r="25" spans="2:32" hidden="1" outlineLevel="1">
      <c r="B25" s="102" t="s">
        <v>158</v>
      </c>
      <c r="C25" s="155">
        <f>C10*Ej_Producción!C39</f>
        <v>0</v>
      </c>
      <c r="D25" s="155">
        <f>D10*Ej_Producción!D39</f>
        <v>0</v>
      </c>
      <c r="E25" s="155">
        <f>E10*Ej_Producción!E39</f>
        <v>3973.2000000000003</v>
      </c>
      <c r="F25" s="155">
        <f>F10*Ej_Producción!F39</f>
        <v>12337.92</v>
      </c>
      <c r="G25" s="87">
        <f>G10*Ej_Producción!G39</f>
        <v>29688.75</v>
      </c>
      <c r="H25" s="87">
        <f>H10*Ej_Producción!H39</f>
        <v>37981.440000000002</v>
      </c>
      <c r="I25" s="87">
        <f>I10*Ej_Producción!I39</f>
        <v>75600</v>
      </c>
      <c r="J25" s="87">
        <f>J10*Ej_Producción!J39</f>
        <v>54000</v>
      </c>
      <c r="K25" s="87">
        <f>K10*Ej_Producción!K39</f>
        <v>54000</v>
      </c>
      <c r="L25" s="87">
        <f>L10*Ej_Producción!L39</f>
        <v>32400</v>
      </c>
      <c r="M25" s="87">
        <f>M10*Ej_Producción!M39</f>
        <v>64800</v>
      </c>
      <c r="N25" s="91">
        <f>N10*Ej_Producción!N39</f>
        <v>32400</v>
      </c>
      <c r="O25" s="88">
        <f t="shared" si="3"/>
        <v>397181.31</v>
      </c>
      <c r="P25" s="89">
        <v>363600</v>
      </c>
      <c r="Q25" s="288">
        <f t="shared" si="4"/>
        <v>33581.31</v>
      </c>
      <c r="R25" s="156">
        <f>R10*Ej_Producción!R39</f>
        <v>97200</v>
      </c>
      <c r="S25" s="87">
        <f>S10*Ej_Producción!S39</f>
        <v>97200</v>
      </c>
      <c r="T25" s="87">
        <f>T10*Ej_Producción!T39</f>
        <v>129600</v>
      </c>
      <c r="U25" s="87">
        <f>U10*Ej_Producción!U39</f>
        <v>162000</v>
      </c>
      <c r="V25" s="87">
        <f>V10*Ej_Producción!V39</f>
        <v>162000</v>
      </c>
      <c r="W25" s="87">
        <f>W10*Ej_Producción!W39</f>
        <v>162000</v>
      </c>
      <c r="X25" s="87">
        <f>X10*Ej_Producción!X39</f>
        <v>162000</v>
      </c>
      <c r="Y25" s="87">
        <f>Y10*Ej_Producción!Y39</f>
        <v>162000</v>
      </c>
      <c r="Z25" s="87">
        <f>Z10*Ej_Producción!Z39</f>
        <v>162000</v>
      </c>
      <c r="AA25" s="87">
        <f>AA10*Ej_Producción!AA39</f>
        <v>162000</v>
      </c>
      <c r="AB25" s="87">
        <f>AB10*Ej_Producción!AB39</f>
        <v>162000</v>
      </c>
      <c r="AC25" s="91">
        <f>AC10*Ej_Producción!AC39</f>
        <v>162000</v>
      </c>
      <c r="AD25" s="88">
        <f t="shared" si="5"/>
        <v>1782000</v>
      </c>
      <c r="AE25" s="89">
        <v>399808.5</v>
      </c>
      <c r="AF25" s="107">
        <f t="shared" si="6"/>
        <v>1382191.5</v>
      </c>
    </row>
    <row r="26" spans="2:32" hidden="1" outlineLevel="1">
      <c r="B26" s="109" t="s">
        <v>514</v>
      </c>
      <c r="C26" s="155">
        <f>C11*Ej_Producción!C40</f>
        <v>0</v>
      </c>
      <c r="D26" s="155">
        <f>D11*Ej_Producción!D40</f>
        <v>0</v>
      </c>
      <c r="E26" s="155">
        <f>E11*Ej_Producción!E40</f>
        <v>0</v>
      </c>
      <c r="F26" s="155">
        <f>F11*Ej_Producción!F40</f>
        <v>0</v>
      </c>
      <c r="G26" s="87">
        <f>G11*Ej_Producción!G40</f>
        <v>0</v>
      </c>
      <c r="H26" s="87">
        <f>H11*Ej_Producción!H40</f>
        <v>0</v>
      </c>
      <c r="I26" s="87">
        <f>I11*Ej_Producción!I40</f>
        <v>0</v>
      </c>
      <c r="J26" s="87">
        <f>J11*Ej_Producción!J40</f>
        <v>0</v>
      </c>
      <c r="K26" s="87">
        <f>K11*Ej_Producción!K40</f>
        <v>32400</v>
      </c>
      <c r="L26" s="87">
        <f>L11*Ej_Producción!L40</f>
        <v>162000</v>
      </c>
      <c r="M26" s="87">
        <f>M11*Ej_Producción!M40</f>
        <v>129600</v>
      </c>
      <c r="N26" s="91">
        <f>N11*Ej_Producción!N40</f>
        <v>162000</v>
      </c>
      <c r="O26" s="88">
        <f t="shared" si="3"/>
        <v>486000</v>
      </c>
      <c r="P26" s="89">
        <v>0</v>
      </c>
      <c r="Q26" s="288">
        <f t="shared" si="4"/>
        <v>486000</v>
      </c>
      <c r="R26" s="156">
        <f>R11*Ej_Producción!R40</f>
        <v>97200</v>
      </c>
      <c r="S26" s="156">
        <f>S11*Ej_Producción!S40</f>
        <v>97200</v>
      </c>
      <c r="T26" s="156">
        <f>T11*Ej_Producción!T40</f>
        <v>129600</v>
      </c>
      <c r="U26" s="156">
        <f>U11*Ej_Producción!U40</f>
        <v>162000</v>
      </c>
      <c r="V26" s="156">
        <f>V11*Ej_Producción!V40</f>
        <v>162000</v>
      </c>
      <c r="W26" s="156">
        <f>W11*Ej_Producción!W40</f>
        <v>162000</v>
      </c>
      <c r="X26" s="156">
        <f>X11*Ej_Producción!X40</f>
        <v>162000</v>
      </c>
      <c r="Y26" s="156">
        <f>Y11*Ej_Producción!Y40</f>
        <v>162000</v>
      </c>
      <c r="Z26" s="156">
        <f>Z11*Ej_Producción!Z40</f>
        <v>162000</v>
      </c>
      <c r="AA26" s="156">
        <f>AA11*Ej_Producción!AA40</f>
        <v>162000</v>
      </c>
      <c r="AB26" s="156">
        <f>AB11*Ej_Producción!AB40</f>
        <v>162000</v>
      </c>
      <c r="AC26" s="156">
        <f>AC11*Ej_Producción!AC40</f>
        <v>162000</v>
      </c>
      <c r="AD26" s="88">
        <f t="shared" si="5"/>
        <v>1782000</v>
      </c>
      <c r="AE26" s="89">
        <v>0</v>
      </c>
      <c r="AF26" s="107">
        <f t="shared" si="6"/>
        <v>1782000</v>
      </c>
    </row>
    <row r="27" spans="2:32" hidden="1" outlineLevel="1">
      <c r="B27" s="102" t="s">
        <v>515</v>
      </c>
      <c r="C27" s="155">
        <f>C12*Ej_Producción!C41</f>
        <v>0</v>
      </c>
      <c r="D27" s="155">
        <f>D12*Ej_Producción!D41</f>
        <v>0</v>
      </c>
      <c r="E27" s="155">
        <f>E12*Ej_Producción!E41</f>
        <v>0</v>
      </c>
      <c r="F27" s="155">
        <f>F12*Ej_Producción!F41</f>
        <v>0</v>
      </c>
      <c r="G27" s="87">
        <f>G12*Ej_Producción!G41</f>
        <v>0</v>
      </c>
      <c r="H27" s="87">
        <f>H12*Ej_Producción!H41</f>
        <v>0</v>
      </c>
      <c r="I27" s="87">
        <f>I12*Ej_Producción!I41</f>
        <v>0</v>
      </c>
      <c r="J27" s="87">
        <f>J12*Ej_Producción!J41</f>
        <v>73080</v>
      </c>
      <c r="K27" s="87">
        <f>K12*Ej_Producción!K41</f>
        <v>73080</v>
      </c>
      <c r="L27" s="87">
        <f>L12*Ej_Producción!L41</f>
        <v>73080</v>
      </c>
      <c r="M27" s="87">
        <f>M12*Ej_Producción!M41</f>
        <v>36540</v>
      </c>
      <c r="N27" s="91">
        <f>N12*Ej_Producción!N41</f>
        <v>36540</v>
      </c>
      <c r="O27" s="88">
        <f t="shared" si="3"/>
        <v>292320</v>
      </c>
      <c r="P27" s="89">
        <v>1932000</v>
      </c>
      <c r="Q27" s="288">
        <f t="shared" si="4"/>
        <v>-1639680</v>
      </c>
      <c r="R27" s="156">
        <f>R12*Ej_Producción!R41</f>
        <v>36540</v>
      </c>
      <c r="S27" s="87">
        <f>S12*Ej_Producción!S41</f>
        <v>36540</v>
      </c>
      <c r="T27" s="87">
        <f>T12*Ej_Producción!T41</f>
        <v>73080</v>
      </c>
      <c r="U27" s="87">
        <f>U12*Ej_Producción!U41</f>
        <v>73080</v>
      </c>
      <c r="V27" s="87">
        <f>V12*Ej_Producción!V41</f>
        <v>73080</v>
      </c>
      <c r="W27" s="87">
        <f>W12*Ej_Producción!W41</f>
        <v>73080</v>
      </c>
      <c r="X27" s="87">
        <f>X12*Ej_Producción!X41</f>
        <v>73080</v>
      </c>
      <c r="Y27" s="87">
        <f>Y12*Ej_Producción!Y41</f>
        <v>73080</v>
      </c>
      <c r="Z27" s="87">
        <f>Z12*Ej_Producción!Z41</f>
        <v>73080</v>
      </c>
      <c r="AA27" s="87">
        <f>AA12*Ej_Producción!AA41</f>
        <v>73080</v>
      </c>
      <c r="AB27" s="87">
        <f>AB12*Ej_Producción!AB41</f>
        <v>73080</v>
      </c>
      <c r="AC27" s="91">
        <f>AC12*Ej_Producción!AC41</f>
        <v>73080</v>
      </c>
      <c r="AD27" s="88">
        <f t="shared" si="5"/>
        <v>803880</v>
      </c>
      <c r="AE27" s="89">
        <v>2130030</v>
      </c>
      <c r="AF27" s="107">
        <f t="shared" si="6"/>
        <v>-1326150</v>
      </c>
    </row>
    <row r="28" spans="2:32" hidden="1" outlineLevel="1">
      <c r="B28" s="102" t="s">
        <v>516</v>
      </c>
      <c r="C28" s="155">
        <f>C13*Ej_Producción!C42</f>
        <v>0</v>
      </c>
      <c r="D28" s="155">
        <f>D13*Ej_Producción!D42</f>
        <v>0</v>
      </c>
      <c r="E28" s="155">
        <f>E13*Ej_Producción!E42</f>
        <v>0</v>
      </c>
      <c r="F28" s="155">
        <f>F13*Ej_Producción!F42</f>
        <v>0</v>
      </c>
      <c r="G28" s="87">
        <f>G13*Ej_Producción!G42</f>
        <v>8320</v>
      </c>
      <c r="H28" s="87">
        <f>H13*Ej_Producción!H42</f>
        <v>0</v>
      </c>
      <c r="I28" s="87">
        <f>I13*Ej_Producción!I42</f>
        <v>0</v>
      </c>
      <c r="J28" s="87">
        <f>J13*Ej_Producción!J42</f>
        <v>41970</v>
      </c>
      <c r="K28" s="87">
        <f>K13*Ej_Producción!K42</f>
        <v>41970</v>
      </c>
      <c r="L28" s="87">
        <f>L13*Ej_Producción!L42</f>
        <v>41970</v>
      </c>
      <c r="M28" s="87">
        <f>M13*Ej_Producción!M42</f>
        <v>41970</v>
      </c>
      <c r="N28" s="91">
        <f>N13*Ej_Producción!N42</f>
        <v>41970</v>
      </c>
      <c r="O28" s="88">
        <f t="shared" si="3"/>
        <v>218170</v>
      </c>
      <c r="P28" s="89">
        <v>235800</v>
      </c>
      <c r="Q28" s="288">
        <f t="shared" si="4"/>
        <v>-17630</v>
      </c>
      <c r="R28" s="156">
        <f>R13*Ej_Producción!R42</f>
        <v>0</v>
      </c>
      <c r="S28" s="87">
        <f>S13*Ej_Producción!S42</f>
        <v>41970</v>
      </c>
      <c r="T28" s="87">
        <f>T13*Ej_Producción!T42</f>
        <v>41970</v>
      </c>
      <c r="U28" s="87">
        <f>U13*Ej_Producción!U42</f>
        <v>41970</v>
      </c>
      <c r="V28" s="87">
        <f>V13*Ej_Producción!V42</f>
        <v>41970</v>
      </c>
      <c r="W28" s="87">
        <f>W13*Ej_Producción!W42</f>
        <v>41970</v>
      </c>
      <c r="X28" s="87">
        <f>X13*Ej_Producción!X42</f>
        <v>41970</v>
      </c>
      <c r="Y28" s="87">
        <f>Y13*Ej_Producción!Y42</f>
        <v>41970</v>
      </c>
      <c r="Z28" s="87">
        <f>Z13*Ej_Producción!Z42</f>
        <v>41970</v>
      </c>
      <c r="AA28" s="87">
        <f>AA13*Ej_Producción!AA42</f>
        <v>41970</v>
      </c>
      <c r="AB28" s="87">
        <f>AB13*Ej_Producción!AB42</f>
        <v>41970</v>
      </c>
      <c r="AC28" s="91">
        <f>AC13*Ej_Producción!AC42</f>
        <v>41970</v>
      </c>
      <c r="AD28" s="88">
        <f t="shared" si="5"/>
        <v>461670</v>
      </c>
      <c r="AE28" s="89">
        <v>259969.5</v>
      </c>
      <c r="AF28" s="107">
        <f t="shared" si="6"/>
        <v>201700.5</v>
      </c>
    </row>
    <row r="29" spans="2:32" hidden="1" outlineLevel="1">
      <c r="B29" s="102" t="s">
        <v>517</v>
      </c>
      <c r="C29" s="155">
        <f>C14*Ej_Producción!C43</f>
        <v>0</v>
      </c>
      <c r="D29" s="155">
        <f>D14*Ej_Producción!D43</f>
        <v>0</v>
      </c>
      <c r="E29" s="155">
        <f>E14*Ej_Producción!E43</f>
        <v>0</v>
      </c>
      <c r="F29" s="155">
        <f>F14*Ej_Producción!F43</f>
        <v>0</v>
      </c>
      <c r="G29" s="87">
        <f>G14*Ej_Producción!G43</f>
        <v>0</v>
      </c>
      <c r="H29" s="87">
        <f>H14*Ej_Producción!H43</f>
        <v>0</v>
      </c>
      <c r="I29" s="87">
        <f>I14*Ej_Producción!I43</f>
        <v>0</v>
      </c>
      <c r="J29" s="87">
        <f>J14*Ej_Producción!J43</f>
        <v>0</v>
      </c>
      <c r="K29" s="87">
        <f>K14*Ej_Producción!K43</f>
        <v>41970</v>
      </c>
      <c r="L29" s="87">
        <f>L14*Ej_Producción!L43</f>
        <v>41970</v>
      </c>
      <c r="M29" s="87">
        <f>M14*Ej_Producción!M43</f>
        <v>41970</v>
      </c>
      <c r="N29" s="91">
        <f>N14*Ej_Producción!N43</f>
        <v>41970</v>
      </c>
      <c r="O29" s="88">
        <f t="shared" si="3"/>
        <v>167880</v>
      </c>
      <c r="P29" s="89">
        <v>558600</v>
      </c>
      <c r="Q29" s="288">
        <f t="shared" si="4"/>
        <v>-390720</v>
      </c>
      <c r="R29" s="156">
        <f>R14*Ej_Producción!R43</f>
        <v>41970</v>
      </c>
      <c r="S29" s="87">
        <f>S14*Ej_Producción!S43</f>
        <v>41970</v>
      </c>
      <c r="T29" s="87">
        <f>T14*Ej_Producción!T43</f>
        <v>62955</v>
      </c>
      <c r="U29" s="87">
        <f>U14*Ej_Producción!U43</f>
        <v>83940</v>
      </c>
      <c r="V29" s="87">
        <f>V14*Ej_Producción!V43</f>
        <v>83940</v>
      </c>
      <c r="W29" s="87">
        <f>W14*Ej_Producción!W43</f>
        <v>83940</v>
      </c>
      <c r="X29" s="87">
        <f>X14*Ej_Producción!X43</f>
        <v>83940</v>
      </c>
      <c r="Y29" s="87">
        <f>Y14*Ej_Producción!Y43</f>
        <v>83940</v>
      </c>
      <c r="Z29" s="87">
        <f>Z14*Ej_Producción!Z43</f>
        <v>83940</v>
      </c>
      <c r="AA29" s="87">
        <f>AA14*Ej_Producción!AA43</f>
        <v>83940</v>
      </c>
      <c r="AB29" s="87">
        <f>AB14*Ej_Producción!AB43</f>
        <v>83940</v>
      </c>
      <c r="AC29" s="91">
        <f>AC14*Ej_Producción!AC43</f>
        <v>83940</v>
      </c>
      <c r="AD29" s="88">
        <f t="shared" si="5"/>
        <v>902355</v>
      </c>
      <c r="AE29" s="89">
        <v>614460</v>
      </c>
      <c r="AF29" s="107">
        <f t="shared" si="6"/>
        <v>287895</v>
      </c>
    </row>
    <row r="30" spans="2:32" hidden="1" outlineLevel="1">
      <c r="B30" s="102" t="s">
        <v>518</v>
      </c>
      <c r="C30" s="155">
        <f>C15*Ej_Producción!C44</f>
        <v>0</v>
      </c>
      <c r="D30" s="155">
        <f>D15*Ej_Producción!D44</f>
        <v>0</v>
      </c>
      <c r="E30" s="155">
        <f>E15*Ej_Producción!E44</f>
        <v>0</v>
      </c>
      <c r="F30" s="155">
        <f>F15*Ej_Producción!F44</f>
        <v>0</v>
      </c>
      <c r="G30" s="87">
        <f>G15*Ej_Producción!G44</f>
        <v>0</v>
      </c>
      <c r="H30" s="87">
        <f>H15*Ej_Producción!H44</f>
        <v>0</v>
      </c>
      <c r="I30" s="87">
        <f>I15*Ej_Producción!I44</f>
        <v>0</v>
      </c>
      <c r="J30" s="87">
        <f>J15*Ej_Producción!J44</f>
        <v>0</v>
      </c>
      <c r="K30" s="87">
        <f>K15*Ej_Producción!K44</f>
        <v>0</v>
      </c>
      <c r="L30" s="87">
        <f>L15*Ej_Producción!L44</f>
        <v>57240</v>
      </c>
      <c r="M30" s="87">
        <f>M15*Ej_Producción!M44</f>
        <v>57240</v>
      </c>
      <c r="N30" s="91">
        <f>N15*Ej_Producción!N44</f>
        <v>38160</v>
      </c>
      <c r="O30" s="88">
        <f t="shared" si="3"/>
        <v>152640</v>
      </c>
      <c r="P30" s="89">
        <v>849600</v>
      </c>
      <c r="Q30" s="288">
        <f t="shared" si="4"/>
        <v>-696960</v>
      </c>
      <c r="R30" s="156">
        <f>R15*Ej_Producción!R44</f>
        <v>38160</v>
      </c>
      <c r="S30" s="87">
        <f>S15*Ej_Producción!S44</f>
        <v>38160</v>
      </c>
      <c r="T30" s="87">
        <f>T15*Ej_Producción!T44</f>
        <v>76320</v>
      </c>
      <c r="U30" s="87">
        <f>U15*Ej_Producción!U44</f>
        <v>76320</v>
      </c>
      <c r="V30" s="87">
        <f>V15*Ej_Producción!V44</f>
        <v>76320</v>
      </c>
      <c r="W30" s="87">
        <f>W15*Ej_Producción!W44</f>
        <v>76320</v>
      </c>
      <c r="X30" s="87">
        <f>X15*Ej_Producción!X44</f>
        <v>76320</v>
      </c>
      <c r="Y30" s="87">
        <f>Y15*Ej_Producción!Y44</f>
        <v>76320</v>
      </c>
      <c r="Z30" s="87">
        <f>Z15*Ej_Producción!Z44</f>
        <v>76320</v>
      </c>
      <c r="AA30" s="87">
        <f>AA15*Ej_Producción!AA44</f>
        <v>76320</v>
      </c>
      <c r="AB30" s="87">
        <f>AB15*Ej_Producción!AB44</f>
        <v>76320</v>
      </c>
      <c r="AC30" s="91">
        <f>AC15*Ej_Producción!AC44</f>
        <v>76320</v>
      </c>
      <c r="AD30" s="88">
        <f t="shared" si="5"/>
        <v>839520</v>
      </c>
      <c r="AE30" s="89">
        <v>936684</v>
      </c>
      <c r="AF30" s="107">
        <f t="shared" si="6"/>
        <v>-97164</v>
      </c>
    </row>
    <row r="31" spans="2:32" hidden="1" outlineLevel="1">
      <c r="B31" s="102" t="s">
        <v>519</v>
      </c>
      <c r="C31" s="157">
        <f>C16*Ej_Producción!C45</f>
        <v>0</v>
      </c>
      <c r="D31" s="157">
        <f>D16*Ej_Producción!D45</f>
        <v>0</v>
      </c>
      <c r="E31" s="157">
        <f>E16*Ej_Producción!E45</f>
        <v>0</v>
      </c>
      <c r="F31" s="157">
        <f>F16*Ej_Producción!F45</f>
        <v>0</v>
      </c>
      <c r="G31" s="158">
        <f>G16*Ej_Producción!G45</f>
        <v>0</v>
      </c>
      <c r="H31" s="158">
        <f>H16*Ej_Producción!H45</f>
        <v>0</v>
      </c>
      <c r="I31" s="158">
        <f>I16*Ej_Producción!I45</f>
        <v>0</v>
      </c>
      <c r="J31" s="158">
        <f>J16*Ej_Producción!J45</f>
        <v>0</v>
      </c>
      <c r="K31" s="158">
        <f>K16*Ej_Producción!K45</f>
        <v>0</v>
      </c>
      <c r="L31" s="158">
        <f>L16*Ej_Producción!L45</f>
        <v>106020</v>
      </c>
      <c r="M31" s="158">
        <f>M16*Ej_Producción!M45</f>
        <v>141360</v>
      </c>
      <c r="N31" s="159">
        <f>N16*Ej_Producción!N45</f>
        <v>70680</v>
      </c>
      <c r="O31" s="88">
        <f t="shared" si="3"/>
        <v>318060</v>
      </c>
      <c r="P31" s="89">
        <v>1864800</v>
      </c>
      <c r="Q31" s="288">
        <f t="shared" si="4"/>
        <v>-1546740</v>
      </c>
      <c r="R31" s="156">
        <f>R16*Ej_Producción!R45</f>
        <v>106020</v>
      </c>
      <c r="S31" s="87">
        <f>S16*Ej_Producción!S45</f>
        <v>106020</v>
      </c>
      <c r="T31" s="87">
        <f>T16*Ej_Producción!T45</f>
        <v>141360</v>
      </c>
      <c r="U31" s="87">
        <f>U16*Ej_Producción!U45</f>
        <v>141360</v>
      </c>
      <c r="V31" s="87">
        <f>V16*Ej_Producción!V45</f>
        <v>176700</v>
      </c>
      <c r="W31" s="87">
        <f>W16*Ej_Producción!W45</f>
        <v>176700</v>
      </c>
      <c r="X31" s="87">
        <f>X16*Ej_Producción!X45</f>
        <v>176700</v>
      </c>
      <c r="Y31" s="87">
        <f>Y16*Ej_Producción!Y45</f>
        <v>176700</v>
      </c>
      <c r="Z31" s="87">
        <f>Z16*Ej_Producción!Z45</f>
        <v>176700</v>
      </c>
      <c r="AA31" s="87">
        <f>AA16*Ej_Producción!AA45</f>
        <v>176700</v>
      </c>
      <c r="AB31" s="87">
        <f>AB16*Ej_Producción!AB45</f>
        <v>176700</v>
      </c>
      <c r="AC31" s="91">
        <f>AC16*Ej_Producción!AC45</f>
        <v>176700</v>
      </c>
      <c r="AD31" s="88">
        <f t="shared" si="5"/>
        <v>1908360</v>
      </c>
      <c r="AE31" s="89">
        <v>2055942</v>
      </c>
      <c r="AF31" s="107">
        <f t="shared" si="6"/>
        <v>-147582</v>
      </c>
    </row>
    <row r="32" spans="2:32" hidden="1" outlineLevel="1">
      <c r="B32" s="102" t="s">
        <v>520</v>
      </c>
      <c r="C32" s="157">
        <f>C17*Ej_Producción!C46</f>
        <v>0</v>
      </c>
      <c r="D32" s="157">
        <f>D17*Ej_Producción!D46</f>
        <v>0</v>
      </c>
      <c r="E32" s="157">
        <f>E17*Ej_Producción!E46</f>
        <v>0</v>
      </c>
      <c r="F32" s="157">
        <f>F17*Ej_Producción!F46</f>
        <v>0</v>
      </c>
      <c r="G32" s="158">
        <f>G17*Ej_Producción!G46</f>
        <v>0</v>
      </c>
      <c r="H32" s="158">
        <f>H17*Ej_Producción!H46</f>
        <v>0</v>
      </c>
      <c r="I32" s="158">
        <f>I17*Ej_Producción!I46</f>
        <v>0</v>
      </c>
      <c r="J32" s="158">
        <f>J17*Ej_Producción!J46</f>
        <v>0</v>
      </c>
      <c r="K32" s="158">
        <f>K17*Ej_Producción!K46</f>
        <v>0</v>
      </c>
      <c r="L32" s="158">
        <f>L17*Ej_Producción!L46</f>
        <v>0</v>
      </c>
      <c r="M32" s="158">
        <f>M17*Ej_Producción!M46</f>
        <v>0</v>
      </c>
      <c r="N32" s="159">
        <f>N17*Ej_Producción!N46</f>
        <v>0</v>
      </c>
      <c r="O32" s="88">
        <f t="shared" ref="O32:O33" si="7">SUM(C32:N32)</f>
        <v>0</v>
      </c>
      <c r="P32" s="89">
        <v>0</v>
      </c>
      <c r="Q32" s="288">
        <f t="shared" ref="Q32:Q33" si="8">O32-P32</f>
        <v>0</v>
      </c>
      <c r="R32" s="156">
        <f>R17*Ej_Producción!R46</f>
        <v>55200</v>
      </c>
      <c r="S32" s="87">
        <f>S17*Ej_Producción!S46</f>
        <v>110400</v>
      </c>
      <c r="T32" s="87">
        <f>T17*Ej_Producción!T46</f>
        <v>110400</v>
      </c>
      <c r="U32" s="87">
        <f>U17*Ej_Producción!U46</f>
        <v>110400</v>
      </c>
      <c r="V32" s="87">
        <f>V17*Ej_Producción!V46</f>
        <v>165600</v>
      </c>
      <c r="W32" s="87">
        <f>W17*Ej_Producción!W46</f>
        <v>165600</v>
      </c>
      <c r="X32" s="87">
        <f>X17*Ej_Producción!X46</f>
        <v>165600</v>
      </c>
      <c r="Y32" s="87">
        <f>Y17*Ej_Producción!Y46</f>
        <v>165600</v>
      </c>
      <c r="Z32" s="87">
        <f>Z17*Ej_Producción!Z46</f>
        <v>165600</v>
      </c>
      <c r="AA32" s="87">
        <f>AA17*Ej_Producción!AA46</f>
        <v>165600</v>
      </c>
      <c r="AB32" s="87">
        <f>AB17*Ej_Producción!AB46</f>
        <v>165600</v>
      </c>
      <c r="AC32" s="91">
        <f>AC17*Ej_Producción!AC46</f>
        <v>165600</v>
      </c>
      <c r="AD32" s="88">
        <f t="shared" si="5"/>
        <v>1711200</v>
      </c>
      <c r="AE32" s="89">
        <v>1484100</v>
      </c>
      <c r="AF32" s="107">
        <f t="shared" si="6"/>
        <v>227100</v>
      </c>
    </row>
    <row r="33" spans="2:32" ht="14.5" hidden="1" outlineLevel="1" thickBot="1">
      <c r="B33" s="102" t="s">
        <v>521</v>
      </c>
      <c r="C33" s="157">
        <f>C18*Ej_Producción!C47</f>
        <v>0</v>
      </c>
      <c r="D33" s="157">
        <f>D18*Ej_Producción!D47</f>
        <v>0</v>
      </c>
      <c r="E33" s="157">
        <f>E18*Ej_Producción!E47</f>
        <v>0</v>
      </c>
      <c r="F33" s="157">
        <f>F18*Ej_Producción!F47</f>
        <v>0</v>
      </c>
      <c r="G33" s="158">
        <f>G18*Ej_Producción!G47</f>
        <v>0</v>
      </c>
      <c r="H33" s="158">
        <f>H18*Ej_Producción!H47</f>
        <v>0</v>
      </c>
      <c r="I33" s="158">
        <f>I18*Ej_Producción!I47</f>
        <v>0</v>
      </c>
      <c r="J33" s="158">
        <f>J18*Ej_Producción!J47</f>
        <v>0</v>
      </c>
      <c r="K33" s="158">
        <f>K18*Ej_Producción!K47</f>
        <v>0</v>
      </c>
      <c r="L33" s="158">
        <f>L18*Ej_Producción!L47</f>
        <v>0</v>
      </c>
      <c r="M33" s="158">
        <f>M18*Ej_Producción!M47</f>
        <v>0</v>
      </c>
      <c r="N33" s="159">
        <f>N18*Ej_Producción!N47</f>
        <v>0</v>
      </c>
      <c r="O33" s="92">
        <f t="shared" si="7"/>
        <v>0</v>
      </c>
      <c r="P33" s="93">
        <v>0</v>
      </c>
      <c r="Q33" s="291">
        <f t="shared" si="8"/>
        <v>0</v>
      </c>
      <c r="R33" s="156">
        <f>R18*Ej_Producción!R47</f>
        <v>78030</v>
      </c>
      <c r="S33" s="87">
        <f>S18*Ej_Producción!S47</f>
        <v>78030</v>
      </c>
      <c r="T33" s="87">
        <f>T18*Ej_Producción!T47</f>
        <v>156060</v>
      </c>
      <c r="U33" s="87">
        <f>U18*Ej_Producción!U47</f>
        <v>156060</v>
      </c>
      <c r="V33" s="87">
        <f>V18*Ej_Producción!V47</f>
        <v>156060</v>
      </c>
      <c r="W33" s="87">
        <f>W18*Ej_Producción!W47</f>
        <v>156060</v>
      </c>
      <c r="X33" s="87">
        <f>X18*Ej_Producción!X47</f>
        <v>156060</v>
      </c>
      <c r="Y33" s="87">
        <f>Y18*Ej_Producción!Y47</f>
        <v>156060</v>
      </c>
      <c r="Z33" s="87">
        <f>Z18*Ej_Producción!Z47</f>
        <v>156060</v>
      </c>
      <c r="AA33" s="87">
        <f>AA18*Ej_Producción!AA47</f>
        <v>156060</v>
      </c>
      <c r="AB33" s="87">
        <f>AB18*Ej_Producción!AB47</f>
        <v>156060</v>
      </c>
      <c r="AC33" s="91">
        <f>AC18*Ej_Producción!AC47</f>
        <v>156060</v>
      </c>
      <c r="AD33" s="92">
        <f t="shared" si="5"/>
        <v>1716660</v>
      </c>
      <c r="AE33" s="93">
        <v>180000</v>
      </c>
      <c r="AF33" s="111">
        <f t="shared" si="6"/>
        <v>1536660</v>
      </c>
    </row>
    <row r="34" spans="2:32" ht="14.5" collapsed="1" thickBot="1">
      <c r="B34" s="109" t="s">
        <v>171</v>
      </c>
      <c r="C34" s="112">
        <f t="shared" ref="C34:AF34" si="9">SUM(C23:C33)</f>
        <v>20196</v>
      </c>
      <c r="D34" s="112">
        <f t="shared" si="9"/>
        <v>0</v>
      </c>
      <c r="E34" s="112">
        <f t="shared" si="9"/>
        <v>109098.9488</v>
      </c>
      <c r="F34" s="112">
        <f t="shared" si="9"/>
        <v>154939.41865000001</v>
      </c>
      <c r="G34" s="112">
        <f t="shared" si="9"/>
        <v>212343.37549999999</v>
      </c>
      <c r="H34" s="112">
        <f t="shared" si="9"/>
        <v>547199.48800000001</v>
      </c>
      <c r="I34" s="112">
        <f t="shared" si="9"/>
        <v>258860</v>
      </c>
      <c r="J34" s="112">
        <f t="shared" si="9"/>
        <v>294470</v>
      </c>
      <c r="K34" s="112">
        <f t="shared" si="9"/>
        <v>320640</v>
      </c>
      <c r="L34" s="112">
        <f t="shared" si="9"/>
        <v>707580</v>
      </c>
      <c r="M34" s="112">
        <f t="shared" si="9"/>
        <v>879900</v>
      </c>
      <c r="N34" s="112">
        <f t="shared" si="9"/>
        <v>703380</v>
      </c>
      <c r="O34" s="113">
        <f t="shared" si="9"/>
        <v>4208607.2309499998</v>
      </c>
      <c r="P34" s="113">
        <f t="shared" si="9"/>
        <v>10820400</v>
      </c>
      <c r="Q34" s="295">
        <f t="shared" si="9"/>
        <v>-6611792.7690500002</v>
      </c>
      <c r="R34" s="112">
        <f t="shared" si="9"/>
        <v>865260</v>
      </c>
      <c r="S34" s="112">
        <f t="shared" si="9"/>
        <v>988170</v>
      </c>
      <c r="T34" s="112">
        <f t="shared" si="9"/>
        <v>1374525</v>
      </c>
      <c r="U34" s="112">
        <f t="shared" si="9"/>
        <v>1489230</v>
      </c>
      <c r="V34" s="112">
        <f t="shared" si="9"/>
        <v>1579770</v>
      </c>
      <c r="W34" s="112">
        <f t="shared" si="9"/>
        <v>1579770</v>
      </c>
      <c r="X34" s="112">
        <f t="shared" si="9"/>
        <v>1579770</v>
      </c>
      <c r="Y34" s="112">
        <f t="shared" si="9"/>
        <v>1579770</v>
      </c>
      <c r="Z34" s="112">
        <f t="shared" si="9"/>
        <v>1579770</v>
      </c>
      <c r="AA34" s="112">
        <f t="shared" si="9"/>
        <v>1579770</v>
      </c>
      <c r="AB34" s="112">
        <f t="shared" si="9"/>
        <v>1579770</v>
      </c>
      <c r="AC34" s="112">
        <f t="shared" si="9"/>
        <v>1579770</v>
      </c>
      <c r="AD34" s="113">
        <f t="shared" si="9"/>
        <v>17355345</v>
      </c>
      <c r="AE34" s="113">
        <f t="shared" si="9"/>
        <v>13591134</v>
      </c>
      <c r="AF34" s="113">
        <f t="shared" si="9"/>
        <v>3764211</v>
      </c>
    </row>
    <row r="35" spans="2:32" ht="14.5" thickTop="1">
      <c r="P35" s="296">
        <f>+O34/P34</f>
        <v>0.38895116917581601</v>
      </c>
      <c r="Q35" s="293">
        <f>+Q34/P34</f>
        <v>-0.61104883082418393</v>
      </c>
      <c r="AE35" s="131">
        <f>+AD34/AE34</f>
        <v>1.2769607745755431</v>
      </c>
      <c r="AF35" s="161">
        <f>+AF34/AE34</f>
        <v>0.27696077457554313</v>
      </c>
    </row>
    <row r="36" spans="2:32">
      <c r="B36" s="95" t="s">
        <v>533</v>
      </c>
      <c r="C36" s="162">
        <f>+$O$36/12</f>
        <v>901700</v>
      </c>
      <c r="D36" s="162">
        <f t="shared" ref="D36:N36" si="10">+$O$36/12</f>
        <v>901700</v>
      </c>
      <c r="E36" s="162">
        <f t="shared" si="10"/>
        <v>901700</v>
      </c>
      <c r="F36" s="162">
        <f t="shared" si="10"/>
        <v>901700</v>
      </c>
      <c r="G36" s="162">
        <f t="shared" si="10"/>
        <v>901700</v>
      </c>
      <c r="H36" s="162">
        <f t="shared" si="10"/>
        <v>901700</v>
      </c>
      <c r="I36" s="162">
        <f t="shared" si="10"/>
        <v>901700</v>
      </c>
      <c r="J36" s="162">
        <f t="shared" si="10"/>
        <v>901700</v>
      </c>
      <c r="K36" s="162">
        <f t="shared" si="10"/>
        <v>901700</v>
      </c>
      <c r="L36" s="162">
        <f t="shared" si="10"/>
        <v>901700</v>
      </c>
      <c r="M36" s="162">
        <f t="shared" si="10"/>
        <v>901700</v>
      </c>
      <c r="N36" s="162">
        <f t="shared" si="10"/>
        <v>901700</v>
      </c>
      <c r="O36" s="163">
        <f>+P34</f>
        <v>10820400</v>
      </c>
      <c r="Q36" s="134"/>
      <c r="R36" s="162">
        <f>+$AD$36/12</f>
        <v>1132594.5</v>
      </c>
      <c r="S36" s="162">
        <f t="shared" ref="S36:AC36" si="11">+$AD$36/12</f>
        <v>1132594.5</v>
      </c>
      <c r="T36" s="162">
        <f t="shared" si="11"/>
        <v>1132594.5</v>
      </c>
      <c r="U36" s="162">
        <f t="shared" si="11"/>
        <v>1132594.5</v>
      </c>
      <c r="V36" s="162">
        <f t="shared" si="11"/>
        <v>1132594.5</v>
      </c>
      <c r="W36" s="162">
        <f t="shared" si="11"/>
        <v>1132594.5</v>
      </c>
      <c r="X36" s="162">
        <f t="shared" si="11"/>
        <v>1132594.5</v>
      </c>
      <c r="Y36" s="162">
        <f t="shared" si="11"/>
        <v>1132594.5</v>
      </c>
      <c r="Z36" s="162">
        <f t="shared" si="11"/>
        <v>1132594.5</v>
      </c>
      <c r="AA36" s="162">
        <f t="shared" si="11"/>
        <v>1132594.5</v>
      </c>
      <c r="AB36" s="162">
        <f t="shared" si="11"/>
        <v>1132594.5</v>
      </c>
      <c r="AC36" s="162">
        <f t="shared" si="11"/>
        <v>1132594.5</v>
      </c>
      <c r="AD36" s="163">
        <f>+AE34</f>
        <v>13591134</v>
      </c>
    </row>
    <row r="37" spans="2:32">
      <c r="Q37" s="134"/>
    </row>
    <row r="40" spans="2:32">
      <c r="P40" s="164"/>
    </row>
  </sheetData>
  <mergeCells count="2">
    <mergeCell ref="C5:Q5"/>
    <mergeCell ref="R5:AF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74C3C"/>
  </sheetPr>
  <dimension ref="A1:AM114"/>
  <sheetViews>
    <sheetView showGridLines="0" zoomScale="72" zoomScaleNormal="130" workbookViewId="0">
      <pane xSplit="2" ySplit="6" topLeftCell="C7" activePane="bottomRight" state="frozen"/>
      <selection pane="topRight" activeCell="B1" sqref="B1"/>
      <selection pane="bottomLeft" activeCell="A5" sqref="A5"/>
      <selection pane="bottomRight" activeCell="P72" sqref="P72"/>
    </sheetView>
  </sheetViews>
  <sheetFormatPr baseColWidth="10" defaultColWidth="8.6328125" defaultRowHeight="14" outlineLevelRow="2" outlineLevelCol="1"/>
  <cols>
    <col min="1" max="1" width="4.453125" style="72" customWidth="1"/>
    <col min="2" max="2" width="35" style="72" customWidth="1"/>
    <col min="3" max="3" width="7.7265625" style="72" customWidth="1" outlineLevel="1"/>
    <col min="4" max="5" width="7.36328125" style="72" customWidth="1" outlineLevel="1"/>
    <col min="6" max="6" width="8" style="72" customWidth="1" outlineLevel="1"/>
    <col min="7" max="9" width="7.36328125" style="72" customWidth="1" outlineLevel="1"/>
    <col min="10" max="11" width="7.1796875" style="72" customWidth="1" outlineLevel="1"/>
    <col min="12" max="12" width="8" style="72" customWidth="1" outlineLevel="1"/>
    <col min="13" max="13" width="9" style="72" customWidth="1" outlineLevel="1"/>
    <col min="14" max="14" width="8.6328125" style="72" customWidth="1" outlineLevel="1"/>
    <col min="15" max="15" width="13.08984375" style="72" bestFit="1" customWidth="1"/>
    <col min="16" max="16" width="10.7265625" style="72" customWidth="1"/>
    <col min="17" max="17" width="10.453125" style="72" bestFit="1" customWidth="1"/>
    <col min="18" max="18" width="9" style="72" customWidth="1" outlineLevel="1"/>
    <col min="19" max="29" width="8.90625" style="72" customWidth="1" outlineLevel="1"/>
    <col min="30" max="30" width="10.26953125" style="72" customWidth="1"/>
    <col min="31" max="31" width="10.7265625" style="72" customWidth="1"/>
    <col min="32" max="32" width="10.26953125" style="72" bestFit="1" customWidth="1"/>
    <col min="33" max="33" width="11.26953125" style="72" bestFit="1" customWidth="1"/>
    <col min="34" max="35" width="8.6328125" style="72"/>
    <col min="36" max="38" width="8.7265625" style="72" bestFit="1" customWidth="1"/>
    <col min="39" max="39" width="9.54296875" style="72" bestFit="1" customWidth="1"/>
    <col min="40" max="16384" width="8.6328125" style="72"/>
  </cols>
  <sheetData>
    <row r="1" spans="1:32" ht="14.5">
      <c r="O1" s="165">
        <v>6028.12</v>
      </c>
      <c r="P1" s="166" t="s">
        <v>535</v>
      </c>
    </row>
    <row r="2" spans="1:32" ht="18">
      <c r="B2" s="73" t="s">
        <v>484</v>
      </c>
      <c r="P2" s="167">
        <f>+Ej_Producción!P33</f>
        <v>0.3892095246685307</v>
      </c>
      <c r="Q2" s="168" t="s">
        <v>488</v>
      </c>
    </row>
    <row r="3" spans="1:32">
      <c r="B3" s="74" t="s">
        <v>482</v>
      </c>
    </row>
    <row r="4" spans="1:32" ht="20">
      <c r="C4" s="334">
        <v>2026</v>
      </c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5"/>
      <c r="R4" s="334">
        <v>2027</v>
      </c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</row>
    <row r="5" spans="1:32" ht="7" customHeight="1" thickBot="1">
      <c r="Q5" s="134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</row>
    <row r="6" spans="1:32" ht="28">
      <c r="B6" s="169" t="s">
        <v>12</v>
      </c>
      <c r="C6" s="169" t="s">
        <v>139</v>
      </c>
      <c r="D6" s="169" t="s">
        <v>140</v>
      </c>
      <c r="E6" s="169" t="s">
        <v>141</v>
      </c>
      <c r="F6" s="169" t="s">
        <v>142</v>
      </c>
      <c r="G6" s="169" t="s">
        <v>143</v>
      </c>
      <c r="H6" s="169" t="s">
        <v>144</v>
      </c>
      <c r="I6" s="169" t="s">
        <v>145</v>
      </c>
      <c r="J6" s="169" t="s">
        <v>146</v>
      </c>
      <c r="K6" s="169" t="s">
        <v>147</v>
      </c>
      <c r="L6" s="169" t="s">
        <v>148</v>
      </c>
      <c r="M6" s="169" t="s">
        <v>149</v>
      </c>
      <c r="N6" s="170" t="s">
        <v>150</v>
      </c>
      <c r="O6" s="171" t="s">
        <v>160</v>
      </c>
      <c r="P6" s="172" t="s">
        <v>154</v>
      </c>
      <c r="Q6" s="172" t="s">
        <v>170</v>
      </c>
      <c r="R6" s="174" t="s">
        <v>139</v>
      </c>
      <c r="S6" s="169" t="s">
        <v>140</v>
      </c>
      <c r="T6" s="169" t="s">
        <v>141</v>
      </c>
      <c r="U6" s="169" t="s">
        <v>142</v>
      </c>
      <c r="V6" s="169" t="s">
        <v>143</v>
      </c>
      <c r="W6" s="169" t="s">
        <v>144</v>
      </c>
      <c r="X6" s="169" t="s">
        <v>145</v>
      </c>
      <c r="Y6" s="169" t="s">
        <v>146</v>
      </c>
      <c r="Z6" s="169" t="s">
        <v>147</v>
      </c>
      <c r="AA6" s="169" t="s">
        <v>148</v>
      </c>
      <c r="AB6" s="169" t="s">
        <v>149</v>
      </c>
      <c r="AC6" s="170" t="s">
        <v>150</v>
      </c>
      <c r="AD6" s="171" t="s">
        <v>160</v>
      </c>
      <c r="AE6" s="172" t="s">
        <v>467</v>
      </c>
      <c r="AF6" s="173" t="s">
        <v>170</v>
      </c>
    </row>
    <row r="7" spans="1:32" ht="6.5" customHeight="1">
      <c r="B7" s="175"/>
      <c r="C7" s="175"/>
      <c r="D7" s="175"/>
      <c r="E7" s="175"/>
      <c r="F7" s="175"/>
      <c r="G7" s="175"/>
      <c r="H7" s="175"/>
      <c r="I7" s="175"/>
      <c r="J7" s="175"/>
      <c r="K7" s="175"/>
      <c r="L7" s="175"/>
      <c r="M7" s="175"/>
      <c r="N7" s="175"/>
      <c r="O7" s="175" t="s">
        <v>510</v>
      </c>
      <c r="P7" s="175"/>
      <c r="Q7" s="285"/>
      <c r="R7" s="175"/>
      <c r="S7" s="175"/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</row>
    <row r="8" spans="1:32">
      <c r="B8" s="176" t="s">
        <v>499</v>
      </c>
      <c r="Q8" s="134"/>
      <c r="R8" s="177"/>
    </row>
    <row r="9" spans="1:32" ht="14.5" outlineLevel="1">
      <c r="A9" s="165"/>
      <c r="B9" s="86" t="s">
        <v>156</v>
      </c>
      <c r="C9" s="103">
        <v>822.06420360615903</v>
      </c>
      <c r="D9" s="103">
        <v>822.06420360615903</v>
      </c>
      <c r="E9" s="103">
        <v>822.06420360615903</v>
      </c>
      <c r="F9" s="103">
        <v>822.06420360615903</v>
      </c>
      <c r="G9" s="104">
        <v>822.06420360615903</v>
      </c>
      <c r="H9" s="104">
        <v>822.06420360615903</v>
      </c>
      <c r="I9" s="104">
        <v>822.06420360615903</v>
      </c>
      <c r="J9" s="104">
        <v>822.06420360615903</v>
      </c>
      <c r="K9" s="104">
        <v>822.06420360615903</v>
      </c>
      <c r="L9" s="104">
        <v>822.06420360615903</v>
      </c>
      <c r="M9" s="104">
        <v>822.06420360615903</v>
      </c>
      <c r="N9" s="104">
        <v>822.06420360615903</v>
      </c>
      <c r="O9" s="88">
        <f>O23/Ej_Producción!O22</f>
        <v>822.06420360615914</v>
      </c>
      <c r="P9" s="89">
        <v>775.73</v>
      </c>
      <c r="Q9" s="286">
        <f t="shared" ref="Q9:Q19" si="0">IF(P9=0,0,(O9-P9)/P9)</f>
        <v>5.9729807544067037E-2</v>
      </c>
      <c r="R9" s="283">
        <v>879.60869785859018</v>
      </c>
      <c r="S9" s="104">
        <v>879.60869785859018</v>
      </c>
      <c r="T9" s="104">
        <v>879.60869785859018</v>
      </c>
      <c r="U9" s="104">
        <v>879.60869785859018</v>
      </c>
      <c r="V9" s="104">
        <v>879.60869785859018</v>
      </c>
      <c r="W9" s="104">
        <v>879.60869785859018</v>
      </c>
      <c r="X9" s="104">
        <v>879.60869785859018</v>
      </c>
      <c r="Y9" s="104">
        <v>879.60869785859018</v>
      </c>
      <c r="Z9" s="104">
        <v>879.60869785859018</v>
      </c>
      <c r="AA9" s="104">
        <v>879.60869785859018</v>
      </c>
      <c r="AB9" s="104">
        <v>879.60869785859018</v>
      </c>
      <c r="AC9" s="104">
        <v>879.60869785859018</v>
      </c>
      <c r="AD9" s="88">
        <f>AD23/Ej_Producción!AD22</f>
        <v>879.60869785859006</v>
      </c>
      <c r="AE9" s="89">
        <v>799.00190000000009</v>
      </c>
      <c r="AF9" s="146">
        <f t="shared" ref="AF9:AF19" si="1">IF(AE9=0,0,(AD9-AE9)/AE9)</f>
        <v>0.10088436317684596</v>
      </c>
    </row>
    <row r="10" spans="1:32" ht="14.5" outlineLevel="1">
      <c r="A10" s="165"/>
      <c r="B10" s="86" t="s">
        <v>157</v>
      </c>
      <c r="C10" s="103">
        <v>860.78</v>
      </c>
      <c r="D10" s="103">
        <v>860.78</v>
      </c>
      <c r="E10" s="103">
        <v>860.78</v>
      </c>
      <c r="F10" s="103">
        <v>860.78</v>
      </c>
      <c r="G10" s="104">
        <v>860.78</v>
      </c>
      <c r="H10" s="104">
        <v>860.78</v>
      </c>
      <c r="I10" s="104">
        <v>860.78</v>
      </c>
      <c r="J10" s="104">
        <v>860.78</v>
      </c>
      <c r="K10" s="104">
        <v>860.78</v>
      </c>
      <c r="L10" s="104">
        <v>860.78</v>
      </c>
      <c r="M10" s="271">
        <v>886</v>
      </c>
      <c r="N10" s="104">
        <v>886</v>
      </c>
      <c r="O10" s="88">
        <f>O24/Ej_Producción!O23</f>
        <v>868.32067589678002</v>
      </c>
      <c r="P10" s="89">
        <v>845.68</v>
      </c>
      <c r="Q10" s="286">
        <f t="shared" si="0"/>
        <v>2.677215483017225E-2</v>
      </c>
      <c r="R10" s="108">
        <v>886</v>
      </c>
      <c r="S10" s="271">
        <v>948.0200000000001</v>
      </c>
      <c r="T10" s="104">
        <v>948.0200000000001</v>
      </c>
      <c r="U10" s="104">
        <v>948.0200000000001</v>
      </c>
      <c r="V10" s="104">
        <v>948.0200000000001</v>
      </c>
      <c r="W10" s="104">
        <v>948.0200000000001</v>
      </c>
      <c r="X10" s="104">
        <v>948.0200000000001</v>
      </c>
      <c r="Y10" s="104">
        <v>948.0200000000001</v>
      </c>
      <c r="Z10" s="104">
        <v>948.0200000000001</v>
      </c>
      <c r="AA10" s="104">
        <v>948.0200000000001</v>
      </c>
      <c r="AB10" s="104">
        <v>948.0200000000001</v>
      </c>
      <c r="AC10" s="104">
        <v>948.0200000000001</v>
      </c>
      <c r="AD10" s="88">
        <f>AD24/Ej_Producción!AD23</f>
        <v>944.11937106918231</v>
      </c>
      <c r="AE10" s="89">
        <v>871.05039999999997</v>
      </c>
      <c r="AF10" s="146">
        <f t="shared" si="1"/>
        <v>8.3886042724028761E-2</v>
      </c>
    </row>
    <row r="11" spans="1:32" ht="14.5" outlineLevel="1">
      <c r="A11" s="165"/>
      <c r="B11" s="86" t="s">
        <v>158</v>
      </c>
      <c r="C11" s="103">
        <v>983.37978516152771</v>
      </c>
      <c r="D11" s="103">
        <v>983.37978516152771</v>
      </c>
      <c r="E11" s="103">
        <v>983.37978516152771</v>
      </c>
      <c r="F11" s="103">
        <v>983.37978516152771</v>
      </c>
      <c r="G11" s="104">
        <v>983.37978516152771</v>
      </c>
      <c r="H11" s="104">
        <v>983.37978516152771</v>
      </c>
      <c r="I11" s="104">
        <v>983.37978516152771</v>
      </c>
      <c r="J11" s="104">
        <v>983.37978516152771</v>
      </c>
      <c r="K11" s="104">
        <v>983.37978516152771</v>
      </c>
      <c r="L11" s="104">
        <v>983.37978516152771</v>
      </c>
      <c r="M11" s="271">
        <v>1064</v>
      </c>
      <c r="N11" s="104">
        <v>1064</v>
      </c>
      <c r="O11" s="88">
        <f>O25/Ej_Producción!O24</f>
        <v>1007.0254862294156</v>
      </c>
      <c r="P11" s="89">
        <v>951.85</v>
      </c>
      <c r="Q11" s="286">
        <f t="shared" si="0"/>
        <v>5.79665769075123E-2</v>
      </c>
      <c r="R11" s="108">
        <v>1064</v>
      </c>
      <c r="S11" s="271">
        <v>1138.48</v>
      </c>
      <c r="T11" s="104">
        <v>1138.48</v>
      </c>
      <c r="U11" s="104">
        <v>1138.48</v>
      </c>
      <c r="V11" s="104">
        <v>1138.48</v>
      </c>
      <c r="W11" s="104">
        <v>1138.48</v>
      </c>
      <c r="X11" s="104">
        <v>1138.48</v>
      </c>
      <c r="Y11" s="104">
        <v>1138.48</v>
      </c>
      <c r="Z11" s="104">
        <v>1138.48</v>
      </c>
      <c r="AA11" s="104">
        <v>1138.48</v>
      </c>
      <c r="AB11" s="104">
        <v>1138.48</v>
      </c>
      <c r="AC11" s="104">
        <v>1138.48</v>
      </c>
      <c r="AD11" s="88">
        <f>AD25/Ej_Producción!AD24</f>
        <v>1134.4174545454546</v>
      </c>
      <c r="AE11" s="89">
        <v>980.40550000000007</v>
      </c>
      <c r="AF11" s="146">
        <f t="shared" si="1"/>
        <v>0.1570900556407063</v>
      </c>
    </row>
    <row r="12" spans="1:32" ht="14.5" outlineLevel="1">
      <c r="A12" s="165"/>
      <c r="B12" s="148" t="s">
        <v>514</v>
      </c>
      <c r="C12" s="103">
        <v>0</v>
      </c>
      <c r="D12" s="103">
        <v>0</v>
      </c>
      <c r="E12" s="103">
        <v>0</v>
      </c>
      <c r="F12" s="103">
        <v>0</v>
      </c>
      <c r="G12" s="104">
        <v>0</v>
      </c>
      <c r="H12" s="104">
        <v>922</v>
      </c>
      <c r="I12" s="104">
        <v>922</v>
      </c>
      <c r="J12" s="104">
        <v>922</v>
      </c>
      <c r="K12" s="104">
        <v>922</v>
      </c>
      <c r="L12" s="104">
        <v>922</v>
      </c>
      <c r="M12" s="104">
        <v>922</v>
      </c>
      <c r="N12" s="104">
        <v>922</v>
      </c>
      <c r="O12" s="88">
        <f>O26/Ej_Producción!O25</f>
        <v>922</v>
      </c>
      <c r="P12" s="89">
        <v>0</v>
      </c>
      <c r="Q12" s="286">
        <f t="shared" ref="Q12" si="2">IF(P12=0,0,(O12-P12)/P12)</f>
        <v>0</v>
      </c>
      <c r="R12" s="108">
        <v>922</v>
      </c>
      <c r="S12" s="271">
        <v>986.54000000000008</v>
      </c>
      <c r="T12" s="104">
        <v>986.54000000000008</v>
      </c>
      <c r="U12" s="104">
        <v>986.54000000000008</v>
      </c>
      <c r="V12" s="104">
        <v>986.54000000000008</v>
      </c>
      <c r="W12" s="104">
        <v>986.54000000000008</v>
      </c>
      <c r="X12" s="104">
        <v>986.54000000000008</v>
      </c>
      <c r="Y12" s="104">
        <v>986.54000000000008</v>
      </c>
      <c r="Z12" s="104">
        <v>986.54000000000008</v>
      </c>
      <c r="AA12" s="104">
        <v>986.54000000000008</v>
      </c>
      <c r="AB12" s="104">
        <v>986.54000000000008</v>
      </c>
      <c r="AC12" s="104">
        <v>986.54000000000008</v>
      </c>
      <c r="AD12" s="88">
        <f>AD26/Ej_Producción!AD25</f>
        <v>983.01963636363632</v>
      </c>
      <c r="AE12" s="89">
        <v>0</v>
      </c>
      <c r="AF12" s="146">
        <f t="shared" ref="AF12" si="3">IF(AE12=0,0,(AD12-AE12)/AE12)</f>
        <v>0</v>
      </c>
    </row>
    <row r="13" spans="1:32" ht="14.5" outlineLevel="1">
      <c r="A13" s="165"/>
      <c r="B13" s="86" t="s">
        <v>515</v>
      </c>
      <c r="C13" s="103">
        <v>945.95457024068241</v>
      </c>
      <c r="D13" s="103">
        <v>945.95457024068241</v>
      </c>
      <c r="E13" s="103">
        <v>945.95457024068241</v>
      </c>
      <c r="F13" s="103">
        <v>945.95457024068241</v>
      </c>
      <c r="G13" s="104">
        <v>945.95457024068241</v>
      </c>
      <c r="H13" s="104">
        <v>945.95457024068241</v>
      </c>
      <c r="I13" s="104">
        <v>945.95457024068241</v>
      </c>
      <c r="J13" s="104">
        <v>945.95457024068241</v>
      </c>
      <c r="K13" s="104">
        <v>945.95457024068241</v>
      </c>
      <c r="L13" s="104">
        <v>945.95457024068241</v>
      </c>
      <c r="M13" s="104">
        <v>945.95457024068241</v>
      </c>
      <c r="N13" s="104">
        <v>945.95457024068241</v>
      </c>
      <c r="O13" s="88">
        <f>O27/Ej_Producción!O26</f>
        <v>945.95457024068241</v>
      </c>
      <c r="P13" s="89">
        <v>888.15</v>
      </c>
      <c r="Q13" s="286">
        <f t="shared" si="0"/>
        <v>6.5084242797593242E-2</v>
      </c>
      <c r="R13" s="108">
        <v>945.95457024068241</v>
      </c>
      <c r="S13" s="271">
        <v>1012.1713901575298</v>
      </c>
      <c r="T13" s="104">
        <v>1012.1713901575298</v>
      </c>
      <c r="U13" s="104">
        <v>1012.1713901575298</v>
      </c>
      <c r="V13" s="104">
        <v>1012.1713901575298</v>
      </c>
      <c r="W13" s="104">
        <v>1012.1713901575298</v>
      </c>
      <c r="X13" s="104">
        <v>1012.1713901575298</v>
      </c>
      <c r="Y13" s="104">
        <v>1012.1713901575298</v>
      </c>
      <c r="Z13" s="104">
        <v>1012.1713901575298</v>
      </c>
      <c r="AA13" s="104">
        <v>1012.1713901575298</v>
      </c>
      <c r="AB13" s="104">
        <v>1012.1713901575298</v>
      </c>
      <c r="AC13" s="104">
        <v>1012.1713901575298</v>
      </c>
      <c r="AD13" s="88">
        <f>AD27/Ej_Producción!AD26</f>
        <v>1009.161534706764</v>
      </c>
      <c r="AE13" s="89">
        <v>914.79449999999997</v>
      </c>
      <c r="AF13" s="146">
        <f t="shared" si="1"/>
        <v>0.10315653920827465</v>
      </c>
    </row>
    <row r="14" spans="1:32" ht="14.5" outlineLevel="1">
      <c r="A14" s="165"/>
      <c r="B14" s="86" t="s">
        <v>516</v>
      </c>
      <c r="C14" s="103">
        <v>1013.0618521677156</v>
      </c>
      <c r="D14" s="103">
        <v>1013.0618521677156</v>
      </c>
      <c r="E14" s="103">
        <v>1013.0618521677156</v>
      </c>
      <c r="F14" s="103">
        <v>1013.0618521677156</v>
      </c>
      <c r="G14" s="104">
        <v>1013.0618521677156</v>
      </c>
      <c r="H14" s="104">
        <v>1013.0618521677156</v>
      </c>
      <c r="I14" s="104">
        <v>1013.0618521677156</v>
      </c>
      <c r="J14" s="104">
        <v>1013.0618521677156</v>
      </c>
      <c r="K14" s="104">
        <v>1013.0618521677156</v>
      </c>
      <c r="L14" s="104">
        <v>1013.0618521677156</v>
      </c>
      <c r="M14" s="104">
        <v>1013.0618521677156</v>
      </c>
      <c r="N14" s="104">
        <v>1013.0618521677156</v>
      </c>
      <c r="O14" s="88">
        <f>O28/Ej_Producción!O27</f>
        <v>1013.0618521677156</v>
      </c>
      <c r="P14" s="89">
        <v>980.58</v>
      </c>
      <c r="Q14" s="286">
        <f t="shared" si="0"/>
        <v>3.3125142433779599E-2</v>
      </c>
      <c r="R14" s="108">
        <v>1013.0618521677156</v>
      </c>
      <c r="S14" s="271">
        <v>1083.9761818194604</v>
      </c>
      <c r="T14" s="104">
        <v>1083.9761818194604</v>
      </c>
      <c r="U14" s="104">
        <v>1083.9761818194604</v>
      </c>
      <c r="V14" s="104">
        <v>1083.9761818194604</v>
      </c>
      <c r="W14" s="104">
        <v>1083.9761818194604</v>
      </c>
      <c r="X14" s="104">
        <v>1083.9761818194604</v>
      </c>
      <c r="Y14" s="104">
        <v>1083.9761818194604</v>
      </c>
      <c r="Z14" s="104">
        <v>1083.9761818194604</v>
      </c>
      <c r="AA14" s="104">
        <v>1083.9761818194604</v>
      </c>
      <c r="AB14" s="104">
        <v>1083.9761818194604</v>
      </c>
      <c r="AC14" s="104">
        <v>1083.9761818194604</v>
      </c>
      <c r="AD14" s="88">
        <f>AD28/Ej_Producción!AD27</f>
        <v>1083.9761818194604</v>
      </c>
      <c r="AE14" s="89">
        <v>1009.9974000000001</v>
      </c>
      <c r="AF14" s="146">
        <f t="shared" si="1"/>
        <v>7.324650718849407E-2</v>
      </c>
    </row>
    <row r="15" spans="1:32" ht="14.5" outlineLevel="1">
      <c r="A15" s="165"/>
      <c r="B15" s="86" t="s">
        <v>517</v>
      </c>
      <c r="C15" s="103">
        <v>1013.0618521677156</v>
      </c>
      <c r="D15" s="103">
        <v>1013.0618521677156</v>
      </c>
      <c r="E15" s="103">
        <v>1013.0618521677156</v>
      </c>
      <c r="F15" s="103">
        <v>1013.0618521677156</v>
      </c>
      <c r="G15" s="104">
        <v>1013.0618521677156</v>
      </c>
      <c r="H15" s="104">
        <v>1013.0618521677156</v>
      </c>
      <c r="I15" s="104">
        <v>1013.0618521677156</v>
      </c>
      <c r="J15" s="104">
        <v>1013.0618521677156</v>
      </c>
      <c r="K15" s="104">
        <v>1013.0618521677156</v>
      </c>
      <c r="L15" s="104">
        <v>1013.0618521677156</v>
      </c>
      <c r="M15" s="104">
        <v>1013.0618521677156</v>
      </c>
      <c r="N15" s="104">
        <v>1013.0618521677156</v>
      </c>
      <c r="O15" s="88">
        <f>O29/Ej_Producción!O28</f>
        <v>1013.0618521677156</v>
      </c>
      <c r="P15" s="89">
        <v>980.58</v>
      </c>
      <c r="Q15" s="286">
        <f t="shared" si="0"/>
        <v>3.3125142433779599E-2</v>
      </c>
      <c r="R15" s="108">
        <v>1013.0618521677156</v>
      </c>
      <c r="S15" s="271">
        <v>1083.9761818194604</v>
      </c>
      <c r="T15" s="104">
        <v>1083.9761818194604</v>
      </c>
      <c r="U15" s="104">
        <v>1083.9761818194604</v>
      </c>
      <c r="V15" s="104">
        <v>1083.9761818194604</v>
      </c>
      <c r="W15" s="104">
        <v>1083.9761818194604</v>
      </c>
      <c r="X15" s="104">
        <v>1083.9761818194604</v>
      </c>
      <c r="Y15" s="104">
        <v>1083.9761818194604</v>
      </c>
      <c r="Z15" s="104">
        <v>1083.9761818194604</v>
      </c>
      <c r="AA15" s="104">
        <v>1083.9761818194604</v>
      </c>
      <c r="AB15" s="104">
        <v>1083.9761818194604</v>
      </c>
      <c r="AC15" s="104">
        <v>1083.9761818194604</v>
      </c>
      <c r="AD15" s="88">
        <f>AD29/Ej_Producción!AD28</f>
        <v>1080.6778409054259</v>
      </c>
      <c r="AE15" s="89">
        <v>1009.9974000000001</v>
      </c>
      <c r="AF15" s="146">
        <f t="shared" si="1"/>
        <v>6.9980814708459474E-2</v>
      </c>
    </row>
    <row r="16" spans="1:32" ht="14.5" outlineLevel="1">
      <c r="A16" s="165"/>
      <c r="B16" s="86" t="s">
        <v>518</v>
      </c>
      <c r="C16" s="103">
        <v>983.37978516152771</v>
      </c>
      <c r="D16" s="103">
        <v>983.37978516152771</v>
      </c>
      <c r="E16" s="103">
        <v>983.37978516152771</v>
      </c>
      <c r="F16" s="103">
        <v>983.37978516152771</v>
      </c>
      <c r="G16" s="104">
        <v>983.37978516152771</v>
      </c>
      <c r="H16" s="104">
        <v>983.37978516152771</v>
      </c>
      <c r="I16" s="104">
        <v>983.37978516152771</v>
      </c>
      <c r="J16" s="104">
        <v>983.37978516152771</v>
      </c>
      <c r="K16" s="104">
        <v>983.37978516152771</v>
      </c>
      <c r="L16" s="104">
        <v>983.37978516152771</v>
      </c>
      <c r="M16" s="271">
        <v>1064</v>
      </c>
      <c r="N16" s="104">
        <v>1064</v>
      </c>
      <c r="O16" s="88">
        <f>O30/Ej_Producción!O29</f>
        <v>1023.6898925807637</v>
      </c>
      <c r="P16" s="89">
        <v>951.85</v>
      </c>
      <c r="Q16" s="286">
        <f t="shared" si="0"/>
        <v>7.5473963944701072E-2</v>
      </c>
      <c r="R16" s="108">
        <v>1064</v>
      </c>
      <c r="S16" s="271">
        <v>1138.48</v>
      </c>
      <c r="T16" s="104">
        <v>1138.48</v>
      </c>
      <c r="U16" s="104">
        <v>1138.48</v>
      </c>
      <c r="V16" s="104">
        <v>1138.48</v>
      </c>
      <c r="W16" s="104">
        <v>1138.48</v>
      </c>
      <c r="X16" s="104">
        <v>1138.48</v>
      </c>
      <c r="Y16" s="104">
        <v>1138.48</v>
      </c>
      <c r="Z16" s="104">
        <v>1138.48</v>
      </c>
      <c r="AA16" s="104">
        <v>1138.48</v>
      </c>
      <c r="AB16" s="104">
        <v>1138.48</v>
      </c>
      <c r="AC16" s="104">
        <v>1138.48</v>
      </c>
      <c r="AD16" s="88">
        <f>AD30/Ej_Producción!AD29</f>
        <v>1135.0945454545456</v>
      </c>
      <c r="AE16" s="89">
        <v>980.40550000000007</v>
      </c>
      <c r="AF16" s="146">
        <f t="shared" si="1"/>
        <v>0.15778067896859566</v>
      </c>
    </row>
    <row r="17" spans="1:32" ht="14.5" outlineLevel="1">
      <c r="A17" s="165"/>
      <c r="B17" s="86" t="s">
        <v>519</v>
      </c>
      <c r="C17" s="103">
        <v>860.77994317944751</v>
      </c>
      <c r="D17" s="103">
        <v>860.77994317944751</v>
      </c>
      <c r="E17" s="103">
        <v>860.77994317944751</v>
      </c>
      <c r="F17" s="103">
        <v>860.77994317944751</v>
      </c>
      <c r="G17" s="104">
        <v>860.77994317944751</v>
      </c>
      <c r="H17" s="104">
        <v>860.77994317944751</v>
      </c>
      <c r="I17" s="104">
        <v>860.77994317944751</v>
      </c>
      <c r="J17" s="104">
        <v>860.77994317944751</v>
      </c>
      <c r="K17" s="104">
        <v>860.77994317944751</v>
      </c>
      <c r="L17" s="104">
        <v>860.77994317944751</v>
      </c>
      <c r="M17" s="271">
        <v>886</v>
      </c>
      <c r="N17" s="104">
        <v>886</v>
      </c>
      <c r="O17" s="88">
        <f>O31/Ej_Producción!O30</f>
        <v>877.59331439314917</v>
      </c>
      <c r="P17" s="89">
        <v>833.19</v>
      </c>
      <c r="Q17" s="286">
        <f t="shared" si="0"/>
        <v>5.3293143692494042E-2</v>
      </c>
      <c r="R17" s="108">
        <v>886</v>
      </c>
      <c r="S17" s="271">
        <v>948.0200000000001</v>
      </c>
      <c r="T17" s="104">
        <v>948.0200000000001</v>
      </c>
      <c r="U17" s="104">
        <v>948.0200000000001</v>
      </c>
      <c r="V17" s="104">
        <v>948.0200000000001</v>
      </c>
      <c r="W17" s="104">
        <v>948.0200000000001</v>
      </c>
      <c r="X17" s="104">
        <v>948.0200000000001</v>
      </c>
      <c r="Y17" s="104">
        <v>948.0200000000001</v>
      </c>
      <c r="Z17" s="104">
        <v>948.0200000000001</v>
      </c>
      <c r="AA17" s="104">
        <v>948.0200000000001</v>
      </c>
      <c r="AB17" s="104">
        <v>948.0200000000001</v>
      </c>
      <c r="AC17" s="104">
        <v>948.0200000000001</v>
      </c>
      <c r="AD17" s="88">
        <f>AD31/Ej_Producción!AD30</f>
        <v>944.57444444444445</v>
      </c>
      <c r="AE17" s="89">
        <v>858.18570000000011</v>
      </c>
      <c r="AF17" s="146">
        <f t="shared" si="1"/>
        <v>0.10066439518212006</v>
      </c>
    </row>
    <row r="18" spans="1:32" ht="14.5" outlineLevel="1">
      <c r="A18" s="165"/>
      <c r="B18" s="86" t="s">
        <v>520</v>
      </c>
      <c r="C18" s="103">
        <v>0</v>
      </c>
      <c r="D18" s="103">
        <v>0</v>
      </c>
      <c r="E18" s="103">
        <v>0</v>
      </c>
      <c r="F18" s="103">
        <v>0</v>
      </c>
      <c r="G18" s="104">
        <v>0</v>
      </c>
      <c r="H18" s="104">
        <v>0</v>
      </c>
      <c r="I18" s="104">
        <v>0</v>
      </c>
      <c r="J18" s="104">
        <v>0</v>
      </c>
      <c r="K18" s="104">
        <v>0</v>
      </c>
      <c r="L18" s="104">
        <v>0</v>
      </c>
      <c r="M18" s="104">
        <v>0</v>
      </c>
      <c r="N18" s="104">
        <v>0</v>
      </c>
      <c r="O18" s="88">
        <v>0</v>
      </c>
      <c r="P18" s="89">
        <v>0</v>
      </c>
      <c r="Q18" s="286">
        <f t="shared" si="0"/>
        <v>0</v>
      </c>
      <c r="R18" s="283">
        <v>986.54000000000008</v>
      </c>
      <c r="S18" s="104">
        <v>986.54000000000008</v>
      </c>
      <c r="T18" s="104">
        <v>986.54000000000008</v>
      </c>
      <c r="U18" s="104">
        <v>986.54000000000008</v>
      </c>
      <c r="V18" s="104">
        <v>986.54000000000008</v>
      </c>
      <c r="W18" s="104">
        <v>986.54000000000008</v>
      </c>
      <c r="X18" s="104">
        <v>986.54000000000008</v>
      </c>
      <c r="Y18" s="104">
        <v>986.54000000000008</v>
      </c>
      <c r="Z18" s="104">
        <v>986.54000000000008</v>
      </c>
      <c r="AA18" s="104">
        <v>986.54000000000008</v>
      </c>
      <c r="AB18" s="104">
        <v>986.54000000000008</v>
      </c>
      <c r="AC18" s="104">
        <v>986.54000000000008</v>
      </c>
      <c r="AD18" s="88">
        <f>AD32/Ej_Producción!AD31</f>
        <v>986.53999999999985</v>
      </c>
      <c r="AE18" s="89">
        <v>932</v>
      </c>
      <c r="AF18" s="146">
        <f t="shared" si="1"/>
        <v>5.851931330472087E-2</v>
      </c>
    </row>
    <row r="19" spans="1:32" ht="15" outlineLevel="1" thickBot="1">
      <c r="A19" s="165"/>
      <c r="B19" s="86" t="s">
        <v>521</v>
      </c>
      <c r="C19" s="103">
        <v>0</v>
      </c>
      <c r="D19" s="103">
        <v>0</v>
      </c>
      <c r="E19" s="103">
        <v>0</v>
      </c>
      <c r="F19" s="103">
        <v>0</v>
      </c>
      <c r="G19" s="104">
        <v>0</v>
      </c>
      <c r="H19" s="104">
        <v>0</v>
      </c>
      <c r="I19" s="104">
        <v>0</v>
      </c>
      <c r="J19" s="104">
        <v>0</v>
      </c>
      <c r="K19" s="104">
        <v>0</v>
      </c>
      <c r="L19" s="104">
        <v>0</v>
      </c>
      <c r="M19" s="104">
        <v>0</v>
      </c>
      <c r="N19" s="104">
        <v>0</v>
      </c>
      <c r="O19" s="92">
        <v>0</v>
      </c>
      <c r="P19" s="93">
        <v>0</v>
      </c>
      <c r="Q19" s="287">
        <f t="shared" si="0"/>
        <v>0</v>
      </c>
      <c r="R19" s="283">
        <v>957.72490000000016</v>
      </c>
      <c r="S19" s="104">
        <v>957.72490000000016</v>
      </c>
      <c r="T19" s="104">
        <v>957.72490000000016</v>
      </c>
      <c r="U19" s="104">
        <v>957.72490000000016</v>
      </c>
      <c r="V19" s="104">
        <v>957.72490000000016</v>
      </c>
      <c r="W19" s="104">
        <v>957.72490000000016</v>
      </c>
      <c r="X19" s="104">
        <v>957.72490000000016</v>
      </c>
      <c r="Y19" s="104">
        <v>957.72490000000016</v>
      </c>
      <c r="Z19" s="104">
        <v>957.72490000000016</v>
      </c>
      <c r="AA19" s="104">
        <v>957.72490000000016</v>
      </c>
      <c r="AB19" s="104">
        <v>957.72490000000016</v>
      </c>
      <c r="AC19" s="104">
        <v>957.72490000000016</v>
      </c>
      <c r="AD19" s="92">
        <f>AD33/Ej_Producción!AD32</f>
        <v>957.72490000000016</v>
      </c>
      <c r="AE19" s="93">
        <v>932.9</v>
      </c>
      <c r="AF19" s="151">
        <f t="shared" si="1"/>
        <v>2.6610462000214583E-2</v>
      </c>
    </row>
    <row r="20" spans="1:32" ht="14.5">
      <c r="A20" s="165"/>
      <c r="B20" s="148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89"/>
      <c r="Q20" s="288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</row>
    <row r="21" spans="1:32" ht="16" thickBot="1">
      <c r="B21" s="179" t="s">
        <v>172</v>
      </c>
      <c r="O21" s="281"/>
      <c r="P21" s="281"/>
      <c r="Q21" s="289"/>
      <c r="R21" s="258"/>
      <c r="AD21" s="263"/>
      <c r="AE21" s="180"/>
      <c r="AF21" s="318"/>
    </row>
    <row r="22" spans="1:32" ht="14.5" outlineLevel="1">
      <c r="A22" s="165"/>
      <c r="B22" s="86" t="s">
        <v>173</v>
      </c>
      <c r="C22" s="103">
        <f>SUM(C23:C33)</f>
        <v>24415.306847102922</v>
      </c>
      <c r="D22" s="103">
        <f t="shared" ref="D22:N22" si="4">SUM(D23:D33)</f>
        <v>0</v>
      </c>
      <c r="E22" s="103">
        <f t="shared" si="4"/>
        <v>128424.38027897704</v>
      </c>
      <c r="F22" s="103">
        <f t="shared" si="4"/>
        <v>179732.42390962373</v>
      </c>
      <c r="G22" s="104">
        <f t="shared" si="4"/>
        <v>449031.28457175154</v>
      </c>
      <c r="H22" s="104">
        <f t="shared" si="4"/>
        <v>348081.56798140571</v>
      </c>
      <c r="I22" s="104">
        <f t="shared" si="4"/>
        <v>237508.16328586126</v>
      </c>
      <c r="J22" s="104">
        <f t="shared" si="4"/>
        <v>253342.8973621031</v>
      </c>
      <c r="K22" s="104">
        <f t="shared" si="4"/>
        <v>268355.75292713457</v>
      </c>
      <c r="L22" s="104">
        <f t="shared" si="4"/>
        <v>582980.14471349772</v>
      </c>
      <c r="M22" s="104">
        <f t="shared" si="4"/>
        <v>769328.12656183785</v>
      </c>
      <c r="N22" s="105">
        <f t="shared" si="4"/>
        <v>635348.12656183774</v>
      </c>
      <c r="O22" s="181">
        <f>SUM(C22:N22)</f>
        <v>3876548.1750011332</v>
      </c>
      <c r="P22" s="182">
        <v>9429716.5599999987</v>
      </c>
      <c r="Q22" s="290">
        <f t="shared" ref="Q22:Q44" si="5">O22-P22</f>
        <v>-5553168.3849988654</v>
      </c>
      <c r="R22" s="108">
        <f t="shared" ref="R22" si="6">SUM(R23:R33)</f>
        <v>685320.8271080096</v>
      </c>
      <c r="S22" s="104">
        <f t="shared" ref="S22" si="7">SUM(S23:S33)</f>
        <v>816872.50798540912</v>
      </c>
      <c r="T22" s="104">
        <f t="shared" ref="T22" si="8">SUM(T23:T33)</f>
        <v>1115918.8268531845</v>
      </c>
      <c r="U22" s="104">
        <f t="shared" ref="U22" si="9">SUM(U23:U33)</f>
        <v>1224369.6695804764</v>
      </c>
      <c r="V22" s="104">
        <f t="shared" ref="V22" si="10">SUM(V23:V33)</f>
        <v>1282406.4695804766</v>
      </c>
      <c r="W22" s="104">
        <f t="shared" ref="W22" si="11">SUM(W23:W33)</f>
        <v>1282406.4695804766</v>
      </c>
      <c r="X22" s="104">
        <f t="shared" ref="X22" si="12">SUM(X23:X33)</f>
        <v>1282406.4695804766</v>
      </c>
      <c r="Y22" s="104">
        <f t="shared" ref="Y22" si="13">SUM(Y23:Y33)</f>
        <v>1282406.4695804766</v>
      </c>
      <c r="Z22" s="104">
        <f t="shared" ref="Z22" si="14">SUM(Z23:Z33)</f>
        <v>1282406.4695804766</v>
      </c>
      <c r="AA22" s="104">
        <f t="shared" ref="AA22" si="15">SUM(AA23:AA33)</f>
        <v>1282406.4695804766</v>
      </c>
      <c r="AB22" s="104">
        <f t="shared" ref="AB22" si="16">SUM(AB23:AB33)</f>
        <v>1282406.4695804766</v>
      </c>
      <c r="AC22" s="105">
        <f t="shared" ref="AC22" si="17">SUM(AC23:AC33)</f>
        <v>1282406.4695804766</v>
      </c>
      <c r="AD22" s="181">
        <f t="shared" ref="AD22:AD44" si="18">SUM(R22:AC22)</f>
        <v>14101733.588170895</v>
      </c>
      <c r="AE22" s="182">
        <v>11079678.727500001</v>
      </c>
      <c r="AF22" s="183">
        <f t="shared" ref="AF22:AF44" si="19">AD22-AE22</f>
        <v>3022054.8606708944</v>
      </c>
    </row>
    <row r="23" spans="1:32" ht="14.5" hidden="1" outlineLevel="2">
      <c r="A23" s="165"/>
      <c r="B23" s="184" t="s">
        <v>156</v>
      </c>
      <c r="C23" s="185">
        <f>+C9*Ej_Producción!C22</f>
        <v>24415.306847102922</v>
      </c>
      <c r="D23" s="185">
        <f>+D9*Ej_Producción!D22</f>
        <v>0</v>
      </c>
      <c r="E23" s="185">
        <f>+E9*Ej_Producción!E22</f>
        <v>18360.803987543564</v>
      </c>
      <c r="F23" s="185">
        <f>+F9*Ej_Producción!F22</f>
        <v>49278.638685171201</v>
      </c>
      <c r="G23" s="185">
        <f>+G9*Ej_Producción!G22</f>
        <v>11508.898850486226</v>
      </c>
      <c r="H23" s="185">
        <f>+H9*Ej_Producción!H22</f>
        <v>37814.953365883317</v>
      </c>
      <c r="I23" s="185">
        <f>+I9*Ej_Producción!I22</f>
        <v>73985.778324554311</v>
      </c>
      <c r="J23" s="185">
        <f>+J9*Ej_Producción!J22</f>
        <v>73985.778324554311</v>
      </c>
      <c r="K23" s="185">
        <f>+K9*Ej_Producción!K22</f>
        <v>73985.778324554311</v>
      </c>
      <c r="L23" s="185">
        <f>+L9*Ej_Producción!L22</f>
        <v>73985.778324554311</v>
      </c>
      <c r="M23" s="185">
        <f>+M9*Ej_Producción!M22</f>
        <v>73985.778324554311</v>
      </c>
      <c r="N23" s="186">
        <f>+N9*Ej_Producción!N22</f>
        <v>73985.778324554311</v>
      </c>
      <c r="O23" s="187">
        <f t="shared" ref="O23:O44" si="20">SUM(C23:N23)</f>
        <v>585293.27168351319</v>
      </c>
      <c r="P23" s="89"/>
      <c r="Q23" s="288"/>
      <c r="R23" s="188">
        <f>+R9*Ej_Producción!R22</f>
        <v>26388.260935757706</v>
      </c>
      <c r="S23" s="185">
        <f>+S9*Ej_Producción!S22</f>
        <v>52776.521871515411</v>
      </c>
      <c r="T23" s="185">
        <f>+T9*Ej_Producción!T22</f>
        <v>79164.782807273121</v>
      </c>
      <c r="U23" s="185">
        <f>+U9*Ej_Producción!U22</f>
        <v>79164.782807273121</v>
      </c>
      <c r="V23" s="185">
        <f>+V9*Ej_Producción!V22</f>
        <v>79164.782807273121</v>
      </c>
      <c r="W23" s="185">
        <f>+W9*Ej_Producción!W22</f>
        <v>79164.782807273121</v>
      </c>
      <c r="X23" s="185">
        <f>+X9*Ej_Producción!X22</f>
        <v>79164.782807273121</v>
      </c>
      <c r="Y23" s="185">
        <f>+Y9*Ej_Producción!Y22</f>
        <v>79164.782807273121</v>
      </c>
      <c r="Z23" s="185">
        <f>+Z9*Ej_Producción!Z22</f>
        <v>79164.782807273121</v>
      </c>
      <c r="AA23" s="185">
        <f>+AA9*Ej_Producción!AA22</f>
        <v>79164.782807273121</v>
      </c>
      <c r="AB23" s="185">
        <f>+AB9*Ej_Producción!AB22</f>
        <v>79164.782807273121</v>
      </c>
      <c r="AC23" s="186">
        <f>+AC9*Ej_Producción!AC22</f>
        <v>79164.782807273121</v>
      </c>
      <c r="AD23" s="187">
        <f t="shared" si="18"/>
        <v>870812.61088000413</v>
      </c>
      <c r="AE23" s="89"/>
      <c r="AF23" s="107"/>
    </row>
    <row r="24" spans="1:32" ht="14.5" hidden="1" outlineLevel="2">
      <c r="A24" s="165"/>
      <c r="B24" s="184" t="s">
        <v>157</v>
      </c>
      <c r="C24" s="185">
        <f>+C10*Ej_Producción!C23</f>
        <v>0</v>
      </c>
      <c r="D24" s="185">
        <f>+D10*Ej_Producción!D23</f>
        <v>0</v>
      </c>
      <c r="E24" s="185">
        <f>+E10*Ej_Producción!E23</f>
        <v>104989.3366</v>
      </c>
      <c r="F24" s="185">
        <f>+F10*Ej_Producción!F23</f>
        <v>116009.90294</v>
      </c>
      <c r="G24" s="185">
        <f>+G10*Ej_Producción!G23</f>
        <v>301677.56660000002</v>
      </c>
      <c r="H24" s="185">
        <f>+H10*Ej_Producción!H23</f>
        <v>300267.60895999998</v>
      </c>
      <c r="I24" s="185">
        <f>+I10*Ej_Producción!I23</f>
        <v>94685.8</v>
      </c>
      <c r="J24" s="185">
        <f>+J10*Ej_Producción!J23</f>
        <v>43039</v>
      </c>
      <c r="K24" s="185">
        <f>+K10*Ej_Producción!K23</f>
        <v>0</v>
      </c>
      <c r="L24" s="185">
        <f>+L10*Ej_Producción!L23</f>
        <v>129117</v>
      </c>
      <c r="M24" s="185">
        <f>+M10*Ej_Producción!M23</f>
        <v>265800</v>
      </c>
      <c r="N24" s="186">
        <f>+N10*Ej_Producción!N23</f>
        <v>212640</v>
      </c>
      <c r="O24" s="187">
        <f t="shared" si="20"/>
        <v>1568226.2151000001</v>
      </c>
      <c r="P24" s="89"/>
      <c r="Q24" s="288"/>
      <c r="R24" s="188">
        <f>+R10*Ej_Producción!R23</f>
        <v>265800</v>
      </c>
      <c r="S24" s="185">
        <f>+S10*Ej_Producción!S23</f>
        <v>284406</v>
      </c>
      <c r="T24" s="185">
        <f>+T10*Ej_Producción!T23</f>
        <v>369727.80000000005</v>
      </c>
      <c r="U24" s="185">
        <f>+U10*Ej_Producción!U23</f>
        <v>398168.4</v>
      </c>
      <c r="V24" s="185">
        <f>+V10*Ej_Producción!V23</f>
        <v>398168.4</v>
      </c>
      <c r="W24" s="185">
        <f>+W10*Ej_Producción!W23</f>
        <v>398168.4</v>
      </c>
      <c r="X24" s="185">
        <f>+X10*Ej_Producción!X23</f>
        <v>398168.4</v>
      </c>
      <c r="Y24" s="185">
        <f>+Y10*Ej_Producción!Y23</f>
        <v>398168.4</v>
      </c>
      <c r="Z24" s="185">
        <f>+Z10*Ej_Producción!Z23</f>
        <v>398168.4</v>
      </c>
      <c r="AA24" s="185">
        <f>+AA10*Ej_Producción!AA23</f>
        <v>398168.4</v>
      </c>
      <c r="AB24" s="185">
        <f>+AB10*Ej_Producción!AB23</f>
        <v>398168.4</v>
      </c>
      <c r="AC24" s="186">
        <f>+AC10*Ej_Producción!AC23</f>
        <v>398168.4</v>
      </c>
      <c r="AD24" s="187">
        <f t="shared" si="18"/>
        <v>4503449.3999999994</v>
      </c>
      <c r="AE24" s="89"/>
      <c r="AF24" s="107"/>
    </row>
    <row r="25" spans="1:32" ht="14.5" hidden="1" outlineLevel="2">
      <c r="A25" s="165"/>
      <c r="B25" s="184" t="s">
        <v>158</v>
      </c>
      <c r="C25" s="185">
        <f>+C11*Ej_Producción!C24</f>
        <v>0</v>
      </c>
      <c r="D25" s="185">
        <f>+D11*Ej_Producción!D24</f>
        <v>0</v>
      </c>
      <c r="E25" s="185">
        <f>+E11*Ej_Producción!E24</f>
        <v>5074.2396914334831</v>
      </c>
      <c r="F25" s="185">
        <f>+F11*Ej_Producción!F24</f>
        <v>14443.88228445252</v>
      </c>
      <c r="G25" s="185">
        <f>+G11*Ej_Producción!G24</f>
        <v>58142.329797675324</v>
      </c>
      <c r="H25" s="185">
        <f>+H11*Ej_Producción!H24</f>
        <v>9999.0056555224128</v>
      </c>
      <c r="I25" s="185">
        <f>+I11*Ej_Producción!I24</f>
        <v>68836.584961306944</v>
      </c>
      <c r="J25" s="185">
        <f>+J11*Ej_Producción!J24</f>
        <v>49168.989258076384</v>
      </c>
      <c r="K25" s="185">
        <f>+K11*Ej_Producción!K24</f>
        <v>49168.989258076384</v>
      </c>
      <c r="L25" s="185">
        <f>+L11*Ej_Producción!L24</f>
        <v>29501.393554845832</v>
      </c>
      <c r="M25" s="185">
        <f>+M11*Ej_Producción!M24</f>
        <v>63840</v>
      </c>
      <c r="N25" s="186">
        <f>+N11*Ej_Producción!N24</f>
        <v>63840</v>
      </c>
      <c r="O25" s="187">
        <f t="shared" si="20"/>
        <v>412015.4144613893</v>
      </c>
      <c r="P25" s="89"/>
      <c r="Q25" s="288"/>
      <c r="R25" s="188">
        <f>+R11*Ej_Producción!R24</f>
        <v>95760</v>
      </c>
      <c r="S25" s="185">
        <f>+S11*Ej_Producción!S24</f>
        <v>102463.2</v>
      </c>
      <c r="T25" s="185">
        <f>+T11*Ej_Producción!T24</f>
        <v>136617.60000000001</v>
      </c>
      <c r="U25" s="185">
        <f>+U11*Ej_Producción!U24</f>
        <v>170772</v>
      </c>
      <c r="V25" s="185">
        <f>+V11*Ej_Producción!V24</f>
        <v>170772</v>
      </c>
      <c r="W25" s="185">
        <f>+W11*Ej_Producción!W24</f>
        <v>170772</v>
      </c>
      <c r="X25" s="185">
        <f>+X11*Ej_Producción!X24</f>
        <v>170772</v>
      </c>
      <c r="Y25" s="185">
        <f>+Y11*Ej_Producción!Y24</f>
        <v>170772</v>
      </c>
      <c r="Z25" s="185">
        <f>+Z11*Ej_Producción!Z24</f>
        <v>170772</v>
      </c>
      <c r="AA25" s="185">
        <f>+AA11*Ej_Producción!AA24</f>
        <v>170772</v>
      </c>
      <c r="AB25" s="185">
        <f>+AB11*Ej_Producción!AB24</f>
        <v>170772</v>
      </c>
      <c r="AC25" s="186">
        <f>+AC11*Ej_Producción!AC24</f>
        <v>170772</v>
      </c>
      <c r="AD25" s="187">
        <f t="shared" si="18"/>
        <v>1871788.8</v>
      </c>
      <c r="AE25" s="89"/>
      <c r="AF25" s="107"/>
    </row>
    <row r="26" spans="1:32" ht="14.5" hidden="1" outlineLevel="2">
      <c r="A26" s="165"/>
      <c r="B26" s="189" t="s">
        <v>514</v>
      </c>
      <c r="C26" s="185"/>
      <c r="D26" s="185"/>
      <c r="E26" s="185">
        <f>+E12*Ej_Producción!E25</f>
        <v>0</v>
      </c>
      <c r="F26" s="185">
        <f>+F12*Ej_Producción!F25</f>
        <v>0</v>
      </c>
      <c r="G26" s="185">
        <f>+G12*Ej_Producción!G25</f>
        <v>0</v>
      </c>
      <c r="H26" s="185">
        <f>+H12*Ej_Producción!H25</f>
        <v>0</v>
      </c>
      <c r="I26" s="185">
        <f>+I12*Ej_Producción!I25</f>
        <v>0</v>
      </c>
      <c r="J26" s="185">
        <f>+J12*Ej_Producción!J25</f>
        <v>0</v>
      </c>
      <c r="K26" s="185">
        <f>+K12*Ej_Producción!K25</f>
        <v>27660</v>
      </c>
      <c r="L26" s="185">
        <f>+L12*Ej_Producción!L25</f>
        <v>165960</v>
      </c>
      <c r="M26" s="185">
        <f>+M12*Ej_Producción!M25</f>
        <v>138300</v>
      </c>
      <c r="N26" s="186">
        <f>+N12*Ej_Producción!N25</f>
        <v>110640</v>
      </c>
      <c r="O26" s="187">
        <f t="shared" si="20"/>
        <v>442560</v>
      </c>
      <c r="P26" s="89"/>
      <c r="Q26" s="288"/>
      <c r="R26" s="188">
        <f>+R12*Ej_Producción!R25</f>
        <v>82980</v>
      </c>
      <c r="S26" s="185">
        <f>+S12*Ej_Producción!S25</f>
        <v>88788.6</v>
      </c>
      <c r="T26" s="185">
        <f>+T12*Ej_Producción!T25</f>
        <v>118384.8</v>
      </c>
      <c r="U26" s="185">
        <f>+U12*Ej_Producción!U25</f>
        <v>147981</v>
      </c>
      <c r="V26" s="185">
        <f>+V12*Ej_Producción!V25</f>
        <v>147981</v>
      </c>
      <c r="W26" s="185">
        <f>+W12*Ej_Producción!W25</f>
        <v>147981</v>
      </c>
      <c r="X26" s="185">
        <f>+X12*Ej_Producción!X25</f>
        <v>147981</v>
      </c>
      <c r="Y26" s="185">
        <f>+Y12*Ej_Producción!Y25</f>
        <v>147981</v>
      </c>
      <c r="Z26" s="185">
        <f>+Z12*Ej_Producción!Z25</f>
        <v>147981</v>
      </c>
      <c r="AA26" s="185">
        <f>+AA12*Ej_Producción!AA25</f>
        <v>147981</v>
      </c>
      <c r="AB26" s="185">
        <f>+AB12*Ej_Producción!AB25</f>
        <v>147981</v>
      </c>
      <c r="AC26" s="186">
        <f>+AC12*Ej_Producción!AC25</f>
        <v>147981</v>
      </c>
      <c r="AD26" s="187">
        <f t="shared" si="18"/>
        <v>1621982.4</v>
      </c>
      <c r="AE26" s="89"/>
      <c r="AF26" s="107"/>
    </row>
    <row r="27" spans="1:32" ht="14.5" hidden="1" outlineLevel="2">
      <c r="A27" s="165"/>
      <c r="B27" s="184" t="s">
        <v>515</v>
      </c>
      <c r="C27" s="185">
        <f>+C13*Ej_Producción!C26</f>
        <v>0</v>
      </c>
      <c r="D27" s="185">
        <f>+D13*Ej_Producción!D26</f>
        <v>0</v>
      </c>
      <c r="E27" s="185">
        <f>+E13*Ej_Producción!E26</f>
        <v>0</v>
      </c>
      <c r="F27" s="185">
        <f>+F13*Ej_Producción!F26</f>
        <v>0</v>
      </c>
      <c r="G27" s="185">
        <f>+G13*Ej_Producción!G26</f>
        <v>0</v>
      </c>
      <c r="H27" s="185">
        <f>+H13*Ej_Producción!H26</f>
        <v>0</v>
      </c>
      <c r="I27" s="185">
        <f>+I13*Ej_Producción!I26</f>
        <v>0</v>
      </c>
      <c r="J27" s="185">
        <f>+J13*Ej_Producción!J26</f>
        <v>56757.274214440942</v>
      </c>
      <c r="K27" s="185">
        <f>+K13*Ej_Producción!K26</f>
        <v>56757.274214440942</v>
      </c>
      <c r="L27" s="185">
        <f>+L13*Ej_Producción!L26</f>
        <v>56757.274214440942</v>
      </c>
      <c r="M27" s="185">
        <f>+M13*Ej_Producción!M26</f>
        <v>28378.637107220471</v>
      </c>
      <c r="N27" s="186">
        <f>+N13*Ej_Producción!N26</f>
        <v>28378.637107220471</v>
      </c>
      <c r="O27" s="187">
        <f t="shared" si="20"/>
        <v>227029.09685776377</v>
      </c>
      <c r="P27" s="89"/>
      <c r="Q27" s="288"/>
      <c r="R27" s="188">
        <f>+R13*Ej_Producción!R26</f>
        <v>28378.637107220471</v>
      </c>
      <c r="S27" s="185">
        <f>+S13*Ej_Producción!S26</f>
        <v>30365.141704725895</v>
      </c>
      <c r="T27" s="185">
        <f>+T13*Ej_Producción!T26</f>
        <v>60730.283409451789</v>
      </c>
      <c r="U27" s="185">
        <f>+U13*Ej_Producción!U26</f>
        <v>60730.283409451789</v>
      </c>
      <c r="V27" s="185">
        <f>+V13*Ej_Producción!V26</f>
        <v>60730.283409451789</v>
      </c>
      <c r="W27" s="185">
        <f>+W13*Ej_Producción!W26</f>
        <v>60730.283409451789</v>
      </c>
      <c r="X27" s="185">
        <f>+X13*Ej_Producción!X26</f>
        <v>60730.283409451789</v>
      </c>
      <c r="Y27" s="185">
        <f>+Y13*Ej_Producción!Y26</f>
        <v>60730.283409451789</v>
      </c>
      <c r="Z27" s="185">
        <f>+Z13*Ej_Producción!Z26</f>
        <v>60730.283409451789</v>
      </c>
      <c r="AA27" s="185">
        <f>+AA13*Ej_Producción!AA26</f>
        <v>60730.283409451789</v>
      </c>
      <c r="AB27" s="185">
        <f>+AB13*Ej_Producción!AB26</f>
        <v>60730.283409451789</v>
      </c>
      <c r="AC27" s="186">
        <f>+AC13*Ej_Producción!AC26</f>
        <v>60730.283409451789</v>
      </c>
      <c r="AD27" s="187">
        <f t="shared" si="18"/>
        <v>666046.61290646426</v>
      </c>
      <c r="AE27" s="89"/>
      <c r="AF27" s="107"/>
    </row>
    <row r="28" spans="1:32" ht="14.5" hidden="1" outlineLevel="2">
      <c r="A28" s="165"/>
      <c r="B28" s="184" t="s">
        <v>516</v>
      </c>
      <c r="C28" s="185">
        <f>+C14*Ej_Producción!C27</f>
        <v>0</v>
      </c>
      <c r="D28" s="185">
        <f>+D14*Ej_Producción!D27</f>
        <v>0</v>
      </c>
      <c r="E28" s="185">
        <f>+E14*Ej_Producción!E27</f>
        <v>0</v>
      </c>
      <c r="F28" s="185">
        <f>+F14*Ej_Producción!F27</f>
        <v>0</v>
      </c>
      <c r="G28" s="185">
        <f>+G14*Ej_Producción!G27</f>
        <v>8104.4948173417251</v>
      </c>
      <c r="H28" s="185">
        <f>+H14*Ej_Producción!H27</f>
        <v>0</v>
      </c>
      <c r="I28" s="185">
        <f>+I14*Ej_Producción!I27</f>
        <v>0</v>
      </c>
      <c r="J28" s="185">
        <f>+J14*Ej_Producción!J27</f>
        <v>30391.85556503147</v>
      </c>
      <c r="K28" s="185">
        <f>+K14*Ej_Producción!K27</f>
        <v>30391.85556503147</v>
      </c>
      <c r="L28" s="185">
        <f>+L14*Ej_Producción!L27</f>
        <v>30391.85556503147</v>
      </c>
      <c r="M28" s="185">
        <f>+M14*Ej_Producción!M27</f>
        <v>30391.85556503147</v>
      </c>
      <c r="N28" s="186">
        <f>+N14*Ej_Producción!N27</f>
        <v>30391.85556503147</v>
      </c>
      <c r="O28" s="187">
        <f t="shared" si="20"/>
        <v>160063.77264249907</v>
      </c>
      <c r="P28" s="89"/>
      <c r="Q28" s="288"/>
      <c r="R28" s="188">
        <f>+R14*Ej_Producción!R27</f>
        <v>0</v>
      </c>
      <c r="S28" s="185">
        <f>+S14*Ej_Producción!S27</f>
        <v>32519.285454583813</v>
      </c>
      <c r="T28" s="185">
        <f>+T14*Ej_Producción!T27</f>
        <v>32519.285454583813</v>
      </c>
      <c r="U28" s="185">
        <f>+U14*Ej_Producción!U27</f>
        <v>32519.285454583813</v>
      </c>
      <c r="V28" s="185">
        <f>+V14*Ej_Producción!V27</f>
        <v>32519.285454583813</v>
      </c>
      <c r="W28" s="185">
        <f>+W14*Ej_Producción!W27</f>
        <v>32519.285454583813</v>
      </c>
      <c r="X28" s="185">
        <f>+X14*Ej_Producción!X27</f>
        <v>32519.285454583813</v>
      </c>
      <c r="Y28" s="185">
        <f>+Y14*Ej_Producción!Y27</f>
        <v>32519.285454583813</v>
      </c>
      <c r="Z28" s="185">
        <f>+Z14*Ej_Producción!Z27</f>
        <v>32519.285454583813</v>
      </c>
      <c r="AA28" s="185">
        <f>+AA14*Ej_Producción!AA27</f>
        <v>32519.285454583813</v>
      </c>
      <c r="AB28" s="185">
        <f>+AB14*Ej_Producción!AB27</f>
        <v>32519.285454583813</v>
      </c>
      <c r="AC28" s="186">
        <f>+AC14*Ej_Producción!AC27</f>
        <v>32519.285454583813</v>
      </c>
      <c r="AD28" s="187">
        <f t="shared" si="18"/>
        <v>357712.14000042196</v>
      </c>
      <c r="AE28" s="89"/>
      <c r="AF28" s="107"/>
    </row>
    <row r="29" spans="1:32" ht="14.5" hidden="1" outlineLevel="2">
      <c r="A29" s="165"/>
      <c r="B29" s="184" t="s">
        <v>517</v>
      </c>
      <c r="C29" s="185">
        <f>+C15*Ej_Producción!C28</f>
        <v>0</v>
      </c>
      <c r="D29" s="185">
        <f>+D15*Ej_Producción!D28</f>
        <v>0</v>
      </c>
      <c r="E29" s="185">
        <f>+E15*Ej_Producción!E28</f>
        <v>0</v>
      </c>
      <c r="F29" s="185">
        <f>+F15*Ej_Producción!F28</f>
        <v>0</v>
      </c>
      <c r="G29" s="185">
        <f>+G15*Ej_Producción!G28</f>
        <v>0</v>
      </c>
      <c r="H29" s="185">
        <f>+H15*Ej_Producción!H28</f>
        <v>0</v>
      </c>
      <c r="I29" s="185">
        <f>+I15*Ej_Producción!I28</f>
        <v>0</v>
      </c>
      <c r="J29" s="185">
        <f>+J15*Ej_Producción!J28</f>
        <v>0</v>
      </c>
      <c r="K29" s="185">
        <f>+K15*Ej_Producción!K28</f>
        <v>30391.85556503147</v>
      </c>
      <c r="L29" s="185">
        <f>+L15*Ej_Producción!L28</f>
        <v>30391.85556503147</v>
      </c>
      <c r="M29" s="185">
        <f>+M15*Ej_Producción!M28</f>
        <v>30391.85556503147</v>
      </c>
      <c r="N29" s="186">
        <f>+N15*Ej_Producción!N28</f>
        <v>30391.85556503147</v>
      </c>
      <c r="O29" s="187">
        <f t="shared" si="20"/>
        <v>121567.42226012588</v>
      </c>
      <c r="P29" s="89"/>
      <c r="Q29" s="288"/>
      <c r="R29" s="188">
        <f>+R15*Ej_Producción!R28</f>
        <v>30391.85556503147</v>
      </c>
      <c r="S29" s="185">
        <f>+S15*Ej_Producción!S28</f>
        <v>32519.285454583813</v>
      </c>
      <c r="T29" s="185">
        <f>+T15*Ej_Producción!T28</f>
        <v>48778.928181875715</v>
      </c>
      <c r="U29" s="185">
        <f>+U15*Ej_Producción!U28</f>
        <v>65038.570909167625</v>
      </c>
      <c r="V29" s="185">
        <f>+V15*Ej_Producción!V28</f>
        <v>65038.570909167625</v>
      </c>
      <c r="W29" s="185">
        <f>+W15*Ej_Producción!W28</f>
        <v>65038.570909167625</v>
      </c>
      <c r="X29" s="185">
        <f>+X15*Ej_Producción!X28</f>
        <v>65038.570909167625</v>
      </c>
      <c r="Y29" s="185">
        <f>+Y15*Ej_Producción!Y28</f>
        <v>65038.570909167625</v>
      </c>
      <c r="Z29" s="185">
        <f>+Z15*Ej_Producción!Z28</f>
        <v>65038.570909167625</v>
      </c>
      <c r="AA29" s="185">
        <f>+AA15*Ej_Producción!AA28</f>
        <v>65038.570909167625</v>
      </c>
      <c r="AB29" s="185">
        <f>+AB15*Ej_Producción!AB28</f>
        <v>65038.570909167625</v>
      </c>
      <c r="AC29" s="186">
        <f>+AC15*Ej_Producción!AC28</f>
        <v>65038.570909167625</v>
      </c>
      <c r="AD29" s="187">
        <f t="shared" si="18"/>
        <v>697037.20738399972</v>
      </c>
      <c r="AE29" s="89"/>
      <c r="AF29" s="107"/>
    </row>
    <row r="30" spans="1:32" ht="14.5" hidden="1" outlineLevel="2">
      <c r="A30" s="165"/>
      <c r="B30" s="184" t="s">
        <v>518</v>
      </c>
      <c r="C30" s="185">
        <f>+C16*Ej_Producción!C29</f>
        <v>0</v>
      </c>
      <c r="D30" s="185">
        <f>+D16*Ej_Producción!D29</f>
        <v>0</v>
      </c>
      <c r="E30" s="185">
        <f>+E16*Ej_Producción!E29</f>
        <v>0</v>
      </c>
      <c r="F30" s="185">
        <f>+F16*Ej_Producción!F29</f>
        <v>0</v>
      </c>
      <c r="G30" s="185">
        <f>+G16*Ej_Producción!G29</f>
        <v>5900.2787109691662</v>
      </c>
      <c r="H30" s="185">
        <f>+H16*Ej_Producción!H29</f>
        <v>0</v>
      </c>
      <c r="I30" s="185">
        <f>+I16*Ej_Producción!I29</f>
        <v>0</v>
      </c>
      <c r="J30" s="185">
        <f>+J16*Ej_Producción!J29</f>
        <v>0</v>
      </c>
      <c r="K30" s="185">
        <f>+K16*Ej_Producción!K29</f>
        <v>0</v>
      </c>
      <c r="L30" s="185">
        <f>+L16*Ej_Producción!L29</f>
        <v>53102.508398722493</v>
      </c>
      <c r="M30" s="185">
        <f>+M16*Ej_Producción!M29</f>
        <v>31920</v>
      </c>
      <c r="N30" s="186">
        <f>+N16*Ej_Producción!N29</f>
        <v>31920</v>
      </c>
      <c r="O30" s="187">
        <f t="shared" si="20"/>
        <v>122842.78710969165</v>
      </c>
      <c r="P30" s="89"/>
      <c r="Q30" s="288"/>
      <c r="R30" s="188">
        <f>+R16*Ej_Producción!R29</f>
        <v>31920</v>
      </c>
      <c r="S30" s="185">
        <f>+S16*Ej_Producción!S29</f>
        <v>34154.400000000001</v>
      </c>
      <c r="T30" s="185">
        <f>+T16*Ej_Producción!T29</f>
        <v>68308.800000000003</v>
      </c>
      <c r="U30" s="185">
        <f>+U16*Ej_Producción!U29</f>
        <v>68308.800000000003</v>
      </c>
      <c r="V30" s="185">
        <f>+V16*Ej_Producción!V29</f>
        <v>68308.800000000003</v>
      </c>
      <c r="W30" s="185">
        <f>+W16*Ej_Producción!W29</f>
        <v>68308.800000000003</v>
      </c>
      <c r="X30" s="185">
        <f>+X16*Ej_Producción!X29</f>
        <v>68308.800000000003</v>
      </c>
      <c r="Y30" s="185">
        <f>+Y16*Ej_Producción!Y29</f>
        <v>68308.800000000003</v>
      </c>
      <c r="Z30" s="185">
        <f>+Z16*Ej_Producción!Z29</f>
        <v>68308.800000000003</v>
      </c>
      <c r="AA30" s="185">
        <f>+AA16*Ej_Producción!AA29</f>
        <v>68308.800000000003</v>
      </c>
      <c r="AB30" s="185">
        <f>+AB16*Ej_Producción!AB29</f>
        <v>68308.800000000003</v>
      </c>
      <c r="AC30" s="186">
        <f>+AC16*Ej_Producción!AC29</f>
        <v>68308.800000000003</v>
      </c>
      <c r="AD30" s="187">
        <f t="shared" si="18"/>
        <v>749162.40000000014</v>
      </c>
      <c r="AE30" s="89"/>
      <c r="AF30" s="107"/>
    </row>
    <row r="31" spans="1:32" ht="14.5" hidden="1" outlineLevel="2">
      <c r="A31" s="165"/>
      <c r="B31" s="184" t="s">
        <v>519</v>
      </c>
      <c r="C31" s="185">
        <f>+C17*Ej_Producción!C30</f>
        <v>0</v>
      </c>
      <c r="D31" s="185">
        <f>+D17*Ej_Producción!D30</f>
        <v>0</v>
      </c>
      <c r="E31" s="185">
        <f>+E17*Ej_Producción!E30</f>
        <v>0</v>
      </c>
      <c r="F31" s="185">
        <f>+F17*Ej_Producción!F30</f>
        <v>0</v>
      </c>
      <c r="G31" s="185">
        <f>+G17*Ej_Producción!G30</f>
        <v>63697.715795279117</v>
      </c>
      <c r="H31" s="185">
        <f>+H17*Ej_Producción!H30</f>
        <v>0</v>
      </c>
      <c r="I31" s="185">
        <f>+I17*Ej_Producción!I30</f>
        <v>0</v>
      </c>
      <c r="J31" s="185">
        <f>+J17*Ej_Producción!J30</f>
        <v>0</v>
      </c>
      <c r="K31" s="185">
        <f>+K17*Ej_Producción!K30</f>
        <v>0</v>
      </c>
      <c r="L31" s="185">
        <f>+L17*Ej_Producción!L30</f>
        <v>13772.47909087116</v>
      </c>
      <c r="M31" s="185">
        <f>+M17*Ej_Producción!M30</f>
        <v>106320</v>
      </c>
      <c r="N31" s="186">
        <f>+N17*Ej_Producción!N30</f>
        <v>53160</v>
      </c>
      <c r="O31" s="187">
        <f t="shared" si="20"/>
        <v>236950.19488615028</v>
      </c>
      <c r="P31" s="89"/>
      <c r="Q31" s="288"/>
      <c r="R31" s="188">
        <f>+R17*Ej_Producción!R30</f>
        <v>79740</v>
      </c>
      <c r="S31" s="185">
        <f>+S17*Ej_Producción!S30</f>
        <v>85321.8</v>
      </c>
      <c r="T31" s="185">
        <f>+T17*Ej_Producción!T30</f>
        <v>113762.40000000001</v>
      </c>
      <c r="U31" s="185">
        <f>+U17*Ej_Producción!U30</f>
        <v>113762.40000000001</v>
      </c>
      <c r="V31" s="185">
        <f>+V17*Ej_Producción!V30</f>
        <v>142203</v>
      </c>
      <c r="W31" s="185">
        <f>+W17*Ej_Producción!W30</f>
        <v>142203</v>
      </c>
      <c r="X31" s="185">
        <f>+X17*Ej_Producción!X30</f>
        <v>142203</v>
      </c>
      <c r="Y31" s="185">
        <f>+Y17*Ej_Producción!Y30</f>
        <v>142203</v>
      </c>
      <c r="Z31" s="185">
        <f>+Z17*Ej_Producción!Z30</f>
        <v>142203</v>
      </c>
      <c r="AA31" s="185">
        <f>+AA17*Ej_Producción!AA30</f>
        <v>142203</v>
      </c>
      <c r="AB31" s="185">
        <f>+AB17*Ej_Producción!AB30</f>
        <v>142203</v>
      </c>
      <c r="AC31" s="186">
        <f>+AC17*Ej_Producción!AC30</f>
        <v>142203</v>
      </c>
      <c r="AD31" s="187">
        <f t="shared" si="18"/>
        <v>1530210.6</v>
      </c>
      <c r="AE31" s="89"/>
      <c r="AF31" s="107"/>
    </row>
    <row r="32" spans="1:32" ht="14.5" hidden="1" outlineLevel="2">
      <c r="A32" s="165"/>
      <c r="B32" s="184" t="s">
        <v>520</v>
      </c>
      <c r="C32" s="185">
        <f>+C18*Ej_Producción!C31</f>
        <v>0</v>
      </c>
      <c r="D32" s="185">
        <f>+D18*Ej_Producción!D31</f>
        <v>0</v>
      </c>
      <c r="E32" s="185">
        <f>+E18*Ej_Producción!E31</f>
        <v>0</v>
      </c>
      <c r="F32" s="185">
        <f>+F18*Ej_Producción!F31</f>
        <v>0</v>
      </c>
      <c r="G32" s="185">
        <f>+G18*Ej_Producción!G31</f>
        <v>0</v>
      </c>
      <c r="H32" s="185">
        <f>+H18*Ej_Producción!H31</f>
        <v>0</v>
      </c>
      <c r="I32" s="185">
        <f>+I18*Ej_Producción!I31</f>
        <v>0</v>
      </c>
      <c r="J32" s="185">
        <f>+J18*Ej_Producción!J31</f>
        <v>0</v>
      </c>
      <c r="K32" s="185">
        <f>+K18*Ej_Producción!K31</f>
        <v>0</v>
      </c>
      <c r="L32" s="185">
        <f>+L18*Ej_Producción!L31</f>
        <v>0</v>
      </c>
      <c r="M32" s="185">
        <f>+M18*Ej_Producción!M31</f>
        <v>0</v>
      </c>
      <c r="N32" s="186">
        <f>+N18*Ej_Producción!N31</f>
        <v>0</v>
      </c>
      <c r="O32" s="187">
        <f t="shared" si="20"/>
        <v>0</v>
      </c>
      <c r="P32" s="89"/>
      <c r="Q32" s="288"/>
      <c r="R32" s="188">
        <f>+R18*Ej_Producción!R31</f>
        <v>29596.2</v>
      </c>
      <c r="S32" s="185">
        <f>+S18*Ej_Producción!S31</f>
        <v>59192.4</v>
      </c>
      <c r="T32" s="185">
        <f>+T18*Ej_Producción!T31</f>
        <v>59192.4</v>
      </c>
      <c r="U32" s="185">
        <f>+U18*Ej_Producción!U31</f>
        <v>59192.4</v>
      </c>
      <c r="V32" s="185">
        <f>+V18*Ej_Producción!V31</f>
        <v>88788.6</v>
      </c>
      <c r="W32" s="185">
        <f>+W18*Ej_Producción!W31</f>
        <v>88788.6</v>
      </c>
      <c r="X32" s="185">
        <f>+X18*Ej_Producción!X31</f>
        <v>88788.6</v>
      </c>
      <c r="Y32" s="185">
        <f>+Y18*Ej_Producción!Y31</f>
        <v>88788.6</v>
      </c>
      <c r="Z32" s="185">
        <f>+Z18*Ej_Producción!Z31</f>
        <v>88788.6</v>
      </c>
      <c r="AA32" s="185">
        <f>+AA18*Ej_Producción!AA31</f>
        <v>88788.6</v>
      </c>
      <c r="AB32" s="185">
        <f>+AB18*Ej_Producción!AB31</f>
        <v>88788.6</v>
      </c>
      <c r="AC32" s="186">
        <f>+AC18*Ej_Producción!AC31</f>
        <v>88788.6</v>
      </c>
      <c r="AD32" s="187">
        <f t="shared" si="18"/>
        <v>917482.19999999984</v>
      </c>
      <c r="AE32" s="89"/>
      <c r="AF32" s="107"/>
    </row>
    <row r="33" spans="1:39" ht="14.5" hidden="1" outlineLevel="2">
      <c r="A33" s="165"/>
      <c r="B33" s="184" t="s">
        <v>521</v>
      </c>
      <c r="C33" s="185">
        <f>+C19*Ej_Producción!C32</f>
        <v>0</v>
      </c>
      <c r="D33" s="185">
        <f>+D19*Ej_Producción!D32</f>
        <v>0</v>
      </c>
      <c r="E33" s="185">
        <f>+E19*Ej_Producción!E32</f>
        <v>0</v>
      </c>
      <c r="F33" s="185">
        <f>+F19*Ej_Producción!F32</f>
        <v>0</v>
      </c>
      <c r="G33" s="185">
        <f>+G19*Ej_Producción!G32</f>
        <v>0</v>
      </c>
      <c r="H33" s="185">
        <f>+H19*Ej_Producción!H32</f>
        <v>0</v>
      </c>
      <c r="I33" s="185">
        <f>+I19*Ej_Producción!I32</f>
        <v>0</v>
      </c>
      <c r="J33" s="185">
        <f>+J19*Ej_Producción!J32</f>
        <v>0</v>
      </c>
      <c r="K33" s="185">
        <f>+K19*Ej_Producción!K32</f>
        <v>0</v>
      </c>
      <c r="L33" s="185">
        <f>+L19*Ej_Producción!L32</f>
        <v>0</v>
      </c>
      <c r="M33" s="185">
        <f>+M19*Ej_Producción!M32</f>
        <v>0</v>
      </c>
      <c r="N33" s="186">
        <f>+N19*Ej_Producción!N32</f>
        <v>0</v>
      </c>
      <c r="O33" s="187">
        <f t="shared" si="20"/>
        <v>0</v>
      </c>
      <c r="P33" s="89"/>
      <c r="Q33" s="288"/>
      <c r="R33" s="188">
        <f>+R19*Ej_Producción!R32</f>
        <v>14365.873500000002</v>
      </c>
      <c r="S33" s="185">
        <f>+S19*Ej_Producción!S32</f>
        <v>14365.873500000002</v>
      </c>
      <c r="T33" s="185">
        <f>+T19*Ej_Producción!T32</f>
        <v>28731.747000000003</v>
      </c>
      <c r="U33" s="185">
        <f>+U19*Ej_Producción!U32</f>
        <v>28731.747000000003</v>
      </c>
      <c r="V33" s="185">
        <f>+V19*Ej_Producción!V32</f>
        <v>28731.747000000003</v>
      </c>
      <c r="W33" s="185">
        <f>+W19*Ej_Producción!W32</f>
        <v>28731.747000000003</v>
      </c>
      <c r="X33" s="185">
        <f>+X19*Ej_Producción!X32</f>
        <v>28731.747000000003</v>
      </c>
      <c r="Y33" s="185">
        <f>+Y19*Ej_Producción!Y32</f>
        <v>28731.747000000003</v>
      </c>
      <c r="Z33" s="185">
        <f>+Z19*Ej_Producción!Z32</f>
        <v>28731.747000000003</v>
      </c>
      <c r="AA33" s="185">
        <f>+AA19*Ej_Producción!AA32</f>
        <v>28731.747000000003</v>
      </c>
      <c r="AB33" s="185">
        <f>+AB19*Ej_Producción!AB32</f>
        <v>28731.747000000003</v>
      </c>
      <c r="AC33" s="186">
        <f>+AC19*Ej_Producción!AC32</f>
        <v>28731.747000000003</v>
      </c>
      <c r="AD33" s="187">
        <f t="shared" si="18"/>
        <v>316049.21700000006</v>
      </c>
      <c r="AE33" s="89"/>
      <c r="AF33" s="107"/>
    </row>
    <row r="34" spans="1:39" ht="14.5" outlineLevel="1" collapsed="1">
      <c r="A34" s="165"/>
      <c r="B34" s="320" t="s">
        <v>174</v>
      </c>
      <c r="C34" s="103">
        <f>31612648/USD</f>
        <v>5244.1968640305768</v>
      </c>
      <c r="D34" s="103">
        <f>30044273/USD</f>
        <v>4984.0203911003764</v>
      </c>
      <c r="E34" s="103">
        <f>34736505/USD</f>
        <v>5762.4110004445829</v>
      </c>
      <c r="F34" s="103">
        <f>29898626/USD</f>
        <v>4959.8591268919663</v>
      </c>
      <c r="G34" s="104">
        <v>4865.6792735320923</v>
      </c>
      <c r="H34" s="104">
        <v>4865.6792735320923</v>
      </c>
      <c r="I34" s="104">
        <v>4865.6792735320923</v>
      </c>
      <c r="J34" s="104">
        <v>4865.6792735320923</v>
      </c>
      <c r="K34" s="104">
        <v>4865.6792735320923</v>
      </c>
      <c r="L34" s="190">
        <v>9731.3585470641847</v>
      </c>
      <c r="M34" s="104">
        <v>9731.3585470641847</v>
      </c>
      <c r="N34" s="105">
        <v>9731.3585470641847</v>
      </c>
      <c r="O34" s="88">
        <f t="shared" si="20"/>
        <v>74472.959391320517</v>
      </c>
      <c r="P34" s="89">
        <v>87896</v>
      </c>
      <c r="Q34" s="288">
        <f t="shared" si="5"/>
        <v>-13423.040608679483</v>
      </c>
      <c r="R34" s="191">
        <f>9731.35854706418+6702</f>
        <v>16433.358547064177</v>
      </c>
      <c r="S34" s="104">
        <f>9731.35854706418+6702</f>
        <v>16433.358547064177</v>
      </c>
      <c r="T34" s="190">
        <f>11677.630256477+6702</f>
        <v>18379.630256477001</v>
      </c>
      <c r="U34" s="104">
        <v>18379.630256477001</v>
      </c>
      <c r="V34" s="104">
        <v>18379.630256477001</v>
      </c>
      <c r="W34" s="104">
        <v>18379.630256477001</v>
      </c>
      <c r="X34" s="104">
        <v>18379.630256477001</v>
      </c>
      <c r="Y34" s="104">
        <v>18379.630256477001</v>
      </c>
      <c r="Z34" s="104">
        <v>18379.630256477001</v>
      </c>
      <c r="AA34" s="104">
        <v>18379.630256477001</v>
      </c>
      <c r="AB34" s="104">
        <v>18379.630256477001</v>
      </c>
      <c r="AC34" s="105">
        <v>18379.630256477001</v>
      </c>
      <c r="AD34" s="88">
        <f t="shared" si="18"/>
        <v>216663.01965889829</v>
      </c>
      <c r="AE34" s="89">
        <v>97079</v>
      </c>
      <c r="AF34" s="107">
        <f t="shared" si="19"/>
        <v>119584.01965889829</v>
      </c>
    </row>
    <row r="35" spans="1:39" ht="14.5" outlineLevel="1">
      <c r="A35" s="165"/>
      <c r="B35" s="86" t="s">
        <v>175</v>
      </c>
      <c r="C35" s="103">
        <v>0</v>
      </c>
      <c r="D35" s="103">
        <v>0</v>
      </c>
      <c r="E35" s="103">
        <v>0</v>
      </c>
      <c r="F35" s="103">
        <v>0</v>
      </c>
      <c r="G35" s="104">
        <v>0</v>
      </c>
      <c r="H35" s="104">
        <v>0</v>
      </c>
      <c r="I35" s="104">
        <v>0</v>
      </c>
      <c r="J35" s="104">
        <v>0</v>
      </c>
      <c r="K35" s="104">
        <v>0</v>
      </c>
      <c r="L35" s="104">
        <v>0</v>
      </c>
      <c r="M35" s="104">
        <v>0</v>
      </c>
      <c r="N35" s="105">
        <v>0</v>
      </c>
      <c r="O35" s="88">
        <f t="shared" si="20"/>
        <v>0</v>
      </c>
      <c r="P35" s="89">
        <v>37874.386400000003</v>
      </c>
      <c r="Q35" s="288">
        <f t="shared" si="5"/>
        <v>-37874.386400000003</v>
      </c>
      <c r="R35" s="108">
        <v>0</v>
      </c>
      <c r="S35" s="104">
        <v>0</v>
      </c>
      <c r="T35" s="104">
        <v>0</v>
      </c>
      <c r="U35" s="104">
        <v>0</v>
      </c>
      <c r="V35" s="104">
        <v>0</v>
      </c>
      <c r="W35" s="104">
        <v>0</v>
      </c>
      <c r="X35" s="104">
        <v>0</v>
      </c>
      <c r="Y35" s="104">
        <v>0</v>
      </c>
      <c r="Z35" s="104">
        <v>0</v>
      </c>
      <c r="AA35" s="104">
        <v>0</v>
      </c>
      <c r="AB35" s="104">
        <v>0</v>
      </c>
      <c r="AC35" s="105">
        <v>0</v>
      </c>
      <c r="AD35" s="88">
        <f t="shared" si="18"/>
        <v>0</v>
      </c>
      <c r="AE35" s="89">
        <v>41831.341099999998</v>
      </c>
      <c r="AF35" s="107">
        <f t="shared" si="19"/>
        <v>-41831.341099999998</v>
      </c>
    </row>
    <row r="36" spans="1:39" ht="14.5" outlineLevel="1">
      <c r="A36" s="165"/>
      <c r="B36" s="86" t="s">
        <v>176</v>
      </c>
      <c r="C36" s="103">
        <v>0</v>
      </c>
      <c r="D36" s="103">
        <v>0</v>
      </c>
      <c r="E36" s="103">
        <v>0</v>
      </c>
      <c r="F36" s="103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5">
        <v>0</v>
      </c>
      <c r="O36" s="88">
        <f t="shared" si="20"/>
        <v>0</v>
      </c>
      <c r="P36" s="89">
        <v>0</v>
      </c>
      <c r="Q36" s="288">
        <f t="shared" si="5"/>
        <v>0</v>
      </c>
      <c r="R36" s="108">
        <f>+$AE$36/12</f>
        <v>3750</v>
      </c>
      <c r="S36" s="104">
        <f t="shared" ref="S36:AC36" si="21">+$AE$36/12</f>
        <v>3750</v>
      </c>
      <c r="T36" s="104">
        <f t="shared" si="21"/>
        <v>3750</v>
      </c>
      <c r="U36" s="104">
        <f t="shared" si="21"/>
        <v>3750</v>
      </c>
      <c r="V36" s="104">
        <f t="shared" si="21"/>
        <v>3750</v>
      </c>
      <c r="W36" s="104">
        <f t="shared" si="21"/>
        <v>3750</v>
      </c>
      <c r="X36" s="104">
        <f t="shared" si="21"/>
        <v>3750</v>
      </c>
      <c r="Y36" s="104">
        <f t="shared" si="21"/>
        <v>3750</v>
      </c>
      <c r="Z36" s="104">
        <f t="shared" si="21"/>
        <v>3750</v>
      </c>
      <c r="AA36" s="104">
        <f t="shared" si="21"/>
        <v>3750</v>
      </c>
      <c r="AB36" s="104">
        <f t="shared" si="21"/>
        <v>3750</v>
      </c>
      <c r="AC36" s="105">
        <f t="shared" si="21"/>
        <v>3750</v>
      </c>
      <c r="AD36" s="88">
        <f t="shared" si="18"/>
        <v>45000</v>
      </c>
      <c r="AE36" s="89">
        <v>45000</v>
      </c>
      <c r="AF36" s="107">
        <f t="shared" si="19"/>
        <v>0</v>
      </c>
    </row>
    <row r="37" spans="1:39" ht="14.5" outlineLevel="1">
      <c r="A37" s="165"/>
      <c r="B37" s="320" t="s">
        <v>177</v>
      </c>
      <c r="C37" s="103">
        <f>13244328/USD</f>
        <v>2197.0909670013207</v>
      </c>
      <c r="D37" s="103">
        <f>14004545/USD</f>
        <v>2323.2027564149353</v>
      </c>
      <c r="E37" s="103">
        <f>11876548/USD</f>
        <v>1970.1910380018978</v>
      </c>
      <c r="F37" s="103">
        <f>3087979/USD</f>
        <v>512.26236372202277</v>
      </c>
      <c r="G37" s="104">
        <f>($P$37*$P$2)*Ej_Producción!G34</f>
        <v>2302.1774999999998</v>
      </c>
      <c r="H37" s="104">
        <f>($P$37*$P$2)*Ej_Producción!H34</f>
        <v>1822.4999999999998</v>
      </c>
      <c r="I37" s="104">
        <f>($P$37*$P$2)*Ej_Producción!I34</f>
        <v>1214.9999999999998</v>
      </c>
      <c r="J37" s="104">
        <f>($P$37*$P$2)*Ej_Producción!J34</f>
        <v>1259.9999999999998</v>
      </c>
      <c r="K37" s="104">
        <f>($P$37*$P$2)*Ej_Producción!K34</f>
        <v>1304.9999999999998</v>
      </c>
      <c r="L37" s="104">
        <f>($P$37*$P$2)*Ej_Producción!L34</f>
        <v>2880</v>
      </c>
      <c r="M37" s="104">
        <f>($P$37*$P$2)*Ej_Producción!M34</f>
        <v>3779.9999999999995</v>
      </c>
      <c r="N37" s="105">
        <f>($P$37*$P$2)*Ej_Producción!N34</f>
        <v>3105</v>
      </c>
      <c r="O37" s="88">
        <f t="shared" si="20"/>
        <v>24672.424625140178</v>
      </c>
      <c r="P37" s="89">
        <v>49891.5</v>
      </c>
      <c r="Q37" s="288">
        <f t="shared" si="5"/>
        <v>-25219.075374859822</v>
      </c>
      <c r="R37" s="108">
        <f>+$AM$37*Ej_Producción!R34</f>
        <v>3551.3376181978756</v>
      </c>
      <c r="S37" s="108">
        <f>+$AM$37*Ej_Producción!S34</f>
        <v>3986.1952857323095</v>
      </c>
      <c r="T37" s="108">
        <f>+$AM$37*Ej_Producción!T34</f>
        <v>5435.7208441804223</v>
      </c>
      <c r="U37" s="108">
        <f>+$AM$37*Ej_Producción!U34</f>
        <v>5943.0547896372609</v>
      </c>
      <c r="V37" s="108">
        <f>+$AM$37*Ej_Producción!V34</f>
        <v>6232.9599013268844</v>
      </c>
      <c r="W37" s="108">
        <f>+$AM$37*Ej_Producción!W34</f>
        <v>6232.9599013268844</v>
      </c>
      <c r="X37" s="108">
        <f>+$AM$37*Ej_Producción!X34</f>
        <v>6232.9599013268844</v>
      </c>
      <c r="Y37" s="108">
        <f>+$AM$37*Ej_Producción!Y34</f>
        <v>6232.9599013268844</v>
      </c>
      <c r="Z37" s="108">
        <f>+$AM$37*Ej_Producción!Z34</f>
        <v>6232.9599013268844</v>
      </c>
      <c r="AA37" s="108">
        <f>+$AM$37*Ej_Producción!AA34</f>
        <v>6232.9599013268844</v>
      </c>
      <c r="AB37" s="108">
        <f>+$AM$37*Ej_Producción!AB34</f>
        <v>6232.9599013268844</v>
      </c>
      <c r="AC37" s="108">
        <f>+$AM$37*Ej_Producción!AC34</f>
        <v>6232.9599013268844</v>
      </c>
      <c r="AD37" s="88">
        <f t="shared" si="18"/>
        <v>68779.987748362939</v>
      </c>
      <c r="AE37" s="89">
        <v>56641.5</v>
      </c>
      <c r="AF37" s="107">
        <f t="shared" si="19"/>
        <v>12138.487748362939</v>
      </c>
      <c r="AJ37" s="192">
        <f>+AE22/AD22</f>
        <v>0.78569621658390165</v>
      </c>
      <c r="AK37" s="193">
        <f>100%-AJ37</f>
        <v>0.21430378341609835</v>
      </c>
      <c r="AL37" s="164">
        <f>+AE37*AK37</f>
        <v>12138.487748362935</v>
      </c>
      <c r="AM37" s="194">
        <f>+AE37+AL37</f>
        <v>68779.987748362939</v>
      </c>
    </row>
    <row r="38" spans="1:39" ht="14.5" outlineLevel="1">
      <c r="A38" s="165"/>
      <c r="B38" s="320" t="s">
        <v>178</v>
      </c>
      <c r="C38" s="103">
        <v>0</v>
      </c>
      <c r="D38" s="103">
        <v>0</v>
      </c>
      <c r="E38" s="103">
        <f>5909091/USD</f>
        <v>980.25437449818514</v>
      </c>
      <c r="F38" s="103">
        <v>0</v>
      </c>
      <c r="G38" s="104">
        <v>0</v>
      </c>
      <c r="H38" s="104">
        <v>2000</v>
      </c>
      <c r="I38" s="104">
        <v>0</v>
      </c>
      <c r="J38" s="104">
        <v>0</v>
      </c>
      <c r="K38" s="104">
        <v>800</v>
      </c>
      <c r="L38" s="104">
        <v>0</v>
      </c>
      <c r="M38" s="104">
        <v>0</v>
      </c>
      <c r="N38" s="105">
        <v>0</v>
      </c>
      <c r="O38" s="88">
        <f t="shared" si="20"/>
        <v>3780.2543744981849</v>
      </c>
      <c r="P38" s="89">
        <v>0</v>
      </c>
      <c r="Q38" s="288">
        <f t="shared" si="5"/>
        <v>3780.2543744981849</v>
      </c>
      <c r="R38" s="108">
        <f>+$AM$38*Ej_Producción!R34</f>
        <v>547.79687632204013</v>
      </c>
      <c r="S38" s="108">
        <f>+$AM$38*Ej_Producción!S34</f>
        <v>614.87404485126956</v>
      </c>
      <c r="T38" s="108">
        <f>+$AM$38*Ej_Producción!T34</f>
        <v>838.46460661536764</v>
      </c>
      <c r="U38" s="108">
        <f>+$AM$38*Ej_Producción!U34</f>
        <v>916.72130323280192</v>
      </c>
      <c r="V38" s="108">
        <f>+$AM$38*Ej_Producción!V34</f>
        <v>961.43941558562153</v>
      </c>
      <c r="W38" s="108">
        <f>+$AM$38*Ej_Producción!W34</f>
        <v>961.43941558562153</v>
      </c>
      <c r="X38" s="108">
        <f>+$AM$38*Ej_Producción!X34</f>
        <v>961.43941558562153</v>
      </c>
      <c r="Y38" s="108">
        <f>+$AM$38*Ej_Producción!Y34</f>
        <v>961.43941558562153</v>
      </c>
      <c r="Z38" s="108">
        <f>+$AM$38*Ej_Producción!Z34</f>
        <v>961.43941558562153</v>
      </c>
      <c r="AA38" s="108">
        <f>+$AM$38*Ej_Producción!AA34</f>
        <v>961.43941558562153</v>
      </c>
      <c r="AB38" s="108">
        <f>+$AM$38*Ej_Producción!AB34</f>
        <v>961.43941558562153</v>
      </c>
      <c r="AC38" s="108">
        <f>+$AM$38*Ej_Producción!AC34</f>
        <v>961.43941558562153</v>
      </c>
      <c r="AD38" s="88">
        <f t="shared" si="18"/>
        <v>10609.372155706449</v>
      </c>
      <c r="AE38" s="89">
        <v>8737</v>
      </c>
      <c r="AF38" s="107">
        <f t="shared" si="19"/>
        <v>1872.3721557064491</v>
      </c>
      <c r="AL38" s="164">
        <f>+AE38*AK37</f>
        <v>1872.3721557064512</v>
      </c>
      <c r="AM38" s="194">
        <f>+AE38+AL38</f>
        <v>10609.372155706451</v>
      </c>
    </row>
    <row r="39" spans="1:39" ht="14.5" outlineLevel="1">
      <c r="A39" s="165"/>
      <c r="B39" s="320" t="s">
        <v>179</v>
      </c>
      <c r="C39" s="103">
        <v>0</v>
      </c>
      <c r="D39" s="103">
        <v>0</v>
      </c>
      <c r="E39" s="103">
        <v>0</v>
      </c>
      <c r="F39" s="103">
        <v>0</v>
      </c>
      <c r="G39" s="104">
        <v>0</v>
      </c>
      <c r="H39" s="104">
        <v>0</v>
      </c>
      <c r="I39" s="104">
        <v>0</v>
      </c>
      <c r="J39" s="104">
        <v>0</v>
      </c>
      <c r="K39" s="104">
        <v>0</v>
      </c>
      <c r="L39" s="104">
        <v>0</v>
      </c>
      <c r="M39" s="104">
        <v>0</v>
      </c>
      <c r="N39" s="105">
        <v>0</v>
      </c>
      <c r="O39" s="88">
        <f t="shared" si="20"/>
        <v>0</v>
      </c>
      <c r="P39" s="89">
        <v>10279</v>
      </c>
      <c r="Q39" s="288">
        <f t="shared" si="5"/>
        <v>-10279</v>
      </c>
      <c r="R39" s="108">
        <f>(R22*20%)*1.8%</f>
        <v>2467.1549775888352</v>
      </c>
      <c r="S39" s="108">
        <f t="shared" ref="S39:AC39" si="22">(S22*20%)*1.8%</f>
        <v>2940.7410287474736</v>
      </c>
      <c r="T39" s="108">
        <f t="shared" si="22"/>
        <v>4017.307776671465</v>
      </c>
      <c r="U39" s="108">
        <f t="shared" si="22"/>
        <v>4407.7308104897156</v>
      </c>
      <c r="V39" s="108">
        <f t="shared" si="22"/>
        <v>4616.6632904897169</v>
      </c>
      <c r="W39" s="108">
        <f t="shared" si="22"/>
        <v>4616.6632904897169</v>
      </c>
      <c r="X39" s="108">
        <f t="shared" si="22"/>
        <v>4616.6632904897169</v>
      </c>
      <c r="Y39" s="108">
        <f t="shared" si="22"/>
        <v>4616.6632904897169</v>
      </c>
      <c r="Z39" s="108">
        <f t="shared" si="22"/>
        <v>4616.6632904897169</v>
      </c>
      <c r="AA39" s="108">
        <f t="shared" si="22"/>
        <v>4616.6632904897169</v>
      </c>
      <c r="AB39" s="108">
        <f t="shared" si="22"/>
        <v>4616.6632904897169</v>
      </c>
      <c r="AC39" s="108">
        <f t="shared" si="22"/>
        <v>4616.6632904897169</v>
      </c>
      <c r="AD39" s="88">
        <f t="shared" si="18"/>
        <v>50766.240917415227</v>
      </c>
      <c r="AE39" s="89">
        <v>12914</v>
      </c>
      <c r="AF39" s="107">
        <f t="shared" si="19"/>
        <v>37852.240917415227</v>
      </c>
    </row>
    <row r="40" spans="1:39" ht="14.5" outlineLevel="1">
      <c r="A40" s="165"/>
      <c r="B40" s="320" t="s">
        <v>180</v>
      </c>
      <c r="C40" s="103">
        <f>8377273/USD</f>
        <v>1389.699110170335</v>
      </c>
      <c r="D40" s="103">
        <f>11033090/USD</f>
        <v>1830.270465750516</v>
      </c>
      <c r="E40" s="103">
        <f>18840909/USD</f>
        <v>3125.5033078306337</v>
      </c>
      <c r="F40" s="103">
        <f>31963636/USD</f>
        <v>5302.4219823095755</v>
      </c>
      <c r="G40" s="104">
        <f>($P$40*$P$2)*Ej_Producción!G34</f>
        <v>4133.6574829417686</v>
      </c>
      <c r="H40" s="104">
        <f>($P$40*$P$2)*Ej_Producción!H34</f>
        <v>3272.376158077026</v>
      </c>
      <c r="I40" s="104">
        <f>($P$40*$P$2)*Ej_Producción!I34</f>
        <v>2181.5841053846839</v>
      </c>
      <c r="J40" s="104">
        <f>($P$40*$P$2)*Ej_Producción!J34</f>
        <v>2262.3835166952276</v>
      </c>
      <c r="K40" s="104">
        <f>($P$40*$P$2)*Ej_Producción!K34</f>
        <v>2343.1829280057718</v>
      </c>
      <c r="L40" s="104">
        <f>($P$40*$P$2)*Ej_Producción!L34</f>
        <v>5171.162323874807</v>
      </c>
      <c r="M40" s="104">
        <f>($P$40*$P$2)*Ej_Producción!M34</f>
        <v>6787.1505500856829</v>
      </c>
      <c r="N40" s="105">
        <f>($P$40*$P$2)*Ej_Producción!N34</f>
        <v>5575.1593804275262</v>
      </c>
      <c r="O40" s="88">
        <f t="shared" si="20"/>
        <v>43374.55131155355</v>
      </c>
      <c r="P40" s="89">
        <v>89582.307319999978</v>
      </c>
      <c r="Q40" s="288">
        <f t="shared" si="5"/>
        <v>-46207.756008446428</v>
      </c>
      <c r="R40" s="108">
        <f>+$AM$40*Ej_Producción!R34</f>
        <v>6599.4537343452494</v>
      </c>
      <c r="S40" s="108">
        <f>+$AM$40*Ej_Producción!S34</f>
        <v>7407.5501099793619</v>
      </c>
      <c r="T40" s="108">
        <f>+$AM$40*Ej_Producción!T34</f>
        <v>10101.204695426402</v>
      </c>
      <c r="U40" s="108">
        <f>+$AM$40*Ej_Producción!U34</f>
        <v>11043.983800332866</v>
      </c>
      <c r="V40" s="108">
        <f>+$AM$40*Ej_Producción!V34</f>
        <v>11582.714717422275</v>
      </c>
      <c r="W40" s="108">
        <f>+$AM$40*Ej_Producción!W34</f>
        <v>11582.714717422275</v>
      </c>
      <c r="X40" s="108">
        <f>+$AM$40*Ej_Producción!X34</f>
        <v>11582.714717422275</v>
      </c>
      <c r="Y40" s="108">
        <f>+$AM$40*Ej_Producción!Y34</f>
        <v>11582.714717422275</v>
      </c>
      <c r="Z40" s="108">
        <f>+$AM$40*Ej_Producción!Z34</f>
        <v>11582.714717422275</v>
      </c>
      <c r="AA40" s="108">
        <f>+$AM$40*Ej_Producción!AA34</f>
        <v>11582.714717422275</v>
      </c>
      <c r="AB40" s="108">
        <f>+$AM$40*Ej_Producción!AB34</f>
        <v>11582.714717422275</v>
      </c>
      <c r="AC40" s="108">
        <f>+$AM$40*Ej_Producción!AC34</f>
        <v>11582.714717422275</v>
      </c>
      <c r="AD40" s="88">
        <f t="shared" si="18"/>
        <v>127813.9100794621</v>
      </c>
      <c r="AE40" s="89">
        <v>105256.94791125001</v>
      </c>
      <c r="AF40" s="107">
        <f t="shared" si="19"/>
        <v>22556.962168212092</v>
      </c>
      <c r="AL40" s="164">
        <f>+AE40*AK37</f>
        <v>22556.962168212067</v>
      </c>
      <c r="AM40" s="194">
        <f>+AE40+AL40</f>
        <v>127813.91007946208</v>
      </c>
    </row>
    <row r="41" spans="1:39" ht="14.5" outlineLevel="1">
      <c r="A41" s="165"/>
      <c r="B41" s="86" t="s">
        <v>181</v>
      </c>
      <c r="C41" s="103">
        <v>0</v>
      </c>
      <c r="D41" s="103">
        <v>0</v>
      </c>
      <c r="E41" s="103">
        <v>0</v>
      </c>
      <c r="F41" s="103">
        <v>0</v>
      </c>
      <c r="G41" s="104">
        <v>0</v>
      </c>
      <c r="H41" s="104">
        <v>0</v>
      </c>
      <c r="I41" s="104">
        <v>0</v>
      </c>
      <c r="J41" s="104">
        <v>0</v>
      </c>
      <c r="K41" s="104">
        <v>0</v>
      </c>
      <c r="L41" s="104">
        <v>0</v>
      </c>
      <c r="M41" s="104">
        <v>0</v>
      </c>
      <c r="N41" s="105">
        <v>0</v>
      </c>
      <c r="O41" s="88">
        <f t="shared" si="20"/>
        <v>0</v>
      </c>
      <c r="P41" s="89">
        <v>16917</v>
      </c>
      <c r="Q41" s="288">
        <f t="shared" si="5"/>
        <v>-16917</v>
      </c>
      <c r="R41" s="108">
        <f>+$AE$41/12</f>
        <v>1409.75</v>
      </c>
      <c r="S41" s="104">
        <f t="shared" ref="S41:AC41" si="23">+$AE$41/12</f>
        <v>1409.75</v>
      </c>
      <c r="T41" s="104">
        <f t="shared" si="23"/>
        <v>1409.75</v>
      </c>
      <c r="U41" s="104">
        <f t="shared" si="23"/>
        <v>1409.75</v>
      </c>
      <c r="V41" s="104">
        <f t="shared" si="23"/>
        <v>1409.75</v>
      </c>
      <c r="W41" s="104">
        <f t="shared" si="23"/>
        <v>1409.75</v>
      </c>
      <c r="X41" s="104">
        <f t="shared" si="23"/>
        <v>1409.75</v>
      </c>
      <c r="Y41" s="104">
        <f t="shared" si="23"/>
        <v>1409.75</v>
      </c>
      <c r="Z41" s="104">
        <f t="shared" si="23"/>
        <v>1409.75</v>
      </c>
      <c r="AA41" s="104">
        <f t="shared" si="23"/>
        <v>1409.75</v>
      </c>
      <c r="AB41" s="104">
        <f t="shared" si="23"/>
        <v>1409.75</v>
      </c>
      <c r="AC41" s="105">
        <f t="shared" si="23"/>
        <v>1409.75</v>
      </c>
      <c r="AD41" s="88">
        <f t="shared" si="18"/>
        <v>16917</v>
      </c>
      <c r="AE41" s="89">
        <v>16917</v>
      </c>
      <c r="AF41" s="107">
        <f t="shared" si="19"/>
        <v>0</v>
      </c>
    </row>
    <row r="42" spans="1:39" ht="14.5" outlineLevel="1">
      <c r="A42" s="165"/>
      <c r="B42" s="320" t="s">
        <v>182</v>
      </c>
      <c r="C42" s="103">
        <v>0</v>
      </c>
      <c r="D42" s="103">
        <v>0</v>
      </c>
      <c r="E42" s="103">
        <f>1090909/USD</f>
        <v>180.97002050390503</v>
      </c>
      <c r="F42" s="103">
        <v>0</v>
      </c>
      <c r="G42" s="104">
        <f>($P$42*$P$2)*Ej_Producción!G34</f>
        <v>1006.762849282944</v>
      </c>
      <c r="H42" s="104">
        <f>($P$42*$P$2)*Ej_Producción!H34</f>
        <v>796.99558040948853</v>
      </c>
      <c r="I42" s="104">
        <f>($P$42*$P$2)*Ej_Producción!I34</f>
        <v>531.33038693965898</v>
      </c>
      <c r="J42" s="104">
        <f>($P$42*$P$2)*Ej_Producción!J34</f>
        <v>551.00929015964641</v>
      </c>
      <c r="K42" s="104">
        <f>($P$42*$P$2)*Ej_Producción!K34</f>
        <v>570.68819337963384</v>
      </c>
      <c r="L42" s="104">
        <f>($P$42*$P$2)*Ej_Producción!L34</f>
        <v>1259.4498060791918</v>
      </c>
      <c r="M42" s="104">
        <f>($P$42*$P$2)*Ej_Producción!M34</f>
        <v>1653.0278704789391</v>
      </c>
      <c r="N42" s="105">
        <f>($P$42*$P$2)*Ej_Producción!N34</f>
        <v>1357.8443221791288</v>
      </c>
      <c r="O42" s="88">
        <f t="shared" si="20"/>
        <v>7908.0783194125361</v>
      </c>
      <c r="P42" s="89">
        <v>21818</v>
      </c>
      <c r="Q42" s="288">
        <f t="shared" si="5"/>
        <v>-13909.921680587464</v>
      </c>
      <c r="R42" s="108">
        <f>+$AM$42*Ej_Producción!R34</f>
        <v>1436.3601510428773</v>
      </c>
      <c r="S42" s="108">
        <f>+$AM$42*Ej_Producción!S34</f>
        <v>1612.2409858644539</v>
      </c>
      <c r="T42" s="108">
        <f>+$AM$42*Ej_Producción!T34</f>
        <v>2198.5104352697103</v>
      </c>
      <c r="U42" s="108">
        <f>+$AM$42*Ej_Producción!U34</f>
        <v>2403.7047425615497</v>
      </c>
      <c r="V42" s="108">
        <f>+$AM$42*Ej_Producción!V34</f>
        <v>2520.9586324426009</v>
      </c>
      <c r="W42" s="108">
        <f>+$AM$42*Ej_Producción!W34</f>
        <v>2520.9586324426009</v>
      </c>
      <c r="X42" s="108">
        <f>+$AM$42*Ej_Producción!X34</f>
        <v>2520.9586324426009</v>
      </c>
      <c r="Y42" s="108">
        <f>+$AM$42*Ej_Producción!Y34</f>
        <v>2520.9586324426009</v>
      </c>
      <c r="Z42" s="108">
        <f>+$AM$42*Ej_Producción!Z34</f>
        <v>2520.9586324426009</v>
      </c>
      <c r="AA42" s="108">
        <f>+$AM$42*Ej_Producción!AA34</f>
        <v>2520.9586324426009</v>
      </c>
      <c r="AB42" s="108">
        <f>+$AM$42*Ej_Producción!AB34</f>
        <v>2520.9586324426009</v>
      </c>
      <c r="AC42" s="108">
        <f>+$AM$42*Ej_Producción!AC34</f>
        <v>2520.9586324426009</v>
      </c>
      <c r="AD42" s="88">
        <f t="shared" si="18"/>
        <v>27818.485374279404</v>
      </c>
      <c r="AE42" s="89">
        <v>22909</v>
      </c>
      <c r="AF42" s="107">
        <f t="shared" si="19"/>
        <v>4909.4853742794039</v>
      </c>
      <c r="AL42" s="164">
        <f>+AE42*AK37</f>
        <v>4909.4853742793966</v>
      </c>
      <c r="AM42" s="194">
        <f>+AE42+AL42</f>
        <v>27818.485374279397</v>
      </c>
    </row>
    <row r="43" spans="1:39" ht="15" outlineLevel="1" thickBot="1">
      <c r="A43" s="165"/>
      <c r="B43" s="321" t="s">
        <v>531</v>
      </c>
      <c r="C43" s="103">
        <v>115</v>
      </c>
      <c r="D43" s="103">
        <v>115</v>
      </c>
      <c r="E43" s="103">
        <v>115</v>
      </c>
      <c r="F43" s="103">
        <v>115</v>
      </c>
      <c r="G43" s="104">
        <v>115</v>
      </c>
      <c r="H43" s="104">
        <v>115</v>
      </c>
      <c r="I43" s="104">
        <v>115</v>
      </c>
      <c r="J43" s="104">
        <v>115</v>
      </c>
      <c r="K43" s="104">
        <v>115</v>
      </c>
      <c r="L43" s="104">
        <v>115</v>
      </c>
      <c r="M43" s="104">
        <v>115</v>
      </c>
      <c r="N43" s="105">
        <v>115</v>
      </c>
      <c r="O43" s="92">
        <f t="shared" si="20"/>
        <v>1380</v>
      </c>
      <c r="P43" s="93">
        <v>0</v>
      </c>
      <c r="Q43" s="291">
        <f t="shared" si="5"/>
        <v>1380</v>
      </c>
      <c r="R43" s="108">
        <v>172.5</v>
      </c>
      <c r="S43" s="104">
        <v>172.5</v>
      </c>
      <c r="T43" s="104">
        <v>172.5</v>
      </c>
      <c r="U43" s="104">
        <v>172.5</v>
      </c>
      <c r="V43" s="104">
        <v>172.5</v>
      </c>
      <c r="W43" s="104">
        <v>172.5</v>
      </c>
      <c r="X43" s="104">
        <v>172.5</v>
      </c>
      <c r="Y43" s="104">
        <v>172.5</v>
      </c>
      <c r="Z43" s="104">
        <v>172.5</v>
      </c>
      <c r="AA43" s="104">
        <v>172.5</v>
      </c>
      <c r="AB43" s="104">
        <v>172.5</v>
      </c>
      <c r="AC43" s="105">
        <v>172.5</v>
      </c>
      <c r="AD43" s="92">
        <f t="shared" si="18"/>
        <v>2070</v>
      </c>
      <c r="AE43" s="93">
        <v>0</v>
      </c>
      <c r="AF43" s="111">
        <f t="shared" si="19"/>
        <v>2070</v>
      </c>
    </row>
    <row r="44" spans="1:39" ht="15" thickBot="1">
      <c r="A44" s="165"/>
      <c r="B44" s="95" t="s">
        <v>183</v>
      </c>
      <c r="C44" s="96">
        <f>SUM(C34:C43)+C22</f>
        <v>33361.293788305156</v>
      </c>
      <c r="D44" s="96">
        <f t="shared" ref="D44:N44" si="24">SUM(D34:D43)+D22</f>
        <v>9252.4936132658277</v>
      </c>
      <c r="E44" s="96">
        <f t="shared" si="24"/>
        <v>140558.71002025626</v>
      </c>
      <c r="F44" s="96">
        <f t="shared" si="24"/>
        <v>190621.9673825473</v>
      </c>
      <c r="G44" s="96">
        <f t="shared" si="24"/>
        <v>461454.56167750835</v>
      </c>
      <c r="H44" s="96">
        <f t="shared" si="24"/>
        <v>360954.11899342429</v>
      </c>
      <c r="I44" s="96">
        <f t="shared" si="24"/>
        <v>246416.75705171769</v>
      </c>
      <c r="J44" s="96">
        <f t="shared" si="24"/>
        <v>262396.96944249008</v>
      </c>
      <c r="K44" s="96">
        <f t="shared" si="24"/>
        <v>278355.30332205206</v>
      </c>
      <c r="L44" s="96">
        <f t="shared" si="24"/>
        <v>602137.11539051589</v>
      </c>
      <c r="M44" s="96">
        <f t="shared" si="24"/>
        <v>791394.6635294666</v>
      </c>
      <c r="N44" s="96">
        <f t="shared" si="24"/>
        <v>655232.48881150852</v>
      </c>
      <c r="O44" s="195">
        <f t="shared" si="20"/>
        <v>4032136.4430230586</v>
      </c>
      <c r="P44" s="89">
        <v>9743974.7537199985</v>
      </c>
      <c r="Q44" s="288">
        <f t="shared" si="5"/>
        <v>-5711838.3106969399</v>
      </c>
      <c r="R44" s="96">
        <f>SUM(R34:R43)+R22</f>
        <v>721688.53901257063</v>
      </c>
      <c r="S44" s="96">
        <f t="shared" ref="S44:AC44" si="25">SUM(S34:S43)+S22</f>
        <v>855199.71798764821</v>
      </c>
      <c r="T44" s="96">
        <f t="shared" si="25"/>
        <v>1162221.9154678248</v>
      </c>
      <c r="U44" s="96">
        <f t="shared" si="25"/>
        <v>1272796.7452832076</v>
      </c>
      <c r="V44" s="96">
        <f t="shared" si="25"/>
        <v>1332033.0857942207</v>
      </c>
      <c r="W44" s="96">
        <f t="shared" si="25"/>
        <v>1332033.0857942207</v>
      </c>
      <c r="X44" s="96">
        <f t="shared" si="25"/>
        <v>1332033.0857942207</v>
      </c>
      <c r="Y44" s="96">
        <f t="shared" si="25"/>
        <v>1332033.0857942207</v>
      </c>
      <c r="Z44" s="96">
        <f t="shared" si="25"/>
        <v>1332033.0857942207</v>
      </c>
      <c r="AA44" s="96">
        <f t="shared" si="25"/>
        <v>1332033.0857942207</v>
      </c>
      <c r="AB44" s="96">
        <f t="shared" si="25"/>
        <v>1332033.0857942207</v>
      </c>
      <c r="AC44" s="96">
        <f t="shared" si="25"/>
        <v>1332033.0857942207</v>
      </c>
      <c r="AD44" s="195">
        <f t="shared" si="18"/>
        <v>14668171.604105022</v>
      </c>
      <c r="AE44" s="89">
        <v>11486964.51651125</v>
      </c>
      <c r="AF44" s="178">
        <f t="shared" si="19"/>
        <v>3181207.0875937715</v>
      </c>
    </row>
    <row r="45" spans="1:39" ht="15" thickTop="1">
      <c r="A45" s="165"/>
      <c r="C45" s="119"/>
      <c r="D45" s="119"/>
      <c r="E45" s="119"/>
      <c r="F45" s="292"/>
      <c r="O45" s="258"/>
      <c r="P45" s="314">
        <f>+O44/P44</f>
        <v>0.41380817838056205</v>
      </c>
      <c r="Q45" s="293">
        <f>+Q44/P44</f>
        <v>-0.58619182161943795</v>
      </c>
      <c r="AD45" s="163">
        <f>+Ej_Producción!AD33*Ej_Costos!N45</f>
        <v>0</v>
      </c>
      <c r="AE45" s="313">
        <f>+AD44/AE44</f>
        <v>1.2769406210858523</v>
      </c>
      <c r="AF45" s="160">
        <f>+AF44/AE44</f>
        <v>0.27694062108585221</v>
      </c>
    </row>
    <row r="46" spans="1:39" ht="16" thickBot="1">
      <c r="A46" s="165"/>
      <c r="B46" s="179" t="s">
        <v>184</v>
      </c>
      <c r="C46" s="292"/>
      <c r="D46" s="119"/>
      <c r="E46" s="119"/>
      <c r="F46" s="197"/>
      <c r="G46" s="197"/>
      <c r="H46" s="319"/>
      <c r="I46" s="319"/>
      <c r="J46" s="319"/>
      <c r="K46" s="319"/>
      <c r="L46" s="197"/>
      <c r="M46" s="197"/>
      <c r="N46" s="197"/>
      <c r="O46" s="198"/>
      <c r="Q46" s="134"/>
      <c r="R46" s="197">
        <f>+R22/Ej_Producción!R33</f>
        <v>932.40928858232598</v>
      </c>
      <c r="S46" s="197">
        <f>+S22/Ej_Producción!S33</f>
        <v>990.14849452776866</v>
      </c>
      <c r="T46" s="197">
        <f>+T22/Ej_Producción!T33</f>
        <v>991.92784609171952</v>
      </c>
      <c r="U46" s="197">
        <f>+U22/Ej_Producción!U33</f>
        <v>995.42249559388324</v>
      </c>
      <c r="V46" s="197">
        <f>+V22/Ej_Producción!V33</f>
        <v>994.11354231044697</v>
      </c>
      <c r="W46" s="197">
        <f>+W22/Ej_Producción!W33</f>
        <v>994.11354231044697</v>
      </c>
      <c r="X46" s="197">
        <f>+X22/Ej_Producción!X33</f>
        <v>994.11354231044697</v>
      </c>
      <c r="Y46" s="197">
        <f>+Y22/Ej_Producción!Y33</f>
        <v>994.11354231044697</v>
      </c>
      <c r="Z46" s="197">
        <f>+Z22/Ej_Producción!Z33</f>
        <v>994.11354231044697</v>
      </c>
      <c r="AA46" s="197">
        <f>+AA22/Ej_Producción!AA33</f>
        <v>994.11354231044697</v>
      </c>
      <c r="AB46" s="197">
        <f>+AB22/Ej_Producción!AB33</f>
        <v>994.11354231044697</v>
      </c>
      <c r="AC46" s="197">
        <f>+AC22/Ej_Producción!AC33</f>
        <v>994.11354231044697</v>
      </c>
      <c r="AD46" s="197">
        <f>+AD22/Ej_Producción!AD33</f>
        <v>990.63811648548619</v>
      </c>
      <c r="AE46" s="197">
        <f>+AE22/Ej_Producción!AD18</f>
        <v>880.24777369508229</v>
      </c>
    </row>
    <row r="47" spans="1:39" ht="14.5" outlineLevel="1">
      <c r="A47" s="165"/>
      <c r="B47" s="320" t="s">
        <v>185</v>
      </c>
      <c r="C47" s="103">
        <f>15929255/USD</f>
        <v>2642.4913571727175</v>
      </c>
      <c r="D47" s="103">
        <f>13649666/USD</f>
        <v>2264.3321632615143</v>
      </c>
      <c r="E47" s="103">
        <f>13649666/USD</f>
        <v>2264.3321632615143</v>
      </c>
      <c r="F47" s="103">
        <f>13649666/USD</f>
        <v>2264.3321632615143</v>
      </c>
      <c r="G47" s="104">
        <v>2221</v>
      </c>
      <c r="H47" s="190">
        <v>7304.9734409582088</v>
      </c>
      <c r="I47" s="104">
        <v>7304.9734409582088</v>
      </c>
      <c r="J47" s="104">
        <v>7304.9734409582088</v>
      </c>
      <c r="K47" s="104">
        <v>7304.9734409582088</v>
      </c>
      <c r="L47" s="104">
        <v>7304.9734409582088</v>
      </c>
      <c r="M47" s="104">
        <v>7304.9734409582088</v>
      </c>
      <c r="N47" s="105">
        <v>7304.9734409582088</v>
      </c>
      <c r="O47" s="181">
        <f t="shared" ref="O47:O55" si="26">SUM(C47:N47)</f>
        <v>62791.301933664727</v>
      </c>
      <c r="P47" s="182">
        <v>34597</v>
      </c>
      <c r="Q47" s="290">
        <f t="shared" ref="Q47:Q55" si="27">O47-P47</f>
        <v>28194.301933664727</v>
      </c>
      <c r="R47" s="284">
        <v>7304.9734409582088</v>
      </c>
      <c r="S47" s="105">
        <v>7304.9734409582088</v>
      </c>
      <c r="T47" s="199">
        <v>8228.9734409582088</v>
      </c>
      <c r="U47" s="105">
        <v>8228.9734409582088</v>
      </c>
      <c r="V47" s="105">
        <v>8228.9734409582088</v>
      </c>
      <c r="W47" s="105">
        <v>8228.9734409582088</v>
      </c>
      <c r="X47" s="105">
        <v>8228.9734409582088</v>
      </c>
      <c r="Y47" s="105">
        <v>8228.9734409582088</v>
      </c>
      <c r="Z47" s="105">
        <v>8228.9734409582088</v>
      </c>
      <c r="AA47" s="105">
        <v>8228.9734409582088</v>
      </c>
      <c r="AB47" s="105">
        <v>8228.9734409582088</v>
      </c>
      <c r="AC47" s="105">
        <v>8228.9734409582088</v>
      </c>
      <c r="AD47" s="181">
        <f t="shared" ref="AD47:AD55" si="28">SUM(R47:AC47)</f>
        <v>96899.681291498535</v>
      </c>
      <c r="AE47" s="182">
        <v>34597</v>
      </c>
      <c r="AF47" s="183">
        <f t="shared" ref="AF47:AF55" si="29">AD47-AE47</f>
        <v>62302.681291498535</v>
      </c>
      <c r="AG47" s="56"/>
    </row>
    <row r="48" spans="1:39" ht="14.5" outlineLevel="1">
      <c r="A48" s="165"/>
      <c r="B48" s="86" t="s">
        <v>186</v>
      </c>
      <c r="C48" s="103">
        <v>0</v>
      </c>
      <c r="D48" s="103">
        <v>0</v>
      </c>
      <c r="E48" s="103">
        <v>0</v>
      </c>
      <c r="F48" s="103">
        <v>0</v>
      </c>
      <c r="G48" s="104">
        <v>0</v>
      </c>
      <c r="H48" s="104">
        <v>0</v>
      </c>
      <c r="I48" s="104">
        <v>0</v>
      </c>
      <c r="J48" s="104">
        <v>0</v>
      </c>
      <c r="K48" s="104">
        <v>0</v>
      </c>
      <c r="L48" s="104">
        <v>0</v>
      </c>
      <c r="M48" s="104">
        <v>0</v>
      </c>
      <c r="N48" s="105">
        <v>0</v>
      </c>
      <c r="O48" s="88">
        <f t="shared" si="26"/>
        <v>0</v>
      </c>
      <c r="P48" s="89">
        <v>14907.847299999999</v>
      </c>
      <c r="Q48" s="288">
        <f t="shared" si="27"/>
        <v>-14907.847299999999</v>
      </c>
      <c r="R48" s="108">
        <v>0</v>
      </c>
      <c r="S48" s="104">
        <v>0</v>
      </c>
      <c r="T48" s="104">
        <v>0</v>
      </c>
      <c r="U48" s="104">
        <v>0</v>
      </c>
      <c r="V48" s="104">
        <v>0</v>
      </c>
      <c r="W48" s="104">
        <v>0</v>
      </c>
      <c r="X48" s="104">
        <v>0</v>
      </c>
      <c r="Y48" s="104">
        <v>0</v>
      </c>
      <c r="Z48" s="104">
        <v>0</v>
      </c>
      <c r="AA48" s="104">
        <v>0</v>
      </c>
      <c r="AB48" s="104">
        <v>0</v>
      </c>
      <c r="AC48" s="104">
        <v>0</v>
      </c>
      <c r="AD48" s="88">
        <f t="shared" si="28"/>
        <v>0</v>
      </c>
      <c r="AE48" s="89">
        <v>14907.847299999999</v>
      </c>
      <c r="AF48" s="107">
        <f t="shared" si="29"/>
        <v>-14907.847299999999</v>
      </c>
      <c r="AG48" s="56"/>
    </row>
    <row r="49" spans="1:32" ht="14.5" outlineLevel="1">
      <c r="A49" s="165"/>
      <c r="B49" s="320" t="s">
        <v>187</v>
      </c>
      <c r="C49" s="103">
        <f>44166/USD</f>
        <v>7.3266623756660456</v>
      </c>
      <c r="D49" s="103">
        <f>45865/USD</f>
        <v>7.6085081252529809</v>
      </c>
      <c r="E49" s="103">
        <f>45783/USD</f>
        <v>7.594905210911528</v>
      </c>
      <c r="F49" s="103">
        <f>45374/USD</f>
        <v>7.5270565284035484</v>
      </c>
      <c r="G49" s="104">
        <f>+$P$49/12</f>
        <v>87.416666666666671</v>
      </c>
      <c r="H49" s="104">
        <f t="shared" ref="H49:N49" si="30">+$P$49/12</f>
        <v>87.416666666666671</v>
      </c>
      <c r="I49" s="104">
        <f t="shared" si="30"/>
        <v>87.416666666666671</v>
      </c>
      <c r="J49" s="104">
        <f t="shared" si="30"/>
        <v>87.416666666666671</v>
      </c>
      <c r="K49" s="104">
        <f t="shared" si="30"/>
        <v>87.416666666666671</v>
      </c>
      <c r="L49" s="104">
        <f t="shared" si="30"/>
        <v>87.416666666666671</v>
      </c>
      <c r="M49" s="104">
        <f t="shared" si="30"/>
        <v>87.416666666666671</v>
      </c>
      <c r="N49" s="105">
        <f t="shared" si="30"/>
        <v>87.416666666666671</v>
      </c>
      <c r="O49" s="88">
        <f t="shared" si="26"/>
        <v>729.39046557356744</v>
      </c>
      <c r="P49" s="89">
        <v>1049</v>
      </c>
      <c r="Q49" s="288">
        <f t="shared" si="27"/>
        <v>-319.60953442643256</v>
      </c>
      <c r="R49" s="108">
        <f>+$AE$49/12</f>
        <v>87.416666666666671</v>
      </c>
      <c r="S49" s="104">
        <f t="shared" ref="S49:AC49" si="31">+$AE$49/12</f>
        <v>87.416666666666671</v>
      </c>
      <c r="T49" s="104">
        <f t="shared" si="31"/>
        <v>87.416666666666671</v>
      </c>
      <c r="U49" s="104">
        <f t="shared" si="31"/>
        <v>87.416666666666671</v>
      </c>
      <c r="V49" s="104">
        <f t="shared" si="31"/>
        <v>87.416666666666671</v>
      </c>
      <c r="W49" s="104">
        <f t="shared" si="31"/>
        <v>87.416666666666671</v>
      </c>
      <c r="X49" s="104">
        <f t="shared" si="31"/>
        <v>87.416666666666671</v>
      </c>
      <c r="Y49" s="104">
        <f t="shared" si="31"/>
        <v>87.416666666666671</v>
      </c>
      <c r="Z49" s="104">
        <f t="shared" si="31"/>
        <v>87.416666666666671</v>
      </c>
      <c r="AA49" s="104">
        <f t="shared" si="31"/>
        <v>87.416666666666671</v>
      </c>
      <c r="AB49" s="104">
        <f t="shared" si="31"/>
        <v>87.416666666666671</v>
      </c>
      <c r="AC49" s="105">
        <f t="shared" si="31"/>
        <v>87.416666666666671</v>
      </c>
      <c r="AD49" s="88">
        <f t="shared" si="28"/>
        <v>1048.9999999999998</v>
      </c>
      <c r="AE49" s="89">
        <v>1049</v>
      </c>
      <c r="AF49" s="107">
        <f t="shared" si="29"/>
        <v>0</v>
      </c>
    </row>
    <row r="50" spans="1:32" ht="14.5" outlineLevel="1">
      <c r="A50" s="165" t="s">
        <v>500</v>
      </c>
      <c r="B50" s="86" t="s">
        <v>188</v>
      </c>
      <c r="C50" s="103">
        <v>7170.8</v>
      </c>
      <c r="D50" s="103">
        <v>7170.8</v>
      </c>
      <c r="E50" s="103">
        <v>7170.8</v>
      </c>
      <c r="F50" s="103">
        <v>7170.8</v>
      </c>
      <c r="G50" s="104">
        <v>7170.8</v>
      </c>
      <c r="H50" s="104">
        <v>7170.8</v>
      </c>
      <c r="I50" s="104">
        <v>7170.8</v>
      </c>
      <c r="J50" s="104">
        <v>7170.8</v>
      </c>
      <c r="K50" s="104">
        <v>7170.8</v>
      </c>
      <c r="L50" s="104">
        <v>7170.8</v>
      </c>
      <c r="M50" s="104">
        <v>7170.8</v>
      </c>
      <c r="N50" s="105">
        <v>7170.8</v>
      </c>
      <c r="O50" s="88">
        <f t="shared" si="26"/>
        <v>86049.60000000002</v>
      </c>
      <c r="P50" s="89">
        <v>130909</v>
      </c>
      <c r="Q50" s="288">
        <f t="shared" si="27"/>
        <v>-44859.39999999998</v>
      </c>
      <c r="R50" s="284">
        <v>7170.8</v>
      </c>
      <c r="S50" s="105">
        <v>7170.8</v>
      </c>
      <c r="T50" s="105">
        <v>7170.8</v>
      </c>
      <c r="U50" s="105">
        <v>7170.8</v>
      </c>
      <c r="V50" s="105">
        <v>7170.8</v>
      </c>
      <c r="W50" s="105">
        <v>7170.8</v>
      </c>
      <c r="X50" s="105">
        <v>7170.8</v>
      </c>
      <c r="Y50" s="105">
        <v>7170.8</v>
      </c>
      <c r="Z50" s="105">
        <v>7170.8</v>
      </c>
      <c r="AA50" s="105">
        <v>7170.8</v>
      </c>
      <c r="AB50" s="105">
        <v>7170.8</v>
      </c>
      <c r="AC50" s="105">
        <v>7170.8</v>
      </c>
      <c r="AD50" s="88">
        <f t="shared" si="28"/>
        <v>86049.60000000002</v>
      </c>
      <c r="AE50" s="89">
        <v>130909</v>
      </c>
      <c r="AF50" s="107">
        <f t="shared" si="29"/>
        <v>-44859.39999999998</v>
      </c>
    </row>
    <row r="51" spans="1:32" ht="14.5" outlineLevel="1">
      <c r="A51" s="165"/>
      <c r="B51" s="320" t="s">
        <v>532</v>
      </c>
      <c r="C51" s="103">
        <v>0</v>
      </c>
      <c r="D51" s="103">
        <f>363636/USD</f>
        <v>60.323284871568582</v>
      </c>
      <c r="E51" s="103">
        <v>0</v>
      </c>
      <c r="F51" s="103">
        <v>0</v>
      </c>
      <c r="G51" s="104">
        <f>+$P$51/12</f>
        <v>349.66666666666669</v>
      </c>
      <c r="H51" s="104">
        <f t="shared" ref="H51:N51" si="32">+$P$51/12</f>
        <v>349.66666666666669</v>
      </c>
      <c r="I51" s="104">
        <f t="shared" si="32"/>
        <v>349.66666666666669</v>
      </c>
      <c r="J51" s="104">
        <f t="shared" si="32"/>
        <v>349.66666666666669</v>
      </c>
      <c r="K51" s="104">
        <f t="shared" si="32"/>
        <v>349.66666666666669</v>
      </c>
      <c r="L51" s="104">
        <f t="shared" si="32"/>
        <v>349.66666666666669</v>
      </c>
      <c r="M51" s="104">
        <f t="shared" si="32"/>
        <v>349.66666666666669</v>
      </c>
      <c r="N51" s="105">
        <f t="shared" si="32"/>
        <v>349.66666666666669</v>
      </c>
      <c r="O51" s="88">
        <f t="shared" si="26"/>
        <v>2857.6566182049019</v>
      </c>
      <c r="P51" s="89">
        <v>4196</v>
      </c>
      <c r="Q51" s="288">
        <f t="shared" si="27"/>
        <v>-1338.3433817950981</v>
      </c>
      <c r="R51" s="108">
        <f>+$AE$51/12</f>
        <v>349.66666666666669</v>
      </c>
      <c r="S51" s="104">
        <f t="shared" ref="S51:AC51" si="33">+$AE$51/12</f>
        <v>349.66666666666669</v>
      </c>
      <c r="T51" s="104">
        <f t="shared" si="33"/>
        <v>349.66666666666669</v>
      </c>
      <c r="U51" s="104">
        <f t="shared" si="33"/>
        <v>349.66666666666669</v>
      </c>
      <c r="V51" s="104">
        <f t="shared" si="33"/>
        <v>349.66666666666669</v>
      </c>
      <c r="W51" s="104">
        <f t="shared" si="33"/>
        <v>349.66666666666669</v>
      </c>
      <c r="X51" s="104">
        <f t="shared" si="33"/>
        <v>349.66666666666669</v>
      </c>
      <c r="Y51" s="104">
        <f t="shared" si="33"/>
        <v>349.66666666666669</v>
      </c>
      <c r="Z51" s="104">
        <f t="shared" si="33"/>
        <v>349.66666666666669</v>
      </c>
      <c r="AA51" s="104">
        <f t="shared" si="33"/>
        <v>349.66666666666669</v>
      </c>
      <c r="AB51" s="104">
        <f t="shared" si="33"/>
        <v>349.66666666666669</v>
      </c>
      <c r="AC51" s="105">
        <f t="shared" si="33"/>
        <v>349.66666666666669</v>
      </c>
      <c r="AD51" s="88">
        <f t="shared" si="28"/>
        <v>4195.9999999999991</v>
      </c>
      <c r="AE51" s="89">
        <v>4196</v>
      </c>
      <c r="AF51" s="107">
        <f t="shared" si="29"/>
        <v>0</v>
      </c>
    </row>
    <row r="52" spans="1:32" ht="14.5" outlineLevel="1">
      <c r="A52" s="165"/>
      <c r="B52" s="320" t="s">
        <v>189</v>
      </c>
      <c r="C52" s="103">
        <f>500000/USD</f>
        <v>82.944599643006441</v>
      </c>
      <c r="D52" s="103">
        <v>0</v>
      </c>
      <c r="E52" s="103">
        <v>0</v>
      </c>
      <c r="F52" s="103">
        <v>0</v>
      </c>
      <c r="G52" s="104">
        <f>+$P$52/12</f>
        <v>582.75</v>
      </c>
      <c r="H52" s="104">
        <f t="shared" ref="H52:N52" si="34">+$P$52/12</f>
        <v>582.75</v>
      </c>
      <c r="I52" s="104">
        <f t="shared" si="34"/>
        <v>582.75</v>
      </c>
      <c r="J52" s="104">
        <f t="shared" si="34"/>
        <v>582.75</v>
      </c>
      <c r="K52" s="104">
        <f t="shared" si="34"/>
        <v>582.75</v>
      </c>
      <c r="L52" s="104">
        <f t="shared" si="34"/>
        <v>582.75</v>
      </c>
      <c r="M52" s="104">
        <f t="shared" si="34"/>
        <v>582.75</v>
      </c>
      <c r="N52" s="105">
        <f t="shared" si="34"/>
        <v>582.75</v>
      </c>
      <c r="O52" s="88">
        <f t="shared" si="26"/>
        <v>4744.9445996430059</v>
      </c>
      <c r="P52" s="89">
        <v>6993</v>
      </c>
      <c r="Q52" s="288">
        <f t="shared" si="27"/>
        <v>-2248.0554003569941</v>
      </c>
      <c r="R52" s="108">
        <f>+$AE$52/12</f>
        <v>582.75</v>
      </c>
      <c r="S52" s="104">
        <f t="shared" ref="S52:AC52" si="35">+$AE$52/12</f>
        <v>582.75</v>
      </c>
      <c r="T52" s="104">
        <f t="shared" si="35"/>
        <v>582.75</v>
      </c>
      <c r="U52" s="104">
        <f t="shared" si="35"/>
        <v>582.75</v>
      </c>
      <c r="V52" s="104">
        <f t="shared" si="35"/>
        <v>582.75</v>
      </c>
      <c r="W52" s="104">
        <f t="shared" si="35"/>
        <v>582.75</v>
      </c>
      <c r="X52" s="104">
        <f t="shared" si="35"/>
        <v>582.75</v>
      </c>
      <c r="Y52" s="104">
        <f t="shared" si="35"/>
        <v>582.75</v>
      </c>
      <c r="Z52" s="104">
        <f t="shared" si="35"/>
        <v>582.75</v>
      </c>
      <c r="AA52" s="104">
        <f t="shared" si="35"/>
        <v>582.75</v>
      </c>
      <c r="AB52" s="104">
        <f t="shared" si="35"/>
        <v>582.75</v>
      </c>
      <c r="AC52" s="105">
        <f t="shared" si="35"/>
        <v>582.75</v>
      </c>
      <c r="AD52" s="88">
        <f t="shared" si="28"/>
        <v>6993</v>
      </c>
      <c r="AE52" s="89">
        <v>6993</v>
      </c>
      <c r="AF52" s="107">
        <f t="shared" si="29"/>
        <v>0</v>
      </c>
    </row>
    <row r="53" spans="1:32" ht="14.5" outlineLevel="1">
      <c r="A53" s="165"/>
      <c r="B53" s="320" t="s">
        <v>190</v>
      </c>
      <c r="C53" s="103">
        <f>9400026/USD</f>
        <v>1559.3627864077025</v>
      </c>
      <c r="D53" s="103">
        <f>6865219/USD</f>
        <v>1138.865682833122</v>
      </c>
      <c r="E53" s="103">
        <f>2028775/USD</f>
        <v>336.5518602814808</v>
      </c>
      <c r="F53" s="103">
        <f>1941361/USD</f>
        <v>322.05082181509329</v>
      </c>
      <c r="G53" s="104">
        <f>+$P$53/12</f>
        <v>1550.0833333333333</v>
      </c>
      <c r="H53" s="104">
        <f t="shared" ref="H53:N53" si="36">+$P$53/12</f>
        <v>1550.0833333333333</v>
      </c>
      <c r="I53" s="104">
        <f t="shared" si="36"/>
        <v>1550.0833333333333</v>
      </c>
      <c r="J53" s="104">
        <f t="shared" si="36"/>
        <v>1550.0833333333333</v>
      </c>
      <c r="K53" s="104">
        <f t="shared" si="36"/>
        <v>1550.0833333333333</v>
      </c>
      <c r="L53" s="104">
        <f t="shared" si="36"/>
        <v>1550.0833333333333</v>
      </c>
      <c r="M53" s="104">
        <f t="shared" si="36"/>
        <v>1550.0833333333333</v>
      </c>
      <c r="N53" s="105">
        <f t="shared" si="36"/>
        <v>1550.0833333333333</v>
      </c>
      <c r="O53" s="88">
        <f t="shared" si="26"/>
        <v>15757.497818004067</v>
      </c>
      <c r="P53" s="89">
        <v>18601</v>
      </c>
      <c r="Q53" s="288">
        <f t="shared" si="27"/>
        <v>-2843.5021819959329</v>
      </c>
      <c r="R53" s="108">
        <f>+$AE$53/12</f>
        <v>1550.0833333333333</v>
      </c>
      <c r="S53" s="104">
        <f t="shared" ref="S53:AC53" si="37">+$AE$53/12</f>
        <v>1550.0833333333333</v>
      </c>
      <c r="T53" s="104">
        <f t="shared" si="37"/>
        <v>1550.0833333333333</v>
      </c>
      <c r="U53" s="104">
        <f t="shared" si="37"/>
        <v>1550.0833333333333</v>
      </c>
      <c r="V53" s="104">
        <f t="shared" si="37"/>
        <v>1550.0833333333333</v>
      </c>
      <c r="W53" s="104">
        <f t="shared" si="37"/>
        <v>1550.0833333333333</v>
      </c>
      <c r="X53" s="104">
        <f t="shared" si="37"/>
        <v>1550.0833333333333</v>
      </c>
      <c r="Y53" s="104">
        <f t="shared" si="37"/>
        <v>1550.0833333333333</v>
      </c>
      <c r="Z53" s="104">
        <f t="shared" si="37"/>
        <v>1550.0833333333333</v>
      </c>
      <c r="AA53" s="104">
        <f t="shared" si="37"/>
        <v>1550.0833333333333</v>
      </c>
      <c r="AB53" s="104">
        <f t="shared" si="37"/>
        <v>1550.0833333333333</v>
      </c>
      <c r="AC53" s="105">
        <f t="shared" si="37"/>
        <v>1550.0833333333333</v>
      </c>
      <c r="AD53" s="88">
        <f t="shared" si="28"/>
        <v>18601</v>
      </c>
      <c r="AE53" s="89">
        <v>18601</v>
      </c>
      <c r="AF53" s="107">
        <f t="shared" si="29"/>
        <v>0</v>
      </c>
    </row>
    <row r="54" spans="1:32" ht="15" outlineLevel="1" thickBot="1">
      <c r="A54" s="165"/>
      <c r="B54" s="86" t="s">
        <v>191</v>
      </c>
      <c r="C54" s="103">
        <v>0</v>
      </c>
      <c r="D54" s="103">
        <f>11027159/USD</f>
        <v>1829.2865769095506</v>
      </c>
      <c r="E54" s="103">
        <f>46565747/USD</f>
        <v>7724.754483985057</v>
      </c>
      <c r="F54" s="103">
        <f>11091385/USD</f>
        <v>1839.9409766228941</v>
      </c>
      <c r="G54" s="104">
        <f>+$P$54/12</f>
        <v>2000.75</v>
      </c>
      <c r="H54" s="104">
        <f t="shared" ref="H54:N54" si="38">+$P$54/12</f>
        <v>2000.75</v>
      </c>
      <c r="I54" s="104">
        <f t="shared" si="38"/>
        <v>2000.75</v>
      </c>
      <c r="J54" s="104">
        <f t="shared" si="38"/>
        <v>2000.75</v>
      </c>
      <c r="K54" s="104">
        <f t="shared" si="38"/>
        <v>2000.75</v>
      </c>
      <c r="L54" s="104">
        <f t="shared" si="38"/>
        <v>2000.75</v>
      </c>
      <c r="M54" s="104">
        <f t="shared" si="38"/>
        <v>2000.75</v>
      </c>
      <c r="N54" s="105">
        <f t="shared" si="38"/>
        <v>2000.75</v>
      </c>
      <c r="O54" s="92">
        <f t="shared" si="26"/>
        <v>27399.982037517504</v>
      </c>
      <c r="P54" s="93">
        <v>24009</v>
      </c>
      <c r="Q54" s="291">
        <f t="shared" si="27"/>
        <v>3390.9820375175041</v>
      </c>
      <c r="R54" s="108">
        <f>+$AE$54/12</f>
        <v>2000.75</v>
      </c>
      <c r="S54" s="104">
        <f t="shared" ref="S54:AC54" si="39">+$AE$54/12</f>
        <v>2000.75</v>
      </c>
      <c r="T54" s="104">
        <f t="shared" si="39"/>
        <v>2000.75</v>
      </c>
      <c r="U54" s="104">
        <f t="shared" si="39"/>
        <v>2000.75</v>
      </c>
      <c r="V54" s="104">
        <f t="shared" si="39"/>
        <v>2000.75</v>
      </c>
      <c r="W54" s="104">
        <f t="shared" si="39"/>
        <v>2000.75</v>
      </c>
      <c r="X54" s="104">
        <f t="shared" si="39"/>
        <v>2000.75</v>
      </c>
      <c r="Y54" s="104">
        <f t="shared" si="39"/>
        <v>2000.75</v>
      </c>
      <c r="Z54" s="104">
        <f t="shared" si="39"/>
        <v>2000.75</v>
      </c>
      <c r="AA54" s="104">
        <f t="shared" si="39"/>
        <v>2000.75</v>
      </c>
      <c r="AB54" s="104">
        <f t="shared" si="39"/>
        <v>2000.75</v>
      </c>
      <c r="AC54" s="105">
        <f t="shared" si="39"/>
        <v>2000.75</v>
      </c>
      <c r="AD54" s="92">
        <f t="shared" si="28"/>
        <v>24009</v>
      </c>
      <c r="AE54" s="93">
        <v>24009</v>
      </c>
      <c r="AF54" s="111">
        <f t="shared" si="29"/>
        <v>0</v>
      </c>
    </row>
    <row r="55" spans="1:32" ht="15" thickBot="1">
      <c r="A55" s="165"/>
      <c r="B55" s="95" t="s">
        <v>192</v>
      </c>
      <c r="C55" s="96">
        <f t="shared" ref="C55:N55" si="40">SUM(C47:C54)</f>
        <v>11462.925405599091</v>
      </c>
      <c r="D55" s="96">
        <f t="shared" si="40"/>
        <v>12471.216216001008</v>
      </c>
      <c r="E55" s="96">
        <f t="shared" si="40"/>
        <v>17504.033412738965</v>
      </c>
      <c r="F55" s="96">
        <f t="shared" si="40"/>
        <v>11604.651018227907</v>
      </c>
      <c r="G55" s="96">
        <f t="shared" si="40"/>
        <v>13962.466666666667</v>
      </c>
      <c r="H55" s="96">
        <f t="shared" si="40"/>
        <v>19046.440107624876</v>
      </c>
      <c r="I55" s="96">
        <f t="shared" si="40"/>
        <v>19046.440107624876</v>
      </c>
      <c r="J55" s="96">
        <f t="shared" si="40"/>
        <v>19046.440107624876</v>
      </c>
      <c r="K55" s="96">
        <f t="shared" si="40"/>
        <v>19046.440107624876</v>
      </c>
      <c r="L55" s="96">
        <f t="shared" si="40"/>
        <v>19046.440107624876</v>
      </c>
      <c r="M55" s="96">
        <f t="shared" si="40"/>
        <v>19046.440107624876</v>
      </c>
      <c r="N55" s="96">
        <f t="shared" si="40"/>
        <v>19046.440107624876</v>
      </c>
      <c r="O55" s="195">
        <f t="shared" si="26"/>
        <v>200330.37347260775</v>
      </c>
      <c r="P55" s="89">
        <v>235261.84729999999</v>
      </c>
      <c r="Q55" s="288">
        <f t="shared" si="27"/>
        <v>-34931.473827392241</v>
      </c>
      <c r="R55" s="96">
        <f t="shared" ref="R55:U55" si="41">SUM(R47:R54)</f>
        <v>19046.440107624876</v>
      </c>
      <c r="S55" s="96">
        <f t="shared" si="41"/>
        <v>19046.440107624876</v>
      </c>
      <c r="T55" s="96">
        <f t="shared" si="41"/>
        <v>19970.440107624872</v>
      </c>
      <c r="U55" s="96">
        <f t="shared" si="41"/>
        <v>19970.440107624872</v>
      </c>
      <c r="V55" s="96">
        <f t="shared" ref="V55:AC55" si="42">SUM(V47:V54)</f>
        <v>19970.440107624872</v>
      </c>
      <c r="W55" s="96">
        <f t="shared" si="42"/>
        <v>19970.440107624872</v>
      </c>
      <c r="X55" s="96">
        <f t="shared" si="42"/>
        <v>19970.440107624872</v>
      </c>
      <c r="Y55" s="96">
        <f t="shared" si="42"/>
        <v>19970.440107624872</v>
      </c>
      <c r="Z55" s="96">
        <f t="shared" si="42"/>
        <v>19970.440107624872</v>
      </c>
      <c r="AA55" s="96">
        <f t="shared" si="42"/>
        <v>19970.440107624872</v>
      </c>
      <c r="AB55" s="96">
        <f t="shared" si="42"/>
        <v>19970.440107624872</v>
      </c>
      <c r="AC55" s="96">
        <f t="shared" si="42"/>
        <v>19970.440107624872</v>
      </c>
      <c r="AD55" s="195">
        <f t="shared" si="28"/>
        <v>237797.28129149842</v>
      </c>
      <c r="AE55" s="89">
        <v>235261.84729999999</v>
      </c>
      <c r="AF55" s="178">
        <f t="shared" si="29"/>
        <v>2535.4339914984303</v>
      </c>
    </row>
    <row r="56" spans="1:32" ht="15" thickTop="1">
      <c r="A56" s="165"/>
      <c r="P56" s="314">
        <f>+O55/P55</f>
        <v>0.85152087247343378</v>
      </c>
      <c r="Q56" s="293">
        <f>+Q55/P55</f>
        <v>-0.1484791275265662</v>
      </c>
      <c r="AE56" s="313">
        <f>+AD55/AE55</f>
        <v>1.0107770725283192</v>
      </c>
      <c r="AF56" s="160">
        <f>+AF55/AE55</f>
        <v>1.0777072528319089E-2</v>
      </c>
    </row>
    <row r="57" spans="1:32" ht="16" thickBot="1">
      <c r="A57" s="165"/>
      <c r="B57" s="179" t="s">
        <v>555</v>
      </c>
      <c r="P57" s="282"/>
      <c r="Q57" s="293"/>
      <c r="AE57" s="196"/>
      <c r="AF57" s="160"/>
    </row>
    <row r="58" spans="1:32" ht="15" outlineLevel="1" thickBot="1">
      <c r="A58" s="165"/>
      <c r="B58" s="86" t="s">
        <v>371</v>
      </c>
      <c r="C58" s="103">
        <v>1312.0697663616518</v>
      </c>
      <c r="D58" s="103">
        <v>1312.0697663616518</v>
      </c>
      <c r="E58" s="103">
        <v>1312.0697663616518</v>
      </c>
      <c r="F58" s="103">
        <v>1312.0697663616518</v>
      </c>
      <c r="G58" s="103">
        <v>2064.2556883406437</v>
      </c>
      <c r="H58" s="104">
        <v>2064.2556883406437</v>
      </c>
      <c r="I58" s="104">
        <v>2064.2556883406437</v>
      </c>
      <c r="J58" s="104">
        <v>2064.2556883406437</v>
      </c>
      <c r="K58" s="104">
        <v>2064.2556883406437</v>
      </c>
      <c r="L58" s="104">
        <v>7947.3833333333341</v>
      </c>
      <c r="M58" s="104">
        <v>7947.3833333333341</v>
      </c>
      <c r="N58" s="105">
        <v>7947.3833333333341</v>
      </c>
      <c r="O58" s="200">
        <f>SUM(C58:N58)</f>
        <v>39411.707507149826</v>
      </c>
      <c r="P58" s="201">
        <f>+Depreciación!F7</f>
        <v>95368.6</v>
      </c>
      <c r="Q58" s="294">
        <f>O58-P58</f>
        <v>-55956.89249285018</v>
      </c>
      <c r="R58" s="284">
        <f>+AE58/12</f>
        <v>7947.3833333333341</v>
      </c>
      <c r="S58" s="105">
        <v>7947.3833333333341</v>
      </c>
      <c r="T58" s="105">
        <v>7947.3833333333341</v>
      </c>
      <c r="U58" s="105">
        <v>7947.3833333333341</v>
      </c>
      <c r="V58" s="105">
        <v>7947.3833333333341</v>
      </c>
      <c r="W58" s="104">
        <v>7947.3833333333341</v>
      </c>
      <c r="X58" s="104">
        <v>7947.3833333333341</v>
      </c>
      <c r="Y58" s="104">
        <v>7947.3833333333341</v>
      </c>
      <c r="Z58" s="104">
        <v>7947.3833333333341</v>
      </c>
      <c r="AA58" s="104">
        <v>7947.3833333333341</v>
      </c>
      <c r="AB58" s="104">
        <v>7947.3833333333341</v>
      </c>
      <c r="AC58" s="105">
        <v>7947.3833333333341</v>
      </c>
      <c r="AD58" s="200">
        <f>SUM(R58:AC58)</f>
        <v>95368.599999999991</v>
      </c>
      <c r="AE58" s="201">
        <f>+Depreciación!G7</f>
        <v>95368.6</v>
      </c>
      <c r="AF58" s="202">
        <f>AD58-AE58</f>
        <v>0</v>
      </c>
    </row>
    <row r="59" spans="1:32" ht="15" thickBot="1">
      <c r="A59" s="165"/>
      <c r="B59" s="95" t="s">
        <v>557</v>
      </c>
      <c r="C59" s="96">
        <f t="shared" ref="C59:N59" si="43">C58</f>
        <v>1312.0697663616518</v>
      </c>
      <c r="D59" s="96">
        <f t="shared" si="43"/>
        <v>1312.0697663616518</v>
      </c>
      <c r="E59" s="96">
        <f t="shared" si="43"/>
        <v>1312.0697663616518</v>
      </c>
      <c r="F59" s="96">
        <f t="shared" si="43"/>
        <v>1312.0697663616518</v>
      </c>
      <c r="G59" s="96">
        <f t="shared" si="43"/>
        <v>2064.2556883406437</v>
      </c>
      <c r="H59" s="96">
        <f t="shared" si="43"/>
        <v>2064.2556883406437</v>
      </c>
      <c r="I59" s="96">
        <f t="shared" si="43"/>
        <v>2064.2556883406437</v>
      </c>
      <c r="J59" s="96">
        <f t="shared" si="43"/>
        <v>2064.2556883406437</v>
      </c>
      <c r="K59" s="96">
        <f t="shared" si="43"/>
        <v>2064.2556883406437</v>
      </c>
      <c r="L59" s="96">
        <f t="shared" si="43"/>
        <v>7947.3833333333341</v>
      </c>
      <c r="M59" s="96">
        <f t="shared" si="43"/>
        <v>7947.3833333333341</v>
      </c>
      <c r="N59" s="96">
        <f t="shared" si="43"/>
        <v>7947.3833333333341</v>
      </c>
      <c r="O59" s="195">
        <f>SUM(C59:N59)</f>
        <v>39411.707507149826</v>
      </c>
      <c r="P59" s="89">
        <f>+P58</f>
        <v>95368.6</v>
      </c>
      <c r="Q59" s="288">
        <f>O59-P59</f>
        <v>-55956.89249285018</v>
      </c>
      <c r="R59" s="96">
        <f t="shared" ref="R59:AC59" si="44">R58</f>
        <v>7947.3833333333341</v>
      </c>
      <c r="S59" s="96">
        <f t="shared" si="44"/>
        <v>7947.3833333333341</v>
      </c>
      <c r="T59" s="96">
        <f t="shared" si="44"/>
        <v>7947.3833333333341</v>
      </c>
      <c r="U59" s="96">
        <f t="shared" si="44"/>
        <v>7947.3833333333341</v>
      </c>
      <c r="V59" s="96">
        <f t="shared" si="44"/>
        <v>7947.3833333333341</v>
      </c>
      <c r="W59" s="96">
        <f t="shared" si="44"/>
        <v>7947.3833333333341</v>
      </c>
      <c r="X59" s="96">
        <f t="shared" si="44"/>
        <v>7947.3833333333341</v>
      </c>
      <c r="Y59" s="96">
        <f t="shared" si="44"/>
        <v>7947.3833333333341</v>
      </c>
      <c r="Z59" s="96">
        <f t="shared" si="44"/>
        <v>7947.3833333333341</v>
      </c>
      <c r="AA59" s="96">
        <f t="shared" si="44"/>
        <v>7947.3833333333341</v>
      </c>
      <c r="AB59" s="96">
        <f t="shared" si="44"/>
        <v>7947.3833333333341</v>
      </c>
      <c r="AC59" s="96">
        <f t="shared" si="44"/>
        <v>7947.3833333333341</v>
      </c>
      <c r="AD59" s="195">
        <f>SUM(R59:AC59)</f>
        <v>95368.599999999991</v>
      </c>
      <c r="AE59" s="89">
        <f>+AE58</f>
        <v>95368.6</v>
      </c>
      <c r="AF59" s="178">
        <f>AD59-AE59</f>
        <v>0</v>
      </c>
    </row>
    <row r="60" spans="1:32" ht="15" thickTop="1">
      <c r="A60" s="165"/>
      <c r="P60" s="314">
        <f>+O59/P59</f>
        <v>0.41325664324683203</v>
      </c>
      <c r="Q60" s="293">
        <f>+Q59/P59</f>
        <v>-0.58674335675316802</v>
      </c>
      <c r="AE60" s="313">
        <f>+AD59/AE59</f>
        <v>0.99999999999999989</v>
      </c>
      <c r="AF60" s="160">
        <f>+AF59/AE59</f>
        <v>0</v>
      </c>
    </row>
    <row r="61" spans="1:32" ht="16" thickBot="1">
      <c r="A61" s="165"/>
      <c r="B61" s="179" t="s">
        <v>556</v>
      </c>
      <c r="Q61" s="134"/>
    </row>
    <row r="62" spans="1:32" ht="15" outlineLevel="1" thickBot="1">
      <c r="A62" s="165"/>
      <c r="B62" s="86" t="s">
        <v>193</v>
      </c>
      <c r="C62" s="103">
        <f>+Ej_Deuda!C7+Ej_Deuda!C13</f>
        <v>16667.808219178081</v>
      </c>
      <c r="D62" s="103">
        <f>+Ej_Deuda!D7+Ej_Deuda!D13</f>
        <v>15054.794520547945</v>
      </c>
      <c r="E62" s="103">
        <f>+Ej_Deuda!E7+Ej_Deuda!E13</f>
        <v>16667.808219178081</v>
      </c>
      <c r="F62" s="103">
        <f>+Ej_Deuda!F7+Ej_Deuda!F13</f>
        <v>16136.986301369863</v>
      </c>
      <c r="G62" s="104">
        <f>+Ej_Deuda!G7+Ej_Deuda!G13</f>
        <v>13801.369863013699</v>
      </c>
      <c r="H62" s="104">
        <f>+Ej_Deuda!H7+Ej_Deuda!H13</f>
        <v>13356.164383561645</v>
      </c>
      <c r="I62" s="104">
        <f>+Ej_Deuda!I7+Ej_Deuda!I13</f>
        <v>13801.369863013699</v>
      </c>
      <c r="J62" s="104">
        <f>+Ej_Deuda!J7+Ej_Deuda!J13</f>
        <v>13801.369863013699</v>
      </c>
      <c r="K62" s="104">
        <f>+Ej_Deuda!K7+Ej_Deuda!K13</f>
        <v>13356.164383561645</v>
      </c>
      <c r="L62" s="104">
        <f>+Ej_Deuda!L7+Ej_Deuda!L13</f>
        <v>13801.369863013699</v>
      </c>
      <c r="M62" s="272">
        <f>+Ej_Deuda!M7+Ej_Deuda!M13</f>
        <v>41764.455000000002</v>
      </c>
      <c r="N62" s="105">
        <f>+Ej_Deuda!N7+Ej_Deuda!N13</f>
        <v>41210.727019774917</v>
      </c>
      <c r="O62" s="200">
        <f>SUM(C62:N62)</f>
        <v>229420.38749922696</v>
      </c>
      <c r="P62" s="201">
        <v>372101</v>
      </c>
      <c r="Q62" s="294">
        <f>O62-P62</f>
        <v>-142680.61250077304</v>
      </c>
      <c r="R62" s="284">
        <f>+Ej_Deuda!R7+Ej_Deuda!R13</f>
        <v>40652.84607969816</v>
      </c>
      <c r="S62" s="105">
        <f>+Ej_Deuda!S7+Ej_Deuda!S13</f>
        <v>40090.781032570812</v>
      </c>
      <c r="T62" s="105">
        <f>+Ej_Deuda!T7+Ej_Deuda!T13</f>
        <v>39524.500497590016</v>
      </c>
      <c r="U62" s="105">
        <f>+Ej_Deuda!U7+Ej_Deuda!U13</f>
        <v>38953.97285859687</v>
      </c>
      <c r="V62" s="105">
        <f>+Ej_Deuda!V7+Ej_Deuda!V13</f>
        <v>38379.166262311264</v>
      </c>
      <c r="W62" s="105">
        <f>+Ej_Deuda!W7+Ej_Deuda!W13</f>
        <v>37800.048616553526</v>
      </c>
      <c r="X62" s="264">
        <f>+Ej_Deuda!X7+Ej_Deuda!X13+Ej_Flujo!V17</f>
        <v>155572.75503706193</v>
      </c>
      <c r="Y62" s="105">
        <f>+Ej_Deuda!Y7+Ej_Deuda!Y13</f>
        <v>36628.751452784134</v>
      </c>
      <c r="Z62" s="105">
        <f>+Ej_Deuda!Z7+Ej_Deuda!Z13</f>
        <v>36036.501358062596</v>
      </c>
      <c r="AA62" s="264">
        <f>+Ej_Deuda!AA7+Ej_Deuda!AA13+Ej_Flujo!Y17</f>
        <v>153792.97822119229</v>
      </c>
      <c r="AB62" s="105">
        <f>+Ej_Deuda!AB7+Ej_Deuda!AB13</f>
        <v>34838.652310795456</v>
      </c>
      <c r="AC62" s="264">
        <f>+Ej_Deuda!AC7+Ej_Deuda!AC13+Ej_Flujo!AA17</f>
        <v>47383.665079015846</v>
      </c>
      <c r="AD62" s="200">
        <f>SUM(R62:AC62)</f>
        <v>699654.61880623305</v>
      </c>
      <c r="AE62" s="201">
        <v>394184</v>
      </c>
      <c r="AF62" s="202">
        <f>AD62-AE62</f>
        <v>305470.61880623305</v>
      </c>
    </row>
    <row r="63" spans="1:32" ht="15" thickBot="1">
      <c r="A63" s="165"/>
      <c r="B63" s="95" t="s">
        <v>194</v>
      </c>
      <c r="C63" s="96">
        <f t="shared" ref="C63:N63" si="45">C62</f>
        <v>16667.808219178081</v>
      </c>
      <c r="D63" s="96">
        <f t="shared" si="45"/>
        <v>15054.794520547945</v>
      </c>
      <c r="E63" s="96">
        <f t="shared" si="45"/>
        <v>16667.808219178081</v>
      </c>
      <c r="F63" s="96">
        <f t="shared" si="45"/>
        <v>16136.986301369863</v>
      </c>
      <c r="G63" s="96">
        <f t="shared" si="45"/>
        <v>13801.369863013699</v>
      </c>
      <c r="H63" s="96">
        <f t="shared" si="45"/>
        <v>13356.164383561645</v>
      </c>
      <c r="I63" s="96">
        <f t="shared" si="45"/>
        <v>13801.369863013699</v>
      </c>
      <c r="J63" s="96">
        <f t="shared" si="45"/>
        <v>13801.369863013699</v>
      </c>
      <c r="K63" s="96">
        <f t="shared" si="45"/>
        <v>13356.164383561645</v>
      </c>
      <c r="L63" s="96">
        <f t="shared" si="45"/>
        <v>13801.369863013699</v>
      </c>
      <c r="M63" s="96">
        <f t="shared" si="45"/>
        <v>41764.455000000002</v>
      </c>
      <c r="N63" s="96">
        <f t="shared" si="45"/>
        <v>41210.727019774917</v>
      </c>
      <c r="O63" s="195">
        <f>SUM(C63:N63)</f>
        <v>229420.38749922696</v>
      </c>
      <c r="P63" s="89">
        <f>+P62</f>
        <v>372101</v>
      </c>
      <c r="Q63" s="288">
        <f>O63-P63</f>
        <v>-142680.61250077304</v>
      </c>
      <c r="R63" s="96">
        <f t="shared" ref="R63:AC63" si="46">R62</f>
        <v>40652.84607969816</v>
      </c>
      <c r="S63" s="96">
        <f t="shared" si="46"/>
        <v>40090.781032570812</v>
      </c>
      <c r="T63" s="96">
        <f t="shared" si="46"/>
        <v>39524.500497590016</v>
      </c>
      <c r="U63" s="96">
        <f t="shared" si="46"/>
        <v>38953.97285859687</v>
      </c>
      <c r="V63" s="96">
        <f t="shared" si="46"/>
        <v>38379.166262311264</v>
      </c>
      <c r="W63" s="96">
        <f t="shared" si="46"/>
        <v>37800.048616553526</v>
      </c>
      <c r="X63" s="96">
        <f t="shared" si="46"/>
        <v>155572.75503706193</v>
      </c>
      <c r="Y63" s="96">
        <f t="shared" si="46"/>
        <v>36628.751452784134</v>
      </c>
      <c r="Z63" s="96">
        <f t="shared" si="46"/>
        <v>36036.501358062596</v>
      </c>
      <c r="AA63" s="96">
        <f t="shared" si="46"/>
        <v>153792.97822119229</v>
      </c>
      <c r="AB63" s="96">
        <f t="shared" si="46"/>
        <v>34838.652310795456</v>
      </c>
      <c r="AC63" s="96">
        <f t="shared" si="46"/>
        <v>47383.665079015846</v>
      </c>
      <c r="AD63" s="195">
        <f>SUM(R63:AC63)</f>
        <v>699654.61880623305</v>
      </c>
      <c r="AE63" s="89">
        <f>+AE62</f>
        <v>394184</v>
      </c>
      <c r="AF63" s="178">
        <f>AD63-AE63</f>
        <v>305470.61880623305</v>
      </c>
    </row>
    <row r="64" spans="1:32" ht="15" thickTop="1">
      <c r="A64" s="165"/>
      <c r="P64" s="314">
        <f>+O63/P63</f>
        <v>0.61655407402621054</v>
      </c>
      <c r="Q64" s="293">
        <f>+Q63/P63</f>
        <v>-0.38344592597378951</v>
      </c>
      <c r="AE64" s="313">
        <f>+AD63/AE63</f>
        <v>1.7749442362100771</v>
      </c>
      <c r="AF64" s="160">
        <f>+AF63/AE63</f>
        <v>0.77494423621007713</v>
      </c>
    </row>
    <row r="65" spans="1:32" ht="15" thickBot="1">
      <c r="A65" s="165"/>
      <c r="B65" s="203" t="s">
        <v>195</v>
      </c>
      <c r="C65" s="204">
        <f>C44+C55+C59+C63</f>
        <v>62804.097179443983</v>
      </c>
      <c r="D65" s="204">
        <f t="shared" ref="D65:N65" si="47">D44+D55+D59+D63</f>
        <v>38090.574116176431</v>
      </c>
      <c r="E65" s="204">
        <f t="shared" si="47"/>
        <v>176042.62141853495</v>
      </c>
      <c r="F65" s="204">
        <f t="shared" si="47"/>
        <v>219675.67446850671</v>
      </c>
      <c r="G65" s="204">
        <f t="shared" si="47"/>
        <v>491282.65389552934</v>
      </c>
      <c r="H65" s="204">
        <f t="shared" si="47"/>
        <v>395420.97917295143</v>
      </c>
      <c r="I65" s="204">
        <f t="shared" si="47"/>
        <v>281328.8227106969</v>
      </c>
      <c r="J65" s="204">
        <f t="shared" si="47"/>
        <v>297309.03510146926</v>
      </c>
      <c r="K65" s="204">
        <f t="shared" si="47"/>
        <v>312822.1635015792</v>
      </c>
      <c r="L65" s="204">
        <f t="shared" si="47"/>
        <v>642932.30869448779</v>
      </c>
      <c r="M65" s="204">
        <f t="shared" si="47"/>
        <v>860152.94197042473</v>
      </c>
      <c r="N65" s="204">
        <f t="shared" si="47"/>
        <v>723437.03927224164</v>
      </c>
      <c r="O65" s="205">
        <f>SUM(C65:N65)</f>
        <v>4501298.9115020428</v>
      </c>
      <c r="P65" s="89">
        <v>10351337.601019999</v>
      </c>
      <c r="Q65" s="288">
        <f>O65-P65</f>
        <v>-5850038.6895179562</v>
      </c>
      <c r="R65" s="204">
        <f t="shared" ref="R65:AC65" si="48">R44+R55+R59+R63</f>
        <v>789335.20853322698</v>
      </c>
      <c r="S65" s="204">
        <f t="shared" si="48"/>
        <v>922284.32246117713</v>
      </c>
      <c r="T65" s="204">
        <f t="shared" si="48"/>
        <v>1229664.2394063731</v>
      </c>
      <c r="U65" s="204">
        <f t="shared" si="48"/>
        <v>1339668.5415827627</v>
      </c>
      <c r="V65" s="204">
        <f t="shared" si="48"/>
        <v>1398330.0754974901</v>
      </c>
      <c r="W65" s="204">
        <f t="shared" si="48"/>
        <v>1397750.9578517324</v>
      </c>
      <c r="X65" s="204">
        <f t="shared" si="48"/>
        <v>1515523.6642722408</v>
      </c>
      <c r="Y65" s="204">
        <f t="shared" si="48"/>
        <v>1396579.660687963</v>
      </c>
      <c r="Z65" s="204">
        <f t="shared" si="48"/>
        <v>1395987.4105932415</v>
      </c>
      <c r="AA65" s="204">
        <f t="shared" si="48"/>
        <v>1513743.8874563712</v>
      </c>
      <c r="AB65" s="204">
        <f t="shared" si="48"/>
        <v>1394789.5615459743</v>
      </c>
      <c r="AC65" s="204">
        <f t="shared" si="48"/>
        <v>1407334.5743141947</v>
      </c>
      <c r="AD65" s="205">
        <f>SUM(R65:AC65)</f>
        <v>15700992.104202747</v>
      </c>
      <c r="AE65" s="89">
        <v>12211778.96381125</v>
      </c>
      <c r="AF65" s="178">
        <f>AD65-AE65</f>
        <v>3489213.1403914969</v>
      </c>
    </row>
    <row r="66" spans="1:32" ht="14.5" thickTop="1">
      <c r="P66" s="314">
        <f>+O65/P65</f>
        <v>0.43485190851648914</v>
      </c>
      <c r="Q66" s="293">
        <f>+Q65/P65</f>
        <v>-0.56514809148351086</v>
      </c>
      <c r="AE66" s="313">
        <f>+AD65/AE65</f>
        <v>1.2857252125780803</v>
      </c>
      <c r="AF66" s="160">
        <f>+AF65/AE65</f>
        <v>0.28572521257808015</v>
      </c>
    </row>
    <row r="67" spans="1:32" ht="15.5">
      <c r="B67" s="206"/>
      <c r="C67" s="168"/>
      <c r="D67" s="168"/>
      <c r="O67" s="119"/>
      <c r="Q67" s="293"/>
      <c r="AF67" s="160"/>
    </row>
    <row r="68" spans="1:32" ht="15.5">
      <c r="B68" s="206"/>
      <c r="C68" s="168" t="s">
        <v>536</v>
      </c>
      <c r="D68" s="168"/>
      <c r="H68" s="72" t="s">
        <v>569</v>
      </c>
      <c r="K68" s="164"/>
      <c r="L68" s="72" t="s">
        <v>570</v>
      </c>
      <c r="O68" s="64"/>
      <c r="R68" s="72" t="s">
        <v>571</v>
      </c>
      <c r="T68" s="72" t="s">
        <v>572</v>
      </c>
    </row>
    <row r="69" spans="1:32" ht="15.5">
      <c r="B69" s="206"/>
      <c r="C69" s="168"/>
      <c r="D69" s="168"/>
      <c r="H69" s="72" t="s">
        <v>522</v>
      </c>
      <c r="K69" s="164"/>
      <c r="L69" s="72" t="s">
        <v>525</v>
      </c>
      <c r="O69" s="258"/>
      <c r="P69" s="258">
        <f>+P22/Ej_Ingresos!P34</f>
        <v>0.87147578278067339</v>
      </c>
      <c r="R69" s="72" t="s">
        <v>525</v>
      </c>
      <c r="T69" s="72" t="s">
        <v>534</v>
      </c>
    </row>
    <row r="70" spans="1:32" ht="15.5">
      <c r="B70" s="206"/>
      <c r="C70" s="168"/>
      <c r="D70" s="168"/>
      <c r="H70" s="72" t="s">
        <v>523</v>
      </c>
      <c r="K70" s="164"/>
      <c r="L70" s="72" t="s">
        <v>526</v>
      </c>
      <c r="P70" s="329">
        <f>+O22/Ej_Ingresos!O34</f>
        <v>0.9211000129670186</v>
      </c>
      <c r="R70" s="72" t="s">
        <v>527</v>
      </c>
      <c r="T70" s="72" t="s">
        <v>528</v>
      </c>
    </row>
    <row r="71" spans="1:32" ht="15.5">
      <c r="B71" s="206"/>
      <c r="C71" s="168"/>
      <c r="D71" s="168"/>
      <c r="H71" s="72" t="s">
        <v>524</v>
      </c>
      <c r="K71" s="164"/>
      <c r="O71" s="194"/>
      <c r="P71" s="308">
        <f>+P70-P69</f>
        <v>4.9624230186345208E-2</v>
      </c>
      <c r="T71" s="72" t="s">
        <v>529</v>
      </c>
    </row>
    <row r="72" spans="1:32" ht="15.5">
      <c r="B72" s="206"/>
      <c r="C72" s="168"/>
      <c r="D72" s="168"/>
      <c r="K72" s="164"/>
      <c r="P72" s="56"/>
    </row>
    <row r="73" spans="1:32" ht="15.5">
      <c r="B73" s="206"/>
      <c r="C73" s="168"/>
      <c r="D73" s="168"/>
      <c r="K73" s="164"/>
    </row>
    <row r="74" spans="1:32" ht="15.5">
      <c r="B74" s="206"/>
      <c r="C74" s="168"/>
      <c r="D74" s="168"/>
      <c r="H74" s="56"/>
      <c r="K74" s="164"/>
    </row>
    <row r="75" spans="1:32" ht="15.5">
      <c r="B75" s="206"/>
      <c r="C75" s="168"/>
      <c r="D75" s="168"/>
      <c r="K75" s="164"/>
    </row>
    <row r="76" spans="1:32" ht="15.5">
      <c r="B76" s="206"/>
      <c r="C76" s="168"/>
      <c r="D76" s="168"/>
      <c r="K76" s="164"/>
    </row>
    <row r="77" spans="1:32" ht="15.5">
      <c r="B77" s="206"/>
      <c r="C77" s="168"/>
      <c r="D77" s="168"/>
      <c r="K77" s="164"/>
    </row>
    <row r="78" spans="1:32" ht="15.5">
      <c r="B78" s="206"/>
      <c r="C78" s="168"/>
      <c r="D78" s="168"/>
      <c r="K78" s="164"/>
    </row>
    <row r="79" spans="1:32" ht="15.5">
      <c r="B79" s="206"/>
      <c r="C79" s="168"/>
      <c r="D79" s="168"/>
      <c r="K79" s="164"/>
    </row>
    <row r="80" spans="1:32" ht="15.5">
      <c r="B80" s="206"/>
      <c r="C80" s="168"/>
      <c r="D80" s="168"/>
      <c r="K80" s="164"/>
    </row>
    <row r="81" spans="2:17">
      <c r="B81" s="207"/>
    </row>
    <row r="83" spans="2:17">
      <c r="Q83" s="119"/>
    </row>
    <row r="84" spans="2:17">
      <c r="Q84" s="164"/>
    </row>
    <row r="85" spans="2:17">
      <c r="Q85" s="164"/>
    </row>
    <row r="86" spans="2:17">
      <c r="Q86" s="194"/>
    </row>
    <row r="87" spans="2:17">
      <c r="Q87" s="194"/>
    </row>
    <row r="88" spans="2:17">
      <c r="O88" s="72" t="s">
        <v>492</v>
      </c>
      <c r="P88" s="132">
        <v>4000000</v>
      </c>
    </row>
    <row r="89" spans="2:17">
      <c r="B89" s="207" t="s">
        <v>492</v>
      </c>
      <c r="C89" s="208" t="s">
        <v>493</v>
      </c>
      <c r="D89" s="208" t="s">
        <v>494</v>
      </c>
      <c r="O89" s="72" t="s">
        <v>501</v>
      </c>
      <c r="P89" s="132">
        <f>+P88*42%</f>
        <v>1680000</v>
      </c>
    </row>
    <row r="90" spans="2:17">
      <c r="B90" s="164">
        <v>10000000</v>
      </c>
      <c r="C90" s="72">
        <v>7800</v>
      </c>
      <c r="D90" s="164">
        <f>+B90/C90</f>
        <v>1282.051282051282</v>
      </c>
      <c r="E90" s="72" t="s">
        <v>489</v>
      </c>
      <c r="O90" s="72" t="s">
        <v>502</v>
      </c>
      <c r="P90" s="132">
        <f>+P88+P89</f>
        <v>5680000</v>
      </c>
    </row>
    <row r="91" spans="2:17">
      <c r="C91" s="177">
        <f>+USD</f>
        <v>6028.12</v>
      </c>
      <c r="D91" s="164">
        <f>+B90/C91</f>
        <v>1658.891992860129</v>
      </c>
      <c r="E91" s="72" t="s">
        <v>491</v>
      </c>
      <c r="J91" s="164">
        <v>5145</v>
      </c>
      <c r="K91" s="72" t="s">
        <v>251</v>
      </c>
      <c r="O91" s="72" t="s">
        <v>503</v>
      </c>
      <c r="P91" s="132">
        <f>+P90/USD</f>
        <v>942.25065194455317</v>
      </c>
    </row>
    <row r="92" spans="2:17">
      <c r="D92" s="194">
        <f>+D90-D91</f>
        <v>-376.84071080884701</v>
      </c>
      <c r="E92" s="72" t="s">
        <v>490</v>
      </c>
      <c r="J92" s="164">
        <f>+J91*41%</f>
        <v>2109.4499999999998</v>
      </c>
      <c r="K92" s="72" t="s">
        <v>508</v>
      </c>
      <c r="O92" s="72" t="s">
        <v>504</v>
      </c>
      <c r="P92" s="132">
        <f>+P91*2</f>
        <v>1884.5013038891063</v>
      </c>
    </row>
    <row r="93" spans="2:17">
      <c r="C93" s="56">
        <f>+C90-C91</f>
        <v>1771.88</v>
      </c>
      <c r="J93" s="164">
        <f>+J91*59%</f>
        <v>3035.5499999999997</v>
      </c>
      <c r="K93" s="72" t="s">
        <v>509</v>
      </c>
    </row>
    <row r="94" spans="2:17">
      <c r="J94" s="164">
        <f>+J92+J93</f>
        <v>5145</v>
      </c>
      <c r="K94" s="72" t="s">
        <v>251</v>
      </c>
    </row>
    <row r="97" spans="15:16">
      <c r="O97" s="72">
        <v>1970</v>
      </c>
    </row>
    <row r="98" spans="15:16">
      <c r="O98" s="72">
        <v>3.64</v>
      </c>
    </row>
    <row r="99" spans="15:16">
      <c r="O99" s="164">
        <f>+O97*O98</f>
        <v>7170.8</v>
      </c>
    </row>
    <row r="102" spans="15:16">
      <c r="O102" s="72" t="s">
        <v>492</v>
      </c>
      <c r="P102" s="132">
        <v>3000000</v>
      </c>
    </row>
    <row r="103" spans="15:16">
      <c r="O103" s="72" t="s">
        <v>501</v>
      </c>
      <c r="P103" s="132">
        <f>+P102*42%</f>
        <v>1260000</v>
      </c>
    </row>
    <row r="104" spans="15:16">
      <c r="O104" s="72" t="s">
        <v>502</v>
      </c>
      <c r="P104" s="132">
        <f>+P102+P103</f>
        <v>4260000</v>
      </c>
    </row>
    <row r="105" spans="15:16">
      <c r="O105" s="72" t="s">
        <v>503</v>
      </c>
      <c r="P105" s="132">
        <f>+P104/USD</f>
        <v>706.68798895841496</v>
      </c>
    </row>
    <row r="106" spans="15:16">
      <c r="P106" s="132">
        <f>+P105*5</f>
        <v>3533.439944792075</v>
      </c>
    </row>
    <row r="108" spans="15:16">
      <c r="O108" s="72" t="s">
        <v>492</v>
      </c>
      <c r="P108" s="132">
        <v>3500000</v>
      </c>
    </row>
    <row r="109" spans="15:16">
      <c r="O109" s="72" t="s">
        <v>501</v>
      </c>
      <c r="P109" s="132">
        <f>+P108*42%</f>
        <v>1470000</v>
      </c>
    </row>
    <row r="110" spans="15:16">
      <c r="O110" s="72" t="s">
        <v>502</v>
      </c>
      <c r="P110" s="132">
        <f>+P108+P109</f>
        <v>4970000</v>
      </c>
    </row>
    <row r="111" spans="15:16">
      <c r="O111" s="72" t="s">
        <v>503</v>
      </c>
      <c r="P111" s="132">
        <f>+P110/USD</f>
        <v>824.46932045148401</v>
      </c>
    </row>
    <row r="112" spans="15:16">
      <c r="P112" s="132">
        <f>+P111*4</f>
        <v>3297.877281805936</v>
      </c>
    </row>
    <row r="114" spans="16:16">
      <c r="P114" s="194">
        <f>+P106+P112</f>
        <v>6831.3172265980111</v>
      </c>
    </row>
  </sheetData>
  <mergeCells count="2">
    <mergeCell ref="C4:Q4"/>
    <mergeCell ref="R4:AF4"/>
  </mergeCells>
  <pageMargins left="0.75" right="0.75" top="1" bottom="1" header="0.511811023622047" footer="0.511811023622047"/>
  <pageSetup paperSize="9" orientation="portrait" horizontalDpi="300" verticalDpi="300"/>
  <ignoredErrors>
    <ignoredError sqref="Q64:Q65 AF64:AF6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39C12"/>
  </sheetPr>
  <dimension ref="B2:AH27"/>
  <sheetViews>
    <sheetView showGridLines="0" zoomScale="130" zoomScaleNormal="130" workbookViewId="0">
      <pane xSplit="2" ySplit="5" topLeftCell="O6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328125" defaultRowHeight="14" outlineLevelCol="1"/>
  <cols>
    <col min="1" max="1" width="5.54296875" style="72" customWidth="1"/>
    <col min="2" max="2" width="35" style="72" customWidth="1"/>
    <col min="3" max="7" width="8" style="72" hidden="1" customWidth="1" outlineLevel="1"/>
    <col min="8" max="14" width="7.36328125" style="72" hidden="1" customWidth="1" outlineLevel="1"/>
    <col min="15" max="15" width="10.54296875" style="72" customWidth="1" collapsed="1"/>
    <col min="16" max="16" width="11.90625" style="72" customWidth="1"/>
    <col min="17" max="17" width="8.90625" style="72" customWidth="1"/>
    <col min="18" max="19" width="8" style="72" hidden="1" customWidth="1" outlineLevel="1"/>
    <col min="20" max="29" width="8.90625" style="72" hidden="1" customWidth="1" outlineLevel="1"/>
    <col min="30" max="30" width="11" style="72" customWidth="1" collapsed="1"/>
    <col min="31" max="31" width="12.54296875" style="72" customWidth="1"/>
    <col min="32" max="32" width="8.453125" style="72" bestFit="1" customWidth="1"/>
    <col min="33" max="34" width="9.7265625" style="72" bestFit="1" customWidth="1"/>
    <col min="35" max="16384" width="8.6328125" style="72"/>
  </cols>
  <sheetData>
    <row r="2" spans="2:34" ht="18">
      <c r="B2" s="73" t="s">
        <v>469</v>
      </c>
    </row>
    <row r="3" spans="2:34">
      <c r="B3" s="74" t="s">
        <v>203</v>
      </c>
      <c r="R3" s="209"/>
    </row>
    <row r="4" spans="2:34" ht="20">
      <c r="C4" s="331">
        <v>2026</v>
      </c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6"/>
      <c r="R4" s="330">
        <v>2027</v>
      </c>
      <c r="S4" s="331"/>
      <c r="T4" s="331"/>
      <c r="U4" s="331"/>
      <c r="V4" s="331"/>
      <c r="W4" s="331"/>
      <c r="X4" s="331"/>
      <c r="Y4" s="331"/>
      <c r="Z4" s="331"/>
      <c r="AA4" s="331"/>
      <c r="AB4" s="331"/>
      <c r="AC4" s="331"/>
      <c r="AD4" s="331"/>
      <c r="AE4" s="331"/>
      <c r="AF4" s="331"/>
    </row>
    <row r="5" spans="2:34" ht="28">
      <c r="B5" s="78" t="s">
        <v>12</v>
      </c>
      <c r="C5" s="78" t="s">
        <v>139</v>
      </c>
      <c r="D5" s="78" t="s">
        <v>140</v>
      </c>
      <c r="E5" s="78" t="s">
        <v>141</v>
      </c>
      <c r="F5" s="78" t="s">
        <v>142</v>
      </c>
      <c r="G5" s="78" t="s">
        <v>143</v>
      </c>
      <c r="H5" s="78" t="s">
        <v>144</v>
      </c>
      <c r="I5" s="78" t="s">
        <v>145</v>
      </c>
      <c r="J5" s="78" t="s">
        <v>146</v>
      </c>
      <c r="K5" s="78" t="s">
        <v>147</v>
      </c>
      <c r="L5" s="78" t="s">
        <v>148</v>
      </c>
      <c r="M5" s="78" t="s">
        <v>149</v>
      </c>
      <c r="N5" s="78" t="s">
        <v>150</v>
      </c>
      <c r="O5" s="99" t="s">
        <v>160</v>
      </c>
      <c r="P5" s="99" t="s">
        <v>154</v>
      </c>
      <c r="Q5" s="99" t="s">
        <v>169</v>
      </c>
      <c r="R5" s="78" t="s">
        <v>139</v>
      </c>
      <c r="S5" s="78" t="s">
        <v>140</v>
      </c>
      <c r="T5" s="78" t="s">
        <v>141</v>
      </c>
      <c r="U5" s="78" t="s">
        <v>142</v>
      </c>
      <c r="V5" s="78" t="s">
        <v>143</v>
      </c>
      <c r="W5" s="78" t="s">
        <v>144</v>
      </c>
      <c r="X5" s="78" t="s">
        <v>145</v>
      </c>
      <c r="Y5" s="78" t="s">
        <v>146</v>
      </c>
      <c r="Z5" s="78" t="s">
        <v>147</v>
      </c>
      <c r="AA5" s="78" t="s">
        <v>148</v>
      </c>
      <c r="AB5" s="78" t="s">
        <v>149</v>
      </c>
      <c r="AC5" s="79" t="s">
        <v>150</v>
      </c>
      <c r="AD5" s="99" t="s">
        <v>160</v>
      </c>
      <c r="AE5" s="99" t="s">
        <v>467</v>
      </c>
      <c r="AF5" s="99" t="s">
        <v>169</v>
      </c>
    </row>
    <row r="6" spans="2:34">
      <c r="B6" s="222" t="s">
        <v>204</v>
      </c>
      <c r="C6" s="223">
        <f>Ej_Ingresos!C34</f>
        <v>20196</v>
      </c>
      <c r="D6" s="223">
        <f>Ej_Ingresos!D34</f>
        <v>0</v>
      </c>
      <c r="E6" s="223">
        <f>Ej_Ingresos!E34</f>
        <v>109098.9488</v>
      </c>
      <c r="F6" s="223">
        <f>Ej_Ingresos!F34</f>
        <v>154939.41865000001</v>
      </c>
      <c r="G6" s="223">
        <f>Ej_Ingresos!G34</f>
        <v>212343.37549999999</v>
      </c>
      <c r="H6" s="223">
        <f>Ej_Ingresos!H34</f>
        <v>547199.48800000001</v>
      </c>
      <c r="I6" s="223">
        <f>Ej_Ingresos!I34</f>
        <v>258860</v>
      </c>
      <c r="J6" s="223">
        <f>Ej_Ingresos!J34</f>
        <v>294470</v>
      </c>
      <c r="K6" s="223">
        <f>Ej_Ingresos!K34</f>
        <v>320640</v>
      </c>
      <c r="L6" s="223">
        <f>Ej_Ingresos!L34</f>
        <v>707580</v>
      </c>
      <c r="M6" s="223">
        <f>Ej_Ingresos!M34</f>
        <v>879900</v>
      </c>
      <c r="N6" s="223">
        <f>Ej_Ingresos!N34</f>
        <v>703380</v>
      </c>
      <c r="O6" s="265">
        <f>SUM(C6:N6)</f>
        <v>4208607.2309499998</v>
      </c>
      <c r="P6" s="89">
        <v>10820400</v>
      </c>
      <c r="Q6" s="224">
        <f>IF(P6=0,0,(O6-P6)/P6)</f>
        <v>-0.61104883082418393</v>
      </c>
      <c r="R6" s="223">
        <f>Ej_Ingresos!R34</f>
        <v>865260</v>
      </c>
      <c r="S6" s="223">
        <f>Ej_Ingresos!S34</f>
        <v>988170</v>
      </c>
      <c r="T6" s="223">
        <f>Ej_Ingresos!T34</f>
        <v>1374525</v>
      </c>
      <c r="U6" s="223">
        <f>Ej_Ingresos!U34</f>
        <v>1489230</v>
      </c>
      <c r="V6" s="223">
        <f>Ej_Ingresos!V34</f>
        <v>1579770</v>
      </c>
      <c r="W6" s="223">
        <f>Ej_Ingresos!W34</f>
        <v>1579770</v>
      </c>
      <c r="X6" s="223">
        <f>Ej_Ingresos!X34</f>
        <v>1579770</v>
      </c>
      <c r="Y6" s="223">
        <f>Ej_Ingresos!Y34</f>
        <v>1579770</v>
      </c>
      <c r="Z6" s="223">
        <f>Ej_Ingresos!Z34</f>
        <v>1579770</v>
      </c>
      <c r="AA6" s="223">
        <f>Ej_Ingresos!AA34</f>
        <v>1579770</v>
      </c>
      <c r="AB6" s="223">
        <f>Ej_Ingresos!AB34</f>
        <v>1579770</v>
      </c>
      <c r="AC6" s="273">
        <f>Ej_Ingresos!AC34</f>
        <v>1579770</v>
      </c>
      <c r="AD6" s="277">
        <f>SUM(R6:AC6)</f>
        <v>17355345</v>
      </c>
      <c r="AE6" s="89">
        <v>13591134</v>
      </c>
      <c r="AF6" s="259">
        <f>IF(AE6=0,0,(AD6-AE6)/AE6)</f>
        <v>0.27696077457554313</v>
      </c>
    </row>
    <row r="7" spans="2:34">
      <c r="B7" s="86" t="s">
        <v>205</v>
      </c>
      <c r="C7" s="223">
        <f>Ej_Costos!C44</f>
        <v>33361.293788305156</v>
      </c>
      <c r="D7" s="223">
        <f>Ej_Costos!D44</f>
        <v>9252.4936132658277</v>
      </c>
      <c r="E7" s="223">
        <f>Ej_Costos!E44</f>
        <v>140558.71002025626</v>
      </c>
      <c r="F7" s="223">
        <f>Ej_Costos!F44</f>
        <v>190621.9673825473</v>
      </c>
      <c r="G7" s="223">
        <f>Ej_Costos!G44</f>
        <v>461454.56167750835</v>
      </c>
      <c r="H7" s="223">
        <f>Ej_Costos!H44</f>
        <v>360954.11899342429</v>
      </c>
      <c r="I7" s="223">
        <f>Ej_Costos!I44</f>
        <v>246416.75705171769</v>
      </c>
      <c r="J7" s="223">
        <f>Ej_Costos!J44</f>
        <v>262396.96944249008</v>
      </c>
      <c r="K7" s="223">
        <f>Ej_Costos!K44</f>
        <v>278355.30332205206</v>
      </c>
      <c r="L7" s="223">
        <f>Ej_Costos!L44</f>
        <v>602137.11539051589</v>
      </c>
      <c r="M7" s="223">
        <f>Ej_Costos!M44</f>
        <v>791394.6635294666</v>
      </c>
      <c r="N7" s="223">
        <f>Ej_Costos!N44</f>
        <v>655232.48881150852</v>
      </c>
      <c r="O7" s="265">
        <f>SUM(C7:N7)</f>
        <v>4032136.4430230586</v>
      </c>
      <c r="P7" s="89">
        <v>9743974.7537199985</v>
      </c>
      <c r="Q7" s="224">
        <f>IF(P7=0,0,(O7-P7)/P7)</f>
        <v>-0.58619182161943795</v>
      </c>
      <c r="R7" s="223">
        <f>Ej_Costos!R44</f>
        <v>721688.53901257063</v>
      </c>
      <c r="S7" s="223">
        <f>Ej_Costos!S44</f>
        <v>855199.71798764821</v>
      </c>
      <c r="T7" s="223">
        <f>Ej_Costos!T44</f>
        <v>1162221.9154678248</v>
      </c>
      <c r="U7" s="223">
        <f>Ej_Costos!U44</f>
        <v>1272796.7452832076</v>
      </c>
      <c r="V7" s="223">
        <f>Ej_Costos!V44</f>
        <v>1332033.0857942207</v>
      </c>
      <c r="W7" s="223">
        <f>Ej_Costos!W44</f>
        <v>1332033.0857942207</v>
      </c>
      <c r="X7" s="223">
        <f>Ej_Costos!X44</f>
        <v>1332033.0857942207</v>
      </c>
      <c r="Y7" s="223">
        <f>Ej_Costos!Y44</f>
        <v>1332033.0857942207</v>
      </c>
      <c r="Z7" s="223">
        <f>Ej_Costos!Z44</f>
        <v>1332033.0857942207</v>
      </c>
      <c r="AA7" s="223">
        <f>Ej_Costos!AA44</f>
        <v>1332033.0857942207</v>
      </c>
      <c r="AB7" s="223">
        <f>Ej_Costos!AB44</f>
        <v>1332033.0857942207</v>
      </c>
      <c r="AC7" s="273">
        <f>Ej_Costos!AC44</f>
        <v>1332033.0857942207</v>
      </c>
      <c r="AD7" s="277">
        <f>SUM(R7:AC7)</f>
        <v>14668171.604105022</v>
      </c>
      <c r="AE7" s="89">
        <v>11486964.51651125</v>
      </c>
      <c r="AF7" s="259">
        <f>IF(AE7=0,0,(AD7-AE7)/AE7)</f>
        <v>0.27694062108585221</v>
      </c>
    </row>
    <row r="8" spans="2:34" ht="10" customHeight="1">
      <c r="B8" s="86"/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65"/>
      <c r="P8" s="89"/>
      <c r="Q8" s="224"/>
      <c r="R8" s="223"/>
      <c r="S8" s="223"/>
      <c r="T8" s="223"/>
      <c r="U8" s="223"/>
      <c r="V8" s="223"/>
      <c r="W8" s="223"/>
      <c r="X8" s="223"/>
      <c r="Y8" s="223"/>
      <c r="Z8" s="223"/>
      <c r="AA8" s="223"/>
      <c r="AB8" s="223"/>
      <c r="AC8" s="273"/>
      <c r="AD8" s="277"/>
      <c r="AE8" s="89"/>
      <c r="AF8" s="259"/>
    </row>
    <row r="9" spans="2:34">
      <c r="B9" s="222" t="s">
        <v>552</v>
      </c>
      <c r="C9" s="223"/>
      <c r="D9" s="223"/>
      <c r="E9" s="223"/>
      <c r="F9" s="223"/>
      <c r="G9" s="223"/>
      <c r="H9" s="223"/>
      <c r="I9" s="223"/>
      <c r="J9" s="223"/>
      <c r="K9" s="223"/>
      <c r="L9" s="223"/>
      <c r="M9" s="223"/>
      <c r="N9" s="223"/>
      <c r="O9" s="267">
        <f>+O6-O7</f>
        <v>176470.78792694118</v>
      </c>
      <c r="P9" s="227">
        <f>+P6-P7</f>
        <v>1076425.2462800015</v>
      </c>
      <c r="Q9" s="228">
        <f>IF(P9=0,0,(O9-P9)/P9)</f>
        <v>-0.83605848289344442</v>
      </c>
      <c r="R9" s="225"/>
      <c r="S9" s="225"/>
      <c r="T9" s="225"/>
      <c r="U9" s="225"/>
      <c r="V9" s="225"/>
      <c r="W9" s="225"/>
      <c r="X9" s="225"/>
      <c r="Y9" s="225"/>
      <c r="Z9" s="225"/>
      <c r="AA9" s="225"/>
      <c r="AB9" s="225"/>
      <c r="AC9" s="274"/>
      <c r="AD9" s="278">
        <f>+AD6-AD7</f>
        <v>2687173.3958949782</v>
      </c>
      <c r="AE9" s="227">
        <f>+AE6-AE7</f>
        <v>2104169.4834887497</v>
      </c>
      <c r="AF9" s="261">
        <f>IF(AE9=0,0,(AD9-AE9)/AE9)</f>
        <v>0.27707079538079693</v>
      </c>
    </row>
    <row r="10" spans="2:34" ht="9" customHeight="1">
      <c r="B10" s="86"/>
      <c r="C10" s="223"/>
      <c r="D10" s="223"/>
      <c r="E10" s="223"/>
      <c r="F10" s="223"/>
      <c r="G10" s="223"/>
      <c r="H10" s="223"/>
      <c r="I10" s="223"/>
      <c r="J10" s="223"/>
      <c r="K10" s="223"/>
      <c r="L10" s="223"/>
      <c r="M10" s="223"/>
      <c r="N10" s="223"/>
      <c r="O10" s="265"/>
      <c r="P10" s="89"/>
      <c r="Q10" s="224"/>
      <c r="R10" s="223"/>
      <c r="S10" s="223"/>
      <c r="T10" s="223"/>
      <c r="U10" s="223"/>
      <c r="V10" s="223"/>
      <c r="W10" s="223"/>
      <c r="X10" s="223"/>
      <c r="Y10" s="223"/>
      <c r="Z10" s="223"/>
      <c r="AA10" s="223"/>
      <c r="AB10" s="223"/>
      <c r="AC10" s="273"/>
      <c r="AD10" s="277"/>
      <c r="AE10" s="89"/>
      <c r="AF10" s="259"/>
    </row>
    <row r="11" spans="2:34">
      <c r="B11" s="86" t="s">
        <v>206</v>
      </c>
      <c r="C11" s="223">
        <f>Ej_Costos!C55</f>
        <v>11462.925405599091</v>
      </c>
      <c r="D11" s="223">
        <f>Ej_Costos!D55</f>
        <v>12471.216216001008</v>
      </c>
      <c r="E11" s="223">
        <f>Ej_Costos!E55</f>
        <v>17504.033412738965</v>
      </c>
      <c r="F11" s="223">
        <f>Ej_Costos!F55</f>
        <v>11604.651018227907</v>
      </c>
      <c r="G11" s="223">
        <f>Ej_Costos!G55</f>
        <v>13962.466666666667</v>
      </c>
      <c r="H11" s="223">
        <f>Ej_Costos!H55</f>
        <v>19046.440107624876</v>
      </c>
      <c r="I11" s="223">
        <f>Ej_Costos!I55</f>
        <v>19046.440107624876</v>
      </c>
      <c r="J11" s="223">
        <f>Ej_Costos!J55</f>
        <v>19046.440107624876</v>
      </c>
      <c r="K11" s="223">
        <f>Ej_Costos!K55</f>
        <v>19046.440107624876</v>
      </c>
      <c r="L11" s="223">
        <f>Ej_Costos!L55</f>
        <v>19046.440107624876</v>
      </c>
      <c r="M11" s="223">
        <f>Ej_Costos!M55</f>
        <v>19046.440107624876</v>
      </c>
      <c r="N11" s="223">
        <f>Ej_Costos!N55</f>
        <v>19046.440107624876</v>
      </c>
      <c r="O11" s="265">
        <f>SUM(C11:N11)</f>
        <v>200330.37347260775</v>
      </c>
      <c r="P11" s="89">
        <v>235261.84729999999</v>
      </c>
      <c r="Q11" s="224">
        <f>IF(P11=0,0,(O11-P11)/P11)</f>
        <v>-0.1484791275265662</v>
      </c>
      <c r="R11" s="223">
        <f>Ej_Costos!R55</f>
        <v>19046.440107624876</v>
      </c>
      <c r="S11" s="223">
        <f>Ej_Costos!S55</f>
        <v>19046.440107624876</v>
      </c>
      <c r="T11" s="223">
        <f>Ej_Costos!T55</f>
        <v>19970.440107624872</v>
      </c>
      <c r="U11" s="223">
        <f>Ej_Costos!U55</f>
        <v>19970.440107624872</v>
      </c>
      <c r="V11" s="223">
        <f>Ej_Costos!V55</f>
        <v>19970.440107624872</v>
      </c>
      <c r="W11" s="223">
        <f>Ej_Costos!W55</f>
        <v>19970.440107624872</v>
      </c>
      <c r="X11" s="223">
        <f>Ej_Costos!X55</f>
        <v>19970.440107624872</v>
      </c>
      <c r="Y11" s="223">
        <f>Ej_Costos!Y55</f>
        <v>19970.440107624872</v>
      </c>
      <c r="Z11" s="223">
        <f>Ej_Costos!Z55</f>
        <v>19970.440107624872</v>
      </c>
      <c r="AA11" s="223">
        <f>Ej_Costos!AA55</f>
        <v>19970.440107624872</v>
      </c>
      <c r="AB11" s="223">
        <f>Ej_Costos!AB55</f>
        <v>19970.440107624872</v>
      </c>
      <c r="AC11" s="273">
        <f>Ej_Costos!AC55</f>
        <v>19970.440107624872</v>
      </c>
      <c r="AD11" s="277">
        <f>SUM(R11:AC11)</f>
        <v>237797.28129149842</v>
      </c>
      <c r="AE11" s="89">
        <v>235261.84729999999</v>
      </c>
      <c r="AF11" s="259">
        <f>IF(AE11=0,0,(AD11-AE11)/AE11)</f>
        <v>1.0777072528319089E-2</v>
      </c>
    </row>
    <row r="12" spans="2:34" ht="9" customHeight="1">
      <c r="O12" s="266"/>
      <c r="AD12" s="279"/>
      <c r="AF12" s="260"/>
    </row>
    <row r="13" spans="2:34">
      <c r="B13" s="222" t="s">
        <v>207</v>
      </c>
      <c r="C13" s="225">
        <f t="shared" ref="C13:N13" si="0">C6-C7-C11</f>
        <v>-24628.219193904246</v>
      </c>
      <c r="D13" s="225">
        <f t="shared" si="0"/>
        <v>-21723.709829266838</v>
      </c>
      <c r="E13" s="225">
        <f t="shared" si="0"/>
        <v>-48963.794632995225</v>
      </c>
      <c r="F13" s="225">
        <f t="shared" si="0"/>
        <v>-47287.199750775202</v>
      </c>
      <c r="G13" s="225">
        <f t="shared" si="0"/>
        <v>-263073.652844175</v>
      </c>
      <c r="H13" s="225">
        <f t="shared" si="0"/>
        <v>167198.92889895086</v>
      </c>
      <c r="I13" s="225">
        <f t="shared" si="0"/>
        <v>-6603.1971593425696</v>
      </c>
      <c r="J13" s="225">
        <f t="shared" si="0"/>
        <v>13026.590449885043</v>
      </c>
      <c r="K13" s="225">
        <f t="shared" si="0"/>
        <v>23238.256570323065</v>
      </c>
      <c r="L13" s="225">
        <f t="shared" si="0"/>
        <v>86396.444501859238</v>
      </c>
      <c r="M13" s="225">
        <f t="shared" si="0"/>
        <v>69458.896362908519</v>
      </c>
      <c r="N13" s="225">
        <f t="shared" si="0"/>
        <v>29101.071080866604</v>
      </c>
      <c r="O13" s="267">
        <f>SUM(C13:N13)</f>
        <v>-23859.585545665745</v>
      </c>
      <c r="P13" s="227">
        <v>841163.39898000145</v>
      </c>
      <c r="Q13" s="228">
        <f>IF(P13=0,0,(O13-P13)/P13)</f>
        <v>-1.0283649830396782</v>
      </c>
      <c r="R13" s="225">
        <f t="shared" ref="R13:AC13" si="1">R6-R7-R11</f>
        <v>124525.02087980449</v>
      </c>
      <c r="S13" s="225">
        <f t="shared" si="1"/>
        <v>113923.84190472691</v>
      </c>
      <c r="T13" s="225">
        <f t="shared" si="1"/>
        <v>192332.64442455035</v>
      </c>
      <c r="U13" s="225">
        <f t="shared" si="1"/>
        <v>196462.81460916752</v>
      </c>
      <c r="V13" s="225">
        <f t="shared" si="1"/>
        <v>227766.47409815446</v>
      </c>
      <c r="W13" s="225">
        <f t="shared" si="1"/>
        <v>227766.47409815446</v>
      </c>
      <c r="X13" s="225">
        <f t="shared" si="1"/>
        <v>227766.47409815446</v>
      </c>
      <c r="Y13" s="225">
        <f t="shared" si="1"/>
        <v>227766.47409815446</v>
      </c>
      <c r="Z13" s="225">
        <f t="shared" si="1"/>
        <v>227766.47409815446</v>
      </c>
      <c r="AA13" s="225">
        <f t="shared" si="1"/>
        <v>227766.47409815446</v>
      </c>
      <c r="AB13" s="225">
        <f t="shared" si="1"/>
        <v>227766.47409815446</v>
      </c>
      <c r="AC13" s="274">
        <f t="shared" si="1"/>
        <v>227766.47409815446</v>
      </c>
      <c r="AD13" s="278">
        <f>SUM(R13:AC13)</f>
        <v>2449376.1146034845</v>
      </c>
      <c r="AE13" s="227">
        <v>1868907.6361887497</v>
      </c>
      <c r="AF13" s="261">
        <f>IF(AE13=0,0,(AD13-AE13)/AE13)</f>
        <v>0.310592384115076</v>
      </c>
      <c r="AG13" s="266"/>
      <c r="AH13" s="266"/>
    </row>
    <row r="14" spans="2:34">
      <c r="B14" s="86" t="s">
        <v>400</v>
      </c>
      <c r="C14" s="223">
        <f>+Ej_Costos!C58</f>
        <v>1312.0697663616518</v>
      </c>
      <c r="D14" s="223">
        <f>+Ej_Costos!D58</f>
        <v>1312.0697663616518</v>
      </c>
      <c r="E14" s="223">
        <f>+Ej_Costos!E58</f>
        <v>1312.0697663616518</v>
      </c>
      <c r="F14" s="223">
        <f>+Ej_Costos!F58</f>
        <v>1312.0697663616518</v>
      </c>
      <c r="G14" s="223">
        <f>+Ej_Costos!G58</f>
        <v>2064.2556883406437</v>
      </c>
      <c r="H14" s="223">
        <f>+Ej_Costos!H58</f>
        <v>2064.2556883406437</v>
      </c>
      <c r="I14" s="223">
        <f>+Ej_Costos!I58</f>
        <v>2064.2556883406437</v>
      </c>
      <c r="J14" s="223">
        <f>+Ej_Costos!J58</f>
        <v>2064.2556883406437</v>
      </c>
      <c r="K14" s="223">
        <f>+Ej_Costos!K58</f>
        <v>2064.2556883406437</v>
      </c>
      <c r="L14" s="223">
        <f>+Ej_Costos!L58</f>
        <v>7947.3833333333341</v>
      </c>
      <c r="M14" s="223">
        <f>+Ej_Costos!M58</f>
        <v>7947.3833333333341</v>
      </c>
      <c r="N14" s="223">
        <f>+Ej_Costos!N58</f>
        <v>7947.3833333333341</v>
      </c>
      <c r="O14" s="265">
        <f>SUM(C14:N14)</f>
        <v>39411.707507149826</v>
      </c>
      <c r="P14" s="89">
        <f>+Ej_Costos!P58</f>
        <v>95368.6</v>
      </c>
      <c r="Q14" s="224">
        <f>IF(P14=0,0,(O14-P14)/P14)</f>
        <v>-0.58674335675316802</v>
      </c>
      <c r="R14" s="223">
        <f>+Ej_Costos!R58</f>
        <v>7947.3833333333341</v>
      </c>
      <c r="S14" s="223">
        <f>+Ej_Costos!S58</f>
        <v>7947.3833333333341</v>
      </c>
      <c r="T14" s="223">
        <f>+Ej_Costos!T58</f>
        <v>7947.3833333333341</v>
      </c>
      <c r="U14" s="223">
        <f>+Ej_Costos!U58</f>
        <v>7947.3833333333341</v>
      </c>
      <c r="V14" s="223">
        <f>+Ej_Costos!V58</f>
        <v>7947.3833333333341</v>
      </c>
      <c r="W14" s="223">
        <f>+Ej_Costos!W58</f>
        <v>7947.3833333333341</v>
      </c>
      <c r="X14" s="223">
        <f>+Ej_Costos!X58</f>
        <v>7947.3833333333341</v>
      </c>
      <c r="Y14" s="223">
        <f>+Ej_Costos!Y58</f>
        <v>7947.3833333333341</v>
      </c>
      <c r="Z14" s="223">
        <f>+Ej_Costos!Z58</f>
        <v>7947.3833333333341</v>
      </c>
      <c r="AA14" s="223">
        <f>+Ej_Costos!AA58</f>
        <v>7947.3833333333341</v>
      </c>
      <c r="AB14" s="223">
        <f>+Ej_Costos!AB58</f>
        <v>7947.3833333333341</v>
      </c>
      <c r="AC14" s="273">
        <f>+Ej_Costos!AC58</f>
        <v>7947.3833333333341</v>
      </c>
      <c r="AD14" s="277">
        <f>SUM(R14:AC14)</f>
        <v>95368.599999999991</v>
      </c>
      <c r="AE14" s="89">
        <f>+Ej_Costos!AE58</f>
        <v>95368.6</v>
      </c>
      <c r="AF14" s="259">
        <f>IF(AE14=0,0,(AD14-AE14)/AE14)</f>
        <v>-1.5258602127290167E-16</v>
      </c>
    </row>
    <row r="15" spans="2:34">
      <c r="B15" s="86" t="s">
        <v>208</v>
      </c>
      <c r="C15" s="223">
        <f>Ej_Costos!C63</f>
        <v>16667.808219178081</v>
      </c>
      <c r="D15" s="223">
        <f>Ej_Costos!D63</f>
        <v>15054.794520547945</v>
      </c>
      <c r="E15" s="223">
        <f>Ej_Costos!E63</f>
        <v>16667.808219178081</v>
      </c>
      <c r="F15" s="223">
        <f>Ej_Costos!F63</f>
        <v>16136.986301369863</v>
      </c>
      <c r="G15" s="223">
        <f>Ej_Costos!G63</f>
        <v>13801.369863013699</v>
      </c>
      <c r="H15" s="223">
        <f>Ej_Costos!H63</f>
        <v>13356.164383561645</v>
      </c>
      <c r="I15" s="223">
        <f>Ej_Costos!I63</f>
        <v>13801.369863013699</v>
      </c>
      <c r="J15" s="223">
        <f>Ej_Costos!J63</f>
        <v>13801.369863013699</v>
      </c>
      <c r="K15" s="223">
        <f>Ej_Costos!K63</f>
        <v>13356.164383561645</v>
      </c>
      <c r="L15" s="223">
        <f>Ej_Costos!L63</f>
        <v>13801.369863013699</v>
      </c>
      <c r="M15" s="223">
        <f>Ej_Costos!M63</f>
        <v>41764.455000000002</v>
      </c>
      <c r="N15" s="223">
        <f>Ej_Costos!N63</f>
        <v>41210.727019774917</v>
      </c>
      <c r="O15" s="265">
        <f>SUM(C15:N15)</f>
        <v>229420.38749922696</v>
      </c>
      <c r="P15" s="89">
        <v>372101</v>
      </c>
      <c r="Q15" s="224">
        <f>IF(P15=0,0,(O15-P15)/P15)</f>
        <v>-0.38344592597378951</v>
      </c>
      <c r="R15" s="223">
        <f>Ej_Costos!R63</f>
        <v>40652.84607969816</v>
      </c>
      <c r="S15" s="223">
        <f>Ej_Costos!S63</f>
        <v>40090.781032570812</v>
      </c>
      <c r="T15" s="223">
        <f>Ej_Costos!T63</f>
        <v>39524.500497590016</v>
      </c>
      <c r="U15" s="223">
        <f>Ej_Costos!U63</f>
        <v>38953.97285859687</v>
      </c>
      <c r="V15" s="223">
        <f>Ej_Costos!V63</f>
        <v>38379.166262311264</v>
      </c>
      <c r="W15" s="223">
        <f>Ej_Costos!W63</f>
        <v>37800.048616553526</v>
      </c>
      <c r="X15" s="223">
        <f>Ej_Costos!X63</f>
        <v>155572.75503706193</v>
      </c>
      <c r="Y15" s="223">
        <f>Ej_Costos!Y63</f>
        <v>36628.751452784134</v>
      </c>
      <c r="Z15" s="223">
        <f>Ej_Costos!Z63</f>
        <v>36036.501358062596</v>
      </c>
      <c r="AA15" s="223">
        <f>Ej_Costos!AA63</f>
        <v>153792.97822119229</v>
      </c>
      <c r="AB15" s="223">
        <f>Ej_Costos!AB63</f>
        <v>34838.652310795456</v>
      </c>
      <c r="AC15" s="273">
        <f>Ej_Costos!AC63</f>
        <v>47383.665079015846</v>
      </c>
      <c r="AD15" s="277">
        <f>SUM(R15:AC15)</f>
        <v>699654.61880623305</v>
      </c>
      <c r="AE15" s="89">
        <v>394184</v>
      </c>
      <c r="AF15" s="224">
        <f>IF(AE15=0,0,(AD15-AE15)/AE15)</f>
        <v>0.77494423621007713</v>
      </c>
    </row>
    <row r="16" spans="2:34" ht="10" customHeight="1">
      <c r="O16" s="266"/>
      <c r="AD16" s="279"/>
      <c r="AF16" s="260"/>
    </row>
    <row r="17" spans="2:34">
      <c r="B17" s="148" t="s">
        <v>209</v>
      </c>
      <c r="C17" s="229">
        <f>C13-C14-C15</f>
        <v>-42608.097179443983</v>
      </c>
      <c r="D17" s="229">
        <f t="shared" ref="D17:N17" si="2">D13-D14-D15</f>
        <v>-38090.574116176431</v>
      </c>
      <c r="E17" s="229">
        <f t="shared" si="2"/>
        <v>-66943.672618534954</v>
      </c>
      <c r="F17" s="229">
        <f t="shared" si="2"/>
        <v>-64736.255818506717</v>
      </c>
      <c r="G17" s="229">
        <f t="shared" si="2"/>
        <v>-278939.27839552931</v>
      </c>
      <c r="H17" s="229">
        <f t="shared" si="2"/>
        <v>151778.50882704859</v>
      </c>
      <c r="I17" s="229">
        <f t="shared" si="2"/>
        <v>-22468.822710696913</v>
      </c>
      <c r="J17" s="229">
        <f t="shared" si="2"/>
        <v>-2839.0351014692988</v>
      </c>
      <c r="K17" s="229">
        <f t="shared" si="2"/>
        <v>7817.8364984207765</v>
      </c>
      <c r="L17" s="229">
        <f t="shared" si="2"/>
        <v>64647.691305512206</v>
      </c>
      <c r="M17" s="229">
        <f t="shared" si="2"/>
        <v>19747.058029575186</v>
      </c>
      <c r="N17" s="229">
        <f t="shared" si="2"/>
        <v>-20057.039272241647</v>
      </c>
      <c r="O17" s="265">
        <f>SUM(C17:N17)</f>
        <v>-292691.68055204244</v>
      </c>
      <c r="P17" s="89">
        <v>469062.39898000145</v>
      </c>
      <c r="R17" s="229">
        <f>R13-R14-R15</f>
        <v>75924.791466772993</v>
      </c>
      <c r="S17" s="229">
        <f t="shared" ref="S17:AC17" si="3">S13-S14-S15</f>
        <v>65885.677538822769</v>
      </c>
      <c r="T17" s="229">
        <f t="shared" si="3"/>
        <v>144860.760593627</v>
      </c>
      <c r="U17" s="229">
        <f t="shared" si="3"/>
        <v>149561.45841723733</v>
      </c>
      <c r="V17" s="229">
        <f t="shared" si="3"/>
        <v>181439.92450250988</v>
      </c>
      <c r="W17" s="229">
        <f t="shared" si="3"/>
        <v>182019.04214826762</v>
      </c>
      <c r="X17" s="229">
        <f t="shared" si="3"/>
        <v>64246.3357277592</v>
      </c>
      <c r="Y17" s="229">
        <f t="shared" si="3"/>
        <v>183190.33931203699</v>
      </c>
      <c r="Z17" s="229">
        <f t="shared" si="3"/>
        <v>183782.58940675855</v>
      </c>
      <c r="AA17" s="229">
        <f t="shared" si="3"/>
        <v>66026.112543628842</v>
      </c>
      <c r="AB17" s="229">
        <f t="shared" si="3"/>
        <v>184980.43845402566</v>
      </c>
      <c r="AC17" s="275">
        <f t="shared" si="3"/>
        <v>172435.42568580527</v>
      </c>
      <c r="AD17" s="277">
        <f>SUM(R17:AC17)</f>
        <v>1654352.895797252</v>
      </c>
      <c r="AE17" s="89">
        <v>1379355.0361887496</v>
      </c>
      <c r="AF17" s="259">
        <f>IF(AE17=0,0,(AD17-AE17)/AE17)</f>
        <v>0.19936698847915174</v>
      </c>
      <c r="AG17" s="266"/>
      <c r="AH17" s="266"/>
    </row>
    <row r="18" spans="2:34">
      <c r="B18" s="86" t="s">
        <v>210</v>
      </c>
      <c r="C18" s="87">
        <f>C6*Supuestos!B68</f>
        <v>201.96</v>
      </c>
      <c r="D18" s="87">
        <f>D6*Supuestos!B68</f>
        <v>0</v>
      </c>
      <c r="E18" s="87">
        <f>E6*Supuestos!B68</f>
        <v>1090.9894879999999</v>
      </c>
      <c r="F18" s="87">
        <f>F6*Supuestos!B68</f>
        <v>1549.3941865000002</v>
      </c>
      <c r="G18" s="87">
        <f>G6*Supuestos!B68</f>
        <v>2123.433755</v>
      </c>
      <c r="H18" s="87">
        <f>H6*Supuestos!B68</f>
        <v>5471.9948800000002</v>
      </c>
      <c r="I18" s="87">
        <f>I6*Supuestos!B68</f>
        <v>2588.6</v>
      </c>
      <c r="J18" s="87">
        <f>J6*Supuestos!B68</f>
        <v>2944.7000000000003</v>
      </c>
      <c r="K18" s="87">
        <f>K6*Supuestos!B68</f>
        <v>3206.4</v>
      </c>
      <c r="L18" s="87">
        <f>L6*Supuestos!B68</f>
        <v>7075.8</v>
      </c>
      <c r="M18" s="87">
        <f>M6*Supuestos!B68</f>
        <v>8799</v>
      </c>
      <c r="N18" s="87">
        <f>N6*Supuestos!B68</f>
        <v>7033.8</v>
      </c>
      <c r="O18" s="265">
        <f>SUM(C18:N18)</f>
        <v>42086.072309499999</v>
      </c>
      <c r="P18" s="89">
        <v>108204</v>
      </c>
      <c r="Q18" s="224">
        <f>IF(P18=0,0,(O18-P18)/P18)</f>
        <v>-0.61104883082418393</v>
      </c>
      <c r="R18" s="87">
        <f>R6*Supuestos!$B$68</f>
        <v>8652.6</v>
      </c>
      <c r="S18" s="87">
        <f>S6*Supuestos!$B$68</f>
        <v>9881.7000000000007</v>
      </c>
      <c r="T18" s="87">
        <f>T6*Supuestos!$B$68</f>
        <v>13745.25</v>
      </c>
      <c r="U18" s="87">
        <f>U6*Supuestos!$B$68</f>
        <v>14892.300000000001</v>
      </c>
      <c r="V18" s="87">
        <f>V6*Supuestos!$B$68</f>
        <v>15797.7</v>
      </c>
      <c r="W18" s="87">
        <f>W6*Supuestos!$B$68</f>
        <v>15797.7</v>
      </c>
      <c r="X18" s="87">
        <f>X6*Supuestos!$B$68</f>
        <v>15797.7</v>
      </c>
      <c r="Y18" s="87">
        <f>Y6*Supuestos!$B$68</f>
        <v>15797.7</v>
      </c>
      <c r="Z18" s="87">
        <f>Z6*Supuestos!$B$68</f>
        <v>15797.7</v>
      </c>
      <c r="AA18" s="87">
        <f>AA6*Supuestos!$B$68</f>
        <v>15797.7</v>
      </c>
      <c r="AB18" s="87">
        <f>AB6*Supuestos!$B$68</f>
        <v>15797.7</v>
      </c>
      <c r="AC18" s="91">
        <f>AC6*Supuestos!$B$68</f>
        <v>15797.7</v>
      </c>
      <c r="AD18" s="277">
        <f>SUM(R18:AC18)</f>
        <v>173553.45</v>
      </c>
      <c r="AE18" s="89">
        <v>135911.34</v>
      </c>
      <c r="AF18" s="259">
        <f>IF(AE18=0,0,(AD18-AE18)/AE18)</f>
        <v>0.27696077457554324</v>
      </c>
    </row>
    <row r="19" spans="2:34" ht="10" customHeight="1">
      <c r="O19" s="266"/>
      <c r="AD19" s="279"/>
      <c r="AF19" s="260"/>
    </row>
    <row r="20" spans="2:34">
      <c r="B20" s="222" t="s">
        <v>211</v>
      </c>
      <c r="C20" s="225">
        <f t="shared" ref="C20:N20" si="4">C17-C18</f>
        <v>-42810.057179443982</v>
      </c>
      <c r="D20" s="225">
        <f t="shared" si="4"/>
        <v>-38090.574116176431</v>
      </c>
      <c r="E20" s="225">
        <f t="shared" si="4"/>
        <v>-68034.662106534961</v>
      </c>
      <c r="F20" s="225">
        <f t="shared" si="4"/>
        <v>-66285.650005006712</v>
      </c>
      <c r="G20" s="225">
        <f t="shared" si="4"/>
        <v>-281062.71215052932</v>
      </c>
      <c r="H20" s="225">
        <f t="shared" si="4"/>
        <v>146306.51394704857</v>
      </c>
      <c r="I20" s="225">
        <f t="shared" si="4"/>
        <v>-25057.422710696912</v>
      </c>
      <c r="J20" s="225">
        <f t="shared" si="4"/>
        <v>-5783.7351014692995</v>
      </c>
      <c r="K20" s="225">
        <f t="shared" si="4"/>
        <v>4611.4364984207768</v>
      </c>
      <c r="L20" s="225">
        <f t="shared" si="4"/>
        <v>57571.891305512203</v>
      </c>
      <c r="M20" s="225">
        <f t="shared" si="4"/>
        <v>10948.058029575186</v>
      </c>
      <c r="N20" s="225">
        <f t="shared" si="4"/>
        <v>-27090.839272241647</v>
      </c>
      <c r="O20" s="267">
        <f>SUM(C20:N20)</f>
        <v>-334777.75286154257</v>
      </c>
      <c r="P20" s="227">
        <v>360858.39898000145</v>
      </c>
      <c r="Q20" s="228">
        <f>IF(P20=0,0,(O20-P20)/P20)</f>
        <v>-1.9277260936916583</v>
      </c>
      <c r="R20" s="225">
        <f t="shared" ref="R20:AC20" si="5">R17-R18</f>
        <v>67272.191466772987</v>
      </c>
      <c r="S20" s="225">
        <f t="shared" si="5"/>
        <v>56003.977538822772</v>
      </c>
      <c r="T20" s="225">
        <f t="shared" si="5"/>
        <v>131115.510593627</v>
      </c>
      <c r="U20" s="225">
        <f t="shared" si="5"/>
        <v>134669.15841723734</v>
      </c>
      <c r="V20" s="225">
        <f t="shared" si="5"/>
        <v>165642.22450250987</v>
      </c>
      <c r="W20" s="225">
        <f t="shared" si="5"/>
        <v>166221.34214826761</v>
      </c>
      <c r="X20" s="225">
        <f t="shared" si="5"/>
        <v>48448.635727759203</v>
      </c>
      <c r="Y20" s="225">
        <f t="shared" si="5"/>
        <v>167392.63931203698</v>
      </c>
      <c r="Z20" s="225">
        <f t="shared" si="5"/>
        <v>167984.88940675854</v>
      </c>
      <c r="AA20" s="225">
        <f t="shared" si="5"/>
        <v>50228.412543628845</v>
      </c>
      <c r="AB20" s="225">
        <f t="shared" si="5"/>
        <v>169182.73845402565</v>
      </c>
      <c r="AC20" s="274">
        <f t="shared" si="5"/>
        <v>156637.72568580526</v>
      </c>
      <c r="AD20" s="278">
        <f>SUM(R20:AC20)</f>
        <v>1480799.4457972522</v>
      </c>
      <c r="AE20" s="227">
        <v>1243443.6961887495</v>
      </c>
      <c r="AF20" s="261">
        <f>IF(AE20=0,0,(AD20-AE20)/AE20)</f>
        <v>0.19088580394594168</v>
      </c>
      <c r="AG20" s="266"/>
      <c r="AH20" s="266"/>
    </row>
    <row r="21" spans="2:34">
      <c r="O21" s="266"/>
      <c r="AD21" s="279"/>
    </row>
    <row r="22" spans="2:34">
      <c r="B22" s="72" t="s">
        <v>549</v>
      </c>
      <c r="O22" s="268">
        <f>IF(O6=0,0,O9/O6)</f>
        <v>4.1930923520061246E-2</v>
      </c>
      <c r="P22" s="106">
        <f>IF(P6=0,0,P9/P6)</f>
        <v>9.9481095549148038E-2</v>
      </c>
      <c r="AD22" s="280">
        <f>IF(AD6=0,0,AD9/AD6)</f>
        <v>0.15483261184925901</v>
      </c>
      <c r="AE22" s="106">
        <f>IF(AE6=0,0,AE9/AE6)</f>
        <v>0.15481927287956618</v>
      </c>
    </row>
    <row r="23" spans="2:34">
      <c r="B23" s="86" t="s">
        <v>550</v>
      </c>
      <c r="C23" s="230">
        <f t="shared" ref="C23:P23" si="6">IF(C6=0,0,C13/C6)</f>
        <v>-1.2194602492525375</v>
      </c>
      <c r="D23" s="230">
        <f t="shared" si="6"/>
        <v>0</v>
      </c>
      <c r="E23" s="230">
        <f t="shared" si="6"/>
        <v>-0.44880170864666685</v>
      </c>
      <c r="F23" s="230">
        <f t="shared" si="6"/>
        <v>-0.30519799391783248</v>
      </c>
      <c r="G23" s="230">
        <f t="shared" si="6"/>
        <v>-1.2389068047200511</v>
      </c>
      <c r="H23" s="230">
        <f t="shared" si="6"/>
        <v>0.30555388403241868</v>
      </c>
      <c r="I23" s="230">
        <f t="shared" si="6"/>
        <v>-2.5508758245161748E-2</v>
      </c>
      <c r="J23" s="230">
        <f t="shared" si="6"/>
        <v>4.4237411111098052E-2</v>
      </c>
      <c r="K23" s="230">
        <f t="shared" si="6"/>
        <v>7.2474602577105363E-2</v>
      </c>
      <c r="L23" s="230">
        <f t="shared" si="6"/>
        <v>0.12210130939520512</v>
      </c>
      <c r="M23" s="230">
        <f t="shared" si="6"/>
        <v>7.8939534450401777E-2</v>
      </c>
      <c r="N23" s="230">
        <f t="shared" si="6"/>
        <v>4.1373185306472465E-2</v>
      </c>
      <c r="O23" s="224">
        <f t="shared" si="6"/>
        <v>-5.6692355062745951E-3</v>
      </c>
      <c r="P23" s="106">
        <f t="shared" si="6"/>
        <v>7.7738660214040287E-2</v>
      </c>
      <c r="R23" s="230">
        <f t="shared" ref="R23:AD23" si="7">IF(R6=0,0,R13/R6)</f>
        <v>0.14391630363105251</v>
      </c>
      <c r="S23" s="230">
        <f t="shared" si="7"/>
        <v>0.11528769534060629</v>
      </c>
      <c r="T23" s="230">
        <f t="shared" si="7"/>
        <v>0.13992662514290416</v>
      </c>
      <c r="U23" s="230">
        <f t="shared" si="7"/>
        <v>0.13192241266236077</v>
      </c>
      <c r="V23" s="230">
        <f t="shared" si="7"/>
        <v>0.14417698405347262</v>
      </c>
      <c r="W23" s="230">
        <f t="shared" si="7"/>
        <v>0.14417698405347262</v>
      </c>
      <c r="X23" s="230">
        <f t="shared" si="7"/>
        <v>0.14417698405347262</v>
      </c>
      <c r="Y23" s="230">
        <f t="shared" si="7"/>
        <v>0.14417698405347262</v>
      </c>
      <c r="Z23" s="230">
        <f t="shared" si="7"/>
        <v>0.14417698405347262</v>
      </c>
      <c r="AA23" s="230">
        <f t="shared" si="7"/>
        <v>0.14417698405347262</v>
      </c>
      <c r="AB23" s="230">
        <f t="shared" si="7"/>
        <v>0.14417698405347262</v>
      </c>
      <c r="AC23" s="276">
        <f t="shared" si="7"/>
        <v>0.14417698405347262</v>
      </c>
      <c r="AD23" s="280">
        <f t="shared" si="7"/>
        <v>0.1411309377372495</v>
      </c>
      <c r="AE23" s="106">
        <f t="shared" ref="AE23" si="8">IF(AE6=0,0,AE13/AE6)</f>
        <v>0.13750932307699634</v>
      </c>
    </row>
    <row r="24" spans="2:34">
      <c r="B24" s="86" t="s">
        <v>551</v>
      </c>
      <c r="C24" s="230">
        <f t="shared" ref="C24:O24" si="9">IF(C6=0,0,C20/C6)</f>
        <v>-2.1197295097763904</v>
      </c>
      <c r="D24" s="230">
        <f t="shared" si="9"/>
        <v>0</v>
      </c>
      <c r="E24" s="230">
        <f t="shared" si="9"/>
        <v>-0.6236051112761497</v>
      </c>
      <c r="F24" s="230">
        <f t="shared" si="9"/>
        <v>-0.42781656587173922</v>
      </c>
      <c r="G24" s="230">
        <f t="shared" si="9"/>
        <v>-1.3236236425493262</v>
      </c>
      <c r="H24" s="230">
        <f t="shared" si="9"/>
        <v>0.26737326542792483</v>
      </c>
      <c r="I24" s="230">
        <f t="shared" si="9"/>
        <v>-9.6799129686691313E-2</v>
      </c>
      <c r="J24" s="230">
        <f t="shared" si="9"/>
        <v>-1.964116922426495E-2</v>
      </c>
      <c r="K24" s="230">
        <f t="shared" si="9"/>
        <v>1.4381975107350228E-2</v>
      </c>
      <c r="L24" s="230">
        <f t="shared" si="9"/>
        <v>8.1364497732429125E-2</v>
      </c>
      <c r="M24" s="230">
        <f t="shared" si="9"/>
        <v>1.2442388941442421E-2</v>
      </c>
      <c r="N24" s="230">
        <f t="shared" si="9"/>
        <v>-3.851522544320516E-2</v>
      </c>
      <c r="O24" s="224">
        <f t="shared" si="9"/>
        <v>-7.9545971978471824E-2</v>
      </c>
      <c r="P24" s="106">
        <f t="shared" ref="P24" si="10">IF(P6=0,0,P20/P6)</f>
        <v>3.3349820614764839E-2</v>
      </c>
      <c r="R24" s="230">
        <f t="shared" ref="R24:AD24" si="11">IF(R6=0,0,R20/R6)</f>
        <v>7.7747950288668127E-2</v>
      </c>
      <c r="S24" s="230">
        <f t="shared" si="11"/>
        <v>5.6674436118099893E-2</v>
      </c>
      <c r="T24" s="230">
        <f t="shared" si="11"/>
        <v>9.5389687778415819E-2</v>
      </c>
      <c r="U24" s="230">
        <f t="shared" si="11"/>
        <v>9.0428717133845912E-2</v>
      </c>
      <c r="V24" s="230">
        <f t="shared" si="11"/>
        <v>0.10485211423340732</v>
      </c>
      <c r="W24" s="230">
        <f t="shared" si="11"/>
        <v>0.10521869775237383</v>
      </c>
      <c r="X24" s="230">
        <f t="shared" si="11"/>
        <v>3.066815785067396E-2</v>
      </c>
      <c r="Y24" s="230">
        <f t="shared" si="11"/>
        <v>0.10596013300166289</v>
      </c>
      <c r="Z24" s="230">
        <f t="shared" si="11"/>
        <v>0.10633502940729254</v>
      </c>
      <c r="AA24" s="230">
        <f t="shared" si="11"/>
        <v>3.1794762872841519E-2</v>
      </c>
      <c r="AB24" s="230">
        <f t="shared" si="11"/>
        <v>0.10709327209278924</v>
      </c>
      <c r="AC24" s="276">
        <f t="shared" si="11"/>
        <v>9.915223462010625E-2</v>
      </c>
      <c r="AD24" s="280">
        <f t="shared" si="11"/>
        <v>8.5322386031349548E-2</v>
      </c>
      <c r="AE24" s="106">
        <f t="shared" ref="AE24" si="12">IF(AE6=0,0,AE20/AE6)</f>
        <v>9.1489326511588323E-2</v>
      </c>
    </row>
    <row r="25" spans="2:34">
      <c r="AD25" s="209"/>
    </row>
    <row r="27" spans="2:34">
      <c r="AD27" s="119"/>
    </row>
  </sheetData>
  <mergeCells count="2">
    <mergeCell ref="C4:Q4"/>
    <mergeCell ref="R4:AF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44AD"/>
  </sheetPr>
  <dimension ref="B2:AF34"/>
  <sheetViews>
    <sheetView showGridLines="0" zoomScaleNormal="100" workbookViewId="0">
      <pane xSplit="2" ySplit="4" topLeftCell="R5" activePane="bottomRight" state="frozen"/>
      <selection pane="topRight" activeCell="C1" sqref="C1"/>
      <selection pane="bottomLeft" activeCell="A5" sqref="A5"/>
      <selection pane="bottomRight" activeCell="L16" sqref="L16"/>
    </sheetView>
  </sheetViews>
  <sheetFormatPr baseColWidth="10" defaultColWidth="8.6328125" defaultRowHeight="14" outlineLevelCol="2"/>
  <cols>
    <col min="1" max="1" width="3" style="72" customWidth="1"/>
    <col min="2" max="2" width="30" style="72" customWidth="1"/>
    <col min="3" max="14" width="12" style="72" customWidth="1" outlineLevel="2"/>
    <col min="15" max="17" width="8.90625" style="72" customWidth="1"/>
    <col min="18" max="29" width="11.26953125" style="72" customWidth="1" outlineLevel="2"/>
    <col min="30" max="31" width="8.90625" style="72" customWidth="1"/>
    <col min="32" max="32" width="10.1796875" style="72" bestFit="1" customWidth="1"/>
    <col min="33" max="16384" width="8.6328125" style="72"/>
  </cols>
  <sheetData>
    <row r="2" spans="2:32" ht="18">
      <c r="B2" s="73" t="s">
        <v>543</v>
      </c>
      <c r="R2" s="209"/>
    </row>
    <row r="3" spans="2:32" ht="20">
      <c r="C3" s="331">
        <v>2026</v>
      </c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6"/>
      <c r="R3" s="330">
        <v>2027</v>
      </c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1"/>
      <c r="AD3" s="331"/>
      <c r="AE3" s="331"/>
      <c r="AF3" s="331"/>
    </row>
    <row r="4" spans="2:32" ht="28">
      <c r="B4" s="78" t="s">
        <v>196</v>
      </c>
      <c r="C4" s="78" t="s">
        <v>139</v>
      </c>
      <c r="D4" s="78" t="s">
        <v>140</v>
      </c>
      <c r="E4" s="78" t="s">
        <v>141</v>
      </c>
      <c r="F4" s="78" t="s">
        <v>142</v>
      </c>
      <c r="G4" s="78" t="s">
        <v>143</v>
      </c>
      <c r="H4" s="78" t="s">
        <v>144</v>
      </c>
      <c r="I4" s="78" t="s">
        <v>145</v>
      </c>
      <c r="J4" s="78" t="s">
        <v>146</v>
      </c>
      <c r="K4" s="78" t="s">
        <v>147</v>
      </c>
      <c r="L4" s="78" t="s">
        <v>148</v>
      </c>
      <c r="M4" s="78" t="s">
        <v>149</v>
      </c>
      <c r="N4" s="78" t="s">
        <v>150</v>
      </c>
      <c r="O4" s="78" t="s">
        <v>160</v>
      </c>
      <c r="P4" s="78" t="s">
        <v>154</v>
      </c>
      <c r="Q4" s="78" t="s">
        <v>197</v>
      </c>
      <c r="R4" s="78" t="s">
        <v>139</v>
      </c>
      <c r="S4" s="78" t="s">
        <v>140</v>
      </c>
      <c r="T4" s="78" t="s">
        <v>141</v>
      </c>
      <c r="U4" s="78" t="s">
        <v>142</v>
      </c>
      <c r="V4" s="78" t="s">
        <v>143</v>
      </c>
      <c r="W4" s="78" t="s">
        <v>144</v>
      </c>
      <c r="X4" s="78" t="s">
        <v>145</v>
      </c>
      <c r="Y4" s="78" t="s">
        <v>146</v>
      </c>
      <c r="Z4" s="78" t="s">
        <v>147</v>
      </c>
      <c r="AA4" s="78" t="s">
        <v>148</v>
      </c>
      <c r="AB4" s="78" t="s">
        <v>149</v>
      </c>
      <c r="AC4" s="78" t="s">
        <v>150</v>
      </c>
      <c r="AD4" s="78" t="s">
        <v>160</v>
      </c>
      <c r="AE4" s="78" t="s">
        <v>467</v>
      </c>
      <c r="AF4" s="78" t="s">
        <v>197</v>
      </c>
    </row>
    <row r="5" spans="2:32">
      <c r="B5" s="86" t="s">
        <v>198</v>
      </c>
      <c r="C5" s="210">
        <f t="shared" ref="C5:H5" si="0">C6+C7+C8</f>
        <v>18334.589041095889</v>
      </c>
      <c r="D5" s="210">
        <f t="shared" si="0"/>
        <v>16560.273972602739</v>
      </c>
      <c r="E5" s="210">
        <f t="shared" si="0"/>
        <v>18334.589041095889</v>
      </c>
      <c r="F5" s="210">
        <f t="shared" si="0"/>
        <v>17750.68493150685</v>
      </c>
      <c r="G5" s="210">
        <f t="shared" si="0"/>
        <v>15181.506849315068</v>
      </c>
      <c r="H5" s="210">
        <f t="shared" si="0"/>
        <v>14691.78082191781</v>
      </c>
      <c r="I5" s="210">
        <f t="shared" ref="I5:K5" si="1">I6+I7+I8</f>
        <v>15181.506849315068</v>
      </c>
      <c r="J5" s="210">
        <f t="shared" si="1"/>
        <v>15181.506849315068</v>
      </c>
      <c r="K5" s="210">
        <f t="shared" si="1"/>
        <v>14691.78082191781</v>
      </c>
      <c r="L5" s="210">
        <f t="shared" ref="L5" si="2">L6+L7+L8</f>
        <v>15181.506849315068</v>
      </c>
      <c r="M5" s="211">
        <f t="shared" ref="M5:N5" si="3">M6+M7+M8</f>
        <v>96112.107114354163</v>
      </c>
      <c r="N5" s="211">
        <f t="shared" si="3"/>
        <v>96067.672459393376</v>
      </c>
      <c r="O5" s="163">
        <f>SUM(C5:N5)</f>
        <v>353269.50560114486</v>
      </c>
      <c r="P5" s="119"/>
      <c r="Q5" s="178"/>
      <c r="R5" s="211">
        <f t="shared" ref="R5" si="4">R6+R7+R8</f>
        <v>96022.904544520425</v>
      </c>
      <c r="S5" s="211">
        <f t="shared" ref="S5:AC5" si="5">S6+S7+S8</f>
        <v>95977.800870285893</v>
      </c>
      <c r="T5" s="211">
        <f t="shared" si="5"/>
        <v>95932.358918494618</v>
      </c>
      <c r="U5" s="211">
        <f t="shared" si="5"/>
        <v>95886.57615206491</v>
      </c>
      <c r="V5" s="211">
        <f t="shared" si="5"/>
        <v>95840.45001488697</v>
      </c>
      <c r="W5" s="211">
        <f t="shared" si="5"/>
        <v>95793.977931680201</v>
      </c>
      <c r="X5" s="211">
        <f t="shared" si="5"/>
        <v>95747.156000000003</v>
      </c>
      <c r="Y5" s="211">
        <f t="shared" si="5"/>
        <v>95699.983999999997</v>
      </c>
      <c r="Z5" s="211">
        <f t="shared" si="5"/>
        <v>95652.457999999999</v>
      </c>
      <c r="AA5" s="211">
        <f t="shared" si="5"/>
        <v>95601.275999999998</v>
      </c>
      <c r="AB5" s="211">
        <f t="shared" si="5"/>
        <v>95556.335000000006</v>
      </c>
      <c r="AC5" s="211">
        <f t="shared" si="5"/>
        <v>95507.732000000004</v>
      </c>
      <c r="AD5" s="163">
        <f>SUM(R5:AC5)</f>
        <v>1149219.0094319328</v>
      </c>
    </row>
    <row r="6" spans="2:32">
      <c r="B6" s="86" t="s">
        <v>199</v>
      </c>
      <c r="C6" s="212">
        <v>0</v>
      </c>
      <c r="D6" s="212">
        <v>0</v>
      </c>
      <c r="E6" s="212">
        <v>0</v>
      </c>
      <c r="F6" s="212">
        <v>0</v>
      </c>
      <c r="G6" s="212">
        <v>0</v>
      </c>
      <c r="H6" s="212">
        <v>0</v>
      </c>
      <c r="I6" s="212">
        <v>0</v>
      </c>
      <c r="J6" s="212">
        <v>0</v>
      </c>
      <c r="K6" s="212">
        <v>0</v>
      </c>
      <c r="L6" s="212">
        <v>0</v>
      </c>
      <c r="M6" s="104">
        <v>59246.20661435416</v>
      </c>
      <c r="N6" s="104">
        <v>59690.553163961813</v>
      </c>
      <c r="O6" s="163">
        <f>SUM(C6:N6)</f>
        <v>118936.75977831597</v>
      </c>
      <c r="P6" s="89">
        <f>'Servicio Deuda'!D9</f>
        <v>118936.76</v>
      </c>
      <c r="Q6" s="178">
        <f>O6-P6</f>
        <v>-2.216840221080929E-4</v>
      </c>
      <c r="R6" s="104">
        <v>60138.232312691529</v>
      </c>
      <c r="S6" s="104">
        <v>60589.269055036712</v>
      </c>
      <c r="T6" s="104">
        <v>61043.688572949482</v>
      </c>
      <c r="U6" s="104">
        <v>61501.516237246615</v>
      </c>
      <c r="V6" s="104">
        <v>61962.777609025958</v>
      </c>
      <c r="W6" s="104">
        <v>62427.498441093652</v>
      </c>
      <c r="X6" s="104">
        <v>62895.7</v>
      </c>
      <c r="Y6" s="104">
        <v>63367.42</v>
      </c>
      <c r="Z6" s="104">
        <v>63842.68</v>
      </c>
      <c r="AA6" s="104">
        <v>64321.5</v>
      </c>
      <c r="AB6" s="104">
        <v>64803.91</v>
      </c>
      <c r="AC6" s="104">
        <v>65289.94</v>
      </c>
      <c r="AD6" s="163">
        <f>SUM(R6:AC6)</f>
        <v>752184.13222804409</v>
      </c>
      <c r="AE6" s="89">
        <f>'Servicio Deuda'!E9</f>
        <v>752184.13</v>
      </c>
      <c r="AF6" s="178">
        <f>AD6-AE6</f>
        <v>2.2280440898612142E-3</v>
      </c>
    </row>
    <row r="7" spans="2:32">
      <c r="B7" s="86" t="s">
        <v>200</v>
      </c>
      <c r="C7" s="212">
        <v>16667.808219178081</v>
      </c>
      <c r="D7" s="212">
        <v>15054.794520547945</v>
      </c>
      <c r="E7" s="212">
        <v>16667.808219178081</v>
      </c>
      <c r="F7" s="212">
        <v>16136.986301369863</v>
      </c>
      <c r="G7" s="212">
        <v>13801.369863013699</v>
      </c>
      <c r="H7" s="212">
        <v>13356.164383561645</v>
      </c>
      <c r="I7" s="212">
        <v>13801.369863013699</v>
      </c>
      <c r="J7" s="212">
        <v>13801.369863013699</v>
      </c>
      <c r="K7" s="212">
        <v>13356.164383561645</v>
      </c>
      <c r="L7" s="212">
        <v>13801.369863013699</v>
      </c>
      <c r="M7" s="104">
        <v>33514.455000000002</v>
      </c>
      <c r="N7" s="104">
        <v>33070.108450392341</v>
      </c>
      <c r="O7" s="163">
        <f>SUM(C7:N7)</f>
        <v>213029.7689298444</v>
      </c>
      <c r="P7" s="89">
        <f>'Servicio Deuda'!D11</f>
        <v>66584.56</v>
      </c>
      <c r="Q7" s="178">
        <f>O7-P7</f>
        <v>146445.2089298444</v>
      </c>
      <c r="R7" s="104">
        <v>32622.429301662629</v>
      </c>
      <c r="S7" s="104">
        <v>32171.392559317443</v>
      </c>
      <c r="T7" s="104">
        <v>31716.973041404664</v>
      </c>
      <c r="U7" s="104">
        <v>31259.145377107547</v>
      </c>
      <c r="V7" s="104">
        <v>30797.884005328193</v>
      </c>
      <c r="W7" s="104">
        <v>30333.163173260502</v>
      </c>
      <c r="X7" s="104">
        <v>29864.959999999999</v>
      </c>
      <c r="Y7" s="104">
        <v>29393.24</v>
      </c>
      <c r="Z7" s="104">
        <v>28917.98</v>
      </c>
      <c r="AA7" s="104">
        <v>28436.16</v>
      </c>
      <c r="AB7" s="104">
        <v>27956.75</v>
      </c>
      <c r="AC7" s="104">
        <v>27470.720000000001</v>
      </c>
      <c r="AD7" s="163">
        <f>SUM(R7:AC7)</f>
        <v>360940.79745808092</v>
      </c>
      <c r="AE7" s="89">
        <f>'Servicio Deuda'!E11</f>
        <v>360943.81</v>
      </c>
      <c r="AF7" s="178">
        <f>AD7-AE7</f>
        <v>-3.0125419190735556</v>
      </c>
    </row>
    <row r="8" spans="2:32">
      <c r="B8" s="86" t="s">
        <v>201</v>
      </c>
      <c r="C8" s="212">
        <f t="shared" ref="C8:L8" si="6">+C7*10%</f>
        <v>1666.7808219178082</v>
      </c>
      <c r="D8" s="212">
        <f t="shared" si="6"/>
        <v>1505.4794520547946</v>
      </c>
      <c r="E8" s="212">
        <f t="shared" si="6"/>
        <v>1666.7808219178082</v>
      </c>
      <c r="F8" s="212">
        <f t="shared" si="6"/>
        <v>1613.6986301369864</v>
      </c>
      <c r="G8" s="212">
        <f t="shared" si="6"/>
        <v>1380.1369863013699</v>
      </c>
      <c r="H8" s="212">
        <f t="shared" si="6"/>
        <v>1335.6164383561645</v>
      </c>
      <c r="I8" s="212">
        <f t="shared" si="6"/>
        <v>1380.1369863013699</v>
      </c>
      <c r="J8" s="212">
        <f t="shared" si="6"/>
        <v>1380.1369863013699</v>
      </c>
      <c r="K8" s="212">
        <f t="shared" si="6"/>
        <v>1335.6164383561645</v>
      </c>
      <c r="L8" s="212">
        <f t="shared" si="6"/>
        <v>1380.1369863013699</v>
      </c>
      <c r="M8" s="104">
        <f>+M7*10%</f>
        <v>3351.4455000000003</v>
      </c>
      <c r="N8" s="104">
        <f t="shared" ref="N8" si="7">+N7*10%</f>
        <v>3307.0108450392345</v>
      </c>
      <c r="O8" s="163">
        <f>SUM(C8:N8)</f>
        <v>21302.976892984443</v>
      </c>
      <c r="P8" s="89">
        <f>'Servicio Deuda'!D12</f>
        <v>6658.4560000000001</v>
      </c>
      <c r="Q8" s="178">
        <f>O8-P8</f>
        <v>14644.520892984443</v>
      </c>
      <c r="R8" s="104">
        <f t="shared" ref="R8" si="8">+R7*10%</f>
        <v>3262.2429301662632</v>
      </c>
      <c r="S8" s="104">
        <f t="shared" ref="S8:AC8" si="9">+S7*10%</f>
        <v>3217.1392559317446</v>
      </c>
      <c r="T8" s="104">
        <f t="shared" si="9"/>
        <v>3171.6973041404667</v>
      </c>
      <c r="U8" s="104">
        <f t="shared" si="9"/>
        <v>3125.9145377107548</v>
      </c>
      <c r="V8" s="104">
        <f t="shared" si="9"/>
        <v>3079.7884005328197</v>
      </c>
      <c r="W8" s="104">
        <f t="shared" si="9"/>
        <v>3033.3163173260505</v>
      </c>
      <c r="X8" s="104">
        <f t="shared" si="9"/>
        <v>2986.4960000000001</v>
      </c>
      <c r="Y8" s="104">
        <f t="shared" si="9"/>
        <v>2939.3240000000005</v>
      </c>
      <c r="Z8" s="104">
        <f t="shared" si="9"/>
        <v>2891.7980000000002</v>
      </c>
      <c r="AA8" s="104">
        <f t="shared" si="9"/>
        <v>2843.616</v>
      </c>
      <c r="AB8" s="104">
        <f t="shared" si="9"/>
        <v>2795.6750000000002</v>
      </c>
      <c r="AC8" s="104">
        <f t="shared" si="9"/>
        <v>2747.0720000000001</v>
      </c>
      <c r="AD8" s="163">
        <f>SUM(R8:AC8)</f>
        <v>36094.0797458081</v>
      </c>
      <c r="AE8" s="89">
        <f>'Servicio Deuda'!E12</f>
        <v>36094.381000000001</v>
      </c>
      <c r="AF8" s="178">
        <f>AD8-AE8</f>
        <v>-0.3012541919015348</v>
      </c>
    </row>
    <row r="10" spans="2:32" ht="28">
      <c r="B10" s="78" t="s">
        <v>485</v>
      </c>
      <c r="C10" s="78" t="s">
        <v>139</v>
      </c>
      <c r="D10" s="78" t="s">
        <v>140</v>
      </c>
      <c r="E10" s="78" t="s">
        <v>141</v>
      </c>
      <c r="F10" s="78" t="s">
        <v>142</v>
      </c>
      <c r="G10" s="78" t="s">
        <v>143</v>
      </c>
      <c r="H10" s="78" t="s">
        <v>144</v>
      </c>
      <c r="I10" s="78" t="s">
        <v>145</v>
      </c>
      <c r="J10" s="78" t="s">
        <v>146</v>
      </c>
      <c r="K10" s="78" t="s">
        <v>147</v>
      </c>
      <c r="L10" s="78" t="s">
        <v>148</v>
      </c>
      <c r="M10" s="78" t="s">
        <v>149</v>
      </c>
      <c r="N10" s="78" t="s">
        <v>150</v>
      </c>
      <c r="O10" s="78" t="s">
        <v>160</v>
      </c>
      <c r="P10" s="78" t="s">
        <v>154</v>
      </c>
      <c r="Q10" s="78" t="s">
        <v>197</v>
      </c>
      <c r="R10" s="78" t="s">
        <v>139</v>
      </c>
      <c r="S10" s="78" t="s">
        <v>140</v>
      </c>
      <c r="T10" s="78" t="s">
        <v>141</v>
      </c>
      <c r="U10" s="78" t="s">
        <v>142</v>
      </c>
      <c r="V10" s="78" t="s">
        <v>143</v>
      </c>
      <c r="W10" s="78" t="s">
        <v>144</v>
      </c>
      <c r="X10" s="78" t="s">
        <v>145</v>
      </c>
      <c r="Y10" s="78" t="s">
        <v>146</v>
      </c>
      <c r="Z10" s="78" t="s">
        <v>147</v>
      </c>
      <c r="AA10" s="78" t="s">
        <v>148</v>
      </c>
      <c r="AB10" s="78" t="s">
        <v>149</v>
      </c>
      <c r="AC10" s="78" t="s">
        <v>150</v>
      </c>
      <c r="AD10" s="78" t="s">
        <v>160</v>
      </c>
      <c r="AE10" s="78" t="s">
        <v>467</v>
      </c>
      <c r="AF10" s="78" t="s">
        <v>197</v>
      </c>
    </row>
    <row r="11" spans="2:32">
      <c r="B11" s="86" t="s">
        <v>198</v>
      </c>
      <c r="C11" s="212">
        <v>0</v>
      </c>
      <c r="D11" s="212">
        <v>0</v>
      </c>
      <c r="E11" s="212">
        <v>0</v>
      </c>
      <c r="F11" s="212">
        <v>0</v>
      </c>
      <c r="G11" s="212">
        <v>0</v>
      </c>
      <c r="H11" s="212">
        <v>0</v>
      </c>
      <c r="I11" s="212">
        <v>0</v>
      </c>
      <c r="J11" s="212">
        <v>0</v>
      </c>
      <c r="K11" s="212">
        <v>0</v>
      </c>
      <c r="L11" s="212">
        <v>0</v>
      </c>
      <c r="M11" s="213">
        <f t="shared" ref="M11:N11" si="10">M12+M13+M14</f>
        <v>23659.190748989407</v>
      </c>
      <c r="N11" s="213">
        <f t="shared" si="10"/>
        <v>23648.252605927664</v>
      </c>
      <c r="O11" s="163">
        <f>SUM(C11:N11)</f>
        <v>47307.443354917072</v>
      </c>
      <c r="P11" s="119"/>
      <c r="Q11" s="178"/>
      <c r="R11" s="213">
        <f t="shared" ref="R11:U11" si="11">R12+R13+R14</f>
        <v>23637.232426792965</v>
      </c>
      <c r="S11" s="213">
        <f t="shared" si="11"/>
        <v>23626.129596314746</v>
      </c>
      <c r="T11" s="213">
        <f t="shared" si="11"/>
        <v>23614.943494607945</v>
      </c>
      <c r="U11" s="213">
        <f t="shared" si="11"/>
        <v>23603.673497138348</v>
      </c>
      <c r="V11" s="213">
        <f t="shared" ref="V11:AC11" si="12">V12+V13+V14</f>
        <v>23592.318974687718</v>
      </c>
      <c r="W11" s="213">
        <f t="shared" si="12"/>
        <v>23580.879293318711</v>
      </c>
      <c r="X11" s="213">
        <f t="shared" si="12"/>
        <v>23569.35381433944</v>
      </c>
      <c r="Y11" s="213">
        <f t="shared" si="12"/>
        <v>23557.74189426782</v>
      </c>
      <c r="Z11" s="213">
        <f t="shared" si="12"/>
        <v>23546.042884795672</v>
      </c>
      <c r="AA11" s="213">
        <f t="shared" si="12"/>
        <v>23534.256132752475</v>
      </c>
      <c r="AB11" s="213">
        <f t="shared" si="12"/>
        <v>23522.380980068952</v>
      </c>
      <c r="AC11" s="213">
        <f t="shared" si="12"/>
        <v>23510.416763740312</v>
      </c>
      <c r="AD11" s="163">
        <f>SUM(R11:AC11)</f>
        <v>282895.36975282512</v>
      </c>
    </row>
    <row r="12" spans="2:32">
      <c r="B12" s="86" t="s">
        <v>199</v>
      </c>
      <c r="C12" s="212">
        <v>0</v>
      </c>
      <c r="D12" s="212">
        <v>0</v>
      </c>
      <c r="E12" s="212">
        <v>0</v>
      </c>
      <c r="F12" s="212">
        <v>0</v>
      </c>
      <c r="G12" s="212">
        <v>0</v>
      </c>
      <c r="H12" s="212">
        <v>0</v>
      </c>
      <c r="I12" s="212">
        <v>0</v>
      </c>
      <c r="J12" s="212">
        <v>0</v>
      </c>
      <c r="K12" s="212">
        <v>0</v>
      </c>
      <c r="L12" s="212">
        <v>0</v>
      </c>
      <c r="M12" s="214">
        <v>14584.190748989409</v>
      </c>
      <c r="N12" s="214">
        <v>14693.572179606828</v>
      </c>
      <c r="O12" s="163">
        <f>SUM(C12:N12)</f>
        <v>29277.762928596239</v>
      </c>
      <c r="P12" s="89">
        <v>0</v>
      </c>
      <c r="Q12" s="178">
        <f>O12-P12</f>
        <v>29277.762928596239</v>
      </c>
      <c r="R12" s="214">
        <v>14803.773970953882</v>
      </c>
      <c r="S12" s="214">
        <v>14914.802275736036</v>
      </c>
      <c r="T12" s="214">
        <v>15026.663292804056</v>
      </c>
      <c r="U12" s="214">
        <v>15139.363267500088</v>
      </c>
      <c r="V12" s="214">
        <v>15252.908492006338</v>
      </c>
      <c r="W12" s="214">
        <v>15367.305305696384</v>
      </c>
      <c r="X12" s="214">
        <v>15482.560095489107</v>
      </c>
      <c r="Y12" s="214">
        <v>15598.679296205275</v>
      </c>
      <c r="Z12" s="214">
        <v>15715.669390926816</v>
      </c>
      <c r="AA12" s="214">
        <v>15833.536911358768</v>
      </c>
      <c r="AB12" s="214">
        <v>15952.288438193957</v>
      </c>
      <c r="AC12" s="214">
        <v>16071.930601480411</v>
      </c>
      <c r="AD12" s="163">
        <f>SUM(R12:AC12)</f>
        <v>185159.48133835112</v>
      </c>
      <c r="AE12" s="89">
        <f>'Servicio Deuda'!D18</f>
        <v>29277.762928596239</v>
      </c>
      <c r="AF12" s="178">
        <f>AD12-AE12</f>
        <v>155881.71840975489</v>
      </c>
    </row>
    <row r="13" spans="2:32">
      <c r="B13" s="86" t="s">
        <v>200</v>
      </c>
      <c r="C13" s="212">
        <v>0</v>
      </c>
      <c r="D13" s="212">
        <v>0</v>
      </c>
      <c r="E13" s="212">
        <v>0</v>
      </c>
      <c r="F13" s="212">
        <v>0</v>
      </c>
      <c r="G13" s="212">
        <v>0</v>
      </c>
      <c r="H13" s="212">
        <v>0</v>
      </c>
      <c r="I13" s="212">
        <v>0</v>
      </c>
      <c r="J13" s="212">
        <v>0</v>
      </c>
      <c r="K13" s="212">
        <v>0</v>
      </c>
      <c r="L13" s="212">
        <v>0</v>
      </c>
      <c r="M13" s="214">
        <v>8250</v>
      </c>
      <c r="N13" s="214">
        <v>8140.6185693825792</v>
      </c>
      <c r="O13" s="163">
        <f>SUM(C13:N13)</f>
        <v>16390.618569382579</v>
      </c>
      <c r="P13" s="89">
        <v>0</v>
      </c>
      <c r="Q13" s="178">
        <f>O13-P13</f>
        <v>16390.618569382579</v>
      </c>
      <c r="R13" s="214">
        <v>8030.4167780355283</v>
      </c>
      <c r="S13" s="214">
        <v>7919.3884732533734</v>
      </c>
      <c r="T13" s="214">
        <v>7807.5274561853539</v>
      </c>
      <c r="U13" s="214">
        <v>7694.8274814893248</v>
      </c>
      <c r="V13" s="214">
        <v>7581.2822569830732</v>
      </c>
      <c r="W13" s="214">
        <v>7466.8854432930257</v>
      </c>
      <c r="X13" s="214">
        <v>7351.6306535003032</v>
      </c>
      <c r="Y13" s="214">
        <v>7235.5114527841342</v>
      </c>
      <c r="Z13" s="214">
        <v>7118.5213580625941</v>
      </c>
      <c r="AA13" s="214">
        <v>7000.6538376306444</v>
      </c>
      <c r="AB13" s="214">
        <v>6881.9023107954526</v>
      </c>
      <c r="AC13" s="214">
        <v>6762.2601475089996</v>
      </c>
      <c r="AD13" s="163">
        <f>SUM(R13:AC13)</f>
        <v>88850.807649521812</v>
      </c>
      <c r="AE13" s="89">
        <f>'Servicio Deuda'!D20</f>
        <v>16390.618569382579</v>
      </c>
      <c r="AF13" s="178">
        <f>AD13-AE13</f>
        <v>72460.189080139229</v>
      </c>
    </row>
    <row r="14" spans="2:32">
      <c r="B14" s="86" t="s">
        <v>201</v>
      </c>
      <c r="C14" s="212">
        <v>0</v>
      </c>
      <c r="D14" s="212">
        <v>0</v>
      </c>
      <c r="E14" s="212">
        <v>0</v>
      </c>
      <c r="F14" s="212">
        <v>0</v>
      </c>
      <c r="G14" s="212">
        <v>0</v>
      </c>
      <c r="H14" s="212">
        <v>0</v>
      </c>
      <c r="I14" s="212">
        <v>0</v>
      </c>
      <c r="J14" s="212">
        <v>0</v>
      </c>
      <c r="K14" s="212">
        <v>0</v>
      </c>
      <c r="L14" s="212">
        <v>0</v>
      </c>
      <c r="M14" s="214">
        <f t="shared" ref="M14:N14" si="13">+M13*10%</f>
        <v>825</v>
      </c>
      <c r="N14" s="214">
        <f t="shared" si="13"/>
        <v>814.06185693825796</v>
      </c>
      <c r="O14" s="163">
        <f>SUM(C14:N14)</f>
        <v>1639.061856938258</v>
      </c>
      <c r="P14" s="89">
        <v>0</v>
      </c>
      <c r="Q14" s="178">
        <f>O14-P14</f>
        <v>1639.061856938258</v>
      </c>
      <c r="R14" s="214">
        <f t="shared" ref="R14:W14" si="14">+R13*10%</f>
        <v>803.04167780355283</v>
      </c>
      <c r="S14" s="214">
        <f t="shared" si="14"/>
        <v>791.93884732533741</v>
      </c>
      <c r="T14" s="214">
        <f t="shared" si="14"/>
        <v>780.75274561853541</v>
      </c>
      <c r="U14" s="214">
        <f t="shared" si="14"/>
        <v>769.4827481489325</v>
      </c>
      <c r="V14" s="214">
        <f t="shared" ref="V14:AC14" si="15">+V13*10%</f>
        <v>758.12822569830735</v>
      </c>
      <c r="W14" s="214">
        <f t="shared" si="14"/>
        <v>746.68854432930266</v>
      </c>
      <c r="X14" s="214">
        <f t="shared" si="15"/>
        <v>735.16306535003037</v>
      </c>
      <c r="Y14" s="214">
        <f t="shared" si="15"/>
        <v>723.55114527841351</v>
      </c>
      <c r="Z14" s="214">
        <f t="shared" si="15"/>
        <v>711.85213580625941</v>
      </c>
      <c r="AA14" s="214">
        <f t="shared" si="15"/>
        <v>700.06538376306446</v>
      </c>
      <c r="AB14" s="214">
        <f t="shared" si="15"/>
        <v>688.19023107954536</v>
      </c>
      <c r="AC14" s="214">
        <f t="shared" si="15"/>
        <v>676.22601475090005</v>
      </c>
      <c r="AD14" s="163">
        <f>SUM(R14:AC14)</f>
        <v>8885.0807649521812</v>
      </c>
      <c r="AE14" s="89">
        <f>'Servicio Deuda'!D21</f>
        <v>1639.061856938258</v>
      </c>
      <c r="AF14" s="178">
        <f>AD14-AE14</f>
        <v>7246.0189080139235</v>
      </c>
    </row>
    <row r="16" spans="2:32">
      <c r="B16" s="215" t="s">
        <v>486</v>
      </c>
      <c r="C16" s="164">
        <v>2500000</v>
      </c>
      <c r="D16" s="194">
        <f>+C16</f>
        <v>2500000</v>
      </c>
      <c r="E16" s="194">
        <f t="shared" ref="E16:L16" si="16">+D16</f>
        <v>2500000</v>
      </c>
      <c r="F16" s="194">
        <f t="shared" si="16"/>
        <v>2500000</v>
      </c>
      <c r="G16" s="194">
        <f t="shared" si="16"/>
        <v>2500000</v>
      </c>
      <c r="H16" s="194">
        <f t="shared" si="16"/>
        <v>2500000</v>
      </c>
      <c r="I16" s="194">
        <f t="shared" si="16"/>
        <v>2500000</v>
      </c>
      <c r="J16" s="194">
        <f t="shared" si="16"/>
        <v>2500000</v>
      </c>
      <c r="K16" s="194">
        <f t="shared" si="16"/>
        <v>2500000</v>
      </c>
      <c r="L16" s="194">
        <f t="shared" si="16"/>
        <v>2500000</v>
      </c>
    </row>
    <row r="17" spans="2:29">
      <c r="B17" s="216" t="s">
        <v>202</v>
      </c>
      <c r="C17" s="162"/>
      <c r="D17" s="162"/>
      <c r="E17" s="162"/>
      <c r="F17" s="162"/>
      <c r="G17" s="162"/>
      <c r="H17" s="162"/>
      <c r="I17" s="162"/>
      <c r="J17" s="162"/>
      <c r="K17" s="162"/>
      <c r="L17" s="217">
        <v>4468594</v>
      </c>
      <c r="M17" s="162">
        <f>L17-M6</f>
        <v>4409347.7933856454</v>
      </c>
      <c r="N17" s="162">
        <f>M17-N6</f>
        <v>4349657.2402216839</v>
      </c>
      <c r="R17" s="162">
        <f>N17-R6</f>
        <v>4289519.0079089925</v>
      </c>
      <c r="S17" s="162">
        <f t="shared" ref="S17:AC17" si="17">R17-S6</f>
        <v>4228929.7388539556</v>
      </c>
      <c r="T17" s="162">
        <f t="shared" si="17"/>
        <v>4167886.0502810064</v>
      </c>
      <c r="U17" s="162">
        <f t="shared" si="17"/>
        <v>4106384.5340437596</v>
      </c>
      <c r="V17" s="162">
        <f t="shared" si="17"/>
        <v>4044421.7564347335</v>
      </c>
      <c r="W17" s="162">
        <f t="shared" si="17"/>
        <v>3981994.2579936399</v>
      </c>
      <c r="X17" s="162">
        <f t="shared" si="17"/>
        <v>3919098.5579936397</v>
      </c>
      <c r="Y17" s="162">
        <f t="shared" si="17"/>
        <v>3855731.1379936398</v>
      </c>
      <c r="Z17" s="162">
        <f t="shared" si="17"/>
        <v>3791888.4579936396</v>
      </c>
      <c r="AA17" s="162">
        <f t="shared" si="17"/>
        <v>3727566.9579936396</v>
      </c>
      <c r="AB17" s="162">
        <f t="shared" si="17"/>
        <v>3662763.0479936395</v>
      </c>
      <c r="AC17" s="162">
        <f t="shared" si="17"/>
        <v>3597473.1079936395</v>
      </c>
    </row>
    <row r="18" spans="2:29">
      <c r="B18" s="218" t="s">
        <v>473</v>
      </c>
      <c r="L18" s="217">
        <v>1100000</v>
      </c>
      <c r="M18" s="162">
        <f>L18-M12</f>
        <v>1085415.8092510107</v>
      </c>
      <c r="N18" s="162">
        <f>M18-N12</f>
        <v>1070722.2370714038</v>
      </c>
      <c r="R18" s="162">
        <f>N18-R12</f>
        <v>1055918.4631004499</v>
      </c>
      <c r="S18" s="162">
        <f t="shared" ref="S18:AC18" si="18">R18-S12</f>
        <v>1041003.6608247139</v>
      </c>
      <c r="T18" s="162">
        <f t="shared" si="18"/>
        <v>1025976.9975319098</v>
      </c>
      <c r="U18" s="162">
        <f t="shared" si="18"/>
        <v>1010837.6342644098</v>
      </c>
      <c r="V18" s="162">
        <f t="shared" si="18"/>
        <v>995584.72577240341</v>
      </c>
      <c r="W18" s="162">
        <f t="shared" si="18"/>
        <v>980217.42046670709</v>
      </c>
      <c r="X18" s="162">
        <f t="shared" si="18"/>
        <v>964734.86037121795</v>
      </c>
      <c r="Y18" s="162">
        <f t="shared" si="18"/>
        <v>949136.18107501266</v>
      </c>
      <c r="Z18" s="162">
        <f t="shared" si="18"/>
        <v>933420.51168408582</v>
      </c>
      <c r="AA18" s="162">
        <f t="shared" si="18"/>
        <v>917586.974772727</v>
      </c>
      <c r="AB18" s="162">
        <f t="shared" si="18"/>
        <v>901634.68633453303</v>
      </c>
      <c r="AC18" s="162">
        <f t="shared" si="18"/>
        <v>885562.75573305262</v>
      </c>
    </row>
    <row r="19" spans="2:29">
      <c r="AC19" s="119">
        <f>+AC17+AC18</f>
        <v>4483035.8637266923</v>
      </c>
    </row>
    <row r="20" spans="2:29">
      <c r="B20" s="219"/>
      <c r="C20" s="72" t="s">
        <v>474</v>
      </c>
    </row>
    <row r="22" spans="2:29">
      <c r="B22" s="216"/>
      <c r="C22" s="72" t="s">
        <v>496</v>
      </c>
    </row>
    <row r="23" spans="2:29">
      <c r="C23" s="135" t="s">
        <v>495</v>
      </c>
      <c r="D23" s="136"/>
      <c r="E23" s="136"/>
    </row>
    <row r="24" spans="2:29">
      <c r="C24" s="220">
        <v>4468594</v>
      </c>
      <c r="D24" s="86" t="s">
        <v>57</v>
      </c>
    </row>
    <row r="25" spans="2:29">
      <c r="C25" s="221">
        <v>0.09</v>
      </c>
      <c r="D25" s="86" t="s">
        <v>58</v>
      </c>
    </row>
    <row r="26" spans="2:29">
      <c r="C26" s="220">
        <v>60</v>
      </c>
      <c r="D26" s="86" t="s">
        <v>60</v>
      </c>
    </row>
    <row r="27" spans="2:29">
      <c r="C27" s="221">
        <v>0.1</v>
      </c>
      <c r="D27" s="86" t="s">
        <v>62</v>
      </c>
    </row>
    <row r="29" spans="2:29">
      <c r="B29" s="218"/>
      <c r="C29" s="72" t="s">
        <v>497</v>
      </c>
    </row>
    <row r="30" spans="2:29">
      <c r="C30" s="135" t="s">
        <v>498</v>
      </c>
      <c r="D30" s="136"/>
      <c r="E30" s="136"/>
    </row>
    <row r="31" spans="2:29">
      <c r="C31" s="220">
        <v>1100000</v>
      </c>
      <c r="D31" s="86" t="s">
        <v>57</v>
      </c>
    </row>
    <row r="32" spans="2:29">
      <c r="C32" s="221">
        <v>0.09</v>
      </c>
      <c r="D32" s="86" t="s">
        <v>58</v>
      </c>
    </row>
    <row r="33" spans="3:4">
      <c r="C33" s="220">
        <v>60</v>
      </c>
      <c r="D33" s="86" t="s">
        <v>60</v>
      </c>
    </row>
    <row r="34" spans="3:4">
      <c r="C34" s="221">
        <v>0.1</v>
      </c>
      <c r="D34" s="86" t="s">
        <v>62</v>
      </c>
    </row>
  </sheetData>
  <mergeCells count="2">
    <mergeCell ref="C3:Q3"/>
    <mergeCell ref="R3:AF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35400"/>
  </sheetPr>
  <dimension ref="B2:N28"/>
  <sheetViews>
    <sheetView showGridLines="0" zoomScale="115" zoomScaleNormal="115" workbookViewId="0">
      <selection activeCell="M11" sqref="M11"/>
    </sheetView>
  </sheetViews>
  <sheetFormatPr baseColWidth="10" defaultColWidth="8.6328125" defaultRowHeight="14"/>
  <cols>
    <col min="1" max="1" width="5.36328125" style="72" customWidth="1"/>
    <col min="2" max="2" width="28.08984375" style="72" customWidth="1"/>
    <col min="3" max="3" width="13.26953125" style="72" bestFit="1" customWidth="1"/>
    <col min="4" max="4" width="15.08984375" style="72" bestFit="1" customWidth="1"/>
    <col min="5" max="5" width="11.90625" style="72" bestFit="1" customWidth="1"/>
    <col min="6" max="6" width="12.08984375" style="72" bestFit="1" customWidth="1"/>
    <col min="7" max="7" width="4" style="72" customWidth="1"/>
    <col min="8" max="8" width="16" style="72" customWidth="1"/>
    <col min="9" max="9" width="2.81640625" style="72" customWidth="1"/>
    <col min="10" max="10" width="28.08984375" style="72" customWidth="1"/>
    <col min="11" max="11" width="13.26953125" style="72" bestFit="1" customWidth="1"/>
    <col min="12" max="12" width="15.08984375" style="72" bestFit="1" customWidth="1"/>
    <col min="13" max="13" width="11.90625" style="72" bestFit="1" customWidth="1"/>
    <col min="14" max="14" width="12.08984375" style="72" bestFit="1" customWidth="1"/>
    <col min="15" max="15" width="4" style="72" customWidth="1"/>
    <col min="16" max="16" width="16" style="72" customWidth="1"/>
    <col min="17" max="16384" width="8.6328125" style="72"/>
  </cols>
  <sheetData>
    <row r="2" spans="2:14" ht="18">
      <c r="B2" s="73" t="s">
        <v>123</v>
      </c>
      <c r="J2" s="73" t="s">
        <v>507</v>
      </c>
    </row>
    <row r="3" spans="2:14">
      <c r="B3" s="74" t="s">
        <v>124</v>
      </c>
      <c r="J3" s="74" t="s">
        <v>124</v>
      </c>
    </row>
    <row r="5" spans="2:14">
      <c r="B5" s="231" t="s">
        <v>125</v>
      </c>
      <c r="C5" s="231" t="s">
        <v>126</v>
      </c>
      <c r="D5" s="231" t="s">
        <v>127</v>
      </c>
      <c r="E5" s="231" t="s">
        <v>128</v>
      </c>
      <c r="J5" s="231" t="s">
        <v>125</v>
      </c>
      <c r="K5" s="231" t="s">
        <v>126</v>
      </c>
      <c r="L5" s="231" t="s">
        <v>127</v>
      </c>
      <c r="M5" s="231" t="s">
        <v>128</v>
      </c>
    </row>
    <row r="6" spans="2:14">
      <c r="B6" s="232" t="s">
        <v>129</v>
      </c>
      <c r="C6" s="233">
        <f>Ej_Resultados!O6</f>
        <v>4208607.2309499998</v>
      </c>
      <c r="D6" s="234">
        <f>+Ej_Resultados!P6</f>
        <v>10820400</v>
      </c>
      <c r="E6" s="235">
        <f t="shared" ref="E6:E13" si="0">IF(D6=0,0,(C6-D6)/ABS(D6))</f>
        <v>-0.61104883082418393</v>
      </c>
      <c r="J6" s="232" t="s">
        <v>129</v>
      </c>
      <c r="K6" s="233">
        <f>+Ej_Resultados!AD6</f>
        <v>17355345</v>
      </c>
      <c r="L6" s="234">
        <f>+Ej_Resultados!AE6</f>
        <v>13591134</v>
      </c>
      <c r="M6" s="317">
        <f t="shared" ref="M6:M13" si="1">IF(L6=0,0,(K6-L6)/ABS(L6))</f>
        <v>0.27696077457554313</v>
      </c>
    </row>
    <row r="7" spans="2:14">
      <c r="B7" s="232" t="s">
        <v>130</v>
      </c>
      <c r="C7" s="233">
        <f>Ej_Costos!O65</f>
        <v>4501298.9115020428</v>
      </c>
      <c r="D7" s="234">
        <f>+Ej_Resultados!P7</f>
        <v>9743974.7537199985</v>
      </c>
      <c r="E7" s="235">
        <f t="shared" si="0"/>
        <v>-0.53804283926499674</v>
      </c>
      <c r="J7" s="232" t="s">
        <v>130</v>
      </c>
      <c r="K7" s="233">
        <f>+Ej_Costos!AD65</f>
        <v>15700992.104202747</v>
      </c>
      <c r="L7" s="234">
        <f>+Ej_Costos!AE65</f>
        <v>12211778.96381125</v>
      </c>
      <c r="M7" s="317">
        <f t="shared" si="1"/>
        <v>0.28572521257808015</v>
      </c>
    </row>
    <row r="8" spans="2:14">
      <c r="B8" s="232" t="s">
        <v>131</v>
      </c>
      <c r="C8" s="233">
        <f>Ej_Resultados!O13</f>
        <v>-23859.585545665745</v>
      </c>
      <c r="D8" s="234">
        <f>+Ej_Resultados!P13</f>
        <v>841163.39898000145</v>
      </c>
      <c r="E8" s="235">
        <f t="shared" si="0"/>
        <v>-1.0283649830396782</v>
      </c>
      <c r="J8" s="232" t="s">
        <v>131</v>
      </c>
      <c r="K8" s="233">
        <f>+Ej_Resultados!AD13</f>
        <v>2449376.1146034845</v>
      </c>
      <c r="L8" s="234">
        <f>+Ej_Resultados!AE13</f>
        <v>1868907.6361887497</v>
      </c>
      <c r="M8" s="317">
        <f t="shared" si="1"/>
        <v>0.310592384115076</v>
      </c>
    </row>
    <row r="9" spans="2:14">
      <c r="B9" s="232" t="s">
        <v>132</v>
      </c>
      <c r="C9" s="233">
        <f>Ej_Resultados!O20</f>
        <v>-334777.75286154257</v>
      </c>
      <c r="D9" s="234">
        <f>+Ej_Resultados!P20</f>
        <v>360858.39898000145</v>
      </c>
      <c r="E9" s="235">
        <f t="shared" si="0"/>
        <v>-1.9277260936916583</v>
      </c>
      <c r="J9" s="232" t="s">
        <v>132</v>
      </c>
      <c r="K9" s="233">
        <f>+Ej_Resultados!AD20</f>
        <v>1480799.4457972522</v>
      </c>
      <c r="L9" s="234">
        <f>+Ej_Resultados!AE20</f>
        <v>1243443.6961887495</v>
      </c>
      <c r="M9" s="317">
        <f t="shared" si="1"/>
        <v>0.19088580394594168</v>
      </c>
    </row>
    <row r="10" spans="2:14">
      <c r="B10" s="232" t="s">
        <v>27</v>
      </c>
      <c r="C10" s="236">
        <f>Ej_Resultados!O23</f>
        <v>-5.6692355062745951E-3</v>
      </c>
      <c r="D10" s="237">
        <f>+Ej_Resultados!P23</f>
        <v>7.7738660214040287E-2</v>
      </c>
      <c r="E10" s="235">
        <f t="shared" si="0"/>
        <v>-1.0729268486318817</v>
      </c>
      <c r="J10" s="232" t="s">
        <v>27</v>
      </c>
      <c r="K10" s="236">
        <f>+Ej_Resultados!AD23</f>
        <v>0.1411309377372495</v>
      </c>
      <c r="L10" s="237">
        <f>+Ej_Resultados!AE23</f>
        <v>0.13750932307699634</v>
      </c>
      <c r="M10" s="317">
        <f t="shared" si="1"/>
        <v>2.633722993622245E-2</v>
      </c>
    </row>
    <row r="11" spans="2:14">
      <c r="B11" s="232" t="s">
        <v>28</v>
      </c>
      <c r="C11" s="236">
        <f>Ej_Resultados!O24</f>
        <v>-7.9545971978471824E-2</v>
      </c>
      <c r="D11" s="237">
        <f>+Ej_Resultados!P24</f>
        <v>3.3349820614764839E-2</v>
      </c>
      <c r="E11" s="235">
        <f t="shared" si="0"/>
        <v>-3.3851993957429185</v>
      </c>
      <c r="J11" s="232" t="s">
        <v>28</v>
      </c>
      <c r="K11" s="236">
        <f>+Ej_Resultados!AD24</f>
        <v>8.5322386031349548E-2</v>
      </c>
      <c r="L11" s="237">
        <f>+Ej_Resultados!AE24</f>
        <v>9.1489326511588323E-2</v>
      </c>
      <c r="M11" s="235">
        <f t="shared" si="1"/>
        <v>-6.7406119548356833E-2</v>
      </c>
    </row>
    <row r="12" spans="2:14">
      <c r="B12" s="232" t="s">
        <v>29</v>
      </c>
      <c r="C12" s="233">
        <f>Ej_Producción!O33</f>
        <v>4315.1660000000002</v>
      </c>
      <c r="D12" s="234">
        <f>+Ej_Producción!O18</f>
        <v>11087</v>
      </c>
      <c r="E12" s="235">
        <f t="shared" si="0"/>
        <v>-0.61079047533146924</v>
      </c>
      <c r="J12" s="232" t="s">
        <v>29</v>
      </c>
      <c r="K12" s="233">
        <f>+Ej_Producción!AD33</f>
        <v>14235</v>
      </c>
      <c r="L12" s="234">
        <f>+Ej_Producción!AE18</f>
        <v>12587</v>
      </c>
      <c r="M12" s="317">
        <f t="shared" si="1"/>
        <v>0.13092873599745769</v>
      </c>
    </row>
    <row r="13" spans="2:14">
      <c r="B13" s="232" t="s">
        <v>30</v>
      </c>
      <c r="C13" s="233">
        <f>Ej_Producción!O48</f>
        <v>4195.1660000000002</v>
      </c>
      <c r="D13" s="234">
        <f>+Ej_Producción!P48</f>
        <v>10920</v>
      </c>
      <c r="E13" s="235">
        <f t="shared" si="0"/>
        <v>-0.61582728937728937</v>
      </c>
      <c r="J13" s="232" t="s">
        <v>30</v>
      </c>
      <c r="K13" s="233">
        <f>+Ej_Producción!AD48</f>
        <v>14235</v>
      </c>
      <c r="L13" s="234">
        <f>+Ej_Producción!AE48</f>
        <v>12397</v>
      </c>
      <c r="M13" s="317">
        <f t="shared" si="1"/>
        <v>0.14826167621198677</v>
      </c>
    </row>
    <row r="15" spans="2:14" ht="15.5">
      <c r="B15" s="179" t="s">
        <v>133</v>
      </c>
      <c r="J15" s="179" t="s">
        <v>133</v>
      </c>
    </row>
    <row r="16" spans="2:14" ht="28">
      <c r="B16" s="78" t="s">
        <v>134</v>
      </c>
      <c r="C16" s="78" t="s">
        <v>135</v>
      </c>
      <c r="D16" s="78" t="s">
        <v>136</v>
      </c>
      <c r="E16" s="78" t="s">
        <v>137</v>
      </c>
      <c r="F16" s="78" t="s">
        <v>138</v>
      </c>
      <c r="J16" s="78" t="s">
        <v>134</v>
      </c>
      <c r="K16" s="78" t="s">
        <v>135</v>
      </c>
      <c r="L16" s="78" t="s">
        <v>136</v>
      </c>
      <c r="M16" s="78" t="s">
        <v>137</v>
      </c>
      <c r="N16" s="78" t="s">
        <v>138</v>
      </c>
    </row>
    <row r="17" spans="2:14">
      <c r="B17" s="238" t="s">
        <v>139</v>
      </c>
      <c r="C17" s="223">
        <f>SUM(Ej_Ingresos!C34:C34)</f>
        <v>20196</v>
      </c>
      <c r="D17" s="87">
        <v>901700</v>
      </c>
      <c r="E17" s="223">
        <f>SUM(Ej_Resultados!$C$13:$C$13)</f>
        <v>-24628.219193904246</v>
      </c>
      <c r="F17" s="87">
        <v>70096.949915000121</v>
      </c>
      <c r="J17" s="238" t="s">
        <v>139</v>
      </c>
      <c r="K17" s="223">
        <f>SUM(Ej_Ingresos!$R$34:R34)</f>
        <v>865260</v>
      </c>
      <c r="L17" s="87">
        <f>(+Ej_Ingresos!$AE$34/12)*1</f>
        <v>1132594.5</v>
      </c>
      <c r="M17" s="223">
        <f>SUM(Ej_Resultados!$R$13:R13)</f>
        <v>124525.02087980449</v>
      </c>
      <c r="N17" s="87">
        <f>Ej_Resultados!$AE$13/12*1</f>
        <v>155742.30301572915</v>
      </c>
    </row>
    <row r="18" spans="2:14">
      <c r="B18" s="238" t="s">
        <v>140</v>
      </c>
      <c r="C18" s="223">
        <f>SUM(Ej_Ingresos!C34:D34)</f>
        <v>20196</v>
      </c>
      <c r="D18" s="87">
        <v>1803400</v>
      </c>
      <c r="E18" s="223">
        <f>SUM(Ej_Resultados!$C$13:$D$13)</f>
        <v>-46351.929023171084</v>
      </c>
      <c r="F18" s="87">
        <v>140193.89983000024</v>
      </c>
      <c r="J18" s="238" t="s">
        <v>140</v>
      </c>
      <c r="K18" s="223">
        <f>SUM(Ej_Ingresos!$R$34:S34)</f>
        <v>1853430</v>
      </c>
      <c r="L18" s="87">
        <f>(+Ej_Ingresos!$AE$34/12)*2</f>
        <v>2265189</v>
      </c>
      <c r="M18" s="223">
        <f>SUM(Ej_Resultados!$R$13:S13)</f>
        <v>238448.8627845314</v>
      </c>
      <c r="N18" s="87">
        <f>Ej_Resultados!$AE$13/12*2</f>
        <v>311484.6060314583</v>
      </c>
    </row>
    <row r="19" spans="2:14">
      <c r="B19" s="238" t="s">
        <v>141</v>
      </c>
      <c r="C19" s="223">
        <f>SUM(Ej_Ingresos!C34:E34)</f>
        <v>129294.9488</v>
      </c>
      <c r="D19" s="87">
        <v>2705100</v>
      </c>
      <c r="E19" s="223">
        <f>SUM(Ej_Resultados!$C$13:$E$13)</f>
        <v>-95315.723656166316</v>
      </c>
      <c r="F19" s="87">
        <v>210290.84974500036</v>
      </c>
      <c r="J19" s="238" t="s">
        <v>141</v>
      </c>
      <c r="K19" s="223">
        <f>SUM(Ej_Ingresos!$R$34:T34)</f>
        <v>3227955</v>
      </c>
      <c r="L19" s="87">
        <f>(+Ej_Ingresos!$AE$34/12)*3</f>
        <v>3397783.5</v>
      </c>
      <c r="M19" s="223">
        <f>SUM(Ej_Resultados!$R$13:T13)</f>
        <v>430781.50720908178</v>
      </c>
      <c r="N19" s="87">
        <f>Ej_Resultados!$AE$13/12*3</f>
        <v>467226.90904718742</v>
      </c>
    </row>
    <row r="20" spans="2:14">
      <c r="B20" s="238" t="s">
        <v>142</v>
      </c>
      <c r="C20" s="223">
        <f>SUM(Ej_Ingresos!C34:F34)</f>
        <v>284234.36745000002</v>
      </c>
      <c r="D20" s="87">
        <v>3606800</v>
      </c>
      <c r="E20" s="223">
        <f>SUM(Ej_Resultados!$C$13:$F$13)</f>
        <v>-142602.92340694153</v>
      </c>
      <c r="F20" s="87">
        <v>280387.79966000048</v>
      </c>
      <c r="J20" s="238" t="s">
        <v>142</v>
      </c>
      <c r="K20" s="223">
        <f>SUM(Ej_Ingresos!$R$34:U34)</f>
        <v>4717185</v>
      </c>
      <c r="L20" s="87">
        <f>(+Ej_Ingresos!$AE$34/12)*4</f>
        <v>4530378</v>
      </c>
      <c r="M20" s="223">
        <f>SUM(Ej_Resultados!$R$13:U13)</f>
        <v>627244.3218182493</v>
      </c>
      <c r="N20" s="87">
        <f>Ej_Resultados!$AE$13/12*4</f>
        <v>622969.2120629166</v>
      </c>
    </row>
    <row r="21" spans="2:14">
      <c r="B21" s="238" t="s">
        <v>143</v>
      </c>
      <c r="C21" s="223">
        <f>SUM(Ej_Ingresos!C34:G34)</f>
        <v>496577.74294999999</v>
      </c>
      <c r="D21" s="87">
        <v>4508500</v>
      </c>
      <c r="E21" s="223">
        <f>SUM(Ej_Resultados!$C$13:$G$13)</f>
        <v>-405676.57625111652</v>
      </c>
      <c r="F21" s="87">
        <v>350484.74957500061</v>
      </c>
      <c r="J21" s="238" t="s">
        <v>143</v>
      </c>
      <c r="K21" s="223">
        <f>SUM(Ej_Ingresos!$R$34:V34)</f>
        <v>6296955</v>
      </c>
      <c r="L21" s="87">
        <f>(+Ej_Ingresos!$AE$34/12)*5</f>
        <v>5662972.5</v>
      </c>
      <c r="M21" s="223">
        <f>SUM(Ej_Resultados!$R$13:V13)</f>
        <v>855010.79591640376</v>
      </c>
      <c r="N21" s="87">
        <f>Ej_Resultados!$AE$13/12*5</f>
        <v>778711.51507864578</v>
      </c>
    </row>
    <row r="22" spans="2:14">
      <c r="B22" s="238" t="s">
        <v>144</v>
      </c>
      <c r="C22" s="223">
        <f>SUM(Ej_Ingresos!C34:H34)</f>
        <v>1043777.23095</v>
      </c>
      <c r="D22" s="87">
        <v>5410200</v>
      </c>
      <c r="E22" s="223">
        <f>SUM(Ej_Resultados!$C$13:$H$13)</f>
        <v>-238477.64735216566</v>
      </c>
      <c r="F22" s="87">
        <v>420581.69949000073</v>
      </c>
      <c r="J22" s="238" t="s">
        <v>144</v>
      </c>
      <c r="K22" s="223">
        <f>SUM(Ej_Ingresos!$R$34:W34)</f>
        <v>7876725</v>
      </c>
      <c r="L22" s="87">
        <f>(+Ej_Ingresos!$AE$34/12)*6</f>
        <v>6795567</v>
      </c>
      <c r="M22" s="223">
        <f>SUM(Ej_Resultados!$R$13:W13)</f>
        <v>1082777.2700145582</v>
      </c>
      <c r="N22" s="87">
        <f>Ej_Resultados!$AE$13/12*6</f>
        <v>934453.81809437484</v>
      </c>
    </row>
    <row r="23" spans="2:14">
      <c r="B23" s="238" t="s">
        <v>145</v>
      </c>
      <c r="C23" s="223">
        <f>SUM(Ej_Ingresos!C34:I34)</f>
        <v>1302637.23095</v>
      </c>
      <c r="D23" s="87">
        <v>6311900</v>
      </c>
      <c r="E23" s="223">
        <f>SUM(Ej_Resultados!$C$13:$I$13)</f>
        <v>-245080.84451150824</v>
      </c>
      <c r="F23" s="87">
        <v>490678.64940500085</v>
      </c>
      <c r="J23" s="238" t="s">
        <v>145</v>
      </c>
      <c r="K23" s="223">
        <f>SUM(Ej_Ingresos!$R$34:X34)</f>
        <v>9456495</v>
      </c>
      <c r="L23" s="87">
        <f>(+Ej_Ingresos!$AE$34/12)*7</f>
        <v>7928161.5</v>
      </c>
      <c r="M23" s="223">
        <f>SUM(Ej_Resultados!$R$13:X13)</f>
        <v>1310543.7441127128</v>
      </c>
      <c r="N23" s="87">
        <f>Ej_Resultados!$AE$13/12*7</f>
        <v>1090196.121110104</v>
      </c>
    </row>
    <row r="24" spans="2:14">
      <c r="B24" s="238" t="s">
        <v>146</v>
      </c>
      <c r="C24" s="223">
        <f>SUM(Ej_Ingresos!C34:J34)</f>
        <v>1597107.23095</v>
      </c>
      <c r="D24" s="87">
        <v>7213600</v>
      </c>
      <c r="E24" s="223">
        <f>SUM(Ej_Resultados!$C$13:$J$13)</f>
        <v>-232054.25406162319</v>
      </c>
      <c r="F24" s="87">
        <v>560775.59932000097</v>
      </c>
      <c r="J24" s="238" t="s">
        <v>146</v>
      </c>
      <c r="K24" s="223">
        <f>SUM(Ej_Ingresos!$R$34:Y34)</f>
        <v>11036265</v>
      </c>
      <c r="L24" s="87">
        <f>(+Ej_Ingresos!$AE$34/12)*8</f>
        <v>9060756</v>
      </c>
      <c r="M24" s="223">
        <f>SUM(Ej_Resultados!$R$13:Y13)</f>
        <v>1538310.2182108671</v>
      </c>
      <c r="N24" s="87">
        <f>Ej_Resultados!$AE$13/12*8</f>
        <v>1245938.4241258332</v>
      </c>
    </row>
    <row r="25" spans="2:14">
      <c r="B25" s="238" t="s">
        <v>147</v>
      </c>
      <c r="C25" s="223">
        <f>SUM(Ej_Ingresos!C34:K34)</f>
        <v>1917747.23095</v>
      </c>
      <c r="D25" s="87">
        <v>8115300</v>
      </c>
      <c r="E25" s="223">
        <f>SUM(Ej_Resultados!$C$13:$K$13)</f>
        <v>-208815.99749130011</v>
      </c>
      <c r="F25" s="87">
        <v>630872.54923500109</v>
      </c>
      <c r="J25" s="238" t="s">
        <v>147</v>
      </c>
      <c r="K25" s="223">
        <f>SUM(Ej_Ingresos!$R$34:Z34)</f>
        <v>12616035</v>
      </c>
      <c r="L25" s="87">
        <f>(+Ej_Ingresos!$AE$34/12)*9</f>
        <v>10193350.5</v>
      </c>
      <c r="M25" s="223">
        <f>SUM(Ej_Resultados!$R$13:Z13)</f>
        <v>1766076.6923090215</v>
      </c>
      <c r="N25" s="87">
        <f>Ej_Resultados!$AE$13/12*9</f>
        <v>1401680.7271415624</v>
      </c>
    </row>
    <row r="26" spans="2:14">
      <c r="B26" s="238" t="s">
        <v>148</v>
      </c>
      <c r="C26" s="223">
        <f>SUM(Ej_Ingresos!C34:L34)</f>
        <v>2625327.2309499998</v>
      </c>
      <c r="D26" s="87">
        <v>9017000</v>
      </c>
      <c r="E26" s="223">
        <f>SUM(Ej_Resultados!$C$13:$L$13)</f>
        <v>-122419.55298944087</v>
      </c>
      <c r="F26" s="87">
        <v>700969.49915000121</v>
      </c>
      <c r="J26" s="238" t="s">
        <v>148</v>
      </c>
      <c r="K26" s="223">
        <f>SUM(Ej_Ingresos!$R$34:AA34)</f>
        <v>14195805</v>
      </c>
      <c r="L26" s="87">
        <f>(+Ej_Ingresos!$AE$34/12)*10</f>
        <v>11325945</v>
      </c>
      <c r="M26" s="223">
        <f>SUM(Ej_Resultados!$R$13:AA13)</f>
        <v>1993843.1664071758</v>
      </c>
      <c r="N26" s="87">
        <f>Ej_Resultados!$AE$13/12*10</f>
        <v>1557423.0301572916</v>
      </c>
    </row>
    <row r="27" spans="2:14">
      <c r="B27" s="238" t="s">
        <v>149</v>
      </c>
      <c r="C27" s="223">
        <f>SUM(Ej_Ingresos!C34:M34)</f>
        <v>3505227.2309499998</v>
      </c>
      <c r="D27" s="87">
        <v>9918700</v>
      </c>
      <c r="E27" s="223">
        <f>SUM(Ej_Resultados!$C$13:$M$13)</f>
        <v>-52960.656626532349</v>
      </c>
      <c r="F27" s="87">
        <v>771066.44906500133</v>
      </c>
      <c r="J27" s="238" t="s">
        <v>149</v>
      </c>
      <c r="K27" s="223">
        <f>SUM(Ej_Ingresos!$R$34:AB34)</f>
        <v>15775575</v>
      </c>
      <c r="L27" s="87">
        <f>(+Ej_Ingresos!$AE$34/12)*11</f>
        <v>12458539.5</v>
      </c>
      <c r="M27" s="223">
        <f>SUM(Ej_Resultados!$R$13:AB13)</f>
        <v>2221609.6405053302</v>
      </c>
      <c r="N27" s="87">
        <f>Ej_Resultados!$AE$13/12*11</f>
        <v>1713165.3331730207</v>
      </c>
    </row>
    <row r="28" spans="2:14">
      <c r="B28" s="238" t="s">
        <v>150</v>
      </c>
      <c r="C28" s="223">
        <f>SUM(Ej_Ingresos!C34:N34)</f>
        <v>4208607.2309499998</v>
      </c>
      <c r="D28" s="87">
        <v>10820400</v>
      </c>
      <c r="E28" s="223">
        <f>SUM(Ej_Resultados!$C$13:$N$13)</f>
        <v>-23859.585545665745</v>
      </c>
      <c r="F28" s="87">
        <v>841163.39898000145</v>
      </c>
      <c r="J28" s="238" t="s">
        <v>150</v>
      </c>
      <c r="K28" s="223">
        <f>SUM(Ej_Ingresos!$R$34:AC34)</f>
        <v>17355345</v>
      </c>
      <c r="L28" s="87">
        <f>(+Ej_Ingresos!$AE$34/12)*12</f>
        <v>13591134</v>
      </c>
      <c r="M28" s="223">
        <f>SUM(Ej_Resultados!$R$13:AC13)</f>
        <v>2449376.1146034845</v>
      </c>
      <c r="N28" s="87">
        <f>Ej_Resultados!$AE$13/12*12</f>
        <v>1868907.6361887497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</sheetPr>
  <dimension ref="A1:G87"/>
  <sheetViews>
    <sheetView zoomScaleNormal="100" workbookViewId="0">
      <pane ySplit="4" topLeftCell="A5" activePane="bottomLeft" state="frozen"/>
      <selection pane="bottomLeft" activeCell="B18" sqref="B18"/>
    </sheetView>
  </sheetViews>
  <sheetFormatPr baseColWidth="10" defaultColWidth="8.6328125" defaultRowHeight="14.5"/>
  <cols>
    <col min="1" max="1" width="45" customWidth="1"/>
    <col min="2" max="2" width="18" customWidth="1"/>
    <col min="3" max="3" width="12" customWidth="1"/>
    <col min="4" max="4" width="50" customWidth="1"/>
    <col min="5" max="5" width="18" customWidth="1"/>
  </cols>
  <sheetData>
    <row r="1" spans="1:5" ht="17.25" customHeight="1">
      <c r="A1" s="1" t="s">
        <v>32</v>
      </c>
    </row>
    <row r="2" spans="1:5" ht="15" customHeight="1">
      <c r="A2" s="7" t="s">
        <v>33</v>
      </c>
    </row>
    <row r="3" spans="1:5" ht="15" customHeight="1">
      <c r="A3" s="2" t="s">
        <v>34</v>
      </c>
    </row>
    <row r="5" spans="1:5" ht="15" customHeight="1">
      <c r="A5" s="8" t="s">
        <v>35</v>
      </c>
      <c r="B5" s="9"/>
      <c r="C5" s="9"/>
      <c r="D5" s="9"/>
      <c r="E5" s="67" t="s">
        <v>476</v>
      </c>
    </row>
    <row r="6" spans="1:5" ht="15" customHeight="1">
      <c r="A6" s="6" t="s">
        <v>36</v>
      </c>
      <c r="B6" s="68">
        <v>6145</v>
      </c>
      <c r="D6" s="11" t="s">
        <v>37</v>
      </c>
      <c r="E6" s="53">
        <v>7800</v>
      </c>
    </row>
    <row r="7" spans="1:5" ht="15" customHeight="1">
      <c r="A7" s="6" t="s">
        <v>38</v>
      </c>
      <c r="B7" s="53">
        <v>10</v>
      </c>
      <c r="D7" s="11"/>
      <c r="E7" s="53">
        <v>10</v>
      </c>
    </row>
    <row r="8" spans="1:5" ht="15" customHeight="1">
      <c r="A8" s="6" t="s">
        <v>39</v>
      </c>
      <c r="B8" s="54">
        <v>1.4999999999999999E-2</v>
      </c>
      <c r="D8" s="11" t="s">
        <v>40</v>
      </c>
      <c r="E8" s="54">
        <v>1.4999999999999999E-2</v>
      </c>
    </row>
    <row r="10" spans="1:5" ht="15" customHeight="1">
      <c r="A10" s="8" t="s">
        <v>41</v>
      </c>
      <c r="B10" s="9"/>
      <c r="C10" s="9"/>
      <c r="D10" s="9"/>
      <c r="E10" s="9"/>
    </row>
    <row r="11" spans="1:5" ht="15" customHeight="1">
      <c r="A11" s="6" t="s">
        <v>42</v>
      </c>
      <c r="B11" s="54">
        <v>0.05</v>
      </c>
      <c r="D11" s="11" t="s">
        <v>43</v>
      </c>
      <c r="E11" s="54">
        <v>0.05</v>
      </c>
    </row>
    <row r="13" spans="1:5" ht="15" customHeight="1">
      <c r="A13" s="8" t="s">
        <v>44</v>
      </c>
      <c r="B13" s="9"/>
      <c r="C13" s="9"/>
      <c r="D13" s="9"/>
      <c r="E13" s="9"/>
    </row>
    <row r="14" spans="1:5" ht="15" customHeight="1">
      <c r="A14" s="6" t="s">
        <v>45</v>
      </c>
      <c r="B14" s="54">
        <v>0.05</v>
      </c>
      <c r="D14" s="11" t="s">
        <v>43</v>
      </c>
      <c r="E14" s="54">
        <v>0.05</v>
      </c>
    </row>
    <row r="15" spans="1:5" ht="15" customHeight="1">
      <c r="A15" s="6" t="s">
        <v>46</v>
      </c>
      <c r="B15" s="54">
        <v>0.02</v>
      </c>
      <c r="D15" s="11" t="s">
        <v>47</v>
      </c>
      <c r="E15" s="54">
        <v>0.02</v>
      </c>
    </row>
    <row r="17" spans="1:5" ht="15" customHeight="1">
      <c r="A17" s="8" t="s">
        <v>48</v>
      </c>
      <c r="B17" s="9"/>
      <c r="C17" s="9"/>
      <c r="D17" s="9"/>
      <c r="E17" s="9"/>
    </row>
    <row r="18" spans="1:5" ht="15" customHeight="1">
      <c r="A18" s="6" t="s">
        <v>49</v>
      </c>
      <c r="B18" s="54">
        <v>0.03</v>
      </c>
      <c r="D18" s="11" t="s">
        <v>50</v>
      </c>
      <c r="E18" s="54">
        <v>0.03</v>
      </c>
    </row>
    <row r="20" spans="1:5" ht="15" customHeight="1">
      <c r="A20" s="8" t="s">
        <v>51</v>
      </c>
      <c r="B20" s="9"/>
      <c r="C20" s="9"/>
      <c r="D20" s="9"/>
      <c r="E20" s="9"/>
    </row>
    <row r="21" spans="1:5" ht="15" customHeight="1">
      <c r="A21" s="6" t="s">
        <v>52</v>
      </c>
      <c r="B21" s="54">
        <v>0.03</v>
      </c>
      <c r="D21" s="11" t="s">
        <v>53</v>
      </c>
      <c r="E21" s="54">
        <v>0.03</v>
      </c>
    </row>
    <row r="22" spans="1:5" ht="15" customHeight="1">
      <c r="A22" s="6" t="s">
        <v>54</v>
      </c>
      <c r="B22" s="54">
        <v>0.43090000000000001</v>
      </c>
      <c r="D22" s="11" t="s">
        <v>55</v>
      </c>
      <c r="E22" s="54">
        <v>0.43090000000000001</v>
      </c>
    </row>
    <row r="24" spans="1:5" ht="15" customHeight="1">
      <c r="A24" s="8" t="s">
        <v>56</v>
      </c>
      <c r="B24" s="9"/>
      <c r="C24" s="9"/>
      <c r="D24" s="9"/>
      <c r="E24" s="9"/>
    </row>
    <row r="25" spans="1:5" ht="15" customHeight="1">
      <c r="A25" s="6" t="s">
        <v>57</v>
      </c>
      <c r="B25" s="53">
        <v>4468594</v>
      </c>
      <c r="D25" s="11"/>
      <c r="E25" s="53">
        <v>4468594</v>
      </c>
    </row>
    <row r="26" spans="1:5" ht="15" customHeight="1">
      <c r="A26" s="6" t="s">
        <v>58</v>
      </c>
      <c r="B26" s="54">
        <v>0.09</v>
      </c>
      <c r="D26" s="11" t="s">
        <v>59</v>
      </c>
      <c r="E26" s="54">
        <v>0.09</v>
      </c>
    </row>
    <row r="27" spans="1:5" ht="15" customHeight="1">
      <c r="A27" s="6" t="s">
        <v>60</v>
      </c>
      <c r="B27" s="53">
        <v>60</v>
      </c>
      <c r="D27" s="11" t="s">
        <v>61</v>
      </c>
      <c r="E27" s="53">
        <v>60</v>
      </c>
    </row>
    <row r="28" spans="1:5" ht="15" customHeight="1">
      <c r="A28" s="6" t="s">
        <v>62</v>
      </c>
      <c r="B28" s="54">
        <v>0.1</v>
      </c>
      <c r="D28" s="11" t="s">
        <v>63</v>
      </c>
      <c r="E28" s="54">
        <v>0.1</v>
      </c>
    </row>
    <row r="30" spans="1:5" ht="15" customHeight="1">
      <c r="A30" s="8" t="s">
        <v>64</v>
      </c>
      <c r="B30" s="9"/>
      <c r="C30" s="9"/>
      <c r="D30" s="9"/>
      <c r="E30" s="9"/>
    </row>
    <row r="31" spans="1:5" ht="15" customHeight="1">
      <c r="A31" s="6" t="s">
        <v>65</v>
      </c>
      <c r="B31" s="53">
        <v>1100000</v>
      </c>
      <c r="D31" s="11"/>
      <c r="E31" s="53">
        <v>1100000</v>
      </c>
    </row>
    <row r="32" spans="1:5" ht="15" customHeight="1">
      <c r="A32" s="6" t="s">
        <v>66</v>
      </c>
      <c r="B32" s="54">
        <v>0.09</v>
      </c>
      <c r="D32" s="11" t="s">
        <v>59</v>
      </c>
      <c r="E32" s="54">
        <v>0.09</v>
      </c>
    </row>
    <row r="33" spans="1:5" ht="15" customHeight="1">
      <c r="A33" s="6" t="s">
        <v>67</v>
      </c>
      <c r="B33" s="53">
        <v>60</v>
      </c>
      <c r="D33" s="11" t="s">
        <v>61</v>
      </c>
      <c r="E33" s="53">
        <v>60</v>
      </c>
    </row>
    <row r="35" spans="1:5" ht="15" customHeight="1">
      <c r="A35" s="8" t="s">
        <v>68</v>
      </c>
      <c r="B35" s="9"/>
      <c r="C35" s="9"/>
      <c r="D35" s="9"/>
      <c r="E35" s="9"/>
    </row>
    <row r="36" spans="1:5" ht="15" customHeight="1">
      <c r="A36" s="6" t="s">
        <v>69</v>
      </c>
      <c r="B36" s="53">
        <v>300000</v>
      </c>
      <c r="D36" s="11"/>
      <c r="E36" s="53">
        <v>300000</v>
      </c>
    </row>
    <row r="37" spans="1:5" ht="15" customHeight="1">
      <c r="A37" s="6" t="s">
        <v>70</v>
      </c>
      <c r="B37" s="53">
        <v>306000</v>
      </c>
      <c r="D37" s="11" t="s">
        <v>71</v>
      </c>
      <c r="E37" s="53">
        <v>306000</v>
      </c>
    </row>
    <row r="38" spans="1:5" ht="15" customHeight="1">
      <c r="A38" s="6" t="s">
        <v>72</v>
      </c>
      <c r="B38" s="56">
        <f>B36+B37</f>
        <v>606000</v>
      </c>
      <c r="D38" s="11" t="s">
        <v>73</v>
      </c>
      <c r="E38" s="56">
        <f>E36+E37</f>
        <v>606000</v>
      </c>
    </row>
    <row r="40" spans="1:5" ht="15" customHeight="1">
      <c r="A40" s="8" t="s">
        <v>74</v>
      </c>
      <c r="B40" s="9"/>
      <c r="C40" s="9"/>
      <c r="D40" s="9"/>
      <c r="E40" s="9"/>
    </row>
    <row r="41" spans="1:5" ht="15" customHeight="1">
      <c r="A41" s="6" t="s">
        <v>75</v>
      </c>
      <c r="B41" s="53">
        <v>10</v>
      </c>
      <c r="D41" s="11"/>
      <c r="E41" s="53">
        <v>10</v>
      </c>
    </row>
    <row r="42" spans="1:5" ht="15" customHeight="1">
      <c r="A42" s="6" t="s">
        <v>76</v>
      </c>
      <c r="B42" s="53">
        <v>20</v>
      </c>
      <c r="D42" s="11"/>
      <c r="E42" s="53">
        <v>20</v>
      </c>
    </row>
    <row r="44" spans="1:5" ht="15" customHeight="1">
      <c r="A44" s="8" t="s">
        <v>77</v>
      </c>
      <c r="B44" s="9"/>
      <c r="C44" s="9"/>
      <c r="D44" s="9"/>
      <c r="E44" s="9"/>
    </row>
    <row r="45" spans="1:5" ht="15" customHeight="1">
      <c r="A45" s="6" t="s">
        <v>78</v>
      </c>
      <c r="B45" s="53">
        <v>150000</v>
      </c>
      <c r="D45" s="11"/>
      <c r="E45" s="53">
        <v>150000</v>
      </c>
    </row>
    <row r="46" spans="1:5" ht="15" customHeight="1">
      <c r="A46" s="6" t="s">
        <v>79</v>
      </c>
      <c r="B46" s="53">
        <v>15000</v>
      </c>
      <c r="D46" s="11" t="s">
        <v>63</v>
      </c>
      <c r="E46" s="53">
        <v>15000</v>
      </c>
    </row>
    <row r="47" spans="1:5" ht="15" customHeight="1">
      <c r="A47" s="6" t="s">
        <v>80</v>
      </c>
      <c r="B47" s="53">
        <v>848239</v>
      </c>
      <c r="D47" s="11" t="s">
        <v>81</v>
      </c>
      <c r="E47" s="53">
        <v>848239</v>
      </c>
    </row>
    <row r="48" spans="1:5" ht="15" customHeight="1">
      <c r="A48" s="6" t="s">
        <v>82</v>
      </c>
      <c r="B48" s="53">
        <v>25447</v>
      </c>
      <c r="D48" s="11" t="s">
        <v>83</v>
      </c>
      <c r="E48" s="53">
        <v>25447</v>
      </c>
    </row>
    <row r="49" spans="1:7" ht="15" customHeight="1">
      <c r="A49" s="6" t="s">
        <v>84</v>
      </c>
      <c r="B49" s="53">
        <v>10000</v>
      </c>
      <c r="D49" s="11"/>
      <c r="E49" s="53">
        <v>10000</v>
      </c>
    </row>
    <row r="50" spans="1:7" ht="15" customHeight="1">
      <c r="A50" s="6" t="s">
        <v>85</v>
      </c>
      <c r="B50" s="53">
        <v>1000</v>
      </c>
      <c r="D50" s="11"/>
      <c r="E50" s="53">
        <v>1000</v>
      </c>
    </row>
    <row r="51" spans="1:7">
      <c r="B51" s="55">
        <f>SUM(B45:B50)</f>
        <v>1049686</v>
      </c>
      <c r="C51" s="55">
        <f>(+B25+B38)-B51</f>
        <v>4024908</v>
      </c>
      <c r="E51" s="55">
        <f>SUM(E45:E50)</f>
        <v>1049686</v>
      </c>
    </row>
    <row r="52" spans="1:7" ht="15" customHeight="1">
      <c r="A52" s="8" t="s">
        <v>86</v>
      </c>
      <c r="B52" s="9"/>
      <c r="C52" s="9"/>
      <c r="D52" s="9"/>
      <c r="E52" s="9"/>
      <c r="F52" t="s">
        <v>464</v>
      </c>
      <c r="G52" t="s">
        <v>465</v>
      </c>
    </row>
    <row r="53" spans="1:7" ht="15" customHeight="1">
      <c r="A53" s="6" t="s">
        <v>87</v>
      </c>
      <c r="B53" s="10">
        <v>12000</v>
      </c>
      <c r="D53" s="11" t="s">
        <v>88</v>
      </c>
      <c r="E53" s="10">
        <v>12000</v>
      </c>
      <c r="F53" s="56">
        <f>+E53*10%</f>
        <v>1200</v>
      </c>
      <c r="G53" s="58">
        <f>+E53-F53</f>
        <v>10800</v>
      </c>
    </row>
    <row r="54" spans="1:7" ht="15" customHeight="1">
      <c r="A54" s="6" t="s">
        <v>89</v>
      </c>
      <c r="B54" s="53">
        <v>1049</v>
      </c>
      <c r="D54" s="11"/>
      <c r="E54" s="53">
        <v>1049</v>
      </c>
    </row>
    <row r="55" spans="1:7" ht="15" customHeight="1">
      <c r="A55" s="6" t="s">
        <v>90</v>
      </c>
      <c r="B55" s="53">
        <v>4196</v>
      </c>
      <c r="D55" s="11"/>
      <c r="E55" s="53">
        <v>4196</v>
      </c>
    </row>
    <row r="56" spans="1:7" ht="15" customHeight="1">
      <c r="A56" s="6" t="s">
        <v>91</v>
      </c>
      <c r="B56" s="53">
        <v>6993</v>
      </c>
      <c r="D56" s="11"/>
      <c r="E56" s="53">
        <v>6993</v>
      </c>
    </row>
    <row r="57" spans="1:7" ht="15" customHeight="1">
      <c r="A57" s="6" t="s">
        <v>92</v>
      </c>
      <c r="B57" s="53">
        <v>18601</v>
      </c>
      <c r="D57" s="11"/>
      <c r="E57" s="53">
        <v>18601</v>
      </c>
    </row>
    <row r="58" spans="1:7" ht="15" customHeight="1">
      <c r="A58" s="6" t="s">
        <v>93</v>
      </c>
      <c r="B58" s="53">
        <v>24009</v>
      </c>
      <c r="D58" s="11"/>
      <c r="E58" s="53">
        <v>24009</v>
      </c>
    </row>
    <row r="60" spans="1:7" ht="15" customHeight="1">
      <c r="A60" s="8" t="s">
        <v>94</v>
      </c>
      <c r="B60" s="9"/>
      <c r="C60" s="9"/>
      <c r="D60" s="9"/>
      <c r="E60" s="9"/>
    </row>
    <row r="61" spans="1:7" ht="15" customHeight="1">
      <c r="A61" s="6" t="s">
        <v>95</v>
      </c>
      <c r="B61" s="53">
        <v>5</v>
      </c>
      <c r="D61" s="11" t="s">
        <v>96</v>
      </c>
      <c r="E61" s="53">
        <v>4.5</v>
      </c>
    </row>
    <row r="62" spans="1:7" ht="15" customHeight="1">
      <c r="A62" s="6" t="s">
        <v>97</v>
      </c>
      <c r="B62" s="54">
        <v>9.4999999999999998E-3</v>
      </c>
      <c r="D62" s="11" t="s">
        <v>98</v>
      </c>
      <c r="E62" s="54">
        <v>9.4999999999999998E-3</v>
      </c>
    </row>
    <row r="63" spans="1:7" ht="15" customHeight="1">
      <c r="A63" s="6" t="s">
        <v>99</v>
      </c>
      <c r="B63" s="54">
        <v>0.01</v>
      </c>
      <c r="D63" s="11" t="s">
        <v>98</v>
      </c>
      <c r="E63" s="54">
        <v>0.01</v>
      </c>
    </row>
    <row r="64" spans="1:7" ht="15" customHeight="1">
      <c r="A64" s="6" t="s">
        <v>100</v>
      </c>
      <c r="B64" s="53">
        <v>16917</v>
      </c>
      <c r="D64" s="11" t="s">
        <v>101</v>
      </c>
      <c r="E64" s="53">
        <v>16917</v>
      </c>
    </row>
    <row r="65" spans="1:5" ht="15" customHeight="1">
      <c r="A65" s="6" t="s">
        <v>102</v>
      </c>
      <c r="B65" s="53">
        <v>21818</v>
      </c>
      <c r="D65" s="11" t="s">
        <v>103</v>
      </c>
      <c r="E65" s="53">
        <v>21818</v>
      </c>
    </row>
    <row r="67" spans="1:5" ht="15" customHeight="1">
      <c r="A67" s="8" t="s">
        <v>104</v>
      </c>
      <c r="B67" s="9"/>
      <c r="C67" s="9"/>
      <c r="D67" s="9"/>
      <c r="E67" s="9"/>
    </row>
    <row r="68" spans="1:5" ht="15" customHeight="1">
      <c r="A68" s="6" t="s">
        <v>105</v>
      </c>
      <c r="B68" s="54">
        <v>0.01</v>
      </c>
      <c r="D68" s="11" t="s">
        <v>106</v>
      </c>
      <c r="E68" s="54">
        <v>0.01</v>
      </c>
    </row>
    <row r="69" spans="1:5" ht="15" customHeight="1">
      <c r="A69" s="6" t="s">
        <v>107</v>
      </c>
      <c r="B69" s="54">
        <v>0.1</v>
      </c>
      <c r="D69" s="11" t="s">
        <v>63</v>
      </c>
      <c r="E69" s="54">
        <v>0.1</v>
      </c>
    </row>
    <row r="70" spans="1:5" ht="15" customHeight="1">
      <c r="A70" s="6" t="s">
        <v>108</v>
      </c>
      <c r="B70" s="54">
        <v>0</v>
      </c>
      <c r="D70" s="11" t="s">
        <v>109</v>
      </c>
      <c r="E70" s="54">
        <v>0</v>
      </c>
    </row>
    <row r="72" spans="1:5" ht="15" customHeight="1">
      <c r="A72" s="8" t="s">
        <v>110</v>
      </c>
      <c r="B72" s="9"/>
      <c r="C72" s="9"/>
      <c r="D72" s="9"/>
      <c r="E72" s="9"/>
    </row>
    <row r="73" spans="1:5" ht="15" customHeight="1">
      <c r="A73" s="6" t="s">
        <v>111</v>
      </c>
      <c r="B73" s="12">
        <v>0.16320000000000001</v>
      </c>
      <c r="D73" s="11" t="s">
        <v>112</v>
      </c>
      <c r="E73" s="12">
        <v>0.16320000000000001</v>
      </c>
    </row>
    <row r="74" spans="1:5" ht="15" customHeight="1">
      <c r="A74" s="6" t="s">
        <v>113</v>
      </c>
      <c r="B74" s="12">
        <v>0.09</v>
      </c>
      <c r="D74" s="11" t="s">
        <v>114</v>
      </c>
      <c r="E74" s="12">
        <v>0.09</v>
      </c>
    </row>
    <row r="75" spans="1:5">
      <c r="A75" s="6" t="s">
        <v>468</v>
      </c>
      <c r="B75" s="65">
        <v>0.01</v>
      </c>
      <c r="E75" s="65">
        <v>0.03</v>
      </c>
    </row>
    <row r="76" spans="1:5" ht="15" customHeight="1">
      <c r="A76" s="8" t="s">
        <v>115</v>
      </c>
      <c r="B76" s="9"/>
      <c r="C76" s="9"/>
      <c r="D76" s="9"/>
      <c r="E76" s="9"/>
    </row>
    <row r="77" spans="1:5" ht="15" customHeight="1">
      <c r="A77" s="6" t="s">
        <v>116</v>
      </c>
      <c r="B77" s="10">
        <v>2</v>
      </c>
      <c r="D77" s="11"/>
      <c r="E77" s="10">
        <v>2</v>
      </c>
    </row>
    <row r="78" spans="1:5" ht="15" customHeight="1">
      <c r="A78" s="6" t="s">
        <v>117</v>
      </c>
      <c r="B78" s="53">
        <v>15</v>
      </c>
      <c r="D78" s="11"/>
      <c r="E78" s="53">
        <v>15</v>
      </c>
    </row>
    <row r="79" spans="1:5" ht="15" customHeight="1">
      <c r="A79" s="6" t="s">
        <v>118</v>
      </c>
      <c r="B79" s="71">
        <v>45</v>
      </c>
      <c r="D79" s="11"/>
      <c r="E79" s="53">
        <v>90</v>
      </c>
    </row>
    <row r="80" spans="1:5" ht="15" customHeight="1">
      <c r="A80" s="6" t="s">
        <v>119</v>
      </c>
      <c r="B80" s="10">
        <v>90</v>
      </c>
      <c r="D80" s="11"/>
      <c r="E80" s="10">
        <v>0</v>
      </c>
    </row>
    <row r="81" spans="1:5" ht="15" customHeight="1">
      <c r="A81" s="6" t="s">
        <v>120</v>
      </c>
      <c r="B81" s="53">
        <v>0</v>
      </c>
      <c r="D81" s="11"/>
      <c r="E81" s="53">
        <v>60</v>
      </c>
    </row>
    <row r="82" spans="1:5" ht="15" customHeight="1">
      <c r="A82" s="6" t="s">
        <v>121</v>
      </c>
      <c r="B82" s="10">
        <v>0</v>
      </c>
      <c r="D82" s="11"/>
      <c r="E82" s="10">
        <v>0</v>
      </c>
    </row>
    <row r="83" spans="1:5" ht="15" customHeight="1">
      <c r="A83" s="6" t="s">
        <v>122</v>
      </c>
      <c r="B83" s="53">
        <v>15</v>
      </c>
      <c r="C83" s="62" t="s">
        <v>466</v>
      </c>
      <c r="D83" s="11"/>
      <c r="E83" s="53">
        <v>34</v>
      </c>
    </row>
    <row r="85" spans="1:5">
      <c r="A85" s="4" t="s">
        <v>561</v>
      </c>
    </row>
    <row r="86" spans="1:5">
      <c r="A86" s="6" t="s">
        <v>562</v>
      </c>
      <c r="B86" s="311">
        <v>0.09</v>
      </c>
    </row>
    <row r="87" spans="1:5">
      <c r="A87" s="6" t="s">
        <v>563</v>
      </c>
      <c r="B87" s="311">
        <v>0.1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8000"/>
  </sheetPr>
  <dimension ref="A1:G16"/>
  <sheetViews>
    <sheetView showGridLines="0" zoomScaleNormal="100" workbookViewId="0">
      <selection activeCell="H8" sqref="H8"/>
    </sheetView>
  </sheetViews>
  <sheetFormatPr baseColWidth="10" defaultColWidth="8.6328125" defaultRowHeight="14.5"/>
  <cols>
    <col min="2" max="2" width="5" customWidth="1"/>
    <col min="3" max="3" width="40" customWidth="1"/>
    <col min="4" max="7" width="15" customWidth="1"/>
  </cols>
  <sheetData>
    <row r="1" spans="1:7">
      <c r="A1" t="s">
        <v>463</v>
      </c>
    </row>
    <row r="2" spans="1:7" ht="17.25" customHeight="1">
      <c r="B2" s="1" t="s">
        <v>224</v>
      </c>
    </row>
    <row r="3" spans="1:7">
      <c r="D3" s="57" t="s">
        <v>463</v>
      </c>
      <c r="E3" s="57" t="s">
        <v>463</v>
      </c>
      <c r="F3" s="57" t="s">
        <v>463</v>
      </c>
      <c r="G3" s="57" t="s">
        <v>463</v>
      </c>
    </row>
    <row r="4" spans="1:7" ht="28.5">
      <c r="B4" s="3" t="s">
        <v>225</v>
      </c>
      <c r="C4" s="3" t="s">
        <v>152</v>
      </c>
      <c r="D4" s="3" t="s">
        <v>226</v>
      </c>
      <c r="E4" s="3" t="s">
        <v>227</v>
      </c>
      <c r="F4" s="3" t="s">
        <v>228</v>
      </c>
      <c r="G4" s="3" t="s">
        <v>229</v>
      </c>
    </row>
    <row r="5" spans="1:7" ht="15" customHeight="1">
      <c r="B5" s="27"/>
      <c r="C5" s="6" t="s">
        <v>156</v>
      </c>
      <c r="D5" s="28">
        <f>+Ej_Ingresos!O8</f>
        <v>836.1123907974943</v>
      </c>
      <c r="E5" s="28">
        <f>+Ej_Costos!O9</f>
        <v>822.06420360615914</v>
      </c>
      <c r="F5" s="29">
        <f>+Ej_Producción!O22</f>
        <v>711.98</v>
      </c>
      <c r="G5" s="29">
        <f>+Ej_Producción!O37</f>
        <v>711.98</v>
      </c>
    </row>
    <row r="6" spans="1:7" ht="15" customHeight="1">
      <c r="B6" s="27"/>
      <c r="C6" s="6" t="s">
        <v>157</v>
      </c>
      <c r="D6" s="28">
        <f>+Ej_Ingresos!O9</f>
        <v>905.50966381164278</v>
      </c>
      <c r="E6" s="28">
        <f>+Ej_Costos!O10</f>
        <v>868.32067589678002</v>
      </c>
      <c r="F6" s="29">
        <f>+Ej_Producción!O23</f>
        <v>1806.0450000000001</v>
      </c>
      <c r="G6" s="29">
        <f>+Ej_Producción!O38</f>
        <v>1746.0450000000001</v>
      </c>
    </row>
    <row r="7" spans="1:7" ht="15" customHeight="1">
      <c r="B7" s="27"/>
      <c r="C7" s="6" t="s">
        <v>158</v>
      </c>
      <c r="D7" s="28">
        <f>+Ej_Ingresos!O10</f>
        <v>1047.5820604999196</v>
      </c>
      <c r="E7" s="28">
        <f>+Ej_Costos!O11</f>
        <v>1007.0254862294156</v>
      </c>
      <c r="F7" s="29">
        <f>+Ej_Producción!O24</f>
        <v>409.14099999999996</v>
      </c>
      <c r="G7" s="29">
        <f>+Ej_Producción!O39</f>
        <v>379.14099999999996</v>
      </c>
    </row>
    <row r="8" spans="1:7" ht="15" customHeight="1">
      <c r="B8" s="27"/>
      <c r="C8" s="4" t="s">
        <v>514</v>
      </c>
      <c r="D8" s="28">
        <f>+Ej_Ingresos!O11</f>
        <v>1080</v>
      </c>
      <c r="E8" s="28">
        <f>+Ej_Costos!O12</f>
        <v>922</v>
      </c>
      <c r="F8" s="29">
        <f>+Ej_Producción!O25</f>
        <v>480</v>
      </c>
      <c r="G8" s="29">
        <f>+Ej_Producción!O40</f>
        <v>450</v>
      </c>
    </row>
    <row r="9" spans="1:7" ht="15" customHeight="1">
      <c r="B9" s="27"/>
      <c r="C9" s="6" t="s">
        <v>515</v>
      </c>
      <c r="D9" s="28">
        <f>+Ej_Ingresos!O12</f>
        <v>1218</v>
      </c>
      <c r="E9" s="28">
        <f>+Ej_Costos!O13</f>
        <v>945.95457024068241</v>
      </c>
      <c r="F9" s="29">
        <f>+Ej_Producción!O26</f>
        <v>240</v>
      </c>
      <c r="G9" s="29">
        <f>+Ej_Producción!O41</f>
        <v>240</v>
      </c>
    </row>
    <row r="10" spans="1:7" ht="15" customHeight="1">
      <c r="B10" s="27"/>
      <c r="C10" s="6" t="s">
        <v>516</v>
      </c>
      <c r="D10" s="28">
        <f>+Ej_Ingresos!O13</f>
        <v>1380.8227848101267</v>
      </c>
      <c r="E10" s="28">
        <f>+Ej_Costos!O14</f>
        <v>1013.0618521677156</v>
      </c>
      <c r="F10" s="29">
        <f>+Ej_Producción!O27</f>
        <v>158</v>
      </c>
      <c r="G10" s="29">
        <f>+Ej_Producción!O42</f>
        <v>158</v>
      </c>
    </row>
    <row r="11" spans="1:7" ht="15" customHeight="1">
      <c r="B11" s="27"/>
      <c r="C11" s="6" t="s">
        <v>517</v>
      </c>
      <c r="D11" s="28">
        <f>+Ej_Ingresos!O14</f>
        <v>1399</v>
      </c>
      <c r="E11" s="28">
        <f>+Ej_Costos!O15</f>
        <v>1013.0618521677156</v>
      </c>
      <c r="F11" s="29">
        <f>+Ej_Producción!O28</f>
        <v>120</v>
      </c>
      <c r="G11" s="29">
        <f>+Ej_Producción!O43</f>
        <v>120</v>
      </c>
    </row>
    <row r="12" spans="1:7" ht="15" customHeight="1">
      <c r="B12" s="27"/>
      <c r="C12" s="6" t="s">
        <v>518</v>
      </c>
      <c r="D12" s="28">
        <f>+Ej_Ingresos!O15</f>
        <v>1272</v>
      </c>
      <c r="E12" s="28">
        <f>+Ej_Costos!O16</f>
        <v>1023.6898925807637</v>
      </c>
      <c r="F12" s="29">
        <f>+Ej_Producción!O29</f>
        <v>120</v>
      </c>
      <c r="G12" s="29">
        <f>+Ej_Producción!O44</f>
        <v>120</v>
      </c>
    </row>
    <row r="13" spans="1:7" ht="15" customHeight="1">
      <c r="B13" s="27"/>
      <c r="C13" s="6" t="s">
        <v>519</v>
      </c>
      <c r="D13" s="28">
        <f>+Ej_Ingresos!O16</f>
        <v>1178</v>
      </c>
      <c r="E13" s="28">
        <f>+Ej_Costos!O17</f>
        <v>877.59331439314917</v>
      </c>
      <c r="F13" s="29">
        <f>+Ej_Producción!O30</f>
        <v>270</v>
      </c>
      <c r="G13" s="29">
        <f>+Ej_Producción!O45</f>
        <v>270</v>
      </c>
    </row>
    <row r="14" spans="1:7" ht="15" customHeight="1">
      <c r="B14" s="27"/>
      <c r="C14" s="6" t="s">
        <v>520</v>
      </c>
      <c r="D14" s="28">
        <f>+Ej_Ingresos!O17</f>
        <v>0</v>
      </c>
      <c r="E14" s="28">
        <f>+Ej_Costos!O18</f>
        <v>0</v>
      </c>
      <c r="F14" s="29">
        <f>+Ej_Producción!O31</f>
        <v>0</v>
      </c>
      <c r="G14" s="29">
        <f>+Ej_Producción!O46</f>
        <v>0</v>
      </c>
    </row>
    <row r="15" spans="1:7" ht="15" customHeight="1">
      <c r="B15" s="27"/>
      <c r="C15" s="6" t="s">
        <v>521</v>
      </c>
      <c r="D15" s="28">
        <f>+Ej_Ingresos!O18</f>
        <v>0</v>
      </c>
      <c r="E15" s="28">
        <f>+Ej_Costos!O19</f>
        <v>0</v>
      </c>
      <c r="F15" s="29">
        <f>+Ej_Producción!O32</f>
        <v>0</v>
      </c>
      <c r="G15" s="29">
        <f>+Ej_Producción!O47</f>
        <v>0</v>
      </c>
    </row>
    <row r="16" spans="1:7">
      <c r="D16" s="55"/>
      <c r="F16" s="55">
        <f>SUM(F5:F15)</f>
        <v>4315.1660000000002</v>
      </c>
      <c r="G16" s="55">
        <f>SUM(G5:G15)</f>
        <v>4195.1660000000002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0080"/>
  </sheetPr>
  <dimension ref="B2:F23"/>
  <sheetViews>
    <sheetView showGridLines="0" zoomScale="130" zoomScaleNormal="130" workbookViewId="0">
      <selection activeCell="C7" sqref="C7"/>
    </sheetView>
  </sheetViews>
  <sheetFormatPr baseColWidth="10" defaultColWidth="8.6328125" defaultRowHeight="14.5"/>
  <cols>
    <col min="2" max="2" width="40" customWidth="1"/>
    <col min="3" max="5" width="18" customWidth="1"/>
    <col min="6" max="6" width="15" customWidth="1"/>
  </cols>
  <sheetData>
    <row r="2" spans="2:6" ht="17.25" customHeight="1">
      <c r="B2" s="1" t="s">
        <v>250</v>
      </c>
    </row>
    <row r="3" spans="2:6" ht="15" customHeight="1">
      <c r="B3" s="11" t="s">
        <v>231</v>
      </c>
    </row>
    <row r="5" spans="2:6" ht="15" customHeight="1">
      <c r="B5" s="3" t="s">
        <v>12</v>
      </c>
      <c r="C5" s="3" t="s">
        <v>251</v>
      </c>
      <c r="D5" s="3" t="s">
        <v>252</v>
      </c>
      <c r="E5" s="3" t="s">
        <v>253</v>
      </c>
      <c r="F5" s="3" t="s">
        <v>254</v>
      </c>
    </row>
    <row r="7" spans="2:6" ht="15" customHeight="1">
      <c r="B7" s="23" t="s">
        <v>255</v>
      </c>
      <c r="C7" s="24">
        <f>C9+C18</f>
        <v>5074594</v>
      </c>
      <c r="D7" s="24">
        <f>D9</f>
        <v>606000</v>
      </c>
      <c r="E7" s="24">
        <f>C7-D7</f>
        <v>4468594</v>
      </c>
      <c r="F7" s="32">
        <f>C7/C7</f>
        <v>1</v>
      </c>
    </row>
    <row r="9" spans="2:6" ht="15" customHeight="1">
      <c r="B9" s="4" t="s">
        <v>256</v>
      </c>
      <c r="C9" s="14">
        <f>SUM(C10:C15)</f>
        <v>1049686</v>
      </c>
      <c r="D9" s="15">
        <f>Supuestos!B38</f>
        <v>606000</v>
      </c>
      <c r="E9" s="14">
        <f t="shared" ref="E9:E15" si="0">C9-D9</f>
        <v>443686</v>
      </c>
    </row>
    <row r="10" spans="2:6" ht="15" customHeight="1">
      <c r="B10" s="6" t="s">
        <v>257</v>
      </c>
      <c r="C10" s="5">
        <f>Supuestos!B45</f>
        <v>150000</v>
      </c>
      <c r="D10" s="30">
        <v>0</v>
      </c>
      <c r="E10" s="13">
        <f t="shared" si="0"/>
        <v>150000</v>
      </c>
    </row>
    <row r="11" spans="2:6" ht="15" customHeight="1">
      <c r="B11" s="6" t="s">
        <v>258</v>
      </c>
      <c r="C11" s="5">
        <f>Supuestos!B46</f>
        <v>15000</v>
      </c>
      <c r="D11" s="30">
        <v>0</v>
      </c>
      <c r="E11" s="13">
        <f t="shared" si="0"/>
        <v>15000</v>
      </c>
    </row>
    <row r="12" spans="2:6" ht="15" customHeight="1">
      <c r="B12" s="6" t="s">
        <v>259</v>
      </c>
      <c r="C12" s="5">
        <f>Supuestos!B47</f>
        <v>848239</v>
      </c>
      <c r="D12" s="5">
        <f>Supuestos!B37</f>
        <v>306000</v>
      </c>
      <c r="E12" s="13">
        <f t="shared" si="0"/>
        <v>542239</v>
      </c>
    </row>
    <row r="13" spans="2:6" ht="15" customHeight="1">
      <c r="B13" s="6" t="s">
        <v>260</v>
      </c>
      <c r="C13" s="5">
        <f>Supuestos!B48</f>
        <v>25447</v>
      </c>
      <c r="D13" s="30">
        <v>0</v>
      </c>
      <c r="E13" s="13">
        <f t="shared" si="0"/>
        <v>25447</v>
      </c>
    </row>
    <row r="14" spans="2:6" ht="15" customHeight="1">
      <c r="B14" s="6" t="s">
        <v>261</v>
      </c>
      <c r="C14" s="5">
        <f>Supuestos!B49</f>
        <v>10000</v>
      </c>
      <c r="D14" s="30">
        <v>0</v>
      </c>
      <c r="E14" s="13">
        <f t="shared" si="0"/>
        <v>10000</v>
      </c>
    </row>
    <row r="15" spans="2:6" ht="15" customHeight="1">
      <c r="B15" s="6" t="s">
        <v>262</v>
      </c>
      <c r="C15" s="5">
        <f>Supuestos!B50</f>
        <v>1000</v>
      </c>
      <c r="D15" s="30">
        <v>0</v>
      </c>
      <c r="E15" s="13">
        <f t="shared" si="0"/>
        <v>1000</v>
      </c>
    </row>
    <row r="17" spans="2:5">
      <c r="C17" s="59"/>
    </row>
    <row r="18" spans="2:5" ht="15" customHeight="1">
      <c r="B18" s="23" t="s">
        <v>263</v>
      </c>
      <c r="C18" s="33">
        <v>4024908</v>
      </c>
      <c r="D18" s="34">
        <v>0</v>
      </c>
      <c r="E18" s="24">
        <f>C18-D18</f>
        <v>4024908</v>
      </c>
    </row>
    <row r="20" spans="2:5" ht="15" customHeight="1">
      <c r="B20" s="4" t="s">
        <v>264</v>
      </c>
      <c r="C20" s="18">
        <f>Supuestos!B6</f>
        <v>6145</v>
      </c>
      <c r="D20" s="6" t="s">
        <v>265</v>
      </c>
    </row>
    <row r="23" spans="2:5">
      <c r="D23" s="30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6600"/>
  </sheetPr>
  <dimension ref="B2:G15"/>
  <sheetViews>
    <sheetView showGridLines="0" zoomScaleNormal="100" workbookViewId="0">
      <selection activeCell="E9" sqref="E9"/>
    </sheetView>
  </sheetViews>
  <sheetFormatPr baseColWidth="10" defaultColWidth="8.6328125" defaultRowHeight="14.5"/>
  <cols>
    <col min="2" max="2" width="8" customWidth="1"/>
    <col min="3" max="3" width="50" customWidth="1"/>
    <col min="4" max="4" width="12" customWidth="1"/>
    <col min="5" max="7" width="15" customWidth="1"/>
  </cols>
  <sheetData>
    <row r="2" spans="2:7" ht="17.25" customHeight="1">
      <c r="B2" s="1" t="s">
        <v>230</v>
      </c>
    </row>
    <row r="3" spans="2:7" ht="15" customHeight="1">
      <c r="B3" s="11" t="s">
        <v>231</v>
      </c>
    </row>
    <row r="4" spans="2:7">
      <c r="B4" s="57"/>
      <c r="C4" s="57"/>
      <c r="D4" s="57"/>
      <c r="E4" s="57"/>
      <c r="F4" s="57"/>
      <c r="G4" s="57"/>
    </row>
    <row r="5" spans="2:7" ht="15" customHeight="1">
      <c r="B5" s="3" t="s">
        <v>232</v>
      </c>
      <c r="C5" s="3" t="s">
        <v>233</v>
      </c>
      <c r="D5" s="3" t="s">
        <v>234</v>
      </c>
      <c r="E5" s="3" t="s">
        <v>235</v>
      </c>
      <c r="F5" s="3" t="s">
        <v>236</v>
      </c>
      <c r="G5" s="3" t="s">
        <v>237</v>
      </c>
    </row>
    <row r="6" spans="2:7" ht="15" customHeight="1">
      <c r="B6" s="6">
        <v>1</v>
      </c>
      <c r="C6" s="6" t="s">
        <v>238</v>
      </c>
      <c r="D6" s="6" t="s">
        <v>239</v>
      </c>
      <c r="E6" s="30"/>
      <c r="F6" s="30"/>
      <c r="G6" s="30">
        <v>105554</v>
      </c>
    </row>
    <row r="7" spans="2:7" ht="15" customHeight="1">
      <c r="B7" s="6">
        <v>2</v>
      </c>
      <c r="C7" s="6" t="s">
        <v>240</v>
      </c>
      <c r="D7" s="6" t="s">
        <v>239</v>
      </c>
      <c r="E7" s="30"/>
      <c r="F7" s="30"/>
      <c r="G7" s="30">
        <v>272935</v>
      </c>
    </row>
    <row r="8" spans="2:7" ht="15" customHeight="1">
      <c r="B8" s="6">
        <v>3</v>
      </c>
      <c r="C8" s="6" t="s">
        <v>241</v>
      </c>
      <c r="D8" s="6" t="s">
        <v>239</v>
      </c>
      <c r="E8" s="30"/>
      <c r="F8" s="30"/>
      <c r="G8" s="30">
        <v>162000</v>
      </c>
    </row>
    <row r="9" spans="2:7" ht="15" customHeight="1">
      <c r="B9" s="6">
        <v>4</v>
      </c>
      <c r="C9" s="6" t="s">
        <v>242</v>
      </c>
      <c r="D9" s="6" t="s">
        <v>243</v>
      </c>
      <c r="E9" s="30">
        <v>195000</v>
      </c>
      <c r="F9" s="30">
        <v>29250</v>
      </c>
      <c r="G9" s="30">
        <v>224250</v>
      </c>
    </row>
    <row r="10" spans="2:7" ht="15" customHeight="1">
      <c r="B10" s="6">
        <v>5</v>
      </c>
      <c r="C10" s="6" t="s">
        <v>244</v>
      </c>
      <c r="D10" s="6" t="s">
        <v>239</v>
      </c>
      <c r="E10" s="30"/>
      <c r="F10" s="30"/>
      <c r="G10" s="30">
        <v>18500</v>
      </c>
    </row>
    <row r="11" spans="2:7" ht="15" customHeight="1">
      <c r="B11" s="6">
        <v>6</v>
      </c>
      <c r="C11" s="6" t="s">
        <v>245</v>
      </c>
      <c r="D11" s="6" t="s">
        <v>239</v>
      </c>
      <c r="E11" s="30"/>
      <c r="F11" s="30"/>
      <c r="G11" s="30">
        <v>50000</v>
      </c>
    </row>
    <row r="12" spans="2:7" ht="15" customHeight="1">
      <c r="B12" s="6">
        <v>7</v>
      </c>
      <c r="C12" s="6" t="s">
        <v>246</v>
      </c>
      <c r="D12" s="6" t="s">
        <v>239</v>
      </c>
      <c r="E12" s="30"/>
      <c r="F12" s="30"/>
      <c r="G12" s="30">
        <v>15000</v>
      </c>
    </row>
    <row r="13" spans="2:7" ht="15" customHeight="1">
      <c r="C13" s="4" t="s">
        <v>247</v>
      </c>
      <c r="G13" s="19">
        <f>SUM(G6:G12)</f>
        <v>848239</v>
      </c>
    </row>
    <row r="14" spans="2:7" ht="15" customHeight="1">
      <c r="C14" s="6" t="s">
        <v>248</v>
      </c>
      <c r="G14" s="31">
        <v>25447</v>
      </c>
    </row>
    <row r="15" spans="2:7" ht="15" customHeight="1">
      <c r="C15" s="4" t="s">
        <v>249</v>
      </c>
      <c r="G15" s="19">
        <f>G13+G14</f>
        <v>873686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L50"/>
  <sheetViews>
    <sheetView showGridLines="0" zoomScale="115" zoomScaleNormal="115" workbookViewId="0">
      <selection activeCell="D13" sqref="D13:L13"/>
    </sheetView>
  </sheetViews>
  <sheetFormatPr baseColWidth="10" defaultColWidth="8.6328125" defaultRowHeight="14.5"/>
  <cols>
    <col min="1" max="1" width="5.6328125" customWidth="1"/>
    <col min="2" max="2" width="35" customWidth="1"/>
    <col min="3" max="12" width="12" customWidth="1"/>
    <col min="13" max="13" width="14" customWidth="1"/>
  </cols>
  <sheetData>
    <row r="1" spans="1:12">
      <c r="A1" t="s">
        <v>463</v>
      </c>
    </row>
    <row r="2" spans="1:12" ht="17.25" customHeight="1">
      <c r="B2" s="1" t="s">
        <v>266</v>
      </c>
    </row>
    <row r="3" spans="1:12" s="57" customFormat="1">
      <c r="C3" s="57" t="s">
        <v>463</v>
      </c>
      <c r="D3" s="57" t="s">
        <v>463</v>
      </c>
    </row>
    <row r="4" spans="1:12" ht="15" customHeight="1"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</row>
    <row r="5" spans="1:12" ht="15" customHeight="1">
      <c r="B5" s="4" t="s">
        <v>267</v>
      </c>
      <c r="C5" s="35">
        <f>+Ej_Costos!O34/1.42</f>
        <v>52445.746050225716</v>
      </c>
      <c r="D5" s="35">
        <f>+Ej_Costos!AD34/1.42</f>
        <v>152579.59130908331</v>
      </c>
      <c r="E5" s="20">
        <f>D5*(1+Supuestos!B21)</f>
        <v>157156.9790483558</v>
      </c>
      <c r="F5" s="20">
        <f>E5*(1+Supuestos!B21)</f>
        <v>161871.68841980648</v>
      </c>
      <c r="G5" s="20">
        <f>F5*(1+Supuestos!B21)</f>
        <v>166727.83907240067</v>
      </c>
      <c r="H5" s="20">
        <f>G5*(1+Supuestos!B21)</f>
        <v>171729.6742445727</v>
      </c>
      <c r="I5" s="20">
        <f>H5*(1+Supuestos!B21)</f>
        <v>176881.56447190989</v>
      </c>
      <c r="J5" s="20">
        <f>I5*(1+Supuestos!B21)</f>
        <v>182188.01140606721</v>
      </c>
      <c r="K5" s="20">
        <f>J5*(1+Supuestos!B21)</f>
        <v>187653.65174824922</v>
      </c>
      <c r="L5" s="20">
        <f>K5*(1+Supuestos!B21)</f>
        <v>193283.2613006967</v>
      </c>
    </row>
    <row r="6" spans="1:12" ht="15" customHeight="1">
      <c r="B6" s="6" t="s">
        <v>268</v>
      </c>
      <c r="C6" s="20">
        <f>+Ej_Costos!O34-(Ej_Costos!O34/1.42)</f>
        <v>22027.213341094801</v>
      </c>
      <c r="D6" s="20">
        <f>Ej_Costos!AD34-(Ej_Costos!AD34/1.42)</f>
        <v>64083.428349814989</v>
      </c>
      <c r="E6" s="20">
        <f>E5*Supuestos!B22</f>
        <v>67718.94227193651</v>
      </c>
      <c r="F6" s="20">
        <f>F5*Supuestos!B22</f>
        <v>69750.51054009462</v>
      </c>
      <c r="G6" s="20">
        <f>G5*Supuestos!B22</f>
        <v>71843.025856297449</v>
      </c>
      <c r="H6" s="20">
        <f>H5*Supuestos!B22</f>
        <v>73998.316631986381</v>
      </c>
      <c r="I6" s="20">
        <f>I5*Supuestos!B22</f>
        <v>76218.26613094598</v>
      </c>
      <c r="J6" s="20">
        <f>J5*Supuestos!B22</f>
        <v>78504.81411487436</v>
      </c>
      <c r="K6" s="20">
        <f>K5*Supuestos!B22</f>
        <v>80859.958538320585</v>
      </c>
      <c r="L6" s="20">
        <f>L5*Supuestos!B22</f>
        <v>83285.757294470211</v>
      </c>
    </row>
    <row r="8" spans="1:12" ht="15" customHeight="1">
      <c r="B8" s="4" t="s">
        <v>269</v>
      </c>
      <c r="C8" s="35">
        <f>+Ej_Costos!O47/1.42</f>
        <v>44219.226713848402</v>
      </c>
      <c r="D8" s="35">
        <f>+Ej_Costos!AD47/1.42</f>
        <v>68239.212177111651</v>
      </c>
      <c r="E8" s="20">
        <f>D8*(1+Supuestos!B21)</f>
        <v>70286.388542425004</v>
      </c>
      <c r="F8" s="20">
        <f>E8*(1+Supuestos!B21)</f>
        <v>72394.980198697755</v>
      </c>
      <c r="G8" s="20">
        <f>F8*(1+Supuestos!B21)</f>
        <v>74566.829604658691</v>
      </c>
      <c r="H8" s="20">
        <f>G8*(1+Supuestos!B21)</f>
        <v>76803.834492798458</v>
      </c>
      <c r="I8" s="20">
        <f>H8*(1+Supuestos!B21)</f>
        <v>79107.949527582416</v>
      </c>
      <c r="J8" s="20">
        <f>I8*(1+Supuestos!B21)</f>
        <v>81481.18801340989</v>
      </c>
      <c r="K8" s="20">
        <f>J8*(1+Supuestos!B21)</f>
        <v>83925.623653812188</v>
      </c>
      <c r="L8" s="20">
        <f>K8*(1+Supuestos!B21)</f>
        <v>86443.392363426552</v>
      </c>
    </row>
    <row r="9" spans="1:12" ht="15" customHeight="1">
      <c r="B9" s="6" t="s">
        <v>270</v>
      </c>
      <c r="C9" s="20">
        <f>Ej_Costos!O47-(Ej_Costos!O47/1.42)</f>
        <v>18572.075219816325</v>
      </c>
      <c r="D9" s="20">
        <f>Ej_Costos!AD47-(Ej_Costos!AD47/1.42)</f>
        <v>28660.469114386884</v>
      </c>
      <c r="E9" s="20">
        <f>E8*Supuestos!B22</f>
        <v>30286.404822930934</v>
      </c>
      <c r="F9" s="20">
        <f>F8*Supuestos!B22</f>
        <v>31194.996967618863</v>
      </c>
      <c r="G9" s="20">
        <f>G8*Supuestos!B22</f>
        <v>32130.846876647429</v>
      </c>
      <c r="H9" s="20">
        <f>H8*Supuestos!B22</f>
        <v>33094.772282946855</v>
      </c>
      <c r="I9" s="20">
        <f>I8*Supuestos!B22</f>
        <v>34087.61545143526</v>
      </c>
      <c r="J9" s="20">
        <f>J8*Supuestos!B22</f>
        <v>35110.243914978324</v>
      </c>
      <c r="K9" s="20">
        <f>K8*Supuestos!B22</f>
        <v>36163.551232427671</v>
      </c>
      <c r="L9" s="20">
        <f>L8*Supuestos!B22</f>
        <v>37248.457769400498</v>
      </c>
    </row>
    <row r="11" spans="1:12" ht="15" customHeight="1">
      <c r="B11" s="4" t="s">
        <v>271</v>
      </c>
      <c r="C11" s="19">
        <f t="shared" ref="C11:L11" si="0">C5+C6+C8+C9</f>
        <v>137264.26132498524</v>
      </c>
      <c r="D11" s="19">
        <f t="shared" si="0"/>
        <v>313562.70095039683</v>
      </c>
      <c r="E11" s="19">
        <f t="shared" si="0"/>
        <v>325448.71468564821</v>
      </c>
      <c r="F11" s="19">
        <f t="shared" si="0"/>
        <v>335212.17612621776</v>
      </c>
      <c r="G11" s="19">
        <f t="shared" si="0"/>
        <v>345268.54141000425</v>
      </c>
      <c r="H11" s="19">
        <f t="shared" si="0"/>
        <v>355626.59765230439</v>
      </c>
      <c r="I11" s="19">
        <f t="shared" si="0"/>
        <v>366295.39558187354</v>
      </c>
      <c r="J11" s="19">
        <f t="shared" si="0"/>
        <v>377284.25744932983</v>
      </c>
      <c r="K11" s="19">
        <f t="shared" si="0"/>
        <v>388602.78517280967</v>
      </c>
      <c r="L11" s="19">
        <f t="shared" si="0"/>
        <v>400260.86872799398</v>
      </c>
    </row>
    <row r="13" spans="1:12" ht="15" customHeight="1">
      <c r="B13" s="6" t="s">
        <v>272</v>
      </c>
      <c r="C13" s="36">
        <v>0</v>
      </c>
      <c r="D13" s="37">
        <v>45000</v>
      </c>
      <c r="E13" s="20">
        <f>D13*(1+Supuestos!B21)</f>
        <v>46350</v>
      </c>
      <c r="F13" s="20">
        <f>E13*(1+Supuestos!B21)</f>
        <v>47740.5</v>
      </c>
      <c r="G13" s="20">
        <f>F13*(1+Supuestos!B21)</f>
        <v>49172.715000000004</v>
      </c>
      <c r="H13" s="20">
        <f>G13*(1+Supuestos!B21)</f>
        <v>50647.896450000007</v>
      </c>
      <c r="I13" s="20">
        <f>H13*(1+Supuestos!B21)</f>
        <v>52167.33334350001</v>
      </c>
      <c r="J13" s="20">
        <f>I13*(1+Supuestos!B21)</f>
        <v>53732.353343805014</v>
      </c>
      <c r="K13" s="20">
        <f>J13*(1+Supuestos!B21)</f>
        <v>55344.323944119169</v>
      </c>
      <c r="L13" s="20">
        <f>K13*(1+Supuestos!B21)</f>
        <v>57004.653662442746</v>
      </c>
    </row>
    <row r="16" spans="1:12">
      <c r="C16" s="59"/>
    </row>
    <row r="50" spans="3:3">
      <c r="C50" s="69">
        <f>100%-Supuestos!B22</f>
        <v>0.56909999999999994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AA00"/>
  </sheetPr>
  <dimension ref="A1:O30"/>
  <sheetViews>
    <sheetView showGridLines="0" zoomScale="115" zoomScaleNormal="115" workbookViewId="0">
      <pane xSplit="3" ySplit="5" topLeftCell="D6" activePane="bottomRight" state="frozen"/>
      <selection pane="topRight" activeCell="C1" sqref="C1"/>
      <selection pane="bottomLeft" activeCell="A5" sqref="A5"/>
      <selection pane="bottomRight" activeCell="F6" sqref="F6:F7"/>
    </sheetView>
  </sheetViews>
  <sheetFormatPr baseColWidth="10" defaultColWidth="8.6328125" defaultRowHeight="14.5"/>
  <cols>
    <col min="1" max="1" width="3" customWidth="1"/>
    <col min="2" max="2" width="5" customWidth="1"/>
    <col min="3" max="3" width="36.6328125" customWidth="1"/>
    <col min="4" max="13" width="13" customWidth="1"/>
  </cols>
  <sheetData>
    <row r="1" spans="1:15">
      <c r="A1" t="s">
        <v>463</v>
      </c>
    </row>
    <row r="2" spans="1:15" ht="17.25" customHeight="1">
      <c r="B2" s="1" t="s">
        <v>273</v>
      </c>
    </row>
    <row r="3" spans="1:15" ht="15" customHeight="1">
      <c r="B3" s="11" t="s">
        <v>274</v>
      </c>
    </row>
    <row r="4" spans="1:15" s="57" customFormat="1">
      <c r="D4" s="57" t="s">
        <v>463</v>
      </c>
      <c r="E4" s="57" t="s">
        <v>463</v>
      </c>
    </row>
    <row r="5" spans="1:15" ht="15" customHeight="1">
      <c r="B5" s="3" t="s">
        <v>225</v>
      </c>
      <c r="C5" s="3" t="s">
        <v>152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5" ht="15" customHeight="1">
      <c r="B6" s="6">
        <v>1</v>
      </c>
      <c r="C6" s="38" t="s">
        <v>275</v>
      </c>
      <c r="D6" s="35">
        <f>+Ej_Producción!O22</f>
        <v>711.98</v>
      </c>
      <c r="E6" s="35">
        <f>+Ej_Producción!AD22</f>
        <v>990</v>
      </c>
      <c r="F6" s="20">
        <f>ROUND(E6*(1+Supuestos!$B$11),0)</f>
        <v>1040</v>
      </c>
      <c r="G6" s="20">
        <f>ROUND(F6*(1+Supuestos!$B$11),0)</f>
        <v>1092</v>
      </c>
      <c r="H6" s="20">
        <f>ROUND(G6*(1+Supuestos!$B$11),0)</f>
        <v>1147</v>
      </c>
      <c r="I6" s="20">
        <f>ROUND(H6*(1+Supuestos!$B$11),0)</f>
        <v>1204</v>
      </c>
      <c r="J6" s="20">
        <f>ROUND(I6*(1+Supuestos!$B$11),0)</f>
        <v>1264</v>
      </c>
      <c r="K6" s="20">
        <f>ROUND(J6*(1+Supuestos!$B$11),0)</f>
        <v>1327</v>
      </c>
      <c r="L6" s="20">
        <f>ROUND(K6*(1+Supuestos!$B$11),0)</f>
        <v>1393</v>
      </c>
      <c r="M6" s="20">
        <f>ROUND(L6*(1+Supuestos!$B$11),0)</f>
        <v>1463</v>
      </c>
      <c r="N6" s="59">
        <f>SUM(D6:M6)</f>
        <v>11631.98</v>
      </c>
      <c r="O6" s="59">
        <f>+N6-N7</f>
        <v>149</v>
      </c>
    </row>
    <row r="7" spans="1:15" ht="15" customHeight="1">
      <c r="C7" s="39" t="s">
        <v>276</v>
      </c>
      <c r="D7" s="20">
        <f>+Ej_Producción!O37</f>
        <v>711.98</v>
      </c>
      <c r="E7" s="20">
        <f>+Ej_Producción!AD37</f>
        <v>990</v>
      </c>
      <c r="F7" s="20">
        <f>ROUND(F6*(1-Supuestos!$B$8),0)</f>
        <v>1024</v>
      </c>
      <c r="G7" s="20">
        <f>ROUND(G6*(1-Supuestos!$B$8),0)</f>
        <v>1076</v>
      </c>
      <c r="H7" s="20">
        <f>ROUND(H6*(1-Supuestos!$B$8),0)</f>
        <v>1130</v>
      </c>
      <c r="I7" s="20">
        <f>ROUND(I6*(1-Supuestos!$B$8),0)</f>
        <v>1186</v>
      </c>
      <c r="J7" s="20">
        <f>ROUND(J6*(1-Supuestos!$B$8),0)</f>
        <v>1245</v>
      </c>
      <c r="K7" s="20">
        <f>ROUND(K6*(1-Supuestos!$B$8),0)</f>
        <v>1307</v>
      </c>
      <c r="L7" s="20">
        <f>ROUND(L6*(1-Supuestos!$B$8),0)</f>
        <v>1372</v>
      </c>
      <c r="M7" s="20">
        <f>ROUND(M6*(1-Supuestos!$B$8),0)</f>
        <v>1441</v>
      </c>
      <c r="N7" s="59">
        <f t="shared" ref="N7:N27" si="0">SUM(D7:M7)</f>
        <v>11482.98</v>
      </c>
    </row>
    <row r="8" spans="1:15" ht="15" customHeight="1">
      <c r="B8" s="6">
        <v>2</v>
      </c>
      <c r="C8" s="38" t="s">
        <v>277</v>
      </c>
      <c r="D8" s="35">
        <f>+Ej_Producción!O23</f>
        <v>1806.0450000000001</v>
      </c>
      <c r="E8" s="35">
        <f>+Ej_Producción!AD23</f>
        <v>4770</v>
      </c>
      <c r="F8" s="20">
        <f>ROUND(E8*(1+Supuestos!$B$11),0)</f>
        <v>5009</v>
      </c>
      <c r="G8" s="20">
        <f>ROUND(F8*(1+Supuestos!$B$11),0)</f>
        <v>5259</v>
      </c>
      <c r="H8" s="20">
        <f>ROUND(G8*(1+Supuestos!$B$11),0)</f>
        <v>5522</v>
      </c>
      <c r="I8" s="20">
        <f>ROUND(H8*(1+Supuestos!$B$11),0)</f>
        <v>5798</v>
      </c>
      <c r="J8" s="20">
        <f>ROUND(I8*(1+Supuestos!$B$11),0)</f>
        <v>6088</v>
      </c>
      <c r="K8" s="20">
        <f>ROUND(J8*(1+Supuestos!$B$11),0)</f>
        <v>6392</v>
      </c>
      <c r="L8" s="20">
        <f>ROUND(K8*(1+Supuestos!$B$11),0)</f>
        <v>6712</v>
      </c>
      <c r="M8" s="20">
        <f>ROUND(L8*(1+Supuestos!$B$11),0)</f>
        <v>7048</v>
      </c>
      <c r="N8" s="59">
        <f t="shared" si="0"/>
        <v>54404.044999999998</v>
      </c>
      <c r="O8" s="59">
        <f>+N8-N9</f>
        <v>778</v>
      </c>
    </row>
    <row r="9" spans="1:15" ht="15" customHeight="1">
      <c r="C9" s="39" t="s">
        <v>278</v>
      </c>
      <c r="D9" s="20">
        <f>+Ej_Producción!O38</f>
        <v>1746.0450000000001</v>
      </c>
      <c r="E9" s="20">
        <f>+Ej_Producción!AD38</f>
        <v>4770</v>
      </c>
      <c r="F9" s="20">
        <f>ROUND(F8*(1-Supuestos!$B$8),0)</f>
        <v>4934</v>
      </c>
      <c r="G9" s="20">
        <f>ROUND(G8*(1-Supuestos!$B$8),0)</f>
        <v>5180</v>
      </c>
      <c r="H9" s="20">
        <f>ROUND(H8*(1-Supuestos!$B$8),0)</f>
        <v>5439</v>
      </c>
      <c r="I9" s="20">
        <f>ROUND(I8*(1-Supuestos!$B$8),0)</f>
        <v>5711</v>
      </c>
      <c r="J9" s="20">
        <f>ROUND(J8*(1-Supuestos!$B$8),0)</f>
        <v>5997</v>
      </c>
      <c r="K9" s="20">
        <f>ROUND(K8*(1-Supuestos!$B$8),0)</f>
        <v>6296</v>
      </c>
      <c r="L9" s="20">
        <f>ROUND(L8*(1-Supuestos!$B$8),0)</f>
        <v>6611</v>
      </c>
      <c r="M9" s="20">
        <f>ROUND(M8*(1-Supuestos!$B$8),0)</f>
        <v>6942</v>
      </c>
      <c r="N9" s="59">
        <f t="shared" si="0"/>
        <v>53626.044999999998</v>
      </c>
    </row>
    <row r="10" spans="1:15" ht="15" customHeight="1">
      <c r="B10" s="6">
        <v>3</v>
      </c>
      <c r="C10" s="38" t="s">
        <v>279</v>
      </c>
      <c r="D10" s="35">
        <f>+Ej_Producción!O24</f>
        <v>409.14099999999996</v>
      </c>
      <c r="E10" s="35">
        <f>+Ej_Producción!AD24</f>
        <v>1650</v>
      </c>
      <c r="F10" s="20">
        <f>ROUND(E10*(1+Supuestos!$B$11),0)</f>
        <v>1733</v>
      </c>
      <c r="G10" s="20">
        <f>ROUND(F10*(1+Supuestos!$B$11),0)</f>
        <v>1820</v>
      </c>
      <c r="H10" s="20">
        <f>ROUND(G10*(1+Supuestos!$B$11),0)</f>
        <v>1911</v>
      </c>
      <c r="I10" s="20">
        <f>ROUND(H10*(1+Supuestos!$B$11),0)</f>
        <v>2007</v>
      </c>
      <c r="J10" s="20">
        <f>ROUND(I10*(1+Supuestos!$B$11),0)</f>
        <v>2107</v>
      </c>
      <c r="K10" s="20">
        <f>ROUND(J10*(1+Supuestos!$B$11),0)</f>
        <v>2212</v>
      </c>
      <c r="L10" s="20">
        <f>ROUND(K10*(1+Supuestos!$B$11),0)</f>
        <v>2323</v>
      </c>
      <c r="M10" s="20">
        <f>ROUND(L10*(1+Supuestos!$B$11),0)</f>
        <v>2439</v>
      </c>
      <c r="N10" s="59">
        <f t="shared" si="0"/>
        <v>18611.141</v>
      </c>
      <c r="O10" s="59">
        <f>+N10-N11</f>
        <v>279</v>
      </c>
    </row>
    <row r="11" spans="1:15" ht="15" customHeight="1">
      <c r="C11" s="39" t="s">
        <v>280</v>
      </c>
      <c r="D11" s="20">
        <f>+Ej_Producción!O39</f>
        <v>379.14099999999996</v>
      </c>
      <c r="E11" s="20">
        <f>+Ej_Producción!AD39</f>
        <v>1650</v>
      </c>
      <c r="F11" s="20">
        <f>ROUND(F10*(1-Supuestos!$B$8),0)</f>
        <v>1707</v>
      </c>
      <c r="G11" s="20">
        <f>ROUND(G10*(1-Supuestos!$B$8),0)</f>
        <v>1793</v>
      </c>
      <c r="H11" s="20">
        <f>ROUND(H10*(1-Supuestos!$B$8),0)</f>
        <v>1882</v>
      </c>
      <c r="I11" s="20">
        <f>ROUND(I10*(1-Supuestos!$B$8),0)</f>
        <v>1977</v>
      </c>
      <c r="J11" s="20">
        <f>ROUND(J10*(1-Supuestos!$B$8),0)</f>
        <v>2075</v>
      </c>
      <c r="K11" s="20">
        <f>ROUND(K10*(1-Supuestos!$B$8),0)</f>
        <v>2179</v>
      </c>
      <c r="L11" s="20">
        <f>ROUND(L10*(1-Supuestos!$B$8),0)</f>
        <v>2288</v>
      </c>
      <c r="M11" s="20">
        <f>ROUND(M10*(1-Supuestos!$B$8),0)</f>
        <v>2402</v>
      </c>
      <c r="N11" s="59">
        <f t="shared" si="0"/>
        <v>18332.141</v>
      </c>
    </row>
    <row r="12" spans="1:15" ht="15" customHeight="1">
      <c r="B12" s="6">
        <v>4</v>
      </c>
      <c r="C12" s="16" t="s">
        <v>537</v>
      </c>
      <c r="D12" s="35">
        <f>+Ej_Producción!O25</f>
        <v>480</v>
      </c>
      <c r="E12" s="35">
        <f>+Ej_Producción!AD25</f>
        <v>1650</v>
      </c>
      <c r="F12" s="20">
        <f>ROUND(E12*(1+Supuestos!$B$11),0)</f>
        <v>1733</v>
      </c>
      <c r="G12" s="20">
        <f>ROUND(F12*(1+Supuestos!$B$11),0)</f>
        <v>1820</v>
      </c>
      <c r="H12" s="20">
        <f>ROUND(G12*(1+Supuestos!$B$11),0)</f>
        <v>1911</v>
      </c>
      <c r="I12" s="20">
        <f>ROUND(H12*(1+Supuestos!$B$11),0)</f>
        <v>2007</v>
      </c>
      <c r="J12" s="20">
        <f>ROUND(I12*(1+Supuestos!$B$11),0)</f>
        <v>2107</v>
      </c>
      <c r="K12" s="20">
        <f>ROUND(J12*(1+Supuestos!$B$11),0)</f>
        <v>2212</v>
      </c>
      <c r="L12" s="20">
        <f>ROUND(K12*(1+Supuestos!$B$11),0)</f>
        <v>2323</v>
      </c>
      <c r="M12" s="20">
        <f>ROUND(L12*(1+Supuestos!$B$11),0)</f>
        <v>2439</v>
      </c>
      <c r="N12" s="59">
        <f t="shared" ref="N12:N13" si="1">SUM(D12:M12)</f>
        <v>18682</v>
      </c>
      <c r="O12" s="59">
        <f>+N12-N13</f>
        <v>279</v>
      </c>
    </row>
    <row r="13" spans="1:15" ht="15" customHeight="1">
      <c r="C13" s="23" t="s">
        <v>538</v>
      </c>
      <c r="D13" s="20">
        <f>+Ej_Producción!O40</f>
        <v>450</v>
      </c>
      <c r="E13" s="20">
        <f>+Ej_Producción!AD40</f>
        <v>1650</v>
      </c>
      <c r="F13" s="20">
        <f>ROUND(F12*(1-Supuestos!$B$8),0)</f>
        <v>1707</v>
      </c>
      <c r="G13" s="20">
        <f>ROUND(G12*(1-Supuestos!$B$8),0)</f>
        <v>1793</v>
      </c>
      <c r="H13" s="20">
        <f>ROUND(H12*(1-Supuestos!$B$8),0)</f>
        <v>1882</v>
      </c>
      <c r="I13" s="20">
        <f>ROUND(I12*(1-Supuestos!$B$8),0)</f>
        <v>1977</v>
      </c>
      <c r="J13" s="20">
        <f>ROUND(J12*(1-Supuestos!$B$8),0)</f>
        <v>2075</v>
      </c>
      <c r="K13" s="20">
        <f>ROUND(K12*(1-Supuestos!$B$8),0)</f>
        <v>2179</v>
      </c>
      <c r="L13" s="20">
        <f>ROUND(L12*(1-Supuestos!$B$8),0)</f>
        <v>2288</v>
      </c>
      <c r="M13" s="20">
        <f>ROUND(M12*(1-Supuestos!$B$8),0)</f>
        <v>2402</v>
      </c>
      <c r="N13" s="59">
        <f t="shared" si="1"/>
        <v>18403</v>
      </c>
    </row>
    <row r="14" spans="1:15" ht="15" customHeight="1">
      <c r="B14" s="6">
        <v>5</v>
      </c>
      <c r="C14" s="38" t="s">
        <v>281</v>
      </c>
      <c r="D14" s="35">
        <f>+Ej_Producción!O26</f>
        <v>240</v>
      </c>
      <c r="E14" s="35">
        <f>+Ej_Producción!AD26</f>
        <v>660</v>
      </c>
      <c r="F14" s="20">
        <f>ROUND(E14*(1+Supuestos!$B$11),0)</f>
        <v>693</v>
      </c>
      <c r="G14" s="20">
        <f>ROUND(F14*(1+Supuestos!$B$11),0)</f>
        <v>728</v>
      </c>
      <c r="H14" s="20">
        <f>ROUND(G14*(1+Supuestos!$B$11),0)</f>
        <v>764</v>
      </c>
      <c r="I14" s="20">
        <f>ROUND(H14*(1+Supuestos!$B$11),0)</f>
        <v>802</v>
      </c>
      <c r="J14" s="20">
        <f>ROUND(I14*(1+Supuestos!$B$11),0)</f>
        <v>842</v>
      </c>
      <c r="K14" s="20">
        <f>ROUND(J14*(1+Supuestos!$B$11),0)</f>
        <v>884</v>
      </c>
      <c r="L14" s="20">
        <f>ROUND(K14*(1+Supuestos!$B$11),0)</f>
        <v>928</v>
      </c>
      <c r="M14" s="20">
        <f>ROUND(L14*(1+Supuestos!$B$11),0)</f>
        <v>974</v>
      </c>
      <c r="N14" s="59">
        <f t="shared" si="0"/>
        <v>7515</v>
      </c>
      <c r="O14" s="59">
        <f>+N14-N15</f>
        <v>99</v>
      </c>
    </row>
    <row r="15" spans="1:15" ht="15" customHeight="1">
      <c r="C15" s="39" t="s">
        <v>282</v>
      </c>
      <c r="D15" s="20">
        <f>+Ej_Producción!O41</f>
        <v>240</v>
      </c>
      <c r="E15" s="20">
        <f>+Ej_Producción!AD41</f>
        <v>660</v>
      </c>
      <c r="F15" s="20">
        <f>ROUND(F14*(1-Supuestos!$B$8),0)</f>
        <v>683</v>
      </c>
      <c r="G15" s="20">
        <f>ROUND(G14*(1-Supuestos!$B$8),0)</f>
        <v>717</v>
      </c>
      <c r="H15" s="20">
        <f>ROUND(H14*(1-Supuestos!$B$8),0)</f>
        <v>753</v>
      </c>
      <c r="I15" s="20">
        <f>ROUND(I14*(1-Supuestos!$B$8),0)</f>
        <v>790</v>
      </c>
      <c r="J15" s="20">
        <f>ROUND(J14*(1-Supuestos!$B$8),0)</f>
        <v>829</v>
      </c>
      <c r="K15" s="20">
        <f>ROUND(K14*(1-Supuestos!$B$8),0)</f>
        <v>871</v>
      </c>
      <c r="L15" s="20">
        <f>ROUND(L14*(1-Supuestos!$B$8),0)</f>
        <v>914</v>
      </c>
      <c r="M15" s="20">
        <f>ROUND(M14*(1-Supuestos!$B$8),0)</f>
        <v>959</v>
      </c>
      <c r="N15" s="59">
        <f t="shared" si="0"/>
        <v>7416</v>
      </c>
    </row>
    <row r="16" spans="1:15" ht="15" customHeight="1">
      <c r="B16" s="6">
        <v>6</v>
      </c>
      <c r="C16" s="38" t="s">
        <v>283</v>
      </c>
      <c r="D16" s="35">
        <f>+Ej_Producción!O27</f>
        <v>158</v>
      </c>
      <c r="E16" s="35">
        <f>+Ej_Producción!AD27</f>
        <v>330</v>
      </c>
      <c r="F16" s="20">
        <f>ROUND(E16*(1+Supuestos!$B$11),0)</f>
        <v>347</v>
      </c>
      <c r="G16" s="20">
        <f>ROUND(F16*(1+Supuestos!$B$11),0)</f>
        <v>364</v>
      </c>
      <c r="H16" s="20">
        <f>ROUND(G16*(1+Supuestos!$B$11),0)</f>
        <v>382</v>
      </c>
      <c r="I16" s="20">
        <f>ROUND(H16*(1+Supuestos!$B$11),0)</f>
        <v>401</v>
      </c>
      <c r="J16" s="20">
        <f>ROUND(I16*(1+Supuestos!$B$11),0)</f>
        <v>421</v>
      </c>
      <c r="K16" s="20">
        <f>ROUND(J16*(1+Supuestos!$B$11),0)</f>
        <v>442</v>
      </c>
      <c r="L16" s="20">
        <f>ROUND(K16*(1+Supuestos!$B$11),0)</f>
        <v>464</v>
      </c>
      <c r="M16" s="20">
        <f>ROUND(L16*(1+Supuestos!$B$11),0)</f>
        <v>487</v>
      </c>
      <c r="N16" s="59">
        <f t="shared" si="0"/>
        <v>3796</v>
      </c>
      <c r="O16" s="59">
        <f>+N16-N17</f>
        <v>49</v>
      </c>
    </row>
    <row r="17" spans="2:15" ht="15" customHeight="1">
      <c r="C17" s="39" t="s">
        <v>284</v>
      </c>
      <c r="D17" s="20">
        <f>+Ej_Producción!O42</f>
        <v>158</v>
      </c>
      <c r="E17" s="20">
        <f>+Ej_Producción!AD42</f>
        <v>330</v>
      </c>
      <c r="F17" s="20">
        <f>ROUND(F16*(1-Supuestos!$B$8),0)</f>
        <v>342</v>
      </c>
      <c r="G17" s="20">
        <f>ROUND(G16*(1-Supuestos!$B$8),0)</f>
        <v>359</v>
      </c>
      <c r="H17" s="20">
        <f>ROUND(H16*(1-Supuestos!$B$8),0)</f>
        <v>376</v>
      </c>
      <c r="I17" s="20">
        <f>ROUND(I16*(1-Supuestos!$B$8),0)</f>
        <v>395</v>
      </c>
      <c r="J17" s="20">
        <f>ROUND(J16*(1-Supuestos!$B$8),0)</f>
        <v>415</v>
      </c>
      <c r="K17" s="20">
        <f>ROUND(K16*(1-Supuestos!$B$8),0)</f>
        <v>435</v>
      </c>
      <c r="L17" s="20">
        <f>ROUND(L16*(1-Supuestos!$B$8),0)</f>
        <v>457</v>
      </c>
      <c r="M17" s="20">
        <f>ROUND(M16*(1-Supuestos!$B$8),0)</f>
        <v>480</v>
      </c>
      <c r="N17" s="59">
        <f t="shared" si="0"/>
        <v>3747</v>
      </c>
    </row>
    <row r="18" spans="2:15" ht="15" customHeight="1">
      <c r="B18" s="6">
        <v>7</v>
      </c>
      <c r="C18" s="38" t="s">
        <v>285</v>
      </c>
      <c r="D18" s="35">
        <f>+Ej_Producción!O28</f>
        <v>120</v>
      </c>
      <c r="E18" s="35">
        <f>+Ej_Producción!AD28</f>
        <v>645</v>
      </c>
      <c r="F18" s="20">
        <f>ROUND(E18*(1+Supuestos!$B$11),0)</f>
        <v>677</v>
      </c>
      <c r="G18" s="20">
        <f>ROUND(F18*(1+Supuestos!$B$11),0)</f>
        <v>711</v>
      </c>
      <c r="H18" s="20">
        <f>ROUND(G18*(1+Supuestos!$B$11),0)</f>
        <v>747</v>
      </c>
      <c r="I18" s="20">
        <f>ROUND(H18*(1+Supuestos!$B$11),0)</f>
        <v>784</v>
      </c>
      <c r="J18" s="20">
        <f>ROUND(I18*(1+Supuestos!$B$11),0)</f>
        <v>823</v>
      </c>
      <c r="K18" s="20">
        <f>ROUND(J18*(1+Supuestos!$B$11),0)</f>
        <v>864</v>
      </c>
      <c r="L18" s="20">
        <f>ROUND(K18*(1+Supuestos!$B$11),0)</f>
        <v>907</v>
      </c>
      <c r="M18" s="20">
        <f>ROUND(L18*(1+Supuestos!$B$11),0)</f>
        <v>952</v>
      </c>
      <c r="N18" s="59">
        <f t="shared" si="0"/>
        <v>7230</v>
      </c>
      <c r="O18" s="59">
        <f>+N18-N19</f>
        <v>97</v>
      </c>
    </row>
    <row r="19" spans="2:15" ht="15" customHeight="1">
      <c r="C19" s="39" t="s">
        <v>286</v>
      </c>
      <c r="D19" s="20">
        <f>+Ej_Producción!O43</f>
        <v>120</v>
      </c>
      <c r="E19" s="20">
        <f>+Ej_Producción!AD43</f>
        <v>645</v>
      </c>
      <c r="F19" s="20">
        <f>ROUND(F18*(1-Supuestos!$B$8),0)</f>
        <v>667</v>
      </c>
      <c r="G19" s="20">
        <f>ROUND(G18*(1-Supuestos!$B$8),0)</f>
        <v>700</v>
      </c>
      <c r="H19" s="20">
        <f>ROUND(H18*(1-Supuestos!$B$8),0)</f>
        <v>736</v>
      </c>
      <c r="I19" s="20">
        <f>ROUND(I18*(1-Supuestos!$B$8),0)</f>
        <v>772</v>
      </c>
      <c r="J19" s="20">
        <f>ROUND(J18*(1-Supuestos!$B$8),0)</f>
        <v>811</v>
      </c>
      <c r="K19" s="20">
        <f>ROUND(K18*(1-Supuestos!$B$8),0)</f>
        <v>851</v>
      </c>
      <c r="L19" s="20">
        <f>ROUND(L18*(1-Supuestos!$B$8),0)</f>
        <v>893</v>
      </c>
      <c r="M19" s="20">
        <f>ROUND(M18*(1-Supuestos!$B$8),0)</f>
        <v>938</v>
      </c>
      <c r="N19" s="59">
        <f t="shared" si="0"/>
        <v>7133</v>
      </c>
    </row>
    <row r="20" spans="2:15" ht="15" customHeight="1">
      <c r="B20" s="6">
        <v>8</v>
      </c>
      <c r="C20" s="38" t="s">
        <v>287</v>
      </c>
      <c r="D20" s="35">
        <f>+Ej_Producción!O29</f>
        <v>120</v>
      </c>
      <c r="E20" s="35">
        <f>+Ej_Producción!AD29</f>
        <v>660</v>
      </c>
      <c r="F20" s="20">
        <f>ROUND(E20*(1+Supuestos!$B$11),0)</f>
        <v>693</v>
      </c>
      <c r="G20" s="20">
        <f>ROUND(F20*(1+Supuestos!$B$11),0)</f>
        <v>728</v>
      </c>
      <c r="H20" s="20">
        <f>ROUND(G20*(1+Supuestos!$B$11),0)</f>
        <v>764</v>
      </c>
      <c r="I20" s="20">
        <f>ROUND(H20*(1+Supuestos!$B$11),0)</f>
        <v>802</v>
      </c>
      <c r="J20" s="20">
        <f>ROUND(I20*(1+Supuestos!$B$11),0)</f>
        <v>842</v>
      </c>
      <c r="K20" s="20">
        <f>ROUND(J20*(1+Supuestos!$B$11),0)</f>
        <v>884</v>
      </c>
      <c r="L20" s="20">
        <f>ROUND(K20*(1+Supuestos!$B$11),0)</f>
        <v>928</v>
      </c>
      <c r="M20" s="20">
        <f>ROUND(L20*(1+Supuestos!$B$11),0)</f>
        <v>974</v>
      </c>
      <c r="N20" s="59">
        <f t="shared" si="0"/>
        <v>7395</v>
      </c>
      <c r="O20" s="59">
        <f>+N20-N21</f>
        <v>99</v>
      </c>
    </row>
    <row r="21" spans="2:15" ht="15" customHeight="1">
      <c r="C21" s="39" t="s">
        <v>288</v>
      </c>
      <c r="D21" s="20">
        <f>+Ej_Producción!O44</f>
        <v>120</v>
      </c>
      <c r="E21" s="20">
        <f>+Ej_Producción!AD44</f>
        <v>660</v>
      </c>
      <c r="F21" s="20">
        <f>ROUND(F20*(1-Supuestos!$B$8),0)</f>
        <v>683</v>
      </c>
      <c r="G21" s="20">
        <f>ROUND(G20*(1-Supuestos!$B$8),0)</f>
        <v>717</v>
      </c>
      <c r="H21" s="20">
        <f>ROUND(H20*(1-Supuestos!$B$8),0)</f>
        <v>753</v>
      </c>
      <c r="I21" s="20">
        <f>ROUND(I20*(1-Supuestos!$B$8),0)</f>
        <v>790</v>
      </c>
      <c r="J21" s="20">
        <f>ROUND(J20*(1-Supuestos!$B$8),0)</f>
        <v>829</v>
      </c>
      <c r="K21" s="20">
        <f>ROUND(K20*(1-Supuestos!$B$8),0)</f>
        <v>871</v>
      </c>
      <c r="L21" s="20">
        <f>ROUND(L20*(1-Supuestos!$B$8),0)</f>
        <v>914</v>
      </c>
      <c r="M21" s="20">
        <f>ROUND(M20*(1-Supuestos!$B$8),0)</f>
        <v>959</v>
      </c>
      <c r="N21" s="59">
        <f t="shared" si="0"/>
        <v>7296</v>
      </c>
    </row>
    <row r="22" spans="2:15" ht="15" customHeight="1">
      <c r="B22" s="6">
        <v>9</v>
      </c>
      <c r="C22" s="38" t="s">
        <v>289</v>
      </c>
      <c r="D22" s="35">
        <f>+Ej_Producción!O30</f>
        <v>270</v>
      </c>
      <c r="E22" s="35">
        <f>+Ej_Producción!AD30</f>
        <v>1620</v>
      </c>
      <c r="F22" s="20">
        <f>ROUND(E22*(1+Supuestos!$B$11),0)</f>
        <v>1701</v>
      </c>
      <c r="G22" s="20">
        <f>ROUND(F22*(1+Supuestos!$B$11),0)</f>
        <v>1786</v>
      </c>
      <c r="H22" s="20">
        <f>ROUND(G22*(1+Supuestos!$B$11),0)</f>
        <v>1875</v>
      </c>
      <c r="I22" s="20">
        <f>ROUND(H22*(1+Supuestos!$B$11),0)</f>
        <v>1969</v>
      </c>
      <c r="J22" s="20">
        <f>ROUND(I22*(1+Supuestos!$B$11),0)</f>
        <v>2067</v>
      </c>
      <c r="K22" s="20">
        <f>ROUND(J22*(1+Supuestos!$B$11),0)</f>
        <v>2170</v>
      </c>
      <c r="L22" s="20">
        <f>ROUND(K22*(1+Supuestos!$B$11),0)</f>
        <v>2279</v>
      </c>
      <c r="M22" s="20">
        <f>ROUND(L22*(1+Supuestos!$B$11),0)</f>
        <v>2393</v>
      </c>
      <c r="N22" s="59">
        <f t="shared" si="0"/>
        <v>18130</v>
      </c>
      <c r="O22" s="59">
        <f>+N22-N23</f>
        <v>245</v>
      </c>
    </row>
    <row r="23" spans="2:15" ht="15" customHeight="1">
      <c r="C23" s="39" t="s">
        <v>290</v>
      </c>
      <c r="D23" s="20">
        <f>+Ej_Producción!O45</f>
        <v>270</v>
      </c>
      <c r="E23" s="20">
        <f>+Ej_Producción!AD45</f>
        <v>1620</v>
      </c>
      <c r="F23" s="20">
        <f>ROUND(F22*(1-Supuestos!$B$8),0)</f>
        <v>1675</v>
      </c>
      <c r="G23" s="20">
        <f>ROUND(G22*(1-Supuestos!$B$8),0)</f>
        <v>1759</v>
      </c>
      <c r="H23" s="20">
        <f>ROUND(H22*(1-Supuestos!$B$8),0)</f>
        <v>1847</v>
      </c>
      <c r="I23" s="20">
        <f>ROUND(I22*(1-Supuestos!$B$8),0)</f>
        <v>1939</v>
      </c>
      <c r="J23" s="20">
        <f>ROUND(J22*(1-Supuestos!$B$8),0)</f>
        <v>2036</v>
      </c>
      <c r="K23" s="20">
        <f>ROUND(K22*(1-Supuestos!$B$8),0)</f>
        <v>2137</v>
      </c>
      <c r="L23" s="20">
        <f>ROUND(L22*(1-Supuestos!$B$8),0)</f>
        <v>2245</v>
      </c>
      <c r="M23" s="20">
        <f>ROUND(M22*(1-Supuestos!$B$8),0)</f>
        <v>2357</v>
      </c>
      <c r="N23" s="59">
        <f t="shared" si="0"/>
        <v>17885</v>
      </c>
    </row>
    <row r="24" spans="2:15" ht="15" customHeight="1">
      <c r="B24" s="6">
        <v>10</v>
      </c>
      <c r="C24" s="38" t="s">
        <v>291</v>
      </c>
      <c r="D24" s="35">
        <f>+Ej_Producción!O31</f>
        <v>0</v>
      </c>
      <c r="E24" s="35">
        <f>+Ej_Producción!AD31</f>
        <v>930</v>
      </c>
      <c r="F24" s="20">
        <f>ROUND(E24*(1+Supuestos!$B$11),0)</f>
        <v>977</v>
      </c>
      <c r="G24" s="20">
        <f>ROUND(F24*(1+Supuestos!$B$11),0)</f>
        <v>1026</v>
      </c>
      <c r="H24" s="20">
        <f>ROUND(G24*(1+Supuestos!$B$11),0)</f>
        <v>1077</v>
      </c>
      <c r="I24" s="20">
        <f>ROUND(H24*(1+Supuestos!$B$11),0)</f>
        <v>1131</v>
      </c>
      <c r="J24" s="20">
        <f>ROUND(I24*(1+Supuestos!$B$11),0)</f>
        <v>1188</v>
      </c>
      <c r="K24" s="20">
        <f>ROUND(J24*(1+Supuestos!$B$11),0)</f>
        <v>1247</v>
      </c>
      <c r="L24" s="20">
        <f>ROUND(K24*(1+Supuestos!$B$11),0)</f>
        <v>1309</v>
      </c>
      <c r="M24" s="20">
        <f>ROUND(L24*(1+Supuestos!$B$11),0)</f>
        <v>1374</v>
      </c>
      <c r="N24" s="59">
        <f t="shared" si="0"/>
        <v>10259</v>
      </c>
      <c r="O24" s="59">
        <f>+N24-N25</f>
        <v>141</v>
      </c>
    </row>
    <row r="25" spans="2:15" ht="15" customHeight="1">
      <c r="C25" s="39" t="s">
        <v>292</v>
      </c>
      <c r="D25" s="20">
        <f>+Ej_Producción!O46</f>
        <v>0</v>
      </c>
      <c r="E25" s="20">
        <f>+Ej_Producción!AD46</f>
        <v>930</v>
      </c>
      <c r="F25" s="20">
        <f>ROUND(F24*(1-Supuestos!$B$8),0)</f>
        <v>962</v>
      </c>
      <c r="G25" s="20">
        <f>ROUND(G24*(1-Supuestos!$B$8),0)</f>
        <v>1011</v>
      </c>
      <c r="H25" s="20">
        <f>ROUND(H24*(1-Supuestos!$B$8),0)</f>
        <v>1061</v>
      </c>
      <c r="I25" s="20">
        <f>ROUND(I24*(1-Supuestos!$B$8),0)</f>
        <v>1114</v>
      </c>
      <c r="J25" s="20">
        <f>ROUND(J24*(1-Supuestos!$B$8),0)</f>
        <v>1170</v>
      </c>
      <c r="K25" s="20">
        <f>ROUND(K24*(1-Supuestos!$B$8),0)</f>
        <v>1228</v>
      </c>
      <c r="L25" s="20">
        <f>ROUND(L24*(1-Supuestos!$B$8),0)</f>
        <v>1289</v>
      </c>
      <c r="M25" s="20">
        <f>ROUND(M24*(1-Supuestos!$B$8),0)</f>
        <v>1353</v>
      </c>
      <c r="N25" s="59">
        <f t="shared" si="0"/>
        <v>10118</v>
      </c>
    </row>
    <row r="26" spans="2:15" ht="15" customHeight="1">
      <c r="B26" s="6">
        <v>11</v>
      </c>
      <c r="C26" s="38" t="s">
        <v>293</v>
      </c>
      <c r="D26" s="35">
        <v>0</v>
      </c>
      <c r="E26" s="35">
        <f>+Ej_Producción!AD32</f>
        <v>330</v>
      </c>
      <c r="F26" s="20">
        <f>ROUND(E26*(1+Supuestos!$B$11),0)</f>
        <v>347</v>
      </c>
      <c r="G26" s="20">
        <f>ROUND(F26*(1+Supuestos!$B$11),0)</f>
        <v>364</v>
      </c>
      <c r="H26" s="20">
        <f>ROUND(G26*(1+Supuestos!$B$11),0)</f>
        <v>382</v>
      </c>
      <c r="I26" s="20">
        <f>ROUND(H26*(1+Supuestos!$B$11),0)</f>
        <v>401</v>
      </c>
      <c r="J26" s="20">
        <f>ROUND(I26*(1+Supuestos!$B$11),0)</f>
        <v>421</v>
      </c>
      <c r="K26" s="20">
        <f>ROUND(J26*(1+Supuestos!$B$11),0)</f>
        <v>442</v>
      </c>
      <c r="L26" s="20">
        <f>ROUND(K26*(1+Supuestos!$B$11),0)</f>
        <v>464</v>
      </c>
      <c r="M26" s="20">
        <f>ROUND(L26*(1+Supuestos!$B$11),0)</f>
        <v>487</v>
      </c>
      <c r="N26" s="59">
        <f t="shared" si="0"/>
        <v>3638</v>
      </c>
      <c r="O26" s="59">
        <f>+N26-N27</f>
        <v>49</v>
      </c>
    </row>
    <row r="27" spans="2:15" ht="15" customHeight="1">
      <c r="C27" s="39" t="s">
        <v>294</v>
      </c>
      <c r="D27" s="20">
        <f>+Ej_Producción!O47</f>
        <v>0</v>
      </c>
      <c r="E27" s="20">
        <f>+Ej_Producción!AD47</f>
        <v>330</v>
      </c>
      <c r="F27" s="20">
        <f>ROUND(F26*(1-Supuestos!$B$8),0)</f>
        <v>342</v>
      </c>
      <c r="G27" s="20">
        <f>ROUND(G26*(1-Supuestos!$B$8),0)</f>
        <v>359</v>
      </c>
      <c r="H27" s="20">
        <f>ROUND(H26*(1-Supuestos!$B$8),0)</f>
        <v>376</v>
      </c>
      <c r="I27" s="20">
        <f>ROUND(I26*(1-Supuestos!$B$8),0)</f>
        <v>395</v>
      </c>
      <c r="J27" s="20">
        <f>ROUND(J26*(1-Supuestos!$B$8),0)</f>
        <v>415</v>
      </c>
      <c r="K27" s="20">
        <f>ROUND(K26*(1-Supuestos!$B$8),0)</f>
        <v>435</v>
      </c>
      <c r="L27" s="20">
        <f>ROUND(L26*(1-Supuestos!$B$8),0)</f>
        <v>457</v>
      </c>
      <c r="M27" s="20">
        <f>ROUND(M26*(1-Supuestos!$B$8),0)</f>
        <v>480</v>
      </c>
      <c r="N27" s="59">
        <f t="shared" si="0"/>
        <v>3589</v>
      </c>
    </row>
    <row r="28" spans="2:15" ht="15" customHeight="1">
      <c r="C28" s="4" t="s">
        <v>295</v>
      </c>
      <c r="D28" s="19">
        <f>D6+D8+D10+D14+D16+D18+D20+D22+D24+D26+D12</f>
        <v>4315.1660000000002</v>
      </c>
      <c r="E28" s="19">
        <f>E6+E8+E10+E14+E16+E18+E20+E22+E24+E26+E12</f>
        <v>14235</v>
      </c>
      <c r="F28" s="19">
        <f t="shared" ref="F28:M28" si="2">F6+F8+F10+F14+F16+F18+F20+F22+F24+F26+F12</f>
        <v>14950</v>
      </c>
      <c r="G28" s="19">
        <f t="shared" si="2"/>
        <v>15698</v>
      </c>
      <c r="H28" s="19">
        <f t="shared" si="2"/>
        <v>16482</v>
      </c>
      <c r="I28" s="19">
        <f t="shared" si="2"/>
        <v>17306</v>
      </c>
      <c r="J28" s="19">
        <f t="shared" si="2"/>
        <v>18170</v>
      </c>
      <c r="K28" s="19">
        <f t="shared" si="2"/>
        <v>19076</v>
      </c>
      <c r="L28" s="19">
        <f t="shared" si="2"/>
        <v>20030</v>
      </c>
      <c r="M28" s="19">
        <f t="shared" si="2"/>
        <v>21030</v>
      </c>
    </row>
    <row r="29" spans="2:15" ht="15" customHeight="1">
      <c r="C29" s="4" t="s">
        <v>296</v>
      </c>
      <c r="D29" s="19">
        <f>D7+D9+D11+D15+D17+D19+D21+D23+D25+D27+D13</f>
        <v>4195.1660000000002</v>
      </c>
      <c r="E29" s="19">
        <f>E7+E9+E11+E15+E17+E19+E21+E23+E25+E27+E13</f>
        <v>14235</v>
      </c>
      <c r="F29" s="19">
        <f t="shared" ref="F29:M29" si="3">F7+F9+F11+F15+F17+F19+F21+F23+F25+F27+F13</f>
        <v>14726</v>
      </c>
      <c r="G29" s="19">
        <f t="shared" si="3"/>
        <v>15464</v>
      </c>
      <c r="H29" s="19">
        <f t="shared" si="3"/>
        <v>16235</v>
      </c>
      <c r="I29" s="19">
        <f t="shared" si="3"/>
        <v>17046</v>
      </c>
      <c r="J29" s="19">
        <f t="shared" si="3"/>
        <v>17897</v>
      </c>
      <c r="K29" s="19">
        <f t="shared" si="3"/>
        <v>18789</v>
      </c>
      <c r="L29" s="19">
        <f t="shared" si="3"/>
        <v>19728</v>
      </c>
      <c r="M29" s="19">
        <f t="shared" si="3"/>
        <v>20713</v>
      </c>
    </row>
    <row r="30" spans="2:15">
      <c r="D30" s="59"/>
    </row>
  </sheetData>
  <pageMargins left="0.75" right="0.75" top="1" bottom="1" header="0.511811023622047" footer="0.511811023622047"/>
  <pageSetup paperSize="9" orientation="portrait" horizontalDpi="300" verticalDpi="300"/>
  <ignoredErrors>
    <ignoredError sqref="F14:M27 F7:M11 F12:M12 F13:M13" 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6600"/>
  </sheetPr>
  <dimension ref="A1:O31"/>
  <sheetViews>
    <sheetView showGridLines="0" zoomScale="115" zoomScaleNormal="115" workbookViewId="0">
      <pane xSplit="3" ySplit="5" topLeftCell="D6" activePane="bottomRight" state="frozen"/>
      <selection pane="topRight" activeCell="C1" sqref="C1"/>
      <selection pane="bottomLeft" activeCell="A5" sqref="A5"/>
      <selection pane="bottomRight" activeCell="F28" sqref="F28"/>
    </sheetView>
  </sheetViews>
  <sheetFormatPr baseColWidth="10" defaultColWidth="8.6328125" defaultRowHeight="14.5"/>
  <cols>
    <col min="1" max="1" width="3.26953125" customWidth="1"/>
    <col min="2" max="2" width="5" customWidth="1"/>
    <col min="3" max="3" width="39.81640625" bestFit="1" customWidth="1"/>
    <col min="4" max="13" width="12.90625" customWidth="1"/>
    <col min="14" max="15" width="11" bestFit="1" customWidth="1"/>
  </cols>
  <sheetData>
    <row r="1" spans="1:13">
      <c r="A1" t="s">
        <v>463</v>
      </c>
    </row>
    <row r="2" spans="1:13" ht="17.25" customHeight="1">
      <c r="B2" s="1" t="s">
        <v>297</v>
      </c>
    </row>
    <row r="3" spans="1:13" ht="15" customHeight="1">
      <c r="B3" s="11" t="s">
        <v>298</v>
      </c>
    </row>
    <row r="4" spans="1:13" s="57" customFormat="1">
      <c r="D4" s="57" t="s">
        <v>463</v>
      </c>
      <c r="E4" s="57" t="s">
        <v>463</v>
      </c>
    </row>
    <row r="5" spans="1:13" ht="15" customHeight="1">
      <c r="B5" s="3" t="s">
        <v>225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ht="15" customHeight="1">
      <c r="B6" s="6">
        <v>1</v>
      </c>
      <c r="C6" s="40" t="s">
        <v>299</v>
      </c>
      <c r="D6" s="41">
        <f>+Ej_Ingresos!O8</f>
        <v>836.1123907974943</v>
      </c>
      <c r="E6" s="41">
        <f>+Ej_Ingresos!AD8</f>
        <v>858</v>
      </c>
      <c r="F6" s="42">
        <f>E6*(1+Supuestos!$B$14)</f>
        <v>900.90000000000009</v>
      </c>
      <c r="G6" s="42">
        <f>F6*(1+Supuestos!$B$15)</f>
        <v>918.91800000000012</v>
      </c>
      <c r="H6" s="42">
        <f>G6*(1+Supuestos!$B$15)</f>
        <v>937.29636000000016</v>
      </c>
      <c r="I6" s="42">
        <f>H6*(1+Supuestos!$B$15)</f>
        <v>956.04228720000015</v>
      </c>
      <c r="J6" s="42">
        <f>I6*(1+Supuestos!$B$15)</f>
        <v>975.16313294400015</v>
      </c>
      <c r="K6" s="42">
        <f>J6*(1+Supuestos!$B$15)</f>
        <v>994.66639560288013</v>
      </c>
      <c r="L6" s="42">
        <f>K6*(1+Supuestos!$B$15)</f>
        <v>1014.5597235149378</v>
      </c>
      <c r="M6" s="42">
        <f>L6*(1+Supuestos!$B$15)</f>
        <v>1034.8509179852365</v>
      </c>
    </row>
    <row r="7" spans="1:13" ht="15" customHeight="1">
      <c r="C7" s="23" t="s">
        <v>300</v>
      </c>
      <c r="D7" s="43">
        <f>D6*Producción!D7</f>
        <v>595295.30000000005</v>
      </c>
      <c r="E7" s="43">
        <f>E6*Producción!E7</f>
        <v>849420</v>
      </c>
      <c r="F7" s="43">
        <f>F6*Producción!F7</f>
        <v>922521.60000000009</v>
      </c>
      <c r="G7" s="43">
        <f>G6*Producción!G7</f>
        <v>988755.76800000016</v>
      </c>
      <c r="H7" s="43">
        <f>H6*Producción!H7</f>
        <v>1059144.8868000002</v>
      </c>
      <c r="I7" s="43">
        <f>I6*Producción!I7</f>
        <v>1133866.1526192001</v>
      </c>
      <c r="J7" s="43">
        <f>J6*Producción!J7</f>
        <v>1214078.1005152802</v>
      </c>
      <c r="K7" s="43">
        <f>K6*Producción!K7</f>
        <v>1300028.9790529644</v>
      </c>
      <c r="L7" s="43">
        <f>L6*Producción!L7</f>
        <v>1391975.9406624946</v>
      </c>
      <c r="M7" s="43">
        <f>M6*Producción!M7</f>
        <v>1491220.1728167257</v>
      </c>
    </row>
    <row r="8" spans="1:13" ht="15" customHeight="1">
      <c r="B8" s="6">
        <v>2</v>
      </c>
      <c r="C8" s="40" t="s">
        <v>301</v>
      </c>
      <c r="D8" s="41">
        <f>+Ej_Ingresos!O9</f>
        <v>905.50966381164278</v>
      </c>
      <c r="E8" s="41">
        <f>+Ej_Ingresos!AD9</f>
        <v>964</v>
      </c>
      <c r="F8" s="42">
        <f>E8*(1+Supuestos!$B$14)</f>
        <v>1012.2</v>
      </c>
      <c r="G8" s="42">
        <f>F8*(1+Supuestos!$B$15)</f>
        <v>1032.444</v>
      </c>
      <c r="H8" s="42">
        <f>G8*(1+Supuestos!$B$15)</f>
        <v>1053.0928799999999</v>
      </c>
      <c r="I8" s="42">
        <f>H8*(1+Supuestos!$B$15)</f>
        <v>1074.1547375999999</v>
      </c>
      <c r="J8" s="42">
        <f>I8*(1+Supuestos!$B$15)</f>
        <v>1095.6378323519998</v>
      </c>
      <c r="K8" s="42">
        <f>J8*(1+Supuestos!$B$15)</f>
        <v>1117.5505889990397</v>
      </c>
      <c r="L8" s="42">
        <f>K8*(1+Supuestos!$B$15)</f>
        <v>1139.9016007790206</v>
      </c>
      <c r="M8" s="42">
        <f>L8*(1+Supuestos!$B$15)</f>
        <v>1162.699632794601</v>
      </c>
    </row>
    <row r="9" spans="1:13" ht="15" customHeight="1">
      <c r="C9" s="23" t="s">
        <v>302</v>
      </c>
      <c r="D9" s="43">
        <f>D8*Producción!D9</f>
        <v>1581060.6209499999</v>
      </c>
      <c r="E9" s="43">
        <f>E8*Producción!E9</f>
        <v>4598280</v>
      </c>
      <c r="F9" s="43">
        <f>F8*Producción!F9</f>
        <v>4994194.8</v>
      </c>
      <c r="G9" s="43">
        <f>G8*Producción!G9</f>
        <v>5348059.92</v>
      </c>
      <c r="H9" s="43">
        <f>H8*Producción!H9</f>
        <v>5727772.1743199993</v>
      </c>
      <c r="I9" s="43">
        <f>I8*Producción!I9</f>
        <v>6134497.7064335989</v>
      </c>
      <c r="J9" s="43">
        <f>J8*Producción!J9</f>
        <v>6570540.0806149431</v>
      </c>
      <c r="K9" s="43">
        <f>K8*Producción!K9</f>
        <v>7036098.5083379541</v>
      </c>
      <c r="L9" s="43">
        <f>L8*Producción!L9</f>
        <v>7535889.4827501047</v>
      </c>
      <c r="M9" s="43">
        <f>M8*Producción!M9</f>
        <v>8071460.8508601207</v>
      </c>
    </row>
    <row r="10" spans="1:13" ht="15" customHeight="1">
      <c r="B10" s="6">
        <v>3</v>
      </c>
      <c r="C10" s="40" t="s">
        <v>303</v>
      </c>
      <c r="D10" s="41">
        <f>+Ej_Ingresos!O10</f>
        <v>1047.5820604999196</v>
      </c>
      <c r="E10" s="41">
        <f>+Ej_Ingresos!AD10</f>
        <v>1080</v>
      </c>
      <c r="F10" s="42">
        <f>E10*(1+Supuestos!$B$14)</f>
        <v>1134</v>
      </c>
      <c r="G10" s="42">
        <f>F10*(1+Supuestos!$B$15)</f>
        <v>1156.68</v>
      </c>
      <c r="H10" s="42">
        <f>G10*(1+Supuestos!$B$15)</f>
        <v>1179.8136000000002</v>
      </c>
      <c r="I10" s="42">
        <f>H10*(1+Supuestos!$B$15)</f>
        <v>1203.4098720000002</v>
      </c>
      <c r="J10" s="42">
        <f>I10*(1+Supuestos!$B$15)</f>
        <v>1227.4780694400001</v>
      </c>
      <c r="K10" s="42">
        <f>J10*(1+Supuestos!$B$15)</f>
        <v>1252.0276308288001</v>
      </c>
      <c r="L10" s="42">
        <f>K10*(1+Supuestos!$B$15)</f>
        <v>1277.068183445376</v>
      </c>
      <c r="M10" s="42">
        <f>L10*(1+Supuestos!$B$15)</f>
        <v>1302.6095471142835</v>
      </c>
    </row>
    <row r="11" spans="1:13" ht="15" customHeight="1">
      <c r="C11" s="23" t="s">
        <v>304</v>
      </c>
      <c r="D11" s="43">
        <f>D10*Producción!D11</f>
        <v>397181.31</v>
      </c>
      <c r="E11" s="43">
        <f>E10*Producción!E11</f>
        <v>1782000</v>
      </c>
      <c r="F11" s="43">
        <f>F10*Producción!F11</f>
        <v>1935738</v>
      </c>
      <c r="G11" s="43">
        <f>G10*Producción!G11</f>
        <v>2073927.2400000002</v>
      </c>
      <c r="H11" s="43">
        <f>H10*Producción!H11</f>
        <v>2220409.1952000004</v>
      </c>
      <c r="I11" s="43">
        <f>I10*Producción!I11</f>
        <v>2379141.3169440003</v>
      </c>
      <c r="J11" s="43">
        <f>J10*Producción!J11</f>
        <v>2547016.9940880002</v>
      </c>
      <c r="K11" s="43">
        <f>K10*Producción!K11</f>
        <v>2728168.2075759554</v>
      </c>
      <c r="L11" s="43">
        <f>L10*Producción!L11</f>
        <v>2921932.0037230202</v>
      </c>
      <c r="M11" s="43">
        <f>M10*Producción!M11</f>
        <v>3128868.1321685091</v>
      </c>
    </row>
    <row r="12" spans="1:13" ht="15" customHeight="1">
      <c r="B12" s="6">
        <v>4</v>
      </c>
      <c r="C12" s="40" t="s">
        <v>539</v>
      </c>
      <c r="D12" s="41">
        <f>+Ej_Ingresos!O11</f>
        <v>1080</v>
      </c>
      <c r="E12" s="41">
        <f>+Ej_Ingresos!AD11</f>
        <v>1080</v>
      </c>
      <c r="F12" s="42">
        <f>E12*(1+Supuestos!$B$14)</f>
        <v>1134</v>
      </c>
      <c r="G12" s="42">
        <f>F12*(1+Supuestos!$B$15)</f>
        <v>1156.68</v>
      </c>
      <c r="H12" s="42">
        <f>G12*(1+Supuestos!$B$15)</f>
        <v>1179.8136000000002</v>
      </c>
      <c r="I12" s="42">
        <f>H12*(1+Supuestos!$B$15)</f>
        <v>1203.4098720000002</v>
      </c>
      <c r="J12" s="42">
        <f>I12*(1+Supuestos!$B$15)</f>
        <v>1227.4780694400001</v>
      </c>
      <c r="K12" s="42">
        <f>J12*(1+Supuestos!$B$15)</f>
        <v>1252.0276308288001</v>
      </c>
      <c r="L12" s="42">
        <f>K12*(1+Supuestos!$B$15)</f>
        <v>1277.068183445376</v>
      </c>
      <c r="M12" s="42">
        <f>L12*(1+Supuestos!$B$15)</f>
        <v>1302.6095471142835</v>
      </c>
    </row>
    <row r="13" spans="1:13" ht="15" customHeight="1">
      <c r="C13" s="23" t="s">
        <v>540</v>
      </c>
      <c r="D13" s="43">
        <f>D12*Producción!D13</f>
        <v>486000</v>
      </c>
      <c r="E13" s="43">
        <f>E12*Producción!E13</f>
        <v>1782000</v>
      </c>
      <c r="F13" s="43">
        <f>F12*Producción!F13</f>
        <v>1935738</v>
      </c>
      <c r="G13" s="43">
        <f>G12*Producción!G13</f>
        <v>2073927.2400000002</v>
      </c>
      <c r="H13" s="43">
        <f>H12*Producción!H13</f>
        <v>2220409.1952000004</v>
      </c>
      <c r="I13" s="43">
        <f>I12*Producción!I13</f>
        <v>2379141.3169440003</v>
      </c>
      <c r="J13" s="43">
        <f>J12*Producción!J13</f>
        <v>2547016.9940880002</v>
      </c>
      <c r="K13" s="43">
        <f>K12*Producción!K13</f>
        <v>2728168.2075759554</v>
      </c>
      <c r="L13" s="43">
        <f>L12*Producción!L13</f>
        <v>2921932.0037230202</v>
      </c>
      <c r="M13" s="43">
        <f>M12*Producción!M13</f>
        <v>3128868.1321685091</v>
      </c>
    </row>
    <row r="14" spans="1:13" ht="15" customHeight="1">
      <c r="B14" s="6">
        <v>5</v>
      </c>
      <c r="C14" s="40" t="s">
        <v>305</v>
      </c>
      <c r="D14" s="41">
        <f>+Ej_Ingresos!O12</f>
        <v>1218</v>
      </c>
      <c r="E14" s="41">
        <f>+Ej_Ingresos!AD12</f>
        <v>1218</v>
      </c>
      <c r="F14" s="42">
        <f>E14*(1+Supuestos!$B$14)</f>
        <v>1278.9000000000001</v>
      </c>
      <c r="G14" s="42">
        <f>F14*(1+Supuestos!$B$15)</f>
        <v>1304.4780000000001</v>
      </c>
      <c r="H14" s="42">
        <f>G14*(1+Supuestos!$B$15)</f>
        <v>1330.5675600000002</v>
      </c>
      <c r="I14" s="42">
        <f>H14*(1+Supuestos!$B$15)</f>
        <v>1357.1789112000001</v>
      </c>
      <c r="J14" s="42">
        <f>I14*(1+Supuestos!$B$15)</f>
        <v>1384.3224894240002</v>
      </c>
      <c r="K14" s="42">
        <f>J14*(1+Supuestos!$B$15)</f>
        <v>1412.0089392124803</v>
      </c>
      <c r="L14" s="42">
        <f>K14*(1+Supuestos!$B$15)</f>
        <v>1440.2491179967299</v>
      </c>
      <c r="M14" s="42">
        <f>L14*(1+Supuestos!$B$15)</f>
        <v>1469.0541003566645</v>
      </c>
    </row>
    <row r="15" spans="1:13" ht="15" customHeight="1">
      <c r="C15" s="23" t="s">
        <v>306</v>
      </c>
      <c r="D15" s="43">
        <f>D14*Producción!D15</f>
        <v>292320</v>
      </c>
      <c r="E15" s="43">
        <f>E14*Producción!E15</f>
        <v>803880</v>
      </c>
      <c r="F15" s="43">
        <f>F14*Producción!F15</f>
        <v>873488.70000000007</v>
      </c>
      <c r="G15" s="43">
        <f>G14*Producción!G15</f>
        <v>935310.72600000002</v>
      </c>
      <c r="H15" s="43">
        <f>H14*Producción!H15</f>
        <v>1001917.3726800001</v>
      </c>
      <c r="I15" s="43">
        <f>I14*Producción!I15</f>
        <v>1072171.3398480001</v>
      </c>
      <c r="J15" s="43">
        <f>J14*Producción!J15</f>
        <v>1147603.3437324963</v>
      </c>
      <c r="K15" s="43">
        <f>K14*Producción!K15</f>
        <v>1229859.7860540703</v>
      </c>
      <c r="L15" s="43">
        <f>L14*Producción!L15</f>
        <v>1316387.6938490111</v>
      </c>
      <c r="M15" s="43">
        <f>M14*Producción!M15</f>
        <v>1408822.8822420414</v>
      </c>
    </row>
    <row r="16" spans="1:13" ht="15" customHeight="1">
      <c r="B16" s="6">
        <v>6</v>
      </c>
      <c r="C16" s="40" t="s">
        <v>307</v>
      </c>
      <c r="D16" s="41">
        <f>+Ej_Ingresos!O13</f>
        <v>1380.8227848101267</v>
      </c>
      <c r="E16" s="41">
        <f>+Ej_Ingresos!AD13</f>
        <v>1399</v>
      </c>
      <c r="F16" s="42">
        <f>E16*(1+Supuestos!$B$14)</f>
        <v>1468.95</v>
      </c>
      <c r="G16" s="42">
        <f>F16*(1+Supuestos!$B$15)</f>
        <v>1498.3290000000002</v>
      </c>
      <c r="H16" s="42">
        <f>G16*(1+Supuestos!$B$15)</f>
        <v>1528.2955800000002</v>
      </c>
      <c r="I16" s="42">
        <f>H16*(1+Supuestos!$B$15)</f>
        <v>1558.8614916000001</v>
      </c>
      <c r="J16" s="42">
        <f>I16*(1+Supuestos!$B$15)</f>
        <v>1590.0387214320001</v>
      </c>
      <c r="K16" s="42">
        <f>J16*(1+Supuestos!$B$15)</f>
        <v>1621.8394958606402</v>
      </c>
      <c r="L16" s="42">
        <f>K16*(1+Supuestos!$B$15)</f>
        <v>1654.276285777853</v>
      </c>
      <c r="M16" s="42">
        <f>L16*(1+Supuestos!$B$15)</f>
        <v>1687.3618114934102</v>
      </c>
    </row>
    <row r="17" spans="2:15" ht="15" customHeight="1">
      <c r="C17" s="23" t="s">
        <v>308</v>
      </c>
      <c r="D17" s="43">
        <f>D16*Producción!D17</f>
        <v>218170.00000000003</v>
      </c>
      <c r="E17" s="43">
        <f>E16*Producción!E17</f>
        <v>461670</v>
      </c>
      <c r="F17" s="43">
        <f>F16*Producción!F17</f>
        <v>502380.9</v>
      </c>
      <c r="G17" s="43">
        <f>G16*Producción!G17</f>
        <v>537900.11100000003</v>
      </c>
      <c r="H17" s="43">
        <f>H16*Producción!H17</f>
        <v>574639.13808000006</v>
      </c>
      <c r="I17" s="43">
        <f>I16*Producción!I17</f>
        <v>615750.2891820001</v>
      </c>
      <c r="J17" s="43">
        <f>J16*Producción!J17</f>
        <v>659866.06939428009</v>
      </c>
      <c r="K17" s="43">
        <f>K16*Producción!K17</f>
        <v>705500.18069937848</v>
      </c>
      <c r="L17" s="43">
        <f>L16*Producción!L17</f>
        <v>756004.26260047883</v>
      </c>
      <c r="M17" s="43">
        <f>M16*Producción!M17</f>
        <v>809933.66951683688</v>
      </c>
    </row>
    <row r="18" spans="2:15" ht="15" customHeight="1">
      <c r="B18" s="6">
        <v>7</v>
      </c>
      <c r="C18" s="40" t="s">
        <v>309</v>
      </c>
      <c r="D18" s="41">
        <f>+Ej_Ingresos!O14</f>
        <v>1399</v>
      </c>
      <c r="E18" s="41">
        <f>+Ej_Ingresos!AD14</f>
        <v>1399</v>
      </c>
      <c r="F18" s="42">
        <f>E18*(1+Supuestos!$B$14)</f>
        <v>1468.95</v>
      </c>
      <c r="G18" s="42">
        <f>F18*(1+Supuestos!$B$15)</f>
        <v>1498.3290000000002</v>
      </c>
      <c r="H18" s="42">
        <f>G18*(1+Supuestos!$B$15)</f>
        <v>1528.2955800000002</v>
      </c>
      <c r="I18" s="42">
        <f>H18*(1+Supuestos!$B$15)</f>
        <v>1558.8614916000001</v>
      </c>
      <c r="J18" s="42">
        <f>I18*(1+Supuestos!$B$15)</f>
        <v>1590.0387214320001</v>
      </c>
      <c r="K18" s="42">
        <f>J18*(1+Supuestos!$B$15)</f>
        <v>1621.8394958606402</v>
      </c>
      <c r="L18" s="42">
        <f>K18*(1+Supuestos!$B$15)</f>
        <v>1654.276285777853</v>
      </c>
      <c r="M18" s="42">
        <f>L18*(1+Supuestos!$B$15)</f>
        <v>1687.3618114934102</v>
      </c>
    </row>
    <row r="19" spans="2:15" ht="15" customHeight="1">
      <c r="C19" s="23" t="s">
        <v>310</v>
      </c>
      <c r="D19" s="43">
        <f>D18*Producción!D19</f>
        <v>167880</v>
      </c>
      <c r="E19" s="43">
        <f>E18*Producción!E19</f>
        <v>902355</v>
      </c>
      <c r="F19" s="43">
        <f>F18*Producción!F19</f>
        <v>979789.65</v>
      </c>
      <c r="G19" s="43">
        <f>G18*Producción!G19</f>
        <v>1048830.3</v>
      </c>
      <c r="H19" s="43">
        <f>H18*Producción!H19</f>
        <v>1124825.54688</v>
      </c>
      <c r="I19" s="43">
        <f>I18*Producción!I19</f>
        <v>1203441.0715152002</v>
      </c>
      <c r="J19" s="43">
        <f>J18*Producción!J19</f>
        <v>1289521.4030813521</v>
      </c>
      <c r="K19" s="43">
        <f>K18*Producción!K19</f>
        <v>1380185.4109774048</v>
      </c>
      <c r="L19" s="43">
        <f>L18*Producción!L19</f>
        <v>1477268.7231996227</v>
      </c>
      <c r="M19" s="43">
        <f>M18*Producción!M19</f>
        <v>1582745.3791808188</v>
      </c>
    </row>
    <row r="20" spans="2:15" ht="15" customHeight="1">
      <c r="B20" s="6">
        <v>8</v>
      </c>
      <c r="C20" s="40" t="s">
        <v>311</v>
      </c>
      <c r="D20" s="41">
        <f>+Ej_Ingresos!O15</f>
        <v>1272</v>
      </c>
      <c r="E20" s="41">
        <f>+Ej_Ingresos!AD15</f>
        <v>1272</v>
      </c>
      <c r="F20" s="42">
        <f>E20*(1+Supuestos!$B$14)</f>
        <v>1335.6000000000001</v>
      </c>
      <c r="G20" s="42">
        <f>F20*(1+Supuestos!$B$15)</f>
        <v>1362.3120000000001</v>
      </c>
      <c r="H20" s="42">
        <f>G20*(1+Supuestos!$B$15)</f>
        <v>1389.5582400000001</v>
      </c>
      <c r="I20" s="42">
        <f>H20*(1+Supuestos!$B$15)</f>
        <v>1417.3494048</v>
      </c>
      <c r="J20" s="42">
        <f>I20*(1+Supuestos!$B$15)</f>
        <v>1445.6963928960001</v>
      </c>
      <c r="K20" s="42">
        <f>J20*(1+Supuestos!$B$15)</f>
        <v>1474.6103207539202</v>
      </c>
      <c r="L20" s="42">
        <f>K20*(1+Supuestos!$B$15)</f>
        <v>1504.1025271689987</v>
      </c>
      <c r="M20" s="42">
        <f>L20*(1+Supuestos!$B$15)</f>
        <v>1534.1845777123788</v>
      </c>
    </row>
    <row r="21" spans="2:15" ht="15" customHeight="1">
      <c r="C21" s="23" t="s">
        <v>312</v>
      </c>
      <c r="D21" s="43">
        <f>D20*Producción!D21</f>
        <v>152640</v>
      </c>
      <c r="E21" s="43">
        <f>E20*Producción!E21</f>
        <v>839520</v>
      </c>
      <c r="F21" s="43">
        <f>F20*Producción!F21</f>
        <v>912214.8</v>
      </c>
      <c r="G21" s="43">
        <f>G20*Producción!G21</f>
        <v>976777.70400000014</v>
      </c>
      <c r="H21" s="43">
        <f>H20*Producción!H21</f>
        <v>1046337.3547200001</v>
      </c>
      <c r="I21" s="43">
        <f>I20*Producción!I21</f>
        <v>1119706.0297920001</v>
      </c>
      <c r="J21" s="43">
        <f>J20*Producción!J21</f>
        <v>1198482.3097107841</v>
      </c>
      <c r="K21" s="43">
        <f>K20*Producción!K21</f>
        <v>1284385.5893766645</v>
      </c>
      <c r="L21" s="43">
        <f>L20*Producción!L21</f>
        <v>1374749.7098324648</v>
      </c>
      <c r="M21" s="43">
        <f>M20*Producción!M21</f>
        <v>1471283.0100261713</v>
      </c>
    </row>
    <row r="22" spans="2:15" ht="15" customHeight="1">
      <c r="B22" s="6">
        <v>9</v>
      </c>
      <c r="C22" s="40" t="s">
        <v>313</v>
      </c>
      <c r="D22" s="41">
        <f>+Ej_Ingresos!O16</f>
        <v>1178</v>
      </c>
      <c r="E22" s="41">
        <f>+Ej_Ingresos!AD16</f>
        <v>1178</v>
      </c>
      <c r="F22" s="42">
        <f>E22*(1+Supuestos!$B$14)</f>
        <v>1236.9000000000001</v>
      </c>
      <c r="G22" s="42">
        <f>F22*(1+Supuestos!$B$15)</f>
        <v>1261.6380000000001</v>
      </c>
      <c r="H22" s="42">
        <f>G22*(1+Supuestos!$B$15)</f>
        <v>1286.8707600000002</v>
      </c>
      <c r="I22" s="42">
        <f>H22*(1+Supuestos!$B$15)</f>
        <v>1312.6081752000002</v>
      </c>
      <c r="J22" s="42">
        <f>I22*(1+Supuestos!$B$15)</f>
        <v>1338.8603387040002</v>
      </c>
      <c r="K22" s="42">
        <f>J22*(1+Supuestos!$B$15)</f>
        <v>1365.6375454780803</v>
      </c>
      <c r="L22" s="42">
        <f>K22*(1+Supuestos!$B$15)</f>
        <v>1392.9502963876419</v>
      </c>
      <c r="M22" s="42">
        <f>L22*(1+Supuestos!$B$15)</f>
        <v>1420.8093023153947</v>
      </c>
    </row>
    <row r="23" spans="2:15" ht="15" customHeight="1">
      <c r="C23" s="23" t="s">
        <v>314</v>
      </c>
      <c r="D23" s="43">
        <f>D22*Producción!D23</f>
        <v>318060</v>
      </c>
      <c r="E23" s="43">
        <f>E22*Producción!E23</f>
        <v>1908360</v>
      </c>
      <c r="F23" s="43">
        <f>F22*Producción!F23</f>
        <v>2071807.5000000002</v>
      </c>
      <c r="G23" s="43">
        <f>G22*Producción!G23</f>
        <v>2219221.2420000001</v>
      </c>
      <c r="H23" s="43">
        <f>H22*Producción!H23</f>
        <v>2376850.2937200004</v>
      </c>
      <c r="I23" s="43">
        <f>I22*Producción!I23</f>
        <v>2545147.2517128005</v>
      </c>
      <c r="J23" s="43">
        <f>J22*Producción!J23</f>
        <v>2725919.6496013445</v>
      </c>
      <c r="K23" s="43">
        <f>K22*Producción!K23</f>
        <v>2918367.4346866575</v>
      </c>
      <c r="L23" s="43">
        <f>L22*Producción!L23</f>
        <v>3127173.4153902559</v>
      </c>
      <c r="M23" s="43">
        <f>M22*Producción!M23</f>
        <v>3348847.5255573853</v>
      </c>
    </row>
    <row r="24" spans="2:15" ht="15" customHeight="1">
      <c r="B24" s="6">
        <v>10</v>
      </c>
      <c r="C24" s="40" t="s">
        <v>315</v>
      </c>
      <c r="D24" s="41">
        <f>+Ej_Ingresos!O17</f>
        <v>0</v>
      </c>
      <c r="E24" s="41">
        <f>+Ej_Ingresos!AD17</f>
        <v>1840</v>
      </c>
      <c r="F24" s="42">
        <f>E24*(1+Supuestos!$B$14)</f>
        <v>1932</v>
      </c>
      <c r="G24" s="42">
        <f>F24*(1+Supuestos!$B$15)</f>
        <v>1970.64</v>
      </c>
      <c r="H24" s="42">
        <f>G24*(1+Supuestos!$B$15)</f>
        <v>2010.0528000000002</v>
      </c>
      <c r="I24" s="42">
        <f>H24*(1+Supuestos!$B$15)</f>
        <v>2050.2538560000003</v>
      </c>
      <c r="J24" s="42">
        <f>I24*(1+Supuestos!$B$15)</f>
        <v>2091.2589331200002</v>
      </c>
      <c r="K24" s="42">
        <f>J24*(1+Supuestos!$B$15)</f>
        <v>2133.0841117824002</v>
      </c>
      <c r="L24" s="42">
        <f>K24*(1+Supuestos!$B$15)</f>
        <v>2175.7457940180484</v>
      </c>
      <c r="M24" s="42">
        <f>L24*(1+Supuestos!$B$15)</f>
        <v>2219.2607098984095</v>
      </c>
      <c r="N24" s="56"/>
    </row>
    <row r="25" spans="2:15" ht="15" customHeight="1">
      <c r="C25" s="23" t="s">
        <v>316</v>
      </c>
      <c r="D25" s="43">
        <f>D24*Producción!D25</f>
        <v>0</v>
      </c>
      <c r="E25" s="43">
        <f>E24*Producción!E25</f>
        <v>1711200</v>
      </c>
      <c r="F25" s="43">
        <f>F24*Producción!F25</f>
        <v>1858584</v>
      </c>
      <c r="G25" s="43">
        <f>G24*Producción!G25</f>
        <v>1992317.04</v>
      </c>
      <c r="H25" s="43">
        <f>H24*Producción!H25</f>
        <v>2132666.0208000001</v>
      </c>
      <c r="I25" s="43">
        <f>I24*Producción!I25</f>
        <v>2283982.7955840002</v>
      </c>
      <c r="J25" s="43">
        <f>J24*Producción!J25</f>
        <v>2446772.9517504</v>
      </c>
      <c r="K25" s="43">
        <f>K24*Producción!K25</f>
        <v>2619427.2892687875</v>
      </c>
      <c r="L25" s="43">
        <f>L24*Producción!L25</f>
        <v>2804536.3284892645</v>
      </c>
      <c r="M25" s="43">
        <f>M24*Producción!M25</f>
        <v>3002659.7404925479</v>
      </c>
      <c r="N25" s="56"/>
      <c r="O25" s="56">
        <v>18777162.704598017</v>
      </c>
    </row>
    <row r="26" spans="2:15" ht="15" customHeight="1">
      <c r="B26" s="6">
        <v>11</v>
      </c>
      <c r="C26" s="40" t="s">
        <v>317</v>
      </c>
      <c r="D26" s="41">
        <f>+Ej_Ingresos!O18</f>
        <v>0</v>
      </c>
      <c r="E26" s="41">
        <f>+Ej_Ingresos!AD18</f>
        <v>5202</v>
      </c>
      <c r="F26" s="42">
        <f>E26*(1+Supuestos!$B$14)</f>
        <v>5462.1</v>
      </c>
      <c r="G26" s="42">
        <f>F26*(1+Supuestos!$B$15)</f>
        <v>5571.3420000000006</v>
      </c>
      <c r="H26" s="42">
        <f>G26*(1+Supuestos!$B$15)</f>
        <v>5682.7688400000006</v>
      </c>
      <c r="I26" s="42">
        <f>H26*(1+Supuestos!$B$15)</f>
        <v>5796.424216800001</v>
      </c>
      <c r="J26" s="42">
        <f>I26*(1+Supuestos!$B$15)</f>
        <v>5912.3527011360011</v>
      </c>
      <c r="K26" s="42">
        <f>J26*(1+Supuestos!$B$15)</f>
        <v>6030.5997551587216</v>
      </c>
      <c r="L26" s="42">
        <f>K26*(1+Supuestos!$B$15)</f>
        <v>6151.2117502618958</v>
      </c>
      <c r="M26" s="42">
        <f>L26*(1+Supuestos!$B$15)</f>
        <v>6274.2359852671334</v>
      </c>
      <c r="O26" s="63">
        <f>+N25-O25</f>
        <v>-18777162.704598017</v>
      </c>
    </row>
    <row r="27" spans="2:15" ht="15" customHeight="1">
      <c r="C27" s="23" t="s">
        <v>318</v>
      </c>
      <c r="D27" s="43">
        <f>D26*Producción!D27</f>
        <v>0</v>
      </c>
      <c r="E27" s="43">
        <f>E26*Producción!E27</f>
        <v>1716660</v>
      </c>
      <c r="F27" s="43">
        <f>F26*Producción!F27</f>
        <v>1868038.2000000002</v>
      </c>
      <c r="G27" s="43">
        <f>G26*Producción!G27</f>
        <v>2000111.7780000002</v>
      </c>
      <c r="H27" s="43">
        <f>H26*Producción!H27</f>
        <v>2136721.0838400004</v>
      </c>
      <c r="I27" s="43">
        <f>I26*Producción!I27</f>
        <v>2289587.5656360006</v>
      </c>
      <c r="J27" s="43">
        <f>J26*Producción!J27</f>
        <v>2453626.3709714403</v>
      </c>
      <c r="K27" s="43">
        <f>K26*Producción!K27</f>
        <v>2623310.893494044</v>
      </c>
      <c r="L27" s="43">
        <f>L26*Producción!L27</f>
        <v>2811103.7698696866</v>
      </c>
      <c r="M27" s="43">
        <f>M26*Producción!M27</f>
        <v>3011633.2729282239</v>
      </c>
    </row>
    <row r="28" spans="2:15" ht="15" customHeight="1">
      <c r="C28" s="23" t="s">
        <v>319</v>
      </c>
      <c r="D28" s="19">
        <f>D7+D9+D11+D15+D17+D19+D21+D23+D25+D27+D13</f>
        <v>4208607.2309499998</v>
      </c>
      <c r="E28" s="19">
        <f t="shared" ref="E28:M28" si="0">E7+E9+E11+E15+E17+E19+E21+E23+E25+E27+E13</f>
        <v>17355345</v>
      </c>
      <c r="F28" s="19">
        <f t="shared" si="0"/>
        <v>18854496.150000002</v>
      </c>
      <c r="G28" s="19">
        <f t="shared" si="0"/>
        <v>20195139.068999998</v>
      </c>
      <c r="H28" s="19">
        <f t="shared" si="0"/>
        <v>21621692.26224</v>
      </c>
      <c r="I28" s="19">
        <f t="shared" si="0"/>
        <v>23156432.836210802</v>
      </c>
      <c r="J28" s="19">
        <f t="shared" si="0"/>
        <v>24800444.267548323</v>
      </c>
      <c r="K28" s="19">
        <f t="shared" si="0"/>
        <v>26553500.487099838</v>
      </c>
      <c r="L28" s="19">
        <f t="shared" si="0"/>
        <v>28438953.334089424</v>
      </c>
      <c r="M28" s="19">
        <f t="shared" si="0"/>
        <v>30456342.767957889</v>
      </c>
    </row>
    <row r="29" spans="2:15" ht="15" customHeight="1">
      <c r="C29" s="6" t="s">
        <v>320</v>
      </c>
      <c r="D29" s="20">
        <f>IF(Producción!D29=0,0,D28/Producción!D29)</f>
        <v>1003.2039807125628</v>
      </c>
      <c r="E29" s="20">
        <f>IF(Producción!E29=0,0,E28/Producción!E29)</f>
        <v>1219.2023182297155</v>
      </c>
      <c r="F29" s="20">
        <f>IF(Producción!F29=0,0,F28/Producción!F29)</f>
        <v>1280.3542136357464</v>
      </c>
      <c r="G29" s="20">
        <f>IF(Producción!G29=0,0,G28/Producción!G29)</f>
        <v>1305.9453614200722</v>
      </c>
      <c r="H29" s="20">
        <f>IF(Producción!H29=0,0,H28/Producción!H29)</f>
        <v>1331.7950269319372</v>
      </c>
      <c r="I29" s="20">
        <f>IF(Producción!I29=0,0,I28/Producción!I29)</f>
        <v>1358.4672554388596</v>
      </c>
      <c r="J29" s="20">
        <f>IF(Producción!J29=0,0,J28/Producción!J29)</f>
        <v>1385.7319253253797</v>
      </c>
      <c r="K29" s="20">
        <f>IF(Producción!K29=0,0,K28/Producción!K29)</f>
        <v>1413.2471385970427</v>
      </c>
      <c r="L29" s="20">
        <f>IF(Producción!L29=0,0,L28/Producción!L29)</f>
        <v>1441.5527845746869</v>
      </c>
      <c r="M29" s="20">
        <f>IF(Producción!M29=0,0,M28/Producción!M29)</f>
        <v>1470.3974686408483</v>
      </c>
    </row>
    <row r="31" spans="2:15">
      <c r="E31" s="63"/>
    </row>
  </sheetData>
  <pageMargins left="0.75" right="0.75" top="1" bottom="1" header="0.511811023622047" footer="0.511811023622047"/>
  <pageSetup paperSize="9" orientation="portrait" horizontalDpi="300" verticalDpi="300"/>
  <ignoredErrors>
    <ignoredError sqref="E7:F7 E9:F9 E11:F11 E15:F15 E17:F17 E19:F19 E21:F21 E23:F23 E25:F25 E27:F27 G14:M27 G7:M11 F13:M13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AA0000"/>
  </sheetPr>
  <dimension ref="A1:M33"/>
  <sheetViews>
    <sheetView showGridLines="0" zoomScale="115" zoomScaleNormal="115" workbookViewId="0">
      <pane xSplit="3" ySplit="5" topLeftCell="D6" activePane="bottomRight" state="frozen"/>
      <selection pane="topRight" activeCell="C1" sqref="C1"/>
      <selection pane="bottomLeft" activeCell="A5" sqref="A5"/>
      <selection pane="bottomRight" activeCell="E28" sqref="E28"/>
    </sheetView>
  </sheetViews>
  <sheetFormatPr baseColWidth="10" defaultColWidth="8.6328125" defaultRowHeight="14.5"/>
  <cols>
    <col min="1" max="1" width="4" customWidth="1"/>
    <col min="2" max="2" width="5" customWidth="1"/>
    <col min="3" max="3" width="39.81640625" customWidth="1"/>
    <col min="4" max="13" width="12" customWidth="1"/>
  </cols>
  <sheetData>
    <row r="1" spans="1:13">
      <c r="A1" t="s">
        <v>463</v>
      </c>
    </row>
    <row r="2" spans="1:13" ht="17.25" customHeight="1">
      <c r="B2" s="1" t="s">
        <v>321</v>
      </c>
    </row>
    <row r="3" spans="1:13" ht="15" customHeight="1">
      <c r="B3" s="11" t="s">
        <v>231</v>
      </c>
    </row>
    <row r="4" spans="1:13" s="57" customFormat="1">
      <c r="D4" s="57" t="s">
        <v>463</v>
      </c>
      <c r="E4" s="57" t="s">
        <v>463</v>
      </c>
    </row>
    <row r="5" spans="1:13" ht="15" customHeight="1">
      <c r="B5" s="3" t="s">
        <v>225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1:13" ht="15" customHeight="1">
      <c r="B6" s="6">
        <v>1</v>
      </c>
      <c r="C6" s="40" t="s">
        <v>322</v>
      </c>
      <c r="D6" s="41">
        <f>+Ej_Costos!O9</f>
        <v>822.06420360615914</v>
      </c>
      <c r="E6" s="41">
        <f>+Ej_Costos!AD9</f>
        <v>879.60869785859006</v>
      </c>
      <c r="F6" s="42">
        <f>E6*(1+Supuestos!B18)</f>
        <v>905.99695879434773</v>
      </c>
      <c r="G6" s="42">
        <f>F6*(1+Supuestos!B18)</f>
        <v>933.17686755817817</v>
      </c>
      <c r="H6" s="42">
        <f>G6*(1+Supuestos!B18)</f>
        <v>961.1721735849236</v>
      </c>
      <c r="I6" s="42">
        <f>H6*(1+Supuestos!B18)</f>
        <v>990.00733879247139</v>
      </c>
      <c r="J6" s="42">
        <f>I6*(1+Supuestos!B18)</f>
        <v>1019.7075589562455</v>
      </c>
      <c r="K6" s="42">
        <f>J6*(1+Supuestos!B18)</f>
        <v>1050.2987857249329</v>
      </c>
      <c r="L6" s="42">
        <f>K6*(1+Supuestos!B18)</f>
        <v>1081.8077492966809</v>
      </c>
      <c r="M6" s="42">
        <f>L6*(1+Supuestos!B18)</f>
        <v>1114.2619817755813</v>
      </c>
    </row>
    <row r="7" spans="1:13" ht="15" customHeight="1">
      <c r="C7" s="23" t="s">
        <v>323</v>
      </c>
      <c r="D7" s="43">
        <f>D6*Producción!D6</f>
        <v>585293.27168351319</v>
      </c>
      <c r="E7" s="43">
        <f>E6*Producción!E6</f>
        <v>870812.61088000413</v>
      </c>
      <c r="F7" s="43">
        <f>F6*Producción!F6</f>
        <v>942236.83714612166</v>
      </c>
      <c r="G7" s="43">
        <f>G6*Producción!G6</f>
        <v>1019029.1393735305</v>
      </c>
      <c r="H7" s="43">
        <f>H6*Producción!H6</f>
        <v>1102464.4831019074</v>
      </c>
      <c r="I7" s="43">
        <f>I6*Producción!I6</f>
        <v>1191968.8359061356</v>
      </c>
      <c r="J7" s="43">
        <f>J6*Producción!J6</f>
        <v>1288910.3545206944</v>
      </c>
      <c r="K7" s="43">
        <f>K6*Producción!K6</f>
        <v>1393746.488656986</v>
      </c>
      <c r="L7" s="43">
        <f>L6*Producción!L6</f>
        <v>1506958.1947702765</v>
      </c>
      <c r="M7" s="43">
        <f>M6*Producción!M6</f>
        <v>1630165.2793376753</v>
      </c>
    </row>
    <row r="8" spans="1:13" ht="15" customHeight="1">
      <c r="B8" s="6">
        <v>2</v>
      </c>
      <c r="C8" s="40" t="s">
        <v>324</v>
      </c>
      <c r="D8" s="41">
        <f>+Ej_Costos!O10</f>
        <v>868.32067589678002</v>
      </c>
      <c r="E8" s="41">
        <f>+Ej_Costos!AD10</f>
        <v>944.11937106918231</v>
      </c>
      <c r="F8" s="42">
        <f>E8*(1+Supuestos!B18)</f>
        <v>972.44295220125775</v>
      </c>
      <c r="G8" s="42">
        <f>F8*(1+Supuestos!B18)</f>
        <v>1001.6162407672955</v>
      </c>
      <c r="H8" s="42">
        <f>G8*(1+Supuestos!B18)</f>
        <v>1031.6647279903143</v>
      </c>
      <c r="I8" s="42">
        <f>H8*(1+Supuestos!B18)</f>
        <v>1062.6146698300238</v>
      </c>
      <c r="J8" s="42">
        <f>I8*(1+Supuestos!B18)</f>
        <v>1094.4931099249245</v>
      </c>
      <c r="K8" s="42">
        <f>J8*(1+Supuestos!B18)</f>
        <v>1127.3279032226724</v>
      </c>
      <c r="L8" s="42">
        <f>K8*(1+Supuestos!B18)</f>
        <v>1161.1477403193526</v>
      </c>
      <c r="M8" s="42">
        <f>L8*(1+Supuestos!B18)</f>
        <v>1195.9821725289332</v>
      </c>
    </row>
    <row r="9" spans="1:13" ht="15" customHeight="1">
      <c r="C9" s="23" t="s">
        <v>325</v>
      </c>
      <c r="D9" s="43">
        <f>D8*Producción!D8</f>
        <v>1568226.2151000001</v>
      </c>
      <c r="E9" s="43">
        <f>E8*Producción!E8</f>
        <v>4503449.3999999994</v>
      </c>
      <c r="F9" s="43">
        <f>F8*Producción!F8</f>
        <v>4870966.7475760998</v>
      </c>
      <c r="G9" s="43">
        <f>G8*Producción!G8</f>
        <v>5267499.8101952067</v>
      </c>
      <c r="H9" s="43">
        <f>H8*Producción!H8</f>
        <v>5696852.6279625157</v>
      </c>
      <c r="I9" s="43">
        <f>I8*Producción!I8</f>
        <v>6161039.8556744782</v>
      </c>
      <c r="J9" s="43">
        <f>J8*Producción!J8</f>
        <v>6663274.0532229403</v>
      </c>
      <c r="K9" s="43">
        <f>K8*Producción!K8</f>
        <v>7205879.9573993217</v>
      </c>
      <c r="L9" s="43">
        <f>L8*Producción!L8</f>
        <v>7793623.6330234949</v>
      </c>
      <c r="M9" s="43">
        <f>M8*Producción!M8</f>
        <v>8429282.3519839216</v>
      </c>
    </row>
    <row r="10" spans="1:13" ht="15" customHeight="1">
      <c r="B10" s="6">
        <v>3</v>
      </c>
      <c r="C10" s="40" t="s">
        <v>326</v>
      </c>
      <c r="D10" s="41">
        <f>+Ej_Costos!O11</f>
        <v>1007.0254862294156</v>
      </c>
      <c r="E10" s="41">
        <f>+Ej_Costos!AD11</f>
        <v>1134.4174545454546</v>
      </c>
      <c r="F10" s="42">
        <f>E10*(1+Supuestos!B18)</f>
        <v>1168.4499781818183</v>
      </c>
      <c r="G10" s="42">
        <f>F10*(1+Supuestos!B18)</f>
        <v>1203.5034775272729</v>
      </c>
      <c r="H10" s="42">
        <f>G10*(1+Supuestos!B18)</f>
        <v>1239.6085818530912</v>
      </c>
      <c r="I10" s="42">
        <f>H10*(1+Supuestos!B18)</f>
        <v>1276.796839308684</v>
      </c>
      <c r="J10" s="42">
        <f>I10*(1+Supuestos!B18)</f>
        <v>1315.1007444879444</v>
      </c>
      <c r="K10" s="42">
        <f>J10*(1+Supuestos!B18)</f>
        <v>1354.5537668225827</v>
      </c>
      <c r="L10" s="42">
        <f>K10*(1+Supuestos!B18)</f>
        <v>1395.1903798272601</v>
      </c>
      <c r="M10" s="42">
        <f>L10*(1+Supuestos!B18)</f>
        <v>1437.0460912220781</v>
      </c>
    </row>
    <row r="11" spans="1:13" ht="15" customHeight="1">
      <c r="C11" s="23" t="s">
        <v>327</v>
      </c>
      <c r="D11" s="43">
        <f>D10*Producción!D10</f>
        <v>412015.4144613893</v>
      </c>
      <c r="E11" s="43">
        <f>E10*Producción!E10</f>
        <v>1871788.8</v>
      </c>
      <c r="F11" s="43">
        <f>F10*Producción!F10</f>
        <v>2024923.8121890912</v>
      </c>
      <c r="G11" s="43">
        <f>G10*Producción!G10</f>
        <v>2190376.3290996365</v>
      </c>
      <c r="H11" s="43">
        <f>H10*Producción!H10</f>
        <v>2368891.9999212571</v>
      </c>
      <c r="I11" s="43">
        <f>I10*Producción!I10</f>
        <v>2562531.2564925286</v>
      </c>
      <c r="J11" s="43">
        <f>J10*Producción!J10</f>
        <v>2770917.2686360991</v>
      </c>
      <c r="K11" s="43">
        <f>K10*Producción!K10</f>
        <v>2996272.9322115527</v>
      </c>
      <c r="L11" s="43">
        <f>L10*Producción!L10</f>
        <v>3241027.2523387251</v>
      </c>
      <c r="M11" s="43">
        <f>M10*Producción!M10</f>
        <v>3504955.4164906484</v>
      </c>
    </row>
    <row r="12" spans="1:13" ht="15" customHeight="1">
      <c r="B12" s="6">
        <v>4</v>
      </c>
      <c r="C12" s="40" t="s">
        <v>541</v>
      </c>
      <c r="D12" s="41">
        <f>+Ej_Costos!O12</f>
        <v>922</v>
      </c>
      <c r="E12" s="41">
        <f>+Ej_Costos!AD12</f>
        <v>983.01963636363632</v>
      </c>
      <c r="F12" s="42">
        <f>E12*(1+Supuestos!$B$18)</f>
        <v>1012.5102254545454</v>
      </c>
      <c r="G12" s="42">
        <f>F12*(1+Supuestos!$B$18)</f>
        <v>1042.8855322181819</v>
      </c>
      <c r="H12" s="42">
        <f>G12*(1+Supuestos!$B$18)</f>
        <v>1074.1720981847275</v>
      </c>
      <c r="I12" s="42">
        <f>H12*(1+Supuestos!$B$18)</f>
        <v>1106.3972611302693</v>
      </c>
      <c r="J12" s="42">
        <f>I12*(1+Supuestos!$B$18)</f>
        <v>1139.5891789641773</v>
      </c>
      <c r="K12" s="42">
        <f>J12*(1+Supuestos!$B$18)</f>
        <v>1173.7768543331026</v>
      </c>
      <c r="L12" s="42">
        <f>K12*(1+Supuestos!$B$18)</f>
        <v>1208.9901599630957</v>
      </c>
      <c r="M12" s="42">
        <f>L12*(1+Supuestos!$B$18)</f>
        <v>1245.2598647619886</v>
      </c>
    </row>
    <row r="13" spans="1:13" ht="15" customHeight="1">
      <c r="C13" s="23" t="s">
        <v>542</v>
      </c>
      <c r="D13" s="43">
        <f>D12*Producción!D12</f>
        <v>442560</v>
      </c>
      <c r="E13" s="43">
        <f>E12*Producción!E12</f>
        <v>1621982.4</v>
      </c>
      <c r="F13" s="43">
        <f>F12*Producción!F12</f>
        <v>1754680.2207127272</v>
      </c>
      <c r="G13" s="43">
        <f>G12*Producción!G12</f>
        <v>1898051.6686370911</v>
      </c>
      <c r="H13" s="43">
        <f>H12*Producción!H12</f>
        <v>2052742.8796310143</v>
      </c>
      <c r="I13" s="43">
        <f>I12*Producción!I12</f>
        <v>2220539.3030884503</v>
      </c>
      <c r="J13" s="43">
        <f>J12*Producción!J12</f>
        <v>2401114.4000775218</v>
      </c>
      <c r="K13" s="43">
        <f>K12*Producción!K12</f>
        <v>2596394.4017848228</v>
      </c>
      <c r="L13" s="43">
        <f>L12*Producción!L12</f>
        <v>2808484.1415942712</v>
      </c>
      <c r="M13" s="43">
        <f>M12*Producción!M12</f>
        <v>3037188.8101544902</v>
      </c>
    </row>
    <row r="14" spans="1:13" ht="15" customHeight="1">
      <c r="B14" s="6">
        <v>5</v>
      </c>
      <c r="C14" s="40" t="s">
        <v>328</v>
      </c>
      <c r="D14" s="41">
        <f>+Ej_Costos!O13</f>
        <v>945.95457024068241</v>
      </c>
      <c r="E14" s="41">
        <f>+Ej_Costos!AD13</f>
        <v>1009.161534706764</v>
      </c>
      <c r="F14" s="42">
        <f>E14*(1+Supuestos!B18)</f>
        <v>1039.436380747967</v>
      </c>
      <c r="G14" s="42">
        <f>F14*(1+Supuestos!B18)</f>
        <v>1070.619472170406</v>
      </c>
      <c r="H14" s="42">
        <f>G14*(1+Supuestos!B18)</f>
        <v>1102.7380563355182</v>
      </c>
      <c r="I14" s="42">
        <f>H14*(1+Supuestos!B18)</f>
        <v>1135.8201980255837</v>
      </c>
      <c r="J14" s="42">
        <f>I14*(1+Supuestos!B18)</f>
        <v>1169.8948039663512</v>
      </c>
      <c r="K14" s="42">
        <f>J14*(1+Supuestos!B18)</f>
        <v>1204.9916480853417</v>
      </c>
      <c r="L14" s="42">
        <f>K14*(1+Supuestos!B18)</f>
        <v>1241.141397527902</v>
      </c>
      <c r="M14" s="42">
        <f>L14*(1+Supuestos!B18)</f>
        <v>1278.375639453739</v>
      </c>
    </row>
    <row r="15" spans="1:13" ht="15" customHeight="1">
      <c r="C15" s="23" t="s">
        <v>329</v>
      </c>
      <c r="D15" s="43">
        <f>D14*Producción!D14</f>
        <v>227029.09685776377</v>
      </c>
      <c r="E15" s="43">
        <f>E14*Producción!E14</f>
        <v>666046.61290646426</v>
      </c>
      <c r="F15" s="43">
        <f>F14*Producción!F14</f>
        <v>720329.41185834107</v>
      </c>
      <c r="G15" s="43">
        <f>G14*Producción!G14</f>
        <v>779410.97574005555</v>
      </c>
      <c r="H15" s="43">
        <f>H14*Producción!H14</f>
        <v>842491.87504033593</v>
      </c>
      <c r="I15" s="43">
        <f>I14*Producción!I14</f>
        <v>910927.79881651816</v>
      </c>
      <c r="J15" s="43">
        <f>J14*Producción!J14</f>
        <v>985051.42493966769</v>
      </c>
      <c r="K15" s="43">
        <f>K14*Producción!K14</f>
        <v>1065212.616907442</v>
      </c>
      <c r="L15" s="43">
        <f>L14*Producción!L14</f>
        <v>1151779.2169058931</v>
      </c>
      <c r="M15" s="43">
        <f>M14*Producción!M14</f>
        <v>1245137.8728279418</v>
      </c>
    </row>
    <row r="16" spans="1:13" ht="15" customHeight="1">
      <c r="B16" s="6">
        <v>6</v>
      </c>
      <c r="C16" s="40" t="s">
        <v>330</v>
      </c>
      <c r="D16" s="41">
        <f>+Ej_Costos!O14</f>
        <v>1013.0618521677156</v>
      </c>
      <c r="E16" s="41">
        <f>+Ej_Costos!AD14</f>
        <v>1083.9761818194604</v>
      </c>
      <c r="F16" s="42">
        <f>E16*(1+Supuestos!B18)</f>
        <v>1116.4954672740444</v>
      </c>
      <c r="G16" s="42">
        <f>F16*(1+Supuestos!B18)</f>
        <v>1149.9903312922656</v>
      </c>
      <c r="H16" s="42">
        <f>G16*(1+Supuestos!B18)</f>
        <v>1184.4900412310337</v>
      </c>
      <c r="I16" s="42">
        <f>H16*(1+Supuestos!B18)</f>
        <v>1220.0247424679649</v>
      </c>
      <c r="J16" s="42">
        <f>I16*(1+Supuestos!B18)</f>
        <v>1256.6254847420039</v>
      </c>
      <c r="K16" s="42">
        <f>J16*(1+Supuestos!B18)</f>
        <v>1294.3242492842639</v>
      </c>
      <c r="L16" s="42">
        <f>K16*(1+Supuestos!B18)</f>
        <v>1333.1539767627919</v>
      </c>
      <c r="M16" s="42">
        <f>L16*(1+Supuestos!B18)</f>
        <v>1373.1485960656757</v>
      </c>
    </row>
    <row r="17" spans="2:13" ht="15" customHeight="1">
      <c r="C17" s="23" t="s">
        <v>331</v>
      </c>
      <c r="D17" s="43">
        <f>D16*Producción!D16</f>
        <v>160063.77264249907</v>
      </c>
      <c r="E17" s="43">
        <f>E16*Producción!E16</f>
        <v>357712.14000042196</v>
      </c>
      <c r="F17" s="43">
        <f>F16*Producción!F16</f>
        <v>387423.92714409338</v>
      </c>
      <c r="G17" s="43">
        <f>G16*Producción!G16</f>
        <v>418596.48059038469</v>
      </c>
      <c r="H17" s="43">
        <f>H16*Producción!H16</f>
        <v>452475.1957502549</v>
      </c>
      <c r="I17" s="43">
        <f>I16*Producción!I16</f>
        <v>489229.9217296539</v>
      </c>
      <c r="J17" s="43">
        <f>J16*Producción!J16</f>
        <v>529039.32907638361</v>
      </c>
      <c r="K17" s="43">
        <f>K16*Producción!K16</f>
        <v>572091.31818364467</v>
      </c>
      <c r="L17" s="43">
        <f>L16*Producción!L16</f>
        <v>618583.44521793548</v>
      </c>
      <c r="M17" s="43">
        <f>M16*Producción!M16</f>
        <v>668723.36628398404</v>
      </c>
    </row>
    <row r="18" spans="2:13" ht="15" customHeight="1">
      <c r="B18" s="6">
        <v>7</v>
      </c>
      <c r="C18" s="40" t="s">
        <v>332</v>
      </c>
      <c r="D18" s="41">
        <f>+Ej_Costos!O15</f>
        <v>1013.0618521677156</v>
      </c>
      <c r="E18" s="41">
        <f>+Ej_Costos!AD15</f>
        <v>1080.6778409054259</v>
      </c>
      <c r="F18" s="42">
        <f>E18*(1+Supuestos!B18)</f>
        <v>1113.0981761325886</v>
      </c>
      <c r="G18" s="42">
        <f>F18*(1+Supuestos!B18)</f>
        <v>1146.4911214165663</v>
      </c>
      <c r="H18" s="42">
        <f>G18*(1+Supuestos!B18)</f>
        <v>1180.8858550590633</v>
      </c>
      <c r="I18" s="42">
        <f>H18*(1+Supuestos!B18)</f>
        <v>1216.3124307108351</v>
      </c>
      <c r="J18" s="42">
        <f>I18*(1+Supuestos!B18)</f>
        <v>1252.8018036321603</v>
      </c>
      <c r="K18" s="42">
        <f>J18*(1+Supuestos!B18)</f>
        <v>1290.3858577411252</v>
      </c>
      <c r="L18" s="42">
        <f>K18*(1+Supuestos!B18)</f>
        <v>1329.0974334733589</v>
      </c>
      <c r="M18" s="42">
        <f>L18*(1+Supuestos!B18)</f>
        <v>1368.9703564775598</v>
      </c>
    </row>
    <row r="19" spans="2:13" ht="15" customHeight="1">
      <c r="C19" s="23" t="s">
        <v>333</v>
      </c>
      <c r="D19" s="43">
        <f>D18*Producción!D18</f>
        <v>121567.42226012588</v>
      </c>
      <c r="E19" s="43">
        <f>E18*Producción!E18</f>
        <v>697037.20738399972</v>
      </c>
      <c r="F19" s="43">
        <f>F18*Producción!F18</f>
        <v>753567.46524176246</v>
      </c>
      <c r="G19" s="43">
        <f>G18*Producción!G18</f>
        <v>815155.18732717866</v>
      </c>
      <c r="H19" s="43">
        <f>H18*Producción!H18</f>
        <v>882121.73372912023</v>
      </c>
      <c r="I19" s="43">
        <f>I18*Producción!I18</f>
        <v>953588.94567729475</v>
      </c>
      <c r="J19" s="43">
        <f>J18*Producción!J18</f>
        <v>1031055.8843892679</v>
      </c>
      <c r="K19" s="43">
        <f>K18*Producción!K18</f>
        <v>1114893.381088332</v>
      </c>
      <c r="L19" s="43">
        <f>L18*Producción!L18</f>
        <v>1205491.3721603365</v>
      </c>
      <c r="M19" s="43">
        <f>M18*Producción!M18</f>
        <v>1303259.7793666369</v>
      </c>
    </row>
    <row r="20" spans="2:13" ht="15" customHeight="1">
      <c r="B20" s="6">
        <v>8</v>
      </c>
      <c r="C20" s="40" t="s">
        <v>334</v>
      </c>
      <c r="D20" s="41">
        <f>+Ej_Costos!O16</f>
        <v>1023.6898925807637</v>
      </c>
      <c r="E20" s="41">
        <f>+Ej_Costos!AD16</f>
        <v>1135.0945454545456</v>
      </c>
      <c r="F20" s="42">
        <f>E20*(1+Supuestos!B18)</f>
        <v>1169.1473818181819</v>
      </c>
      <c r="G20" s="42">
        <f>F20*(1+Supuestos!B18)</f>
        <v>1204.2218032727274</v>
      </c>
      <c r="H20" s="42">
        <f>G20*(1+Supuestos!B18)</f>
        <v>1240.3484573709093</v>
      </c>
      <c r="I20" s="42">
        <f>H20*(1+Supuestos!B18)</f>
        <v>1277.5589110920366</v>
      </c>
      <c r="J20" s="42">
        <f>I20*(1+Supuestos!B18)</f>
        <v>1315.8856784247978</v>
      </c>
      <c r="K20" s="42">
        <f>J20*(1+Supuestos!B18)</f>
        <v>1355.3622487775417</v>
      </c>
      <c r="L20" s="42">
        <f>K20*(1+Supuestos!B18)</f>
        <v>1396.0231162408679</v>
      </c>
      <c r="M20" s="42">
        <f>L20*(1+Supuestos!B18)</f>
        <v>1437.9038097280941</v>
      </c>
    </row>
    <row r="21" spans="2:13" ht="15" customHeight="1">
      <c r="C21" s="23" t="s">
        <v>335</v>
      </c>
      <c r="D21" s="43">
        <f>D20*Producción!D20</f>
        <v>122842.78710969165</v>
      </c>
      <c r="E21" s="43">
        <f>E20*Producción!E20</f>
        <v>749162.40000000014</v>
      </c>
      <c r="F21" s="43">
        <f>F20*Producción!F20</f>
        <v>810219.13560000004</v>
      </c>
      <c r="G21" s="43">
        <f>G20*Producción!G20</f>
        <v>876673.47278254549</v>
      </c>
      <c r="H21" s="43">
        <f>H20*Producción!H20</f>
        <v>947626.22143137467</v>
      </c>
      <c r="I21" s="43">
        <f>I20*Producción!I20</f>
        <v>1024602.2466958134</v>
      </c>
      <c r="J21" s="43">
        <f>J20*Producción!J20</f>
        <v>1107975.7412336797</v>
      </c>
      <c r="K21" s="43">
        <f>K20*Producción!K20</f>
        <v>1198140.2279193469</v>
      </c>
      <c r="L21" s="43">
        <f>L20*Producción!L20</f>
        <v>1295509.4518715255</v>
      </c>
      <c r="M21" s="43">
        <f>M20*Producción!M20</f>
        <v>1400518.3106751635</v>
      </c>
    </row>
    <row r="22" spans="2:13" ht="15" customHeight="1">
      <c r="B22" s="6">
        <v>9</v>
      </c>
      <c r="C22" s="40" t="s">
        <v>336</v>
      </c>
      <c r="D22" s="41">
        <f>+Ej_Costos!O17</f>
        <v>877.59331439314917</v>
      </c>
      <c r="E22" s="41">
        <f>+Ej_Costos!AD17</f>
        <v>944.57444444444445</v>
      </c>
      <c r="F22" s="42">
        <f>E22*(1+Supuestos!B18)</f>
        <v>972.91167777777787</v>
      </c>
      <c r="G22" s="42">
        <f>F22*(1+Supuestos!B18)</f>
        <v>1002.0990281111112</v>
      </c>
      <c r="H22" s="42">
        <f>G22*(1+Supuestos!B18)</f>
        <v>1032.1619989544447</v>
      </c>
      <c r="I22" s="42">
        <f>H22*(1+Supuestos!B18)</f>
        <v>1063.1268589230781</v>
      </c>
      <c r="J22" s="42">
        <f>I22*(1+Supuestos!B18)</f>
        <v>1095.0206646907704</v>
      </c>
      <c r="K22" s="42">
        <f>J22*(1+Supuestos!B18)</f>
        <v>1127.8712846314936</v>
      </c>
      <c r="L22" s="42">
        <f>K22*(1+Supuestos!B18)</f>
        <v>1161.7074231704385</v>
      </c>
      <c r="M22" s="42">
        <f>L22*(1+Supuestos!B18)</f>
        <v>1196.5586458655516</v>
      </c>
    </row>
    <row r="23" spans="2:13" ht="15" customHeight="1">
      <c r="C23" s="23" t="s">
        <v>337</v>
      </c>
      <c r="D23" s="43">
        <f>D22*Producción!D22</f>
        <v>236950.19488615028</v>
      </c>
      <c r="E23" s="43">
        <f>E22*Producción!E22</f>
        <v>1530210.6</v>
      </c>
      <c r="F23" s="43">
        <f>F22*Producción!F22</f>
        <v>1654922.7639000001</v>
      </c>
      <c r="G23" s="43">
        <f>G22*Producción!G22</f>
        <v>1789748.8642064447</v>
      </c>
      <c r="H23" s="43">
        <f>H22*Producción!H22</f>
        <v>1935303.7480395839</v>
      </c>
      <c r="I23" s="43">
        <f>I22*Producción!I22</f>
        <v>2093296.7852195408</v>
      </c>
      <c r="J23" s="43">
        <f>J22*Producción!J22</f>
        <v>2263407.7139158226</v>
      </c>
      <c r="K23" s="43">
        <f>K22*Producción!K22</f>
        <v>2447480.6876503411</v>
      </c>
      <c r="L23" s="43">
        <f>L22*Producción!L22</f>
        <v>2647531.2174054291</v>
      </c>
      <c r="M23" s="43">
        <f>M22*Producción!M22</f>
        <v>2863364.8395562652</v>
      </c>
    </row>
    <row r="24" spans="2:13" ht="15" customHeight="1">
      <c r="B24" s="6">
        <v>10</v>
      </c>
      <c r="C24" s="40" t="s">
        <v>338</v>
      </c>
      <c r="D24" s="41">
        <f>+Ej_Costos!O18</f>
        <v>0</v>
      </c>
      <c r="E24" s="41">
        <f>+Ej_Costos!AD18</f>
        <v>986.53999999999985</v>
      </c>
      <c r="F24" s="42">
        <f>E24*(1+Supuestos!B18)</f>
        <v>1016.1361999999999</v>
      </c>
      <c r="G24" s="42">
        <f>F24*(1+Supuestos!B18)</f>
        <v>1046.6202859999999</v>
      </c>
      <c r="H24" s="42">
        <f>G24*(1+Supuestos!B18)</f>
        <v>1078.0188945799998</v>
      </c>
      <c r="I24" s="42">
        <f>H24*(1+Supuestos!B18)</f>
        <v>1110.3594614173999</v>
      </c>
      <c r="J24" s="42">
        <f>I24*(1+Supuestos!B18)</f>
        <v>1143.6702452599218</v>
      </c>
      <c r="K24" s="42">
        <f>J24*(1+Supuestos!B18)</f>
        <v>1177.9803526177195</v>
      </c>
      <c r="L24" s="42">
        <f>K24*(1+Supuestos!B18)</f>
        <v>1213.3197631962512</v>
      </c>
      <c r="M24" s="42">
        <f>L24*(1+Supuestos!B18)</f>
        <v>1249.7193560921387</v>
      </c>
    </row>
    <row r="25" spans="2:13" ht="15" customHeight="1">
      <c r="C25" s="23" t="s">
        <v>339</v>
      </c>
      <c r="D25" s="43">
        <f>D24*Producción!D24</f>
        <v>0</v>
      </c>
      <c r="E25" s="43">
        <f>E24*Producción!E24</f>
        <v>917482.19999999984</v>
      </c>
      <c r="F25" s="43">
        <f>F24*Producción!F24</f>
        <v>992765.06739999994</v>
      </c>
      <c r="G25" s="43">
        <f>G24*Producción!G24</f>
        <v>1073832.4134359998</v>
      </c>
      <c r="H25" s="43">
        <f>H24*Producción!H24</f>
        <v>1161026.3494626598</v>
      </c>
      <c r="I25" s="43">
        <f>I24*Producción!I24</f>
        <v>1255816.5508630793</v>
      </c>
      <c r="J25" s="43">
        <f>J24*Producción!J24</f>
        <v>1358680.2513687871</v>
      </c>
      <c r="K25" s="43">
        <f>K24*Producción!K24</f>
        <v>1468941.4997142963</v>
      </c>
      <c r="L25" s="43">
        <f>L24*Producción!L24</f>
        <v>1588235.5700238929</v>
      </c>
      <c r="M25" s="43">
        <f>M24*Producción!M24</f>
        <v>1717114.3952705986</v>
      </c>
    </row>
    <row r="26" spans="2:13" ht="15" customHeight="1">
      <c r="B26" s="6">
        <v>11</v>
      </c>
      <c r="C26" s="40" t="s">
        <v>340</v>
      </c>
      <c r="D26" s="41">
        <f>+Ej_Costos!O19</f>
        <v>0</v>
      </c>
      <c r="E26" s="41">
        <f>+Ej_Costos!AD19</f>
        <v>957.72490000000016</v>
      </c>
      <c r="F26" s="42">
        <f>E26*(1+Supuestos!B18)</f>
        <v>986.4566470000002</v>
      </c>
      <c r="G26" s="42">
        <f>F26*(1+Supuestos!B18)</f>
        <v>1016.0503464100002</v>
      </c>
      <c r="H26" s="42">
        <f>G26*(1+Supuestos!B18)</f>
        <v>1046.5318568023001</v>
      </c>
      <c r="I26" s="42">
        <f>H26*(1+Supuestos!B18)</f>
        <v>1077.9278125063693</v>
      </c>
      <c r="J26" s="42">
        <f>I26*(1+Supuestos!B18)</f>
        <v>1110.2656468815603</v>
      </c>
      <c r="K26" s="42">
        <f>J26*(1+Supuestos!B18)</f>
        <v>1143.5736162880071</v>
      </c>
      <c r="L26" s="42">
        <f>K26*(1+Supuestos!B18)</f>
        <v>1177.8808247766474</v>
      </c>
      <c r="M26" s="42">
        <f>L26*(1+Supuestos!B18)</f>
        <v>1213.2172495199468</v>
      </c>
    </row>
    <row r="27" spans="2:13" ht="15" customHeight="1">
      <c r="C27" s="23" t="s">
        <v>341</v>
      </c>
      <c r="D27" s="43">
        <f>D26*Producción!D26</f>
        <v>0</v>
      </c>
      <c r="E27" s="43">
        <f>E26*Producción!E26</f>
        <v>316049.21700000006</v>
      </c>
      <c r="F27" s="43">
        <f>F26*Producción!F26</f>
        <v>342300.4565090001</v>
      </c>
      <c r="G27" s="43">
        <f>G26*Producción!G26</f>
        <v>369842.32609324006</v>
      </c>
      <c r="H27" s="43">
        <f>H26*Producción!H26</f>
        <v>399775.16929847864</v>
      </c>
      <c r="I27" s="43">
        <f>I26*Producción!I26</f>
        <v>432249.05281505408</v>
      </c>
      <c r="J27" s="43">
        <f>J26*Producción!J26</f>
        <v>467421.83733713691</v>
      </c>
      <c r="K27" s="43">
        <f>K26*Producción!K26</f>
        <v>505459.53839929914</v>
      </c>
      <c r="L27" s="43">
        <f>L26*Producción!L26</f>
        <v>546536.70269636437</v>
      </c>
      <c r="M27" s="43">
        <f>M26*Producción!M26</f>
        <v>590836.80051621411</v>
      </c>
    </row>
    <row r="28" spans="2:13" ht="15" customHeight="1">
      <c r="C28" s="23" t="s">
        <v>342</v>
      </c>
      <c r="D28" s="19">
        <f>D7+D9+D11+D15+D17+D19+D21+D23+D25+D27+D13</f>
        <v>3876548.1750011337</v>
      </c>
      <c r="E28" s="19">
        <f t="shared" ref="E28:M28" si="0">E7+E9+E11+E15+E17+E19+E21+E23+E25+E27+E13</f>
        <v>14101733.58817089</v>
      </c>
      <c r="F28" s="19">
        <f t="shared" si="0"/>
        <v>15254335.845277237</v>
      </c>
      <c r="G28" s="19">
        <f t="shared" si="0"/>
        <v>16498216.667481313</v>
      </c>
      <c r="H28" s="19">
        <f t="shared" si="0"/>
        <v>17841772.283368502</v>
      </c>
      <c r="I28" s="19">
        <f t="shared" si="0"/>
        <v>19295790.552978549</v>
      </c>
      <c r="J28" s="19">
        <f t="shared" si="0"/>
        <v>20866848.258717999</v>
      </c>
      <c r="K28" s="19">
        <f t="shared" si="0"/>
        <v>22564513.049915385</v>
      </c>
      <c r="L28" s="19">
        <f t="shared" si="0"/>
        <v>24403760.19800815</v>
      </c>
      <c r="M28" s="19">
        <f t="shared" si="0"/>
        <v>26390547.222463541</v>
      </c>
    </row>
    <row r="30" spans="2:13">
      <c r="D30" s="64"/>
    </row>
    <row r="31" spans="2:13">
      <c r="D31" s="56"/>
    </row>
    <row r="33" spans="4:4">
      <c r="D33" s="56"/>
    </row>
  </sheetData>
  <pageMargins left="0.75" right="0.75" top="1" bottom="1" header="0.511811023622047" footer="0.511811023622047"/>
  <pageSetup paperSize="9" orientation="portrait" horizontalDpi="300" verticalDpi="300"/>
  <ignoredErrors>
    <ignoredError sqref="E7:M7 E9:M9 F8:M8 E11:M11 F10:M10 E15:M15 F14:M14 E17:M17 F16:M16 E19:M19 F18:M18 E21:M21 F20:M20 E23:M23 F22:M22 E25:M25 F24:M24 E27:M27 F26:M26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6600"/>
  </sheetPr>
  <dimension ref="A1:M39"/>
  <sheetViews>
    <sheetView showGridLines="0" zoomScale="115" zoomScaleNormal="115" workbookViewId="0">
      <pane xSplit="3" ySplit="4" topLeftCell="D5" activePane="bottomRight" state="frozen"/>
      <selection pane="topRight" activeCell="C1" sqref="C1"/>
      <selection pane="bottomLeft" activeCell="A4" sqref="A4"/>
      <selection pane="bottomRight" activeCell="M35" sqref="M35"/>
    </sheetView>
  </sheetViews>
  <sheetFormatPr baseColWidth="10" defaultColWidth="8.6328125" defaultRowHeight="14.5"/>
  <cols>
    <col min="1" max="1" width="5.1796875" customWidth="1"/>
    <col min="2" max="2" width="5" customWidth="1"/>
    <col min="3" max="3" width="35" customWidth="1"/>
    <col min="4" max="13" width="14" customWidth="1"/>
    <col min="14" max="14" width="2.90625" customWidth="1"/>
  </cols>
  <sheetData>
    <row r="1" spans="1:13">
      <c r="A1" t="s">
        <v>463</v>
      </c>
    </row>
    <row r="2" spans="1:13" ht="17.25" customHeight="1">
      <c r="B2" s="1" t="s">
        <v>358</v>
      </c>
    </row>
    <row r="4" spans="1:13" ht="15" customHeight="1">
      <c r="B4" s="3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1:13" ht="15" customHeight="1">
      <c r="B5" s="4" t="s">
        <v>359</v>
      </c>
      <c r="C5" s="16" t="s">
        <v>360</v>
      </c>
    </row>
    <row r="6" spans="1:13">
      <c r="C6" s="6" t="s">
        <v>173</v>
      </c>
      <c r="D6" s="43">
        <f>+Ej_Costos!O22</f>
        <v>3876548.1750011332</v>
      </c>
      <c r="E6" s="43">
        <f>+Ej_Costos!AD22</f>
        <v>14101733.588170895</v>
      </c>
      <c r="F6" s="43">
        <f>'Materia Prima'!F28</f>
        <v>15254335.845277237</v>
      </c>
      <c r="G6" s="43">
        <f>'Materia Prima'!G28</f>
        <v>16498216.667481313</v>
      </c>
      <c r="H6" s="43">
        <f>'Materia Prima'!H28</f>
        <v>17841772.283368502</v>
      </c>
      <c r="I6" s="43">
        <f>'Materia Prima'!I28</f>
        <v>19295790.552978549</v>
      </c>
      <c r="J6" s="43">
        <f>'Materia Prima'!J28</f>
        <v>20866848.258717999</v>
      </c>
      <c r="K6" s="43">
        <f>'Materia Prima'!K28</f>
        <v>22564513.049915385</v>
      </c>
      <c r="L6" s="43">
        <f>'Materia Prima'!L28</f>
        <v>24403760.19800815</v>
      </c>
      <c r="M6" s="43">
        <f>'Materia Prima'!M28</f>
        <v>26390547.222463541</v>
      </c>
    </row>
    <row r="7" spans="1:13">
      <c r="C7" s="6" t="s">
        <v>174</v>
      </c>
      <c r="D7" s="43">
        <f>+Ej_Costos!O34</f>
        <v>74472.959391320517</v>
      </c>
      <c r="E7" s="43">
        <f>+Ej_Costos!AD34</f>
        <v>216663.01965889829</v>
      </c>
      <c r="F7" s="43">
        <f>'Mano de Obra'!E5</f>
        <v>157156.9790483558</v>
      </c>
      <c r="G7" s="43">
        <f>'Mano de Obra'!F5</f>
        <v>161871.68841980648</v>
      </c>
      <c r="H7" s="43">
        <f>'Mano de Obra'!G5</f>
        <v>166727.83907240067</v>
      </c>
      <c r="I7" s="43">
        <f>'Mano de Obra'!H5</f>
        <v>171729.6742445727</v>
      </c>
      <c r="J7" s="43">
        <f>'Mano de Obra'!I5</f>
        <v>176881.56447190989</v>
      </c>
      <c r="K7" s="43">
        <f>'Mano de Obra'!J5</f>
        <v>182188.01140606721</v>
      </c>
      <c r="L7" s="43">
        <f>'Mano de Obra'!K5</f>
        <v>187653.65174824922</v>
      </c>
      <c r="M7" s="43">
        <f>'Mano de Obra'!L5</f>
        <v>193283.2613006967</v>
      </c>
    </row>
    <row r="8" spans="1:13">
      <c r="C8" s="6" t="s">
        <v>175</v>
      </c>
      <c r="D8" s="43">
        <f>+Ej_Costos!O35</f>
        <v>0</v>
      </c>
      <c r="E8" s="43">
        <f>+Ej_Costos!AD35</f>
        <v>0</v>
      </c>
      <c r="F8" s="43">
        <f>'Mano de Obra'!E6</f>
        <v>67718.94227193651</v>
      </c>
      <c r="G8" s="43">
        <f>'Mano de Obra'!F6</f>
        <v>69750.51054009462</v>
      </c>
      <c r="H8" s="43">
        <f>'Mano de Obra'!G6</f>
        <v>71843.025856297449</v>
      </c>
      <c r="I8" s="43">
        <f>'Mano de Obra'!H6</f>
        <v>73998.316631986381</v>
      </c>
      <c r="J8" s="43">
        <f>'Mano de Obra'!I6</f>
        <v>76218.26613094598</v>
      </c>
      <c r="K8" s="43">
        <f>'Mano de Obra'!J6</f>
        <v>78504.81411487436</v>
      </c>
      <c r="L8" s="43">
        <f>'Mano de Obra'!K6</f>
        <v>80859.958538320585</v>
      </c>
      <c r="M8" s="43">
        <f>'Mano de Obra'!L6</f>
        <v>83285.757294470211</v>
      </c>
    </row>
    <row r="9" spans="1:13">
      <c r="C9" s="6" t="s">
        <v>361</v>
      </c>
      <c r="D9" s="43">
        <f>+Ej_Costos!O36</f>
        <v>0</v>
      </c>
      <c r="E9" s="43">
        <f>+Ej_Costos!AD36</f>
        <v>45000</v>
      </c>
      <c r="F9" s="43">
        <f>'Mano de Obra'!E13</f>
        <v>46350</v>
      </c>
      <c r="G9" s="43">
        <f>'Mano de Obra'!F13</f>
        <v>47740.5</v>
      </c>
      <c r="H9" s="43">
        <f>'Mano de Obra'!G13</f>
        <v>49172.715000000004</v>
      </c>
      <c r="I9" s="43">
        <f>'Mano de Obra'!H13</f>
        <v>50647.896450000007</v>
      </c>
      <c r="J9" s="43">
        <f>'Mano de Obra'!I13</f>
        <v>52167.33334350001</v>
      </c>
      <c r="K9" s="43">
        <f>'Mano de Obra'!J13</f>
        <v>53732.353343805014</v>
      </c>
      <c r="L9" s="43">
        <f>'Mano de Obra'!K13</f>
        <v>55344.323944119169</v>
      </c>
      <c r="M9" s="43">
        <f>'Mano de Obra'!L13</f>
        <v>57004.653662442746</v>
      </c>
    </row>
    <row r="10" spans="1:13">
      <c r="C10" s="6" t="s">
        <v>177</v>
      </c>
      <c r="D10" s="43">
        <f>+Ej_Costos!O37</f>
        <v>24672.424625140178</v>
      </c>
      <c r="E10" s="43">
        <f>+Ej_Costos!AD37</f>
        <v>68779.987748362939</v>
      </c>
      <c r="F10" s="43">
        <f>Supuestos!B61*Producción!F28</f>
        <v>74750</v>
      </c>
      <c r="G10" s="43">
        <f>Supuestos!B61*Producción!G28</f>
        <v>78490</v>
      </c>
      <c r="H10" s="43">
        <f>Supuestos!B61*Producción!H28</f>
        <v>82410</v>
      </c>
      <c r="I10" s="43">
        <f>Supuestos!B61*Producción!I28</f>
        <v>86530</v>
      </c>
      <c r="J10" s="43">
        <f>Supuestos!B61*Producción!J28</f>
        <v>90850</v>
      </c>
      <c r="K10" s="43">
        <f>Supuestos!B61*Producción!K28</f>
        <v>95380</v>
      </c>
      <c r="L10" s="43">
        <f>Supuestos!B61*Producción!L28</f>
        <v>100150</v>
      </c>
      <c r="M10" s="43">
        <f>Supuestos!B61*Producción!M28</f>
        <v>105150</v>
      </c>
    </row>
    <row r="11" spans="1:13">
      <c r="C11" s="6" t="s">
        <v>362</v>
      </c>
      <c r="D11" s="43">
        <f>+Ej_Costos!O38</f>
        <v>3780.2543744981849</v>
      </c>
      <c r="E11" s="43">
        <f>+Ej_Costos!AD38</f>
        <v>10609.372155706449</v>
      </c>
      <c r="F11" s="43">
        <f>+E11*1.1</f>
        <v>11670.309371277095</v>
      </c>
      <c r="G11" s="43">
        <f t="shared" ref="G11:M11" si="0">+F11*1.1</f>
        <v>12837.340308404806</v>
      </c>
      <c r="H11" s="43">
        <f t="shared" si="0"/>
        <v>14121.074339245288</v>
      </c>
      <c r="I11" s="43">
        <f t="shared" si="0"/>
        <v>15533.181773169817</v>
      </c>
      <c r="J11" s="43">
        <f t="shared" si="0"/>
        <v>17086.499950486799</v>
      </c>
      <c r="K11" s="43">
        <f t="shared" si="0"/>
        <v>18795.149945535482</v>
      </c>
      <c r="L11" s="43">
        <f t="shared" si="0"/>
        <v>20674.664940089031</v>
      </c>
      <c r="M11" s="43">
        <f t="shared" si="0"/>
        <v>22742.131434097937</v>
      </c>
    </row>
    <row r="12" spans="1:13">
      <c r="C12" s="6" t="s">
        <v>179</v>
      </c>
      <c r="D12" s="43">
        <f>+Ej_Costos!O39</f>
        <v>0</v>
      </c>
      <c r="E12" s="43">
        <f>+Ej_Costos!AD39</f>
        <v>50766.240917415227</v>
      </c>
      <c r="F12" s="43">
        <f>(F6*20%)*1.8%</f>
        <v>54915.609042998061</v>
      </c>
      <c r="G12" s="43">
        <f t="shared" ref="G12:M12" si="1">(G6*20%)*1.8%</f>
        <v>59393.580002932737</v>
      </c>
      <c r="H12" s="43">
        <f t="shared" si="1"/>
        <v>64230.380220126615</v>
      </c>
      <c r="I12" s="43">
        <f t="shared" si="1"/>
        <v>69464.845990722795</v>
      </c>
      <c r="J12" s="43">
        <f t="shared" si="1"/>
        <v>75120.653731384809</v>
      </c>
      <c r="K12" s="43">
        <f t="shared" si="1"/>
        <v>81232.246979695396</v>
      </c>
      <c r="L12" s="43">
        <f t="shared" si="1"/>
        <v>87853.536712829358</v>
      </c>
      <c r="M12" s="43">
        <f t="shared" si="1"/>
        <v>95005.970000868765</v>
      </c>
    </row>
    <row r="13" spans="1:13">
      <c r="C13" s="6" t="s">
        <v>180</v>
      </c>
      <c r="D13" s="43">
        <f>+Ej_Costos!O40</f>
        <v>43374.55131155355</v>
      </c>
      <c r="E13" s="43">
        <f>+Ej_Costos!AD40</f>
        <v>127813.9100794621</v>
      </c>
      <c r="F13" s="43">
        <f>Supuestos!B62*F6</f>
        <v>144916.19053013375</v>
      </c>
      <c r="G13" s="43">
        <f>Supuestos!B62*G6</f>
        <v>156733.05834107246</v>
      </c>
      <c r="H13" s="43">
        <f>Supuestos!B62*H6</f>
        <v>169496.83669200077</v>
      </c>
      <c r="I13" s="43">
        <f>Supuestos!B62*I6</f>
        <v>183310.0102532962</v>
      </c>
      <c r="J13" s="43">
        <f>Supuestos!B62*J6</f>
        <v>198235.058457821</v>
      </c>
      <c r="K13" s="43">
        <f>Supuestos!B62*K6</f>
        <v>214362.87397419615</v>
      </c>
      <c r="L13" s="43">
        <f>Supuestos!B62*L6</f>
        <v>231835.72188107742</v>
      </c>
      <c r="M13" s="43">
        <f>Supuestos!B62*M6</f>
        <v>250710.19861340363</v>
      </c>
    </row>
    <row r="14" spans="1:13">
      <c r="C14" s="6" t="s">
        <v>181</v>
      </c>
      <c r="D14" s="43">
        <f>+Ej_Costos!O41</f>
        <v>0</v>
      </c>
      <c r="E14" s="43">
        <f>+Ej_Costos!AD41</f>
        <v>16917</v>
      </c>
      <c r="F14" s="43">
        <f>Supuestos!B64</f>
        <v>16917</v>
      </c>
      <c r="G14" s="43">
        <f>Supuestos!B64</f>
        <v>16917</v>
      </c>
      <c r="H14" s="43">
        <f>Supuestos!B64</f>
        <v>16917</v>
      </c>
      <c r="I14" s="43">
        <f>Supuestos!B64</f>
        <v>16917</v>
      </c>
      <c r="J14" s="43">
        <f>Supuestos!B64</f>
        <v>16917</v>
      </c>
      <c r="K14" s="43">
        <f>Supuestos!B64</f>
        <v>16917</v>
      </c>
      <c r="L14" s="43">
        <f>Supuestos!B64</f>
        <v>16917</v>
      </c>
      <c r="M14" s="43">
        <f>Supuestos!B64</f>
        <v>16917</v>
      </c>
    </row>
    <row r="15" spans="1:13">
      <c r="C15" s="6" t="s">
        <v>182</v>
      </c>
      <c r="D15" s="43">
        <f>+Ej_Costos!O42</f>
        <v>7908.0783194125361</v>
      </c>
      <c r="E15" s="43">
        <f>+Ej_Costos!AD42</f>
        <v>27818.485374279404</v>
      </c>
      <c r="F15" s="43">
        <f>+E15*1.1</f>
        <v>30600.333911707348</v>
      </c>
      <c r="G15" s="43">
        <f t="shared" ref="G15:M15" si="2">+F15*1.1</f>
        <v>33660.367302878083</v>
      </c>
      <c r="H15" s="43">
        <f t="shared" si="2"/>
        <v>37026.404033165898</v>
      </c>
      <c r="I15" s="43">
        <f t="shared" si="2"/>
        <v>40729.044436482494</v>
      </c>
      <c r="J15" s="43">
        <f t="shared" si="2"/>
        <v>44801.948880130745</v>
      </c>
      <c r="K15" s="43">
        <f t="shared" si="2"/>
        <v>49282.143768143826</v>
      </c>
      <c r="L15" s="43">
        <f t="shared" si="2"/>
        <v>54210.358144958213</v>
      </c>
      <c r="M15" s="43">
        <f t="shared" si="2"/>
        <v>59631.393959454035</v>
      </c>
    </row>
    <row r="16" spans="1:13">
      <c r="C16" s="6" t="s">
        <v>531</v>
      </c>
      <c r="D16" s="43">
        <f>+Ej_Costos!O43</f>
        <v>1380</v>
      </c>
      <c r="E16" s="43">
        <f>+Ej_Costos!AD43</f>
        <v>2070</v>
      </c>
      <c r="F16" s="43">
        <f>+E16*1.1</f>
        <v>2277</v>
      </c>
      <c r="G16" s="43">
        <f t="shared" ref="G16" si="3">+F16*1.1</f>
        <v>2504.7000000000003</v>
      </c>
      <c r="H16" s="43">
        <f t="shared" ref="H16" si="4">+G16*1.1</f>
        <v>2755.1700000000005</v>
      </c>
      <c r="I16" s="43">
        <f t="shared" ref="I16" si="5">+H16*1.1</f>
        <v>3030.6870000000008</v>
      </c>
      <c r="J16" s="43">
        <f t="shared" ref="J16" si="6">+I16*1.1</f>
        <v>3333.7557000000011</v>
      </c>
      <c r="K16" s="43">
        <f t="shared" ref="K16" si="7">+J16*1.1</f>
        <v>3667.1312700000017</v>
      </c>
      <c r="L16" s="43">
        <f t="shared" ref="L16" si="8">+K16*1.1</f>
        <v>4033.8443970000021</v>
      </c>
      <c r="M16" s="43">
        <f t="shared" ref="M16" si="9">+L16*1.1</f>
        <v>4437.2288367000028</v>
      </c>
    </row>
    <row r="17" spans="2:13" ht="15" customHeight="1">
      <c r="C17" s="16" t="s">
        <v>363</v>
      </c>
      <c r="D17" s="19">
        <f>SUM(D6:D16)</f>
        <v>4032136.4430230581</v>
      </c>
      <c r="E17" s="19">
        <f t="shared" ref="E17:M17" si="10">SUM(E6:E16)</f>
        <v>14668171.60410502</v>
      </c>
      <c r="F17" s="19">
        <f t="shared" si="10"/>
        <v>15861608.209453648</v>
      </c>
      <c r="G17" s="19">
        <f t="shared" si="10"/>
        <v>17138115.412396502</v>
      </c>
      <c r="H17" s="19">
        <f t="shared" si="10"/>
        <v>18516472.728581738</v>
      </c>
      <c r="I17" s="19">
        <f t="shared" si="10"/>
        <v>20007681.209758777</v>
      </c>
      <c r="J17" s="19">
        <f t="shared" si="10"/>
        <v>21618460.33938418</v>
      </c>
      <c r="K17" s="19">
        <f t="shared" si="10"/>
        <v>23358574.7747177</v>
      </c>
      <c r="L17" s="19">
        <f t="shared" si="10"/>
        <v>25243293.258314788</v>
      </c>
      <c r="M17" s="19">
        <f t="shared" si="10"/>
        <v>27278714.81756568</v>
      </c>
    </row>
    <row r="18" spans="2:13">
      <c r="D18" s="61"/>
      <c r="E18" s="61"/>
      <c r="F18" s="61"/>
      <c r="G18" s="61"/>
      <c r="H18" s="61"/>
      <c r="I18" s="61"/>
      <c r="J18" s="61"/>
      <c r="K18" s="61"/>
      <c r="L18" s="61"/>
      <c r="M18" s="61"/>
    </row>
    <row r="19" spans="2:13" ht="15" customHeight="1">
      <c r="B19" s="4" t="s">
        <v>364</v>
      </c>
      <c r="C19" s="16" t="s">
        <v>365</v>
      </c>
    </row>
    <row r="20" spans="2:13">
      <c r="C20" s="6" t="s">
        <v>185</v>
      </c>
      <c r="D20" s="43">
        <f>+Ej_Costos!O47</f>
        <v>62791.301933664727</v>
      </c>
      <c r="E20" s="43">
        <f>+Ej_Costos!AD47</f>
        <v>96899.681291498535</v>
      </c>
      <c r="F20" s="43">
        <f>'Mano de Obra'!E8</f>
        <v>70286.388542425004</v>
      </c>
      <c r="G20" s="43">
        <f>'Mano de Obra'!F8</f>
        <v>72394.980198697755</v>
      </c>
      <c r="H20" s="43">
        <f>'Mano de Obra'!G8</f>
        <v>74566.829604658691</v>
      </c>
      <c r="I20" s="43">
        <f>'Mano de Obra'!H8</f>
        <v>76803.834492798458</v>
      </c>
      <c r="J20" s="43">
        <f>'Mano de Obra'!I8</f>
        <v>79107.949527582416</v>
      </c>
      <c r="K20" s="43">
        <f>'Mano de Obra'!J8</f>
        <v>81481.18801340989</v>
      </c>
      <c r="L20" s="43">
        <f>'Mano de Obra'!K8</f>
        <v>83925.623653812188</v>
      </c>
      <c r="M20" s="43">
        <f>'Mano de Obra'!L8</f>
        <v>86443.392363426552</v>
      </c>
    </row>
    <row r="21" spans="2:13">
      <c r="C21" s="6" t="s">
        <v>186</v>
      </c>
      <c r="D21" s="43">
        <f>+Ej_Costos!O48</f>
        <v>0</v>
      </c>
      <c r="E21" s="43">
        <f>+Ej_Costos!AD48</f>
        <v>0</v>
      </c>
      <c r="F21" s="43">
        <f>'Mano de Obra'!E9</f>
        <v>30286.404822930934</v>
      </c>
      <c r="G21" s="43">
        <f>'Mano de Obra'!F9</f>
        <v>31194.996967618863</v>
      </c>
      <c r="H21" s="43">
        <f>'Mano de Obra'!G9</f>
        <v>32130.846876647429</v>
      </c>
      <c r="I21" s="43">
        <f>'Mano de Obra'!H9</f>
        <v>33094.772282946855</v>
      </c>
      <c r="J21" s="43">
        <f>'Mano de Obra'!I9</f>
        <v>34087.61545143526</v>
      </c>
      <c r="K21" s="43">
        <f>'Mano de Obra'!J9</f>
        <v>35110.243914978324</v>
      </c>
      <c r="L21" s="43">
        <f>'Mano de Obra'!K9</f>
        <v>36163.551232427671</v>
      </c>
      <c r="M21" s="43">
        <f>'Mano de Obra'!L9</f>
        <v>37248.457769400498</v>
      </c>
    </row>
    <row r="22" spans="2:13">
      <c r="C22" s="6" t="s">
        <v>366</v>
      </c>
      <c r="D22" s="43">
        <f>+Ej_Costos!O49</f>
        <v>729.39046557356744</v>
      </c>
      <c r="E22" s="43">
        <f>+Ej_Costos!AD49</f>
        <v>1048.9999999999998</v>
      </c>
      <c r="F22" s="43">
        <f>+E22*1.05</f>
        <v>1101.4499999999998</v>
      </c>
      <c r="G22" s="43">
        <f t="shared" ref="G22:M22" si="11">+F22*1.05</f>
        <v>1156.5224999999998</v>
      </c>
      <c r="H22" s="43">
        <f t="shared" si="11"/>
        <v>1214.3486249999999</v>
      </c>
      <c r="I22" s="43">
        <f t="shared" si="11"/>
        <v>1275.06605625</v>
      </c>
      <c r="J22" s="43">
        <f t="shared" si="11"/>
        <v>1338.8193590625001</v>
      </c>
      <c r="K22" s="43">
        <f t="shared" si="11"/>
        <v>1405.7603270156251</v>
      </c>
      <c r="L22" s="43">
        <f t="shared" si="11"/>
        <v>1476.0483433664065</v>
      </c>
      <c r="M22" s="43">
        <f t="shared" si="11"/>
        <v>1549.8507605347268</v>
      </c>
    </row>
    <row r="23" spans="2:13">
      <c r="C23" s="6" t="s">
        <v>188</v>
      </c>
      <c r="D23" s="43">
        <f>+Ej_Costos!O50</f>
        <v>86049.60000000002</v>
      </c>
      <c r="E23" s="43">
        <f>+Ej_Costos!AD50</f>
        <v>86049.60000000002</v>
      </c>
      <c r="F23" s="43">
        <f>+E23</f>
        <v>86049.60000000002</v>
      </c>
      <c r="G23" s="43">
        <f t="shared" ref="G23:M23" si="12">+F23</f>
        <v>86049.60000000002</v>
      </c>
      <c r="H23" s="43">
        <f t="shared" si="12"/>
        <v>86049.60000000002</v>
      </c>
      <c r="I23" s="43">
        <f t="shared" si="12"/>
        <v>86049.60000000002</v>
      </c>
      <c r="J23" s="43">
        <f t="shared" si="12"/>
        <v>86049.60000000002</v>
      </c>
      <c r="K23" s="43">
        <f t="shared" si="12"/>
        <v>86049.60000000002</v>
      </c>
      <c r="L23" s="43">
        <f t="shared" si="12"/>
        <v>86049.60000000002</v>
      </c>
      <c r="M23" s="43">
        <f t="shared" si="12"/>
        <v>86049.60000000002</v>
      </c>
    </row>
    <row r="24" spans="2:13">
      <c r="C24" s="6" t="s">
        <v>367</v>
      </c>
      <c r="D24" s="43">
        <f>+Ej_Costos!O51</f>
        <v>2857.6566182049019</v>
      </c>
      <c r="E24" s="43">
        <f>+Ej_Costos!AD51</f>
        <v>4195.9999999999991</v>
      </c>
      <c r="F24" s="43">
        <f>+E24*1.05</f>
        <v>4405.7999999999993</v>
      </c>
      <c r="G24" s="43">
        <f t="shared" ref="G24:M24" si="13">+F24*1.05</f>
        <v>4626.0899999999992</v>
      </c>
      <c r="H24" s="43">
        <f t="shared" si="13"/>
        <v>4857.3944999999994</v>
      </c>
      <c r="I24" s="43">
        <f t="shared" si="13"/>
        <v>5100.2642249999999</v>
      </c>
      <c r="J24" s="43">
        <f t="shared" si="13"/>
        <v>5355.2774362500004</v>
      </c>
      <c r="K24" s="43">
        <f t="shared" si="13"/>
        <v>5623.0413080625003</v>
      </c>
      <c r="L24" s="43">
        <f t="shared" si="13"/>
        <v>5904.1933734656259</v>
      </c>
      <c r="M24" s="43">
        <f t="shared" si="13"/>
        <v>6199.403042138907</v>
      </c>
    </row>
    <row r="25" spans="2:13">
      <c r="C25" s="6" t="s">
        <v>189</v>
      </c>
      <c r="D25" s="43">
        <f>+Ej_Costos!O52</f>
        <v>4744.9445996430059</v>
      </c>
      <c r="E25" s="43">
        <f>+Ej_Costos!AD52</f>
        <v>6993</v>
      </c>
      <c r="F25" s="43">
        <f>Supuestos!B56</f>
        <v>6993</v>
      </c>
      <c r="G25" s="43">
        <f>Supuestos!B56</f>
        <v>6993</v>
      </c>
      <c r="H25" s="43">
        <f>Supuestos!B56</f>
        <v>6993</v>
      </c>
      <c r="I25" s="43">
        <f>Supuestos!B56</f>
        <v>6993</v>
      </c>
      <c r="J25" s="43">
        <f>Supuestos!B56</f>
        <v>6993</v>
      </c>
      <c r="K25" s="43">
        <f>Supuestos!B56</f>
        <v>6993</v>
      </c>
      <c r="L25" s="43">
        <f>Supuestos!B56</f>
        <v>6993</v>
      </c>
      <c r="M25" s="43">
        <f>Supuestos!B56</f>
        <v>6993</v>
      </c>
    </row>
    <row r="26" spans="2:13">
      <c r="C26" s="6" t="s">
        <v>190</v>
      </c>
      <c r="D26" s="43">
        <f>+Ej_Costos!O53</f>
        <v>15757.497818004067</v>
      </c>
      <c r="E26" s="43">
        <f>+Ej_Costos!AD53</f>
        <v>18601</v>
      </c>
      <c r="F26" s="43">
        <f>+E26*1.05</f>
        <v>19531.05</v>
      </c>
      <c r="G26" s="43">
        <f t="shared" ref="G26:M26" si="14">+F26*1.05</f>
        <v>20507.602500000001</v>
      </c>
      <c r="H26" s="43">
        <f t="shared" si="14"/>
        <v>21532.982625000001</v>
      </c>
      <c r="I26" s="43">
        <f t="shared" si="14"/>
        <v>22609.631756250001</v>
      </c>
      <c r="J26" s="43">
        <f t="shared" si="14"/>
        <v>23740.113344062502</v>
      </c>
      <c r="K26" s="43">
        <f t="shared" si="14"/>
        <v>24927.11901126563</v>
      </c>
      <c r="L26" s="43">
        <f t="shared" si="14"/>
        <v>26173.474961828913</v>
      </c>
      <c r="M26" s="43">
        <f t="shared" si="14"/>
        <v>27482.148709920359</v>
      </c>
    </row>
    <row r="27" spans="2:13">
      <c r="C27" s="6" t="s">
        <v>191</v>
      </c>
      <c r="D27" s="43">
        <f>+Ej_Costos!O54</f>
        <v>27399.982037517504</v>
      </c>
      <c r="E27" s="43">
        <f>+Ej_Costos!AD54</f>
        <v>24009</v>
      </c>
      <c r="F27" s="43">
        <f>Supuestos!B58</f>
        <v>24009</v>
      </c>
      <c r="G27" s="43">
        <f>Supuestos!B58</f>
        <v>24009</v>
      </c>
      <c r="H27" s="43">
        <f>Supuestos!B58</f>
        <v>24009</v>
      </c>
      <c r="I27" s="43">
        <f>Supuestos!B58</f>
        <v>24009</v>
      </c>
      <c r="J27" s="43">
        <f>Supuestos!B58</f>
        <v>24009</v>
      </c>
      <c r="K27" s="43">
        <f>Supuestos!B58</f>
        <v>24009</v>
      </c>
      <c r="L27" s="43">
        <f>Supuestos!B58</f>
        <v>24009</v>
      </c>
      <c r="M27" s="43">
        <f>Supuestos!B58</f>
        <v>24009</v>
      </c>
    </row>
    <row r="28" spans="2:13" ht="15" customHeight="1">
      <c r="C28" s="16" t="s">
        <v>368</v>
      </c>
      <c r="D28" s="19">
        <f t="shared" ref="D28:M28" si="15">SUM(D20:D27)</f>
        <v>200330.37347260781</v>
      </c>
      <c r="E28" s="19">
        <f t="shared" si="15"/>
        <v>237797.28129149857</v>
      </c>
      <c r="F28" s="19">
        <f t="shared" si="15"/>
        <v>242662.69336535592</v>
      </c>
      <c r="G28" s="19">
        <f t="shared" si="15"/>
        <v>246931.79216631665</v>
      </c>
      <c r="H28" s="19">
        <f t="shared" si="15"/>
        <v>251354.00223130613</v>
      </c>
      <c r="I28" s="19">
        <f t="shared" si="15"/>
        <v>255935.16881324531</v>
      </c>
      <c r="J28" s="19">
        <f t="shared" si="15"/>
        <v>260681.37511839272</v>
      </c>
      <c r="K28" s="19">
        <f t="shared" si="15"/>
        <v>265598.95257473201</v>
      </c>
      <c r="L28" s="19">
        <f t="shared" si="15"/>
        <v>270694.49156490085</v>
      </c>
      <c r="M28" s="19">
        <f t="shared" si="15"/>
        <v>275974.85264542105</v>
      </c>
    </row>
    <row r="29" spans="2:13" ht="7" customHeight="1"/>
    <row r="30" spans="2:13" ht="15" customHeight="1">
      <c r="B30" s="4" t="s">
        <v>369</v>
      </c>
      <c r="C30" s="4" t="s">
        <v>370</v>
      </c>
    </row>
    <row r="31" spans="2:13" ht="15" customHeight="1">
      <c r="C31" s="6" t="s">
        <v>371</v>
      </c>
      <c r="D31" s="20">
        <f>+Ej_Costos!O59</f>
        <v>39411.707507149826</v>
      </c>
      <c r="E31" s="43">
        <f>+Ej_Costos!AD59</f>
        <v>95368.599999999991</v>
      </c>
      <c r="F31" s="43">
        <f>Depreciación!H7</f>
        <v>95368.6</v>
      </c>
      <c r="G31" s="43">
        <f>Depreciación!I7</f>
        <v>95368.6</v>
      </c>
      <c r="H31" s="43">
        <f>Depreciación!J7</f>
        <v>95368.6</v>
      </c>
      <c r="I31" s="43">
        <f>Depreciación!K7</f>
        <v>95368.6</v>
      </c>
      <c r="J31" s="43">
        <f>Depreciación!L7</f>
        <v>95368.6</v>
      </c>
      <c r="K31" s="43">
        <f>Depreciación!M7</f>
        <v>95368.6</v>
      </c>
      <c r="L31" s="43">
        <f>Depreciación!N7</f>
        <v>95368.6</v>
      </c>
      <c r="M31" s="43">
        <v>95368.6</v>
      </c>
    </row>
    <row r="32" spans="2:13" ht="5.5" customHeight="1"/>
    <row r="33" spans="2:13" ht="15" customHeight="1">
      <c r="B33" s="4" t="s">
        <v>372</v>
      </c>
      <c r="C33" s="4" t="s">
        <v>373</v>
      </c>
    </row>
    <row r="34" spans="2:13" ht="15" customHeight="1">
      <c r="C34" s="6" t="s">
        <v>193</v>
      </c>
      <c r="D34" s="43">
        <f>+Ej_Costos!O63</f>
        <v>229420.38749922696</v>
      </c>
      <c r="E34" s="43">
        <f>+Ej_Costos!AD63</f>
        <v>699654.61880623305</v>
      </c>
      <c r="F34" s="43">
        <f>'Servicio Deuda'!F24+Ej_Flujo!AO17</f>
        <v>883947.51291162474</v>
      </c>
      <c r="G34" s="43">
        <f>'Servicio Deuda'!G24+Ej_Flujo!BB17</f>
        <v>555002.70891249995</v>
      </c>
      <c r="H34" s="43">
        <f>'Servicio Deuda'!H24+Ej_Flujo!BO17</f>
        <v>482679.62167505122</v>
      </c>
      <c r="I34" s="43">
        <f>'Servicio Deuda'!I24+Ej_Flujo!CB17</f>
        <v>457245.44042676385</v>
      </c>
      <c r="J34" s="43">
        <f>'Servicio Deuda'!J24+Ej_Flujo!CO17</f>
        <v>174246.57534246577</v>
      </c>
      <c r="K34" s="43">
        <f>+Ej_Flujo!DB17</f>
        <v>220273.97260273976</v>
      </c>
      <c r="L34" s="43">
        <f>+Ej_Flujo!DO17</f>
        <v>262356.16438356164</v>
      </c>
      <c r="M34" s="43">
        <f>+Ej_Flujo!EB17</f>
        <v>361643.83561643842</v>
      </c>
    </row>
    <row r="35" spans="2:13" ht="6" customHeight="1"/>
    <row r="36" spans="2:13" ht="15" customHeight="1">
      <c r="C36" s="23" t="s">
        <v>374</v>
      </c>
      <c r="D36" s="44">
        <f t="shared" ref="D36:M36" si="16">D17+D28+D31+D34</f>
        <v>4501298.9115020437</v>
      </c>
      <c r="E36" s="44">
        <f t="shared" si="16"/>
        <v>15700992.104202751</v>
      </c>
      <c r="F36" s="44">
        <f t="shared" si="16"/>
        <v>17083587.015730627</v>
      </c>
      <c r="G36" s="44">
        <f t="shared" si="16"/>
        <v>18035418.513475318</v>
      </c>
      <c r="H36" s="44">
        <f t="shared" si="16"/>
        <v>19345874.952488098</v>
      </c>
      <c r="I36" s="44">
        <f t="shared" si="16"/>
        <v>20816230.418998785</v>
      </c>
      <c r="J36" s="44">
        <f t="shared" si="16"/>
        <v>22148756.88984504</v>
      </c>
      <c r="K36" s="44">
        <f t="shared" si="16"/>
        <v>23939816.299895175</v>
      </c>
      <c r="L36" s="44">
        <f t="shared" si="16"/>
        <v>25871712.51426325</v>
      </c>
      <c r="M36" s="44">
        <f t="shared" si="16"/>
        <v>28011702.10582754</v>
      </c>
    </row>
    <row r="37" spans="2:13" ht="7" customHeight="1"/>
    <row r="38" spans="2:13" ht="15" customHeight="1">
      <c r="C38" s="6" t="s">
        <v>375</v>
      </c>
      <c r="D38" s="20">
        <f>IF(Producción!D29=0,0,D36/Producción!D29)</f>
        <v>1072.9727766438905</v>
      </c>
      <c r="E38" s="20">
        <f>IF(Producción!E29=0,0,E36/Producción!E29)</f>
        <v>1102.9850442011066</v>
      </c>
      <c r="F38" s="20">
        <f>IF(Producción!F29=0,0,F36/Producción!F29)</f>
        <v>1160.0969045043207</v>
      </c>
      <c r="G38" s="20">
        <f>IF(Producción!G29=0,0,G36/Producción!G29)</f>
        <v>1166.2841770224597</v>
      </c>
      <c r="H38" s="20">
        <f>IF(Producción!H29=0,0,H36/Producción!H29)</f>
        <v>1191.6153343078595</v>
      </c>
      <c r="I38" s="20">
        <f>IF(Producción!I29=0,0,I36/Producción!I29)</f>
        <v>1221.179773495177</v>
      </c>
      <c r="J38" s="20">
        <f>IF(Producción!J29=0,0,J36/Producción!J29)</f>
        <v>1237.5681337567771</v>
      </c>
      <c r="K38" s="20">
        <f>IF(Producción!K29=0,0,K36/Producción!K29)</f>
        <v>1274.1399914788001</v>
      </c>
      <c r="L38" s="20">
        <f>IF(Producción!L29=0,0,L36/Producción!L29)</f>
        <v>1311.4209506418922</v>
      </c>
      <c r="M38" s="20">
        <f>IF(Producción!M29=0,0,M36/Producción!M29)</f>
        <v>1352.3730075714545</v>
      </c>
    </row>
    <row r="39" spans="2:13">
      <c r="D39" s="59"/>
    </row>
  </sheetData>
  <pageMargins left="0.75" right="0.75" top="1" bottom="1" header="0.511811023622047" footer="0.511811023622047"/>
  <pageSetup paperSize="9" orientation="portrait" horizontalDpi="300" verticalDpi="300"/>
  <ignoredErrors>
    <ignoredError sqref="B5 B19:B33" numberStoredAsText="1"/>
    <ignoredError sqref="F23:M23 F25:M25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CC0000"/>
  </sheetPr>
  <dimension ref="B2:M25"/>
  <sheetViews>
    <sheetView showGridLines="0" zoomScale="115" zoomScaleNormal="115" workbookViewId="0">
      <selection activeCell="B30" sqref="B30"/>
    </sheetView>
  </sheetViews>
  <sheetFormatPr baseColWidth="10" defaultColWidth="8.6328125" defaultRowHeight="14.5"/>
  <cols>
    <col min="1" max="1" width="6.26953125" customWidth="1"/>
    <col min="2" max="2" width="57" bestFit="1" customWidth="1"/>
    <col min="3" max="13" width="11.08984375" customWidth="1"/>
  </cols>
  <sheetData>
    <row r="2" spans="2:13" ht="17.25" customHeight="1">
      <c r="B2" s="1" t="s">
        <v>343</v>
      </c>
    </row>
    <row r="3" spans="2:13" ht="15" customHeight="1">
      <c r="B3" s="11" t="s">
        <v>344</v>
      </c>
    </row>
    <row r="4" spans="2:13">
      <c r="D4">
        <v>2026</v>
      </c>
      <c r="E4">
        <v>2027</v>
      </c>
      <c r="F4">
        <v>2028</v>
      </c>
      <c r="G4">
        <v>2029</v>
      </c>
      <c r="H4">
        <v>2030</v>
      </c>
      <c r="I4">
        <v>2031</v>
      </c>
    </row>
    <row r="5" spans="2:13" ht="15" customHeight="1">
      <c r="B5" s="3" t="s">
        <v>345</v>
      </c>
      <c r="C5" s="3" t="s">
        <v>346</v>
      </c>
      <c r="D5" s="3" t="s">
        <v>13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 t="s">
        <v>19</v>
      </c>
      <c r="K5" s="3" t="s">
        <v>20</v>
      </c>
      <c r="L5" s="3" t="s">
        <v>21</v>
      </c>
      <c r="M5" s="3" t="s">
        <v>22</v>
      </c>
    </row>
    <row r="6" spans="2:13" ht="15" customHeight="1">
      <c r="B6" s="4" t="s">
        <v>347</v>
      </c>
      <c r="C6" s="18">
        <f>Supuestos!B25</f>
        <v>4468594</v>
      </c>
    </row>
    <row r="7" spans="2:13" ht="15" customHeight="1">
      <c r="B7" s="6" t="s">
        <v>348</v>
      </c>
      <c r="C7" s="42">
        <f>PMT(Supuestos!B26/12,Supuestos!B27,-C6)</f>
        <v>92760.661614354161</v>
      </c>
    </row>
    <row r="8" spans="2:13" ht="15" customHeight="1">
      <c r="B8" s="6" t="s">
        <v>349</v>
      </c>
      <c r="D8" s="20">
        <f>C6</f>
        <v>4468594</v>
      </c>
      <c r="E8" s="20">
        <f>D10</f>
        <v>4349657.24</v>
      </c>
      <c r="F8" s="20">
        <f>E10</f>
        <v>3597473.1100000003</v>
      </c>
      <c r="G8" s="20">
        <f>F10</f>
        <v>2774728.9200000004</v>
      </c>
      <c r="H8" s="20">
        <f>G10</f>
        <v>1874805.6500000004</v>
      </c>
      <c r="I8" s="20">
        <f>H10</f>
        <v>890463.37000000034</v>
      </c>
      <c r="J8" s="20">
        <v>0</v>
      </c>
      <c r="K8" s="20">
        <v>0</v>
      </c>
      <c r="L8" s="20">
        <v>0</v>
      </c>
      <c r="M8" s="20">
        <v>0</v>
      </c>
    </row>
    <row r="9" spans="2:13" ht="15" customHeight="1">
      <c r="B9" s="6" t="s">
        <v>350</v>
      </c>
      <c r="D9" s="31">
        <v>118936.76</v>
      </c>
      <c r="E9" s="31">
        <v>752184.13</v>
      </c>
      <c r="F9" s="31">
        <v>822744.19</v>
      </c>
      <c r="G9" s="31">
        <v>899923.27</v>
      </c>
      <c r="H9" s="31">
        <v>984342.28</v>
      </c>
      <c r="I9" s="31">
        <v>890463.32</v>
      </c>
      <c r="J9" s="31">
        <v>0</v>
      </c>
      <c r="K9" s="31">
        <v>0</v>
      </c>
      <c r="L9" s="31">
        <v>0</v>
      </c>
      <c r="M9" s="31">
        <v>0</v>
      </c>
    </row>
    <row r="10" spans="2:13" ht="15" customHeight="1">
      <c r="B10" s="6" t="s">
        <v>351</v>
      </c>
      <c r="D10" s="20">
        <f t="shared" ref="D10:M10" si="0">D8-D9</f>
        <v>4349657.24</v>
      </c>
      <c r="E10" s="20">
        <f t="shared" si="0"/>
        <v>3597473.1100000003</v>
      </c>
      <c r="F10" s="20">
        <f t="shared" si="0"/>
        <v>2774728.9200000004</v>
      </c>
      <c r="G10" s="20">
        <f t="shared" si="0"/>
        <v>1874805.6500000004</v>
      </c>
      <c r="H10" s="20">
        <f t="shared" si="0"/>
        <v>890463.37000000034</v>
      </c>
      <c r="I10" s="20">
        <f t="shared" si="0"/>
        <v>5.0000000395812094E-2</v>
      </c>
      <c r="J10" s="20">
        <f t="shared" si="0"/>
        <v>0</v>
      </c>
      <c r="K10" s="20">
        <f t="shared" si="0"/>
        <v>0</v>
      </c>
      <c r="L10" s="20">
        <f t="shared" si="0"/>
        <v>0</v>
      </c>
      <c r="M10" s="20">
        <f t="shared" si="0"/>
        <v>0</v>
      </c>
    </row>
    <row r="11" spans="2:13" ht="15" customHeight="1">
      <c r="B11" s="6" t="s">
        <v>352</v>
      </c>
      <c r="D11" s="31">
        <v>66584.56</v>
      </c>
      <c r="E11" s="31">
        <v>360943.81</v>
      </c>
      <c r="F11" s="31">
        <v>290383.75</v>
      </c>
      <c r="G11" s="31">
        <v>213204.66</v>
      </c>
      <c r="H11" s="31">
        <v>128785.65</v>
      </c>
      <c r="I11" s="31">
        <v>37143.26</v>
      </c>
      <c r="J11" s="31">
        <v>0</v>
      </c>
      <c r="K11" s="31">
        <v>0</v>
      </c>
      <c r="L11" s="31">
        <v>0</v>
      </c>
      <c r="M11" s="31">
        <v>0</v>
      </c>
    </row>
    <row r="12" spans="2:13" ht="15" customHeight="1">
      <c r="B12" s="6" t="s">
        <v>353</v>
      </c>
      <c r="D12" s="20">
        <f>D11*Supuestos!B28</f>
        <v>6658.4560000000001</v>
      </c>
      <c r="E12" s="20">
        <f>E11*Supuestos!B28</f>
        <v>36094.381000000001</v>
      </c>
      <c r="F12" s="20">
        <f>F11*Supuestos!B28</f>
        <v>29038.375</v>
      </c>
      <c r="G12" s="20">
        <f>G11*Supuestos!B28</f>
        <v>21320.466</v>
      </c>
      <c r="H12" s="20">
        <f>H11*Supuestos!B28</f>
        <v>12878.565000000001</v>
      </c>
      <c r="I12" s="20">
        <f>I11*Supuestos!B28</f>
        <v>3714.3260000000005</v>
      </c>
      <c r="J12" s="20">
        <f>J11*Supuestos!B28</f>
        <v>0</v>
      </c>
      <c r="K12" s="20">
        <f>K11*Supuestos!B28</f>
        <v>0</v>
      </c>
      <c r="L12" s="20">
        <f>L11*Supuestos!B28</f>
        <v>0</v>
      </c>
      <c r="M12" s="20">
        <f>M11*Supuestos!B28</f>
        <v>0</v>
      </c>
    </row>
    <row r="15" spans="2:13" ht="15" customHeight="1">
      <c r="B15" s="3" t="s">
        <v>354</v>
      </c>
      <c r="C15" s="3" t="s">
        <v>346</v>
      </c>
      <c r="D15" s="3" t="s">
        <v>13</v>
      </c>
      <c r="E15" s="3" t="s">
        <v>14</v>
      </c>
      <c r="F15" s="3" t="s">
        <v>15</v>
      </c>
      <c r="G15" s="3" t="s">
        <v>16</v>
      </c>
      <c r="H15" s="3" t="s">
        <v>17</v>
      </c>
      <c r="I15" s="3" t="s">
        <v>18</v>
      </c>
      <c r="J15" s="3" t="s">
        <v>19</v>
      </c>
      <c r="K15" s="3" t="s">
        <v>20</v>
      </c>
      <c r="L15" s="3" t="s">
        <v>21</v>
      </c>
      <c r="M15" s="3" t="s">
        <v>22</v>
      </c>
    </row>
    <row r="16" spans="2:13" ht="15" customHeight="1">
      <c r="B16" s="4" t="s">
        <v>347</v>
      </c>
      <c r="C16" s="18">
        <f>Supuestos!B31</f>
        <v>1100000</v>
      </c>
    </row>
    <row r="17" spans="2:13" ht="15" customHeight="1">
      <c r="B17" s="6" t="s">
        <v>349</v>
      </c>
      <c r="D17" s="20">
        <f>C16</f>
        <v>1100000</v>
      </c>
      <c r="E17" s="20">
        <f>D19</f>
        <v>1070722.2370714038</v>
      </c>
      <c r="F17" s="20">
        <f>E19</f>
        <v>885562.75573305262</v>
      </c>
      <c r="G17" s="20">
        <f>F19</f>
        <v>683034.03787598247</v>
      </c>
      <c r="H17" s="20">
        <f>G19</f>
        <v>461506.72930745879</v>
      </c>
      <c r="I17" s="20">
        <f>H19</f>
        <v>219198.63117271924</v>
      </c>
      <c r="J17" s="20">
        <v>0</v>
      </c>
      <c r="K17" s="20">
        <v>0</v>
      </c>
      <c r="L17" s="20">
        <v>0</v>
      </c>
      <c r="M17" s="20">
        <v>0</v>
      </c>
    </row>
    <row r="18" spans="2:13" ht="15" customHeight="1">
      <c r="B18" s="6" t="s">
        <v>350</v>
      </c>
      <c r="D18" s="31">
        <f>SUM('[3]Calculadora de préstamos'!$F$9:$F$10)</f>
        <v>29277.762928596239</v>
      </c>
      <c r="E18" s="31">
        <f>SUM('[3]Calculadora de préstamos'!$F$11:$F$22)</f>
        <v>185159.48133835112</v>
      </c>
      <c r="F18" s="31">
        <f>SUM('[3]Calculadora de préstamos'!$F$23:$F$34)</f>
        <v>202528.71785707015</v>
      </c>
      <c r="G18" s="31">
        <f>SUM('[3]Calculadora de préstamos'!$F$35:$F$46)</f>
        <v>221527.30856852367</v>
      </c>
      <c r="H18" s="31">
        <f>SUM('[3]Calculadora de préstamos'!$F$47:$F$58)</f>
        <v>242308.09813473956</v>
      </c>
      <c r="I18" s="31">
        <f>SUM('[3]Calculadora de préstamos'!$F$59:$F$68)</f>
        <v>219198.63117271927</v>
      </c>
      <c r="J18" s="31">
        <v>0</v>
      </c>
      <c r="K18" s="31">
        <v>0</v>
      </c>
      <c r="L18" s="31">
        <v>0</v>
      </c>
      <c r="M18" s="31">
        <v>0</v>
      </c>
    </row>
    <row r="19" spans="2:13" ht="15" customHeight="1">
      <c r="B19" s="6" t="s">
        <v>351</v>
      </c>
      <c r="D19" s="20">
        <f t="shared" ref="D19:L19" si="1">D17-D18</f>
        <v>1070722.2370714038</v>
      </c>
      <c r="E19" s="20">
        <f t="shared" si="1"/>
        <v>885562.75573305262</v>
      </c>
      <c r="F19" s="20">
        <f t="shared" si="1"/>
        <v>683034.03787598247</v>
      </c>
      <c r="G19" s="20">
        <f t="shared" si="1"/>
        <v>461506.72930745879</v>
      </c>
      <c r="H19" s="20">
        <f t="shared" si="1"/>
        <v>219198.63117271924</v>
      </c>
      <c r="I19" s="20">
        <f t="shared" si="1"/>
        <v>0</v>
      </c>
      <c r="J19" s="20">
        <f t="shared" si="1"/>
        <v>0</v>
      </c>
      <c r="K19" s="20">
        <f t="shared" si="1"/>
        <v>0</v>
      </c>
      <c r="L19" s="20">
        <f t="shared" si="1"/>
        <v>0</v>
      </c>
      <c r="M19" s="20">
        <f t="shared" ref="M19" si="2">M17-M18</f>
        <v>0</v>
      </c>
    </row>
    <row r="20" spans="2:13" ht="15" customHeight="1">
      <c r="B20" s="6" t="s">
        <v>352</v>
      </c>
      <c r="D20" s="31">
        <f>SUM('[3]Calculadora de préstamos'!$G$9:$G$10)</f>
        <v>16390.618569382579</v>
      </c>
      <c r="E20" s="31">
        <f>SUM('[3]Calculadora de préstamos'!$G$11:$G$22)</f>
        <v>88850.807649521812</v>
      </c>
      <c r="F20" s="31">
        <f>SUM('[3]Calculadora de préstamos'!$G$23:$G$34)</f>
        <v>71481.571130802782</v>
      </c>
      <c r="G20" s="31">
        <f>SUM('[3]Calculadora de préstamos'!$G$35:$G$46)</f>
        <v>52482.980419349231</v>
      </c>
      <c r="H20" s="31">
        <f>SUM('[3]Calculadora de préstamos'!$G$47:$G$58)</f>
        <v>31702.190853133427</v>
      </c>
      <c r="I20" s="31">
        <f>SUM('[3]Calculadora de préstamos'!$G$59:$G$68)</f>
        <v>9143.2763171748174</v>
      </c>
      <c r="J20" s="31">
        <v>0</v>
      </c>
      <c r="K20" s="31">
        <v>0</v>
      </c>
      <c r="L20" s="31">
        <v>0</v>
      </c>
      <c r="M20" s="31">
        <v>0</v>
      </c>
    </row>
    <row r="21" spans="2:13" ht="15" customHeight="1">
      <c r="B21" s="6" t="s">
        <v>353</v>
      </c>
      <c r="D21" s="20">
        <f>D20*Supuestos!B28</f>
        <v>1639.061856938258</v>
      </c>
      <c r="E21" s="20">
        <f>E20*Supuestos!B28</f>
        <v>8885.0807649521812</v>
      </c>
      <c r="F21" s="20">
        <f>F20*Supuestos!B28</f>
        <v>7148.1571130802786</v>
      </c>
      <c r="G21" s="20">
        <f>G20*Supuestos!B28</f>
        <v>5248.2980419349233</v>
      </c>
      <c r="H21" s="20">
        <f>H20*Supuestos!B28</f>
        <v>3170.2190853133429</v>
      </c>
      <c r="I21" s="20">
        <f>I20*Supuestos!B28</f>
        <v>914.32763171748184</v>
      </c>
      <c r="J21" s="20">
        <f>J20*Supuestos!B28</f>
        <v>0</v>
      </c>
      <c r="K21" s="20">
        <f>K20*Supuestos!B28</f>
        <v>0</v>
      </c>
      <c r="L21" s="20">
        <f>L20*Supuestos!B28</f>
        <v>0</v>
      </c>
      <c r="M21" s="20">
        <f>M20*Supuestos!C28</f>
        <v>0</v>
      </c>
    </row>
    <row r="23" spans="2:13" ht="15" customHeight="1">
      <c r="B23" s="4" t="s">
        <v>355</v>
      </c>
      <c r="D23" s="19">
        <f t="shared" ref="D23:M23" si="3">D9+D18</f>
        <v>148214.52292859624</v>
      </c>
      <c r="E23" s="19">
        <f t="shared" si="3"/>
        <v>937343.61133835115</v>
      </c>
      <c r="F23" s="19">
        <f t="shared" si="3"/>
        <v>1025272.9078570701</v>
      </c>
      <c r="G23" s="19">
        <f t="shared" si="3"/>
        <v>1121450.5785685237</v>
      </c>
      <c r="H23" s="19">
        <f t="shared" si="3"/>
        <v>1226650.3781347396</v>
      </c>
      <c r="I23" s="19">
        <f t="shared" si="3"/>
        <v>1109661.9511727192</v>
      </c>
      <c r="J23" s="19">
        <f t="shared" si="3"/>
        <v>0</v>
      </c>
      <c r="K23" s="19">
        <f t="shared" si="3"/>
        <v>0</v>
      </c>
      <c r="L23" s="19">
        <f t="shared" si="3"/>
        <v>0</v>
      </c>
      <c r="M23" s="19">
        <f t="shared" si="3"/>
        <v>0</v>
      </c>
    </row>
    <row r="24" spans="2:13" ht="15" customHeight="1">
      <c r="B24" s="4" t="s">
        <v>356</v>
      </c>
      <c r="D24" s="19">
        <f t="shared" ref="D24:M24" si="4">D11+D20</f>
        <v>82975.17856938258</v>
      </c>
      <c r="E24" s="19">
        <f t="shared" si="4"/>
        <v>449794.6176495218</v>
      </c>
      <c r="F24" s="19">
        <f t="shared" si="4"/>
        <v>361865.3211308028</v>
      </c>
      <c r="G24" s="19">
        <f t="shared" si="4"/>
        <v>265687.64041934925</v>
      </c>
      <c r="H24" s="19">
        <f t="shared" si="4"/>
        <v>160487.84085313341</v>
      </c>
      <c r="I24" s="19">
        <f t="shared" si="4"/>
        <v>46286.536317174818</v>
      </c>
      <c r="J24" s="19">
        <f t="shared" si="4"/>
        <v>0</v>
      </c>
      <c r="K24" s="19">
        <f t="shared" si="4"/>
        <v>0</v>
      </c>
      <c r="L24" s="19">
        <f t="shared" si="4"/>
        <v>0</v>
      </c>
      <c r="M24" s="19">
        <f t="shared" si="4"/>
        <v>0</v>
      </c>
    </row>
    <row r="25" spans="2:13" ht="15" customHeight="1">
      <c r="B25" s="4" t="s">
        <v>357</v>
      </c>
      <c r="D25" s="17">
        <f t="shared" ref="D25:M25" si="5">D12+D21</f>
        <v>8297.5178569382588</v>
      </c>
      <c r="E25" s="17">
        <f t="shared" si="5"/>
        <v>44979.461764952182</v>
      </c>
      <c r="F25" s="17">
        <f t="shared" si="5"/>
        <v>36186.532113080277</v>
      </c>
      <c r="G25" s="17">
        <f t="shared" si="5"/>
        <v>26568.764041934923</v>
      </c>
      <c r="H25" s="17">
        <f t="shared" si="5"/>
        <v>16048.784085313344</v>
      </c>
      <c r="I25" s="17">
        <f t="shared" si="5"/>
        <v>4628.6536317174823</v>
      </c>
      <c r="J25" s="17">
        <f t="shared" si="5"/>
        <v>0</v>
      </c>
      <c r="K25" s="17">
        <f t="shared" si="5"/>
        <v>0</v>
      </c>
      <c r="L25" s="17">
        <f t="shared" si="5"/>
        <v>0</v>
      </c>
      <c r="M25" s="17">
        <f t="shared" si="5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96633"/>
  </sheetPr>
  <dimension ref="B2:O10"/>
  <sheetViews>
    <sheetView showGridLines="0" zoomScale="115" zoomScaleNormal="115" workbookViewId="0">
      <selection activeCell="N5" sqref="N5"/>
    </sheetView>
  </sheetViews>
  <sheetFormatPr baseColWidth="10" defaultColWidth="8.6328125" defaultRowHeight="14.5"/>
  <cols>
    <col min="1" max="1" width="4.81640625" customWidth="1"/>
    <col min="2" max="2" width="31.1796875" customWidth="1"/>
    <col min="3" max="15" width="10.54296875" customWidth="1"/>
  </cols>
  <sheetData>
    <row r="2" spans="2:15" ht="17.25" customHeight="1">
      <c r="B2" s="1" t="s">
        <v>376</v>
      </c>
    </row>
    <row r="4" spans="2:15" ht="26.25" customHeight="1">
      <c r="B4" s="3" t="s">
        <v>377</v>
      </c>
      <c r="C4" s="3" t="s">
        <v>378</v>
      </c>
      <c r="D4" s="3" t="s">
        <v>379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17</v>
      </c>
      <c r="J4" s="3" t="s">
        <v>18</v>
      </c>
      <c r="K4" s="3" t="s">
        <v>19</v>
      </c>
      <c r="L4" s="3" t="s">
        <v>20</v>
      </c>
      <c r="M4" s="3" t="s">
        <v>21</v>
      </c>
      <c r="N4" s="3" t="s">
        <v>22</v>
      </c>
      <c r="O4" s="3" t="s">
        <v>380</v>
      </c>
    </row>
    <row r="5" spans="2:15" ht="15" customHeight="1">
      <c r="B5" s="6" t="s">
        <v>381</v>
      </c>
      <c r="C5" s="43">
        <f>Maquinaria!G15</f>
        <v>873686</v>
      </c>
      <c r="D5" s="43">
        <f>Supuestos!B41</f>
        <v>10</v>
      </c>
      <c r="E5" s="6"/>
      <c r="F5" s="20">
        <f t="shared" ref="F5:O5" si="0">$C5/$D5</f>
        <v>87368.6</v>
      </c>
      <c r="G5" s="20">
        <f t="shared" si="0"/>
        <v>87368.6</v>
      </c>
      <c r="H5" s="20">
        <f t="shared" si="0"/>
        <v>87368.6</v>
      </c>
      <c r="I5" s="20">
        <f t="shared" si="0"/>
        <v>87368.6</v>
      </c>
      <c r="J5" s="20">
        <f t="shared" si="0"/>
        <v>87368.6</v>
      </c>
      <c r="K5" s="20">
        <f t="shared" si="0"/>
        <v>87368.6</v>
      </c>
      <c r="L5" s="20">
        <f t="shared" si="0"/>
        <v>87368.6</v>
      </c>
      <c r="M5" s="20">
        <f t="shared" si="0"/>
        <v>87368.6</v>
      </c>
      <c r="N5" s="20">
        <f t="shared" si="0"/>
        <v>87368.6</v>
      </c>
      <c r="O5" s="20">
        <f t="shared" si="0"/>
        <v>87368.6</v>
      </c>
    </row>
    <row r="6" spans="2:15" ht="15" customHeight="1">
      <c r="B6" s="6" t="s">
        <v>382</v>
      </c>
      <c r="C6" s="31">
        <v>160000</v>
      </c>
      <c r="D6" s="43">
        <f>Supuestos!B42</f>
        <v>20</v>
      </c>
      <c r="E6" s="6"/>
      <c r="F6" s="20">
        <f t="shared" ref="F6:N6" si="1">$C6/$D6</f>
        <v>8000</v>
      </c>
      <c r="G6" s="20">
        <f t="shared" si="1"/>
        <v>8000</v>
      </c>
      <c r="H6" s="20">
        <f t="shared" si="1"/>
        <v>8000</v>
      </c>
      <c r="I6" s="20">
        <f t="shared" si="1"/>
        <v>8000</v>
      </c>
      <c r="J6" s="20">
        <f t="shared" si="1"/>
        <v>8000</v>
      </c>
      <c r="K6" s="20">
        <f t="shared" si="1"/>
        <v>8000</v>
      </c>
      <c r="L6" s="20">
        <f t="shared" si="1"/>
        <v>8000</v>
      </c>
      <c r="M6" s="20">
        <f t="shared" si="1"/>
        <v>8000</v>
      </c>
      <c r="N6" s="20">
        <f t="shared" si="1"/>
        <v>8000</v>
      </c>
      <c r="O6" s="20">
        <f>$C6-$C6/$D6*9</f>
        <v>88000</v>
      </c>
    </row>
    <row r="7" spans="2:15" ht="15" customHeight="1">
      <c r="B7" s="4" t="s">
        <v>383</v>
      </c>
      <c r="C7" s="17">
        <f>C5+C6</f>
        <v>1033686</v>
      </c>
      <c r="E7" s="19">
        <f t="shared" ref="E7:O7" si="2">E5+E6</f>
        <v>0</v>
      </c>
      <c r="F7" s="19">
        <f t="shared" si="2"/>
        <v>95368.6</v>
      </c>
      <c r="G7" s="19">
        <f t="shared" si="2"/>
        <v>95368.6</v>
      </c>
      <c r="H7" s="19">
        <f t="shared" si="2"/>
        <v>95368.6</v>
      </c>
      <c r="I7" s="19">
        <f t="shared" si="2"/>
        <v>95368.6</v>
      </c>
      <c r="J7" s="19">
        <f t="shared" si="2"/>
        <v>95368.6</v>
      </c>
      <c r="K7" s="19">
        <f t="shared" si="2"/>
        <v>95368.6</v>
      </c>
      <c r="L7" s="19">
        <f t="shared" si="2"/>
        <v>95368.6</v>
      </c>
      <c r="M7" s="19">
        <f t="shared" si="2"/>
        <v>95368.6</v>
      </c>
      <c r="N7" s="19">
        <f t="shared" si="2"/>
        <v>95368.6</v>
      </c>
      <c r="O7" s="19">
        <f t="shared" si="2"/>
        <v>175368.6</v>
      </c>
    </row>
    <row r="9" spans="2:15" ht="15" customHeight="1">
      <c r="B9" s="11" t="s">
        <v>384</v>
      </c>
    </row>
    <row r="10" spans="2:15" ht="15" customHeight="1">
      <c r="B10" s="11" t="s">
        <v>385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66CC"/>
  </sheetPr>
  <dimension ref="A1:L25"/>
  <sheetViews>
    <sheetView showGridLines="0" zoomScale="115" zoomScaleNormal="115" workbookViewId="0">
      <selection activeCell="C25" sqref="C25"/>
    </sheetView>
  </sheetViews>
  <sheetFormatPr baseColWidth="10" defaultColWidth="8.6328125" defaultRowHeight="14.5"/>
  <cols>
    <col min="1" max="1" width="4.7265625" customWidth="1"/>
    <col min="2" max="2" width="33.08984375" customWidth="1"/>
    <col min="3" max="12" width="12.54296875" customWidth="1"/>
  </cols>
  <sheetData>
    <row r="1" spans="1:12">
      <c r="A1" t="s">
        <v>463</v>
      </c>
    </row>
    <row r="2" spans="1:12" ht="17.25" customHeight="1">
      <c r="B2" s="1" t="s">
        <v>386</v>
      </c>
    </row>
    <row r="3" spans="1:12" ht="15" customHeight="1">
      <c r="B3" s="11" t="s">
        <v>231</v>
      </c>
    </row>
    <row r="4" spans="1:12" ht="15" customHeight="1"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</row>
    <row r="5" spans="1:12" ht="15" customHeight="1">
      <c r="B5" s="16" t="s">
        <v>387</v>
      </c>
    </row>
    <row r="6" spans="1:12" ht="15" customHeight="1">
      <c r="B6" s="6" t="s">
        <v>116</v>
      </c>
      <c r="C6" s="43">
        <f>Ingresos!D28/365*Supuestos!B77</f>
        <v>23060.861539452053</v>
      </c>
      <c r="D6" s="43">
        <f>Ingresos!E28/365*Supuestos!B77</f>
        <v>95097.780821917811</v>
      </c>
      <c r="E6" s="43">
        <f>Ingresos!F28/365*Supuestos!B77</f>
        <v>103312.30767123289</v>
      </c>
      <c r="F6" s="43">
        <f>Ingresos!G28/365*Supuestos!B77</f>
        <v>110658.29626849314</v>
      </c>
      <c r="G6" s="43">
        <f>Ingresos!H28/365*Supuestos!B77</f>
        <v>118475.02609446575</v>
      </c>
      <c r="H6" s="43">
        <f>Ingresos!I28/365*Supuestos!B77</f>
        <v>126884.56348608658</v>
      </c>
      <c r="I6" s="43">
        <f>Ingresos!J28/365*Supuestos!B77</f>
        <v>135892.84530163463</v>
      </c>
      <c r="J6" s="43">
        <f>Ingresos!K28/365*Supuestos!B77</f>
        <v>145498.63280602649</v>
      </c>
      <c r="K6" s="43">
        <f>Ingresos!L28/365*Supuestos!B77</f>
        <v>155829.88128268177</v>
      </c>
      <c r="L6" s="43">
        <f>Ingresos!M28/365*Supuestos!B77</f>
        <v>166884.0699614131</v>
      </c>
    </row>
    <row r="7" spans="1:12" ht="15" customHeight="1">
      <c r="B7" s="6" t="s">
        <v>388</v>
      </c>
      <c r="C7" s="43">
        <f>'Mano de Obra'!C11/365*Supuestos!B78</f>
        <v>5640.9970407528181</v>
      </c>
      <c r="D7" s="43">
        <f>'Mano de Obra'!D11/365*Supuestos!B78</f>
        <v>12886.138395221788</v>
      </c>
      <c r="E7" s="43">
        <f>'Mano de Obra'!E11/365*Supuestos!B78</f>
        <v>13374.604713108831</v>
      </c>
      <c r="F7" s="43">
        <f>'Mano de Obra'!F11/365*Supuestos!B78</f>
        <v>13775.8428545021</v>
      </c>
      <c r="G7" s="43">
        <f>'Mano de Obra'!G11/365*Supuestos!B78</f>
        <v>14189.118140137161</v>
      </c>
      <c r="H7" s="43">
        <f>'Mano de Obra'!H11/365*Supuestos!B78</f>
        <v>14614.791684341277</v>
      </c>
      <c r="I7" s="43">
        <f>'Mano de Obra'!I11/365*Supuestos!B78</f>
        <v>15053.235434871516</v>
      </c>
      <c r="J7" s="43">
        <f>'Mano de Obra'!J11/365*Supuestos!B78</f>
        <v>15504.832497917663</v>
      </c>
      <c r="K7" s="43">
        <f>'Mano de Obra'!K11/365*Supuestos!B78</f>
        <v>15969.977472855191</v>
      </c>
      <c r="L7" s="43">
        <f>'Mano de Obra'!L11/365*Supuestos!B78</f>
        <v>16449.076797040849</v>
      </c>
    </row>
    <row r="8" spans="1:12" ht="15" customHeight="1">
      <c r="B8" s="6" t="s">
        <v>560</v>
      </c>
      <c r="C8" s="43">
        <f>'Materia Prima'!D28/365*Supuestos!B79</f>
        <v>477930.59691794805</v>
      </c>
      <c r="D8" s="43">
        <f>'Materia Prima'!E28/365*Supuestos!B79</f>
        <v>1738569.8944320274</v>
      </c>
      <c r="E8" s="43">
        <f>'Materia Prima'!F28/365*Supuestos!B79</f>
        <v>1880671.5425684263</v>
      </c>
      <c r="F8" s="43">
        <f>'Materia Prima'!G28/365*Supuestos!B79</f>
        <v>2034026.7124292029</v>
      </c>
      <c r="G8" s="43">
        <f>'Materia Prima'!H28/365*Supuestos!B79</f>
        <v>2199670.5554837878</v>
      </c>
      <c r="H8" s="43">
        <f>'Materia Prima'!I28/365*Supuestos!B79</f>
        <v>2378933.0818740674</v>
      </c>
      <c r="I8" s="43">
        <f>'Materia Prima'!J28/365*Supuestos!B79</f>
        <v>2572625.1277871504</v>
      </c>
      <c r="J8" s="43">
        <f>'Materia Prima'!K28/365*Supuestos!B79</f>
        <v>2781926.2664279244</v>
      </c>
      <c r="K8" s="43">
        <f>'Materia Prima'!L28/365*Supuestos!B79</f>
        <v>3008682.7641379912</v>
      </c>
      <c r="L8" s="43">
        <f>'Materia Prima'!M28/365*Supuestos!B79</f>
        <v>3253629.1096187932</v>
      </c>
    </row>
    <row r="9" spans="1:12" ht="15" customHeight="1">
      <c r="B9" s="6" t="s">
        <v>511</v>
      </c>
      <c r="C9" s="70">
        <f>Ingresos!D28/365*Supuestos!$B$80</f>
        <v>1037738.7692753423</v>
      </c>
      <c r="D9" s="70">
        <f>Ingresos!E28/365*Supuestos!$B$80</f>
        <v>4279400.1369863013</v>
      </c>
      <c r="E9" s="70">
        <f>Ingresos!F28/365*Supuestos!$B$80</f>
        <v>4649053.8452054802</v>
      </c>
      <c r="F9" s="70">
        <f>Ingresos!G28/365*Supuestos!$B$80</f>
        <v>4979623.3320821915</v>
      </c>
      <c r="G9" s="70">
        <f>Ingresos!H28/365*Supuestos!$B$80</f>
        <v>5331376.1742509585</v>
      </c>
      <c r="H9" s="70">
        <f>Ingresos!I28/365*Supuestos!$B$80</f>
        <v>5709805.356873896</v>
      </c>
      <c r="I9" s="70">
        <f>Ingresos!J28/365*Supuestos!$B$80</f>
        <v>6115178.0385735584</v>
      </c>
      <c r="J9" s="70">
        <f>Ingresos!K28/365*Supuestos!$B$80</f>
        <v>6547438.4762711925</v>
      </c>
      <c r="K9" s="70">
        <f>Ingresos!L28/365*Supuestos!$B$80</f>
        <v>7012344.6577206794</v>
      </c>
      <c r="L9" s="70">
        <f>Ingresos!M28/365*Supuestos!$B$80</f>
        <v>7509783.1482635895</v>
      </c>
    </row>
    <row r="10" spans="1:12" ht="15" customHeight="1">
      <c r="B10" s="6" t="s">
        <v>512</v>
      </c>
      <c r="C10" s="43">
        <f>(Costos!D17+Costos!D28)/365*Supuestos!B81</f>
        <v>0</v>
      </c>
      <c r="D10" s="43">
        <f>(Costos!E17+Costos!E28)/365*Supuestos!B81</f>
        <v>0</v>
      </c>
      <c r="E10" s="43">
        <f>(Costos!F17+Costos!F28)/365*Supuestos!B81</f>
        <v>0</v>
      </c>
      <c r="F10" s="43">
        <f>(Costos!G17+Costos!G28)/365*Supuestos!B81</f>
        <v>0</v>
      </c>
      <c r="G10" s="43">
        <f>(Costos!H17+Costos!H28)/365*Supuestos!B81</f>
        <v>0</v>
      </c>
      <c r="H10" s="43">
        <f>(Costos!I17+Costos!I28)/365*Supuestos!B81</f>
        <v>0</v>
      </c>
      <c r="I10" s="43">
        <f>(Costos!J17+Costos!J28)/365*Supuestos!B81</f>
        <v>0</v>
      </c>
      <c r="J10" s="43">
        <f>(Costos!K17+Costos!K28)/365*Supuestos!B81</f>
        <v>0</v>
      </c>
      <c r="K10" s="43">
        <f>(Costos!L17+Costos!L28)/365*Supuestos!B81</f>
        <v>0</v>
      </c>
      <c r="L10" s="43">
        <f>(Costos!M17+Costos!M28)/365*Supuestos!B81</f>
        <v>0</v>
      </c>
    </row>
    <row r="11" spans="1:12" ht="15" customHeight="1">
      <c r="B11" s="4" t="s">
        <v>389</v>
      </c>
      <c r="C11" s="45">
        <f t="shared" ref="C11:L11" si="0">SUM(C6:C10)</f>
        <v>1544371.2247734952</v>
      </c>
      <c r="D11" s="45">
        <f t="shared" si="0"/>
        <v>6125953.9506354686</v>
      </c>
      <c r="E11" s="45">
        <f t="shared" si="0"/>
        <v>6646412.3001582483</v>
      </c>
      <c r="F11" s="45">
        <f t="shared" si="0"/>
        <v>7138084.1836343892</v>
      </c>
      <c r="G11" s="45">
        <f t="shared" si="0"/>
        <v>7663710.8739693491</v>
      </c>
      <c r="H11" s="45">
        <f t="shared" si="0"/>
        <v>8230237.7939183917</v>
      </c>
      <c r="I11" s="45">
        <f t="shared" si="0"/>
        <v>8838749.2470972147</v>
      </c>
      <c r="J11" s="45">
        <f t="shared" si="0"/>
        <v>9490368.2080030609</v>
      </c>
      <c r="K11" s="45">
        <f t="shared" si="0"/>
        <v>10192827.280614208</v>
      </c>
      <c r="L11" s="45">
        <f t="shared" si="0"/>
        <v>10946745.404640837</v>
      </c>
    </row>
    <row r="12" spans="1:12">
      <c r="C12" s="59"/>
      <c r="D12" s="59"/>
      <c r="E12" s="59"/>
    </row>
    <row r="13" spans="1:12" ht="15" customHeight="1">
      <c r="B13" s="4" t="s">
        <v>390</v>
      </c>
    </row>
    <row r="14" spans="1:12" ht="15" customHeight="1">
      <c r="B14" s="6" t="s">
        <v>391</v>
      </c>
      <c r="C14" s="70">
        <f>'Materia Prima'!D28/365*Supuestos!$B$82</f>
        <v>0</v>
      </c>
      <c r="D14" s="70">
        <f>'Materia Prima'!E28/365*Supuestos!$B$82</f>
        <v>0</v>
      </c>
      <c r="E14" s="70">
        <f>'Materia Prima'!F28/365*Supuestos!$B$82</f>
        <v>0</v>
      </c>
      <c r="F14" s="70">
        <f>'Materia Prima'!G28/365*Supuestos!$B$82</f>
        <v>0</v>
      </c>
      <c r="G14" s="70">
        <f>'Materia Prima'!H28/365*Supuestos!$B$82</f>
        <v>0</v>
      </c>
      <c r="H14" s="70">
        <f>'Materia Prima'!I28/365*Supuestos!$B$82</f>
        <v>0</v>
      </c>
      <c r="I14" s="70">
        <f>'Materia Prima'!J28/365*Supuestos!$B$82</f>
        <v>0</v>
      </c>
      <c r="J14" s="70">
        <f>'Materia Prima'!K28/365*Supuestos!$B$82</f>
        <v>0</v>
      </c>
      <c r="K14" s="70">
        <f>'Materia Prima'!L28/365*Supuestos!$B$82</f>
        <v>0</v>
      </c>
      <c r="L14" s="70">
        <f>'Materia Prima'!M28/365*Supuestos!$B$82</f>
        <v>0</v>
      </c>
    </row>
    <row r="15" spans="1:12" ht="15" customHeight="1">
      <c r="B15" s="6" t="s">
        <v>513</v>
      </c>
      <c r="C15" s="43">
        <f>(Costos!D10+Costos!D11+Costos!D13+Costos!D14+Costos!D15)/365*Supuestos!B83</f>
        <v>3276.7935053673064</v>
      </c>
      <c r="D15" s="43">
        <f>(Costos!E10+Costos!E11+Costos!E13+Costos!E14+Costos!E15)/365*Supuestos!B83</f>
        <v>10353.647480457983</v>
      </c>
      <c r="E15" s="43">
        <f>(Costos!F10+Costos!F11+Costos!F13+Costos!F14+Costos!F15)/365*Supuestos!B83</f>
        <v>11459.746595059651</v>
      </c>
      <c r="F15" s="43">
        <f>(Costos!G10+Costos!G11+Costos!G13+Costos!G14+Costos!G15)/365*Supuestos!B83</f>
        <v>12272.78490215159</v>
      </c>
      <c r="G15" s="43">
        <f>(Costos!H10+Costos!H11+Costos!H13+Costos!H14+Costos!H15)/365*Supuestos!B83</f>
        <v>13149.506098537478</v>
      </c>
      <c r="H15" s="43">
        <f>(Costos!I10+Costos!I11+Costos!I13+Costos!I14+Costos!I15)/365*Supuestos!B83</f>
        <v>14096.680950532129</v>
      </c>
      <c r="I15" s="43">
        <f>(Costos!J10+Costos!J11+Costos!J13+Costos!J14+Costos!J15)/365*Supuestos!B83</f>
        <v>15118.787970757747</v>
      </c>
      <c r="J15" s="43">
        <f>(Costos!K10+Costos!K11+Costos!K13+Costos!K14+Costos!K15)/365*Supuestos!B83</f>
        <v>16222.075384433239</v>
      </c>
      <c r="K15" s="43">
        <f>(Costos!L10+Costos!L11+Costos!L13+Costos!L14+Costos!L15)/365*Supuestos!B83</f>
        <v>17415.934724635259</v>
      </c>
      <c r="L15" s="43">
        <f>(Costos!M10+Costos!M11+Costos!M13+Costos!M14+Costos!M15)/365*Supuestos!B83</f>
        <v>18704.824274258452</v>
      </c>
    </row>
    <row r="16" spans="1:12" ht="15" customHeight="1">
      <c r="B16" s="4" t="s">
        <v>392</v>
      </c>
      <c r="C16" s="17">
        <f t="shared" ref="C16:L16" si="1">C14+C15</f>
        <v>3276.7935053673064</v>
      </c>
      <c r="D16" s="17">
        <f t="shared" si="1"/>
        <v>10353.647480457983</v>
      </c>
      <c r="E16" s="17">
        <f t="shared" si="1"/>
        <v>11459.746595059651</v>
      </c>
      <c r="F16" s="17">
        <f t="shared" si="1"/>
        <v>12272.78490215159</v>
      </c>
      <c r="G16" s="17">
        <f t="shared" si="1"/>
        <v>13149.506098537478</v>
      </c>
      <c r="H16" s="17">
        <f t="shared" si="1"/>
        <v>14096.680950532129</v>
      </c>
      <c r="I16" s="17">
        <f t="shared" si="1"/>
        <v>15118.787970757747</v>
      </c>
      <c r="J16" s="17">
        <f t="shared" si="1"/>
        <v>16222.075384433239</v>
      </c>
      <c r="K16" s="17">
        <f t="shared" si="1"/>
        <v>17415.934724635259</v>
      </c>
      <c r="L16" s="17">
        <f t="shared" si="1"/>
        <v>18704.824274258452</v>
      </c>
    </row>
    <row r="18" spans="2:12" ht="15" customHeight="1">
      <c r="B18" s="23" t="s">
        <v>393</v>
      </c>
      <c r="C18" s="44">
        <f t="shared" ref="C18:L18" si="2">C11-C16</f>
        <v>1541094.4312681279</v>
      </c>
      <c r="D18" s="44">
        <f t="shared" si="2"/>
        <v>6115600.3031550106</v>
      </c>
      <c r="E18" s="44">
        <f t="shared" si="2"/>
        <v>6634952.5535631888</v>
      </c>
      <c r="F18" s="44">
        <f t="shared" si="2"/>
        <v>7125811.3987322375</v>
      </c>
      <c r="G18" s="44">
        <f t="shared" si="2"/>
        <v>7650561.3678708114</v>
      </c>
      <c r="H18" s="44">
        <f t="shared" si="2"/>
        <v>8216141.11296786</v>
      </c>
      <c r="I18" s="44">
        <f t="shared" si="2"/>
        <v>8823630.4591264576</v>
      </c>
      <c r="J18" s="44">
        <f t="shared" si="2"/>
        <v>9474146.1326186284</v>
      </c>
      <c r="K18" s="44">
        <f t="shared" si="2"/>
        <v>10175411.345889574</v>
      </c>
      <c r="L18" s="44">
        <f t="shared" si="2"/>
        <v>10928040.580366578</v>
      </c>
    </row>
    <row r="20" spans="2:12" ht="15" customHeight="1">
      <c r="B20" s="4" t="s">
        <v>394</v>
      </c>
      <c r="C20" s="17">
        <f>C18</f>
        <v>1541094.4312681279</v>
      </c>
      <c r="D20" s="17">
        <f t="shared" ref="D20:L20" si="3">D18-C18</f>
        <v>4574505.8718868829</v>
      </c>
      <c r="E20" s="17">
        <f t="shared" si="3"/>
        <v>519352.2504081782</v>
      </c>
      <c r="F20" s="17">
        <f t="shared" si="3"/>
        <v>490858.84516904876</v>
      </c>
      <c r="G20" s="17">
        <f t="shared" si="3"/>
        <v>524749.96913857386</v>
      </c>
      <c r="H20" s="17">
        <f t="shared" si="3"/>
        <v>565579.74509704858</v>
      </c>
      <c r="I20" s="17">
        <f t="shared" si="3"/>
        <v>607489.34615859762</v>
      </c>
      <c r="J20" s="17">
        <f t="shared" si="3"/>
        <v>650515.67349217087</v>
      </c>
      <c r="K20" s="17">
        <f t="shared" si="3"/>
        <v>701265.21327094547</v>
      </c>
      <c r="L20" s="17">
        <f t="shared" si="3"/>
        <v>752629.23447700404</v>
      </c>
    </row>
    <row r="25" spans="2:12" ht="15" customHeight="1">
      <c r="B25" s="4" t="s">
        <v>395</v>
      </c>
      <c r="C25" s="17">
        <f>C18</f>
        <v>1541094.4312681279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6600"/>
  </sheetPr>
  <dimension ref="B2:M31"/>
  <sheetViews>
    <sheetView showGridLines="0" zoomScale="130" zoomScaleNormal="130" workbookViewId="0">
      <pane xSplit="2" ySplit="4" topLeftCell="C5" activePane="bottomRight" state="frozen"/>
      <selection pane="topRight" activeCell="B1" sqref="B1"/>
      <selection pane="bottomLeft" activeCell="A4" sqref="A4"/>
      <selection pane="bottomRight" activeCell="L9" sqref="L9"/>
    </sheetView>
  </sheetViews>
  <sheetFormatPr baseColWidth="10" defaultColWidth="8.6328125" defaultRowHeight="14.5"/>
  <cols>
    <col min="1" max="1" width="4.7265625" customWidth="1"/>
    <col min="2" max="2" width="33.90625" customWidth="1"/>
    <col min="3" max="12" width="10.90625" customWidth="1"/>
    <col min="13" max="13" width="11.1796875" bestFit="1" customWidth="1"/>
  </cols>
  <sheetData>
    <row r="2" spans="2:12" ht="17.25" customHeight="1">
      <c r="B2" s="1" t="s">
        <v>396</v>
      </c>
    </row>
    <row r="3" spans="2:12">
      <c r="C3" s="57">
        <v>2026</v>
      </c>
      <c r="D3" s="57">
        <v>2027</v>
      </c>
      <c r="E3" s="57">
        <v>2028</v>
      </c>
      <c r="F3" s="57">
        <v>2029</v>
      </c>
      <c r="G3" s="57">
        <v>2030</v>
      </c>
      <c r="H3" s="57">
        <v>2031</v>
      </c>
      <c r="I3" s="57">
        <v>2032</v>
      </c>
      <c r="J3" s="57">
        <v>2033</v>
      </c>
      <c r="K3" s="57">
        <v>2034</v>
      </c>
      <c r="L3" s="57">
        <v>2035</v>
      </c>
    </row>
    <row r="4" spans="2:12" ht="15" customHeight="1"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</row>
    <row r="5" spans="2:12" ht="15" customHeight="1">
      <c r="B5" s="4" t="s">
        <v>397</v>
      </c>
      <c r="C5" s="18">
        <f>Ingresos!D28</f>
        <v>4208607.2309499998</v>
      </c>
      <c r="D5" s="18">
        <f>Ingresos!E28</f>
        <v>17355345</v>
      </c>
      <c r="E5" s="18">
        <f>Ingresos!F28</f>
        <v>18854496.150000002</v>
      </c>
      <c r="F5" s="18">
        <f>Ingresos!G28</f>
        <v>20195139.068999998</v>
      </c>
      <c r="G5" s="18">
        <f>Ingresos!H28</f>
        <v>21621692.26224</v>
      </c>
      <c r="H5" s="18">
        <f>Ingresos!I28</f>
        <v>23156432.836210802</v>
      </c>
      <c r="I5" s="18">
        <f>Ingresos!J28</f>
        <v>24800444.267548323</v>
      </c>
      <c r="J5" s="18">
        <f>Ingresos!K28</f>
        <v>26553500.487099838</v>
      </c>
      <c r="K5" s="18">
        <f>Ingresos!L28</f>
        <v>28438953.334089424</v>
      </c>
      <c r="L5" s="18">
        <f>Ingresos!M28</f>
        <v>30456342.767957889</v>
      </c>
    </row>
    <row r="6" spans="2:12" ht="15" customHeight="1">
      <c r="B6" s="6" t="s">
        <v>398</v>
      </c>
      <c r="C6" s="43">
        <f>Costos!D17</f>
        <v>4032136.4430230581</v>
      </c>
      <c r="D6" s="43">
        <f>Costos!E17</f>
        <v>14668171.60410502</v>
      </c>
      <c r="E6" s="43">
        <f>Costos!F17</f>
        <v>15861608.209453648</v>
      </c>
      <c r="F6" s="43">
        <f>Costos!G17</f>
        <v>17138115.412396502</v>
      </c>
      <c r="G6" s="43">
        <f>Costos!H17</f>
        <v>18516472.728581738</v>
      </c>
      <c r="H6" s="43">
        <f>Costos!I17</f>
        <v>20007681.209758777</v>
      </c>
      <c r="I6" s="43">
        <f>Costos!J17</f>
        <v>21618460.33938418</v>
      </c>
      <c r="J6" s="43">
        <f>Costos!K17</f>
        <v>23358574.7747177</v>
      </c>
      <c r="K6" s="43">
        <f>Costos!L17</f>
        <v>25243293.258314788</v>
      </c>
      <c r="L6" s="43">
        <f>Costos!M17</f>
        <v>27278714.81756568</v>
      </c>
    </row>
    <row r="7" spans="2:12" ht="15" customHeight="1">
      <c r="B7" s="23" t="s">
        <v>552</v>
      </c>
      <c r="C7" s="25">
        <f>+C5-C6</f>
        <v>176470.78792694164</v>
      </c>
      <c r="D7" s="25">
        <f t="shared" ref="D7:L7" si="0">+D5-D6</f>
        <v>2687173.3958949801</v>
      </c>
      <c r="E7" s="25">
        <f t="shared" si="0"/>
        <v>2992887.9405463543</v>
      </c>
      <c r="F7" s="25">
        <f t="shared" si="0"/>
        <v>3057023.6566034965</v>
      </c>
      <c r="G7" s="25">
        <f t="shared" si="0"/>
        <v>3105219.5336582623</v>
      </c>
      <c r="H7" s="25">
        <f t="shared" si="0"/>
        <v>3148751.626452025</v>
      </c>
      <c r="I7" s="25">
        <f t="shared" si="0"/>
        <v>3181983.9281641431</v>
      </c>
      <c r="J7" s="25">
        <f t="shared" si="0"/>
        <v>3194925.7123821378</v>
      </c>
      <c r="K7" s="25">
        <f t="shared" si="0"/>
        <v>3195660.0757746361</v>
      </c>
      <c r="L7" s="25">
        <f t="shared" si="0"/>
        <v>3177627.950392209</v>
      </c>
    </row>
    <row r="8" spans="2:12" ht="15" customHeight="1">
      <c r="B8" s="6" t="s">
        <v>399</v>
      </c>
      <c r="C8" s="43">
        <f>Costos!D28</f>
        <v>200330.37347260781</v>
      </c>
      <c r="D8" s="43">
        <f>Costos!E28</f>
        <v>237797.28129149857</v>
      </c>
      <c r="E8" s="43">
        <f>Costos!F28</f>
        <v>242662.69336535592</v>
      </c>
      <c r="F8" s="43">
        <f>Costos!G28</f>
        <v>246931.79216631665</v>
      </c>
      <c r="G8" s="43">
        <f>Costos!H28</f>
        <v>251354.00223130613</v>
      </c>
      <c r="H8" s="43">
        <f>Costos!I28</f>
        <v>255935.16881324531</v>
      </c>
      <c r="I8" s="43">
        <f>Costos!J28</f>
        <v>260681.37511839272</v>
      </c>
      <c r="J8" s="43">
        <f>Costos!K28</f>
        <v>265598.95257473201</v>
      </c>
      <c r="K8" s="43">
        <f>Costos!L28</f>
        <v>270694.49156490085</v>
      </c>
      <c r="L8" s="43">
        <f>Costos!M28</f>
        <v>275974.85264542105</v>
      </c>
    </row>
    <row r="9" spans="2:12" ht="15" customHeight="1">
      <c r="B9" s="23" t="s">
        <v>25</v>
      </c>
      <c r="C9" s="315">
        <f>+C7-C8</f>
        <v>-23859.585545666167</v>
      </c>
      <c r="D9" s="25">
        <f t="shared" ref="D9:L9" si="1">+D7-D8</f>
        <v>2449376.1146034813</v>
      </c>
      <c r="E9" s="25">
        <f t="shared" si="1"/>
        <v>2750225.2471809983</v>
      </c>
      <c r="F9" s="25">
        <f t="shared" si="1"/>
        <v>2810091.8644371796</v>
      </c>
      <c r="G9" s="25">
        <f t="shared" si="1"/>
        <v>2853865.5314269564</v>
      </c>
      <c r="H9" s="25">
        <f t="shared" si="1"/>
        <v>2892816.4576387797</v>
      </c>
      <c r="I9" s="25">
        <f t="shared" si="1"/>
        <v>2921302.5530457506</v>
      </c>
      <c r="J9" s="25">
        <f t="shared" si="1"/>
        <v>2929326.759807406</v>
      </c>
      <c r="K9" s="25">
        <f t="shared" si="1"/>
        <v>2924965.5842097355</v>
      </c>
      <c r="L9" s="25">
        <f t="shared" si="1"/>
        <v>2901653.0977467881</v>
      </c>
    </row>
    <row r="10" spans="2:12" ht="15" customHeight="1">
      <c r="B10" s="6" t="s">
        <v>400</v>
      </c>
      <c r="C10" s="43">
        <f>Costos!D31</f>
        <v>39411.707507149826</v>
      </c>
      <c r="D10" s="43">
        <f>Costos!E31</f>
        <v>95368.599999999991</v>
      </c>
      <c r="E10" s="43">
        <f>Costos!F31</f>
        <v>95368.6</v>
      </c>
      <c r="F10" s="43">
        <f>Costos!G31</f>
        <v>95368.6</v>
      </c>
      <c r="G10" s="43">
        <f>Costos!H31</f>
        <v>95368.6</v>
      </c>
      <c r="H10" s="43">
        <f>Costos!I31</f>
        <v>95368.6</v>
      </c>
      <c r="I10" s="43">
        <f>Costos!J31</f>
        <v>95368.6</v>
      </c>
      <c r="J10" s="43">
        <f>Costos!K31</f>
        <v>95368.6</v>
      </c>
      <c r="K10" s="43">
        <f>Costos!L31</f>
        <v>95368.6</v>
      </c>
      <c r="L10" s="43">
        <f>Costos!M31</f>
        <v>95368.6</v>
      </c>
    </row>
    <row r="11" spans="2:12" ht="15" customHeight="1">
      <c r="B11" s="6" t="s">
        <v>401</v>
      </c>
      <c r="C11" s="43">
        <f>Costos!D34</f>
        <v>229420.38749922696</v>
      </c>
      <c r="D11" s="43">
        <f>Costos!E34</f>
        <v>699654.61880623305</v>
      </c>
      <c r="E11" s="43">
        <f>Costos!F34</f>
        <v>883947.51291162474</v>
      </c>
      <c r="F11" s="43">
        <f>Costos!G34</f>
        <v>555002.70891249995</v>
      </c>
      <c r="G11" s="43">
        <f>Costos!H34</f>
        <v>482679.62167505122</v>
      </c>
      <c r="H11" s="43">
        <f>Costos!I34</f>
        <v>457245.44042676385</v>
      </c>
      <c r="I11" s="43">
        <f>Costos!J34</f>
        <v>174246.57534246577</v>
      </c>
      <c r="J11" s="43">
        <f>Costos!K34</f>
        <v>220273.97260273976</v>
      </c>
      <c r="K11" s="43">
        <f>Costos!L34</f>
        <v>262356.16438356164</v>
      </c>
      <c r="L11" s="43">
        <f>Costos!M34</f>
        <v>361643.83561643842</v>
      </c>
    </row>
    <row r="12" spans="2:12" ht="15" customHeight="1">
      <c r="B12" s="4" t="s">
        <v>209</v>
      </c>
      <c r="C12" s="316">
        <f t="shared" ref="C12:L12" si="2">C9-C10-C11</f>
        <v>-292691.68055204296</v>
      </c>
      <c r="D12" s="17">
        <f t="shared" si="2"/>
        <v>1654352.895797248</v>
      </c>
      <c r="E12" s="17">
        <f t="shared" si="2"/>
        <v>1770909.1342693735</v>
      </c>
      <c r="F12" s="17">
        <f t="shared" si="2"/>
        <v>2159720.5555246798</v>
      </c>
      <c r="G12" s="17">
        <f t="shared" si="2"/>
        <v>2275817.309751905</v>
      </c>
      <c r="H12" s="17">
        <f t="shared" si="2"/>
        <v>2340202.4172120159</v>
      </c>
      <c r="I12" s="17">
        <f t="shared" si="2"/>
        <v>2651687.3777032848</v>
      </c>
      <c r="J12" s="17">
        <f t="shared" si="2"/>
        <v>2613684.187204666</v>
      </c>
      <c r="K12" s="17">
        <f t="shared" si="2"/>
        <v>2567240.8198261736</v>
      </c>
      <c r="L12" s="17">
        <f t="shared" si="2"/>
        <v>2444640.6621303493</v>
      </c>
    </row>
    <row r="13" spans="2:12" ht="15" customHeight="1">
      <c r="B13" s="6" t="s">
        <v>402</v>
      </c>
      <c r="C13" s="43">
        <f>C5*Supuestos!B68</f>
        <v>42086.072309499999</v>
      </c>
      <c r="D13" s="43">
        <f>D5*Supuestos!B68</f>
        <v>173553.45</v>
      </c>
      <c r="E13" s="43">
        <f>E5*Supuestos!B68</f>
        <v>188544.96150000003</v>
      </c>
      <c r="F13" s="43">
        <f>F5*Supuestos!B68</f>
        <v>201951.39069</v>
      </c>
      <c r="G13" s="43">
        <f>G5*Supuestos!B68</f>
        <v>216216.92262240002</v>
      </c>
      <c r="H13" s="43">
        <f>H5*Supuestos!B68</f>
        <v>231564.32836210803</v>
      </c>
      <c r="I13" s="43">
        <f>I5*Supuestos!B68</f>
        <v>248004.44267548324</v>
      </c>
      <c r="J13" s="43">
        <f>J5*Supuestos!B68</f>
        <v>265535.00487099838</v>
      </c>
      <c r="K13" s="43">
        <f>K5*Supuestos!B68</f>
        <v>284389.53334089427</v>
      </c>
      <c r="L13" s="43">
        <f>L5*Supuestos!B68</f>
        <v>304563.42767957889</v>
      </c>
    </row>
    <row r="14" spans="2:12" ht="15" customHeight="1">
      <c r="B14" s="23" t="s">
        <v>403</v>
      </c>
      <c r="C14" s="315">
        <f t="shared" ref="C14:L14" si="3">C12-C13</f>
        <v>-334777.75286154298</v>
      </c>
      <c r="D14" s="25">
        <f t="shared" si="3"/>
        <v>1480799.445797248</v>
      </c>
      <c r="E14" s="25">
        <f t="shared" si="3"/>
        <v>1582364.1727693735</v>
      </c>
      <c r="F14" s="25">
        <f t="shared" si="3"/>
        <v>1957769.1648346798</v>
      </c>
      <c r="G14" s="25">
        <f t="shared" si="3"/>
        <v>2059600.3871295049</v>
      </c>
      <c r="H14" s="25">
        <f t="shared" si="3"/>
        <v>2108638.0888499077</v>
      </c>
      <c r="I14" s="25">
        <f t="shared" si="3"/>
        <v>2403682.9350278014</v>
      </c>
      <c r="J14" s="25">
        <f t="shared" si="3"/>
        <v>2348149.1823336678</v>
      </c>
      <c r="K14" s="25">
        <f t="shared" si="3"/>
        <v>2282851.2864852794</v>
      </c>
      <c r="L14" s="25">
        <f t="shared" si="3"/>
        <v>2140077.2344507705</v>
      </c>
    </row>
    <row r="16" spans="2:12" ht="15" customHeight="1">
      <c r="B16" s="6" t="s">
        <v>404</v>
      </c>
      <c r="C16" s="46">
        <v>1</v>
      </c>
      <c r="D16" s="46">
        <v>1</v>
      </c>
      <c r="E16" s="46">
        <v>1</v>
      </c>
      <c r="F16" s="46">
        <v>1</v>
      </c>
      <c r="G16" s="46">
        <v>1</v>
      </c>
      <c r="H16" s="46">
        <v>1</v>
      </c>
      <c r="I16" s="46">
        <v>1</v>
      </c>
      <c r="J16" s="46">
        <v>1</v>
      </c>
      <c r="K16" s="46">
        <v>1</v>
      </c>
      <c r="L16" s="46">
        <v>1</v>
      </c>
    </row>
    <row r="17" spans="2:13" ht="15" customHeight="1">
      <c r="B17" s="6" t="s">
        <v>405</v>
      </c>
      <c r="C17" s="20">
        <f t="shared" ref="C17:L17" si="4">C14*C16</f>
        <v>-334777.75286154298</v>
      </c>
      <c r="D17" s="20">
        <f t="shared" si="4"/>
        <v>1480799.445797248</v>
      </c>
      <c r="E17" s="20">
        <f t="shared" si="4"/>
        <v>1582364.1727693735</v>
      </c>
      <c r="F17" s="20">
        <f t="shared" si="4"/>
        <v>1957769.1648346798</v>
      </c>
      <c r="G17" s="20">
        <f t="shared" si="4"/>
        <v>2059600.3871295049</v>
      </c>
      <c r="H17" s="20">
        <f t="shared" si="4"/>
        <v>2108638.0888499077</v>
      </c>
      <c r="I17" s="20">
        <f t="shared" si="4"/>
        <v>2403682.9350278014</v>
      </c>
      <c r="J17" s="20">
        <f t="shared" si="4"/>
        <v>2348149.1823336678</v>
      </c>
      <c r="K17" s="20">
        <f t="shared" si="4"/>
        <v>2282851.2864852794</v>
      </c>
      <c r="L17" s="20">
        <f t="shared" si="4"/>
        <v>2140077.2344507705</v>
      </c>
    </row>
    <row r="18" spans="2:13" ht="15" customHeight="1">
      <c r="B18" s="4" t="s">
        <v>406</v>
      </c>
      <c r="C18" s="17">
        <f t="shared" ref="C18:G18" si="5">C14-C17</f>
        <v>0</v>
      </c>
      <c r="D18" s="17">
        <f t="shared" si="5"/>
        <v>0</v>
      </c>
      <c r="E18" s="17">
        <f t="shared" si="5"/>
        <v>0</v>
      </c>
      <c r="F18" s="17">
        <f t="shared" si="5"/>
        <v>0</v>
      </c>
      <c r="G18" s="17">
        <f t="shared" si="5"/>
        <v>0</v>
      </c>
      <c r="H18" s="17">
        <f>+D26</f>
        <v>740399.72289862402</v>
      </c>
      <c r="I18" s="17">
        <f>+D27+E27</f>
        <v>2322763.8956679977</v>
      </c>
      <c r="J18" s="17">
        <f>+F28</f>
        <v>1957769.1648346798</v>
      </c>
      <c r="K18" s="17">
        <f>+G29+H29</f>
        <v>2559600.3871295052</v>
      </c>
      <c r="L18" s="17">
        <f>+H30+I30</f>
        <v>2408638.0888499077</v>
      </c>
    </row>
    <row r="20" spans="2:13">
      <c r="B20" s="305" t="s">
        <v>558</v>
      </c>
      <c r="C20" s="47">
        <f>+C7/C5</f>
        <v>4.1930923520061357E-2</v>
      </c>
      <c r="D20" s="47">
        <f t="shared" ref="D20:L20" si="6">+D7/D5</f>
        <v>0.15483261184925912</v>
      </c>
      <c r="E20" s="47">
        <f t="shared" si="6"/>
        <v>0.15873603392718366</v>
      </c>
      <c r="F20" s="47">
        <f t="shared" si="6"/>
        <v>0.15137423149990079</v>
      </c>
      <c r="G20" s="47">
        <f t="shared" si="6"/>
        <v>0.14361593421996852</v>
      </c>
      <c r="H20" s="47">
        <f t="shared" si="6"/>
        <v>0.13597740415044299</v>
      </c>
      <c r="I20" s="47">
        <f t="shared" si="6"/>
        <v>0.12830350512421293</v>
      </c>
      <c r="J20" s="47">
        <f t="shared" si="6"/>
        <v>0.12032032138038785</v>
      </c>
      <c r="K20" s="47">
        <f t="shared" si="6"/>
        <v>0.11236911704285676</v>
      </c>
      <c r="L20" s="47">
        <f t="shared" si="6"/>
        <v>0.10433386485705323</v>
      </c>
    </row>
    <row r="21" spans="2:13">
      <c r="B21" s="305" t="s">
        <v>25</v>
      </c>
      <c r="C21" s="310">
        <f>+C9/C5</f>
        <v>-5.6692355062746957E-3</v>
      </c>
      <c r="D21" s="310">
        <f t="shared" ref="D21:L21" si="7">+D9/D5</f>
        <v>0.14113093773724933</v>
      </c>
      <c r="E21" s="310">
        <f t="shared" si="7"/>
        <v>0.14586575134658256</v>
      </c>
      <c r="F21" s="310">
        <f t="shared" si="7"/>
        <v>0.13914694297652722</v>
      </c>
      <c r="G21" s="310">
        <f t="shared" si="7"/>
        <v>0.13199084959741708</v>
      </c>
      <c r="H21" s="310">
        <f t="shared" si="7"/>
        <v>0.12492496051097933</v>
      </c>
      <c r="I21" s="310">
        <f t="shared" si="7"/>
        <v>0.11779234765033261</v>
      </c>
      <c r="J21" s="310">
        <f t="shared" si="7"/>
        <v>0.11031791312149315</v>
      </c>
      <c r="K21" s="310">
        <f t="shared" si="7"/>
        <v>0.10285067631879459</v>
      </c>
      <c r="L21" s="310">
        <f t="shared" si="7"/>
        <v>9.5272538789506978E-2</v>
      </c>
    </row>
    <row r="22" spans="2:13" ht="15" customHeight="1">
      <c r="B22" s="4" t="s">
        <v>407</v>
      </c>
      <c r="C22" s="47">
        <f t="shared" ref="C22:L22" si="8">IF(C5=0,0,C14/C5)</f>
        <v>-7.9545971978471922E-2</v>
      </c>
      <c r="D22" s="47">
        <f t="shared" si="8"/>
        <v>8.5322386031349312E-2</v>
      </c>
      <c r="E22" s="47">
        <f t="shared" si="8"/>
        <v>8.3925030941194009E-2</v>
      </c>
      <c r="F22" s="47">
        <f t="shared" si="8"/>
        <v>9.6942593866060592E-2</v>
      </c>
      <c r="G22" s="47">
        <f t="shared" si="8"/>
        <v>9.5256206690462392E-2</v>
      </c>
      <c r="H22" s="47">
        <f t="shared" si="8"/>
        <v>9.1060574992903542E-2</v>
      </c>
      <c r="I22" s="47">
        <f t="shared" si="8"/>
        <v>9.6920962749568532E-2</v>
      </c>
      <c r="J22" s="47">
        <f t="shared" si="8"/>
        <v>8.8430871232003494E-2</v>
      </c>
      <c r="K22" s="47">
        <f t="shared" si="8"/>
        <v>8.0271986794565098E-2</v>
      </c>
      <c r="L22" s="47">
        <f t="shared" si="8"/>
        <v>7.0267045874669989E-2</v>
      </c>
    </row>
    <row r="25" spans="2:13">
      <c r="B25" t="s">
        <v>568</v>
      </c>
    </row>
    <row r="26" spans="2:13">
      <c r="B26">
        <v>2031</v>
      </c>
      <c r="D26" s="326">
        <f>+D17/2</f>
        <v>740399.72289862402</v>
      </c>
      <c r="E26" s="326"/>
      <c r="F26" s="325"/>
      <c r="G26" s="325"/>
      <c r="H26" s="325"/>
      <c r="M26" s="328"/>
    </row>
    <row r="27" spans="2:13">
      <c r="B27">
        <v>2032</v>
      </c>
      <c r="D27" s="326">
        <f>+D17/2</f>
        <v>740399.72289862402</v>
      </c>
      <c r="E27" s="326">
        <f>+E17</f>
        <v>1582364.1727693735</v>
      </c>
      <c r="F27" s="325"/>
      <c r="G27" s="325"/>
      <c r="H27" s="325"/>
      <c r="M27" s="328"/>
    </row>
    <row r="28" spans="2:13">
      <c r="B28">
        <v>2033</v>
      </c>
      <c r="D28" s="326"/>
      <c r="E28" s="326"/>
      <c r="F28" s="326">
        <f>+F17</f>
        <v>1957769.1648346798</v>
      </c>
      <c r="G28" s="325"/>
      <c r="H28" s="325"/>
      <c r="M28" s="56"/>
    </row>
    <row r="29" spans="2:13">
      <c r="B29">
        <v>2034</v>
      </c>
      <c r="D29" s="326"/>
      <c r="E29" s="326"/>
      <c r="F29" s="326"/>
      <c r="G29" s="327">
        <f>+G17</f>
        <v>2059600.3871295049</v>
      </c>
      <c r="H29" s="327">
        <v>500000</v>
      </c>
    </row>
    <row r="30" spans="2:13">
      <c r="B30">
        <v>2035</v>
      </c>
      <c r="D30" s="325"/>
      <c r="E30" s="326"/>
      <c r="F30" s="325"/>
      <c r="G30" s="327"/>
      <c r="H30" s="327">
        <f>+H17-H29</f>
        <v>1608638.0888499077</v>
      </c>
      <c r="I30" s="327">
        <v>800000</v>
      </c>
    </row>
    <row r="31" spans="2:13">
      <c r="B31">
        <v>2036</v>
      </c>
      <c r="D31" s="325"/>
      <c r="E31" s="325"/>
      <c r="F31" s="325"/>
      <c r="G31" s="325"/>
      <c r="H31" s="327"/>
      <c r="I31" s="327">
        <f>+I17-I30</f>
        <v>1603682.9350278014</v>
      </c>
      <c r="J31" s="59"/>
      <c r="K31" s="59"/>
    </row>
  </sheetData>
  <pageMargins left="0.75" right="0.75" top="1" bottom="1" header="0.511811023622047" footer="0.511811023622047"/>
  <pageSetup paperSize="9" orientation="portrait" horizontalDpi="300" verticalDpi="300"/>
  <ignoredErrors>
    <ignoredError sqref="C8:L8" formula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CC6600"/>
  </sheetPr>
  <dimension ref="B2:M13"/>
  <sheetViews>
    <sheetView showGridLines="0" zoomScale="120" zoomScaleNormal="120" workbookViewId="0">
      <selection activeCell="E9" sqref="E9"/>
    </sheetView>
  </sheetViews>
  <sheetFormatPr baseColWidth="10" defaultColWidth="8.6328125" defaultRowHeight="14.5"/>
  <cols>
    <col min="2" max="2" width="36.26953125" customWidth="1"/>
    <col min="3" max="13" width="11.26953125" customWidth="1"/>
  </cols>
  <sheetData>
    <row r="2" spans="2:13" ht="17.25" customHeight="1">
      <c r="B2" s="1" t="s">
        <v>408</v>
      </c>
    </row>
    <row r="4" spans="2:13" ht="15" customHeight="1">
      <c r="B4" s="3" t="s">
        <v>12</v>
      </c>
      <c r="C4" s="3" t="s">
        <v>346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2:13" ht="15" customHeight="1">
      <c r="B5" s="6" t="s">
        <v>409</v>
      </c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>
        <v>0</v>
      </c>
      <c r="J5" s="20">
        <v>0</v>
      </c>
      <c r="K5" s="20">
        <v>0</v>
      </c>
      <c r="L5" s="20">
        <v>0</v>
      </c>
      <c r="M5" s="20">
        <v>0</v>
      </c>
    </row>
    <row r="6" spans="2:13" ht="15" customHeight="1">
      <c r="B6" s="6" t="s">
        <v>410</v>
      </c>
      <c r="C6" s="31">
        <v>16000</v>
      </c>
    </row>
    <row r="7" spans="2:13" ht="15" customHeight="1">
      <c r="B7" s="6" t="s">
        <v>411</v>
      </c>
      <c r="D7" s="43">
        <f>'Servicio Deuda'!D25</f>
        <v>8297.5178569382588</v>
      </c>
      <c r="E7" s="43">
        <f>'Servicio Deuda'!E25</f>
        <v>44979.461764952182</v>
      </c>
      <c r="F7" s="43">
        <f>'Servicio Deuda'!F25</f>
        <v>36186.532113080277</v>
      </c>
      <c r="G7" s="43">
        <f>'Servicio Deuda'!G25</f>
        <v>26568.764041934923</v>
      </c>
      <c r="H7" s="43">
        <f>'Servicio Deuda'!H25</f>
        <v>16048.784085313344</v>
      </c>
      <c r="I7" s="43">
        <f>'Servicio Deuda'!I25</f>
        <v>4628.6536317174823</v>
      </c>
      <c r="J7" s="43">
        <f>'Servicio Deuda'!J25</f>
        <v>0</v>
      </c>
      <c r="K7" s="43">
        <f>'Servicio Deuda'!K25</f>
        <v>0</v>
      </c>
      <c r="L7" s="43">
        <f>'Servicio Deuda'!L25</f>
        <v>0</v>
      </c>
      <c r="M7" s="43">
        <f>'Servicio Deuda'!M25</f>
        <v>0</v>
      </c>
    </row>
    <row r="8" spans="2:13" ht="15" customHeight="1">
      <c r="B8" s="6" t="s">
        <v>412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2:13" ht="15" customHeight="1">
      <c r="B9" s="6" t="s">
        <v>413</v>
      </c>
      <c r="C9" s="31">
        <v>0</v>
      </c>
      <c r="D9" s="31">
        <v>37097</v>
      </c>
      <c r="E9" s="31">
        <v>45029</v>
      </c>
      <c r="F9" s="31">
        <v>46593</v>
      </c>
      <c r="G9" s="31">
        <v>48172</v>
      </c>
      <c r="H9" s="31">
        <v>49912</v>
      </c>
      <c r="I9" s="31">
        <v>51765</v>
      </c>
      <c r="J9" s="31">
        <v>53741</v>
      </c>
      <c r="K9" s="31">
        <v>55849</v>
      </c>
      <c r="L9" s="31">
        <v>58097</v>
      </c>
      <c r="M9" s="31">
        <v>60497</v>
      </c>
    </row>
    <row r="11" spans="2:13" ht="15" customHeight="1">
      <c r="B11" s="6" t="s">
        <v>414</v>
      </c>
      <c r="C11" s="20">
        <f t="shared" ref="C11:M11" si="0">C5-C6-C7-C8-C9</f>
        <v>-16000</v>
      </c>
      <c r="D11" s="20">
        <f t="shared" si="0"/>
        <v>-45394.517856938255</v>
      </c>
      <c r="E11" s="20">
        <f t="shared" si="0"/>
        <v>-90008.461764952182</v>
      </c>
      <c r="F11" s="20">
        <f t="shared" si="0"/>
        <v>-82779.532113080277</v>
      </c>
      <c r="G11" s="20">
        <f t="shared" si="0"/>
        <v>-74740.764041934919</v>
      </c>
      <c r="H11" s="20">
        <f t="shared" si="0"/>
        <v>-65960.784085313338</v>
      </c>
      <c r="I11" s="20">
        <f t="shared" si="0"/>
        <v>-56393.653631717483</v>
      </c>
      <c r="J11" s="20">
        <f t="shared" si="0"/>
        <v>-53741</v>
      </c>
      <c r="K11" s="20">
        <f t="shared" si="0"/>
        <v>-55849</v>
      </c>
      <c r="L11" s="20">
        <f t="shared" si="0"/>
        <v>-58097</v>
      </c>
      <c r="M11" s="20">
        <f t="shared" si="0"/>
        <v>-60497</v>
      </c>
    </row>
    <row r="13" spans="2:13" ht="15" customHeight="1">
      <c r="B13" s="4" t="s">
        <v>415</v>
      </c>
      <c r="C13" s="17">
        <f>C11</f>
        <v>-16000</v>
      </c>
      <c r="D13" s="17">
        <f t="shared" ref="D13:M13" si="1">C13+D11</f>
        <v>-61394.517856938255</v>
      </c>
      <c r="E13" s="17">
        <f t="shared" si="1"/>
        <v>-151402.97962189044</v>
      </c>
      <c r="F13" s="17">
        <f t="shared" si="1"/>
        <v>-234182.51173497073</v>
      </c>
      <c r="G13" s="17">
        <f t="shared" si="1"/>
        <v>-308923.27577690565</v>
      </c>
      <c r="H13" s="17">
        <f t="shared" si="1"/>
        <v>-374884.05986221897</v>
      </c>
      <c r="I13" s="17">
        <f t="shared" si="1"/>
        <v>-431277.71349393646</v>
      </c>
      <c r="J13" s="17">
        <f t="shared" si="1"/>
        <v>-485018.71349393646</v>
      </c>
      <c r="K13" s="17">
        <f t="shared" si="1"/>
        <v>-540867.71349393646</v>
      </c>
      <c r="L13" s="17">
        <f t="shared" si="1"/>
        <v>-598964.71349393646</v>
      </c>
      <c r="M13" s="17">
        <f t="shared" si="1"/>
        <v>-659461.71349393646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663399"/>
  </sheetPr>
  <dimension ref="B2:L18"/>
  <sheetViews>
    <sheetView showGridLines="0" zoomScale="145" zoomScaleNormal="145" workbookViewId="0">
      <selection activeCell="H24" sqref="H24"/>
    </sheetView>
  </sheetViews>
  <sheetFormatPr baseColWidth="10" defaultColWidth="8.6328125" defaultRowHeight="14.5"/>
  <cols>
    <col min="1" max="1" width="6.08984375" customWidth="1"/>
    <col min="2" max="2" width="27.7265625" customWidth="1"/>
    <col min="3" max="12" width="10.90625" customWidth="1"/>
  </cols>
  <sheetData>
    <row r="2" spans="2:12" ht="17.25" customHeight="1">
      <c r="B2" s="1" t="s">
        <v>416</v>
      </c>
    </row>
    <row r="4" spans="2:12" ht="15" customHeight="1"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</row>
    <row r="5" spans="2:12" ht="15" customHeight="1">
      <c r="B5" s="4" t="s">
        <v>417</v>
      </c>
      <c r="C5" s="18">
        <f>Costos!D36</f>
        <v>4501298.9115020437</v>
      </c>
      <c r="D5" s="18">
        <f>Costos!E36</f>
        <v>15700992.104202751</v>
      </c>
      <c r="E5" s="18">
        <f>Costos!F36</f>
        <v>17083587.015730627</v>
      </c>
      <c r="F5" s="18">
        <f>Costos!G36</f>
        <v>18035418.513475318</v>
      </c>
      <c r="G5" s="18">
        <f>Costos!H36</f>
        <v>19345874.952488098</v>
      </c>
      <c r="H5" s="18">
        <f>Costos!I36</f>
        <v>20816230.418998785</v>
      </c>
      <c r="I5" s="18">
        <f>Costos!J36</f>
        <v>22148756.88984504</v>
      </c>
      <c r="J5" s="18">
        <f>Costos!K36</f>
        <v>23939816.299895175</v>
      </c>
      <c r="K5" s="18">
        <f>Costos!L36</f>
        <v>25871712.51426325</v>
      </c>
      <c r="L5" s="18">
        <f>Costos!M36</f>
        <v>28011702.10582754</v>
      </c>
    </row>
    <row r="7" spans="2:12" ht="15" customHeight="1">
      <c r="B7" s="4" t="s">
        <v>418</v>
      </c>
      <c r="C7" s="43">
        <f>Costos!D6+Costos!D10+Costos!D11</f>
        <v>3905000.8540007714</v>
      </c>
      <c r="D7" s="43">
        <f>Costos!E6+Costos!E10+Costos!E11</f>
        <v>14181122.948074965</v>
      </c>
      <c r="E7" s="43">
        <f>Costos!F6+Costos!F10+Costos!F11</f>
        <v>15340756.154648514</v>
      </c>
      <c r="F7" s="43">
        <f>Costos!G6+Costos!G10+Costos!G11</f>
        <v>16589544.007789718</v>
      </c>
      <c r="G7" s="43">
        <f>Costos!H6+Costos!H10+Costos!H11</f>
        <v>17938303.357707746</v>
      </c>
      <c r="H7" s="43">
        <f>Costos!I6+Costos!I10+Costos!I11</f>
        <v>19397853.73475172</v>
      </c>
      <c r="I7" s="43">
        <f>Costos!J6+Costos!J10+Costos!J11</f>
        <v>20974784.758668486</v>
      </c>
      <c r="J7" s="43">
        <f>Costos!K6+Costos!K10+Costos!K11</f>
        <v>22678688.199860919</v>
      </c>
      <c r="K7" s="43">
        <f>Costos!L6+Costos!L10+Costos!L11</f>
        <v>24524584.862948239</v>
      </c>
      <c r="L7" s="43">
        <f>Costos!M6+Costos!M10+Costos!M11</f>
        <v>26518439.353897639</v>
      </c>
    </row>
    <row r="9" spans="2:12" ht="15" customHeight="1">
      <c r="B9" s="4" t="s">
        <v>419</v>
      </c>
      <c r="C9" s="17">
        <f t="shared" ref="C9:L9" si="0">C5-C7</f>
        <v>596298.0575012723</v>
      </c>
      <c r="D9" s="17">
        <f t="shared" si="0"/>
        <v>1519869.1561277863</v>
      </c>
      <c r="E9" s="17">
        <f t="shared" si="0"/>
        <v>1742830.8610821124</v>
      </c>
      <c r="F9" s="17">
        <f t="shared" si="0"/>
        <v>1445874.5056855995</v>
      </c>
      <c r="G9" s="17">
        <f t="shared" si="0"/>
        <v>1407571.594780352</v>
      </c>
      <c r="H9" s="17">
        <f t="shared" si="0"/>
        <v>1418376.6842470653</v>
      </c>
      <c r="I9" s="17">
        <f t="shared" si="0"/>
        <v>1173972.1311765537</v>
      </c>
      <c r="J9" s="17">
        <f t="shared" si="0"/>
        <v>1261128.1000342555</v>
      </c>
      <c r="K9" s="17">
        <f t="shared" si="0"/>
        <v>1347127.6513150111</v>
      </c>
      <c r="L9" s="17">
        <f t="shared" si="0"/>
        <v>1493262.7519299015</v>
      </c>
    </row>
    <row r="11" spans="2:12" ht="15" customHeight="1">
      <c r="B11" s="6" t="s">
        <v>420</v>
      </c>
      <c r="C11" s="43">
        <f>IF(Producción!D29=0,0,Ingresos!D28/Producción!D29)</f>
        <v>1003.2039807125628</v>
      </c>
      <c r="D11" s="43">
        <f>IF(Producción!E29=0,0,Ingresos!E28/Producción!E29)</f>
        <v>1219.2023182297155</v>
      </c>
      <c r="E11" s="43">
        <f>IF(Producción!F29=0,0,Ingresos!F28/Producción!F29)</f>
        <v>1280.3542136357464</v>
      </c>
      <c r="F11" s="43">
        <f>IF(Producción!G29=0,0,Ingresos!G28/Producción!G29)</f>
        <v>1305.9453614200722</v>
      </c>
      <c r="G11" s="43">
        <f>IF(Producción!H29=0,0,Ingresos!H28/Producción!H29)</f>
        <v>1331.7950269319372</v>
      </c>
      <c r="H11" s="43">
        <f>IF(Producción!I29=0,0,Ingresos!I28/Producción!I29)</f>
        <v>1358.4672554388596</v>
      </c>
      <c r="I11" s="43">
        <f>IF(Producción!J29=0,0,Ingresos!J28/Producción!J29)</f>
        <v>1385.7319253253797</v>
      </c>
      <c r="J11" s="43">
        <f>IF(Producción!K29=0,0,Ingresos!K28/Producción!K29)</f>
        <v>1413.2471385970427</v>
      </c>
      <c r="K11" s="43">
        <f>IF(Producción!L29=0,0,Ingresos!L28/Producción!L29)</f>
        <v>1441.5527845746869</v>
      </c>
      <c r="L11" s="43">
        <f>IF(Producción!M29=0,0,Ingresos!M28/Producción!M29)</f>
        <v>1470.3974686408483</v>
      </c>
    </row>
    <row r="12" spans="2:12" ht="15" customHeight="1">
      <c r="B12" s="6" t="s">
        <v>421</v>
      </c>
      <c r="C12" s="20">
        <f>IF(Producción!D29=0,0,C7/Producción!D29)</f>
        <v>930.83345307450793</v>
      </c>
      <c r="D12" s="20">
        <f>IF(Producción!E29=0,0,D7/Producción!E29)</f>
        <v>996.21517021952684</v>
      </c>
      <c r="E12" s="20">
        <f>IF(Producción!F29=0,0,E7/Producción!F29)</f>
        <v>1041.7463095646146</v>
      </c>
      <c r="F12" s="20">
        <f>IF(Producción!G29=0,0,F7/Producción!G29)</f>
        <v>1072.7847909848499</v>
      </c>
      <c r="G12" s="20">
        <f>IF(Producción!H29=0,0,G7/Producción!H29)</f>
        <v>1104.9155132557898</v>
      </c>
      <c r="H12" s="20">
        <f>IF(Producción!I29=0,0,H7/Producción!I29)</f>
        <v>1137.9710040333052</v>
      </c>
      <c r="I12" s="20">
        <f>IF(Producción!J29=0,0,I7/Producción!J29)</f>
        <v>1171.9721047476385</v>
      </c>
      <c r="J12" s="20">
        <f>IF(Producción!K29=0,0,J7/Producción!K29)</f>
        <v>1207.0194368971695</v>
      </c>
      <c r="K12" s="20">
        <f>IF(Producción!L29=0,0,K7/Producción!L29)</f>
        <v>1243.1358912686658</v>
      </c>
      <c r="L12" s="20">
        <f>IF(Producción!M29=0,0,L7/Producción!M29)</f>
        <v>1280.2799861873045</v>
      </c>
    </row>
    <row r="14" spans="2:12" ht="15" customHeight="1">
      <c r="B14" s="23" t="s">
        <v>422</v>
      </c>
      <c r="C14" s="25">
        <f t="shared" ref="C14:L14" si="1">IF((C11-C12)=0,0,C9/(C11-C12))</f>
        <v>8239.5151308489058</v>
      </c>
      <c r="D14" s="25">
        <f t="shared" si="1"/>
        <v>6815.9495723867494</v>
      </c>
      <c r="E14" s="25">
        <f t="shared" si="1"/>
        <v>7304.1623154384461</v>
      </c>
      <c r="F14" s="25">
        <f t="shared" si="1"/>
        <v>6201.1964672530194</v>
      </c>
      <c r="G14" s="25">
        <f t="shared" si="1"/>
        <v>6204.0488890925153</v>
      </c>
      <c r="H14" s="25">
        <f t="shared" si="1"/>
        <v>6432.6566787671736</v>
      </c>
      <c r="I14" s="25">
        <f t="shared" si="1"/>
        <v>5492.0149539964523</v>
      </c>
      <c r="J14" s="25">
        <f t="shared" si="1"/>
        <v>6115.2216197880007</v>
      </c>
      <c r="K14" s="25">
        <f t="shared" si="1"/>
        <v>6789.3798197783353</v>
      </c>
      <c r="L14" s="25">
        <f t="shared" si="1"/>
        <v>7854.4210277704924</v>
      </c>
    </row>
    <row r="17" spans="3:3">
      <c r="C17" s="56"/>
    </row>
    <row r="18" spans="3:3">
      <c r="C18" s="5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0099"/>
  </sheetPr>
  <dimension ref="B2:M27"/>
  <sheetViews>
    <sheetView showGridLines="0" zoomScaleNormal="100" workbookViewId="0">
      <selection activeCell="E21" sqref="E21"/>
    </sheetView>
  </sheetViews>
  <sheetFormatPr baseColWidth="10" defaultColWidth="8.6328125" defaultRowHeight="14.5"/>
  <cols>
    <col min="1" max="1" width="4.90625" customWidth="1"/>
    <col min="2" max="2" width="37.54296875" customWidth="1"/>
    <col min="3" max="13" width="12.54296875" customWidth="1"/>
  </cols>
  <sheetData>
    <row r="2" spans="2:13" ht="17.25" customHeight="1">
      <c r="B2" s="1" t="s">
        <v>423</v>
      </c>
    </row>
    <row r="4" spans="2:13" ht="15" customHeight="1">
      <c r="B4" s="3" t="s">
        <v>12</v>
      </c>
      <c r="C4" s="3" t="s">
        <v>346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2:13" ht="15" customHeight="1">
      <c r="B5" s="23" t="s">
        <v>424</v>
      </c>
      <c r="C5" s="25">
        <f>SUM(C6:C9)</f>
        <v>606000</v>
      </c>
      <c r="D5" s="25">
        <f t="shared" ref="D5:M5" si="0">SUM(D6:D9)</f>
        <v>5544734.4144543335</v>
      </c>
      <c r="E5" s="25">
        <f t="shared" si="0"/>
        <v>3100934.3655065149</v>
      </c>
      <c r="F5" s="25">
        <f t="shared" si="0"/>
        <v>3681107.2215265096</v>
      </c>
      <c r="G5" s="25">
        <f t="shared" si="0"/>
        <v>4341877.5181936873</v>
      </c>
      <c r="H5" s="25">
        <f t="shared" si="0"/>
        <v>5007162.7067622617</v>
      </c>
      <c r="I5" s="25">
        <f t="shared" si="0"/>
        <v>5665083.4936084058</v>
      </c>
      <c r="J5" s="25">
        <f t="shared" si="0"/>
        <v>6534990.2310118396</v>
      </c>
      <c r="K5" s="25">
        <f t="shared" si="0"/>
        <v>7771656.1517529674</v>
      </c>
      <c r="L5" s="25">
        <f t="shared" si="0"/>
        <v>7351208.6221527616</v>
      </c>
      <c r="M5" s="25">
        <f t="shared" si="0"/>
        <v>7199976.7872469723</v>
      </c>
    </row>
    <row r="6" spans="2:13" ht="15" customHeight="1">
      <c r="B6" s="6" t="s">
        <v>425</v>
      </c>
      <c r="D6" s="43">
        <f>Resultados!C9</f>
        <v>-23859.585545666167</v>
      </c>
      <c r="E6" s="43">
        <f>Resultados!D9</f>
        <v>2449376.1146034813</v>
      </c>
      <c r="F6" s="43">
        <f>Resultados!E9</f>
        <v>2750225.2471809983</v>
      </c>
      <c r="G6" s="43">
        <f>Resultados!F9</f>
        <v>2810091.8644371796</v>
      </c>
      <c r="H6" s="43">
        <f>Resultados!G9</f>
        <v>2853865.5314269564</v>
      </c>
      <c r="I6" s="43">
        <f>Resultados!H9</f>
        <v>2892816.4576387797</v>
      </c>
      <c r="J6" s="43">
        <f>Resultados!I9</f>
        <v>2921302.5530457506</v>
      </c>
      <c r="K6" s="43">
        <f>Resultados!J9</f>
        <v>2929326.759807406</v>
      </c>
      <c r="L6" s="43">
        <f>Resultados!K9</f>
        <v>2924965.5842097355</v>
      </c>
      <c r="M6" s="43">
        <f>Resultados!L9</f>
        <v>2901653.0977467881</v>
      </c>
    </row>
    <row r="7" spans="2:13" ht="15" customHeight="1">
      <c r="B7" s="6" t="s">
        <v>426</v>
      </c>
      <c r="D7" s="6">
        <v>0</v>
      </c>
      <c r="E7" s="20">
        <f t="shared" ref="E7:M7" si="1">D23</f>
        <v>651558.25090303365</v>
      </c>
      <c r="F7" s="20">
        <f t="shared" si="1"/>
        <v>930881.97434551129</v>
      </c>
      <c r="G7" s="20">
        <f t="shared" si="1"/>
        <v>1531785.6537565077</v>
      </c>
      <c r="H7" s="20">
        <f t="shared" si="1"/>
        <v>2153297.1753353057</v>
      </c>
      <c r="I7" s="20">
        <f t="shared" si="1"/>
        <v>2772267.0359696266</v>
      </c>
      <c r="J7" s="20">
        <f t="shared" si="1"/>
        <v>3613687.677966089</v>
      </c>
      <c r="K7" s="20">
        <f t="shared" si="1"/>
        <v>4842329.3919455614</v>
      </c>
      <c r="L7" s="20">
        <f t="shared" si="1"/>
        <v>4426243.0379430261</v>
      </c>
      <c r="M7" s="20">
        <f t="shared" si="1"/>
        <v>4298323.6895001838</v>
      </c>
    </row>
    <row r="8" spans="2:13" ht="15" customHeight="1">
      <c r="B8" s="6" t="s">
        <v>427</v>
      </c>
      <c r="C8" s="43"/>
      <c r="D8" s="43">
        <f>Supuestos!B25+Supuestos!B31</f>
        <v>5568594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2:13" ht="15" customHeight="1">
      <c r="B9" s="6" t="s">
        <v>428</v>
      </c>
      <c r="C9" s="43">
        <f>Supuestos!B38</f>
        <v>606000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</row>
    <row r="11" spans="2:13" ht="15" customHeight="1">
      <c r="B11" s="21" t="s">
        <v>429</v>
      </c>
      <c r="C11" s="22">
        <f t="shared" ref="C11:M11" si="2">SUM(C12:C19)</f>
        <v>2590780.4312681276</v>
      </c>
      <c r="D11" s="22">
        <f t="shared" si="2"/>
        <v>4893176.1635512998</v>
      </c>
      <c r="E11" s="22">
        <f t="shared" si="2"/>
        <v>2170052.3911610036</v>
      </c>
      <c r="F11" s="22">
        <f t="shared" si="2"/>
        <v>2149321.5677700019</v>
      </c>
      <c r="G11" s="22">
        <f t="shared" si="2"/>
        <v>2188580.3428583816</v>
      </c>
      <c r="H11" s="22">
        <f t="shared" si="2"/>
        <v>2234895.6707926351</v>
      </c>
      <c r="I11" s="22">
        <f t="shared" si="2"/>
        <v>2051395.8156423171</v>
      </c>
      <c r="J11" s="22">
        <f t="shared" si="2"/>
        <v>1692660.8390662782</v>
      </c>
      <c r="K11" s="22">
        <f t="shared" si="2"/>
        <v>3345413.1138099413</v>
      </c>
      <c r="L11" s="22">
        <f t="shared" si="2"/>
        <v>3052884.9326525778</v>
      </c>
      <c r="M11" s="22">
        <f t="shared" si="2"/>
        <v>2924660.8148090839</v>
      </c>
    </row>
    <row r="12" spans="2:13" ht="15" customHeight="1">
      <c r="B12" s="6" t="s">
        <v>430</v>
      </c>
      <c r="C12" s="43">
        <f>Inversión!C9-Inversión!C11-Inversión!C15</f>
        <v>1033686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2:13" ht="15" customHeight="1">
      <c r="B13" s="6" t="s">
        <v>431</v>
      </c>
      <c r="C13" s="43">
        <f>-IVA!C11</f>
        <v>16000</v>
      </c>
      <c r="D13" s="43">
        <f>-IVA!D11</f>
        <v>45394.517856938255</v>
      </c>
      <c r="E13" s="43">
        <f>-IVA!E11</f>
        <v>90008.461764952182</v>
      </c>
      <c r="F13" s="43">
        <f>-IVA!F11</f>
        <v>82779.532113080277</v>
      </c>
      <c r="G13" s="43">
        <f>-IVA!G11</f>
        <v>74740.764041934919</v>
      </c>
      <c r="H13" s="43">
        <f>-IVA!H11</f>
        <v>65960.784085313338</v>
      </c>
      <c r="I13" s="43">
        <f>-IVA!I11</f>
        <v>56393.653631717483</v>
      </c>
      <c r="J13" s="43">
        <f>-IVA!J11</f>
        <v>53741</v>
      </c>
      <c r="K13" s="43">
        <f>-IVA!K11</f>
        <v>55849</v>
      </c>
      <c r="L13" s="43">
        <f>-IVA!L11</f>
        <v>58097</v>
      </c>
      <c r="M13" s="43">
        <f>-IVA!M11</f>
        <v>60497</v>
      </c>
    </row>
    <row r="14" spans="2:13" ht="15" customHeight="1">
      <c r="B14" s="6" t="s">
        <v>432</v>
      </c>
      <c r="C14" s="43">
        <f>'Capital Trabajo'!C18</f>
        <v>1541094.4312681279</v>
      </c>
      <c r="D14" s="43">
        <f>'Capital Trabajo'!D20</f>
        <v>4574505.8718868829</v>
      </c>
      <c r="E14" s="43">
        <f>'Capital Trabajo'!E20</f>
        <v>519352.2504081782</v>
      </c>
      <c r="F14" s="43">
        <f>'Capital Trabajo'!F20</f>
        <v>490858.84516904876</v>
      </c>
      <c r="G14" s="43">
        <f>'Capital Trabajo'!G20</f>
        <v>524749.96913857386</v>
      </c>
      <c r="H14" s="43">
        <f>'Capital Trabajo'!H20</f>
        <v>565579.74509704858</v>
      </c>
      <c r="I14" s="43">
        <f>'Capital Trabajo'!I20</f>
        <v>607489.34615859762</v>
      </c>
      <c r="J14" s="43">
        <f>'Capital Trabajo'!J20</f>
        <v>650515.67349217087</v>
      </c>
      <c r="K14" s="43">
        <f>'Capital Trabajo'!K20</f>
        <v>701265.21327094547</v>
      </c>
      <c r="L14" s="43">
        <f>'Capital Trabajo'!L20</f>
        <v>752629.23447700404</v>
      </c>
      <c r="M14" s="43">
        <f>'Capital Trabajo'!M20</f>
        <v>0</v>
      </c>
    </row>
    <row r="15" spans="2:13" ht="15" customHeight="1">
      <c r="B15" s="6" t="s">
        <v>433</v>
      </c>
      <c r="D15" s="43">
        <f>'Servicio Deuda'!D23</f>
        <v>148214.52292859624</v>
      </c>
      <c r="E15" s="43">
        <f>'Servicio Deuda'!E23</f>
        <v>937343.61133835115</v>
      </c>
      <c r="F15" s="43">
        <f>'Servicio Deuda'!F23</f>
        <v>1025272.9078570701</v>
      </c>
      <c r="G15" s="43">
        <f>'Servicio Deuda'!G23</f>
        <v>1121450.5785685237</v>
      </c>
      <c r="H15" s="43">
        <f>'Servicio Deuda'!H23</f>
        <v>1226650.3781347396</v>
      </c>
      <c r="I15" s="43">
        <f>'Servicio Deuda'!I23</f>
        <v>1109661.9511727192</v>
      </c>
      <c r="J15" s="43">
        <f>'Servicio Deuda'!J23</f>
        <v>0</v>
      </c>
      <c r="K15" s="43">
        <f>'Servicio Deuda'!K23</f>
        <v>0</v>
      </c>
      <c r="L15" s="43">
        <f>'Servicio Deuda'!L23</f>
        <v>0</v>
      </c>
      <c r="M15" s="43">
        <f>'Servicio Deuda'!M23</f>
        <v>0</v>
      </c>
    </row>
    <row r="16" spans="2:13" ht="15" customHeight="1">
      <c r="B16" s="6" t="s">
        <v>434</v>
      </c>
      <c r="D16" s="43">
        <f>'Servicio Deuda'!D24</f>
        <v>82975.17856938258</v>
      </c>
      <c r="E16" s="43">
        <f>'Servicio Deuda'!E24</f>
        <v>449794.6176495218</v>
      </c>
      <c r="F16" s="43">
        <f>'Servicio Deuda'!F24</f>
        <v>361865.3211308028</v>
      </c>
      <c r="G16" s="43">
        <f>'Servicio Deuda'!G24</f>
        <v>265687.64041934925</v>
      </c>
      <c r="H16" s="43">
        <f>'Servicio Deuda'!H24</f>
        <v>160487.84085313341</v>
      </c>
      <c r="I16" s="43">
        <f>'Servicio Deuda'!I24</f>
        <v>46286.536317174818</v>
      </c>
      <c r="J16" s="43">
        <f>'Servicio Deuda'!J24</f>
        <v>0</v>
      </c>
      <c r="K16" s="43">
        <f>'Servicio Deuda'!K24</f>
        <v>0</v>
      </c>
      <c r="L16" s="43">
        <f>'Servicio Deuda'!L24</f>
        <v>0</v>
      </c>
      <c r="M16" s="43">
        <f>'Servicio Deuda'!M24</f>
        <v>0</v>
      </c>
    </row>
    <row r="17" spans="2:13" ht="15" customHeight="1">
      <c r="B17" s="6" t="s">
        <v>435</v>
      </c>
      <c r="C17" s="6">
        <v>0</v>
      </c>
      <c r="D17" s="70">
        <f>Resultados!C13</f>
        <v>42086.072309499999</v>
      </c>
      <c r="E17" s="70">
        <f>Resultados!D13</f>
        <v>173553.45</v>
      </c>
      <c r="F17" s="70">
        <f>Resultados!E13</f>
        <v>188544.96150000003</v>
      </c>
      <c r="G17" s="70">
        <f>Resultados!F13</f>
        <v>201951.39069</v>
      </c>
      <c r="H17" s="70">
        <f>Resultados!G13</f>
        <v>216216.92262240002</v>
      </c>
      <c r="I17" s="70">
        <f>Resultados!H13</f>
        <v>231564.32836210803</v>
      </c>
      <c r="J17" s="70">
        <f>Resultados!I13</f>
        <v>248004.44267548324</v>
      </c>
      <c r="K17" s="70">
        <f>Resultados!J13</f>
        <v>265535.00487099838</v>
      </c>
      <c r="L17" s="70">
        <f>Resultados!K13</f>
        <v>284389.53334089427</v>
      </c>
      <c r="M17" s="70">
        <f>Resultados!L13</f>
        <v>304563.42767957889</v>
      </c>
    </row>
    <row r="18" spans="2:13" ht="15" customHeight="1">
      <c r="B18" s="6" t="s">
        <v>436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2:13" ht="15" customHeight="1">
      <c r="B19" s="6" t="s">
        <v>406</v>
      </c>
      <c r="C19" s="6">
        <v>0</v>
      </c>
      <c r="D19" s="43">
        <v>0</v>
      </c>
      <c r="E19" s="43">
        <f>Resultados!C18</f>
        <v>0</v>
      </c>
      <c r="F19" s="43">
        <f>Resultados!D18</f>
        <v>0</v>
      </c>
      <c r="G19" s="43">
        <f>Resultados!E18</f>
        <v>0</v>
      </c>
      <c r="H19" s="43">
        <f>Resultados!F18</f>
        <v>0</v>
      </c>
      <c r="I19" s="43">
        <f>Resultados!G18</f>
        <v>0</v>
      </c>
      <c r="J19" s="43">
        <f>Resultados!H18</f>
        <v>740399.72289862402</v>
      </c>
      <c r="K19" s="43">
        <f>Resultados!I18</f>
        <v>2322763.8956679977</v>
      </c>
      <c r="L19" s="43">
        <f>Resultados!J18</f>
        <v>1957769.1648346798</v>
      </c>
      <c r="M19" s="43">
        <f>Resultados!K18</f>
        <v>2559600.3871295052</v>
      </c>
    </row>
    <row r="23" spans="2:13" ht="15" customHeight="1">
      <c r="B23" s="23" t="s">
        <v>437</v>
      </c>
      <c r="C23" s="44">
        <f t="shared" ref="C23:M23" si="3">C5-C11</f>
        <v>-1984780.4312681276</v>
      </c>
      <c r="D23" s="44">
        <f t="shared" si="3"/>
        <v>651558.25090303365</v>
      </c>
      <c r="E23" s="44">
        <f t="shared" si="3"/>
        <v>930881.97434551129</v>
      </c>
      <c r="F23" s="44">
        <f t="shared" si="3"/>
        <v>1531785.6537565077</v>
      </c>
      <c r="G23" s="44">
        <f t="shared" si="3"/>
        <v>2153297.1753353057</v>
      </c>
      <c r="H23" s="44">
        <f t="shared" si="3"/>
        <v>2772267.0359696266</v>
      </c>
      <c r="I23" s="44">
        <f t="shared" si="3"/>
        <v>3613687.677966089</v>
      </c>
      <c r="J23" s="44">
        <f t="shared" si="3"/>
        <v>4842329.3919455614</v>
      </c>
      <c r="K23" s="44">
        <f t="shared" si="3"/>
        <v>4426243.0379430261</v>
      </c>
      <c r="L23" s="44">
        <f t="shared" si="3"/>
        <v>4298323.6895001838</v>
      </c>
      <c r="M23" s="44">
        <f t="shared" si="3"/>
        <v>4275315.9724378884</v>
      </c>
    </row>
    <row r="26" spans="2:13">
      <c r="B26" s="66"/>
      <c r="C26" t="s">
        <v>475</v>
      </c>
    </row>
    <row r="27" spans="2:13" ht="21">
      <c r="B27" s="60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90000"/>
  </sheetPr>
  <dimension ref="B2:M28"/>
  <sheetViews>
    <sheetView showGridLines="0" zoomScale="115" zoomScaleNormal="115" workbookViewId="0">
      <selection activeCell="C9" sqref="C9"/>
    </sheetView>
  </sheetViews>
  <sheetFormatPr baseColWidth="10" defaultColWidth="8.6328125" defaultRowHeight="14.5"/>
  <cols>
    <col min="1" max="1" width="4.54296875" customWidth="1"/>
    <col min="2" max="2" width="33.81640625" customWidth="1"/>
    <col min="3" max="3" width="14.7265625" bestFit="1" customWidth="1"/>
    <col min="4" max="13" width="11.453125" customWidth="1"/>
  </cols>
  <sheetData>
    <row r="2" spans="2:13" ht="17.25" customHeight="1">
      <c r="B2" s="1" t="s">
        <v>438</v>
      </c>
    </row>
    <row r="4" spans="2:13" ht="15" customHeight="1">
      <c r="B4" s="3" t="s">
        <v>12</v>
      </c>
      <c r="C4" s="3" t="s">
        <v>346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2:13" ht="15" customHeight="1">
      <c r="B5" s="4" t="s">
        <v>25</v>
      </c>
      <c r="C5" s="6">
        <v>0</v>
      </c>
      <c r="D5" s="20">
        <f>Resultados!C9</f>
        <v>-23859.585545666167</v>
      </c>
      <c r="E5" s="43">
        <f>Resultados!D9</f>
        <v>2449376.1146034813</v>
      </c>
      <c r="F5" s="43">
        <f>Resultados!E9</f>
        <v>2750225.2471809983</v>
      </c>
      <c r="G5" s="43">
        <f>Resultados!F9</f>
        <v>2810091.8644371796</v>
      </c>
      <c r="H5" s="43">
        <f>Resultados!G9</f>
        <v>2853865.5314269564</v>
      </c>
      <c r="I5" s="43">
        <f>Resultados!H9</f>
        <v>2892816.4576387797</v>
      </c>
      <c r="J5" s="43">
        <f>Resultados!I9</f>
        <v>2921302.5530457506</v>
      </c>
      <c r="K5" s="43">
        <f>Resultados!J9</f>
        <v>2929326.759807406</v>
      </c>
      <c r="L5" s="43">
        <f>Resultados!K9</f>
        <v>2924965.5842097355</v>
      </c>
      <c r="M5" s="43">
        <f>Resultados!L9</f>
        <v>2901653.0977467881</v>
      </c>
    </row>
    <row r="6" spans="2:13">
      <c r="B6" s="312" t="s">
        <v>564</v>
      </c>
      <c r="M6" s="43">
        <f>+'Capital Trabajo'!L18</f>
        <v>10928040.580366578</v>
      </c>
    </row>
    <row r="7" spans="2:13" ht="15" customHeight="1">
      <c r="B7" s="4" t="s">
        <v>439</v>
      </c>
      <c r="C7" s="17">
        <f>SUM(C8:C13)</f>
        <v>2606780.4312681276</v>
      </c>
      <c r="D7" s="17">
        <f t="shared" ref="D7:M7" si="0">SUM(D8:D13)</f>
        <v>4893176.1635512998</v>
      </c>
      <c r="E7" s="17">
        <f t="shared" si="0"/>
        <v>2170052.3911610036</v>
      </c>
      <c r="F7" s="17">
        <f t="shared" si="0"/>
        <v>2149321.5677700019</v>
      </c>
      <c r="G7" s="17">
        <f t="shared" si="0"/>
        <v>2188580.342858382</v>
      </c>
      <c r="H7" s="17">
        <f t="shared" si="0"/>
        <v>2234895.6707926351</v>
      </c>
      <c r="I7" s="17">
        <f t="shared" si="0"/>
        <v>2051395.8156423171</v>
      </c>
      <c r="J7" s="17">
        <f t="shared" si="0"/>
        <v>952261.11616765405</v>
      </c>
      <c r="K7" s="17">
        <f t="shared" si="0"/>
        <v>1022649.2181419439</v>
      </c>
      <c r="L7" s="17">
        <f t="shared" si="0"/>
        <v>1095115.7678178982</v>
      </c>
      <c r="M7" s="17">
        <f t="shared" si="0"/>
        <v>365060.42767957889</v>
      </c>
    </row>
    <row r="8" spans="2:13" ht="15" customHeight="1">
      <c r="B8" s="6" t="s">
        <v>440</v>
      </c>
      <c r="C8" s="43">
        <f>Inversión!C9</f>
        <v>1049686</v>
      </c>
    </row>
    <row r="9" spans="2:13" ht="15" customHeight="1">
      <c r="B9" s="6" t="s">
        <v>441</v>
      </c>
      <c r="C9" s="43">
        <f>'Capital Trabajo'!C18</f>
        <v>1541094.4312681279</v>
      </c>
      <c r="D9" s="43">
        <f>'Capital Trabajo'!D20</f>
        <v>4574505.8718868829</v>
      </c>
      <c r="E9" s="43">
        <f>'Capital Trabajo'!E20</f>
        <v>519352.2504081782</v>
      </c>
      <c r="F9" s="43">
        <f>'Capital Trabajo'!F20</f>
        <v>490858.84516904876</v>
      </c>
      <c r="G9" s="43">
        <f>'Capital Trabajo'!G20</f>
        <v>524749.96913857386</v>
      </c>
      <c r="H9" s="43">
        <f>'Capital Trabajo'!H20</f>
        <v>565579.74509704858</v>
      </c>
      <c r="I9" s="43">
        <f>'Capital Trabajo'!I20</f>
        <v>607489.34615859762</v>
      </c>
      <c r="J9" s="43">
        <f>'Capital Trabajo'!J20</f>
        <v>650515.67349217087</v>
      </c>
      <c r="K9" s="43">
        <f>'Capital Trabajo'!K20</f>
        <v>701265.21327094547</v>
      </c>
      <c r="L9" s="43">
        <f>'Capital Trabajo'!L20</f>
        <v>752629.23447700404</v>
      </c>
      <c r="M9" s="43">
        <f>'Capital Trabajo'!M20</f>
        <v>0</v>
      </c>
    </row>
    <row r="10" spans="2:13" ht="15" customHeight="1">
      <c r="B10" s="6" t="s">
        <v>433</v>
      </c>
      <c r="D10" s="43">
        <f>'Servicio Deuda'!D23</f>
        <v>148214.52292859624</v>
      </c>
      <c r="E10" s="43">
        <f>'Servicio Deuda'!E23</f>
        <v>937343.61133835115</v>
      </c>
      <c r="F10" s="43">
        <f>'Servicio Deuda'!F23</f>
        <v>1025272.9078570701</v>
      </c>
      <c r="G10" s="43">
        <f>'Servicio Deuda'!G23</f>
        <v>1121450.5785685237</v>
      </c>
      <c r="H10" s="43">
        <f>'Servicio Deuda'!H23</f>
        <v>1226650.3781347396</v>
      </c>
      <c r="I10" s="43">
        <f>'Servicio Deuda'!I23</f>
        <v>1109661.9511727192</v>
      </c>
      <c r="J10" s="43">
        <f>'Servicio Deuda'!J23</f>
        <v>0</v>
      </c>
      <c r="K10" s="43">
        <f>'Servicio Deuda'!K23</f>
        <v>0</v>
      </c>
      <c r="L10" s="43">
        <f>'Servicio Deuda'!L23</f>
        <v>0</v>
      </c>
      <c r="M10" s="43">
        <f>'Servicio Deuda'!M23</f>
        <v>0</v>
      </c>
    </row>
    <row r="11" spans="2:13" ht="15" customHeight="1">
      <c r="B11" s="6" t="s">
        <v>401</v>
      </c>
      <c r="D11" s="43">
        <f>'Servicio Deuda'!D24</f>
        <v>82975.17856938258</v>
      </c>
      <c r="E11" s="43">
        <f>'Servicio Deuda'!E24</f>
        <v>449794.6176495218</v>
      </c>
      <c r="F11" s="43">
        <f>'Servicio Deuda'!F24</f>
        <v>361865.3211308028</v>
      </c>
      <c r="G11" s="43">
        <f>'Servicio Deuda'!G24</f>
        <v>265687.64041934925</v>
      </c>
      <c r="H11" s="43">
        <f>'Servicio Deuda'!H24</f>
        <v>160487.84085313341</v>
      </c>
      <c r="I11" s="43">
        <f>'Servicio Deuda'!I24</f>
        <v>46286.536317174818</v>
      </c>
      <c r="J11" s="43">
        <f>'Servicio Deuda'!J24</f>
        <v>0</v>
      </c>
      <c r="K11" s="43">
        <f>'Servicio Deuda'!K24</f>
        <v>0</v>
      </c>
      <c r="L11" s="43">
        <f>'Servicio Deuda'!L24</f>
        <v>0</v>
      </c>
      <c r="M11" s="43">
        <f>'Servicio Deuda'!M24</f>
        <v>0</v>
      </c>
    </row>
    <row r="12" spans="2:13" ht="15" customHeight="1">
      <c r="B12" s="6" t="s">
        <v>435</v>
      </c>
      <c r="C12" s="6"/>
      <c r="D12" s="43">
        <f>Resultados!C13</f>
        <v>42086.072309499999</v>
      </c>
      <c r="E12" s="43">
        <f>Resultados!D13</f>
        <v>173553.45</v>
      </c>
      <c r="F12" s="43">
        <f>Resultados!E13</f>
        <v>188544.96150000003</v>
      </c>
      <c r="G12" s="43">
        <f>Resultados!F13</f>
        <v>201951.39069</v>
      </c>
      <c r="H12" s="43">
        <f>Resultados!G13</f>
        <v>216216.92262240002</v>
      </c>
      <c r="I12" s="43">
        <f>Resultados!H13</f>
        <v>231564.32836210803</v>
      </c>
      <c r="J12" s="43">
        <f>Resultados!I13</f>
        <v>248004.44267548324</v>
      </c>
      <c r="K12" s="43">
        <f>Resultados!J13</f>
        <v>265535.00487099838</v>
      </c>
      <c r="L12" s="43">
        <f>Resultados!K13</f>
        <v>284389.53334089427</v>
      </c>
      <c r="M12" s="43">
        <f>Resultados!L13</f>
        <v>304563.42767957889</v>
      </c>
    </row>
    <row r="13" spans="2:13" ht="15" customHeight="1">
      <c r="B13" s="6" t="s">
        <v>431</v>
      </c>
      <c r="C13" s="43">
        <f>-IVA!C11</f>
        <v>16000</v>
      </c>
      <c r="D13" s="43">
        <f>-IVA!D11</f>
        <v>45394.517856938255</v>
      </c>
      <c r="E13" s="43">
        <f>-IVA!E11</f>
        <v>90008.461764952182</v>
      </c>
      <c r="F13" s="43">
        <f>-IVA!F11</f>
        <v>82779.532113080277</v>
      </c>
      <c r="G13" s="43">
        <f>-IVA!G11</f>
        <v>74740.764041934919</v>
      </c>
      <c r="H13" s="43">
        <f>-IVA!H11</f>
        <v>65960.784085313338</v>
      </c>
      <c r="I13" s="43">
        <f>-IVA!I11</f>
        <v>56393.653631717483</v>
      </c>
      <c r="J13" s="43">
        <f>-IVA!J11</f>
        <v>53741</v>
      </c>
      <c r="K13" s="43">
        <f>-IVA!K11</f>
        <v>55849</v>
      </c>
      <c r="L13" s="43">
        <f>-IVA!L11</f>
        <v>58097</v>
      </c>
      <c r="M13" s="43">
        <f>-IVA!M11</f>
        <v>60497</v>
      </c>
    </row>
    <row r="15" spans="2:13" ht="15" customHeight="1">
      <c r="B15" s="23" t="s">
        <v>442</v>
      </c>
      <c r="C15" s="25">
        <f t="shared" ref="C15:L15" si="1">C5-C7</f>
        <v>-2606780.4312681276</v>
      </c>
      <c r="D15" s="25">
        <f t="shared" si="1"/>
        <v>-4917035.7490969663</v>
      </c>
      <c r="E15" s="25">
        <f t="shared" si="1"/>
        <v>279323.72344247764</v>
      </c>
      <c r="F15" s="25">
        <f t="shared" si="1"/>
        <v>600903.67941099638</v>
      </c>
      <c r="G15" s="25">
        <f t="shared" si="1"/>
        <v>621511.5215787976</v>
      </c>
      <c r="H15" s="25">
        <f t="shared" si="1"/>
        <v>618969.86063432135</v>
      </c>
      <c r="I15" s="25">
        <f t="shared" si="1"/>
        <v>841420.6419964626</v>
      </c>
      <c r="J15" s="25">
        <f t="shared" si="1"/>
        <v>1969041.4368780965</v>
      </c>
      <c r="K15" s="25">
        <f t="shared" si="1"/>
        <v>1906677.5416654621</v>
      </c>
      <c r="L15" s="25">
        <f t="shared" si="1"/>
        <v>1829849.8163918373</v>
      </c>
      <c r="M15" s="270">
        <f>M5-M7+M6</f>
        <v>13464633.250433788</v>
      </c>
    </row>
    <row r="17" spans="2:13" ht="15" customHeight="1">
      <c r="B17" s="2" t="s">
        <v>443</v>
      </c>
    </row>
    <row r="18" spans="2:13" ht="15" customHeight="1">
      <c r="B18" s="6" t="s">
        <v>444</v>
      </c>
      <c r="C18" s="48">
        <f>Inversión!D7/Inversión!C7</f>
        <v>0.11941842046871139</v>
      </c>
    </row>
    <row r="19" spans="2:13" ht="15" customHeight="1">
      <c r="B19" s="6" t="s">
        <v>445</v>
      </c>
      <c r="C19" s="47">
        <f>1-C18</f>
        <v>0.88058157953128857</v>
      </c>
    </row>
    <row r="20" spans="2:13" ht="15" customHeight="1">
      <c r="B20" s="6" t="s">
        <v>111</v>
      </c>
      <c r="C20" s="48">
        <f>Supuestos!B73</f>
        <v>0.16320000000000001</v>
      </c>
    </row>
    <row r="21" spans="2:13" ht="15" customHeight="1">
      <c r="B21" s="6" t="s">
        <v>113</v>
      </c>
      <c r="C21" s="48">
        <f>Supuestos!B74</f>
        <v>0.09</v>
      </c>
    </row>
    <row r="22" spans="2:13" ht="15" customHeight="1">
      <c r="B22" s="49" t="s">
        <v>446</v>
      </c>
      <c r="C22" s="50">
        <f>C18*C20+C19*C21</f>
        <v>9.8741428378309667E-2</v>
      </c>
    </row>
    <row r="23" spans="2:13">
      <c r="B23" s="23" t="s">
        <v>447</v>
      </c>
      <c r="C23" s="51">
        <f>IRR(C15:M15)</f>
        <v>0.1491544557454163</v>
      </c>
      <c r="E23" s="306"/>
    </row>
    <row r="24" spans="2:13">
      <c r="B24" s="23" t="s">
        <v>448</v>
      </c>
      <c r="C24" s="52">
        <f>NPV(C22,D15:M15)+C15</f>
        <v>2844947.7596976636</v>
      </c>
      <c r="E24" s="56"/>
    </row>
    <row r="25" spans="2:13" ht="15" customHeight="1"/>
    <row r="26" spans="2:13" ht="15" customHeight="1"/>
    <row r="27" spans="2:13" ht="15.5">
      <c r="B27" s="2" t="s">
        <v>573</v>
      </c>
    </row>
    <row r="28" spans="2:13">
      <c r="B28" s="4" t="s">
        <v>574</v>
      </c>
      <c r="C28" s="17">
        <f t="shared" ref="C28:M28" si="2">C5-C8-C9-C12-C13</f>
        <v>-2606780.4312681276</v>
      </c>
      <c r="D28" s="17">
        <f t="shared" si="2"/>
        <v>-4685846.0475989869</v>
      </c>
      <c r="E28" s="17">
        <f t="shared" si="2"/>
        <v>1666461.9524303509</v>
      </c>
      <c r="F28" s="17">
        <f t="shared" si="2"/>
        <v>1988041.9083988692</v>
      </c>
      <c r="G28" s="17">
        <f t="shared" si="2"/>
        <v>2008649.7405666709</v>
      </c>
      <c r="H28" s="17">
        <f t="shared" si="2"/>
        <v>2006108.0796221944</v>
      </c>
      <c r="I28" s="17">
        <f t="shared" si="2"/>
        <v>1997369.1294863566</v>
      </c>
      <c r="J28" s="17">
        <f t="shared" si="2"/>
        <v>1969041.4368780965</v>
      </c>
      <c r="K28" s="17">
        <f t="shared" si="2"/>
        <v>1906677.5416654621</v>
      </c>
      <c r="L28" s="17">
        <f t="shared" si="2"/>
        <v>1829849.8163918373</v>
      </c>
      <c r="M28" s="17">
        <f t="shared" si="2"/>
        <v>2536592.6700672093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CC0066"/>
  </sheetPr>
  <dimension ref="B2:M12"/>
  <sheetViews>
    <sheetView showGridLines="0" zoomScale="130" zoomScaleNormal="130" workbookViewId="0">
      <selection activeCell="H12" sqref="H12"/>
    </sheetView>
  </sheetViews>
  <sheetFormatPr baseColWidth="10" defaultColWidth="8.6328125" defaultRowHeight="14.5"/>
  <cols>
    <col min="1" max="1" width="4.7265625" customWidth="1"/>
    <col min="2" max="2" width="34.1796875" customWidth="1"/>
    <col min="3" max="13" width="10.453125" customWidth="1"/>
  </cols>
  <sheetData>
    <row r="2" spans="2:13" ht="17.25" customHeight="1">
      <c r="B2" s="1" t="s">
        <v>449</v>
      </c>
    </row>
    <row r="4" spans="2:13" ht="15" customHeight="1">
      <c r="B4" s="3" t="s">
        <v>12</v>
      </c>
      <c r="C4" s="3" t="s">
        <v>346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  <c r="M4" s="3" t="s">
        <v>22</v>
      </c>
    </row>
    <row r="5" spans="2:13" ht="15" customHeight="1">
      <c r="B5" s="8" t="s">
        <v>450</v>
      </c>
    </row>
    <row r="6" spans="2:13" ht="15" customHeight="1">
      <c r="B6" s="6" t="s">
        <v>451</v>
      </c>
      <c r="C6" s="43">
        <f>-Supuestos!B38</f>
        <v>-606000</v>
      </c>
      <c r="D6" s="43">
        <f>Resultados!C18/(1+Supuestos!B73)^1</f>
        <v>0</v>
      </c>
      <c r="E6" s="43">
        <f>Resultados!D18/(1+Supuestos!B73)^2</f>
        <v>0</v>
      </c>
      <c r="F6" s="43">
        <f>Resultados!E18/(1+Supuestos!B73)^3</f>
        <v>0</v>
      </c>
      <c r="G6" s="43">
        <f>Resultados!F18/(1+Supuestos!B73)^4</f>
        <v>0</v>
      </c>
      <c r="H6" s="43">
        <f>Resultados!G18/(1+Supuestos!B73)^5</f>
        <v>0</v>
      </c>
      <c r="I6" s="43">
        <f>Resultados!H18/(1+Supuestos!B73)^6</f>
        <v>298909.61587756482</v>
      </c>
      <c r="J6" s="43">
        <f>Resultados!I18/(1+Supuestos!B73)^7</f>
        <v>806165.69261606596</v>
      </c>
      <c r="K6" s="43">
        <f>Resultados!J18/(1+Supuestos!B73)^8</f>
        <v>584152.62941550324</v>
      </c>
      <c r="L6" s="43">
        <f>Resultados!K18/(1+Supuestos!B73)^9</f>
        <v>656572.40451567981</v>
      </c>
      <c r="M6" s="43">
        <f>Resultados!L18/(1+Supuestos!B73)^10</f>
        <v>531162.75476036617</v>
      </c>
    </row>
    <row r="7" spans="2:13" ht="15" customHeight="1">
      <c r="B7" s="4" t="s">
        <v>452</v>
      </c>
      <c r="C7" s="17">
        <f>C6</f>
        <v>-606000</v>
      </c>
      <c r="D7" s="17">
        <f t="shared" ref="D7:M7" si="0">C7+D6</f>
        <v>-606000</v>
      </c>
      <c r="E7" s="17">
        <f t="shared" si="0"/>
        <v>-606000</v>
      </c>
      <c r="F7" s="17">
        <f t="shared" si="0"/>
        <v>-606000</v>
      </c>
      <c r="G7" s="17">
        <f t="shared" si="0"/>
        <v>-606000</v>
      </c>
      <c r="H7" s="17">
        <f t="shared" si="0"/>
        <v>-606000</v>
      </c>
      <c r="I7" s="17">
        <f t="shared" si="0"/>
        <v>-307090.38412243518</v>
      </c>
      <c r="J7" s="17">
        <f t="shared" si="0"/>
        <v>499075.30849363079</v>
      </c>
      <c r="K7" s="17">
        <f>J7+K6</f>
        <v>1083227.937909134</v>
      </c>
      <c r="L7" s="17">
        <f t="shared" si="0"/>
        <v>1739800.3424248137</v>
      </c>
      <c r="M7" s="17">
        <f t="shared" si="0"/>
        <v>2270963.0971851796</v>
      </c>
    </row>
    <row r="10" spans="2:13" ht="15" customHeight="1">
      <c r="B10" s="8" t="s">
        <v>453</v>
      </c>
    </row>
    <row r="11" spans="2:13" ht="15" customHeight="1">
      <c r="B11" s="6" t="s">
        <v>454</v>
      </c>
      <c r="C11" s="43">
        <f>+'VAN-TIR'!C28</f>
        <v>-2606780.4312681276</v>
      </c>
      <c r="D11" s="43">
        <f>'VAN-TIR'!D28/(1+Supuestos!$B$73)^1</f>
        <v>-4028409.6007556627</v>
      </c>
      <c r="E11" s="43">
        <f>'VAN-TIR'!E28/(1+Supuestos!$B$73)^1</f>
        <v>1432652.9852392976</v>
      </c>
      <c r="F11" s="43">
        <f>'VAN-TIR'!F28/(1+Supuestos!$B$73)^1</f>
        <v>1709114.4329426317</v>
      </c>
      <c r="G11" s="43">
        <f>'VAN-TIR'!G28/(1+Supuestos!$B$73)^1</f>
        <v>1726830.9323991325</v>
      </c>
      <c r="H11" s="43">
        <f>'VAN-TIR'!H28/(1+Supuestos!$B$73)^1</f>
        <v>1724645.8731277462</v>
      </c>
      <c r="I11" s="43">
        <f>'VAN-TIR'!I28/(1+Supuestos!$B$73)^1</f>
        <v>1717133.0205350383</v>
      </c>
      <c r="J11" s="43">
        <f>'VAN-TIR'!J28/(1+Supuestos!$B$73)^1</f>
        <v>1692779.7772335769</v>
      </c>
      <c r="K11" s="43">
        <f>'VAN-TIR'!K28/(1+Supuestos!$B$73)^1</f>
        <v>1639165.6995060712</v>
      </c>
      <c r="L11" s="43">
        <f>'VAN-TIR'!L28/(1+Supuestos!$B$73)^1</f>
        <v>1573117.1048760638</v>
      </c>
      <c r="M11" s="43">
        <f>'VAN-TIR'!M28/(1+Supuestos!$B$73)^1</f>
        <v>2180702.089122429</v>
      </c>
    </row>
    <row r="12" spans="2:13" ht="15" customHeight="1">
      <c r="B12" s="4" t="s">
        <v>452</v>
      </c>
      <c r="C12" s="17">
        <f>C11</f>
        <v>-2606780.4312681276</v>
      </c>
      <c r="D12" s="17">
        <f t="shared" ref="D12:M12" si="1">C12+D11</f>
        <v>-6635190.0320237903</v>
      </c>
      <c r="E12" s="17">
        <f t="shared" si="1"/>
        <v>-5202537.0467844922</v>
      </c>
      <c r="F12" s="17">
        <f t="shared" si="1"/>
        <v>-3493422.6138418606</v>
      </c>
      <c r="G12" s="17">
        <f t="shared" si="1"/>
        <v>-1766591.681442728</v>
      </c>
      <c r="H12" s="17">
        <f t="shared" si="1"/>
        <v>-41945.80831498187</v>
      </c>
      <c r="I12" s="17">
        <f t="shared" si="1"/>
        <v>1675187.2122200564</v>
      </c>
      <c r="J12" s="17">
        <f t="shared" si="1"/>
        <v>3367966.9894536333</v>
      </c>
      <c r="K12" s="17">
        <f t="shared" si="1"/>
        <v>5007132.6889597047</v>
      </c>
      <c r="L12" s="17">
        <f t="shared" si="1"/>
        <v>6580249.7938357685</v>
      </c>
      <c r="M12" s="17">
        <f t="shared" si="1"/>
        <v>8760951.882958198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9900"/>
  </sheetPr>
  <dimension ref="B2:L20"/>
  <sheetViews>
    <sheetView showGridLines="0" zoomScale="120" zoomScaleNormal="120" workbookViewId="0">
      <selection activeCell="C7" sqref="C7"/>
    </sheetView>
  </sheetViews>
  <sheetFormatPr baseColWidth="10" defaultColWidth="8.6328125" defaultRowHeight="14.5"/>
  <cols>
    <col min="1" max="1" width="5.453125" customWidth="1"/>
    <col min="2" max="2" width="35" customWidth="1"/>
    <col min="3" max="12" width="12" customWidth="1"/>
  </cols>
  <sheetData>
    <row r="2" spans="2:12" ht="17.25" customHeight="1">
      <c r="B2" s="1" t="s">
        <v>455</v>
      </c>
    </row>
    <row r="4" spans="2:12" ht="15" customHeight="1"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  <c r="K4" s="3" t="s">
        <v>21</v>
      </c>
      <c r="L4" s="3" t="s">
        <v>22</v>
      </c>
    </row>
    <row r="5" spans="2:12" ht="15" customHeight="1">
      <c r="B5" s="6" t="s">
        <v>456</v>
      </c>
      <c r="C5" s="47">
        <f>IF(Costos!D36=0,0,C14/Costos!D36)</f>
        <v>3.0494367075742893E-2</v>
      </c>
      <c r="D5" s="47">
        <f>IF(Costos!E36=0,0,D14/Costos!E36)</f>
        <v>1.9970884570183572E-2</v>
      </c>
      <c r="E5" s="47">
        <f>IF(Costos!F36=0,0,E14/Costos!F36)</f>
        <v>1.905037357704643E-2</v>
      </c>
      <c r="F5" s="47">
        <f>IF(Costos!G36=0,0,F14/Costos!G36)</f>
        <v>1.8586326448469224E-2</v>
      </c>
      <c r="G5" s="47">
        <f>IF(Costos!H36=0,0,G14/Costos!H36)</f>
        <v>1.7847140140105102E-2</v>
      </c>
      <c r="H5" s="47">
        <f>IF(Costos!I36=0,0,H14/Costos!I36)</f>
        <v>1.7084101707854234E-2</v>
      </c>
      <c r="I5" s="47">
        <f>IF(Costos!J36=0,0,I14/Costos!J36)</f>
        <v>1.6537966324864758E-2</v>
      </c>
      <c r="J5" s="47">
        <f>IF(Costos!K36=0,0,J14/Costos!K36)</f>
        <v>1.575969726430114E-2</v>
      </c>
      <c r="K5" s="47">
        <f>IF(Costos!L36=0,0,K14/Costos!L36)</f>
        <v>1.5020373504791008E-2</v>
      </c>
      <c r="L5" s="47">
        <f>IF(Costos!M36=0,0,L14/Costos!M36)</f>
        <v>1.4289059165909232E-2</v>
      </c>
    </row>
    <row r="6" spans="2:12" ht="15" customHeight="1">
      <c r="B6" s="6" t="s">
        <v>457</v>
      </c>
      <c r="C6" s="47">
        <f>IF(Costos!D36=0,0,C15/Costos!D36)</f>
        <v>0.8666877442103641</v>
      </c>
      <c r="D6" s="47">
        <f>IF(Costos!E36=0,0,D15/Costos!E36)</f>
        <v>0.90252345086691532</v>
      </c>
      <c r="E6" s="47">
        <f>IF(Costos!F36=0,0,E15/Costos!F36)</f>
        <v>0.89729901754017827</v>
      </c>
      <c r="F6" s="47">
        <f>IF(Costos!G36=0,0,F15/Costos!G36)</f>
        <v>0.91911960097271295</v>
      </c>
      <c r="G6" s="47">
        <f>IF(Costos!H36=0,0,G15/Costos!H36)</f>
        <v>0.92651184437968515</v>
      </c>
      <c r="H6" s="47">
        <f>IF(Costos!I36=0,0,H15/Costos!I36)</f>
        <v>0.9311157766244017</v>
      </c>
      <c r="I6" s="47">
        <f>IF(Costos!J36=0,0,I15/Costos!J36)</f>
        <v>0.9462245833005134</v>
      </c>
      <c r="J6" s="47">
        <f>IF(Costos!K36=0,0,J15/Costos!K36)</f>
        <v>0.9465357948471228</v>
      </c>
      <c r="K6" s="47">
        <f>IF(Costos!L36=0,0,K15/Costos!L36)</f>
        <v>0.94713135763622058</v>
      </c>
      <c r="L6" s="47">
        <f>IF(Costos!M36=0,0,L15/Costos!M36)</f>
        <v>0.94587958712267572</v>
      </c>
    </row>
    <row r="7" spans="2:12" ht="15" customHeight="1">
      <c r="B7" s="6" t="s">
        <v>458</v>
      </c>
      <c r="C7" s="47">
        <f>IF(Costos!D36=0,0,C16/Costos!D36)</f>
        <v>1.4746656738883566E-3</v>
      </c>
      <c r="D7" s="47">
        <f>IF(Costos!E36=0,0,D16/Costos!E36)</f>
        <v>9.4295774798481885E-4</v>
      </c>
      <c r="E7" s="47">
        <f>IF(Costos!F36=0,0,E16/Costos!F36)</f>
        <v>9.4102657459900875E-4</v>
      </c>
      <c r="F7" s="47">
        <f>IF(Costos!G36=0,0,F16/Costos!G36)</f>
        <v>9.6828528239346662E-4</v>
      </c>
      <c r="G7" s="47">
        <f>IF(Costos!H36=0,0,G16/Costos!H36)</f>
        <v>9.8100855535636767E-4</v>
      </c>
      <c r="H7" s="47">
        <f>IF(Costos!I36=0,0,H16/Costos!I36)</f>
        <v>9.9121913924136128E-4</v>
      </c>
      <c r="I7" s="47">
        <f>IF(Costos!J36=0,0,I16/Costos!J36)</f>
        <v>1.0132296588178324E-3</v>
      </c>
      <c r="J7" s="47">
        <f>IF(Costos!K36=0,0,J16/Costos!K36)</f>
        <v>1.0199823986830217E-3</v>
      </c>
      <c r="K7" s="47">
        <f>IF(Costos!L36=0,0,K16/Costos!L36)</f>
        <v>1.0273327789531348E-3</v>
      </c>
      <c r="L7" s="47">
        <f>IF(Costos!M36=0,0,L16/Costos!M36)</f>
        <v>1.0331944259187257E-3</v>
      </c>
    </row>
    <row r="8" spans="2:12" ht="15" customHeight="1">
      <c r="B8" s="6" t="s">
        <v>459</v>
      </c>
      <c r="C8" s="47">
        <f>IF(Costos!D36=0,0,C17/Costos!D36)</f>
        <v>1.6203999776815006E-4</v>
      </c>
      <c r="D8" s="47">
        <f>IF(Costos!E36=0,0,D17/Costos!E36)</f>
        <v>6.6811064742794792E-5</v>
      </c>
      <c r="E8" s="47">
        <f>IF(Costos!F36=0,0,E17/Costos!F36)</f>
        <v>6.4474164529134355E-5</v>
      </c>
      <c r="F8" s="47">
        <f>IF(Costos!G36=0,0,F17/Costos!G36)</f>
        <v>6.4125071405240417E-5</v>
      </c>
      <c r="G8" s="47">
        <f>IF(Costos!H36=0,0,G17/Costos!H36)</f>
        <v>6.2770416328149632E-5</v>
      </c>
      <c r="H8" s="47">
        <f>IF(Costos!I36=0,0,H17/Costos!I36)</f>
        <v>6.1253456105398355E-5</v>
      </c>
      <c r="I8" s="47">
        <f>IF(Costos!J36=0,0,I17/Costos!J36)</f>
        <v>6.0446704332934095E-5</v>
      </c>
      <c r="J8" s="47">
        <f>IF(Costos!K36=0,0,J17/Costos!K36)</f>
        <v>5.8720597911262188E-5</v>
      </c>
      <c r="K8" s="47">
        <f>IF(Costos!L36=0,0,K17/Costos!L36)</f>
        <v>5.7052595283464559E-5</v>
      </c>
      <c r="L8" s="47">
        <f>IF(Costos!M36=0,0,L17/Costos!M36)</f>
        <v>5.5328689227074728E-5</v>
      </c>
    </row>
    <row r="9" spans="2:12" ht="15" customHeight="1">
      <c r="B9" s="6" t="s">
        <v>401</v>
      </c>
      <c r="C9" s="47">
        <f>IF(Costos!D36=0,0,C18/Costos!D36)</f>
        <v>5.0967596689256836E-2</v>
      </c>
      <c r="D9" s="47">
        <f>IF(Costos!E36=0,0,D18/Costos!E36)</f>
        <v>4.4561172578320929E-2</v>
      </c>
      <c r="E9" s="47">
        <f>IF(Costos!F36=0,0,E18/Costos!F36)</f>
        <v>5.1742500687805365E-2</v>
      </c>
      <c r="F9" s="47">
        <f>IF(Costos!G36=0,0,F18/Costos!G36)</f>
        <v>3.0772932077945677E-2</v>
      </c>
      <c r="G9" s="47">
        <f>IF(Costos!H36=0,0,G18/Costos!H36)</f>
        <v>2.4950002150870575E-2</v>
      </c>
      <c r="H9" s="47">
        <f>IF(Costos!I36=0,0,H18/Costos!I36)</f>
        <v>2.1965813753168299E-2</v>
      </c>
      <c r="I9" s="47">
        <f>IF(Costos!J36=0,0,I18/Costos!J36)</f>
        <v>7.8671040640820745E-3</v>
      </c>
      <c r="J9" s="47">
        <f>IF(Costos!K36=0,0,J18/Costos!K36)</f>
        <v>9.2011555077682137E-3</v>
      </c>
      <c r="K9" s="47">
        <f>IF(Costos!L36=0,0,K18/Costos!L36)</f>
        <v>1.014065706856177E-2</v>
      </c>
      <c r="L9" s="47">
        <f>IF(Costos!M36=0,0,L18/Costos!M36)</f>
        <v>1.2910455574964943E-2</v>
      </c>
    </row>
    <row r="10" spans="2:12" ht="15" customHeight="1">
      <c r="B10" s="6" t="s">
        <v>460</v>
      </c>
      <c r="C10" s="47">
        <f>IF(Costos!D36=0,0,C19/Costos!D36)</f>
        <v>8.7556299374925289E-3</v>
      </c>
      <c r="D10" s="47">
        <f>IF(Costos!E36=0,0,D19/Costos!E36)</f>
        <v>6.0740492936412769E-3</v>
      </c>
      <c r="E10" s="47">
        <f>IF(Costos!F36=0,0,E19/Costos!F36)</f>
        <v>5.5824692971203453E-3</v>
      </c>
      <c r="F10" s="47">
        <f>IF(Costos!G36=0,0,F19/Costos!G36)</f>
        <v>5.2878506771963478E-3</v>
      </c>
      <c r="G10" s="47">
        <f>IF(Costos!H36=0,0,G19/Costos!H36)</f>
        <v>4.9296607278925125E-3</v>
      </c>
      <c r="H10" s="47">
        <f>IF(Costos!I36=0,0,H19/Costos!I36)</f>
        <v>4.5814538982503743E-3</v>
      </c>
      <c r="I10" s="47">
        <f>IF(Costos!J36=0,0,I19/Costos!J36)</f>
        <v>4.3058217882975388E-3</v>
      </c>
      <c r="J10" s="47">
        <f>IF(Costos!K36=0,0,J19/Costos!K36)</f>
        <v>3.9836813618497812E-3</v>
      </c>
      <c r="K10" s="47">
        <f>IF(Costos!L36=0,0,K19/Costos!L36)</f>
        <v>3.6862113378626424E-3</v>
      </c>
      <c r="L10" s="47">
        <f>IF(Costos!M36=0,0,L19/Costos!M36)</f>
        <v>3.40459853670083E-3</v>
      </c>
    </row>
    <row r="11" spans="2:12" ht="15" customHeight="1">
      <c r="B11" s="6" t="s">
        <v>461</v>
      </c>
      <c r="C11" s="47">
        <f>IF(Costos!D36=0,0,C20/Costos!D36)</f>
        <v>4.1457956415487177E-2</v>
      </c>
      <c r="D11" s="47">
        <f>IF(Costos!E36=0,0,D20/Costos!E36)</f>
        <v>2.5860673878211164E-2</v>
      </c>
      <c r="E11" s="47">
        <f>IF(Costos!F36=0,0,E20/Costos!F36)</f>
        <v>2.5320138158721531E-2</v>
      </c>
      <c r="F11" s="47">
        <f>IF(Costos!G36=0,0,F20/Costos!G36)</f>
        <v>2.5200879469877049E-2</v>
      </c>
      <c r="G11" s="47">
        <f>IF(Costos!H36=0,0,G20/Costos!H36)</f>
        <v>2.4717573629762003E-2</v>
      </c>
      <c r="H11" s="47">
        <f>IF(Costos!I36=0,0,H20/Costos!I36)</f>
        <v>2.4200381420978495E-2</v>
      </c>
      <c r="I11" s="47">
        <f>IF(Costos!J36=0,0,I20/Costos!J36)</f>
        <v>2.399084815909127E-2</v>
      </c>
      <c r="J11" s="47">
        <f>IF(Costos!K36=0,0,J20/Costos!K36)</f>
        <v>2.3440968022363787E-2</v>
      </c>
      <c r="K11" s="47">
        <f>IF(Costos!L36=0,0,K20/Costos!L36)</f>
        <v>2.2937015078327419E-2</v>
      </c>
      <c r="L11" s="47">
        <f>IF(Costos!M36=0,0,L20/Costos!M36)</f>
        <v>2.2427776484603427E-2</v>
      </c>
    </row>
    <row r="12" spans="2:12" ht="15" customHeight="1">
      <c r="B12" s="4" t="s">
        <v>251</v>
      </c>
      <c r="C12" s="26">
        <f t="shared" ref="C12:L12" si="0">SUM(C5:C11)</f>
        <v>1.0000000000000002</v>
      </c>
      <c r="D12" s="26">
        <f t="shared" si="0"/>
        <v>0.99999999999999989</v>
      </c>
      <c r="E12" s="26">
        <f t="shared" si="0"/>
        <v>1.0000000000000002</v>
      </c>
      <c r="F12" s="26">
        <f t="shared" si="0"/>
        <v>0.99999999999999989</v>
      </c>
      <c r="G12" s="26">
        <f t="shared" si="0"/>
        <v>0.99999999999999989</v>
      </c>
      <c r="H12" s="26">
        <f t="shared" si="0"/>
        <v>0.99999999999999989</v>
      </c>
      <c r="I12" s="26">
        <f t="shared" si="0"/>
        <v>0.99999999999999967</v>
      </c>
      <c r="J12" s="26">
        <f t="shared" si="0"/>
        <v>1</v>
      </c>
      <c r="K12" s="26">
        <f t="shared" si="0"/>
        <v>1</v>
      </c>
      <c r="L12" s="26">
        <f t="shared" si="0"/>
        <v>1</v>
      </c>
    </row>
    <row r="13" spans="2:12" ht="15" customHeight="1">
      <c r="B13" s="2" t="s">
        <v>462</v>
      </c>
    </row>
    <row r="14" spans="2:12" ht="15" customHeight="1">
      <c r="B14" s="6" t="s">
        <v>456</v>
      </c>
      <c r="C14" s="43">
        <f>'Mano de Obra'!C11</f>
        <v>137264.26132498524</v>
      </c>
      <c r="D14" s="43">
        <f>'Mano de Obra'!D11</f>
        <v>313562.70095039683</v>
      </c>
      <c r="E14" s="43">
        <f>'Mano de Obra'!E11</f>
        <v>325448.71468564821</v>
      </c>
      <c r="F14" s="43">
        <f>'Mano de Obra'!F11</f>
        <v>335212.17612621776</v>
      </c>
      <c r="G14" s="43">
        <f>'Mano de Obra'!G11</f>
        <v>345268.54141000425</v>
      </c>
      <c r="H14" s="43">
        <f>'Mano de Obra'!H11</f>
        <v>355626.59765230439</v>
      </c>
      <c r="I14" s="43">
        <f>'Mano de Obra'!I11</f>
        <v>366295.39558187354</v>
      </c>
      <c r="J14" s="43">
        <f>'Mano de Obra'!J11</f>
        <v>377284.25744932983</v>
      </c>
      <c r="K14" s="43">
        <f>'Mano de Obra'!K11</f>
        <v>388602.78517280967</v>
      </c>
      <c r="L14" s="43">
        <f>'Mano de Obra'!L11</f>
        <v>400260.86872799398</v>
      </c>
    </row>
    <row r="15" spans="2:12" ht="15" customHeight="1">
      <c r="B15" s="6" t="s">
        <v>457</v>
      </c>
      <c r="C15" s="43">
        <f>Costos!D6+Costos!D10</f>
        <v>3901220.5996262734</v>
      </c>
      <c r="D15" s="43">
        <f>Costos!E6+Costos!E10</f>
        <v>14170513.575919257</v>
      </c>
      <c r="E15" s="43">
        <f>Costos!F6+Costos!F10</f>
        <v>15329085.845277237</v>
      </c>
      <c r="F15" s="43">
        <f>Costos!G6+Costos!G10</f>
        <v>16576706.667481313</v>
      </c>
      <c r="G15" s="43">
        <f>Costos!H6+Costos!H10</f>
        <v>17924182.283368502</v>
      </c>
      <c r="H15" s="43">
        <f>Costos!I6+Costos!I10</f>
        <v>19382320.552978549</v>
      </c>
      <c r="I15" s="43">
        <f>Costos!J6+Costos!J10</f>
        <v>20957698.258717999</v>
      </c>
      <c r="J15" s="43">
        <f>Costos!K6+Costos!K10</f>
        <v>22659893.049915385</v>
      </c>
      <c r="K15" s="43">
        <f>Costos!L6+Costos!L10</f>
        <v>24503910.19800815</v>
      </c>
      <c r="L15" s="43">
        <f>Costos!M6+Costos!M10</f>
        <v>26495697.222463541</v>
      </c>
    </row>
    <row r="16" spans="2:12" ht="15" customHeight="1">
      <c r="B16" s="6" t="s">
        <v>458</v>
      </c>
      <c r="C16" s="43">
        <f>Costos!D11+Costos!D24</f>
        <v>6637.9109927030868</v>
      </c>
      <c r="D16" s="43">
        <f>Costos!E11+Costos!E24</f>
        <v>14805.372155706449</v>
      </c>
      <c r="E16" s="43">
        <f>Costos!F11+Costos!F24</f>
        <v>16076.109371277094</v>
      </c>
      <c r="F16" s="43">
        <f>Costos!G11+Costos!G24</f>
        <v>17463.430308404804</v>
      </c>
      <c r="G16" s="43">
        <f>Costos!H11+Costos!H24</f>
        <v>18978.468839245288</v>
      </c>
      <c r="H16" s="43">
        <f>Costos!I11+Costos!I24</f>
        <v>20633.445998169816</v>
      </c>
      <c r="I16" s="43">
        <f>Costos!J11+Costos!J24</f>
        <v>22441.777386736801</v>
      </c>
      <c r="J16" s="43">
        <f>Costos!K11+Costos!K24</f>
        <v>24418.191253597983</v>
      </c>
      <c r="K16" s="43">
        <f>Costos!L11+Costos!L24</f>
        <v>26578.858313554658</v>
      </c>
      <c r="L16" s="43">
        <f>Costos!M11+Costos!M24</f>
        <v>28941.534476236844</v>
      </c>
    </row>
    <row r="17" spans="2:12" ht="15" customHeight="1">
      <c r="B17" s="6" t="s">
        <v>459</v>
      </c>
      <c r="C17" s="43">
        <f>Costos!D22</f>
        <v>729.39046557356744</v>
      </c>
      <c r="D17" s="43">
        <f>Costos!E22</f>
        <v>1048.9999999999998</v>
      </c>
      <c r="E17" s="43">
        <f>Costos!F22</f>
        <v>1101.4499999999998</v>
      </c>
      <c r="F17" s="43">
        <f>Costos!G22</f>
        <v>1156.5224999999998</v>
      </c>
      <c r="G17" s="43">
        <f>Costos!H22</f>
        <v>1214.3486249999999</v>
      </c>
      <c r="H17" s="43">
        <f>Costos!I22</f>
        <v>1275.06605625</v>
      </c>
      <c r="I17" s="43">
        <f>Costos!J22</f>
        <v>1338.8193590625001</v>
      </c>
      <c r="J17" s="43">
        <f>Costos!K22</f>
        <v>1405.7603270156251</v>
      </c>
      <c r="K17" s="43">
        <f>Costos!L22</f>
        <v>1476.0483433664065</v>
      </c>
      <c r="L17" s="43">
        <f>Costos!M22</f>
        <v>1549.8507605347268</v>
      </c>
    </row>
    <row r="18" spans="2:12" ht="15" customHeight="1">
      <c r="B18" s="6" t="s">
        <v>401</v>
      </c>
      <c r="C18" s="43">
        <f>Costos!D34</f>
        <v>229420.38749922696</v>
      </c>
      <c r="D18" s="43">
        <f>Costos!E34</f>
        <v>699654.61880623305</v>
      </c>
      <c r="E18" s="43">
        <f>Costos!F34</f>
        <v>883947.51291162474</v>
      </c>
      <c r="F18" s="43">
        <f>Costos!G34</f>
        <v>555002.70891249995</v>
      </c>
      <c r="G18" s="43">
        <f>Costos!H34</f>
        <v>482679.62167505122</v>
      </c>
      <c r="H18" s="43">
        <f>Costos!I34</f>
        <v>457245.44042676385</v>
      </c>
      <c r="I18" s="43">
        <f>Costos!J34</f>
        <v>174246.57534246577</v>
      </c>
      <c r="J18" s="43">
        <f>Costos!K34</f>
        <v>220273.97260273976</v>
      </c>
      <c r="K18" s="43">
        <f>Costos!L34</f>
        <v>262356.16438356164</v>
      </c>
      <c r="L18" s="43">
        <f>Costos!M34</f>
        <v>361643.83561643842</v>
      </c>
    </row>
    <row r="19" spans="2:12" ht="15" customHeight="1">
      <c r="B19" s="6" t="s">
        <v>460</v>
      </c>
      <c r="C19" s="43">
        <f>Costos!D31</f>
        <v>39411.707507149826</v>
      </c>
      <c r="D19" s="43">
        <f>Costos!E31</f>
        <v>95368.599999999991</v>
      </c>
      <c r="E19" s="43">
        <f>Costos!F31</f>
        <v>95368.6</v>
      </c>
      <c r="F19" s="43">
        <f>Costos!G31</f>
        <v>95368.6</v>
      </c>
      <c r="G19" s="43">
        <f>Costos!H31</f>
        <v>95368.6</v>
      </c>
      <c r="H19" s="43">
        <f>Costos!I31</f>
        <v>95368.6</v>
      </c>
      <c r="I19" s="43">
        <f>Costos!J31</f>
        <v>95368.6</v>
      </c>
      <c r="J19" s="43">
        <f>Costos!K31</f>
        <v>95368.6</v>
      </c>
      <c r="K19" s="43">
        <f>Costos!L31</f>
        <v>95368.6</v>
      </c>
      <c r="L19" s="43">
        <f>Costos!M31</f>
        <v>95368.6</v>
      </c>
    </row>
    <row r="20" spans="2:12" ht="15" customHeight="1">
      <c r="B20" s="6" t="s">
        <v>461</v>
      </c>
      <c r="C20" s="43">
        <f>Costos!D36-SUM(C14:C19)</f>
        <v>186614.6540861316</v>
      </c>
      <c r="D20" s="43">
        <f>Costos!E36-SUM(D14:D19)</f>
        <v>406038.23637115583</v>
      </c>
      <c r="E20" s="43">
        <f>Costos!F36-SUM(E14:E19)</f>
        <v>432558.78348484077</v>
      </c>
      <c r="F20" s="43">
        <f>Costos!G36-SUM(F14:F19)</f>
        <v>454508.40814688057</v>
      </c>
      <c r="G20" s="43">
        <f>Costos!H36-SUM(G14:G19)</f>
        <v>478183.08857029304</v>
      </c>
      <c r="H20" s="43">
        <f>Costos!I36-SUM(H14:H19)</f>
        <v>503760.7158867456</v>
      </c>
      <c r="I20" s="43">
        <f>Costos!J36-SUM(I14:I19)</f>
        <v>531367.46345689893</v>
      </c>
      <c r="J20" s="43">
        <f>Costos!K36-SUM(J14:J19)</f>
        <v>561172.46834710613</v>
      </c>
      <c r="K20" s="43">
        <f>Costos!L36-SUM(K14:K19)</f>
        <v>593419.86004180834</v>
      </c>
      <c r="L20" s="43">
        <f>Costos!M36-SUM(L14:L19)</f>
        <v>628240.19378279522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2:L26"/>
  <sheetViews>
    <sheetView showGridLines="0" zoomScaleNormal="100" workbookViewId="0">
      <pane xSplit="2" ySplit="17" topLeftCell="C18" activePane="bottomRight" state="frozen"/>
      <selection pane="topRight" activeCell="B1" sqref="B1"/>
      <selection pane="bottomLeft" activeCell="A19" sqref="A19"/>
      <selection pane="bottomRight" activeCell="C8" sqref="C8"/>
    </sheetView>
  </sheetViews>
  <sheetFormatPr baseColWidth="10" defaultColWidth="8.6328125" defaultRowHeight="14"/>
  <cols>
    <col min="1" max="1" width="8.6328125" style="72"/>
    <col min="2" max="2" width="30" style="72" customWidth="1"/>
    <col min="3" max="12" width="16" style="72" customWidth="1"/>
    <col min="13" max="13" width="5" style="72" customWidth="1"/>
    <col min="14" max="16384" width="8.6328125" style="72"/>
  </cols>
  <sheetData>
    <row r="2" spans="2:5" ht="17.25" customHeight="1">
      <c r="B2" s="73" t="s">
        <v>0</v>
      </c>
    </row>
    <row r="3" spans="2:5" ht="15" customHeight="1">
      <c r="B3" s="249" t="s">
        <v>565</v>
      </c>
    </row>
    <row r="5" spans="2:5" ht="15" customHeight="1">
      <c r="B5" s="250" t="s">
        <v>1</v>
      </c>
      <c r="C5" s="251"/>
      <c r="D5" s="251"/>
      <c r="E5" s="251"/>
    </row>
    <row r="6" spans="2:5" ht="15" customHeight="1">
      <c r="B6" s="252" t="s">
        <v>2</v>
      </c>
      <c r="C6" s="253">
        <f>Inversión!C7</f>
        <v>5074594</v>
      </c>
    </row>
    <row r="7" spans="2:5" ht="15" customHeight="1">
      <c r="B7" s="252" t="s">
        <v>3</v>
      </c>
      <c r="C7" s="253">
        <f>Inversión!D7</f>
        <v>606000</v>
      </c>
    </row>
    <row r="8" spans="2:5" ht="15" customHeight="1">
      <c r="B8" s="252" t="s">
        <v>4</v>
      </c>
      <c r="C8" s="253">
        <f>Inversión!E7</f>
        <v>4468594</v>
      </c>
    </row>
    <row r="9" spans="2:5" ht="15" customHeight="1">
      <c r="B9" s="252" t="s">
        <v>5</v>
      </c>
      <c r="C9" s="254">
        <f>'VAN-TIR'!C22</f>
        <v>9.8741428378309667E-2</v>
      </c>
    </row>
    <row r="10" spans="2:5" ht="15" customHeight="1">
      <c r="B10" s="252" t="s">
        <v>6</v>
      </c>
      <c r="C10" s="255">
        <f>'VAN-TIR'!C24</f>
        <v>2844947.7596976636</v>
      </c>
    </row>
    <row r="11" spans="2:5" ht="15" customHeight="1">
      <c r="B11" s="252" t="s">
        <v>7</v>
      </c>
      <c r="C11" s="254">
        <f>'VAN-TIR'!C23</f>
        <v>0.1491544557454163</v>
      </c>
    </row>
    <row r="12" spans="2:5" ht="15" customHeight="1">
      <c r="B12" s="252" t="s">
        <v>8</v>
      </c>
      <c r="C12" s="256" t="s">
        <v>566</v>
      </c>
    </row>
    <row r="13" spans="2:5" ht="15" customHeight="1">
      <c r="B13" s="252" t="s">
        <v>9</v>
      </c>
      <c r="C13" s="256" t="s">
        <v>10</v>
      </c>
    </row>
    <row r="16" spans="2:5" ht="15" customHeight="1">
      <c r="B16" s="179" t="s">
        <v>11</v>
      </c>
    </row>
    <row r="17" spans="2:12" ht="15" customHeight="1">
      <c r="B17" s="78" t="s">
        <v>12</v>
      </c>
      <c r="C17" s="78" t="s">
        <v>13</v>
      </c>
      <c r="D17" s="78" t="s">
        <v>14</v>
      </c>
      <c r="E17" s="78" t="s">
        <v>15</v>
      </c>
      <c r="F17" s="78" t="s">
        <v>16</v>
      </c>
      <c r="G17" s="78" t="s">
        <v>17</v>
      </c>
      <c r="H17" s="78" t="s">
        <v>18</v>
      </c>
      <c r="I17" s="78" t="s">
        <v>19</v>
      </c>
      <c r="J17" s="78" t="s">
        <v>20</v>
      </c>
      <c r="K17" s="78" t="s">
        <v>21</v>
      </c>
      <c r="L17" s="78" t="s">
        <v>22</v>
      </c>
    </row>
    <row r="18" spans="2:12" ht="15" customHeight="1">
      <c r="B18" s="148" t="s">
        <v>23</v>
      </c>
      <c r="C18" s="223">
        <f>Ingresos!D28</f>
        <v>4208607.2309499998</v>
      </c>
      <c r="D18" s="223">
        <f>Ingresos!E28</f>
        <v>17355345</v>
      </c>
      <c r="E18" s="223">
        <f>Ingresos!F28</f>
        <v>18854496.150000002</v>
      </c>
      <c r="F18" s="223">
        <f>Ingresos!G28</f>
        <v>20195139.068999998</v>
      </c>
      <c r="G18" s="223">
        <f>Ingresos!H28</f>
        <v>21621692.26224</v>
      </c>
      <c r="H18" s="223">
        <f>Ingresos!I28</f>
        <v>23156432.836210802</v>
      </c>
      <c r="I18" s="223">
        <f>Ingresos!J28</f>
        <v>24800444.267548323</v>
      </c>
      <c r="J18" s="223">
        <f>Ingresos!K28</f>
        <v>26553500.487099838</v>
      </c>
      <c r="K18" s="223">
        <f>Ingresos!L28</f>
        <v>28438953.334089424</v>
      </c>
      <c r="L18" s="223">
        <f>Ingresos!M28</f>
        <v>30456342.767957889</v>
      </c>
    </row>
    <row r="19" spans="2:12" ht="15" customHeight="1">
      <c r="B19" s="148" t="s">
        <v>24</v>
      </c>
      <c r="C19" s="223">
        <f>Costos!D36</f>
        <v>4501298.9115020437</v>
      </c>
      <c r="D19" s="223">
        <f>Costos!E36</f>
        <v>15700992.104202751</v>
      </c>
      <c r="E19" s="223">
        <f>Costos!F36</f>
        <v>17083587.015730627</v>
      </c>
      <c r="F19" s="223">
        <f>Costos!G36</f>
        <v>18035418.513475318</v>
      </c>
      <c r="G19" s="223">
        <f>Costos!H36</f>
        <v>19345874.952488098</v>
      </c>
      <c r="H19" s="223">
        <f>Costos!I36</f>
        <v>20816230.418998785</v>
      </c>
      <c r="I19" s="223">
        <f>Costos!J36</f>
        <v>22148756.88984504</v>
      </c>
      <c r="J19" s="223">
        <f>Costos!K36</f>
        <v>23939816.299895175</v>
      </c>
      <c r="K19" s="223">
        <f>Costos!L36</f>
        <v>25871712.51426325</v>
      </c>
      <c r="L19" s="223">
        <f>Costos!M36</f>
        <v>28011702.10582754</v>
      </c>
    </row>
    <row r="20" spans="2:12" ht="15" customHeight="1">
      <c r="B20" s="148" t="s">
        <v>25</v>
      </c>
      <c r="C20" s="223">
        <f>Resultados!C9</f>
        <v>-23859.585545666167</v>
      </c>
      <c r="D20" s="223">
        <f>Resultados!D9</f>
        <v>2449376.1146034813</v>
      </c>
      <c r="E20" s="223">
        <f>Resultados!E9</f>
        <v>2750225.2471809983</v>
      </c>
      <c r="F20" s="223">
        <f>Resultados!F9</f>
        <v>2810091.8644371796</v>
      </c>
      <c r="G20" s="223">
        <f>Resultados!G9</f>
        <v>2853865.5314269564</v>
      </c>
      <c r="H20" s="223">
        <f>Resultados!H9</f>
        <v>2892816.4576387797</v>
      </c>
      <c r="I20" s="223">
        <f>Resultados!I9</f>
        <v>2921302.5530457506</v>
      </c>
      <c r="J20" s="223">
        <f>Resultados!J9</f>
        <v>2929326.759807406</v>
      </c>
      <c r="K20" s="223">
        <f>Resultados!K9</f>
        <v>2924965.5842097355</v>
      </c>
      <c r="L20" s="223">
        <f>Resultados!L9</f>
        <v>2901653.0977467881</v>
      </c>
    </row>
    <row r="21" spans="2:12" ht="15" customHeight="1">
      <c r="B21" s="148" t="s">
        <v>26</v>
      </c>
      <c r="C21" s="223">
        <f>Resultados!C14</f>
        <v>-334777.75286154298</v>
      </c>
      <c r="D21" s="223">
        <f>Resultados!D14</f>
        <v>1480799.445797248</v>
      </c>
      <c r="E21" s="223">
        <f>Resultados!E14</f>
        <v>1582364.1727693735</v>
      </c>
      <c r="F21" s="223">
        <f>Resultados!F14</f>
        <v>1957769.1648346798</v>
      </c>
      <c r="G21" s="223">
        <f>Resultados!G14</f>
        <v>2059600.3871295049</v>
      </c>
      <c r="H21" s="223">
        <f>Resultados!H14</f>
        <v>2108638.0888499077</v>
      </c>
      <c r="I21" s="223">
        <f>Resultados!I14</f>
        <v>2403682.9350278014</v>
      </c>
      <c r="J21" s="223">
        <f>Resultados!J14</f>
        <v>2348149.1823336678</v>
      </c>
      <c r="K21" s="223">
        <f>Resultados!K14</f>
        <v>2282851.2864852794</v>
      </c>
      <c r="L21" s="223">
        <f>Resultados!L14</f>
        <v>2140077.2344507705</v>
      </c>
    </row>
    <row r="22" spans="2:12" ht="15" customHeight="1">
      <c r="B22" s="86" t="s">
        <v>27</v>
      </c>
      <c r="C22" s="257">
        <f>IF(Ingresos!D28=0,0,Resultados!C9/Ingresos!D28)</f>
        <v>-5.6692355062746957E-3</v>
      </c>
      <c r="D22" s="257">
        <f>IF(Ingresos!E28=0,0,Resultados!D9/Ingresos!E28)</f>
        <v>0.14113093773724933</v>
      </c>
      <c r="E22" s="257">
        <f>IF(Ingresos!F28=0,0,Resultados!E9/Ingresos!F28)</f>
        <v>0.14586575134658256</v>
      </c>
      <c r="F22" s="257">
        <f>IF(Ingresos!G28=0,0,Resultados!F9/Ingresos!G28)</f>
        <v>0.13914694297652722</v>
      </c>
      <c r="G22" s="257">
        <f>IF(Ingresos!H28=0,0,Resultados!G9/Ingresos!H28)</f>
        <v>0.13199084959741708</v>
      </c>
      <c r="H22" s="257">
        <f>IF(Ingresos!I28=0,0,Resultados!H9/Ingresos!I28)</f>
        <v>0.12492496051097933</v>
      </c>
      <c r="I22" s="257">
        <f>IF(Ingresos!J28=0,0,Resultados!I9/Ingresos!J28)</f>
        <v>0.11779234765033261</v>
      </c>
      <c r="J22" s="257">
        <f>IF(Ingresos!K28=0,0,Resultados!J9/Ingresos!K28)</f>
        <v>0.11031791312149315</v>
      </c>
      <c r="K22" s="257">
        <f>IF(Ingresos!L28=0,0,Resultados!K9/Ingresos!L28)</f>
        <v>0.10285067631879459</v>
      </c>
      <c r="L22" s="257">
        <f>IF(Ingresos!M28=0,0,Resultados!L9/Ingresos!M28)</f>
        <v>9.5272538789506978E-2</v>
      </c>
    </row>
    <row r="23" spans="2:12" ht="15" customHeight="1">
      <c r="B23" s="86" t="s">
        <v>28</v>
      </c>
      <c r="C23" s="257">
        <f>Resultados!C22</f>
        <v>-7.9545971978471922E-2</v>
      </c>
      <c r="D23" s="257">
        <f>Resultados!D22</f>
        <v>8.5322386031349312E-2</v>
      </c>
      <c r="E23" s="257">
        <f>Resultados!E22</f>
        <v>8.3925030941194009E-2</v>
      </c>
      <c r="F23" s="257">
        <f>Resultados!F22</f>
        <v>9.6942593866060592E-2</v>
      </c>
      <c r="G23" s="257">
        <f>Resultados!G22</f>
        <v>9.5256206690462392E-2</v>
      </c>
      <c r="H23" s="257">
        <f>Resultados!H22</f>
        <v>9.1060574992903542E-2</v>
      </c>
      <c r="I23" s="257">
        <f>Resultados!I22</f>
        <v>9.6920962749568532E-2</v>
      </c>
      <c r="J23" s="257">
        <f>Resultados!J22</f>
        <v>8.8430871232003494E-2</v>
      </c>
      <c r="K23" s="257">
        <f>Resultados!K22</f>
        <v>8.0271986794565098E-2</v>
      </c>
      <c r="L23" s="257">
        <f>Resultados!L22</f>
        <v>7.0267045874669989E-2</v>
      </c>
    </row>
    <row r="24" spans="2:12" ht="15" customHeight="1">
      <c r="B24" s="86" t="s">
        <v>29</v>
      </c>
      <c r="C24" s="223">
        <f>Producción!D28</f>
        <v>4315.1660000000002</v>
      </c>
      <c r="D24" s="223">
        <f>Producción!E28</f>
        <v>14235</v>
      </c>
      <c r="E24" s="223">
        <f>Producción!F28</f>
        <v>14950</v>
      </c>
      <c r="F24" s="223">
        <f>Producción!G28</f>
        <v>15698</v>
      </c>
      <c r="G24" s="223">
        <f>Producción!H28</f>
        <v>16482</v>
      </c>
      <c r="H24" s="223">
        <f>Producción!I28</f>
        <v>17306</v>
      </c>
      <c r="I24" s="223">
        <f>Producción!J28</f>
        <v>18170</v>
      </c>
      <c r="J24" s="223">
        <f>Producción!K28</f>
        <v>19076</v>
      </c>
      <c r="K24" s="223">
        <f>Producción!L28</f>
        <v>20030</v>
      </c>
      <c r="L24" s="223">
        <f>Producción!M28</f>
        <v>21030</v>
      </c>
    </row>
    <row r="25" spans="2:12" ht="15" customHeight="1">
      <c r="B25" s="86" t="s">
        <v>30</v>
      </c>
      <c r="C25" s="223">
        <f>Producción!D29</f>
        <v>4195.1660000000002</v>
      </c>
      <c r="D25" s="223">
        <f>Producción!E29</f>
        <v>14235</v>
      </c>
      <c r="E25" s="223">
        <f>Producción!F29</f>
        <v>14726</v>
      </c>
      <c r="F25" s="223">
        <f>Producción!G29</f>
        <v>15464</v>
      </c>
      <c r="G25" s="223">
        <f>Producción!H29</f>
        <v>16235</v>
      </c>
      <c r="H25" s="223">
        <f>Producción!I29</f>
        <v>17046</v>
      </c>
      <c r="I25" s="223">
        <f>Producción!J29</f>
        <v>17897</v>
      </c>
      <c r="J25" s="223">
        <f>Producción!K29</f>
        <v>18789</v>
      </c>
      <c r="K25" s="223">
        <f>Producción!L29</f>
        <v>19728</v>
      </c>
      <c r="L25" s="223">
        <f>Producción!M29</f>
        <v>20713</v>
      </c>
    </row>
    <row r="26" spans="2:12" ht="15" customHeight="1">
      <c r="B26" s="86" t="s">
        <v>31</v>
      </c>
      <c r="C26" s="223">
        <f>'Pto Equilibrio'!C14</f>
        <v>8239.5151308489058</v>
      </c>
      <c r="D26" s="223">
        <f>'Pto Equilibrio'!D14</f>
        <v>6815.9495723867494</v>
      </c>
      <c r="E26" s="223">
        <f>'Pto Equilibrio'!E14</f>
        <v>7304.1623154384461</v>
      </c>
      <c r="F26" s="223">
        <f>'Pto Equilibrio'!F14</f>
        <v>6201.1964672530194</v>
      </c>
      <c r="G26" s="223">
        <f>'Pto Equilibrio'!G14</f>
        <v>6204.0488890925153</v>
      </c>
      <c r="H26" s="223">
        <f>'Pto Equilibrio'!H14</f>
        <v>6432.6566787671736</v>
      </c>
      <c r="I26" s="223">
        <f>'Pto Equilibrio'!I14</f>
        <v>5492.0149539964523</v>
      </c>
      <c r="J26" s="223">
        <f>'Pto Equilibrio'!J14</f>
        <v>6115.2216197880007</v>
      </c>
      <c r="K26" s="223">
        <f>'Pto Equilibrio'!K14</f>
        <v>6789.3798197783353</v>
      </c>
      <c r="L26" s="223">
        <f>'Pto Equilibrio'!L14</f>
        <v>7854.4210277704924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ABC9C"/>
  </sheetPr>
  <dimension ref="B2:EF43"/>
  <sheetViews>
    <sheetView showGridLines="0" zoomScaleNormal="100" workbookViewId="0">
      <pane xSplit="2" ySplit="4" topLeftCell="BJ5" activePane="bottomRight" state="frozen"/>
      <selection pane="topRight" activeCell="B1" sqref="B1"/>
      <selection pane="bottomLeft" activeCell="A4" sqref="A4"/>
      <selection pane="bottomRight" activeCell="DP8" sqref="DP8:DW8"/>
    </sheetView>
  </sheetViews>
  <sheetFormatPr baseColWidth="10" defaultColWidth="8.6328125" defaultRowHeight="14" outlineLevelRow="1" outlineLevelCol="1"/>
  <cols>
    <col min="1" max="1" width="4.7265625" style="72" customWidth="1"/>
    <col min="2" max="2" width="36.1796875" style="72" customWidth="1"/>
    <col min="3" max="3" width="9.08984375" style="72" customWidth="1" outlineLevel="1"/>
    <col min="4" max="5" width="7.54296875" style="72" customWidth="1" outlineLevel="1"/>
    <col min="6" max="7" width="8" style="72" customWidth="1" outlineLevel="1"/>
    <col min="8" max="8" width="8.54296875" style="72" customWidth="1" outlineLevel="1"/>
    <col min="9" max="11" width="8" style="72" customWidth="1" outlineLevel="1"/>
    <col min="12" max="12" width="9.54296875" style="72" customWidth="1" outlineLevel="1"/>
    <col min="13" max="13" width="10.08984375" style="72" customWidth="1" outlineLevel="1"/>
    <col min="14" max="14" width="9.54296875" style="72" customWidth="1" outlineLevel="1"/>
    <col min="15" max="15" width="8.90625" style="72" bestFit="1" customWidth="1"/>
    <col min="16" max="26" width="10.08984375" style="72" customWidth="1" outlineLevel="1"/>
    <col min="27" max="27" width="10.453125" style="72" customWidth="1" outlineLevel="1"/>
    <col min="28" max="28" width="9.90625" style="72" bestFit="1" customWidth="1"/>
    <col min="29" max="29" width="10.1796875" style="72" customWidth="1" outlineLevel="1"/>
    <col min="30" max="30" width="9.453125" style="72" customWidth="1" outlineLevel="1"/>
    <col min="31" max="31" width="10.08984375" style="72" customWidth="1" outlineLevel="1"/>
    <col min="32" max="32" width="11" style="72" bestFit="1" customWidth="1" outlineLevel="1"/>
    <col min="33" max="37" width="10.453125" style="72" customWidth="1" outlineLevel="1"/>
    <col min="38" max="38" width="12" style="72" customWidth="1" outlineLevel="1"/>
    <col min="39" max="39" width="10.453125" style="72" customWidth="1" outlineLevel="1"/>
    <col min="40" max="40" width="10.7265625" style="72" customWidth="1" outlineLevel="1"/>
    <col min="41" max="41" width="10.08984375" style="72" bestFit="1" customWidth="1"/>
    <col min="42" max="42" width="10.08984375" style="72" customWidth="1" outlineLevel="1"/>
    <col min="43" max="43" width="9.453125" style="72" customWidth="1" outlineLevel="1"/>
    <col min="44" max="44" width="10.08984375" style="72" bestFit="1" customWidth="1" outlineLevel="1"/>
    <col min="45" max="45" width="11" style="72" bestFit="1" customWidth="1" outlineLevel="1"/>
    <col min="46" max="51" width="10.08984375" style="72" customWidth="1" outlineLevel="1"/>
    <col min="52" max="52" width="10.08984375" style="72" bestFit="1" customWidth="1" outlineLevel="1"/>
    <col min="53" max="53" width="10.08984375" style="72" customWidth="1" outlineLevel="1"/>
    <col min="54" max="54" width="9.90625" style="72" bestFit="1" customWidth="1"/>
    <col min="55" max="55" width="10.08984375" style="72" bestFit="1" customWidth="1" outlineLevel="1"/>
    <col min="56" max="56" width="9.453125" style="72" customWidth="1" outlineLevel="1"/>
    <col min="57" max="57" width="10.08984375" style="72" bestFit="1" customWidth="1" outlineLevel="1"/>
    <col min="58" max="58" width="12.81640625" style="72" bestFit="1" customWidth="1" outlineLevel="1"/>
    <col min="59" max="59" width="10" style="72" bestFit="1" customWidth="1" outlineLevel="1"/>
    <col min="60" max="61" width="10.08984375" style="72" bestFit="1" customWidth="1" outlineLevel="1"/>
    <col min="62" max="62" width="10.08984375" style="72" customWidth="1" outlineLevel="1"/>
    <col min="63" max="63" width="9.453125" style="72" customWidth="1" outlineLevel="1"/>
    <col min="64" max="66" width="10.08984375" style="72" customWidth="1" outlineLevel="1"/>
    <col min="67" max="67" width="9.90625" style="72" bestFit="1" customWidth="1"/>
    <col min="68" max="70" width="10.08984375" style="72" bestFit="1" customWidth="1" outlineLevel="1"/>
    <col min="71" max="71" width="11" style="72" bestFit="1" customWidth="1" outlineLevel="1"/>
    <col min="72" max="77" width="10.08984375" style="72" bestFit="1" customWidth="1" outlineLevel="1"/>
    <col min="78" max="78" width="10.08984375" style="72" customWidth="1" outlineLevel="1"/>
    <col min="79" max="79" width="10.08984375" style="72" bestFit="1" customWidth="1" outlineLevel="1"/>
    <col min="80" max="80" width="9.90625" style="72" bestFit="1" customWidth="1"/>
    <col min="81" max="81" width="10.08984375" style="72" bestFit="1" customWidth="1"/>
    <col min="82" max="82" width="9.453125" style="72" bestFit="1" customWidth="1"/>
    <col min="83" max="83" width="11" style="72" bestFit="1" customWidth="1"/>
    <col min="84" max="84" width="10" style="72" bestFit="1" customWidth="1"/>
    <col min="85" max="85" width="9.453125" style="72" bestFit="1" customWidth="1"/>
    <col min="86" max="92" width="10.453125" style="72" bestFit="1" customWidth="1"/>
    <col min="93" max="93" width="9.90625" style="72" bestFit="1" customWidth="1"/>
    <col min="94" max="95" width="9.453125" style="72" bestFit="1" customWidth="1"/>
    <col min="96" max="96" width="10.08984375" style="72" bestFit="1" customWidth="1"/>
    <col min="97" max="97" width="11" style="72" bestFit="1" customWidth="1"/>
    <col min="98" max="105" width="10.453125" style="72" bestFit="1" customWidth="1"/>
    <col min="106" max="106" width="9.90625" style="72" bestFit="1" customWidth="1"/>
    <col min="107" max="108" width="9.453125" style="72" bestFit="1" customWidth="1"/>
    <col min="109" max="109" width="10.453125" style="72" bestFit="1" customWidth="1"/>
    <col min="110" max="110" width="11" style="72" bestFit="1" customWidth="1"/>
    <col min="111" max="112" width="10.453125" style="72" bestFit="1" customWidth="1"/>
    <col min="113" max="113" width="9.453125" style="72" bestFit="1" customWidth="1"/>
    <col min="114" max="114" width="10.08984375" style="72" bestFit="1" customWidth="1"/>
    <col min="115" max="115" width="9.453125" style="72" bestFit="1" customWidth="1"/>
    <col min="116" max="118" width="10.08984375" style="72" bestFit="1" customWidth="1"/>
    <col min="119" max="119" width="9.90625" style="72" bestFit="1" customWidth="1"/>
    <col min="120" max="120" width="10.08984375" style="72" bestFit="1" customWidth="1"/>
    <col min="121" max="121" width="9.453125" style="72" bestFit="1" customWidth="1"/>
    <col min="122" max="122" width="10.08984375" style="72" bestFit="1" customWidth="1"/>
    <col min="123" max="123" width="11" style="72" bestFit="1" customWidth="1"/>
    <col min="124" max="124" width="10" style="72" bestFit="1" customWidth="1"/>
    <col min="125" max="127" width="10.08984375" style="72" bestFit="1" customWidth="1"/>
    <col min="128" max="131" width="10.453125" style="72" bestFit="1" customWidth="1"/>
    <col min="132" max="132" width="9.90625" style="72" bestFit="1" customWidth="1"/>
    <col min="133" max="135" width="10" style="72" bestFit="1" customWidth="1"/>
    <col min="136" max="136" width="10.6328125" style="72" bestFit="1" customWidth="1"/>
    <col min="137" max="16384" width="8.6328125" style="72"/>
  </cols>
  <sheetData>
    <row r="2" spans="2:136" ht="18">
      <c r="B2" s="73" t="s">
        <v>487</v>
      </c>
      <c r="P2" s="209"/>
      <c r="AC2" s="209"/>
      <c r="AP2" s="209"/>
      <c r="BC2" s="209"/>
      <c r="BP2" s="209"/>
      <c r="CC2" s="209"/>
      <c r="CP2" s="209"/>
      <c r="DC2" s="209"/>
      <c r="DP2" s="209"/>
    </row>
    <row r="3" spans="2:136" ht="20">
      <c r="C3" s="331">
        <v>2026</v>
      </c>
      <c r="D3" s="331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0">
        <v>2027</v>
      </c>
      <c r="Q3" s="331"/>
      <c r="R3" s="331"/>
      <c r="S3" s="331"/>
      <c r="T3" s="331"/>
      <c r="U3" s="331"/>
      <c r="V3" s="331"/>
      <c r="W3" s="331"/>
      <c r="X3" s="331"/>
      <c r="Y3" s="331"/>
      <c r="Z3" s="331"/>
      <c r="AA3" s="331"/>
      <c r="AB3" s="331"/>
      <c r="AC3" s="330">
        <v>2028</v>
      </c>
      <c r="AD3" s="331"/>
      <c r="AE3" s="331"/>
      <c r="AF3" s="331"/>
      <c r="AG3" s="331"/>
      <c r="AH3" s="331"/>
      <c r="AI3" s="331"/>
      <c r="AJ3" s="331"/>
      <c r="AK3" s="331"/>
      <c r="AL3" s="331"/>
      <c r="AM3" s="331"/>
      <c r="AN3" s="331"/>
      <c r="AO3" s="331"/>
      <c r="AP3" s="330">
        <v>2029</v>
      </c>
      <c r="AQ3" s="331"/>
      <c r="AR3" s="331"/>
      <c r="AS3" s="331"/>
      <c r="AT3" s="331"/>
      <c r="AU3" s="331"/>
      <c r="AV3" s="331"/>
      <c r="AW3" s="331"/>
      <c r="AX3" s="331"/>
      <c r="AY3" s="331"/>
      <c r="AZ3" s="331"/>
      <c r="BA3" s="331"/>
      <c r="BB3" s="331"/>
      <c r="BC3" s="330">
        <v>2030</v>
      </c>
      <c r="BD3" s="331"/>
      <c r="BE3" s="331"/>
      <c r="BF3" s="331"/>
      <c r="BG3" s="331"/>
      <c r="BH3" s="331"/>
      <c r="BI3" s="331"/>
      <c r="BJ3" s="331"/>
      <c r="BK3" s="331"/>
      <c r="BL3" s="331"/>
      <c r="BM3" s="331"/>
      <c r="BN3" s="331"/>
      <c r="BO3" s="331"/>
      <c r="BP3" s="330">
        <v>2031</v>
      </c>
      <c r="BQ3" s="331"/>
      <c r="BR3" s="331"/>
      <c r="BS3" s="331"/>
      <c r="BT3" s="331"/>
      <c r="BU3" s="331"/>
      <c r="BV3" s="331"/>
      <c r="BW3" s="331"/>
      <c r="BX3" s="331"/>
      <c r="BY3" s="331"/>
      <c r="BZ3" s="331"/>
      <c r="CA3" s="331"/>
      <c r="CB3" s="331"/>
      <c r="CC3" s="330">
        <v>2032</v>
      </c>
      <c r="CD3" s="331"/>
      <c r="CE3" s="331"/>
      <c r="CF3" s="331"/>
      <c r="CG3" s="331"/>
      <c r="CH3" s="331"/>
      <c r="CI3" s="331"/>
      <c r="CJ3" s="331"/>
      <c r="CK3" s="331"/>
      <c r="CL3" s="331"/>
      <c r="CM3" s="331"/>
      <c r="CN3" s="331"/>
      <c r="CO3" s="331"/>
      <c r="CP3" s="330">
        <v>2033</v>
      </c>
      <c r="CQ3" s="331"/>
      <c r="CR3" s="331"/>
      <c r="CS3" s="331"/>
      <c r="CT3" s="331"/>
      <c r="CU3" s="331"/>
      <c r="CV3" s="331"/>
      <c r="CW3" s="331"/>
      <c r="CX3" s="331"/>
      <c r="CY3" s="331"/>
      <c r="CZ3" s="331"/>
      <c r="DA3" s="331"/>
      <c r="DB3" s="331"/>
      <c r="DC3" s="330">
        <v>2034</v>
      </c>
      <c r="DD3" s="331"/>
      <c r="DE3" s="331"/>
      <c r="DF3" s="331"/>
      <c r="DG3" s="331"/>
      <c r="DH3" s="331"/>
      <c r="DI3" s="331"/>
      <c r="DJ3" s="331"/>
      <c r="DK3" s="331"/>
      <c r="DL3" s="331"/>
      <c r="DM3" s="331"/>
      <c r="DN3" s="331"/>
      <c r="DO3" s="331"/>
      <c r="DP3" s="330">
        <v>2035</v>
      </c>
      <c r="DQ3" s="331"/>
      <c r="DR3" s="331"/>
      <c r="DS3" s="331"/>
      <c r="DT3" s="331"/>
      <c r="DU3" s="331"/>
      <c r="DV3" s="331"/>
      <c r="DW3" s="331"/>
      <c r="DX3" s="331"/>
      <c r="DY3" s="331"/>
      <c r="DZ3" s="331"/>
      <c r="EA3" s="331"/>
      <c r="EB3" s="331"/>
    </row>
    <row r="4" spans="2:136" ht="28">
      <c r="B4" s="78" t="s">
        <v>12</v>
      </c>
      <c r="C4" s="78" t="s">
        <v>139</v>
      </c>
      <c r="D4" s="78" t="s">
        <v>140</v>
      </c>
      <c r="E4" s="78" t="s">
        <v>141</v>
      </c>
      <c r="F4" s="78" t="s">
        <v>142</v>
      </c>
      <c r="G4" s="78" t="s">
        <v>143</v>
      </c>
      <c r="H4" s="78" t="s">
        <v>144</v>
      </c>
      <c r="I4" s="78" t="s">
        <v>145</v>
      </c>
      <c r="J4" s="78" t="s">
        <v>146</v>
      </c>
      <c r="K4" s="78" t="s">
        <v>147</v>
      </c>
      <c r="L4" s="78" t="s">
        <v>148</v>
      </c>
      <c r="M4" s="78" t="s">
        <v>149</v>
      </c>
      <c r="N4" s="78" t="s">
        <v>150</v>
      </c>
      <c r="O4" s="78" t="s">
        <v>160</v>
      </c>
      <c r="P4" s="78" t="s">
        <v>139</v>
      </c>
      <c r="Q4" s="78" t="s">
        <v>140</v>
      </c>
      <c r="R4" s="78" t="s">
        <v>141</v>
      </c>
      <c r="S4" s="78" t="s">
        <v>142</v>
      </c>
      <c r="T4" s="78" t="s">
        <v>143</v>
      </c>
      <c r="U4" s="78" t="s">
        <v>144</v>
      </c>
      <c r="V4" s="78" t="s">
        <v>145</v>
      </c>
      <c r="W4" s="78" t="s">
        <v>146</v>
      </c>
      <c r="X4" s="78" t="s">
        <v>147</v>
      </c>
      <c r="Y4" s="78" t="s">
        <v>148</v>
      </c>
      <c r="Z4" s="78" t="s">
        <v>149</v>
      </c>
      <c r="AA4" s="78" t="s">
        <v>150</v>
      </c>
      <c r="AB4" s="78" t="s">
        <v>160</v>
      </c>
      <c r="AC4" s="78" t="s">
        <v>139</v>
      </c>
      <c r="AD4" s="78" t="s">
        <v>140</v>
      </c>
      <c r="AE4" s="78" t="s">
        <v>141</v>
      </c>
      <c r="AF4" s="78" t="s">
        <v>142</v>
      </c>
      <c r="AG4" s="78" t="s">
        <v>143</v>
      </c>
      <c r="AH4" s="78" t="s">
        <v>144</v>
      </c>
      <c r="AI4" s="78" t="s">
        <v>145</v>
      </c>
      <c r="AJ4" s="78" t="s">
        <v>146</v>
      </c>
      <c r="AK4" s="78" t="s">
        <v>147</v>
      </c>
      <c r="AL4" s="78" t="s">
        <v>148</v>
      </c>
      <c r="AM4" s="78" t="s">
        <v>149</v>
      </c>
      <c r="AN4" s="78" t="s">
        <v>150</v>
      </c>
      <c r="AO4" s="78" t="s">
        <v>160</v>
      </c>
      <c r="AP4" s="78" t="s">
        <v>139</v>
      </c>
      <c r="AQ4" s="78" t="s">
        <v>140</v>
      </c>
      <c r="AR4" s="78" t="s">
        <v>141</v>
      </c>
      <c r="AS4" s="78" t="s">
        <v>142</v>
      </c>
      <c r="AT4" s="78" t="s">
        <v>143</v>
      </c>
      <c r="AU4" s="78" t="s">
        <v>144</v>
      </c>
      <c r="AV4" s="78" t="s">
        <v>145</v>
      </c>
      <c r="AW4" s="78" t="s">
        <v>146</v>
      </c>
      <c r="AX4" s="78" t="s">
        <v>147</v>
      </c>
      <c r="AY4" s="78" t="s">
        <v>148</v>
      </c>
      <c r="AZ4" s="78" t="s">
        <v>149</v>
      </c>
      <c r="BA4" s="78" t="s">
        <v>150</v>
      </c>
      <c r="BB4" s="78" t="s">
        <v>160</v>
      </c>
      <c r="BC4" s="78" t="s">
        <v>139</v>
      </c>
      <c r="BD4" s="78" t="s">
        <v>140</v>
      </c>
      <c r="BE4" s="78" t="s">
        <v>141</v>
      </c>
      <c r="BF4" s="78" t="s">
        <v>142</v>
      </c>
      <c r="BG4" s="78" t="s">
        <v>143</v>
      </c>
      <c r="BH4" s="78" t="s">
        <v>144</v>
      </c>
      <c r="BI4" s="78" t="s">
        <v>145</v>
      </c>
      <c r="BJ4" s="78" t="s">
        <v>146</v>
      </c>
      <c r="BK4" s="78" t="s">
        <v>147</v>
      </c>
      <c r="BL4" s="78" t="s">
        <v>148</v>
      </c>
      <c r="BM4" s="78" t="s">
        <v>149</v>
      </c>
      <c r="BN4" s="78" t="s">
        <v>150</v>
      </c>
      <c r="BO4" s="78" t="s">
        <v>160</v>
      </c>
      <c r="BP4" s="78" t="s">
        <v>139</v>
      </c>
      <c r="BQ4" s="78" t="s">
        <v>140</v>
      </c>
      <c r="BR4" s="78" t="s">
        <v>141</v>
      </c>
      <c r="BS4" s="78" t="s">
        <v>142</v>
      </c>
      <c r="BT4" s="78" t="s">
        <v>143</v>
      </c>
      <c r="BU4" s="78" t="s">
        <v>144</v>
      </c>
      <c r="BV4" s="78" t="s">
        <v>145</v>
      </c>
      <c r="BW4" s="78" t="s">
        <v>146</v>
      </c>
      <c r="BX4" s="78" t="s">
        <v>147</v>
      </c>
      <c r="BY4" s="78" t="s">
        <v>148</v>
      </c>
      <c r="BZ4" s="78" t="s">
        <v>149</v>
      </c>
      <c r="CA4" s="78" t="s">
        <v>150</v>
      </c>
      <c r="CB4" s="78" t="s">
        <v>160</v>
      </c>
      <c r="CC4" s="78" t="s">
        <v>139</v>
      </c>
      <c r="CD4" s="78" t="s">
        <v>140</v>
      </c>
      <c r="CE4" s="78" t="s">
        <v>141</v>
      </c>
      <c r="CF4" s="78" t="s">
        <v>142</v>
      </c>
      <c r="CG4" s="78" t="s">
        <v>143</v>
      </c>
      <c r="CH4" s="78" t="s">
        <v>144</v>
      </c>
      <c r="CI4" s="78" t="s">
        <v>145</v>
      </c>
      <c r="CJ4" s="78" t="s">
        <v>146</v>
      </c>
      <c r="CK4" s="78" t="s">
        <v>147</v>
      </c>
      <c r="CL4" s="78" t="s">
        <v>148</v>
      </c>
      <c r="CM4" s="78" t="s">
        <v>149</v>
      </c>
      <c r="CN4" s="78" t="s">
        <v>150</v>
      </c>
      <c r="CO4" s="78" t="s">
        <v>160</v>
      </c>
      <c r="CP4" s="78" t="s">
        <v>139</v>
      </c>
      <c r="CQ4" s="78" t="s">
        <v>140</v>
      </c>
      <c r="CR4" s="78" t="s">
        <v>141</v>
      </c>
      <c r="CS4" s="78" t="s">
        <v>142</v>
      </c>
      <c r="CT4" s="78" t="s">
        <v>143</v>
      </c>
      <c r="CU4" s="78" t="s">
        <v>144</v>
      </c>
      <c r="CV4" s="78" t="s">
        <v>145</v>
      </c>
      <c r="CW4" s="78" t="s">
        <v>146</v>
      </c>
      <c r="CX4" s="78" t="s">
        <v>147</v>
      </c>
      <c r="CY4" s="78" t="s">
        <v>148</v>
      </c>
      <c r="CZ4" s="78" t="s">
        <v>149</v>
      </c>
      <c r="DA4" s="78" t="s">
        <v>150</v>
      </c>
      <c r="DB4" s="78" t="s">
        <v>160</v>
      </c>
      <c r="DC4" s="78" t="s">
        <v>139</v>
      </c>
      <c r="DD4" s="78" t="s">
        <v>140</v>
      </c>
      <c r="DE4" s="78" t="s">
        <v>141</v>
      </c>
      <c r="DF4" s="78" t="s">
        <v>142</v>
      </c>
      <c r="DG4" s="78" t="s">
        <v>143</v>
      </c>
      <c r="DH4" s="78" t="s">
        <v>144</v>
      </c>
      <c r="DI4" s="78" t="s">
        <v>145</v>
      </c>
      <c r="DJ4" s="78" t="s">
        <v>146</v>
      </c>
      <c r="DK4" s="78" t="s">
        <v>147</v>
      </c>
      <c r="DL4" s="78" t="s">
        <v>148</v>
      </c>
      <c r="DM4" s="78" t="s">
        <v>149</v>
      </c>
      <c r="DN4" s="78" t="s">
        <v>150</v>
      </c>
      <c r="DO4" s="78" t="s">
        <v>160</v>
      </c>
      <c r="DP4" s="78" t="s">
        <v>139</v>
      </c>
      <c r="DQ4" s="78" t="s">
        <v>140</v>
      </c>
      <c r="DR4" s="78" t="s">
        <v>141</v>
      </c>
      <c r="DS4" s="78" t="s">
        <v>142</v>
      </c>
      <c r="DT4" s="78" t="s">
        <v>143</v>
      </c>
      <c r="DU4" s="78" t="s">
        <v>144</v>
      </c>
      <c r="DV4" s="78" t="s">
        <v>145</v>
      </c>
      <c r="DW4" s="78" t="s">
        <v>146</v>
      </c>
      <c r="DX4" s="78" t="s">
        <v>147</v>
      </c>
      <c r="DY4" s="78" t="s">
        <v>148</v>
      </c>
      <c r="DZ4" s="78" t="s">
        <v>149</v>
      </c>
      <c r="EA4" s="78" t="s">
        <v>150</v>
      </c>
      <c r="EB4" s="78" t="s">
        <v>160</v>
      </c>
    </row>
    <row r="5" spans="2:136" ht="15.5">
      <c r="B5" s="239" t="s">
        <v>212</v>
      </c>
    </row>
    <row r="6" spans="2:136" outlineLevel="1">
      <c r="B6" s="86" t="s">
        <v>553</v>
      </c>
      <c r="C6" s="104">
        <v>0</v>
      </c>
      <c r="D6" s="104">
        <v>0</v>
      </c>
      <c r="E6" s="104">
        <v>0</v>
      </c>
      <c r="F6" s="104">
        <f>+Ej_Ingresos!C34</f>
        <v>20196</v>
      </c>
      <c r="G6" s="104">
        <f>+Ej_Ingresos!D34</f>
        <v>0</v>
      </c>
      <c r="H6" s="104">
        <f>+Ej_Ingresos!E34</f>
        <v>109098.9488</v>
      </c>
      <c r="I6" s="104">
        <f>+Ej_Ingresos!F34</f>
        <v>154939.41865000001</v>
      </c>
      <c r="J6" s="104">
        <f>+Ej_Ingresos!G34</f>
        <v>212343.37549999999</v>
      </c>
      <c r="K6" s="104">
        <f>+Ej_Ingresos!H34</f>
        <v>547199.48800000001</v>
      </c>
      <c r="L6" s="104">
        <f>+Ej_Ingresos!I34</f>
        <v>258860</v>
      </c>
      <c r="M6" s="104">
        <f>+Ej_Ingresos!J34</f>
        <v>294470</v>
      </c>
      <c r="N6" s="104">
        <f>+Ej_Ingresos!K34</f>
        <v>320640</v>
      </c>
      <c r="O6" s="163">
        <f>SUM(C6:N6)</f>
        <v>1917747.23095</v>
      </c>
      <c r="P6" s="104">
        <f>+Ej_Ingresos!L34</f>
        <v>707580</v>
      </c>
      <c r="Q6" s="104">
        <f>+Ej_Ingresos!M34</f>
        <v>879900</v>
      </c>
      <c r="R6" s="104">
        <f>+Ej_Ingresos!N34</f>
        <v>703380</v>
      </c>
      <c r="S6" s="104">
        <f>+Ej_Ingresos!R34</f>
        <v>865260</v>
      </c>
      <c r="T6" s="104">
        <f>+Ej_Ingresos!S34</f>
        <v>988170</v>
      </c>
      <c r="U6" s="104">
        <f>+Ej_Ingresos!T34</f>
        <v>1374525</v>
      </c>
      <c r="V6" s="104">
        <f>+Ej_Ingresos!U34</f>
        <v>1489230</v>
      </c>
      <c r="W6" s="104">
        <f>+Ej_Ingresos!V34</f>
        <v>1579770</v>
      </c>
      <c r="X6" s="104">
        <f>+Ej_Ingresos!W34</f>
        <v>1579770</v>
      </c>
      <c r="Y6" s="104">
        <f>+Ej_Ingresos!X34</f>
        <v>1579770</v>
      </c>
      <c r="Z6" s="104">
        <f>+Ej_Ingresos!Y34</f>
        <v>1579770</v>
      </c>
      <c r="AA6" s="104">
        <f>+Ej_Ingresos!Z34</f>
        <v>1579770</v>
      </c>
      <c r="AB6" s="163">
        <f>SUM(P6:AA6)</f>
        <v>14906895</v>
      </c>
      <c r="AC6" s="104">
        <v>1579770</v>
      </c>
      <c r="AD6" s="104">
        <v>1579770</v>
      </c>
      <c r="AE6" s="104">
        <v>1579770</v>
      </c>
      <c r="AF6" s="104">
        <v>1571208.0125000002</v>
      </c>
      <c r="AG6" s="104">
        <v>1571208.0125000002</v>
      </c>
      <c r="AH6" s="104">
        <v>1571208.0125000002</v>
      </c>
      <c r="AI6" s="104">
        <v>1571208.0125000002</v>
      </c>
      <c r="AJ6" s="104">
        <v>1571208.0125000002</v>
      </c>
      <c r="AK6" s="104">
        <v>1571208.0125000002</v>
      </c>
      <c r="AL6" s="104">
        <v>1571208.0125000002</v>
      </c>
      <c r="AM6" s="104">
        <v>1571208.0125000002</v>
      </c>
      <c r="AN6" s="104">
        <v>1571208.0125000002</v>
      </c>
      <c r="AO6" s="163">
        <f>SUM(AC6:AN6)</f>
        <v>18880182.112499997</v>
      </c>
      <c r="AP6" s="104">
        <v>1571208.0125000002</v>
      </c>
      <c r="AQ6" s="104">
        <v>1571208.0125000002</v>
      </c>
      <c r="AR6" s="104">
        <v>1571208.0125000002</v>
      </c>
      <c r="AS6" s="104">
        <v>1682928.2557499998</v>
      </c>
      <c r="AT6" s="104">
        <v>1682928.2557499998</v>
      </c>
      <c r="AU6" s="104">
        <v>1682928.2557499998</v>
      </c>
      <c r="AV6" s="104">
        <v>1682928.2557499998</v>
      </c>
      <c r="AW6" s="104">
        <v>1682928.2557499998</v>
      </c>
      <c r="AX6" s="104">
        <v>1682928.2557499998</v>
      </c>
      <c r="AY6" s="104">
        <v>1682928.2557499998</v>
      </c>
      <c r="AZ6" s="104">
        <v>1682928.2557499998</v>
      </c>
      <c r="BA6" s="104">
        <v>1682928.2557499998</v>
      </c>
      <c r="BB6" s="163">
        <f>SUM(AP6:BA6)</f>
        <v>19859978.339250002</v>
      </c>
      <c r="BC6" s="104">
        <v>1682928.2557499998</v>
      </c>
      <c r="BD6" s="104">
        <v>1682928.2557499998</v>
      </c>
      <c r="BE6" s="104">
        <v>1682928.2557499998</v>
      </c>
      <c r="BF6" s="104">
        <v>1801807.6885200001</v>
      </c>
      <c r="BG6" s="104">
        <v>1801807.6885200001</v>
      </c>
      <c r="BH6" s="104">
        <v>1801807.6885200001</v>
      </c>
      <c r="BI6" s="104">
        <v>1801807.6885200001</v>
      </c>
      <c r="BJ6" s="104">
        <v>1801807.6885200001</v>
      </c>
      <c r="BK6" s="104">
        <v>1801807.6885200001</v>
      </c>
      <c r="BL6" s="104">
        <v>1801807.6885200001</v>
      </c>
      <c r="BM6" s="104">
        <v>1801807.6885200001</v>
      </c>
      <c r="BN6" s="104">
        <v>1801807.6885200001</v>
      </c>
      <c r="BO6" s="163">
        <f>SUM(BC6:BN6)</f>
        <v>21265053.963929996</v>
      </c>
      <c r="BP6" s="104">
        <v>1801807.6885200001</v>
      </c>
      <c r="BQ6" s="104">
        <v>1801807.6885200001</v>
      </c>
      <c r="BR6" s="104">
        <v>1801807.6885200001</v>
      </c>
      <c r="BS6" s="104">
        <v>1929702.7363509003</v>
      </c>
      <c r="BT6" s="104">
        <v>1929702.7363509003</v>
      </c>
      <c r="BU6" s="104">
        <v>1929702.7363509003</v>
      </c>
      <c r="BV6" s="104">
        <v>1929702.7363509003</v>
      </c>
      <c r="BW6" s="104">
        <v>1929702.7363509003</v>
      </c>
      <c r="BX6" s="104">
        <v>1929702.7363509003</v>
      </c>
      <c r="BY6" s="104">
        <v>1929702.7363509003</v>
      </c>
      <c r="BZ6" s="104">
        <v>1929702.7363509003</v>
      </c>
      <c r="CA6" s="104">
        <v>1929702.7363509003</v>
      </c>
      <c r="CB6" s="163">
        <f>SUM(BP6:CA6)</f>
        <v>22772747.692718104</v>
      </c>
      <c r="CC6" s="104">
        <v>1929702.7363509003</v>
      </c>
      <c r="CD6" s="104">
        <v>1929702.7363509003</v>
      </c>
      <c r="CE6" s="104">
        <v>1929702.7363509003</v>
      </c>
      <c r="CF6" s="104">
        <v>2066703.6889623601</v>
      </c>
      <c r="CG6" s="104">
        <v>2066703.6889623601</v>
      </c>
      <c r="CH6" s="104">
        <v>2066703.6889623601</v>
      </c>
      <c r="CI6" s="104">
        <v>2066703.6889623601</v>
      </c>
      <c r="CJ6" s="104">
        <v>2066703.6889623601</v>
      </c>
      <c r="CK6" s="104">
        <v>2066703.6889623601</v>
      </c>
      <c r="CL6" s="104">
        <v>2066703.6889623601</v>
      </c>
      <c r="CM6" s="104">
        <v>2066703.6889623601</v>
      </c>
      <c r="CN6" s="104">
        <v>2066703.6889623601</v>
      </c>
      <c r="CO6" s="163">
        <f>SUM(CC6:CN6)</f>
        <v>24389441.409713939</v>
      </c>
      <c r="CP6" s="104">
        <v>2066703.6889623601</v>
      </c>
      <c r="CQ6" s="104">
        <v>2066703.6889623601</v>
      </c>
      <c r="CR6" s="104">
        <v>2066703.6889623601</v>
      </c>
      <c r="CS6" s="104">
        <v>2212791.7072583199</v>
      </c>
      <c r="CT6" s="104">
        <v>2212791.7072583199</v>
      </c>
      <c r="CU6" s="104">
        <v>2212791.7072583199</v>
      </c>
      <c r="CV6" s="104">
        <v>2212791.7072583199</v>
      </c>
      <c r="CW6" s="104">
        <v>2212791.7072583199</v>
      </c>
      <c r="CX6" s="104">
        <v>2212791.7072583199</v>
      </c>
      <c r="CY6" s="104">
        <v>2212791.7072583199</v>
      </c>
      <c r="CZ6" s="104">
        <v>2212791.7072583199</v>
      </c>
      <c r="DA6" s="104">
        <v>2212791.7072583199</v>
      </c>
      <c r="DB6" s="163">
        <f>SUM(CP6:DA6)</f>
        <v>26115236.432211965</v>
      </c>
      <c r="DC6" s="104">
        <v>2212791.7072583199</v>
      </c>
      <c r="DD6" s="104">
        <v>2212791.7072583199</v>
      </c>
      <c r="DE6" s="104">
        <v>2212791.7072583199</v>
      </c>
      <c r="DF6" s="104">
        <v>2369912.7778407852</v>
      </c>
      <c r="DG6" s="104">
        <v>2369912.7778407852</v>
      </c>
      <c r="DH6" s="104">
        <v>2369912.7778407852</v>
      </c>
      <c r="DI6" s="104">
        <v>2369912.7778407852</v>
      </c>
      <c r="DJ6" s="104">
        <v>2369912.7778407852</v>
      </c>
      <c r="DK6" s="104">
        <v>2369912.7778407852</v>
      </c>
      <c r="DL6" s="104">
        <v>2369912.7778407852</v>
      </c>
      <c r="DM6" s="104">
        <v>2369912.7778407852</v>
      </c>
      <c r="DN6" s="104">
        <v>2369912.7778407852</v>
      </c>
      <c r="DO6" s="163">
        <f>SUM(DC6:DN6)</f>
        <v>27967590.122342031</v>
      </c>
      <c r="DP6" s="104">
        <v>2369912.7778407852</v>
      </c>
      <c r="DQ6" s="104">
        <v>2369912.7778407852</v>
      </c>
      <c r="DR6" s="104">
        <v>2369912.7778407852</v>
      </c>
      <c r="DS6" s="104">
        <v>2538028.5639964906</v>
      </c>
      <c r="DT6" s="104">
        <v>2538028.5639964906</v>
      </c>
      <c r="DU6" s="104">
        <v>2538028.5639964906</v>
      </c>
      <c r="DV6" s="104">
        <v>2538028.5639964906</v>
      </c>
      <c r="DW6" s="104">
        <v>2538028.5639964906</v>
      </c>
      <c r="DX6" s="104">
        <v>2538028.5639964906</v>
      </c>
      <c r="DY6" s="104">
        <v>2538028.5639964906</v>
      </c>
      <c r="DZ6" s="104">
        <v>2538028.5639964906</v>
      </c>
      <c r="EA6" s="104">
        <v>2538028.5639964906</v>
      </c>
      <c r="EB6" s="163">
        <f>SUM(DP6:EA6)</f>
        <v>29951995.409490768</v>
      </c>
      <c r="EC6" s="56">
        <v>2538028.5639964906</v>
      </c>
      <c r="ED6" s="56">
        <v>2538028.5639964906</v>
      </c>
      <c r="EE6" s="56">
        <v>2538028.5639964906</v>
      </c>
      <c r="EF6" s="324">
        <f>+EC6+ED6+EE6</f>
        <v>7614085.6919894721</v>
      </c>
    </row>
    <row r="7" spans="2:136" outlineLevel="1">
      <c r="B7" s="86" t="s">
        <v>545</v>
      </c>
      <c r="C7" s="104">
        <v>0</v>
      </c>
      <c r="D7" s="104">
        <v>0</v>
      </c>
      <c r="E7" s="104">
        <v>0</v>
      </c>
      <c r="F7" s="104">
        <v>0</v>
      </c>
      <c r="G7" s="104">
        <v>0</v>
      </c>
      <c r="H7" s="104">
        <f>+Ej_Deuda!H17</f>
        <v>0</v>
      </c>
      <c r="I7" s="104">
        <v>0</v>
      </c>
      <c r="J7" s="104">
        <v>0</v>
      </c>
      <c r="K7" s="104">
        <v>0</v>
      </c>
      <c r="L7" s="240">
        <f>+Ej_Deuda!L17+Ej_Deuda!L18</f>
        <v>5568594</v>
      </c>
      <c r="M7" s="104">
        <v>0</v>
      </c>
      <c r="N7" s="104">
        <v>0</v>
      </c>
      <c r="O7" s="163">
        <f>SUM(C7:N7)</f>
        <v>5568594</v>
      </c>
      <c r="P7" s="104">
        <v>0</v>
      </c>
      <c r="Q7" s="104">
        <v>0</v>
      </c>
      <c r="R7" s="104">
        <v>0</v>
      </c>
      <c r="S7" s="104">
        <v>0</v>
      </c>
      <c r="T7" s="104">
        <v>0</v>
      </c>
      <c r="U7" s="104">
        <v>0</v>
      </c>
      <c r="V7" s="104">
        <v>0</v>
      </c>
      <c r="W7" s="104">
        <v>0</v>
      </c>
      <c r="X7" s="104">
        <v>0</v>
      </c>
      <c r="Y7" s="104">
        <v>0</v>
      </c>
      <c r="Z7" s="104">
        <v>0</v>
      </c>
      <c r="AA7" s="104">
        <v>0</v>
      </c>
      <c r="AB7" s="163">
        <f>SUM(P7:AA7)</f>
        <v>0</v>
      </c>
      <c r="AC7" s="104">
        <v>0</v>
      </c>
      <c r="AD7" s="104">
        <v>0</v>
      </c>
      <c r="AE7" s="104">
        <v>0</v>
      </c>
      <c r="AF7" s="104">
        <v>0</v>
      </c>
      <c r="AG7" s="104">
        <v>0</v>
      </c>
      <c r="AH7" s="104">
        <v>0</v>
      </c>
      <c r="AI7" s="104">
        <v>0</v>
      </c>
      <c r="AJ7" s="104">
        <v>0</v>
      </c>
      <c r="AK7" s="104">
        <v>0</v>
      </c>
      <c r="AL7" s="104">
        <v>0</v>
      </c>
      <c r="AM7" s="104">
        <v>0</v>
      </c>
      <c r="AN7" s="104">
        <v>0</v>
      </c>
      <c r="AO7" s="163">
        <f>SUM(AC7:AN7)</f>
        <v>0</v>
      </c>
      <c r="AP7" s="104">
        <v>0</v>
      </c>
      <c r="AQ7" s="104">
        <v>0</v>
      </c>
      <c r="AR7" s="104">
        <v>0</v>
      </c>
      <c r="AS7" s="104">
        <v>0</v>
      </c>
      <c r="AT7" s="104">
        <v>0</v>
      </c>
      <c r="AU7" s="104">
        <v>0</v>
      </c>
      <c r="AV7" s="104">
        <v>0</v>
      </c>
      <c r="AW7" s="104">
        <v>0</v>
      </c>
      <c r="AX7" s="104">
        <v>0</v>
      </c>
      <c r="AY7" s="104">
        <v>0</v>
      </c>
      <c r="AZ7" s="104">
        <v>0</v>
      </c>
      <c r="BA7" s="104">
        <v>0</v>
      </c>
      <c r="BB7" s="163">
        <f>SUM(AP7:BA7)</f>
        <v>0</v>
      </c>
      <c r="BC7" s="104">
        <v>0</v>
      </c>
      <c r="BD7" s="104">
        <v>0</v>
      </c>
      <c r="BE7" s="104">
        <v>0</v>
      </c>
      <c r="BF7" s="104">
        <v>0</v>
      </c>
      <c r="BG7" s="104">
        <v>0</v>
      </c>
      <c r="BH7" s="104">
        <v>0</v>
      </c>
      <c r="BI7" s="104">
        <v>0</v>
      </c>
      <c r="BJ7" s="104">
        <v>0</v>
      </c>
      <c r="BK7" s="104">
        <v>0</v>
      </c>
      <c r="BL7" s="104">
        <v>0</v>
      </c>
      <c r="BM7" s="104">
        <v>0</v>
      </c>
      <c r="BN7" s="104">
        <v>0</v>
      </c>
      <c r="BO7" s="163">
        <f>SUM(BC7:BN7)</f>
        <v>0</v>
      </c>
      <c r="BP7" s="104">
        <v>0</v>
      </c>
      <c r="BQ7" s="104">
        <v>0</v>
      </c>
      <c r="BR7" s="104">
        <v>0</v>
      </c>
      <c r="BS7" s="104">
        <v>0</v>
      </c>
      <c r="BT7" s="104">
        <v>0</v>
      </c>
      <c r="BU7" s="104">
        <v>0</v>
      </c>
      <c r="BV7" s="104">
        <v>0</v>
      </c>
      <c r="BW7" s="104">
        <v>0</v>
      </c>
      <c r="BX7" s="104">
        <v>0</v>
      </c>
      <c r="BY7" s="104">
        <v>0</v>
      </c>
      <c r="BZ7" s="104">
        <v>0</v>
      </c>
      <c r="CA7" s="104">
        <v>0</v>
      </c>
      <c r="CB7" s="163">
        <f>SUM(BP7:CA7)</f>
        <v>0</v>
      </c>
      <c r="CC7" s="104">
        <v>0</v>
      </c>
      <c r="CD7" s="104">
        <v>0</v>
      </c>
      <c r="CE7" s="104">
        <v>0</v>
      </c>
      <c r="CF7" s="104">
        <v>0</v>
      </c>
      <c r="CG7" s="104">
        <v>0</v>
      </c>
      <c r="CH7" s="104">
        <v>0</v>
      </c>
      <c r="CI7" s="104">
        <v>0</v>
      </c>
      <c r="CJ7" s="104">
        <v>0</v>
      </c>
      <c r="CK7" s="104">
        <v>0</v>
      </c>
      <c r="CL7" s="104">
        <v>0</v>
      </c>
      <c r="CM7" s="104">
        <v>0</v>
      </c>
      <c r="CN7" s="104">
        <v>0</v>
      </c>
      <c r="CO7" s="163">
        <f>SUM(CC7:CN7)</f>
        <v>0</v>
      </c>
      <c r="CP7" s="104">
        <v>0</v>
      </c>
      <c r="CQ7" s="104">
        <v>0</v>
      </c>
      <c r="CR7" s="104">
        <v>0</v>
      </c>
      <c r="CS7" s="104">
        <v>0</v>
      </c>
      <c r="CT7" s="104">
        <v>0</v>
      </c>
      <c r="CU7" s="104">
        <v>0</v>
      </c>
      <c r="CV7" s="104">
        <v>0</v>
      </c>
      <c r="CW7" s="104">
        <v>0</v>
      </c>
      <c r="CX7" s="104">
        <v>0</v>
      </c>
      <c r="CY7" s="104">
        <v>0</v>
      </c>
      <c r="CZ7" s="104">
        <v>0</v>
      </c>
      <c r="DA7" s="104">
        <v>0</v>
      </c>
      <c r="DB7" s="163">
        <f>SUM(CP7:DA7)</f>
        <v>0</v>
      </c>
      <c r="DC7" s="104">
        <v>0</v>
      </c>
      <c r="DD7" s="104">
        <v>0</v>
      </c>
      <c r="DE7" s="104">
        <v>0</v>
      </c>
      <c r="DF7" s="104">
        <v>0</v>
      </c>
      <c r="DG7" s="104">
        <v>0</v>
      </c>
      <c r="DH7" s="104">
        <v>0</v>
      </c>
      <c r="DI7" s="104">
        <v>0</v>
      </c>
      <c r="DJ7" s="104">
        <v>0</v>
      </c>
      <c r="DK7" s="104">
        <v>0</v>
      </c>
      <c r="DL7" s="104">
        <v>0</v>
      </c>
      <c r="DM7" s="104">
        <v>0</v>
      </c>
      <c r="DN7" s="104">
        <v>0</v>
      </c>
      <c r="DO7" s="163">
        <f>SUM(DC7:DN7)</f>
        <v>0</v>
      </c>
      <c r="DP7" s="104">
        <v>0</v>
      </c>
      <c r="DQ7" s="104">
        <v>0</v>
      </c>
      <c r="DR7" s="104">
        <v>0</v>
      </c>
      <c r="DS7" s="104">
        <v>0</v>
      </c>
      <c r="DT7" s="104">
        <v>0</v>
      </c>
      <c r="DU7" s="104">
        <v>0</v>
      </c>
      <c r="DV7" s="104">
        <v>0</v>
      </c>
      <c r="DW7" s="104">
        <v>0</v>
      </c>
      <c r="DX7" s="104">
        <v>0</v>
      </c>
      <c r="DY7" s="104">
        <v>0</v>
      </c>
      <c r="DZ7" s="104">
        <v>0</v>
      </c>
      <c r="EA7" s="104">
        <v>0</v>
      </c>
      <c r="EB7" s="163">
        <f>SUM(DP7:EA7)</f>
        <v>0</v>
      </c>
    </row>
    <row r="8" spans="2:136" outlineLevel="1">
      <c r="B8" s="86" t="s">
        <v>546</v>
      </c>
      <c r="C8" s="104">
        <v>0</v>
      </c>
      <c r="D8" s="104">
        <v>0</v>
      </c>
      <c r="E8" s="104">
        <v>0</v>
      </c>
      <c r="F8" s="104">
        <v>0</v>
      </c>
      <c r="G8" s="104">
        <v>0</v>
      </c>
      <c r="H8" s="104">
        <f>+Ej_Deuda!H18</f>
        <v>0</v>
      </c>
      <c r="I8" s="104">
        <v>0</v>
      </c>
      <c r="J8" s="104">
        <v>0</v>
      </c>
      <c r="K8" s="104">
        <v>0</v>
      </c>
      <c r="L8" s="104">
        <v>0</v>
      </c>
      <c r="M8" s="104">
        <v>0</v>
      </c>
      <c r="N8" s="104">
        <v>0</v>
      </c>
      <c r="O8" s="163">
        <f>SUM(C8:N8)</f>
        <v>0</v>
      </c>
      <c r="P8" s="322">
        <v>3000000</v>
      </c>
      <c r="Q8" s="104"/>
      <c r="R8" s="104"/>
      <c r="S8" s="240">
        <v>3000000</v>
      </c>
      <c r="T8" s="104">
        <v>0</v>
      </c>
      <c r="U8" s="104">
        <v>0</v>
      </c>
      <c r="V8" s="262">
        <v>3900000</v>
      </c>
      <c r="W8" s="104">
        <v>0</v>
      </c>
      <c r="X8" s="104">
        <v>0</v>
      </c>
      <c r="Y8" s="323">
        <v>1000000</v>
      </c>
      <c r="Z8" s="104">
        <v>0</v>
      </c>
      <c r="AA8" s="104">
        <v>0</v>
      </c>
      <c r="AB8" s="163">
        <f>SUM(P8:AA8)</f>
        <v>10900000</v>
      </c>
      <c r="AC8" s="104">
        <v>0</v>
      </c>
      <c r="AD8" s="240">
        <v>4200000</v>
      </c>
      <c r="AE8" s="104">
        <v>0</v>
      </c>
      <c r="AF8" s="104">
        <v>0</v>
      </c>
      <c r="AG8" s="104">
        <v>0</v>
      </c>
      <c r="AH8" s="104">
        <v>0</v>
      </c>
      <c r="AI8" s="240">
        <v>3700000</v>
      </c>
      <c r="AJ8" s="104">
        <v>0</v>
      </c>
      <c r="AK8" s="104">
        <v>0</v>
      </c>
      <c r="AL8" s="104">
        <v>0</v>
      </c>
      <c r="AM8" s="104">
        <v>0</v>
      </c>
      <c r="AN8" s="309">
        <v>4000000</v>
      </c>
      <c r="AO8" s="163">
        <f>SUM(AC8:AN8)</f>
        <v>11900000</v>
      </c>
      <c r="AP8" s="104">
        <v>0</v>
      </c>
      <c r="AQ8" s="104">
        <v>0</v>
      </c>
      <c r="AR8" s="104">
        <v>0</v>
      </c>
      <c r="AS8" s="104">
        <v>0</v>
      </c>
      <c r="AT8" s="104">
        <v>0</v>
      </c>
      <c r="AU8" s="104">
        <v>0</v>
      </c>
      <c r="AV8" s="309">
        <v>2000000</v>
      </c>
      <c r="AW8" s="104">
        <v>0</v>
      </c>
      <c r="AX8" s="309">
        <v>3000000</v>
      </c>
      <c r="AY8" s="104">
        <v>0</v>
      </c>
      <c r="AZ8" s="104">
        <v>0</v>
      </c>
      <c r="BA8" s="104">
        <v>0</v>
      </c>
      <c r="BB8" s="163">
        <f>SUM(AP8:BA8)</f>
        <v>5000000</v>
      </c>
      <c r="BC8" s="309">
        <v>3700000</v>
      </c>
      <c r="BD8" s="104">
        <v>0</v>
      </c>
      <c r="BE8" s="104">
        <v>0</v>
      </c>
      <c r="BF8" s="104">
        <v>0</v>
      </c>
      <c r="BG8" s="104">
        <v>0</v>
      </c>
      <c r="BH8" s="104">
        <v>0</v>
      </c>
      <c r="BI8" s="309">
        <v>2500000</v>
      </c>
      <c r="BJ8" s="104">
        <v>0</v>
      </c>
      <c r="BK8" s="104">
        <v>0</v>
      </c>
      <c r="BL8" s="104">
        <v>0</v>
      </c>
      <c r="BM8" s="104">
        <v>0</v>
      </c>
      <c r="BN8" s="104">
        <v>0</v>
      </c>
      <c r="BO8" s="163">
        <f>SUM(BC8:BN8)</f>
        <v>6200000</v>
      </c>
      <c r="BP8" s="309">
        <v>3500000</v>
      </c>
      <c r="BQ8" s="104">
        <v>0</v>
      </c>
      <c r="BR8" s="104">
        <v>0</v>
      </c>
      <c r="BS8" s="104">
        <v>0</v>
      </c>
      <c r="BT8" s="104">
        <v>0</v>
      </c>
      <c r="BU8" s="104">
        <v>0</v>
      </c>
      <c r="BV8" s="309">
        <v>2500000</v>
      </c>
      <c r="BW8" s="104">
        <v>0</v>
      </c>
      <c r="BX8" s="104">
        <v>0</v>
      </c>
      <c r="BY8" s="104">
        <v>0</v>
      </c>
      <c r="BZ8" s="104">
        <v>0</v>
      </c>
      <c r="CA8" s="104">
        <v>0</v>
      </c>
      <c r="CB8" s="163">
        <f>SUM(BP8:CA8)</f>
        <v>6000000</v>
      </c>
      <c r="CC8" s="309">
        <v>1000000</v>
      </c>
      <c r="CD8" s="104">
        <v>0</v>
      </c>
      <c r="CE8" s="104">
        <v>0</v>
      </c>
      <c r="CF8" s="309">
        <v>1500000</v>
      </c>
      <c r="CG8" s="104">
        <v>0</v>
      </c>
      <c r="CH8" s="104">
        <v>0</v>
      </c>
      <c r="CI8" s="309">
        <v>1500000</v>
      </c>
      <c r="CJ8" s="104">
        <v>0</v>
      </c>
      <c r="CK8" s="104">
        <v>0</v>
      </c>
      <c r="CL8" s="104">
        <v>0</v>
      </c>
      <c r="CM8" s="104">
        <v>0</v>
      </c>
      <c r="CN8" s="104">
        <v>0</v>
      </c>
      <c r="CO8" s="163">
        <f>SUM(CC8:CN8)</f>
        <v>4000000</v>
      </c>
      <c r="CP8" s="309">
        <v>2000000</v>
      </c>
      <c r="CQ8" s="104">
        <v>0</v>
      </c>
      <c r="CR8" s="104">
        <v>0</v>
      </c>
      <c r="CS8" s="309">
        <v>1000000</v>
      </c>
      <c r="CT8" s="104">
        <v>0</v>
      </c>
      <c r="CU8" s="104">
        <v>0</v>
      </c>
      <c r="CV8" s="309">
        <v>2300000</v>
      </c>
      <c r="CW8" s="104">
        <v>0</v>
      </c>
      <c r="CX8" s="104">
        <v>0</v>
      </c>
      <c r="CY8" s="104">
        <v>0</v>
      </c>
      <c r="CZ8" s="104">
        <v>0</v>
      </c>
      <c r="DA8" s="104">
        <v>0</v>
      </c>
      <c r="DB8" s="163">
        <f>SUM(CP8:DA8)</f>
        <v>5300000</v>
      </c>
      <c r="DC8" s="309">
        <v>3000000</v>
      </c>
      <c r="DD8" s="104">
        <v>0</v>
      </c>
      <c r="DE8" s="104">
        <v>0</v>
      </c>
      <c r="DF8" s="104">
        <v>0</v>
      </c>
      <c r="DG8" s="104">
        <v>0</v>
      </c>
      <c r="DH8" s="104">
        <v>0</v>
      </c>
      <c r="DI8" s="309">
        <v>2300000</v>
      </c>
      <c r="DJ8" s="104">
        <v>0</v>
      </c>
      <c r="DK8" s="104">
        <v>0</v>
      </c>
      <c r="DL8" s="104">
        <v>0</v>
      </c>
      <c r="DM8" s="104">
        <v>0</v>
      </c>
      <c r="DN8" s="104">
        <v>0</v>
      </c>
      <c r="DO8" s="163">
        <f>SUM(DC8:DN8)</f>
        <v>5300000</v>
      </c>
      <c r="DP8" s="309">
        <v>4000000</v>
      </c>
      <c r="DQ8" s="104">
        <v>0</v>
      </c>
      <c r="DR8" s="104">
        <v>0</v>
      </c>
      <c r="DS8" s="104">
        <v>0</v>
      </c>
      <c r="DT8" s="104">
        <v>0</v>
      </c>
      <c r="DU8" s="104">
        <v>0</v>
      </c>
      <c r="DV8" s="309">
        <v>3000000</v>
      </c>
      <c r="DW8" s="104">
        <v>0</v>
      </c>
      <c r="DX8" s="104">
        <v>0</v>
      </c>
      <c r="DY8" s="104">
        <v>0</v>
      </c>
      <c r="DZ8" s="104">
        <v>0</v>
      </c>
      <c r="EA8" s="104">
        <v>0</v>
      </c>
      <c r="EB8" s="163">
        <f>SUM(DP8:EA8)</f>
        <v>7000000</v>
      </c>
    </row>
    <row r="9" spans="2:136" outlineLevel="1">
      <c r="B9" s="86" t="s">
        <v>213</v>
      </c>
      <c r="C9" s="104">
        <v>0</v>
      </c>
      <c r="D9" s="104">
        <v>0</v>
      </c>
      <c r="E9" s="104">
        <v>0</v>
      </c>
      <c r="F9" s="104">
        <v>0</v>
      </c>
      <c r="G9" s="104">
        <v>0</v>
      </c>
      <c r="H9" s="104">
        <v>0</v>
      </c>
      <c r="I9" s="104">
        <v>0</v>
      </c>
      <c r="J9" s="104">
        <v>0</v>
      </c>
      <c r="K9" s="104">
        <v>0</v>
      </c>
      <c r="L9" s="104">
        <v>0</v>
      </c>
      <c r="M9" s="104">
        <v>0</v>
      </c>
      <c r="N9" s="104">
        <v>0</v>
      </c>
      <c r="O9" s="163">
        <f>SUM(C9:N9)</f>
        <v>0</v>
      </c>
      <c r="P9" s="104">
        <v>0</v>
      </c>
      <c r="Q9" s="104">
        <v>0</v>
      </c>
      <c r="R9" s="104">
        <v>0</v>
      </c>
      <c r="S9" s="104">
        <v>0</v>
      </c>
      <c r="T9" s="104">
        <v>0</v>
      </c>
      <c r="U9" s="104">
        <v>0</v>
      </c>
      <c r="V9" s="104">
        <v>0</v>
      </c>
      <c r="W9" s="104">
        <v>0</v>
      </c>
      <c r="X9" s="104">
        <v>0</v>
      </c>
      <c r="Y9" s="104">
        <v>0</v>
      </c>
      <c r="Z9" s="104">
        <v>0</v>
      </c>
      <c r="AA9" s="104">
        <v>0</v>
      </c>
      <c r="AB9" s="163">
        <f>SUM(P9:AA9)</f>
        <v>0</v>
      </c>
      <c r="AC9" s="104">
        <v>0</v>
      </c>
      <c r="AD9" s="104">
        <v>0</v>
      </c>
      <c r="AE9" s="104">
        <v>0</v>
      </c>
      <c r="AF9" s="104">
        <v>0</v>
      </c>
      <c r="AG9" s="104">
        <v>0</v>
      </c>
      <c r="AH9" s="104">
        <v>0</v>
      </c>
      <c r="AI9" s="104">
        <v>0</v>
      </c>
      <c r="AJ9" s="104">
        <v>0</v>
      </c>
      <c r="AK9" s="104">
        <v>0</v>
      </c>
      <c r="AL9" s="104">
        <v>0</v>
      </c>
      <c r="AM9" s="104">
        <v>0</v>
      </c>
      <c r="AN9" s="104">
        <v>0</v>
      </c>
      <c r="AO9" s="163">
        <f>SUM(AC9:AN9)</f>
        <v>0</v>
      </c>
      <c r="AP9" s="104">
        <v>0</v>
      </c>
      <c r="AQ9" s="104">
        <v>0</v>
      </c>
      <c r="AR9" s="104">
        <v>0</v>
      </c>
      <c r="AS9" s="104">
        <v>0</v>
      </c>
      <c r="AT9" s="104">
        <v>0</v>
      </c>
      <c r="AU9" s="104">
        <v>0</v>
      </c>
      <c r="AV9" s="104">
        <v>0</v>
      </c>
      <c r="AW9" s="104">
        <v>0</v>
      </c>
      <c r="AX9" s="104">
        <v>0</v>
      </c>
      <c r="AY9" s="104">
        <v>0</v>
      </c>
      <c r="AZ9" s="104">
        <v>0</v>
      </c>
      <c r="BA9" s="104">
        <v>0</v>
      </c>
      <c r="BB9" s="163">
        <f>SUM(AP9:BA9)</f>
        <v>0</v>
      </c>
      <c r="BC9" s="104">
        <v>0</v>
      </c>
      <c r="BD9" s="104">
        <v>0</v>
      </c>
      <c r="BE9" s="104">
        <v>0</v>
      </c>
      <c r="BF9" s="104">
        <v>0</v>
      </c>
      <c r="BG9" s="104">
        <v>0</v>
      </c>
      <c r="BH9" s="104">
        <v>0</v>
      </c>
      <c r="BI9" s="104">
        <v>0</v>
      </c>
      <c r="BJ9" s="104">
        <v>0</v>
      </c>
      <c r="BK9" s="104">
        <v>0</v>
      </c>
      <c r="BL9" s="104">
        <v>0</v>
      </c>
      <c r="BM9" s="104">
        <v>0</v>
      </c>
      <c r="BN9" s="104">
        <v>0</v>
      </c>
      <c r="BO9" s="163">
        <f>SUM(BC9:BN9)</f>
        <v>0</v>
      </c>
      <c r="BP9" s="104">
        <v>0</v>
      </c>
      <c r="BQ9" s="104">
        <v>0</v>
      </c>
      <c r="BR9" s="104">
        <v>0</v>
      </c>
      <c r="BS9" s="104">
        <v>0</v>
      </c>
      <c r="BT9" s="104">
        <v>0</v>
      </c>
      <c r="BU9" s="104">
        <v>0</v>
      </c>
      <c r="BV9" s="104">
        <v>0</v>
      </c>
      <c r="BW9" s="104">
        <v>0</v>
      </c>
      <c r="BX9" s="104">
        <v>0</v>
      </c>
      <c r="BY9" s="104">
        <v>0</v>
      </c>
      <c r="BZ9" s="104">
        <v>0</v>
      </c>
      <c r="CA9" s="104">
        <v>0</v>
      </c>
      <c r="CB9" s="163">
        <f>SUM(BP9:CA9)</f>
        <v>0</v>
      </c>
      <c r="CC9" s="104">
        <v>0</v>
      </c>
      <c r="CD9" s="104">
        <v>0</v>
      </c>
      <c r="CE9" s="104">
        <v>0</v>
      </c>
      <c r="CF9" s="104">
        <v>0</v>
      </c>
      <c r="CG9" s="104">
        <v>0</v>
      </c>
      <c r="CH9" s="104">
        <v>0</v>
      </c>
      <c r="CI9" s="104">
        <v>0</v>
      </c>
      <c r="CJ9" s="104">
        <v>0</v>
      </c>
      <c r="CK9" s="104">
        <v>0</v>
      </c>
      <c r="CL9" s="104">
        <v>0</v>
      </c>
      <c r="CM9" s="104">
        <v>0</v>
      </c>
      <c r="CN9" s="104">
        <v>0</v>
      </c>
      <c r="CO9" s="163">
        <f>SUM(CC9:CN9)</f>
        <v>0</v>
      </c>
      <c r="CP9" s="104">
        <v>0</v>
      </c>
      <c r="CQ9" s="104">
        <v>0</v>
      </c>
      <c r="CR9" s="104">
        <v>0</v>
      </c>
      <c r="CS9" s="104">
        <v>0</v>
      </c>
      <c r="CT9" s="104">
        <v>0</v>
      </c>
      <c r="CU9" s="104">
        <v>0</v>
      </c>
      <c r="CV9" s="104">
        <v>0</v>
      </c>
      <c r="CW9" s="104">
        <v>0</v>
      </c>
      <c r="CX9" s="104">
        <v>0</v>
      </c>
      <c r="CY9" s="104">
        <v>0</v>
      </c>
      <c r="CZ9" s="104">
        <v>0</v>
      </c>
      <c r="DA9" s="104">
        <v>0</v>
      </c>
      <c r="DB9" s="163">
        <f>SUM(CP9:DA9)</f>
        <v>0</v>
      </c>
      <c r="DC9" s="104">
        <v>0</v>
      </c>
      <c r="DD9" s="104">
        <v>0</v>
      </c>
      <c r="DE9" s="104">
        <v>0</v>
      </c>
      <c r="DF9" s="104">
        <v>0</v>
      </c>
      <c r="DG9" s="104">
        <v>0</v>
      </c>
      <c r="DH9" s="104">
        <v>0</v>
      </c>
      <c r="DI9" s="104">
        <v>0</v>
      </c>
      <c r="DJ9" s="104">
        <v>0</v>
      </c>
      <c r="DK9" s="104">
        <v>0</v>
      </c>
      <c r="DL9" s="104">
        <v>0</v>
      </c>
      <c r="DM9" s="104">
        <v>0</v>
      </c>
      <c r="DN9" s="104">
        <v>0</v>
      </c>
      <c r="DO9" s="163">
        <f>SUM(DC9:DN9)</f>
        <v>0</v>
      </c>
      <c r="DP9" s="104">
        <v>0</v>
      </c>
      <c r="DQ9" s="104">
        <v>0</v>
      </c>
      <c r="DR9" s="104">
        <v>0</v>
      </c>
      <c r="DS9" s="104">
        <v>0</v>
      </c>
      <c r="DT9" s="104">
        <v>0</v>
      </c>
      <c r="DU9" s="104">
        <v>0</v>
      </c>
      <c r="DV9" s="104">
        <v>0</v>
      </c>
      <c r="DW9" s="104">
        <v>0</v>
      </c>
      <c r="DX9" s="104">
        <v>0</v>
      </c>
      <c r="DY9" s="104">
        <v>0</v>
      </c>
      <c r="DZ9" s="104">
        <v>0</v>
      </c>
      <c r="EA9" s="104">
        <v>0</v>
      </c>
      <c r="EB9" s="163">
        <f>SUM(DP9:EA9)</f>
        <v>0</v>
      </c>
    </row>
    <row r="10" spans="2:136">
      <c r="B10" s="222" t="s">
        <v>214</v>
      </c>
      <c r="C10" s="226">
        <f t="shared" ref="C10:N10" si="0">SUM(C6:C9)</f>
        <v>0</v>
      </c>
      <c r="D10" s="226">
        <f t="shared" si="0"/>
        <v>0</v>
      </c>
      <c r="E10" s="226">
        <f t="shared" si="0"/>
        <v>0</v>
      </c>
      <c r="F10" s="226">
        <f t="shared" si="0"/>
        <v>20196</v>
      </c>
      <c r="G10" s="226">
        <f t="shared" si="0"/>
        <v>0</v>
      </c>
      <c r="H10" s="226">
        <f t="shared" si="0"/>
        <v>109098.9488</v>
      </c>
      <c r="I10" s="226">
        <f t="shared" si="0"/>
        <v>154939.41865000001</v>
      </c>
      <c r="J10" s="226">
        <f t="shared" si="0"/>
        <v>212343.37549999999</v>
      </c>
      <c r="K10" s="226">
        <f t="shared" si="0"/>
        <v>547199.48800000001</v>
      </c>
      <c r="L10" s="226">
        <f t="shared" si="0"/>
        <v>5827454</v>
      </c>
      <c r="M10" s="226">
        <f t="shared" si="0"/>
        <v>294470</v>
      </c>
      <c r="N10" s="226">
        <f t="shared" si="0"/>
        <v>320640</v>
      </c>
      <c r="O10" s="163">
        <f>SUM(C10:N10)</f>
        <v>7486341.2309499998</v>
      </c>
      <c r="P10" s="226">
        <f t="shared" ref="P10:AA10" si="1">SUM(P6:P9)</f>
        <v>3707580</v>
      </c>
      <c r="Q10" s="226">
        <f t="shared" si="1"/>
        <v>879900</v>
      </c>
      <c r="R10" s="226">
        <f t="shared" si="1"/>
        <v>703380</v>
      </c>
      <c r="S10" s="226">
        <f t="shared" si="1"/>
        <v>3865260</v>
      </c>
      <c r="T10" s="226">
        <f t="shared" si="1"/>
        <v>988170</v>
      </c>
      <c r="U10" s="226">
        <f t="shared" si="1"/>
        <v>1374525</v>
      </c>
      <c r="V10" s="226">
        <f t="shared" si="1"/>
        <v>5389230</v>
      </c>
      <c r="W10" s="226">
        <f t="shared" si="1"/>
        <v>1579770</v>
      </c>
      <c r="X10" s="226">
        <f t="shared" si="1"/>
        <v>1579770</v>
      </c>
      <c r="Y10" s="226">
        <f t="shared" si="1"/>
        <v>2579770</v>
      </c>
      <c r="Z10" s="226">
        <f t="shared" si="1"/>
        <v>1579770</v>
      </c>
      <c r="AA10" s="226">
        <f t="shared" si="1"/>
        <v>1579770</v>
      </c>
      <c r="AB10" s="163">
        <f>SUM(P10:AA10)</f>
        <v>25806895</v>
      </c>
      <c r="AC10" s="226">
        <f t="shared" ref="AC10:AN10" si="2">SUM(AC6:AC9)</f>
        <v>1579770</v>
      </c>
      <c r="AD10" s="226">
        <f t="shared" si="2"/>
        <v>5779770</v>
      </c>
      <c r="AE10" s="226">
        <f t="shared" si="2"/>
        <v>1579770</v>
      </c>
      <c r="AF10" s="226">
        <f t="shared" si="2"/>
        <v>1571208.0125000002</v>
      </c>
      <c r="AG10" s="226">
        <f t="shared" si="2"/>
        <v>1571208.0125000002</v>
      </c>
      <c r="AH10" s="226">
        <f t="shared" si="2"/>
        <v>1571208.0125000002</v>
      </c>
      <c r="AI10" s="226">
        <f t="shared" si="2"/>
        <v>5271208.0125000002</v>
      </c>
      <c r="AJ10" s="226">
        <f t="shared" si="2"/>
        <v>1571208.0125000002</v>
      </c>
      <c r="AK10" s="226">
        <f t="shared" si="2"/>
        <v>1571208.0125000002</v>
      </c>
      <c r="AL10" s="226">
        <f t="shared" si="2"/>
        <v>1571208.0125000002</v>
      </c>
      <c r="AM10" s="226">
        <f t="shared" si="2"/>
        <v>1571208.0125000002</v>
      </c>
      <c r="AN10" s="226">
        <f t="shared" si="2"/>
        <v>5571208.0125000002</v>
      </c>
      <c r="AO10" s="163">
        <f>SUM(AC10:AN10)</f>
        <v>30780182.112499993</v>
      </c>
      <c r="AP10" s="226">
        <f t="shared" ref="AP10:BA10" si="3">SUM(AP6:AP9)</f>
        <v>1571208.0125000002</v>
      </c>
      <c r="AQ10" s="226">
        <f t="shared" si="3"/>
        <v>1571208.0125000002</v>
      </c>
      <c r="AR10" s="226">
        <f t="shared" si="3"/>
        <v>1571208.0125000002</v>
      </c>
      <c r="AS10" s="226">
        <f t="shared" si="3"/>
        <v>1682928.2557499998</v>
      </c>
      <c r="AT10" s="226">
        <f t="shared" si="3"/>
        <v>1682928.2557499998</v>
      </c>
      <c r="AU10" s="226">
        <f t="shared" si="3"/>
        <v>1682928.2557499998</v>
      </c>
      <c r="AV10" s="226">
        <f t="shared" si="3"/>
        <v>3682928.2557499995</v>
      </c>
      <c r="AW10" s="226">
        <f t="shared" si="3"/>
        <v>1682928.2557499998</v>
      </c>
      <c r="AX10" s="226">
        <f t="shared" si="3"/>
        <v>4682928.2557499995</v>
      </c>
      <c r="AY10" s="226">
        <f t="shared" si="3"/>
        <v>1682928.2557499998</v>
      </c>
      <c r="AZ10" s="226">
        <f t="shared" si="3"/>
        <v>1682928.2557499998</v>
      </c>
      <c r="BA10" s="226">
        <f t="shared" si="3"/>
        <v>1682928.2557499998</v>
      </c>
      <c r="BB10" s="163">
        <f>SUM(AP10:BA10)</f>
        <v>24859978.339250002</v>
      </c>
      <c r="BC10" s="226">
        <f t="shared" ref="BC10:BN10" si="4">SUM(BC6:BC9)</f>
        <v>5382928.2557499995</v>
      </c>
      <c r="BD10" s="226">
        <f t="shared" si="4"/>
        <v>1682928.2557499998</v>
      </c>
      <c r="BE10" s="226">
        <f t="shared" si="4"/>
        <v>1682928.2557499998</v>
      </c>
      <c r="BF10" s="226">
        <f t="shared" si="4"/>
        <v>1801807.6885200001</v>
      </c>
      <c r="BG10" s="226">
        <f t="shared" si="4"/>
        <v>1801807.6885200001</v>
      </c>
      <c r="BH10" s="226">
        <f t="shared" si="4"/>
        <v>1801807.6885200001</v>
      </c>
      <c r="BI10" s="226">
        <f t="shared" si="4"/>
        <v>4301807.6885200003</v>
      </c>
      <c r="BJ10" s="226">
        <f t="shared" si="4"/>
        <v>1801807.6885200001</v>
      </c>
      <c r="BK10" s="226">
        <f t="shared" si="4"/>
        <v>1801807.6885200001</v>
      </c>
      <c r="BL10" s="226">
        <f t="shared" si="4"/>
        <v>1801807.6885200001</v>
      </c>
      <c r="BM10" s="226">
        <f t="shared" si="4"/>
        <v>1801807.6885200001</v>
      </c>
      <c r="BN10" s="226">
        <f t="shared" si="4"/>
        <v>1801807.6885200001</v>
      </c>
      <c r="BO10" s="163">
        <f>SUM(BC10:BN10)</f>
        <v>27465053.963929996</v>
      </c>
      <c r="BP10" s="226">
        <f t="shared" ref="BP10:CA10" si="5">SUM(BP6:BP9)</f>
        <v>5301807.6885200003</v>
      </c>
      <c r="BQ10" s="226">
        <f t="shared" si="5"/>
        <v>1801807.6885200001</v>
      </c>
      <c r="BR10" s="226">
        <f t="shared" si="5"/>
        <v>1801807.6885200001</v>
      </c>
      <c r="BS10" s="226">
        <f t="shared" si="5"/>
        <v>1929702.7363509003</v>
      </c>
      <c r="BT10" s="226">
        <f t="shared" si="5"/>
        <v>1929702.7363509003</v>
      </c>
      <c r="BU10" s="226">
        <f t="shared" si="5"/>
        <v>1929702.7363509003</v>
      </c>
      <c r="BV10" s="226">
        <f t="shared" si="5"/>
        <v>4429702.7363509005</v>
      </c>
      <c r="BW10" s="226">
        <f t="shared" si="5"/>
        <v>1929702.7363509003</v>
      </c>
      <c r="BX10" s="226">
        <f t="shared" si="5"/>
        <v>1929702.7363509003</v>
      </c>
      <c r="BY10" s="226">
        <f t="shared" si="5"/>
        <v>1929702.7363509003</v>
      </c>
      <c r="BZ10" s="226">
        <f t="shared" si="5"/>
        <v>1929702.7363509003</v>
      </c>
      <c r="CA10" s="226">
        <f t="shared" si="5"/>
        <v>1929702.7363509003</v>
      </c>
      <c r="CB10" s="163">
        <f>SUM(BP10:CA10)</f>
        <v>28772747.692718107</v>
      </c>
      <c r="CC10" s="226">
        <f t="shared" ref="CC10:CN10" si="6">SUM(CC6:CC9)</f>
        <v>2929702.7363509005</v>
      </c>
      <c r="CD10" s="226">
        <f t="shared" si="6"/>
        <v>1929702.7363509003</v>
      </c>
      <c r="CE10" s="226">
        <f t="shared" si="6"/>
        <v>1929702.7363509003</v>
      </c>
      <c r="CF10" s="226">
        <f t="shared" si="6"/>
        <v>3566703.6889623599</v>
      </c>
      <c r="CG10" s="226">
        <f t="shared" si="6"/>
        <v>2066703.6889623601</v>
      </c>
      <c r="CH10" s="226">
        <f t="shared" si="6"/>
        <v>2066703.6889623601</v>
      </c>
      <c r="CI10" s="226">
        <f t="shared" si="6"/>
        <v>3566703.6889623599</v>
      </c>
      <c r="CJ10" s="226">
        <f t="shared" si="6"/>
        <v>2066703.6889623601</v>
      </c>
      <c r="CK10" s="226">
        <f t="shared" si="6"/>
        <v>2066703.6889623601</v>
      </c>
      <c r="CL10" s="226">
        <f t="shared" si="6"/>
        <v>2066703.6889623601</v>
      </c>
      <c r="CM10" s="226">
        <f t="shared" si="6"/>
        <v>2066703.6889623601</v>
      </c>
      <c r="CN10" s="226">
        <f t="shared" si="6"/>
        <v>2066703.6889623601</v>
      </c>
      <c r="CO10" s="163">
        <f>SUM(CC10:CN10)</f>
        <v>28389441.409713939</v>
      </c>
      <c r="CP10" s="226">
        <f t="shared" ref="CP10:DA10" si="7">SUM(CP6:CP9)</f>
        <v>4066703.6889623599</v>
      </c>
      <c r="CQ10" s="226">
        <f t="shared" si="7"/>
        <v>2066703.6889623601</v>
      </c>
      <c r="CR10" s="226">
        <f t="shared" si="7"/>
        <v>2066703.6889623601</v>
      </c>
      <c r="CS10" s="226">
        <f t="shared" si="7"/>
        <v>3212791.7072583199</v>
      </c>
      <c r="CT10" s="226">
        <f t="shared" si="7"/>
        <v>2212791.7072583199</v>
      </c>
      <c r="CU10" s="226">
        <f t="shared" si="7"/>
        <v>2212791.7072583199</v>
      </c>
      <c r="CV10" s="226">
        <f t="shared" si="7"/>
        <v>4512791.7072583195</v>
      </c>
      <c r="CW10" s="226">
        <f t="shared" si="7"/>
        <v>2212791.7072583199</v>
      </c>
      <c r="CX10" s="226">
        <f t="shared" si="7"/>
        <v>2212791.7072583199</v>
      </c>
      <c r="CY10" s="226">
        <f t="shared" si="7"/>
        <v>2212791.7072583199</v>
      </c>
      <c r="CZ10" s="226">
        <f t="shared" si="7"/>
        <v>2212791.7072583199</v>
      </c>
      <c r="DA10" s="226">
        <f t="shared" si="7"/>
        <v>2212791.7072583199</v>
      </c>
      <c r="DB10" s="163">
        <f>SUM(CP10:DA10)</f>
        <v>31415236.432211965</v>
      </c>
      <c r="DC10" s="226">
        <f t="shared" ref="DC10:DN10" si="8">SUM(DC6:DC9)</f>
        <v>5212791.7072583195</v>
      </c>
      <c r="DD10" s="226">
        <f t="shared" si="8"/>
        <v>2212791.7072583199</v>
      </c>
      <c r="DE10" s="226">
        <f t="shared" si="8"/>
        <v>2212791.7072583199</v>
      </c>
      <c r="DF10" s="226">
        <f t="shared" si="8"/>
        <v>2369912.7778407852</v>
      </c>
      <c r="DG10" s="226">
        <f t="shared" si="8"/>
        <v>2369912.7778407852</v>
      </c>
      <c r="DH10" s="226">
        <f t="shared" si="8"/>
        <v>2369912.7778407852</v>
      </c>
      <c r="DI10" s="226">
        <f t="shared" si="8"/>
        <v>4669912.7778407857</v>
      </c>
      <c r="DJ10" s="226">
        <f t="shared" si="8"/>
        <v>2369912.7778407852</v>
      </c>
      <c r="DK10" s="226">
        <f t="shared" si="8"/>
        <v>2369912.7778407852</v>
      </c>
      <c r="DL10" s="226">
        <f t="shared" si="8"/>
        <v>2369912.7778407852</v>
      </c>
      <c r="DM10" s="226">
        <f t="shared" si="8"/>
        <v>2369912.7778407852</v>
      </c>
      <c r="DN10" s="226">
        <f t="shared" si="8"/>
        <v>2369912.7778407852</v>
      </c>
      <c r="DO10" s="163">
        <f>SUM(DC10:DN10)</f>
        <v>33267590.122342028</v>
      </c>
      <c r="DP10" s="226">
        <f t="shared" ref="DP10:EA10" si="9">SUM(DP6:DP9)</f>
        <v>6369912.7778407857</v>
      </c>
      <c r="DQ10" s="226">
        <f t="shared" si="9"/>
        <v>2369912.7778407852</v>
      </c>
      <c r="DR10" s="226">
        <f t="shared" si="9"/>
        <v>2369912.7778407852</v>
      </c>
      <c r="DS10" s="226">
        <f t="shared" si="9"/>
        <v>2538028.5639964906</v>
      </c>
      <c r="DT10" s="226">
        <f t="shared" si="9"/>
        <v>2538028.5639964906</v>
      </c>
      <c r="DU10" s="226">
        <f t="shared" si="9"/>
        <v>2538028.5639964906</v>
      </c>
      <c r="DV10" s="226">
        <f t="shared" si="9"/>
        <v>5538028.5639964901</v>
      </c>
      <c r="DW10" s="226">
        <f t="shared" si="9"/>
        <v>2538028.5639964906</v>
      </c>
      <c r="DX10" s="226">
        <f t="shared" si="9"/>
        <v>2538028.5639964906</v>
      </c>
      <c r="DY10" s="226">
        <f t="shared" si="9"/>
        <v>2538028.5639964906</v>
      </c>
      <c r="DZ10" s="226">
        <f t="shared" si="9"/>
        <v>2538028.5639964906</v>
      </c>
      <c r="EA10" s="226">
        <f t="shared" si="9"/>
        <v>2538028.5639964906</v>
      </c>
      <c r="EB10" s="163">
        <f>SUM(DP10:EA10)</f>
        <v>36951995.409490772</v>
      </c>
    </row>
    <row r="12" spans="2:136" ht="15.5">
      <c r="B12" s="241" t="s">
        <v>215</v>
      </c>
    </row>
    <row r="13" spans="2:136" outlineLevel="1">
      <c r="B13" s="86" t="s">
        <v>547</v>
      </c>
      <c r="C13" s="104">
        <v>0</v>
      </c>
      <c r="D13" s="104">
        <f>+Ej_Costos!C37+Ej_Costos!C40+Ej_Costos!C54</f>
        <v>3586.7900771716559</v>
      </c>
      <c r="E13" s="104">
        <f>+Ej_Costos!D37+Ej_Costos!D40+Ej_Costos!D54</f>
        <v>5982.7597990750019</v>
      </c>
      <c r="F13" s="104">
        <f>+Ej_Costos!E37+Ej_Costos!E40+Ej_Costos!E54</f>
        <v>12820.448829817589</v>
      </c>
      <c r="G13" s="104">
        <f>+Ej_Costos!F37+Ej_Costos!F40+Ej_Costos!F54</f>
        <v>7654.6253226544923</v>
      </c>
      <c r="H13" s="104">
        <f>+Ej_Costos!G37+Ej_Costos!G40+Ej_Costos!G54</f>
        <v>8436.5849829417675</v>
      </c>
      <c r="I13" s="104">
        <f>+Ej_Costos!H37+Ej_Costos!H40+Ej_Costos!H54</f>
        <v>7095.626158077026</v>
      </c>
      <c r="J13" s="104">
        <f>+Ej_Costos!I37+Ej_Costos!I40+Ej_Costos!I54</f>
        <v>5397.3341053846834</v>
      </c>
      <c r="K13" s="104">
        <f>+Ej_Costos!J37+Ej_Costos!J40+Ej_Costos!J54</f>
        <v>5523.1335166952276</v>
      </c>
      <c r="L13" s="104">
        <f>+Ej_Costos!K37+Ej_Costos!K40+Ej_Costos!K54</f>
        <v>5648.9329280057718</v>
      </c>
      <c r="M13" s="104">
        <f>+Ej_Costos!L37+Ej_Costos!L40+Ej_Costos!L54</f>
        <v>10051.912323874807</v>
      </c>
      <c r="N13" s="104">
        <f>+Ej_Costos!M37+Ej_Costos!M40+Ej_Costos!M54</f>
        <v>12567.900550085682</v>
      </c>
      <c r="O13" s="163">
        <f t="shared" ref="O13:O26" si="10">SUM(C13:N13)</f>
        <v>84766.048593783707</v>
      </c>
      <c r="P13" s="104">
        <f>+Ej_Costos!R37+Ej_Costos!R40+Ej_Costos!R54</f>
        <v>12151.541352543125</v>
      </c>
      <c r="Q13" s="104">
        <f>+Ej_Costos!S37+Ej_Costos!S40+Ej_Costos!S54</f>
        <v>13394.49539571167</v>
      </c>
      <c r="R13" s="104">
        <f>+Ej_Costos!T37+Ej_Costos!T40+Ej_Costos!T54</f>
        <v>17537.675539606826</v>
      </c>
      <c r="S13" s="104">
        <f>+Ej_Costos!U37+Ej_Costos!U40+Ej_Costos!U54</f>
        <v>18987.788589970129</v>
      </c>
      <c r="T13" s="104">
        <f>+Ej_Costos!V37+Ej_Costos!V40+Ej_Costos!V54</f>
        <v>19816.424618749159</v>
      </c>
      <c r="U13" s="104">
        <f>+Ej_Costos!W37+Ej_Costos!W40+Ej_Costos!W54</f>
        <v>19816.424618749159</v>
      </c>
      <c r="V13" s="104">
        <f>+Ej_Costos!X37+Ej_Costos!X40+Ej_Costos!X54</f>
        <v>19816.424618749159</v>
      </c>
      <c r="W13" s="104">
        <f>+Ej_Costos!Y37+Ej_Costos!Y40+Ej_Costos!Y54</f>
        <v>19816.424618749159</v>
      </c>
      <c r="X13" s="104">
        <f>+Ej_Costos!Z37+Ej_Costos!Z40+Ej_Costos!Z54</f>
        <v>19816.424618749159</v>
      </c>
      <c r="Y13" s="104">
        <f>+Ej_Costos!AA37+Ej_Costos!AA40+Ej_Costos!AA54</f>
        <v>19816.424618749159</v>
      </c>
      <c r="Z13" s="104">
        <f>+Ej_Costos!AB37+Ej_Costos!AB40+Ej_Costos!AB54</f>
        <v>19816.424618749159</v>
      </c>
      <c r="AA13" s="104">
        <f>+Ej_Costos!AC37+Ej_Costos!AC40+Ej_Costos!AC54</f>
        <v>19816.424618749159</v>
      </c>
      <c r="AB13" s="163">
        <f t="shared" ref="AB13:AB17" si="11">SUM(P13:AA13)</f>
        <v>220602.89782782499</v>
      </c>
      <c r="AC13" s="104">
        <v>11848.057007234804</v>
      </c>
      <c r="AD13" s="104">
        <v>13053.84970199825</v>
      </c>
      <c r="AE13" s="104">
        <v>17073.158684543068</v>
      </c>
      <c r="AF13" s="104">
        <v>18479.916828433754</v>
      </c>
      <c r="AG13" s="104">
        <v>19283.778624942715</v>
      </c>
      <c r="AH13" s="104">
        <v>19283.778624942715</v>
      </c>
      <c r="AI13" s="104">
        <v>19283.778624942715</v>
      </c>
      <c r="AJ13" s="104">
        <v>19283.778624942715</v>
      </c>
      <c r="AK13" s="104">
        <v>19283.778624942715</v>
      </c>
      <c r="AL13" s="104">
        <v>19283.778624942715</v>
      </c>
      <c r="AM13" s="104">
        <v>19283.778624942715</v>
      </c>
      <c r="AN13" s="104">
        <v>19283.778624942715</v>
      </c>
      <c r="AO13" s="163">
        <f t="shared" ref="AO13:AO17" si="12">SUM(AC13:AN13)</f>
        <v>214725.21122175152</v>
      </c>
      <c r="AP13" s="104">
        <v>11848.057007234804</v>
      </c>
      <c r="AQ13" s="104">
        <v>13053.84970199825</v>
      </c>
      <c r="AR13" s="104">
        <v>17073.158684543068</v>
      </c>
      <c r="AS13" s="104">
        <v>18479.916828433754</v>
      </c>
      <c r="AT13" s="104">
        <v>19283.778624942715</v>
      </c>
      <c r="AU13" s="104">
        <v>19283.778624942715</v>
      </c>
      <c r="AV13" s="104">
        <v>19283.778624942715</v>
      </c>
      <c r="AW13" s="104">
        <v>19283.778624942715</v>
      </c>
      <c r="AX13" s="104">
        <v>19283.778624942715</v>
      </c>
      <c r="AY13" s="104">
        <v>19283.778624942715</v>
      </c>
      <c r="AZ13" s="104">
        <v>19283.778624942715</v>
      </c>
      <c r="BA13" s="104">
        <v>19283.778624942715</v>
      </c>
      <c r="BB13" s="163">
        <f t="shared" ref="BB13:BB17" si="13">SUM(AP13:BA13)</f>
        <v>214725.21122175152</v>
      </c>
      <c r="BC13" s="104">
        <v>11848.057007234804</v>
      </c>
      <c r="BD13" s="104">
        <v>13053.84970199825</v>
      </c>
      <c r="BE13" s="104">
        <v>17073.158684543068</v>
      </c>
      <c r="BF13" s="104">
        <v>18479.916828433754</v>
      </c>
      <c r="BG13" s="104">
        <v>19283.778624942715</v>
      </c>
      <c r="BH13" s="104">
        <v>19283.778624942715</v>
      </c>
      <c r="BI13" s="104">
        <v>19283.778624942715</v>
      </c>
      <c r="BJ13" s="104">
        <v>19283.778624942715</v>
      </c>
      <c r="BK13" s="104">
        <v>19283.778624942715</v>
      </c>
      <c r="BL13" s="104">
        <v>19283.778624942715</v>
      </c>
      <c r="BM13" s="104">
        <v>19283.778624942715</v>
      </c>
      <c r="BN13" s="104">
        <v>19283.778624942715</v>
      </c>
      <c r="BO13" s="163">
        <f t="shared" ref="BO13:BO17" si="14">SUM(BC13:BN13)</f>
        <v>214725.21122175152</v>
      </c>
      <c r="BP13" s="104">
        <v>11848.057007234804</v>
      </c>
      <c r="BQ13" s="104">
        <v>13053.84970199825</v>
      </c>
      <c r="BR13" s="104">
        <v>17073.158684543068</v>
      </c>
      <c r="BS13" s="104">
        <v>18479.916828433754</v>
      </c>
      <c r="BT13" s="104">
        <v>19283.778624942715</v>
      </c>
      <c r="BU13" s="104">
        <v>19283.778624942715</v>
      </c>
      <c r="BV13" s="104">
        <v>19283.778624942715</v>
      </c>
      <c r="BW13" s="104">
        <v>19283.778624942715</v>
      </c>
      <c r="BX13" s="104">
        <v>19283.778624942715</v>
      </c>
      <c r="BY13" s="104">
        <v>19283.778624942715</v>
      </c>
      <c r="BZ13" s="104">
        <v>19283.778624942715</v>
      </c>
      <c r="CA13" s="104">
        <v>19283.778624942715</v>
      </c>
      <c r="CB13" s="163">
        <f t="shared" ref="CB13:CB17" si="15">SUM(BP13:CA13)</f>
        <v>214725.21122175152</v>
      </c>
      <c r="CC13" s="104">
        <v>11848.057007234804</v>
      </c>
      <c r="CD13" s="104">
        <v>13053.84970199825</v>
      </c>
      <c r="CE13" s="104">
        <v>17073.158684543068</v>
      </c>
      <c r="CF13" s="104">
        <v>18479.916828433754</v>
      </c>
      <c r="CG13" s="104">
        <v>19283.778624942715</v>
      </c>
      <c r="CH13" s="104">
        <v>19283.778624942715</v>
      </c>
      <c r="CI13" s="104">
        <v>19283.778624942715</v>
      </c>
      <c r="CJ13" s="104">
        <v>19283.778624942715</v>
      </c>
      <c r="CK13" s="104">
        <v>19283.778624942715</v>
      </c>
      <c r="CL13" s="104">
        <v>19283.778624942715</v>
      </c>
      <c r="CM13" s="104">
        <v>19283.778624942715</v>
      </c>
      <c r="CN13" s="104">
        <v>19283.778624942715</v>
      </c>
      <c r="CO13" s="163">
        <f t="shared" ref="CO13:CO17" si="16">SUM(CC13:CN13)</f>
        <v>214725.21122175152</v>
      </c>
      <c r="CP13" s="104">
        <v>11848.057007234804</v>
      </c>
      <c r="CQ13" s="104">
        <v>13053.84970199825</v>
      </c>
      <c r="CR13" s="104">
        <v>17073.158684543068</v>
      </c>
      <c r="CS13" s="104">
        <v>18479.916828433754</v>
      </c>
      <c r="CT13" s="104">
        <v>19283.778624942715</v>
      </c>
      <c r="CU13" s="104">
        <v>19283.778624942715</v>
      </c>
      <c r="CV13" s="104">
        <v>19283.778624942715</v>
      </c>
      <c r="CW13" s="104">
        <v>19283.778624942715</v>
      </c>
      <c r="CX13" s="104">
        <v>19283.778624942715</v>
      </c>
      <c r="CY13" s="104">
        <v>19283.778624942715</v>
      </c>
      <c r="CZ13" s="104">
        <v>19283.778624942715</v>
      </c>
      <c r="DA13" s="104">
        <v>19283.778624942715</v>
      </c>
      <c r="DB13" s="163">
        <f t="shared" ref="DB13:DB17" si="17">SUM(CP13:DA13)</f>
        <v>214725.21122175152</v>
      </c>
      <c r="DC13" s="104">
        <v>11848.057007234804</v>
      </c>
      <c r="DD13" s="104">
        <v>13053.84970199825</v>
      </c>
      <c r="DE13" s="104">
        <v>17073.158684543068</v>
      </c>
      <c r="DF13" s="104">
        <v>18479.916828433754</v>
      </c>
      <c r="DG13" s="104">
        <v>19283.778624942715</v>
      </c>
      <c r="DH13" s="104">
        <v>19283.778624942715</v>
      </c>
      <c r="DI13" s="104">
        <v>19283.778624942715</v>
      </c>
      <c r="DJ13" s="104">
        <v>19283.778624942715</v>
      </c>
      <c r="DK13" s="104">
        <v>19283.778624942715</v>
      </c>
      <c r="DL13" s="104">
        <v>19283.778624942715</v>
      </c>
      <c r="DM13" s="104">
        <v>19283.778624942715</v>
      </c>
      <c r="DN13" s="104">
        <v>19283.778624942715</v>
      </c>
      <c r="DO13" s="163">
        <f t="shared" ref="DO13:DO17" si="18">SUM(DC13:DN13)</f>
        <v>214725.21122175152</v>
      </c>
      <c r="DP13" s="104">
        <v>11848.057007234804</v>
      </c>
      <c r="DQ13" s="104">
        <v>13053.84970199825</v>
      </c>
      <c r="DR13" s="104">
        <v>17073.158684543068</v>
      </c>
      <c r="DS13" s="104">
        <v>18479.916828433754</v>
      </c>
      <c r="DT13" s="104">
        <v>19283.778624942715</v>
      </c>
      <c r="DU13" s="104">
        <v>19283.778624942715</v>
      </c>
      <c r="DV13" s="104">
        <v>19283.778624942715</v>
      </c>
      <c r="DW13" s="104">
        <v>19283.778624942715</v>
      </c>
      <c r="DX13" s="104">
        <v>19283.778624942715</v>
      </c>
      <c r="DY13" s="104">
        <v>19283.778624942715</v>
      </c>
      <c r="DZ13" s="104">
        <v>19283.778624942715</v>
      </c>
      <c r="EA13" s="104">
        <v>19283.778624942715</v>
      </c>
      <c r="EB13" s="163">
        <f t="shared" ref="EB13:EB17" si="19">SUM(DP13:EA13)</f>
        <v>214725.21122175152</v>
      </c>
    </row>
    <row r="14" spans="2:136" outlineLevel="1">
      <c r="B14" s="242" t="s">
        <v>530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f>+O38*5%</f>
        <v>72500</v>
      </c>
      <c r="I14" s="104">
        <f>+O38*5%</f>
        <v>72500</v>
      </c>
      <c r="J14" s="104">
        <v>0</v>
      </c>
      <c r="K14" s="104">
        <v>0</v>
      </c>
      <c r="L14" s="104">
        <f>+O38*95%</f>
        <v>1377500</v>
      </c>
      <c r="M14" s="104">
        <f>+O38*95%</f>
        <v>1377500</v>
      </c>
      <c r="N14" s="104">
        <v>0</v>
      </c>
      <c r="O14" s="163">
        <f t="shared" si="10"/>
        <v>2900000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Z14" s="104">
        <v>0</v>
      </c>
      <c r="AA14" s="104">
        <v>0</v>
      </c>
      <c r="AB14" s="163">
        <f t="shared" si="11"/>
        <v>0</v>
      </c>
      <c r="AC14" s="104">
        <v>0</v>
      </c>
      <c r="AD14" s="104">
        <v>0</v>
      </c>
      <c r="AE14" s="104">
        <v>0</v>
      </c>
      <c r="AF14" s="104">
        <v>0</v>
      </c>
      <c r="AG14" s="104">
        <v>0</v>
      </c>
      <c r="AH14" s="104">
        <v>0</v>
      </c>
      <c r="AI14" s="104">
        <v>0</v>
      </c>
      <c r="AJ14" s="104">
        <v>0</v>
      </c>
      <c r="AK14" s="104">
        <v>0</v>
      </c>
      <c r="AL14" s="104">
        <v>0</v>
      </c>
      <c r="AM14" s="104">
        <v>0</v>
      </c>
      <c r="AN14" s="104">
        <v>0</v>
      </c>
      <c r="AO14" s="163">
        <f t="shared" si="12"/>
        <v>0</v>
      </c>
      <c r="AP14" s="104">
        <v>0</v>
      </c>
      <c r="AQ14" s="104">
        <v>0</v>
      </c>
      <c r="AR14" s="104">
        <v>0</v>
      </c>
      <c r="AS14" s="104">
        <v>0</v>
      </c>
      <c r="AT14" s="104">
        <v>0</v>
      </c>
      <c r="AU14" s="104">
        <v>0</v>
      </c>
      <c r="AV14" s="104">
        <v>0</v>
      </c>
      <c r="AW14" s="104">
        <v>0</v>
      </c>
      <c r="AX14" s="104">
        <v>0</v>
      </c>
      <c r="AY14" s="104">
        <v>0</v>
      </c>
      <c r="AZ14" s="104">
        <v>0</v>
      </c>
      <c r="BA14" s="104">
        <v>0</v>
      </c>
      <c r="BB14" s="163">
        <f t="shared" si="13"/>
        <v>0</v>
      </c>
      <c r="BC14" s="104">
        <v>0</v>
      </c>
      <c r="BD14" s="104">
        <v>0</v>
      </c>
      <c r="BE14" s="104">
        <v>0</v>
      </c>
      <c r="BF14" s="104">
        <v>0</v>
      </c>
      <c r="BG14" s="104">
        <v>0</v>
      </c>
      <c r="BH14" s="104">
        <v>0</v>
      </c>
      <c r="BI14" s="104">
        <v>0</v>
      </c>
      <c r="BJ14" s="104">
        <v>0</v>
      </c>
      <c r="BK14" s="104">
        <v>0</v>
      </c>
      <c r="BL14" s="104">
        <v>0</v>
      </c>
      <c r="BM14" s="104">
        <v>0</v>
      </c>
      <c r="BN14" s="104">
        <v>0</v>
      </c>
      <c r="BO14" s="163">
        <f t="shared" si="14"/>
        <v>0</v>
      </c>
      <c r="BP14" s="104">
        <v>0</v>
      </c>
      <c r="BQ14" s="104">
        <v>0</v>
      </c>
      <c r="BR14" s="104">
        <v>0</v>
      </c>
      <c r="BS14" s="104">
        <v>0</v>
      </c>
      <c r="BT14" s="104">
        <v>0</v>
      </c>
      <c r="BU14" s="104">
        <v>0</v>
      </c>
      <c r="BV14" s="104">
        <v>0</v>
      </c>
      <c r="BW14" s="104">
        <v>0</v>
      </c>
      <c r="BX14" s="104">
        <v>0</v>
      </c>
      <c r="BY14" s="104">
        <v>0</v>
      </c>
      <c r="BZ14" s="104">
        <v>0</v>
      </c>
      <c r="CA14" s="104">
        <v>0</v>
      </c>
      <c r="CB14" s="163">
        <f t="shared" si="15"/>
        <v>0</v>
      </c>
      <c r="CC14" s="104">
        <v>0</v>
      </c>
      <c r="CD14" s="104">
        <v>0</v>
      </c>
      <c r="CE14" s="104">
        <v>0</v>
      </c>
      <c r="CF14" s="104">
        <v>0</v>
      </c>
      <c r="CG14" s="104">
        <v>0</v>
      </c>
      <c r="CH14" s="104">
        <v>0</v>
      </c>
      <c r="CI14" s="104">
        <v>0</v>
      </c>
      <c r="CJ14" s="104">
        <v>0</v>
      </c>
      <c r="CK14" s="104">
        <v>0</v>
      </c>
      <c r="CL14" s="104">
        <v>0</v>
      </c>
      <c r="CM14" s="104">
        <v>0</v>
      </c>
      <c r="CN14" s="104">
        <v>0</v>
      </c>
      <c r="CO14" s="163">
        <f t="shared" si="16"/>
        <v>0</v>
      </c>
      <c r="CP14" s="104">
        <v>0</v>
      </c>
      <c r="CQ14" s="104">
        <v>0</v>
      </c>
      <c r="CR14" s="104">
        <v>0</v>
      </c>
      <c r="CS14" s="104">
        <v>0</v>
      </c>
      <c r="CT14" s="104">
        <v>0</v>
      </c>
      <c r="CU14" s="104">
        <v>0</v>
      </c>
      <c r="CV14" s="104">
        <v>0</v>
      </c>
      <c r="CW14" s="104">
        <v>0</v>
      </c>
      <c r="CX14" s="104">
        <v>0</v>
      </c>
      <c r="CY14" s="104">
        <v>0</v>
      </c>
      <c r="CZ14" s="104">
        <v>0</v>
      </c>
      <c r="DA14" s="104">
        <v>0</v>
      </c>
      <c r="DB14" s="163">
        <f t="shared" si="17"/>
        <v>0</v>
      </c>
      <c r="DC14" s="104">
        <v>0</v>
      </c>
      <c r="DD14" s="104">
        <v>0</v>
      </c>
      <c r="DE14" s="104">
        <v>0</v>
      </c>
      <c r="DF14" s="104">
        <v>0</v>
      </c>
      <c r="DG14" s="104">
        <v>0</v>
      </c>
      <c r="DH14" s="104">
        <v>0</v>
      </c>
      <c r="DI14" s="104">
        <v>0</v>
      </c>
      <c r="DJ14" s="104">
        <v>0</v>
      </c>
      <c r="DK14" s="104">
        <v>0</v>
      </c>
      <c r="DL14" s="104">
        <v>0</v>
      </c>
      <c r="DM14" s="104">
        <v>0</v>
      </c>
      <c r="DN14" s="104">
        <v>0</v>
      </c>
      <c r="DO14" s="163">
        <f t="shared" si="18"/>
        <v>0</v>
      </c>
      <c r="DP14" s="104">
        <v>0</v>
      </c>
      <c r="DQ14" s="104">
        <v>0</v>
      </c>
      <c r="DR14" s="104">
        <v>0</v>
      </c>
      <c r="DS14" s="104">
        <v>0</v>
      </c>
      <c r="DT14" s="104">
        <v>0</v>
      </c>
      <c r="DU14" s="104">
        <v>0</v>
      </c>
      <c r="DV14" s="104">
        <v>0</v>
      </c>
      <c r="DW14" s="104">
        <v>0</v>
      </c>
      <c r="DX14" s="104">
        <v>0</v>
      </c>
      <c r="DY14" s="104">
        <v>0</v>
      </c>
      <c r="DZ14" s="104">
        <v>0</v>
      </c>
      <c r="EA14" s="104">
        <v>0</v>
      </c>
      <c r="EB14" s="163">
        <f t="shared" si="19"/>
        <v>0</v>
      </c>
    </row>
    <row r="15" spans="2:136" outlineLevel="1">
      <c r="B15" s="242" t="s">
        <v>548</v>
      </c>
      <c r="C15" s="104">
        <v>0</v>
      </c>
      <c r="D15" s="104">
        <v>0</v>
      </c>
      <c r="E15" s="104">
        <v>0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307">
        <f>+O41*5%</f>
        <v>117500</v>
      </c>
      <c r="L15" s="104">
        <v>0</v>
      </c>
      <c r="M15" s="307">
        <f>+O41*5%</f>
        <v>117500</v>
      </c>
      <c r="N15" s="307">
        <f>+O41*5%</f>
        <v>117500</v>
      </c>
      <c r="O15" s="163">
        <f t="shared" si="10"/>
        <v>352500</v>
      </c>
      <c r="P15" s="307">
        <f>+O41*95%</f>
        <v>2232500</v>
      </c>
      <c r="Q15" s="307">
        <f>+O41*5%</f>
        <v>117500</v>
      </c>
      <c r="R15" s="307">
        <f>(+O41*95%)+(+O41*5%)</f>
        <v>2350000</v>
      </c>
      <c r="S15" s="307">
        <f>(+O41*95%)+(+O41*5%)</f>
        <v>2350000</v>
      </c>
      <c r="T15" s="104">
        <v>0</v>
      </c>
      <c r="U15" s="307">
        <f>+O41*95%</f>
        <v>2232500</v>
      </c>
      <c r="V15" s="307">
        <f>+O41*95%</f>
        <v>2232500</v>
      </c>
      <c r="W15" s="307">
        <f>+O41*95%</f>
        <v>2232500</v>
      </c>
      <c r="X15" s="190">
        <f>+AG42</f>
        <v>127119.46537731031</v>
      </c>
      <c r="Y15" s="104">
        <v>0</v>
      </c>
      <c r="Z15" s="190">
        <f>+AG42</f>
        <v>127119.46537731031</v>
      </c>
      <c r="AA15" s="190">
        <f>+AG42</f>
        <v>127119.46537731031</v>
      </c>
      <c r="AB15" s="163">
        <f t="shared" si="11"/>
        <v>14128858.396131931</v>
      </c>
      <c r="AC15" s="104">
        <f>+AG43</f>
        <v>2415269.842168896</v>
      </c>
      <c r="AD15" s="104">
        <f>+AG42</f>
        <v>127119.46537731031</v>
      </c>
      <c r="AE15" s="104">
        <f>+AG42+AG43</f>
        <v>2542389.3075462063</v>
      </c>
      <c r="AF15" s="104">
        <f>+AG42+AG43</f>
        <v>2542389.3075462063</v>
      </c>
      <c r="AG15" s="104">
        <v>0</v>
      </c>
      <c r="AH15" s="104">
        <f>+AG43</f>
        <v>2415269.842168896</v>
      </c>
      <c r="AI15" s="104">
        <f>+AG43</f>
        <v>2415269.842168896</v>
      </c>
      <c r="AJ15" s="104">
        <f>+AG43</f>
        <v>2415269.842168896</v>
      </c>
      <c r="AK15" s="269">
        <f>+AT42</f>
        <v>137485.13889567761</v>
      </c>
      <c r="AL15" s="104">
        <v>0</v>
      </c>
      <c r="AM15" s="269">
        <f>+AT42</f>
        <v>137485.13889567761</v>
      </c>
      <c r="AN15" s="269">
        <f>+AT42</f>
        <v>137485.13889567761</v>
      </c>
      <c r="AO15" s="163">
        <f t="shared" si="12"/>
        <v>15285432.865832338</v>
      </c>
      <c r="AP15" s="104">
        <f>+AT43</f>
        <v>2612217.6390178744</v>
      </c>
      <c r="AQ15" s="104">
        <f>+AT42</f>
        <v>137485.13889567761</v>
      </c>
      <c r="AR15" s="104">
        <f>+AT42+AT43</f>
        <v>2749702.7779135518</v>
      </c>
      <c r="AS15" s="104">
        <f>+AT42+AT43</f>
        <v>2749702.7779135518</v>
      </c>
      <c r="AT15" s="104">
        <v>0</v>
      </c>
      <c r="AU15" s="104">
        <f>+AT43</f>
        <v>2612217.6390178744</v>
      </c>
      <c r="AV15" s="104">
        <f>+AT43</f>
        <v>2612217.6390178744</v>
      </c>
      <c r="AW15" s="104">
        <f>+AT43</f>
        <v>2612217.6390178744</v>
      </c>
      <c r="AX15" s="269">
        <f>+BG42</f>
        <v>148681.43569473751</v>
      </c>
      <c r="AY15" s="104">
        <v>0</v>
      </c>
      <c r="AZ15" s="269">
        <f>+BG42</f>
        <v>148681.43569473751</v>
      </c>
      <c r="BA15" s="269">
        <f>+BG42</f>
        <v>148681.43569473751</v>
      </c>
      <c r="BB15" s="163">
        <f t="shared" si="13"/>
        <v>16531805.557878491</v>
      </c>
      <c r="BC15" s="104">
        <f>+BG43</f>
        <v>2824947.2782000131</v>
      </c>
      <c r="BD15" s="104">
        <f>+BG42</f>
        <v>148681.43569473751</v>
      </c>
      <c r="BE15" s="104">
        <f>+BG42+BG43</f>
        <v>2973628.7138947505</v>
      </c>
      <c r="BF15" s="104">
        <f>+BG42+BG43</f>
        <v>2973628.7138947505</v>
      </c>
      <c r="BG15" s="104">
        <v>0</v>
      </c>
      <c r="BH15" s="104">
        <f>+BG43</f>
        <v>2824947.2782000131</v>
      </c>
      <c r="BI15" s="104">
        <f>+BG43</f>
        <v>2824947.2782000131</v>
      </c>
      <c r="BJ15" s="104">
        <f>+BG43</f>
        <v>2824947.2782000131</v>
      </c>
      <c r="BK15" s="269">
        <f>+BT42</f>
        <v>160798.25460815459</v>
      </c>
      <c r="BL15" s="104">
        <v>0</v>
      </c>
      <c r="BM15" s="269">
        <f>+BT42</f>
        <v>160798.25460815459</v>
      </c>
      <c r="BN15" s="269">
        <f>+BT42</f>
        <v>160798.25460815459</v>
      </c>
      <c r="BO15" s="163">
        <f t="shared" si="14"/>
        <v>17878122.740108754</v>
      </c>
      <c r="BP15" s="104">
        <f>+BT43</f>
        <v>3055166.8375549368</v>
      </c>
      <c r="BQ15" s="104">
        <f>+BT42</f>
        <v>160798.25460815459</v>
      </c>
      <c r="BR15" s="104">
        <f>+BT42+BT43</f>
        <v>3215965.0921630915</v>
      </c>
      <c r="BS15" s="104">
        <f>+BT42+BT43</f>
        <v>3215965.0921630915</v>
      </c>
      <c r="BT15" s="104">
        <v>0</v>
      </c>
      <c r="BU15" s="104">
        <f>+BT43</f>
        <v>3055166.8375549368</v>
      </c>
      <c r="BV15" s="104">
        <f>+BT43</f>
        <v>3055166.8375549368</v>
      </c>
      <c r="BW15" s="104">
        <f>+BT43</f>
        <v>3055166.8375549368</v>
      </c>
      <c r="BX15" s="269">
        <f>+CF42</f>
        <v>173890.40215598335</v>
      </c>
      <c r="BY15" s="104">
        <v>0</v>
      </c>
      <c r="BZ15" s="269">
        <f>+CF42</f>
        <v>173890.40215598335</v>
      </c>
      <c r="CA15" s="269">
        <f>+CF42</f>
        <v>173890.40215598335</v>
      </c>
      <c r="CB15" s="163">
        <f t="shared" si="15"/>
        <v>19335066.995622039</v>
      </c>
      <c r="CC15" s="104">
        <f>+CF43</f>
        <v>3303917.6409636829</v>
      </c>
      <c r="CD15" s="104">
        <f>+CF42</f>
        <v>173890.40215598335</v>
      </c>
      <c r="CE15" s="104">
        <f>+CF42+CF43</f>
        <v>3477808.0431196662</v>
      </c>
      <c r="CF15" s="104">
        <f>+CF42+CF43</f>
        <v>3477808.0431196662</v>
      </c>
      <c r="CG15" s="104">
        <v>0</v>
      </c>
      <c r="CH15" s="104">
        <f>+CF43</f>
        <v>3303917.6409636829</v>
      </c>
      <c r="CI15" s="104">
        <f>+CF43</f>
        <v>3303917.6409636829</v>
      </c>
      <c r="CJ15" s="104">
        <f>+CF43</f>
        <v>3303917.6409636829</v>
      </c>
      <c r="CK15" s="269">
        <f>+CT42</f>
        <v>188037.60874929489</v>
      </c>
      <c r="CL15" s="104">
        <v>0</v>
      </c>
      <c r="CM15" s="269">
        <f>+CT42</f>
        <v>188037.60874929489</v>
      </c>
      <c r="CN15" s="269">
        <f>+CT42</f>
        <v>188037.60874929489</v>
      </c>
      <c r="CO15" s="163">
        <f t="shared" si="16"/>
        <v>20909289.87849794</v>
      </c>
      <c r="CP15" s="104">
        <f>+CT43</f>
        <v>3572714.5662366021</v>
      </c>
      <c r="CQ15" s="104">
        <f>+CT42</f>
        <v>188037.60874929489</v>
      </c>
      <c r="CR15" s="104">
        <f>+CT42+CT43</f>
        <v>3760752.1749858968</v>
      </c>
      <c r="CS15" s="104">
        <f>+CT42+CT43</f>
        <v>3760752.1749858968</v>
      </c>
      <c r="CT15" s="104">
        <v>0</v>
      </c>
      <c r="CU15" s="104">
        <f>+CT43</f>
        <v>3572714.5662366021</v>
      </c>
      <c r="CV15" s="104">
        <f>+CT43</f>
        <v>3572714.5662366021</v>
      </c>
      <c r="CW15" s="104">
        <f>+CT43</f>
        <v>3572714.5662366021</v>
      </c>
      <c r="CX15" s="269">
        <f>+DG42</f>
        <v>203364.66831673461</v>
      </c>
      <c r="CY15" s="104">
        <v>0</v>
      </c>
      <c r="CZ15" s="269">
        <f>+DG42</f>
        <v>203364.66831673461</v>
      </c>
      <c r="DA15" s="269">
        <f>+DG42</f>
        <v>203364.66831673461</v>
      </c>
      <c r="DB15" s="163">
        <f t="shared" si="17"/>
        <v>22610494.228617694</v>
      </c>
      <c r="DC15" s="104">
        <f>+DG43</f>
        <v>3863928.6980179567</v>
      </c>
      <c r="DD15" s="104">
        <f>+DG42</f>
        <v>203364.66831673461</v>
      </c>
      <c r="DE15" s="104">
        <f>+DG42+DG43</f>
        <v>4067293.3663346912</v>
      </c>
      <c r="DF15" s="104">
        <f>+DG42+DG43</f>
        <v>4067293.3663346912</v>
      </c>
      <c r="DG15" s="104">
        <v>0</v>
      </c>
      <c r="DH15" s="104">
        <f>+DG43</f>
        <v>3863928.6980179567</v>
      </c>
      <c r="DI15" s="104">
        <f>+DG43</f>
        <v>3863928.6980179567</v>
      </c>
      <c r="DJ15" s="104">
        <f>+DG43</f>
        <v>3863928.6980179567</v>
      </c>
      <c r="DK15" s="269">
        <f>+DT42</f>
        <v>219921.22685386287</v>
      </c>
      <c r="DL15" s="104">
        <v>0</v>
      </c>
      <c r="DM15" s="269">
        <f>+DT42</f>
        <v>219921.22685386287</v>
      </c>
      <c r="DN15" s="269">
        <f>+DT42</f>
        <v>219921.22685386287</v>
      </c>
      <c r="DO15" s="163">
        <f t="shared" si="18"/>
        <v>24453429.873619527</v>
      </c>
      <c r="DP15" s="104">
        <f>+DT43</f>
        <v>4178503.3102233936</v>
      </c>
      <c r="DQ15" s="104">
        <f>+DT42</f>
        <v>219921.22685386287</v>
      </c>
      <c r="DR15" s="104">
        <f>+DT42+DT43</f>
        <v>4398424.5370772565</v>
      </c>
      <c r="DS15" s="104">
        <f>+DT42+DT43</f>
        <v>4398424.5370772565</v>
      </c>
      <c r="DT15" s="104">
        <v>0</v>
      </c>
      <c r="DU15" s="104">
        <f>+DT43</f>
        <v>4178503.3102233936</v>
      </c>
      <c r="DV15" s="104">
        <f>+DT43</f>
        <v>4178503.3102233936</v>
      </c>
      <c r="DW15" s="104">
        <f>+DT43</f>
        <v>4178503.3102233936</v>
      </c>
      <c r="DX15" s="269">
        <f>219921.226853863*1.03</f>
        <v>226518.86365947887</v>
      </c>
      <c r="DY15" s="104">
        <v>0</v>
      </c>
      <c r="DZ15" s="269">
        <f t="shared" ref="DZ15:EA15" si="20">219921.226853863*1.03</f>
        <v>226518.86365947887</v>
      </c>
      <c r="EA15" s="269">
        <f t="shared" si="20"/>
        <v>226518.86365947887</v>
      </c>
      <c r="EB15" s="163">
        <f t="shared" si="19"/>
        <v>26410340.132880386</v>
      </c>
      <c r="EF15" s="119">
        <f>+DX15+DZ15+EA15</f>
        <v>679556.59097843664</v>
      </c>
    </row>
    <row r="16" spans="2:136" outlineLevel="1">
      <c r="B16" s="86" t="s">
        <v>506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240">
        <v>2779626.3663574327</v>
      </c>
      <c r="M16" s="104">
        <v>0</v>
      </c>
      <c r="N16" s="104">
        <v>0</v>
      </c>
      <c r="O16" s="163">
        <f t="shared" si="10"/>
        <v>2779626.3663574327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322">
        <f>+P8</f>
        <v>3000000</v>
      </c>
      <c r="W16" s="104">
        <v>0</v>
      </c>
      <c r="X16" s="104">
        <v>0</v>
      </c>
      <c r="Y16" s="240">
        <f>+S8</f>
        <v>3000000</v>
      </c>
      <c r="Z16" s="104">
        <v>0</v>
      </c>
      <c r="AA16" s="323">
        <f>+Y8</f>
        <v>1000000</v>
      </c>
      <c r="AB16" s="163">
        <f t="shared" si="11"/>
        <v>7000000</v>
      </c>
      <c r="AC16" s="104">
        <v>0</v>
      </c>
      <c r="AD16" s="262">
        <f>+V8</f>
        <v>3900000</v>
      </c>
      <c r="AE16" s="104">
        <v>0</v>
      </c>
      <c r="AF16" s="104">
        <v>0</v>
      </c>
      <c r="AG16" s="104">
        <v>0</v>
      </c>
      <c r="AH16" s="104">
        <v>0</v>
      </c>
      <c r="AI16" s="104">
        <v>0</v>
      </c>
      <c r="AJ16" s="104">
        <v>0</v>
      </c>
      <c r="AK16" s="104">
        <v>0</v>
      </c>
      <c r="AL16" s="240">
        <f>+AD8</f>
        <v>4200000</v>
      </c>
      <c r="AM16" s="104">
        <v>0</v>
      </c>
      <c r="AN16" s="240">
        <f>+AI8</f>
        <v>3700000</v>
      </c>
      <c r="AO16" s="163">
        <f t="shared" si="12"/>
        <v>11800000</v>
      </c>
      <c r="AP16" s="104">
        <v>0</v>
      </c>
      <c r="AQ16" s="104">
        <v>0</v>
      </c>
      <c r="AR16" s="104">
        <v>0</v>
      </c>
      <c r="AS16" s="104">
        <v>0</v>
      </c>
      <c r="AT16" s="104">
        <v>0</v>
      </c>
      <c r="AU16" s="104">
        <v>0</v>
      </c>
      <c r="AV16" s="104">
        <v>0</v>
      </c>
      <c r="AW16" s="104">
        <v>0</v>
      </c>
      <c r="AX16" s="309">
        <f>+AN8</f>
        <v>4000000</v>
      </c>
      <c r="AY16" s="104">
        <v>0</v>
      </c>
      <c r="AZ16" s="309">
        <f>+AV8</f>
        <v>2000000</v>
      </c>
      <c r="BA16" s="104">
        <v>0</v>
      </c>
      <c r="BB16" s="163">
        <f t="shared" si="13"/>
        <v>6000000</v>
      </c>
      <c r="BC16" s="309">
        <f>+AX8</f>
        <v>3000000</v>
      </c>
      <c r="BD16" s="104">
        <v>0</v>
      </c>
      <c r="BE16" s="104">
        <v>0</v>
      </c>
      <c r="BF16" s="104">
        <v>0</v>
      </c>
      <c r="BG16" s="104">
        <v>0</v>
      </c>
      <c r="BH16" s="104">
        <v>0</v>
      </c>
      <c r="BI16" s="104">
        <v>0</v>
      </c>
      <c r="BJ16" s="104">
        <v>0</v>
      </c>
      <c r="BK16" s="104">
        <v>0</v>
      </c>
      <c r="BL16" s="104">
        <v>0</v>
      </c>
      <c r="BM16" s="309">
        <f>+BC8</f>
        <v>3700000</v>
      </c>
      <c r="BN16" s="104">
        <v>0</v>
      </c>
      <c r="BO16" s="163">
        <f t="shared" si="14"/>
        <v>6700000</v>
      </c>
      <c r="BP16" s="309">
        <f>+BI8</f>
        <v>2500000</v>
      </c>
      <c r="BQ16" s="104">
        <v>0</v>
      </c>
      <c r="BR16" s="104">
        <v>0</v>
      </c>
      <c r="BS16" s="104">
        <v>0</v>
      </c>
      <c r="BT16" s="104">
        <v>0</v>
      </c>
      <c r="BU16" s="104">
        <v>0</v>
      </c>
      <c r="BV16" s="104">
        <v>0</v>
      </c>
      <c r="BW16" s="104">
        <v>0</v>
      </c>
      <c r="BX16" s="104">
        <v>0</v>
      </c>
      <c r="BY16" s="104">
        <v>0</v>
      </c>
      <c r="BZ16" s="309">
        <f>+BP8</f>
        <v>3500000</v>
      </c>
      <c r="CA16" s="309">
        <f>+BV8</f>
        <v>2500000</v>
      </c>
      <c r="CB16" s="163">
        <f t="shared" si="15"/>
        <v>8500000</v>
      </c>
      <c r="CC16" s="104">
        <v>0</v>
      </c>
      <c r="CD16" s="104">
        <v>0</v>
      </c>
      <c r="CE16" s="104">
        <v>0</v>
      </c>
      <c r="CF16" s="104">
        <v>0</v>
      </c>
      <c r="CG16" s="104">
        <v>0</v>
      </c>
      <c r="CH16" s="104">
        <v>0</v>
      </c>
      <c r="CI16" s="104">
        <v>0</v>
      </c>
      <c r="CJ16" s="104">
        <v>0</v>
      </c>
      <c r="CK16" s="104">
        <v>0</v>
      </c>
      <c r="CL16" s="309">
        <f>+CF8</f>
        <v>1500000</v>
      </c>
      <c r="CM16" s="309">
        <f>+CC8</f>
        <v>1000000</v>
      </c>
      <c r="CN16" s="309">
        <f>+CI8</f>
        <v>1500000</v>
      </c>
      <c r="CO16" s="163">
        <f t="shared" si="16"/>
        <v>4000000</v>
      </c>
      <c r="CP16" s="104">
        <v>0</v>
      </c>
      <c r="CQ16" s="104">
        <v>0</v>
      </c>
      <c r="CR16" s="104">
        <v>0</v>
      </c>
      <c r="CS16" s="104">
        <v>0</v>
      </c>
      <c r="CT16" s="104">
        <v>0</v>
      </c>
      <c r="CU16" s="104">
        <v>0</v>
      </c>
      <c r="CV16" s="104">
        <v>0</v>
      </c>
      <c r="CW16" s="104">
        <v>0</v>
      </c>
      <c r="CX16" s="309">
        <f>+CP8</f>
        <v>2000000</v>
      </c>
      <c r="CY16" s="309">
        <f>+CS8</f>
        <v>1000000</v>
      </c>
      <c r="CZ16" s="104">
        <v>0</v>
      </c>
      <c r="DA16" s="309">
        <f>+CV8</f>
        <v>2300000</v>
      </c>
      <c r="DB16" s="163">
        <f t="shared" si="17"/>
        <v>5300000</v>
      </c>
      <c r="DC16" s="104">
        <v>0</v>
      </c>
      <c r="DD16" s="104">
        <v>0</v>
      </c>
      <c r="DE16" s="104">
        <v>0</v>
      </c>
      <c r="DF16" s="104">
        <v>0</v>
      </c>
      <c r="DG16" s="104">
        <v>0</v>
      </c>
      <c r="DH16" s="104">
        <v>0</v>
      </c>
      <c r="DI16" s="104">
        <v>0</v>
      </c>
      <c r="DJ16" s="104">
        <v>0</v>
      </c>
      <c r="DK16" s="104">
        <v>0</v>
      </c>
      <c r="DL16" s="309">
        <f>+DI8</f>
        <v>2300000</v>
      </c>
      <c r="DM16" s="104">
        <v>0</v>
      </c>
      <c r="DN16" s="309">
        <f>+DC8</f>
        <v>3000000</v>
      </c>
      <c r="DO16" s="163">
        <f t="shared" si="18"/>
        <v>5300000</v>
      </c>
      <c r="DP16" s="104">
        <v>0</v>
      </c>
      <c r="DQ16" s="104">
        <v>0</v>
      </c>
      <c r="DR16" s="104">
        <v>0</v>
      </c>
      <c r="DS16" s="104">
        <v>0</v>
      </c>
      <c r="DT16" s="104">
        <v>0</v>
      </c>
      <c r="DU16" s="104">
        <v>0</v>
      </c>
      <c r="DV16" s="104">
        <v>0</v>
      </c>
      <c r="DW16" s="104">
        <v>0</v>
      </c>
      <c r="DX16" s="104">
        <v>0</v>
      </c>
      <c r="DY16" s="104">
        <v>0</v>
      </c>
      <c r="DZ16" s="309">
        <f>+DP8</f>
        <v>4000000</v>
      </c>
      <c r="EA16" s="309">
        <f>+DV8</f>
        <v>3000000</v>
      </c>
      <c r="EB16" s="163">
        <f t="shared" si="19"/>
        <v>7000000</v>
      </c>
      <c r="EF16" s="119">
        <f>+EF6+EF15</f>
        <v>8293642.2829679083</v>
      </c>
    </row>
    <row r="17" spans="2:136" outlineLevel="1">
      <c r="B17" s="86" t="s">
        <v>505</v>
      </c>
      <c r="C17" s="104">
        <v>0</v>
      </c>
      <c r="D17" s="104">
        <v>0</v>
      </c>
      <c r="E17" s="104">
        <v>0</v>
      </c>
      <c r="F17" s="104">
        <v>0</v>
      </c>
      <c r="G17" s="104">
        <v>0</v>
      </c>
      <c r="H17" s="104">
        <v>0</v>
      </c>
      <c r="I17" s="104">
        <v>0</v>
      </c>
      <c r="J17" s="104">
        <v>0</v>
      </c>
      <c r="K17" s="104">
        <v>0</v>
      </c>
      <c r="L17" s="240">
        <v>125862.01292424819</v>
      </c>
      <c r="M17" s="104">
        <v>0</v>
      </c>
      <c r="N17" s="104">
        <v>0</v>
      </c>
      <c r="O17" s="163">
        <f t="shared" si="10"/>
        <v>125862.01292424819</v>
      </c>
      <c r="P17" s="104">
        <v>0</v>
      </c>
      <c r="Q17" s="104">
        <v>0</v>
      </c>
      <c r="R17" s="104">
        <v>0</v>
      </c>
      <c r="S17" s="104">
        <v>0</v>
      </c>
      <c r="T17" s="104">
        <v>0</v>
      </c>
      <c r="U17" s="104">
        <v>0</v>
      </c>
      <c r="V17" s="322">
        <f>((8%/365)*180)*V16</f>
        <v>118356.16438356164</v>
      </c>
      <c r="W17" s="104">
        <v>0</v>
      </c>
      <c r="X17" s="104">
        <v>0</v>
      </c>
      <c r="Y17" s="240">
        <f>((8%/365)*180)*Y16</f>
        <v>118356.16438356164</v>
      </c>
      <c r="Z17" s="104">
        <v>0</v>
      </c>
      <c r="AA17" s="262">
        <f>((8%/365)*60)*AA16</f>
        <v>13150.68493150685</v>
      </c>
      <c r="AB17" s="163">
        <f t="shared" si="11"/>
        <v>249863.01369863012</v>
      </c>
      <c r="AC17" s="104">
        <v>0</v>
      </c>
      <c r="AD17" s="262">
        <f>((8%/365)*210)*AD16</f>
        <v>179506.84931506851</v>
      </c>
      <c r="AE17" s="104">
        <v>0</v>
      </c>
      <c r="AF17" s="104">
        <v>0</v>
      </c>
      <c r="AG17" s="104">
        <v>0</v>
      </c>
      <c r="AH17" s="104">
        <v>0</v>
      </c>
      <c r="AI17" s="104">
        <v>0</v>
      </c>
      <c r="AJ17" s="104">
        <v>0</v>
      </c>
      <c r="AK17" s="104">
        <v>0</v>
      </c>
      <c r="AL17" s="240">
        <f>((8%/365)*240)*AL16</f>
        <v>220931.50684931508</v>
      </c>
      <c r="AM17" s="104">
        <v>0</v>
      </c>
      <c r="AN17" s="240">
        <f>((8%/365)*150)*AN16</f>
        <v>121643.83561643837</v>
      </c>
      <c r="AO17" s="163">
        <f t="shared" si="12"/>
        <v>522082.19178082194</v>
      </c>
      <c r="AP17" s="104">
        <v>0</v>
      </c>
      <c r="AQ17" s="104">
        <v>0</v>
      </c>
      <c r="AR17" s="104">
        <v>0</v>
      </c>
      <c r="AS17" s="104">
        <v>0</v>
      </c>
      <c r="AT17" s="104">
        <v>0</v>
      </c>
      <c r="AU17" s="104">
        <v>0</v>
      </c>
      <c r="AV17" s="104">
        <v>0</v>
      </c>
      <c r="AW17" s="104">
        <v>0</v>
      </c>
      <c r="AX17" s="309">
        <f>((8%/365)*270)*AX16</f>
        <v>236712.32876712328</v>
      </c>
      <c r="AY17" s="104">
        <v>0</v>
      </c>
      <c r="AZ17" s="309">
        <f>((8%/365)*120)*AZ16</f>
        <v>52602.739726027401</v>
      </c>
      <c r="BA17" s="104">
        <v>0</v>
      </c>
      <c r="BB17" s="163">
        <f t="shared" si="13"/>
        <v>289315.0684931507</v>
      </c>
      <c r="BC17" s="309">
        <f>((8%/365)*120)*BC16</f>
        <v>78904.109589041094</v>
      </c>
      <c r="BD17" s="104">
        <v>0</v>
      </c>
      <c r="BE17" s="104">
        <v>0</v>
      </c>
      <c r="BF17" s="104">
        <v>0</v>
      </c>
      <c r="BG17" s="104">
        <v>0</v>
      </c>
      <c r="BH17" s="104">
        <v>0</v>
      </c>
      <c r="BI17" s="104">
        <v>0</v>
      </c>
      <c r="BJ17" s="104">
        <v>0</v>
      </c>
      <c r="BK17" s="104">
        <v>0</v>
      </c>
      <c r="BL17" s="104">
        <v>0</v>
      </c>
      <c r="BM17" s="309">
        <f>((8%/365)*300)*BM16</f>
        <v>243287.67123287675</v>
      </c>
      <c r="BN17" s="104">
        <v>0</v>
      </c>
      <c r="BO17" s="163">
        <f t="shared" si="14"/>
        <v>322191.78082191781</v>
      </c>
      <c r="BP17" s="309">
        <f>((8%/365)*180)*BP16</f>
        <v>98630.136986301368</v>
      </c>
      <c r="BQ17" s="104">
        <v>0</v>
      </c>
      <c r="BR17" s="104">
        <v>0</v>
      </c>
      <c r="BS17" s="104">
        <v>0</v>
      </c>
      <c r="BT17" s="104">
        <v>0</v>
      </c>
      <c r="BU17" s="104">
        <v>0</v>
      </c>
      <c r="BV17" s="104">
        <v>0</v>
      </c>
      <c r="BW17" s="104">
        <v>0</v>
      </c>
      <c r="BX17" s="104">
        <v>0</v>
      </c>
      <c r="BY17" s="104">
        <v>0</v>
      </c>
      <c r="BZ17" s="309">
        <f>((8%/365)*300)*BZ16</f>
        <v>230136.98630136988</v>
      </c>
      <c r="CA17" s="309">
        <f>((8%/365)*150)*CA16</f>
        <v>82191.780821917811</v>
      </c>
      <c r="CB17" s="163">
        <f t="shared" si="15"/>
        <v>410958.90410958906</v>
      </c>
      <c r="CC17" s="104">
        <v>0</v>
      </c>
      <c r="CD17" s="104">
        <v>0</v>
      </c>
      <c r="CE17" s="104">
        <v>0</v>
      </c>
      <c r="CF17" s="104">
        <v>0</v>
      </c>
      <c r="CG17" s="104">
        <v>0</v>
      </c>
      <c r="CH17" s="104">
        <v>0</v>
      </c>
      <c r="CI17" s="104">
        <v>0</v>
      </c>
      <c r="CJ17" s="104">
        <v>0</v>
      </c>
      <c r="CK17" s="104">
        <v>0</v>
      </c>
      <c r="CL17" s="309">
        <f>((8%/365)*180)*CL16</f>
        <v>59178.082191780821</v>
      </c>
      <c r="CM17" s="309">
        <f>((8%/365)*300)*CM16</f>
        <v>65753.424657534255</v>
      </c>
      <c r="CN17" s="309">
        <f>((8%/365)*150)*CN16</f>
        <v>49315.068493150691</v>
      </c>
      <c r="CO17" s="163">
        <f t="shared" si="16"/>
        <v>174246.57534246577</v>
      </c>
      <c r="CP17" s="104">
        <v>0</v>
      </c>
      <c r="CQ17" s="104">
        <v>0</v>
      </c>
      <c r="CR17" s="104">
        <v>0</v>
      </c>
      <c r="CS17" s="104">
        <v>0</v>
      </c>
      <c r="CT17" s="104">
        <v>0</v>
      </c>
      <c r="CU17" s="104">
        <v>0</v>
      </c>
      <c r="CV17" s="104">
        <v>0</v>
      </c>
      <c r="CW17" s="104">
        <v>0</v>
      </c>
      <c r="CX17" s="309">
        <f>((8%/365)*240)*CX16</f>
        <v>105205.4794520548</v>
      </c>
      <c r="CY17" s="309">
        <f>((8%/365)*180)*CY16</f>
        <v>39452.054794520547</v>
      </c>
      <c r="CZ17" s="104">
        <v>0</v>
      </c>
      <c r="DA17" s="309">
        <f>((8%/365)*150)*DA16</f>
        <v>75616.438356164392</v>
      </c>
      <c r="DB17" s="163">
        <f t="shared" si="17"/>
        <v>220273.97260273976</v>
      </c>
      <c r="DC17" s="104">
        <v>0</v>
      </c>
      <c r="DD17" s="104">
        <v>0</v>
      </c>
      <c r="DE17" s="104">
        <v>0</v>
      </c>
      <c r="DF17" s="104">
        <v>0</v>
      </c>
      <c r="DG17" s="104">
        <v>0</v>
      </c>
      <c r="DH17" s="104">
        <v>0</v>
      </c>
      <c r="DI17" s="104">
        <v>0</v>
      </c>
      <c r="DJ17" s="104">
        <v>0</v>
      </c>
      <c r="DK17" s="104">
        <v>0</v>
      </c>
      <c r="DL17" s="309">
        <f>((8%/365)*90)*DL16</f>
        <v>45369.863013698632</v>
      </c>
      <c r="DM17" s="104">
        <v>0</v>
      </c>
      <c r="DN17" s="309">
        <f>((8%/365)*330)*DN16</f>
        <v>216986.30136986301</v>
      </c>
      <c r="DO17" s="163">
        <f t="shared" si="18"/>
        <v>262356.16438356164</v>
      </c>
      <c r="DP17" s="104">
        <v>0</v>
      </c>
      <c r="DQ17" s="104">
        <v>0</v>
      </c>
      <c r="DR17" s="104">
        <v>0</v>
      </c>
      <c r="DS17" s="104">
        <v>0</v>
      </c>
      <c r="DT17" s="104">
        <v>0</v>
      </c>
      <c r="DU17" s="104">
        <v>0</v>
      </c>
      <c r="DV17" s="104">
        <v>0</v>
      </c>
      <c r="DW17" s="104">
        <v>0</v>
      </c>
      <c r="DX17" s="104">
        <v>0</v>
      </c>
      <c r="DY17" s="104">
        <v>0</v>
      </c>
      <c r="DZ17" s="309">
        <f>((8%/365)*300)*DZ16</f>
        <v>263013.69863013702</v>
      </c>
      <c r="EA17" s="309">
        <f>((8%/365)*150)*EA16</f>
        <v>98630.136986301382</v>
      </c>
      <c r="EB17" s="163">
        <f t="shared" si="19"/>
        <v>361643.83561643842</v>
      </c>
    </row>
    <row r="18" spans="2:136" outlineLevel="1">
      <c r="B18" s="86" t="s">
        <v>554</v>
      </c>
      <c r="C18" s="104"/>
      <c r="D18" s="104"/>
      <c r="E18" s="104"/>
      <c r="F18" s="104"/>
      <c r="G18" s="104"/>
      <c r="H18" s="104"/>
      <c r="I18" s="104"/>
      <c r="J18" s="104"/>
      <c r="K18" s="104"/>
      <c r="L18" s="240">
        <f>SUM(Ej_Resultados!C20:L20)*-1</f>
        <v>318634.97161887609</v>
      </c>
      <c r="M18" s="104"/>
      <c r="N18" s="104"/>
      <c r="O18" s="163"/>
      <c r="P18" s="104">
        <v>0</v>
      </c>
      <c r="Q18" s="104">
        <v>0</v>
      </c>
      <c r="R18" s="104">
        <v>0</v>
      </c>
      <c r="S18" s="104">
        <v>0</v>
      </c>
      <c r="T18" s="104">
        <v>0</v>
      </c>
      <c r="U18" s="104">
        <v>0</v>
      </c>
      <c r="V18" s="104">
        <v>0</v>
      </c>
      <c r="W18" s="104">
        <v>0</v>
      </c>
      <c r="X18" s="104">
        <v>0</v>
      </c>
      <c r="Y18" s="104">
        <v>0</v>
      </c>
      <c r="Z18" s="104">
        <v>0</v>
      </c>
      <c r="AA18" s="104">
        <v>0</v>
      </c>
      <c r="AB18" s="163"/>
      <c r="AC18" s="104">
        <v>0</v>
      </c>
      <c r="AD18" s="104">
        <v>0</v>
      </c>
      <c r="AE18" s="104">
        <v>0</v>
      </c>
      <c r="AF18" s="104">
        <v>0</v>
      </c>
      <c r="AG18" s="104">
        <v>0</v>
      </c>
      <c r="AH18" s="104">
        <v>0</v>
      </c>
      <c r="AI18" s="104">
        <v>0</v>
      </c>
      <c r="AJ18" s="104">
        <v>0</v>
      </c>
      <c r="AK18" s="104">
        <v>0</v>
      </c>
      <c r="AL18" s="104">
        <v>0</v>
      </c>
      <c r="AM18" s="104">
        <v>0</v>
      </c>
      <c r="AN18" s="104">
        <v>0</v>
      </c>
      <c r="AO18" s="163"/>
      <c r="AP18" s="104">
        <v>0</v>
      </c>
      <c r="AQ18" s="104">
        <v>0</v>
      </c>
      <c r="AR18" s="104">
        <v>0</v>
      </c>
      <c r="AS18" s="104">
        <v>0</v>
      </c>
      <c r="AT18" s="104">
        <v>0</v>
      </c>
      <c r="AU18" s="104">
        <v>0</v>
      </c>
      <c r="AV18" s="104">
        <v>0</v>
      </c>
      <c r="AW18" s="104">
        <v>0</v>
      </c>
      <c r="AX18" s="104">
        <v>0</v>
      </c>
      <c r="AY18" s="104">
        <v>0</v>
      </c>
      <c r="AZ18" s="104">
        <v>0</v>
      </c>
      <c r="BA18" s="104">
        <v>0</v>
      </c>
      <c r="BB18" s="163"/>
      <c r="BC18" s="104">
        <v>0</v>
      </c>
      <c r="BD18" s="104">
        <v>0</v>
      </c>
      <c r="BE18" s="104">
        <v>0</v>
      </c>
      <c r="BF18" s="104">
        <v>0</v>
      </c>
      <c r="BG18" s="104">
        <v>0</v>
      </c>
      <c r="BH18" s="104">
        <v>0</v>
      </c>
      <c r="BI18" s="104">
        <v>0</v>
      </c>
      <c r="BJ18" s="104">
        <v>0</v>
      </c>
      <c r="BK18" s="104">
        <v>0</v>
      </c>
      <c r="BL18" s="104">
        <v>0</v>
      </c>
      <c r="BM18" s="104">
        <v>0</v>
      </c>
      <c r="BN18" s="104">
        <v>0</v>
      </c>
      <c r="BO18" s="163"/>
      <c r="BP18" s="104">
        <v>0</v>
      </c>
      <c r="BQ18" s="104">
        <v>0</v>
      </c>
      <c r="BR18" s="104">
        <v>0</v>
      </c>
      <c r="BS18" s="104">
        <v>0</v>
      </c>
      <c r="BT18" s="104">
        <v>0</v>
      </c>
      <c r="BU18" s="104">
        <v>0</v>
      </c>
      <c r="BV18" s="104">
        <v>0</v>
      </c>
      <c r="BW18" s="104">
        <v>0</v>
      </c>
      <c r="BX18" s="104">
        <v>0</v>
      </c>
      <c r="BY18" s="104">
        <v>0</v>
      </c>
      <c r="BZ18" s="104">
        <v>0</v>
      </c>
      <c r="CA18" s="104">
        <v>0</v>
      </c>
      <c r="CB18" s="163"/>
      <c r="CC18" s="104">
        <v>0</v>
      </c>
      <c r="CD18" s="104">
        <v>0</v>
      </c>
      <c r="CE18" s="104">
        <v>0</v>
      </c>
      <c r="CF18" s="104">
        <v>0</v>
      </c>
      <c r="CG18" s="104">
        <v>0</v>
      </c>
      <c r="CH18" s="104">
        <v>0</v>
      </c>
      <c r="CI18" s="104">
        <v>0</v>
      </c>
      <c r="CJ18" s="104">
        <v>0</v>
      </c>
      <c r="CK18" s="104">
        <v>0</v>
      </c>
      <c r="CL18" s="104">
        <v>0</v>
      </c>
      <c r="CM18" s="104">
        <v>0</v>
      </c>
      <c r="CN18" s="104">
        <v>0</v>
      </c>
      <c r="CO18" s="163"/>
      <c r="CP18" s="104">
        <v>0</v>
      </c>
      <c r="CQ18" s="104">
        <v>0</v>
      </c>
      <c r="CR18" s="104">
        <v>0</v>
      </c>
      <c r="CS18" s="104">
        <v>0</v>
      </c>
      <c r="CT18" s="104">
        <v>0</v>
      </c>
      <c r="CU18" s="104">
        <v>0</v>
      </c>
      <c r="CV18" s="104">
        <v>0</v>
      </c>
      <c r="CW18" s="104">
        <v>0</v>
      </c>
      <c r="CX18" s="104">
        <v>0</v>
      </c>
      <c r="CY18" s="104">
        <v>0</v>
      </c>
      <c r="CZ18" s="104">
        <v>0</v>
      </c>
      <c r="DA18" s="104">
        <v>0</v>
      </c>
      <c r="DB18" s="163"/>
      <c r="DC18" s="104">
        <v>0</v>
      </c>
      <c r="DD18" s="104">
        <v>0</v>
      </c>
      <c r="DE18" s="104">
        <v>0</v>
      </c>
      <c r="DF18" s="104">
        <v>0</v>
      </c>
      <c r="DG18" s="104">
        <v>0</v>
      </c>
      <c r="DH18" s="104">
        <v>0</v>
      </c>
      <c r="DI18" s="104">
        <v>0</v>
      </c>
      <c r="DJ18" s="104">
        <v>0</v>
      </c>
      <c r="DK18" s="104">
        <v>0</v>
      </c>
      <c r="DL18" s="104">
        <v>0</v>
      </c>
      <c r="DM18" s="104">
        <v>0</v>
      </c>
      <c r="DN18" s="104">
        <v>0</v>
      </c>
      <c r="DO18" s="163"/>
      <c r="DP18" s="104">
        <v>0</v>
      </c>
      <c r="DQ18" s="104">
        <v>0</v>
      </c>
      <c r="DR18" s="104">
        <v>0</v>
      </c>
      <c r="DS18" s="104">
        <v>0</v>
      </c>
      <c r="DT18" s="104">
        <v>0</v>
      </c>
      <c r="DU18" s="104">
        <v>0</v>
      </c>
      <c r="DV18" s="104">
        <v>0</v>
      </c>
      <c r="DW18" s="104">
        <v>0</v>
      </c>
      <c r="DX18" s="104">
        <v>0</v>
      </c>
      <c r="DY18" s="104">
        <v>0</v>
      </c>
      <c r="DZ18" s="104">
        <v>0</v>
      </c>
      <c r="EA18" s="104">
        <v>0</v>
      </c>
      <c r="EB18" s="163"/>
    </row>
    <row r="19" spans="2:136" outlineLevel="1">
      <c r="B19" s="86" t="s">
        <v>216</v>
      </c>
      <c r="C19" s="104">
        <f>+Ej_Costos!C34+Ej_Costos!C47+Ej_Costos!C35+Ej_Costos!C48+Ej_Costos!C41</f>
        <v>7886.6882212032942</v>
      </c>
      <c r="D19" s="104">
        <f>+Ej_Costos!D34+Ej_Costos!D47+Ej_Costos!D35+Ej_Costos!D48+Ej_Costos!D41</f>
        <v>7248.3525543618907</v>
      </c>
      <c r="E19" s="104">
        <f>+Ej_Costos!E34+Ej_Costos!E47+Ej_Costos!E35+Ej_Costos!E48+Ej_Costos!E41</f>
        <v>8026.7431637060972</v>
      </c>
      <c r="F19" s="104">
        <f>+Ej_Costos!F34+Ej_Costos!F47+Ej_Costos!F35+Ej_Costos!F48+Ej_Costos!F41</f>
        <v>7224.1912901534806</v>
      </c>
      <c r="G19" s="104">
        <f>+Ej_Costos!G34+Ej_Costos!G47+Ej_Costos!G35+Ej_Costos!G48+Ej_Costos!G41</f>
        <v>7086.6792735320923</v>
      </c>
      <c r="H19" s="104">
        <f>+Ej_Costos!H34+Ej_Costos!H47+Ej_Costos!H35+Ej_Costos!H48+Ej_Costos!H41</f>
        <v>12170.652714490301</v>
      </c>
      <c r="I19" s="104">
        <f>+Ej_Costos!I34+Ej_Costos!I47+Ej_Costos!I35+Ej_Costos!I48+Ej_Costos!I41</f>
        <v>12170.652714490301</v>
      </c>
      <c r="J19" s="104">
        <f>+Ej_Costos!J34+Ej_Costos!J47+Ej_Costos!J35+Ej_Costos!J48+Ej_Costos!J41</f>
        <v>12170.652714490301</v>
      </c>
      <c r="K19" s="104">
        <f>+Ej_Costos!K34+Ej_Costos!K47+Ej_Costos!K35+Ej_Costos!K48+Ej_Costos!K41</f>
        <v>12170.652714490301</v>
      </c>
      <c r="L19" s="104">
        <f>+Ej_Costos!L34+Ej_Costos!L47+Ej_Costos!L35+Ej_Costos!L48+Ej_Costos!L41</f>
        <v>17036.331988022393</v>
      </c>
      <c r="M19" s="104">
        <f>+Ej_Costos!M34+Ej_Costos!M47+Ej_Costos!M35+Ej_Costos!M48+Ej_Costos!M41</f>
        <v>17036.331988022393</v>
      </c>
      <c r="N19" s="104">
        <f>+Ej_Costos!N34+Ej_Costos!N47+Ej_Costos!N35+Ej_Costos!N48+Ej_Costos!N41</f>
        <v>17036.331988022393</v>
      </c>
      <c r="O19" s="163">
        <f t="shared" si="10"/>
        <v>137264.26132498527</v>
      </c>
      <c r="P19" s="104">
        <f>+Ej_Costos!R34+Ej_Costos!R47+Ej_Costos!R35+Ej_Costos!R48+Ej_Costos!R41</f>
        <v>25148.081988022386</v>
      </c>
      <c r="Q19" s="104">
        <f>+Ej_Costos!S34+Ej_Costos!S47+Ej_Costos!S35+Ej_Costos!S48+Ej_Costos!S41</f>
        <v>25148.081988022386</v>
      </c>
      <c r="R19" s="104">
        <f>+Ej_Costos!T34+Ej_Costos!T47+Ej_Costos!T35+Ej_Costos!T48+Ej_Costos!T41</f>
        <v>28018.35369743521</v>
      </c>
      <c r="S19" s="104">
        <f>+Ej_Costos!U34+Ej_Costos!U47+Ej_Costos!U35+Ej_Costos!U48+Ej_Costos!U41</f>
        <v>28018.35369743521</v>
      </c>
      <c r="T19" s="104">
        <f>+Ej_Costos!V34+Ej_Costos!V47+Ej_Costos!V35+Ej_Costos!V48+Ej_Costos!V41</f>
        <v>28018.35369743521</v>
      </c>
      <c r="U19" s="104">
        <f>+Ej_Costos!W34+Ej_Costos!W47+Ej_Costos!W35+Ej_Costos!W48+Ej_Costos!W41</f>
        <v>28018.35369743521</v>
      </c>
      <c r="V19" s="104">
        <f>+Ej_Costos!X34+Ej_Costos!X47+Ej_Costos!X35+Ej_Costos!X48+Ej_Costos!X41</f>
        <v>28018.35369743521</v>
      </c>
      <c r="W19" s="104">
        <f>+Ej_Costos!Y34+Ej_Costos!Y47+Ej_Costos!Y35+Ej_Costos!Y48+Ej_Costos!Y41</f>
        <v>28018.35369743521</v>
      </c>
      <c r="X19" s="104">
        <f>+Ej_Costos!Z34+Ej_Costos!Z47+Ej_Costos!Z35+Ej_Costos!Z48+Ej_Costos!Z41</f>
        <v>28018.35369743521</v>
      </c>
      <c r="Y19" s="104">
        <f>+Ej_Costos!AA34+Ej_Costos!AA47+Ej_Costos!AA35+Ej_Costos!AA48+Ej_Costos!AA41</f>
        <v>28018.35369743521</v>
      </c>
      <c r="Z19" s="104">
        <f>+Ej_Costos!AB34+Ej_Costos!AB47+Ej_Costos!AB35+Ej_Costos!AB48+Ej_Costos!AB41</f>
        <v>28018.35369743521</v>
      </c>
      <c r="AA19" s="104">
        <f>+Ej_Costos!AC34+Ej_Costos!AC47+Ej_Costos!AC35+Ej_Costos!AC48+Ej_Costos!AC41</f>
        <v>28018.35369743521</v>
      </c>
      <c r="AB19" s="163">
        <f t="shared" ref="AB19:AB26" si="21">SUM(P19:AA19)</f>
        <v>330479.70095039689</v>
      </c>
      <c r="AC19" s="104">
        <v>25148.081988022386</v>
      </c>
      <c r="AD19" s="104">
        <v>25148.081988022386</v>
      </c>
      <c r="AE19" s="104">
        <v>28018.35369743521</v>
      </c>
      <c r="AF19" s="104">
        <v>28018.35369743521</v>
      </c>
      <c r="AG19" s="104">
        <v>28018.35369743521</v>
      </c>
      <c r="AH19" s="104">
        <v>28018.35369743521</v>
      </c>
      <c r="AI19" s="104">
        <v>28018.35369743521</v>
      </c>
      <c r="AJ19" s="104">
        <v>28018.35369743521</v>
      </c>
      <c r="AK19" s="104">
        <v>28018.35369743521</v>
      </c>
      <c r="AL19" s="104">
        <v>28018.35369743521</v>
      </c>
      <c r="AM19" s="104">
        <v>28018.35369743521</v>
      </c>
      <c r="AN19" s="104">
        <v>28018.35369743521</v>
      </c>
      <c r="AO19" s="163">
        <f t="shared" ref="AO19:AO26" si="22">SUM(AC19:AN19)</f>
        <v>330479.70095039689</v>
      </c>
      <c r="AP19" s="104">
        <v>25148.081988022386</v>
      </c>
      <c r="AQ19" s="104">
        <v>25148.081988022386</v>
      </c>
      <c r="AR19" s="104">
        <v>28018.35369743521</v>
      </c>
      <c r="AS19" s="104">
        <v>28018.35369743521</v>
      </c>
      <c r="AT19" s="104">
        <v>28018.35369743521</v>
      </c>
      <c r="AU19" s="104">
        <v>28018.35369743521</v>
      </c>
      <c r="AV19" s="104">
        <v>28018.35369743521</v>
      </c>
      <c r="AW19" s="104">
        <v>28018.35369743521</v>
      </c>
      <c r="AX19" s="104">
        <v>28018.35369743521</v>
      </c>
      <c r="AY19" s="104">
        <v>28018.35369743521</v>
      </c>
      <c r="AZ19" s="104">
        <v>28018.35369743521</v>
      </c>
      <c r="BA19" s="104">
        <v>28018.35369743521</v>
      </c>
      <c r="BB19" s="163">
        <f t="shared" ref="BB19:BB26" si="23">SUM(AP19:BA19)</f>
        <v>330479.70095039689</v>
      </c>
      <c r="BC19" s="104">
        <v>25148.081988022386</v>
      </c>
      <c r="BD19" s="104">
        <v>25148.081988022386</v>
      </c>
      <c r="BE19" s="104">
        <v>28018.35369743521</v>
      </c>
      <c r="BF19" s="104">
        <v>28018.35369743521</v>
      </c>
      <c r="BG19" s="104">
        <v>28018.35369743521</v>
      </c>
      <c r="BH19" s="104">
        <v>28018.35369743521</v>
      </c>
      <c r="BI19" s="104">
        <v>28018.35369743521</v>
      </c>
      <c r="BJ19" s="104">
        <v>28018.35369743521</v>
      </c>
      <c r="BK19" s="104">
        <v>28018.35369743521</v>
      </c>
      <c r="BL19" s="104">
        <v>28018.35369743521</v>
      </c>
      <c r="BM19" s="104">
        <v>28018.35369743521</v>
      </c>
      <c r="BN19" s="104">
        <v>28018.35369743521</v>
      </c>
      <c r="BO19" s="163">
        <f t="shared" ref="BO19" si="24">SUM(BC19:BN19)</f>
        <v>330479.70095039689</v>
      </c>
      <c r="BP19" s="104">
        <v>25148.081988022386</v>
      </c>
      <c r="BQ19" s="104">
        <v>25148.081988022386</v>
      </c>
      <c r="BR19" s="104">
        <v>28018.35369743521</v>
      </c>
      <c r="BS19" s="104">
        <v>28018.35369743521</v>
      </c>
      <c r="BT19" s="104">
        <v>28018.35369743521</v>
      </c>
      <c r="BU19" s="104">
        <v>28018.35369743521</v>
      </c>
      <c r="BV19" s="104">
        <v>28018.35369743521</v>
      </c>
      <c r="BW19" s="104">
        <v>28018.35369743521</v>
      </c>
      <c r="BX19" s="104">
        <v>28018.35369743521</v>
      </c>
      <c r="BY19" s="104">
        <v>28018.35369743521</v>
      </c>
      <c r="BZ19" s="104">
        <v>28018.35369743521</v>
      </c>
      <c r="CA19" s="104">
        <v>28018.35369743521</v>
      </c>
      <c r="CB19" s="163">
        <f t="shared" ref="CB19" si="25">SUM(BP19:CA19)</f>
        <v>330479.70095039689</v>
      </c>
      <c r="CC19" s="104">
        <v>25148.081988022386</v>
      </c>
      <c r="CD19" s="104">
        <v>25148.081988022386</v>
      </c>
      <c r="CE19" s="104">
        <v>28018.35369743521</v>
      </c>
      <c r="CF19" s="104">
        <v>28018.35369743521</v>
      </c>
      <c r="CG19" s="104">
        <v>28018.35369743521</v>
      </c>
      <c r="CH19" s="104">
        <v>28018.35369743521</v>
      </c>
      <c r="CI19" s="104">
        <v>28018.35369743521</v>
      </c>
      <c r="CJ19" s="104">
        <v>28018.35369743521</v>
      </c>
      <c r="CK19" s="104">
        <v>28018.35369743521</v>
      </c>
      <c r="CL19" s="104">
        <v>28018.35369743521</v>
      </c>
      <c r="CM19" s="104">
        <v>28018.35369743521</v>
      </c>
      <c r="CN19" s="104">
        <v>28018.35369743521</v>
      </c>
      <c r="CO19" s="163">
        <f t="shared" ref="CO19" si="26">SUM(CC19:CN19)</f>
        <v>330479.70095039689</v>
      </c>
      <c r="CP19" s="104">
        <v>25148.081988022386</v>
      </c>
      <c r="CQ19" s="104">
        <v>25148.081988022386</v>
      </c>
      <c r="CR19" s="104">
        <v>28018.35369743521</v>
      </c>
      <c r="CS19" s="104">
        <v>28018.35369743521</v>
      </c>
      <c r="CT19" s="104">
        <v>28018.35369743521</v>
      </c>
      <c r="CU19" s="104">
        <v>28018.35369743521</v>
      </c>
      <c r="CV19" s="104">
        <v>28018.35369743521</v>
      </c>
      <c r="CW19" s="104">
        <v>28018.35369743521</v>
      </c>
      <c r="CX19" s="104">
        <v>28018.35369743521</v>
      </c>
      <c r="CY19" s="104">
        <v>28018.35369743521</v>
      </c>
      <c r="CZ19" s="104">
        <v>28018.35369743521</v>
      </c>
      <c r="DA19" s="104">
        <v>28018.35369743521</v>
      </c>
      <c r="DB19" s="163">
        <f t="shared" ref="DB19" si="27">SUM(CP19:DA19)</f>
        <v>330479.70095039689</v>
      </c>
      <c r="DC19" s="104">
        <v>25148.081988022386</v>
      </c>
      <c r="DD19" s="104">
        <v>25148.081988022386</v>
      </c>
      <c r="DE19" s="104">
        <v>28018.35369743521</v>
      </c>
      <c r="DF19" s="104">
        <v>28018.35369743521</v>
      </c>
      <c r="DG19" s="104">
        <v>28018.35369743521</v>
      </c>
      <c r="DH19" s="104">
        <v>28018.35369743521</v>
      </c>
      <c r="DI19" s="104">
        <v>28018.35369743521</v>
      </c>
      <c r="DJ19" s="104">
        <v>28018.35369743521</v>
      </c>
      <c r="DK19" s="104">
        <v>28018.35369743521</v>
      </c>
      <c r="DL19" s="104">
        <v>28018.35369743521</v>
      </c>
      <c r="DM19" s="104">
        <v>28018.35369743521</v>
      </c>
      <c r="DN19" s="104">
        <v>28018.35369743521</v>
      </c>
      <c r="DO19" s="163">
        <f t="shared" ref="DO19" si="28">SUM(DC19:DN19)</f>
        <v>330479.70095039689</v>
      </c>
      <c r="DP19" s="104">
        <v>25148.081988022386</v>
      </c>
      <c r="DQ19" s="104">
        <v>25148.081988022386</v>
      </c>
      <c r="DR19" s="104">
        <v>28018.35369743521</v>
      </c>
      <c r="DS19" s="104">
        <v>28018.35369743521</v>
      </c>
      <c r="DT19" s="104">
        <v>28018.35369743521</v>
      </c>
      <c r="DU19" s="104">
        <v>28018.35369743521</v>
      </c>
      <c r="DV19" s="104">
        <v>28018.35369743521</v>
      </c>
      <c r="DW19" s="104">
        <v>28018.35369743521</v>
      </c>
      <c r="DX19" s="104">
        <v>28018.35369743521</v>
      </c>
      <c r="DY19" s="104">
        <v>28018.35369743521</v>
      </c>
      <c r="DZ19" s="104">
        <v>28018.35369743521</v>
      </c>
      <c r="EA19" s="104">
        <v>28018.35369743521</v>
      </c>
      <c r="EB19" s="163">
        <f t="shared" ref="EB19" si="29">SUM(DP19:EA19)</f>
        <v>330479.70095039689</v>
      </c>
    </row>
    <row r="20" spans="2:136" outlineLevel="1">
      <c r="B20" s="86" t="s">
        <v>559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63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63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63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63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63"/>
      <c r="BP20" s="104"/>
      <c r="BQ20" s="104"/>
      <c r="BR20" s="104"/>
      <c r="BS20" s="104"/>
      <c r="BT20" s="104"/>
      <c r="BU20" s="104"/>
      <c r="BV20" s="104"/>
      <c r="BW20" s="104"/>
      <c r="BX20" s="104"/>
      <c r="BY20" s="104"/>
      <c r="BZ20" s="104"/>
      <c r="CA20" s="190">
        <f>+Resultados!D26</f>
        <v>740399.72289862402</v>
      </c>
      <c r="CB20" s="163"/>
      <c r="CC20" s="104"/>
      <c r="CD20" s="104"/>
      <c r="CE20" s="104"/>
      <c r="CF20" s="104"/>
      <c r="CG20" s="104"/>
      <c r="CH20" s="104"/>
      <c r="CI20" s="104"/>
      <c r="CJ20" s="104"/>
      <c r="CK20" s="104"/>
      <c r="CL20" s="104"/>
      <c r="CM20" s="104"/>
      <c r="CN20" s="190">
        <f>+Resultados!D27+Resultados!E27</f>
        <v>2322763.8956679977</v>
      </c>
      <c r="CO20" s="163"/>
      <c r="CP20" s="104"/>
      <c r="CQ20" s="104"/>
      <c r="CR20" s="104"/>
      <c r="CS20" s="104"/>
      <c r="CT20" s="104"/>
      <c r="CU20" s="104"/>
      <c r="CV20" s="104"/>
      <c r="CW20" s="104"/>
      <c r="CX20" s="104"/>
      <c r="CY20" s="104"/>
      <c r="CZ20" s="104"/>
      <c r="DA20" s="190">
        <f>+Resultados!F28</f>
        <v>1957769.1648346798</v>
      </c>
      <c r="DB20" s="163"/>
      <c r="DC20" s="104"/>
      <c r="DD20" s="104"/>
      <c r="DE20" s="104"/>
      <c r="DF20" s="104"/>
      <c r="DG20" s="104"/>
      <c r="DH20" s="104"/>
      <c r="DI20" s="104"/>
      <c r="DJ20" s="104"/>
      <c r="DK20" s="104"/>
      <c r="DL20" s="104"/>
      <c r="DM20" s="104"/>
      <c r="DN20" s="190">
        <f>+Resultados!G29+Resultados!H29</f>
        <v>2559600.3871295052</v>
      </c>
      <c r="DO20" s="163"/>
      <c r="DP20" s="104"/>
      <c r="DQ20" s="104"/>
      <c r="DR20" s="104"/>
      <c r="DS20" s="104"/>
      <c r="DT20" s="104"/>
      <c r="DU20" s="104"/>
      <c r="DV20" s="104"/>
      <c r="DW20" s="104"/>
      <c r="DX20" s="104"/>
      <c r="DY20" s="104"/>
      <c r="DZ20" s="104"/>
      <c r="EA20" s="190">
        <f>+Resultados!H30+Resultados!I30</f>
        <v>2408638.0888499077</v>
      </c>
      <c r="EB20" s="163"/>
    </row>
    <row r="21" spans="2:136" outlineLevel="1">
      <c r="B21" s="86" t="s">
        <v>217</v>
      </c>
      <c r="C21" s="104">
        <f>+Ej_Costos!C43+Ej_Costos!C49+Ej_Costos!C50</f>
        <v>7293.1266623756665</v>
      </c>
      <c r="D21" s="104">
        <f>+Ej_Costos!D43+Ej_Costos!D49+Ej_Costos!D50</f>
        <v>7293.4085081252533</v>
      </c>
      <c r="E21" s="104">
        <f>+Ej_Costos!E43+Ej_Costos!E49+Ej_Costos!E50</f>
        <v>7293.3949052109119</v>
      </c>
      <c r="F21" s="104">
        <f>+Ej_Costos!F43+Ej_Costos!F49+Ej_Costos!F50</f>
        <v>7293.3270565284038</v>
      </c>
      <c r="G21" s="104">
        <f>+Ej_Costos!G43+Ej_Costos!G49+Ej_Costos!G50</f>
        <v>7373.2166666666672</v>
      </c>
      <c r="H21" s="104">
        <f>+Ej_Costos!H43+Ej_Costos!H49+Ej_Costos!H50</f>
        <v>7373.2166666666672</v>
      </c>
      <c r="I21" s="104">
        <f>+Ej_Costos!I43+Ej_Costos!I49+Ej_Costos!I50</f>
        <v>7373.2166666666672</v>
      </c>
      <c r="J21" s="104">
        <f>+Ej_Costos!J43+Ej_Costos!J49+Ej_Costos!J50</f>
        <v>7373.2166666666672</v>
      </c>
      <c r="K21" s="104">
        <f>+Ej_Costos!K43+Ej_Costos!K49+Ej_Costos!K50</f>
        <v>7373.2166666666672</v>
      </c>
      <c r="L21" s="104">
        <f>+Ej_Costos!L43+Ej_Costos!L49+Ej_Costos!L50</f>
        <v>7373.2166666666672</v>
      </c>
      <c r="M21" s="104">
        <f>+Ej_Costos!M43+Ej_Costos!M49+Ej_Costos!M50</f>
        <v>7373.2166666666672</v>
      </c>
      <c r="N21" s="104">
        <f>+Ej_Costos!N43+Ej_Costos!N49+Ej_Costos!N50</f>
        <v>7373.2166666666672</v>
      </c>
      <c r="O21" s="163">
        <f t="shared" si="10"/>
        <v>88158.990465573588</v>
      </c>
      <c r="P21" s="104">
        <f>+Ej_Costos!R43+Ej_Costos!R49+Ej_Costos!R50</f>
        <v>7430.7166666666672</v>
      </c>
      <c r="Q21" s="104">
        <f>+Ej_Costos!S43+Ej_Costos!S49+Ej_Costos!S50</f>
        <v>7430.7166666666672</v>
      </c>
      <c r="R21" s="104">
        <f>+Ej_Costos!T43+Ej_Costos!T49+Ej_Costos!T50</f>
        <v>7430.7166666666672</v>
      </c>
      <c r="S21" s="104">
        <f>+Ej_Costos!U43+Ej_Costos!U49+Ej_Costos!U50</f>
        <v>7430.7166666666672</v>
      </c>
      <c r="T21" s="104">
        <f>+Ej_Costos!V43+Ej_Costos!V49+Ej_Costos!V50</f>
        <v>7430.7166666666672</v>
      </c>
      <c r="U21" s="104">
        <f>+Ej_Costos!W43+Ej_Costos!W49+Ej_Costos!W50</f>
        <v>7430.7166666666672</v>
      </c>
      <c r="V21" s="104">
        <f>+Ej_Costos!X43+Ej_Costos!X49+Ej_Costos!X50</f>
        <v>7430.7166666666672</v>
      </c>
      <c r="W21" s="104">
        <f>+Ej_Costos!Y43+Ej_Costos!Y49+Ej_Costos!Y50</f>
        <v>7430.7166666666672</v>
      </c>
      <c r="X21" s="104">
        <f>+Ej_Costos!Z43+Ej_Costos!Z49+Ej_Costos!Z50</f>
        <v>7430.7166666666672</v>
      </c>
      <c r="Y21" s="104">
        <f>+Ej_Costos!AA43+Ej_Costos!AA49+Ej_Costos!AA50</f>
        <v>7430.7166666666672</v>
      </c>
      <c r="Z21" s="104">
        <f>+Ej_Costos!AB43+Ej_Costos!AB49+Ej_Costos!AB50</f>
        <v>7430.7166666666672</v>
      </c>
      <c r="AA21" s="104">
        <f>+Ej_Costos!AC43+Ej_Costos!AC49+Ej_Costos!AC50</f>
        <v>7430.7166666666672</v>
      </c>
      <c r="AB21" s="163">
        <f t="shared" si="21"/>
        <v>89168.600000000035</v>
      </c>
      <c r="AC21" s="104">
        <v>7430.7166666666672</v>
      </c>
      <c r="AD21" s="104">
        <v>7430.7166666666672</v>
      </c>
      <c r="AE21" s="104">
        <v>7430.7166666666672</v>
      </c>
      <c r="AF21" s="104">
        <v>7430.7166666666672</v>
      </c>
      <c r="AG21" s="104">
        <v>7430.7166666666672</v>
      </c>
      <c r="AH21" s="104">
        <v>7430.7166666666672</v>
      </c>
      <c r="AI21" s="104">
        <v>7430.7166666666672</v>
      </c>
      <c r="AJ21" s="104">
        <v>7430.7166666666672</v>
      </c>
      <c r="AK21" s="104">
        <v>7430.7166666666672</v>
      </c>
      <c r="AL21" s="104">
        <v>7430.7166666666672</v>
      </c>
      <c r="AM21" s="104">
        <v>7430.7166666666672</v>
      </c>
      <c r="AN21" s="104">
        <v>7430.7166666666672</v>
      </c>
      <c r="AO21" s="163">
        <f t="shared" si="22"/>
        <v>89168.600000000035</v>
      </c>
      <c r="AP21" s="104">
        <v>7430.7166666666672</v>
      </c>
      <c r="AQ21" s="104">
        <v>7430.7166666666672</v>
      </c>
      <c r="AR21" s="104">
        <v>7430.7166666666672</v>
      </c>
      <c r="AS21" s="104">
        <v>7430.7166666666672</v>
      </c>
      <c r="AT21" s="104">
        <v>7430.7166666666672</v>
      </c>
      <c r="AU21" s="104">
        <v>7430.7166666666672</v>
      </c>
      <c r="AV21" s="104">
        <v>7430.7166666666672</v>
      </c>
      <c r="AW21" s="104">
        <v>7430.7166666666672</v>
      </c>
      <c r="AX21" s="104">
        <v>7430.7166666666672</v>
      </c>
      <c r="AY21" s="104">
        <v>7430.7166666666672</v>
      </c>
      <c r="AZ21" s="104">
        <v>7430.7166666666672</v>
      </c>
      <c r="BA21" s="104">
        <v>7430.7166666666672</v>
      </c>
      <c r="BB21" s="163">
        <f t="shared" si="23"/>
        <v>89168.600000000035</v>
      </c>
      <c r="BC21" s="104">
        <v>7430.7166666666672</v>
      </c>
      <c r="BD21" s="104">
        <v>7430.7166666666672</v>
      </c>
      <c r="BE21" s="104">
        <v>7430.7166666666672</v>
      </c>
      <c r="BF21" s="104">
        <v>7430.7166666666672</v>
      </c>
      <c r="BG21" s="104">
        <v>7430.7166666666672</v>
      </c>
      <c r="BH21" s="104">
        <v>7430.7166666666672</v>
      </c>
      <c r="BI21" s="104">
        <v>7430.7166666666672</v>
      </c>
      <c r="BJ21" s="104">
        <v>7430.7166666666672</v>
      </c>
      <c r="BK21" s="104">
        <v>7430.7166666666672</v>
      </c>
      <c r="BL21" s="104">
        <v>7430.7166666666672</v>
      </c>
      <c r="BM21" s="104">
        <v>7430.7166666666672</v>
      </c>
      <c r="BN21" s="104">
        <v>7430.7166666666672</v>
      </c>
      <c r="BO21" s="163">
        <f t="shared" ref="BO21:BO26" si="30">SUM(BC21:BN21)</f>
        <v>89168.600000000035</v>
      </c>
      <c r="BP21" s="104">
        <v>7430.7166666666672</v>
      </c>
      <c r="BQ21" s="104">
        <v>7430.7166666666672</v>
      </c>
      <c r="BR21" s="104">
        <v>7430.7166666666672</v>
      </c>
      <c r="BS21" s="104">
        <v>7430.7166666666672</v>
      </c>
      <c r="BT21" s="104">
        <v>7430.7166666666672</v>
      </c>
      <c r="BU21" s="104">
        <v>7430.7166666666672</v>
      </c>
      <c r="BV21" s="104">
        <v>7430.7166666666672</v>
      </c>
      <c r="BW21" s="104">
        <v>7430.7166666666672</v>
      </c>
      <c r="BX21" s="104">
        <v>7430.7166666666672</v>
      </c>
      <c r="BY21" s="104">
        <v>7430.7166666666672</v>
      </c>
      <c r="BZ21" s="104">
        <v>7430.7166666666672</v>
      </c>
      <c r="CA21" s="104">
        <v>7430.7166666666672</v>
      </c>
      <c r="CB21" s="163">
        <f t="shared" ref="CB21:CB26" si="31">SUM(BP21:CA21)</f>
        <v>89168.600000000035</v>
      </c>
      <c r="CC21" s="104">
        <v>7430.7166666666672</v>
      </c>
      <c r="CD21" s="104">
        <v>7430.7166666666672</v>
      </c>
      <c r="CE21" s="104">
        <v>7430.7166666666672</v>
      </c>
      <c r="CF21" s="104">
        <v>7430.7166666666672</v>
      </c>
      <c r="CG21" s="104">
        <v>7430.7166666666672</v>
      </c>
      <c r="CH21" s="104">
        <v>7430.7166666666672</v>
      </c>
      <c r="CI21" s="104">
        <v>7430.7166666666672</v>
      </c>
      <c r="CJ21" s="104">
        <v>7430.7166666666672</v>
      </c>
      <c r="CK21" s="104">
        <v>7430.7166666666672</v>
      </c>
      <c r="CL21" s="104">
        <v>7430.7166666666672</v>
      </c>
      <c r="CM21" s="104">
        <v>7430.7166666666672</v>
      </c>
      <c r="CN21" s="104">
        <v>7430.7166666666672</v>
      </c>
      <c r="CO21" s="163">
        <f t="shared" ref="CO21:CO26" si="32">SUM(CC21:CN21)</f>
        <v>89168.600000000035</v>
      </c>
      <c r="CP21" s="104">
        <v>7430.7166666666672</v>
      </c>
      <c r="CQ21" s="104">
        <v>7430.7166666666672</v>
      </c>
      <c r="CR21" s="104">
        <v>7430.7166666666672</v>
      </c>
      <c r="CS21" s="104">
        <v>7430.7166666666672</v>
      </c>
      <c r="CT21" s="104">
        <v>7430.7166666666672</v>
      </c>
      <c r="CU21" s="104">
        <v>7430.7166666666672</v>
      </c>
      <c r="CV21" s="104">
        <v>7430.7166666666672</v>
      </c>
      <c r="CW21" s="104">
        <v>7430.7166666666672</v>
      </c>
      <c r="CX21" s="104">
        <v>7430.7166666666672</v>
      </c>
      <c r="CY21" s="104">
        <v>7430.7166666666672</v>
      </c>
      <c r="CZ21" s="104">
        <v>7430.7166666666672</v>
      </c>
      <c r="DA21" s="104">
        <v>7430.7166666666672</v>
      </c>
      <c r="DB21" s="163">
        <f t="shared" ref="DB21:DB26" si="33">SUM(CP21:DA21)</f>
        <v>89168.600000000035</v>
      </c>
      <c r="DC21" s="104">
        <v>7430.7166666666672</v>
      </c>
      <c r="DD21" s="104">
        <v>7430.7166666666672</v>
      </c>
      <c r="DE21" s="104">
        <v>7430.7166666666672</v>
      </c>
      <c r="DF21" s="104">
        <v>7430.7166666666672</v>
      </c>
      <c r="DG21" s="104">
        <v>7430.7166666666672</v>
      </c>
      <c r="DH21" s="104">
        <v>7430.7166666666672</v>
      </c>
      <c r="DI21" s="104">
        <v>7430.7166666666672</v>
      </c>
      <c r="DJ21" s="104">
        <v>7430.7166666666672</v>
      </c>
      <c r="DK21" s="104">
        <v>7430.7166666666672</v>
      </c>
      <c r="DL21" s="104">
        <v>7430.7166666666672</v>
      </c>
      <c r="DM21" s="104">
        <v>7430.7166666666672</v>
      </c>
      <c r="DN21" s="104">
        <v>7430.7166666666672</v>
      </c>
      <c r="DO21" s="163">
        <f t="shared" ref="DO21:DO26" si="34">SUM(DC21:DN21)</f>
        <v>89168.600000000035</v>
      </c>
      <c r="DP21" s="104">
        <v>7430.7166666666672</v>
      </c>
      <c r="DQ21" s="104">
        <v>7430.7166666666672</v>
      </c>
      <c r="DR21" s="104">
        <v>7430.7166666666672</v>
      </c>
      <c r="DS21" s="104">
        <v>7430.7166666666672</v>
      </c>
      <c r="DT21" s="104">
        <v>7430.7166666666672</v>
      </c>
      <c r="DU21" s="104">
        <v>7430.7166666666672</v>
      </c>
      <c r="DV21" s="104">
        <v>7430.7166666666672</v>
      </c>
      <c r="DW21" s="104">
        <v>7430.7166666666672</v>
      </c>
      <c r="DX21" s="104">
        <v>7430.7166666666672</v>
      </c>
      <c r="DY21" s="104">
        <v>7430.7166666666672</v>
      </c>
      <c r="DZ21" s="104">
        <v>7430.7166666666672</v>
      </c>
      <c r="EA21" s="104">
        <v>7430.7166666666672</v>
      </c>
      <c r="EB21" s="163">
        <f t="shared" ref="EB21:EB26" si="35">SUM(DP21:EA21)</f>
        <v>89168.600000000035</v>
      </c>
    </row>
    <row r="22" spans="2:136" outlineLevel="1">
      <c r="B22" s="86" t="s">
        <v>218</v>
      </c>
      <c r="C22" s="104">
        <v>0</v>
      </c>
      <c r="D22" s="104">
        <f>+Ej_Costos!C38+Ej_Costos!C51+Ej_Costos!C52+Ej_Costos!C53+Ej_Costos!C36+Ej_Costos!C39+Ej_Costos!C42</f>
        <v>1642.3073860507091</v>
      </c>
      <c r="E22" s="104">
        <f>+Ej_Costos!D38+Ej_Costos!D51+Ej_Costos!D52+Ej_Costos!D53+Ej_Costos!D36+Ej_Costos!D39+Ej_Costos!D42</f>
        <v>1199.1889677046906</v>
      </c>
      <c r="F22" s="104">
        <f>+Ej_Costos!E38+Ej_Costos!E51+Ej_Costos!E52+Ej_Costos!E53+Ej_Costos!E36+Ej_Costos!E39+Ej_Costos!E42</f>
        <v>1497.7762552835709</v>
      </c>
      <c r="G22" s="104">
        <f>+Ej_Costos!F38+Ej_Costos!F51+Ej_Costos!F52+Ej_Costos!F53+Ej_Costos!F36+Ej_Costos!F39+Ej_Costos!F42</f>
        <v>322.05082181509329</v>
      </c>
      <c r="H22" s="104">
        <f>+Ej_Costos!G38+Ej_Costos!G51+Ej_Costos!G52+Ej_Costos!G53+Ej_Costos!G36+Ej_Costos!G39+Ej_Costos!G42</f>
        <v>3489.262849282944</v>
      </c>
      <c r="I22" s="104">
        <f>+Ej_Costos!H38+Ej_Costos!H51+Ej_Costos!H52+Ej_Costos!H53+Ej_Costos!H36+Ej_Costos!H39+Ej_Costos!H42</f>
        <v>5279.4955804094889</v>
      </c>
      <c r="J22" s="104">
        <f>+Ej_Costos!I38+Ej_Costos!I51+Ej_Costos!I52+Ej_Costos!I53+Ej_Costos!I36+Ej_Costos!I39+Ej_Costos!I42</f>
        <v>3013.8303869396591</v>
      </c>
      <c r="K22" s="104">
        <f>+Ej_Costos!J38+Ej_Costos!J51+Ej_Costos!J52+Ej_Costos!J53+Ej_Costos!J36+Ej_Costos!J39+Ej_Costos!J42</f>
        <v>3033.5092901596463</v>
      </c>
      <c r="L22" s="104">
        <f>+Ej_Costos!K38+Ej_Costos!K51+Ej_Costos!K52+Ej_Costos!K53+Ej_Costos!K36+Ej_Costos!K39+Ej_Costos!K42</f>
        <v>3853.188193379634</v>
      </c>
      <c r="M22" s="104">
        <f>+Ej_Costos!L38+Ej_Costos!L51+Ej_Costos!L52+Ej_Costos!L53+Ej_Costos!L36+Ej_Costos!L39+Ej_Costos!L42</f>
        <v>3741.9498060791921</v>
      </c>
      <c r="N22" s="104">
        <f>+Ej_Costos!M38+Ej_Costos!M51+Ej_Costos!M52+Ej_Costos!M53+Ej_Costos!M36+Ej_Costos!M39+Ej_Costos!M42</f>
        <v>4135.5278704789389</v>
      </c>
      <c r="O22" s="163">
        <f t="shared" si="10"/>
        <v>31208.087407583564</v>
      </c>
      <c r="P22" s="104">
        <f>+Ej_Costos!R38+Ej_Costos!R51+Ej_Costos!R52+Ej_Costos!R53+Ej_Costos!R36+Ej_Costos!R39+Ej_Costos!R42</f>
        <v>10683.812004953754</v>
      </c>
      <c r="Q22" s="104">
        <f>+Ej_Costos!S38+Ej_Costos!S51+Ej_Costos!S52+Ej_Costos!S53+Ej_Costos!S36+Ej_Costos!S39+Ej_Costos!S42</f>
        <v>11400.356059463196</v>
      </c>
      <c r="R22" s="104">
        <f>+Ej_Costos!T38+Ej_Costos!T51+Ej_Costos!T52+Ej_Costos!T53+Ej_Costos!T36+Ej_Costos!T39+Ej_Costos!T42</f>
        <v>13286.782818556543</v>
      </c>
      <c r="S22" s="104">
        <f>+Ej_Costos!U38+Ej_Costos!U51+Ej_Costos!U52+Ej_Costos!U53+Ej_Costos!U36+Ej_Costos!U39+Ej_Costos!U42</f>
        <v>13960.656856284066</v>
      </c>
      <c r="T22" s="104">
        <f>+Ej_Costos!V38+Ej_Costos!V51+Ej_Costos!V52+Ej_Costos!V53+Ej_Costos!V36+Ej_Costos!V39+Ej_Costos!V42</f>
        <v>14331.561338517939</v>
      </c>
      <c r="U22" s="104">
        <f>+Ej_Costos!W38+Ej_Costos!W51+Ej_Costos!W52+Ej_Costos!W53+Ej_Costos!W36+Ej_Costos!W39+Ej_Costos!W42</f>
        <v>14331.561338517939</v>
      </c>
      <c r="V22" s="104">
        <f>+Ej_Costos!X38+Ej_Costos!X51+Ej_Costos!X52+Ej_Costos!X53+Ej_Costos!X36+Ej_Costos!X39+Ej_Costos!X42</f>
        <v>14331.561338517939</v>
      </c>
      <c r="W22" s="104">
        <f>+Ej_Costos!Y38+Ej_Costos!Y51+Ej_Costos!Y52+Ej_Costos!Y53+Ej_Costos!Y36+Ej_Costos!Y39+Ej_Costos!Y42</f>
        <v>14331.561338517939</v>
      </c>
      <c r="X22" s="104">
        <f>+Ej_Costos!Z38+Ej_Costos!Z51+Ej_Costos!Z52+Ej_Costos!Z53+Ej_Costos!Z36+Ej_Costos!Z39+Ej_Costos!Z42</f>
        <v>14331.561338517939</v>
      </c>
      <c r="Y22" s="104">
        <f>+Ej_Costos!AA38+Ej_Costos!AA51+Ej_Costos!AA52+Ej_Costos!AA53+Ej_Costos!AA36+Ej_Costos!AA39+Ej_Costos!AA42</f>
        <v>14331.561338517939</v>
      </c>
      <c r="Z22" s="104">
        <f>+Ej_Costos!AB38+Ej_Costos!AB51+Ej_Costos!AB52+Ej_Costos!AB53+Ej_Costos!AB36+Ej_Costos!AB39+Ej_Costos!AB42</f>
        <v>14331.561338517939</v>
      </c>
      <c r="AA22" s="104">
        <f>+Ej_Costos!AC38+Ej_Costos!AC51+Ej_Costos!AC52+Ej_Costos!AC53+Ej_Costos!AC36+Ej_Costos!AC39+Ej_Costos!AC42</f>
        <v>14331.561338517939</v>
      </c>
      <c r="AB22" s="163">
        <f t="shared" si="21"/>
        <v>163984.09844740102</v>
      </c>
      <c r="AC22" s="104">
        <v>10660.83352365372</v>
      </c>
      <c r="AD22" s="104">
        <v>11200.243087152418</v>
      </c>
      <c r="AE22" s="104">
        <v>13008.419620600875</v>
      </c>
      <c r="AF22" s="104">
        <v>13655.985958514742</v>
      </c>
      <c r="AG22" s="104">
        <v>14008.444546763632</v>
      </c>
      <c r="AH22" s="104">
        <v>14008.444546763632</v>
      </c>
      <c r="AI22" s="104">
        <v>14008.444546763632</v>
      </c>
      <c r="AJ22" s="104">
        <v>14008.444546763632</v>
      </c>
      <c r="AK22" s="104">
        <v>14008.444546763632</v>
      </c>
      <c r="AL22" s="104">
        <v>14008.444546763632</v>
      </c>
      <c r="AM22" s="104">
        <v>14008.444546763632</v>
      </c>
      <c r="AN22" s="104">
        <v>14008.444546763632</v>
      </c>
      <c r="AO22" s="163">
        <f t="shared" si="22"/>
        <v>160593.03856403087</v>
      </c>
      <c r="AP22" s="104">
        <v>10660.83352365372</v>
      </c>
      <c r="AQ22" s="104">
        <v>11200.243087152418</v>
      </c>
      <c r="AR22" s="104">
        <v>13008.419620600875</v>
      </c>
      <c r="AS22" s="104">
        <v>13655.985958514742</v>
      </c>
      <c r="AT22" s="104">
        <v>14008.444546763632</v>
      </c>
      <c r="AU22" s="104">
        <v>14008.444546763632</v>
      </c>
      <c r="AV22" s="104">
        <v>14008.444546763632</v>
      </c>
      <c r="AW22" s="104">
        <v>14008.444546763632</v>
      </c>
      <c r="AX22" s="104">
        <v>14008.444546763632</v>
      </c>
      <c r="AY22" s="104">
        <v>14008.444546763632</v>
      </c>
      <c r="AZ22" s="104">
        <v>14008.444546763632</v>
      </c>
      <c r="BA22" s="104">
        <v>14008.444546763632</v>
      </c>
      <c r="BB22" s="163">
        <f t="shared" si="23"/>
        <v>160593.03856403087</v>
      </c>
      <c r="BC22" s="104">
        <v>10660.83352365372</v>
      </c>
      <c r="BD22" s="104">
        <v>11200.243087152418</v>
      </c>
      <c r="BE22" s="104">
        <v>13008.419620600875</v>
      </c>
      <c r="BF22" s="104">
        <v>13655.985958514742</v>
      </c>
      <c r="BG22" s="104">
        <v>14008.444546763632</v>
      </c>
      <c r="BH22" s="104">
        <v>14008.444546763632</v>
      </c>
      <c r="BI22" s="104">
        <v>14008.444546763632</v>
      </c>
      <c r="BJ22" s="104">
        <v>14008.444546763632</v>
      </c>
      <c r="BK22" s="104">
        <v>14008.444546763632</v>
      </c>
      <c r="BL22" s="104">
        <v>14008.444546763632</v>
      </c>
      <c r="BM22" s="104">
        <v>14008.444546763632</v>
      </c>
      <c r="BN22" s="104">
        <v>14008.444546763632</v>
      </c>
      <c r="BO22" s="163">
        <f t="shared" si="30"/>
        <v>160593.03856403087</v>
      </c>
      <c r="BP22" s="104">
        <v>10660.83352365372</v>
      </c>
      <c r="BQ22" s="104">
        <v>11200.243087152418</v>
      </c>
      <c r="BR22" s="104">
        <v>13008.419620600875</v>
      </c>
      <c r="BS22" s="104">
        <v>13655.985958514742</v>
      </c>
      <c r="BT22" s="104">
        <v>14008.444546763632</v>
      </c>
      <c r="BU22" s="104">
        <v>14008.444546763632</v>
      </c>
      <c r="BV22" s="104">
        <v>14008.444546763632</v>
      </c>
      <c r="BW22" s="104">
        <v>14008.444546763632</v>
      </c>
      <c r="BX22" s="104">
        <v>14008.444546763632</v>
      </c>
      <c r="BY22" s="104">
        <v>14008.444546763632</v>
      </c>
      <c r="BZ22" s="104">
        <v>14008.444546763632</v>
      </c>
      <c r="CA22" s="104">
        <v>14008.444546763632</v>
      </c>
      <c r="CB22" s="163">
        <f t="shared" si="31"/>
        <v>160593.03856403087</v>
      </c>
      <c r="CC22" s="104">
        <v>10660.83352365372</v>
      </c>
      <c r="CD22" s="104">
        <v>11200.243087152418</v>
      </c>
      <c r="CE22" s="104">
        <v>13008.419620600875</v>
      </c>
      <c r="CF22" s="104">
        <v>13655.985958514742</v>
      </c>
      <c r="CG22" s="104">
        <v>14008.444546763632</v>
      </c>
      <c r="CH22" s="104">
        <v>14008.444546763632</v>
      </c>
      <c r="CI22" s="104">
        <v>14008.444546763632</v>
      </c>
      <c r="CJ22" s="104">
        <v>14008.444546763632</v>
      </c>
      <c r="CK22" s="104">
        <v>14008.444546763632</v>
      </c>
      <c r="CL22" s="104">
        <v>14008.444546763632</v>
      </c>
      <c r="CM22" s="104">
        <v>14008.444546763632</v>
      </c>
      <c r="CN22" s="104">
        <v>14008.444546763632</v>
      </c>
      <c r="CO22" s="163">
        <f t="shared" si="32"/>
        <v>160593.03856403087</v>
      </c>
      <c r="CP22" s="104">
        <v>10660.83352365372</v>
      </c>
      <c r="CQ22" s="104">
        <v>11200.243087152418</v>
      </c>
      <c r="CR22" s="104">
        <v>13008.419620600875</v>
      </c>
      <c r="CS22" s="104">
        <v>13655.985958514742</v>
      </c>
      <c r="CT22" s="104">
        <v>14008.444546763632</v>
      </c>
      <c r="CU22" s="104">
        <v>14008.444546763632</v>
      </c>
      <c r="CV22" s="104">
        <v>14008.444546763632</v>
      </c>
      <c r="CW22" s="104">
        <v>14008.444546763632</v>
      </c>
      <c r="CX22" s="104">
        <v>14008.444546763632</v>
      </c>
      <c r="CY22" s="104">
        <v>14008.444546763632</v>
      </c>
      <c r="CZ22" s="104">
        <v>14008.444546763632</v>
      </c>
      <c r="DA22" s="104">
        <v>14008.444546763632</v>
      </c>
      <c r="DB22" s="163">
        <f t="shared" si="33"/>
        <v>160593.03856403087</v>
      </c>
      <c r="DC22" s="104">
        <v>10660.83352365372</v>
      </c>
      <c r="DD22" s="104">
        <v>11200.243087152418</v>
      </c>
      <c r="DE22" s="104">
        <v>13008.419620600875</v>
      </c>
      <c r="DF22" s="104">
        <v>13655.985958514742</v>
      </c>
      <c r="DG22" s="104">
        <v>14008.444546763632</v>
      </c>
      <c r="DH22" s="104">
        <v>14008.444546763632</v>
      </c>
      <c r="DI22" s="104">
        <v>14008.444546763632</v>
      </c>
      <c r="DJ22" s="104">
        <v>14008.444546763632</v>
      </c>
      <c r="DK22" s="104">
        <v>14008.444546763632</v>
      </c>
      <c r="DL22" s="104">
        <v>14008.444546763632</v>
      </c>
      <c r="DM22" s="104">
        <v>14008.444546763632</v>
      </c>
      <c r="DN22" s="104">
        <v>14008.444546763632</v>
      </c>
      <c r="DO22" s="163">
        <f t="shared" si="34"/>
        <v>160593.03856403087</v>
      </c>
      <c r="DP22" s="104">
        <v>10660.83352365372</v>
      </c>
      <c r="DQ22" s="104">
        <v>11200.243087152418</v>
      </c>
      <c r="DR22" s="104">
        <v>13008.419620600875</v>
      </c>
      <c r="DS22" s="104">
        <v>13655.985958514742</v>
      </c>
      <c r="DT22" s="104">
        <v>14008.444546763632</v>
      </c>
      <c r="DU22" s="104">
        <v>14008.444546763632</v>
      </c>
      <c r="DV22" s="104">
        <v>14008.444546763632</v>
      </c>
      <c r="DW22" s="104">
        <v>14008.444546763632</v>
      </c>
      <c r="DX22" s="104">
        <v>14008.444546763632</v>
      </c>
      <c r="DY22" s="104">
        <v>14008.444546763632</v>
      </c>
      <c r="DZ22" s="104">
        <v>14008.444546763632</v>
      </c>
      <c r="EA22" s="104">
        <v>14008.444546763632</v>
      </c>
      <c r="EB22" s="163">
        <f t="shared" si="35"/>
        <v>160593.03856403087</v>
      </c>
    </row>
    <row r="23" spans="2:136" outlineLevel="1">
      <c r="B23" s="86" t="s">
        <v>544</v>
      </c>
      <c r="C23" s="104">
        <v>0</v>
      </c>
      <c r="D23" s="104">
        <v>0</v>
      </c>
      <c r="E23" s="104">
        <v>0</v>
      </c>
      <c r="F23" s="104">
        <v>0</v>
      </c>
      <c r="G23" s="104">
        <v>0</v>
      </c>
      <c r="H23" s="104">
        <v>0</v>
      </c>
      <c r="I23" s="104">
        <v>0</v>
      </c>
      <c r="J23" s="104">
        <v>0</v>
      </c>
      <c r="K23" s="104">
        <v>0</v>
      </c>
      <c r="L23" s="104">
        <v>0</v>
      </c>
      <c r="M23" s="104">
        <f>+Ej_Deuda!M5+Ej_Deuda!M11</f>
        <v>119771.29786334357</v>
      </c>
      <c r="N23" s="104">
        <f>+Ej_Deuda!N5+Ej_Deuda!N11</f>
        <v>119715.92506532103</v>
      </c>
      <c r="O23" s="163">
        <f t="shared" si="10"/>
        <v>239487.22292866459</v>
      </c>
      <c r="P23" s="104">
        <f>+Ej_Deuda!R5++Ej_Deuda!R11</f>
        <v>119660.13697131339</v>
      </c>
      <c r="Q23" s="104">
        <f>+Ej_Deuda!S5++Ej_Deuda!S11</f>
        <v>119603.93046660064</v>
      </c>
      <c r="R23" s="104">
        <f>+Ej_Deuda!T5++Ej_Deuda!T11</f>
        <v>119547.30241310256</v>
      </c>
      <c r="S23" s="104">
        <f>+Ej_Deuda!U5++Ej_Deuda!U11</f>
        <v>119490.24964920327</v>
      </c>
      <c r="T23" s="104">
        <f>+Ej_Deuda!V5++Ej_Deuda!V11</f>
        <v>119432.76898957469</v>
      </c>
      <c r="U23" s="104">
        <f>+Ej_Deuda!W5++Ej_Deuda!W11</f>
        <v>119374.85722499891</v>
      </c>
      <c r="V23" s="104">
        <f>+Ej_Deuda!X5++Ej_Deuda!X11</f>
        <v>119316.50981433944</v>
      </c>
      <c r="W23" s="104">
        <f>+Ej_Deuda!Y5++Ej_Deuda!Y11</f>
        <v>119257.72589426782</v>
      </c>
      <c r="X23" s="104">
        <f>+Ej_Deuda!Z5++Ej_Deuda!Z11</f>
        <v>119198.50088479568</v>
      </c>
      <c r="Y23" s="104">
        <f>+Ej_Deuda!AA5++Ej_Deuda!AA11</f>
        <v>119135.53213275247</v>
      </c>
      <c r="Z23" s="104">
        <f>+Ej_Deuda!AB5++Ej_Deuda!AB11</f>
        <v>119078.71598006896</v>
      </c>
      <c r="AA23" s="104">
        <f>+Ej_Deuda!AC5++Ej_Deuda!AC11</f>
        <v>119018.14876374032</v>
      </c>
      <c r="AB23" s="163">
        <f t="shared" si="21"/>
        <v>1432114.3791847583</v>
      </c>
      <c r="AC23" s="104">
        <v>119660.13697131339</v>
      </c>
      <c r="AD23" s="104">
        <v>119603.93046660064</v>
      </c>
      <c r="AE23" s="104">
        <v>119547.30241310256</v>
      </c>
      <c r="AF23" s="104">
        <v>119490.24964920327</v>
      </c>
      <c r="AG23" s="104">
        <v>119432.76898957469</v>
      </c>
      <c r="AH23" s="104">
        <v>119374.85722499891</v>
      </c>
      <c r="AI23" s="104">
        <v>119316.50981433944</v>
      </c>
      <c r="AJ23" s="104">
        <v>119257.72589426782</v>
      </c>
      <c r="AK23" s="104">
        <v>119198.50088479568</v>
      </c>
      <c r="AL23" s="104">
        <v>119135.53213275247</v>
      </c>
      <c r="AM23" s="104">
        <v>119078.71598006896</v>
      </c>
      <c r="AN23" s="104">
        <v>119018.14876374032</v>
      </c>
      <c r="AO23" s="163">
        <f t="shared" si="22"/>
        <v>1432114.3791847583</v>
      </c>
      <c r="AP23" s="104">
        <v>119660.13697131339</v>
      </c>
      <c r="AQ23" s="104">
        <v>119603.93046660064</v>
      </c>
      <c r="AR23" s="104">
        <v>119547.30241310256</v>
      </c>
      <c r="AS23" s="104">
        <v>119490.24964920327</v>
      </c>
      <c r="AT23" s="104">
        <v>119432.76898957469</v>
      </c>
      <c r="AU23" s="104">
        <v>119374.85722499891</v>
      </c>
      <c r="AV23" s="104">
        <v>119316.50981433944</v>
      </c>
      <c r="AW23" s="104">
        <v>119257.72589426782</v>
      </c>
      <c r="AX23" s="104">
        <v>119198.50088479568</v>
      </c>
      <c r="AY23" s="104">
        <v>119135.53213275247</v>
      </c>
      <c r="AZ23" s="104">
        <v>119078.71598006896</v>
      </c>
      <c r="BA23" s="104">
        <v>119018.14876374032</v>
      </c>
      <c r="BB23" s="163">
        <f t="shared" si="23"/>
        <v>1432114.3791847583</v>
      </c>
      <c r="BC23" s="104">
        <v>119660.13697131339</v>
      </c>
      <c r="BD23" s="104">
        <v>119603.93046660064</v>
      </c>
      <c r="BE23" s="104">
        <v>119547.30241310256</v>
      </c>
      <c r="BF23" s="104">
        <v>119490.24964920327</v>
      </c>
      <c r="BG23" s="104">
        <v>119432.76898957469</v>
      </c>
      <c r="BH23" s="104">
        <v>119374.85722499891</v>
      </c>
      <c r="BI23" s="104">
        <v>119316.50981433944</v>
      </c>
      <c r="BJ23" s="104">
        <v>119257.72589426782</v>
      </c>
      <c r="BK23" s="104">
        <v>119198.50088479568</v>
      </c>
      <c r="BL23" s="104">
        <v>119135.53213275247</v>
      </c>
      <c r="BM23" s="104">
        <v>119078.71598006896</v>
      </c>
      <c r="BN23" s="104">
        <v>119018.14876374032</v>
      </c>
      <c r="BO23" s="163">
        <f t="shared" si="30"/>
        <v>1432114.3791847583</v>
      </c>
      <c r="BP23" s="104">
        <v>119660.13697131339</v>
      </c>
      <c r="BQ23" s="104">
        <v>119603.93046660064</v>
      </c>
      <c r="BR23" s="104">
        <v>119547.30241310256</v>
      </c>
      <c r="BS23" s="104">
        <v>119490.24964920327</v>
      </c>
      <c r="BT23" s="104">
        <v>119432.76898957469</v>
      </c>
      <c r="BU23" s="104">
        <v>119374.85722499891</v>
      </c>
      <c r="BV23" s="104"/>
      <c r="BW23" s="104"/>
      <c r="BX23" s="104"/>
      <c r="BY23" s="104"/>
      <c r="BZ23" s="104"/>
      <c r="CA23" s="104"/>
      <c r="CB23" s="163">
        <f t="shared" si="31"/>
        <v>717109.24571479333</v>
      </c>
      <c r="CC23" s="104"/>
      <c r="CD23" s="104"/>
      <c r="CE23" s="104"/>
      <c r="CF23" s="104"/>
      <c r="CG23" s="104"/>
      <c r="CH23" s="104"/>
      <c r="CI23" s="104"/>
      <c r="CJ23" s="104"/>
      <c r="CK23" s="104"/>
      <c r="CL23" s="104"/>
      <c r="CM23" s="104"/>
      <c r="CN23" s="104"/>
      <c r="CO23" s="163">
        <f t="shared" si="32"/>
        <v>0</v>
      </c>
      <c r="CP23" s="104"/>
      <c r="CQ23" s="104"/>
      <c r="CR23" s="104"/>
      <c r="CS23" s="104"/>
      <c r="CT23" s="104"/>
      <c r="CU23" s="104"/>
      <c r="CV23" s="104"/>
      <c r="CW23" s="104"/>
      <c r="CX23" s="104"/>
      <c r="CY23" s="104"/>
      <c r="CZ23" s="104"/>
      <c r="DA23" s="104"/>
      <c r="DB23" s="163">
        <f t="shared" si="33"/>
        <v>0</v>
      </c>
      <c r="DC23" s="104"/>
      <c r="DD23" s="104"/>
      <c r="DE23" s="104"/>
      <c r="DF23" s="104"/>
      <c r="DG23" s="104"/>
      <c r="DH23" s="104"/>
      <c r="DI23" s="104"/>
      <c r="DJ23" s="104"/>
      <c r="DK23" s="104"/>
      <c r="DL23" s="104"/>
      <c r="DM23" s="104"/>
      <c r="DN23" s="104"/>
      <c r="DO23" s="163">
        <f t="shared" si="34"/>
        <v>0</v>
      </c>
      <c r="DP23" s="104"/>
      <c r="DQ23" s="104"/>
      <c r="DR23" s="104"/>
      <c r="DS23" s="104"/>
      <c r="DT23" s="104"/>
      <c r="DU23" s="104"/>
      <c r="DV23" s="104"/>
      <c r="DW23" s="104"/>
      <c r="DX23" s="104"/>
      <c r="DY23" s="104"/>
      <c r="DZ23" s="104"/>
      <c r="EA23" s="104"/>
      <c r="EB23" s="163">
        <f t="shared" si="35"/>
        <v>0</v>
      </c>
    </row>
    <row r="24" spans="2:136" outlineLevel="1">
      <c r="B24" s="86" t="s">
        <v>219</v>
      </c>
      <c r="C24" s="104">
        <v>0</v>
      </c>
      <c r="D24" s="104">
        <f>+Ej_Resultados!C18</f>
        <v>201.96</v>
      </c>
      <c r="E24" s="104">
        <f>+Ej_Resultados!D18</f>
        <v>0</v>
      </c>
      <c r="F24" s="104">
        <f>+Ej_Resultados!E18</f>
        <v>1090.9894879999999</v>
      </c>
      <c r="G24" s="104">
        <f>+Ej_Resultados!F18</f>
        <v>1549.3941865000002</v>
      </c>
      <c r="H24" s="104">
        <f>+Ej_Resultados!G18</f>
        <v>2123.433755</v>
      </c>
      <c r="I24" s="104">
        <f>+Ej_Resultados!H18</f>
        <v>5471.9948800000002</v>
      </c>
      <c r="J24" s="104">
        <f>+Ej_Resultados!I18</f>
        <v>2588.6</v>
      </c>
      <c r="K24" s="104">
        <f>+Ej_Resultados!J18</f>
        <v>2944.7000000000003</v>
      </c>
      <c r="L24" s="104">
        <f>+Ej_Resultados!K18</f>
        <v>3206.4</v>
      </c>
      <c r="M24" s="104">
        <f>+Ej_Resultados!L18</f>
        <v>7075.8</v>
      </c>
      <c r="N24" s="104">
        <f>+Ej_Resultados!M18</f>
        <v>8799</v>
      </c>
      <c r="O24" s="163">
        <f t="shared" si="10"/>
        <v>35052.272309499996</v>
      </c>
      <c r="P24" s="104">
        <f>+Ej_Resultados!N18</f>
        <v>7033.8</v>
      </c>
      <c r="Q24" s="104">
        <f>+Ej_Resultados!R18</f>
        <v>8652.6</v>
      </c>
      <c r="R24" s="104">
        <f>+Ej_Resultados!S18</f>
        <v>9881.7000000000007</v>
      </c>
      <c r="S24" s="104">
        <f>+Ej_Resultados!T18</f>
        <v>13745.25</v>
      </c>
      <c r="T24" s="104">
        <f>+Ej_Resultados!U18</f>
        <v>14892.300000000001</v>
      </c>
      <c r="U24" s="104">
        <f>+Ej_Resultados!V18</f>
        <v>15797.7</v>
      </c>
      <c r="V24" s="104">
        <f>+Ej_Resultados!W18</f>
        <v>15797.7</v>
      </c>
      <c r="W24" s="104">
        <f>+Ej_Resultados!X18</f>
        <v>15797.7</v>
      </c>
      <c r="X24" s="104">
        <f>+Ej_Resultados!Y18</f>
        <v>15797.7</v>
      </c>
      <c r="Y24" s="104">
        <f>+Ej_Resultados!Z18</f>
        <v>15797.7</v>
      </c>
      <c r="Z24" s="104">
        <f>+Ej_Resultados!AA18</f>
        <v>15797.7</v>
      </c>
      <c r="AA24" s="104">
        <f>+Ej_Resultados!AB18</f>
        <v>15797.7</v>
      </c>
      <c r="AB24" s="163">
        <f t="shared" si="21"/>
        <v>164789.55000000002</v>
      </c>
      <c r="AC24" s="104">
        <v>7033.8</v>
      </c>
      <c r="AD24" s="104">
        <v>8652.6</v>
      </c>
      <c r="AE24" s="104">
        <v>9881.7000000000007</v>
      </c>
      <c r="AF24" s="104">
        <v>13745.25</v>
      </c>
      <c r="AG24" s="104">
        <v>14892.300000000001</v>
      </c>
      <c r="AH24" s="104">
        <v>15797.7</v>
      </c>
      <c r="AI24" s="104">
        <v>15797.7</v>
      </c>
      <c r="AJ24" s="104">
        <v>15797.7</v>
      </c>
      <c r="AK24" s="104">
        <v>15797.7</v>
      </c>
      <c r="AL24" s="104">
        <v>15797.7</v>
      </c>
      <c r="AM24" s="104">
        <v>15797.7</v>
      </c>
      <c r="AN24" s="104">
        <v>15797.7</v>
      </c>
      <c r="AO24" s="163">
        <f t="shared" si="22"/>
        <v>164789.55000000002</v>
      </c>
      <c r="AP24" s="104">
        <v>7033.8</v>
      </c>
      <c r="AQ24" s="104">
        <v>8652.6</v>
      </c>
      <c r="AR24" s="104">
        <v>9881.7000000000007</v>
      </c>
      <c r="AS24" s="104">
        <v>13745.25</v>
      </c>
      <c r="AT24" s="104">
        <v>14892.300000000001</v>
      </c>
      <c r="AU24" s="104">
        <v>15797.7</v>
      </c>
      <c r="AV24" s="104">
        <v>15797.7</v>
      </c>
      <c r="AW24" s="104">
        <v>15797.7</v>
      </c>
      <c r="AX24" s="104">
        <v>15797.7</v>
      </c>
      <c r="AY24" s="104">
        <v>15797.7</v>
      </c>
      <c r="AZ24" s="104">
        <v>15797.7</v>
      </c>
      <c r="BA24" s="104">
        <v>15797.7</v>
      </c>
      <c r="BB24" s="163">
        <f t="shared" si="23"/>
        <v>164789.55000000002</v>
      </c>
      <c r="BC24" s="104">
        <v>7033.8</v>
      </c>
      <c r="BD24" s="104">
        <v>8652.6</v>
      </c>
      <c r="BE24" s="104">
        <v>9881.7000000000007</v>
      </c>
      <c r="BF24" s="104">
        <v>13745.25</v>
      </c>
      <c r="BG24" s="104">
        <v>14892.300000000001</v>
      </c>
      <c r="BH24" s="104">
        <v>15797.7</v>
      </c>
      <c r="BI24" s="104">
        <v>15797.7</v>
      </c>
      <c r="BJ24" s="104">
        <v>15797.7</v>
      </c>
      <c r="BK24" s="104">
        <v>15797.7</v>
      </c>
      <c r="BL24" s="104">
        <v>15797.7</v>
      </c>
      <c r="BM24" s="104">
        <v>15797.7</v>
      </c>
      <c r="BN24" s="104">
        <v>15797.7</v>
      </c>
      <c r="BO24" s="163">
        <f t="shared" si="30"/>
        <v>164789.55000000002</v>
      </c>
      <c r="BP24" s="104">
        <v>7033.8</v>
      </c>
      <c r="BQ24" s="104">
        <v>8652.6</v>
      </c>
      <c r="BR24" s="104">
        <v>9881.7000000000007</v>
      </c>
      <c r="BS24" s="104">
        <v>13745.25</v>
      </c>
      <c r="BT24" s="104">
        <v>14892.300000000001</v>
      </c>
      <c r="BU24" s="104">
        <v>15797.7</v>
      </c>
      <c r="BV24" s="104">
        <v>15797.7</v>
      </c>
      <c r="BW24" s="104">
        <v>15797.7</v>
      </c>
      <c r="BX24" s="104">
        <v>15797.7</v>
      </c>
      <c r="BY24" s="104">
        <v>15797.7</v>
      </c>
      <c r="BZ24" s="104">
        <v>15797.7</v>
      </c>
      <c r="CA24" s="104">
        <v>15797.7</v>
      </c>
      <c r="CB24" s="163">
        <f t="shared" si="31"/>
        <v>164789.55000000002</v>
      </c>
      <c r="CC24" s="104">
        <v>7033.8</v>
      </c>
      <c r="CD24" s="104">
        <v>8652.6</v>
      </c>
      <c r="CE24" s="104">
        <v>9881.7000000000007</v>
      </c>
      <c r="CF24" s="104">
        <v>13745.25</v>
      </c>
      <c r="CG24" s="104">
        <v>14892.300000000001</v>
      </c>
      <c r="CH24" s="104">
        <v>15797.7</v>
      </c>
      <c r="CI24" s="104">
        <v>15797.7</v>
      </c>
      <c r="CJ24" s="104">
        <v>15797.7</v>
      </c>
      <c r="CK24" s="104">
        <v>15797.7</v>
      </c>
      <c r="CL24" s="104">
        <v>15797.7</v>
      </c>
      <c r="CM24" s="104">
        <v>15797.7</v>
      </c>
      <c r="CN24" s="104">
        <v>15797.7</v>
      </c>
      <c r="CO24" s="163">
        <f t="shared" si="32"/>
        <v>164789.55000000002</v>
      </c>
      <c r="CP24" s="104">
        <v>7033.8</v>
      </c>
      <c r="CQ24" s="104">
        <v>8652.6</v>
      </c>
      <c r="CR24" s="104">
        <v>9881.7000000000007</v>
      </c>
      <c r="CS24" s="104">
        <v>13745.25</v>
      </c>
      <c r="CT24" s="104">
        <v>14892.300000000001</v>
      </c>
      <c r="CU24" s="104">
        <v>15797.7</v>
      </c>
      <c r="CV24" s="104">
        <v>15797.7</v>
      </c>
      <c r="CW24" s="104">
        <v>15797.7</v>
      </c>
      <c r="CX24" s="104">
        <v>15797.7</v>
      </c>
      <c r="CY24" s="104">
        <v>15797.7</v>
      </c>
      <c r="CZ24" s="104">
        <v>15797.7</v>
      </c>
      <c r="DA24" s="104">
        <v>15797.7</v>
      </c>
      <c r="DB24" s="163">
        <f t="shared" si="33"/>
        <v>164789.55000000002</v>
      </c>
      <c r="DC24" s="104">
        <v>7033.8</v>
      </c>
      <c r="DD24" s="104">
        <v>8652.6</v>
      </c>
      <c r="DE24" s="104">
        <v>9881.7000000000007</v>
      </c>
      <c r="DF24" s="104">
        <v>13745.25</v>
      </c>
      <c r="DG24" s="104">
        <v>14892.300000000001</v>
      </c>
      <c r="DH24" s="104">
        <v>15797.7</v>
      </c>
      <c r="DI24" s="104">
        <v>15797.7</v>
      </c>
      <c r="DJ24" s="104">
        <v>15797.7</v>
      </c>
      <c r="DK24" s="104">
        <v>15797.7</v>
      </c>
      <c r="DL24" s="104">
        <v>15797.7</v>
      </c>
      <c r="DM24" s="104">
        <v>15797.7</v>
      </c>
      <c r="DN24" s="104">
        <v>15797.7</v>
      </c>
      <c r="DO24" s="163">
        <f t="shared" si="34"/>
        <v>164789.55000000002</v>
      </c>
      <c r="DP24" s="104">
        <v>7033.8</v>
      </c>
      <c r="DQ24" s="104">
        <v>8652.6</v>
      </c>
      <c r="DR24" s="104">
        <v>9881.7000000000007</v>
      </c>
      <c r="DS24" s="104">
        <v>13745.25</v>
      </c>
      <c r="DT24" s="104">
        <v>14892.300000000001</v>
      </c>
      <c r="DU24" s="104">
        <v>15797.7</v>
      </c>
      <c r="DV24" s="104">
        <v>15797.7</v>
      </c>
      <c r="DW24" s="104">
        <v>15797.7</v>
      </c>
      <c r="DX24" s="104">
        <v>15797.7</v>
      </c>
      <c r="DY24" s="104">
        <v>15797.7</v>
      </c>
      <c r="DZ24" s="104">
        <v>15797.7</v>
      </c>
      <c r="EA24" s="104">
        <v>15797.7</v>
      </c>
      <c r="EB24" s="163">
        <f t="shared" si="35"/>
        <v>164789.55000000002</v>
      </c>
    </row>
    <row r="25" spans="2:136" outlineLevel="1">
      <c r="B25" s="86" t="s">
        <v>220</v>
      </c>
      <c r="C25" s="104">
        <v>0</v>
      </c>
      <c r="D25" s="104">
        <v>0</v>
      </c>
      <c r="E25" s="104">
        <v>0</v>
      </c>
      <c r="F25" s="104">
        <v>0</v>
      </c>
      <c r="G25" s="104">
        <v>0</v>
      </c>
      <c r="H25" s="104">
        <v>0</v>
      </c>
      <c r="I25" s="104">
        <v>0</v>
      </c>
      <c r="J25" s="104">
        <v>0</v>
      </c>
      <c r="K25" s="104">
        <v>0</v>
      </c>
      <c r="L25" s="190">
        <v>300000</v>
      </c>
      <c r="M25" s="104">
        <v>0</v>
      </c>
      <c r="N25" s="104">
        <v>0</v>
      </c>
      <c r="O25" s="163">
        <f t="shared" si="10"/>
        <v>300000</v>
      </c>
      <c r="P25" s="104">
        <v>0</v>
      </c>
      <c r="Q25" s="104">
        <f>+Ej_Costos!R36</f>
        <v>3750</v>
      </c>
      <c r="R25" s="104">
        <f>+Ej_Costos!S36</f>
        <v>3750</v>
      </c>
      <c r="S25" s="104">
        <f>+Ej_Costos!T36</f>
        <v>3750</v>
      </c>
      <c r="T25" s="104">
        <f>+Ej_Costos!U36</f>
        <v>3750</v>
      </c>
      <c r="U25" s="104">
        <f>+Ej_Costos!V36</f>
        <v>3750</v>
      </c>
      <c r="V25" s="104">
        <f>+Ej_Costos!W36</f>
        <v>3750</v>
      </c>
      <c r="W25" s="104">
        <f>+Ej_Costos!X36</f>
        <v>3750</v>
      </c>
      <c r="X25" s="104">
        <f>+Ej_Costos!Y36</f>
        <v>3750</v>
      </c>
      <c r="Y25" s="104">
        <f>+Ej_Costos!Z36</f>
        <v>3750</v>
      </c>
      <c r="Z25" s="104">
        <f>+Ej_Costos!AA36</f>
        <v>3750</v>
      </c>
      <c r="AA25" s="104">
        <f>+Ej_Costos!AB36</f>
        <v>3750</v>
      </c>
      <c r="AB25" s="163">
        <f t="shared" si="21"/>
        <v>41250</v>
      </c>
      <c r="AC25" s="104">
        <v>0</v>
      </c>
      <c r="AD25" s="104">
        <v>3750</v>
      </c>
      <c r="AE25" s="104">
        <v>3750</v>
      </c>
      <c r="AF25" s="104">
        <v>3750</v>
      </c>
      <c r="AG25" s="104">
        <v>3750</v>
      </c>
      <c r="AH25" s="104">
        <v>3750</v>
      </c>
      <c r="AI25" s="104">
        <v>3750</v>
      </c>
      <c r="AJ25" s="104">
        <v>3750</v>
      </c>
      <c r="AK25" s="104">
        <v>3750</v>
      </c>
      <c r="AL25" s="104">
        <v>3750</v>
      </c>
      <c r="AM25" s="104">
        <v>3750</v>
      </c>
      <c r="AN25" s="104">
        <v>3750</v>
      </c>
      <c r="AO25" s="163">
        <f t="shared" si="22"/>
        <v>41250</v>
      </c>
      <c r="AP25" s="104">
        <v>0</v>
      </c>
      <c r="AQ25" s="104">
        <v>3750</v>
      </c>
      <c r="AR25" s="104">
        <v>3750</v>
      </c>
      <c r="AS25" s="104">
        <v>3750</v>
      </c>
      <c r="AT25" s="104">
        <v>3750</v>
      </c>
      <c r="AU25" s="104">
        <v>3750</v>
      </c>
      <c r="AV25" s="104">
        <v>3750</v>
      </c>
      <c r="AW25" s="104">
        <v>3750</v>
      </c>
      <c r="AX25" s="104">
        <v>3750</v>
      </c>
      <c r="AY25" s="104">
        <v>3750</v>
      </c>
      <c r="AZ25" s="104">
        <v>3750</v>
      </c>
      <c r="BA25" s="104">
        <v>3750</v>
      </c>
      <c r="BB25" s="163">
        <f t="shared" si="23"/>
        <v>41250</v>
      </c>
      <c r="BC25" s="104">
        <v>0</v>
      </c>
      <c r="BD25" s="104">
        <v>3750</v>
      </c>
      <c r="BE25" s="104">
        <v>3750</v>
      </c>
      <c r="BF25" s="104">
        <v>3750</v>
      </c>
      <c r="BG25" s="104">
        <v>3750</v>
      </c>
      <c r="BH25" s="104">
        <v>3750</v>
      </c>
      <c r="BI25" s="104">
        <v>3750</v>
      </c>
      <c r="BJ25" s="104">
        <v>3750</v>
      </c>
      <c r="BK25" s="104">
        <v>3750</v>
      </c>
      <c r="BL25" s="104">
        <v>3750</v>
      </c>
      <c r="BM25" s="104">
        <v>3750</v>
      </c>
      <c r="BN25" s="104">
        <v>3750</v>
      </c>
      <c r="BO25" s="163">
        <f t="shared" si="30"/>
        <v>41250</v>
      </c>
      <c r="BP25" s="104">
        <v>0</v>
      </c>
      <c r="BQ25" s="104">
        <v>3750</v>
      </c>
      <c r="BR25" s="104">
        <v>3750</v>
      </c>
      <c r="BS25" s="104">
        <v>3750</v>
      </c>
      <c r="BT25" s="104">
        <v>3750</v>
      </c>
      <c r="BU25" s="104">
        <v>3750</v>
      </c>
      <c r="BV25" s="104">
        <v>3750</v>
      </c>
      <c r="BW25" s="104">
        <v>3750</v>
      </c>
      <c r="BX25" s="104">
        <v>3750</v>
      </c>
      <c r="BY25" s="104">
        <v>3750</v>
      </c>
      <c r="BZ25" s="104">
        <v>3750</v>
      </c>
      <c r="CA25" s="104">
        <v>3750</v>
      </c>
      <c r="CB25" s="163">
        <f t="shared" si="31"/>
        <v>41250</v>
      </c>
      <c r="CC25" s="104">
        <v>0</v>
      </c>
      <c r="CD25" s="104">
        <v>3750</v>
      </c>
      <c r="CE25" s="104">
        <v>3750</v>
      </c>
      <c r="CF25" s="104">
        <v>3750</v>
      </c>
      <c r="CG25" s="104">
        <v>3750</v>
      </c>
      <c r="CH25" s="104">
        <v>3750</v>
      </c>
      <c r="CI25" s="104">
        <v>3750</v>
      </c>
      <c r="CJ25" s="104">
        <v>3750</v>
      </c>
      <c r="CK25" s="104">
        <v>3750</v>
      </c>
      <c r="CL25" s="104">
        <v>3750</v>
      </c>
      <c r="CM25" s="104">
        <v>3750</v>
      </c>
      <c r="CN25" s="104">
        <v>3750</v>
      </c>
      <c r="CO25" s="163">
        <f t="shared" si="32"/>
        <v>41250</v>
      </c>
      <c r="CP25" s="104">
        <v>0</v>
      </c>
      <c r="CQ25" s="104">
        <v>3750</v>
      </c>
      <c r="CR25" s="104">
        <v>3750</v>
      </c>
      <c r="CS25" s="104">
        <v>3750</v>
      </c>
      <c r="CT25" s="104">
        <v>3750</v>
      </c>
      <c r="CU25" s="104">
        <v>3750</v>
      </c>
      <c r="CV25" s="104">
        <v>3750</v>
      </c>
      <c r="CW25" s="104">
        <v>3750</v>
      </c>
      <c r="CX25" s="104">
        <v>3750</v>
      </c>
      <c r="CY25" s="104">
        <v>3750</v>
      </c>
      <c r="CZ25" s="104">
        <v>3750</v>
      </c>
      <c r="DA25" s="104">
        <v>3750</v>
      </c>
      <c r="DB25" s="163">
        <f t="shared" si="33"/>
        <v>41250</v>
      </c>
      <c r="DC25" s="104">
        <v>0</v>
      </c>
      <c r="DD25" s="104">
        <v>3750</v>
      </c>
      <c r="DE25" s="104">
        <v>3750</v>
      </c>
      <c r="DF25" s="104">
        <v>3750</v>
      </c>
      <c r="DG25" s="104">
        <v>3750</v>
      </c>
      <c r="DH25" s="104">
        <v>3750</v>
      </c>
      <c r="DI25" s="104">
        <v>3750</v>
      </c>
      <c r="DJ25" s="104">
        <v>3750</v>
      </c>
      <c r="DK25" s="104">
        <v>3750</v>
      </c>
      <c r="DL25" s="104">
        <v>3750</v>
      </c>
      <c r="DM25" s="104">
        <v>3750</v>
      </c>
      <c r="DN25" s="104">
        <v>3750</v>
      </c>
      <c r="DO25" s="163">
        <f t="shared" si="34"/>
        <v>41250</v>
      </c>
      <c r="DP25" s="104">
        <v>0</v>
      </c>
      <c r="DQ25" s="104">
        <v>3750</v>
      </c>
      <c r="DR25" s="104">
        <v>3750</v>
      </c>
      <c r="DS25" s="104">
        <v>3750</v>
      </c>
      <c r="DT25" s="104">
        <v>3750</v>
      </c>
      <c r="DU25" s="104">
        <v>3750</v>
      </c>
      <c r="DV25" s="104">
        <v>3750</v>
      </c>
      <c r="DW25" s="104">
        <v>3750</v>
      </c>
      <c r="DX25" s="104">
        <v>3750</v>
      </c>
      <c r="DY25" s="104">
        <v>3750</v>
      </c>
      <c r="DZ25" s="104">
        <v>3750</v>
      </c>
      <c r="EA25" s="104">
        <v>3750</v>
      </c>
      <c r="EB25" s="163">
        <f t="shared" si="35"/>
        <v>41250</v>
      </c>
    </row>
    <row r="26" spans="2:136">
      <c r="B26" s="203" t="s">
        <v>221</v>
      </c>
      <c r="C26" s="205">
        <f t="shared" ref="C26:N26" si="36">SUM(C13:C25)</f>
        <v>15179.814883578962</v>
      </c>
      <c r="D26" s="205">
        <f t="shared" si="36"/>
        <v>19972.81852570951</v>
      </c>
      <c r="E26" s="205">
        <f t="shared" si="36"/>
        <v>22502.0868356967</v>
      </c>
      <c r="F26" s="205">
        <f t="shared" si="36"/>
        <v>29926.732919783044</v>
      </c>
      <c r="G26" s="205">
        <f t="shared" si="36"/>
        <v>23985.966271168349</v>
      </c>
      <c r="H26" s="205">
        <f t="shared" si="36"/>
        <v>106093.1509683817</v>
      </c>
      <c r="I26" s="205">
        <f t="shared" si="36"/>
        <v>109890.98599964348</v>
      </c>
      <c r="J26" s="205">
        <f t="shared" si="36"/>
        <v>30543.633873481307</v>
      </c>
      <c r="K26" s="205">
        <f t="shared" si="36"/>
        <v>148545.21218801188</v>
      </c>
      <c r="L26" s="205">
        <f t="shared" si="36"/>
        <v>4938741.4206766319</v>
      </c>
      <c r="M26" s="205">
        <f t="shared" si="36"/>
        <v>1660050.5086479867</v>
      </c>
      <c r="N26" s="205">
        <f t="shared" si="36"/>
        <v>287127.90214057476</v>
      </c>
      <c r="O26" s="163">
        <f t="shared" si="10"/>
        <v>7392560.2339306483</v>
      </c>
      <c r="P26" s="205">
        <f t="shared" ref="P26:AA26" si="37">SUM(P13:P25)</f>
        <v>2414608.088983499</v>
      </c>
      <c r="Q26" s="205">
        <f t="shared" si="37"/>
        <v>306880.18057646451</v>
      </c>
      <c r="R26" s="205">
        <f t="shared" si="37"/>
        <v>2549452.5311353682</v>
      </c>
      <c r="S26" s="205">
        <f t="shared" si="37"/>
        <v>2555383.0154595594</v>
      </c>
      <c r="T26" s="205">
        <f t="shared" si="37"/>
        <v>207672.12531094364</v>
      </c>
      <c r="U26" s="205">
        <f t="shared" si="37"/>
        <v>2441019.6135463677</v>
      </c>
      <c r="V26" s="205">
        <f t="shared" si="37"/>
        <v>5559317.4305192698</v>
      </c>
      <c r="W26" s="205">
        <f t="shared" si="37"/>
        <v>2440902.4822156364</v>
      </c>
      <c r="X26" s="205">
        <f t="shared" si="37"/>
        <v>335462.722583475</v>
      </c>
      <c r="Y26" s="205">
        <f t="shared" si="37"/>
        <v>3326636.4528376833</v>
      </c>
      <c r="Z26" s="205">
        <f t="shared" si="37"/>
        <v>335342.93767874822</v>
      </c>
      <c r="AA26" s="205">
        <f t="shared" si="37"/>
        <v>1348433.0553939266</v>
      </c>
      <c r="AB26" s="163">
        <f t="shared" si="21"/>
        <v>23821110.636240944</v>
      </c>
      <c r="AC26" s="205">
        <f t="shared" ref="AC26:AN26" si="38">SUM(AC13:AC25)</f>
        <v>2597051.4683257872</v>
      </c>
      <c r="AD26" s="205">
        <f t="shared" si="38"/>
        <v>4395465.7366028186</v>
      </c>
      <c r="AE26" s="205">
        <f t="shared" si="38"/>
        <v>2741098.9586285548</v>
      </c>
      <c r="AF26" s="205">
        <f t="shared" si="38"/>
        <v>2746959.7803464602</v>
      </c>
      <c r="AG26" s="205">
        <f t="shared" si="38"/>
        <v>206816.36252538289</v>
      </c>
      <c r="AH26" s="205">
        <f t="shared" si="38"/>
        <v>2622933.6929297033</v>
      </c>
      <c r="AI26" s="205">
        <f t="shared" si="38"/>
        <v>2622875.3455190435</v>
      </c>
      <c r="AJ26" s="205">
        <f t="shared" si="38"/>
        <v>2622816.561598972</v>
      </c>
      <c r="AK26" s="205">
        <f t="shared" si="38"/>
        <v>344972.63331628154</v>
      </c>
      <c r="AL26" s="205">
        <f t="shared" si="38"/>
        <v>4628356.0325178755</v>
      </c>
      <c r="AM26" s="205">
        <f t="shared" si="38"/>
        <v>344852.84841155482</v>
      </c>
      <c r="AN26" s="205">
        <f t="shared" si="38"/>
        <v>4166436.1168116648</v>
      </c>
      <c r="AO26" s="163">
        <f t="shared" si="22"/>
        <v>30040635.537534103</v>
      </c>
      <c r="AP26" s="205">
        <f t="shared" ref="AP26:BA26" si="39">SUM(AP13:AP25)</f>
        <v>2793999.2651747656</v>
      </c>
      <c r="AQ26" s="205">
        <f t="shared" si="39"/>
        <v>326324.56080611795</v>
      </c>
      <c r="AR26" s="205">
        <f t="shared" si="39"/>
        <v>2948412.4289959003</v>
      </c>
      <c r="AS26" s="205">
        <f t="shared" si="39"/>
        <v>2954273.2507138057</v>
      </c>
      <c r="AT26" s="205">
        <f t="shared" si="39"/>
        <v>206816.36252538289</v>
      </c>
      <c r="AU26" s="205">
        <f t="shared" si="39"/>
        <v>2819881.4897786817</v>
      </c>
      <c r="AV26" s="205">
        <f t="shared" si="39"/>
        <v>2819823.1423680219</v>
      </c>
      <c r="AW26" s="205">
        <f t="shared" si="39"/>
        <v>2819764.3584479503</v>
      </c>
      <c r="AX26" s="205">
        <f t="shared" si="39"/>
        <v>4592881.2588824648</v>
      </c>
      <c r="AY26" s="205">
        <f t="shared" si="39"/>
        <v>207424.5256685607</v>
      </c>
      <c r="AZ26" s="205">
        <f t="shared" si="39"/>
        <v>2408651.8849366424</v>
      </c>
      <c r="BA26" s="205">
        <f t="shared" si="39"/>
        <v>355988.57799428608</v>
      </c>
      <c r="BB26" s="163">
        <f t="shared" si="23"/>
        <v>25254241.106292579</v>
      </c>
      <c r="BC26" s="205">
        <f t="shared" ref="BC26:BN26" si="40">SUM(BC13:BC25)</f>
        <v>6085633.0139459455</v>
      </c>
      <c r="BD26" s="205">
        <f t="shared" si="40"/>
        <v>337520.85760517785</v>
      </c>
      <c r="BE26" s="205">
        <f t="shared" si="40"/>
        <v>3172338.364977099</v>
      </c>
      <c r="BF26" s="205">
        <f t="shared" si="40"/>
        <v>3178199.1866950043</v>
      </c>
      <c r="BG26" s="205">
        <f t="shared" si="40"/>
        <v>206816.36252538289</v>
      </c>
      <c r="BH26" s="205">
        <f t="shared" si="40"/>
        <v>3032611.1289608204</v>
      </c>
      <c r="BI26" s="205">
        <f t="shared" si="40"/>
        <v>3032552.7815501606</v>
      </c>
      <c r="BJ26" s="205">
        <f t="shared" si="40"/>
        <v>3032493.9976300891</v>
      </c>
      <c r="BK26" s="205">
        <f t="shared" si="40"/>
        <v>368285.7490287585</v>
      </c>
      <c r="BL26" s="205">
        <f t="shared" si="40"/>
        <v>207424.5256685607</v>
      </c>
      <c r="BM26" s="205">
        <f t="shared" si="40"/>
        <v>4311453.6353569087</v>
      </c>
      <c r="BN26" s="205">
        <f t="shared" si="40"/>
        <v>368105.39690770314</v>
      </c>
      <c r="BO26" s="163">
        <f t="shared" si="30"/>
        <v>27333435.000851609</v>
      </c>
      <c r="BP26" s="205">
        <f t="shared" ref="BP26:CA26" si="41">SUM(BP13:BP25)</f>
        <v>5835578.6006981293</v>
      </c>
      <c r="BQ26" s="205">
        <f t="shared" si="41"/>
        <v>349637.67651859496</v>
      </c>
      <c r="BR26" s="205">
        <f t="shared" si="41"/>
        <v>3414674.7432454401</v>
      </c>
      <c r="BS26" s="205">
        <f t="shared" si="41"/>
        <v>3420535.5649633454</v>
      </c>
      <c r="BT26" s="205">
        <f t="shared" si="41"/>
        <v>206816.36252538289</v>
      </c>
      <c r="BU26" s="205">
        <f t="shared" si="41"/>
        <v>3262830.688315744</v>
      </c>
      <c r="BV26" s="205">
        <f t="shared" si="41"/>
        <v>3143455.8310907451</v>
      </c>
      <c r="BW26" s="205">
        <f t="shared" si="41"/>
        <v>3143455.8310907451</v>
      </c>
      <c r="BX26" s="205">
        <f t="shared" si="41"/>
        <v>262179.39569179161</v>
      </c>
      <c r="BY26" s="205">
        <f t="shared" si="41"/>
        <v>88288.993535808215</v>
      </c>
      <c r="BZ26" s="205">
        <f t="shared" si="41"/>
        <v>3992316.381993162</v>
      </c>
      <c r="CA26" s="205">
        <f t="shared" si="41"/>
        <v>3584770.899412334</v>
      </c>
      <c r="CB26" s="163">
        <f t="shared" si="31"/>
        <v>30704540.969081227</v>
      </c>
      <c r="CC26" s="205">
        <f t="shared" ref="CC26:CN26" si="42">SUM(CC13:CC25)</f>
        <v>3366039.1301492606</v>
      </c>
      <c r="CD26" s="205">
        <f t="shared" si="42"/>
        <v>243125.89359982309</v>
      </c>
      <c r="CE26" s="205">
        <f t="shared" si="42"/>
        <v>3556970.391788912</v>
      </c>
      <c r="CF26" s="205">
        <f t="shared" si="42"/>
        <v>3562888.2662707167</v>
      </c>
      <c r="CG26" s="205">
        <f t="shared" si="42"/>
        <v>87383.593535808221</v>
      </c>
      <c r="CH26" s="205">
        <f t="shared" si="42"/>
        <v>3392206.6344994912</v>
      </c>
      <c r="CI26" s="205">
        <f t="shared" si="42"/>
        <v>3392206.6344994912</v>
      </c>
      <c r="CJ26" s="205">
        <f t="shared" si="42"/>
        <v>3392206.6344994912</v>
      </c>
      <c r="CK26" s="205">
        <f t="shared" si="42"/>
        <v>276326.60228510312</v>
      </c>
      <c r="CL26" s="205">
        <f t="shared" si="42"/>
        <v>1647467.075727589</v>
      </c>
      <c r="CM26" s="205">
        <f t="shared" si="42"/>
        <v>1342080.0269426373</v>
      </c>
      <c r="CN26" s="205">
        <f t="shared" si="42"/>
        <v>4148405.5664462522</v>
      </c>
      <c r="CO26" s="163">
        <f t="shared" si="32"/>
        <v>28407306.450244576</v>
      </c>
      <c r="CP26" s="205">
        <f t="shared" ref="CP26:DA26" si="43">SUM(CP13:CP25)</f>
        <v>3634836.0554221799</v>
      </c>
      <c r="CQ26" s="205">
        <f t="shared" si="43"/>
        <v>257273.10019313465</v>
      </c>
      <c r="CR26" s="205">
        <f t="shared" si="43"/>
        <v>3839914.5236551426</v>
      </c>
      <c r="CS26" s="205">
        <f t="shared" si="43"/>
        <v>3845832.3981369473</v>
      </c>
      <c r="CT26" s="205">
        <f t="shared" si="43"/>
        <v>87383.593535808221</v>
      </c>
      <c r="CU26" s="205">
        <f t="shared" si="43"/>
        <v>3661003.5597724104</v>
      </c>
      <c r="CV26" s="205">
        <f t="shared" si="43"/>
        <v>3661003.5597724104</v>
      </c>
      <c r="CW26" s="205">
        <f t="shared" si="43"/>
        <v>3661003.5597724104</v>
      </c>
      <c r="CX26" s="205">
        <f t="shared" si="43"/>
        <v>2396859.1413045982</v>
      </c>
      <c r="CY26" s="205">
        <f t="shared" si="43"/>
        <v>1127741.0483303287</v>
      </c>
      <c r="CZ26" s="205">
        <f t="shared" si="43"/>
        <v>291653.66185254283</v>
      </c>
      <c r="DA26" s="205">
        <f t="shared" si="43"/>
        <v>4625039.2650433872</v>
      </c>
      <c r="DB26" s="163">
        <f t="shared" si="33"/>
        <v>31089543.466791302</v>
      </c>
      <c r="DC26" s="205">
        <f t="shared" ref="DC26:DN26" si="44">SUM(DC13:DC25)</f>
        <v>3926050.1872035344</v>
      </c>
      <c r="DD26" s="205">
        <f t="shared" si="44"/>
        <v>272600.15976057434</v>
      </c>
      <c r="DE26" s="205">
        <f t="shared" si="44"/>
        <v>4146455.715003937</v>
      </c>
      <c r="DF26" s="205">
        <f t="shared" si="44"/>
        <v>4152373.5894857417</v>
      </c>
      <c r="DG26" s="205">
        <f t="shared" si="44"/>
        <v>87383.593535808221</v>
      </c>
      <c r="DH26" s="205">
        <f t="shared" si="44"/>
        <v>3952217.691553765</v>
      </c>
      <c r="DI26" s="205">
        <f t="shared" si="44"/>
        <v>3952217.691553765</v>
      </c>
      <c r="DJ26" s="205">
        <f t="shared" si="44"/>
        <v>3952217.691553765</v>
      </c>
      <c r="DK26" s="205">
        <f t="shared" si="44"/>
        <v>308210.2203896711</v>
      </c>
      <c r="DL26" s="205">
        <f t="shared" si="44"/>
        <v>2433658.856549507</v>
      </c>
      <c r="DM26" s="205">
        <f t="shared" si="44"/>
        <v>308210.2203896711</v>
      </c>
      <c r="DN26" s="205">
        <f t="shared" si="44"/>
        <v>6084796.9088890394</v>
      </c>
      <c r="DO26" s="163">
        <f t="shared" si="34"/>
        <v>33576392.525868781</v>
      </c>
      <c r="DP26" s="205">
        <f t="shared" ref="DP26:EA26" si="45">SUM(DP13:DP25)</f>
        <v>4240624.7994089713</v>
      </c>
      <c r="DQ26" s="205">
        <f t="shared" si="45"/>
        <v>289156.71829770261</v>
      </c>
      <c r="DR26" s="205">
        <f t="shared" si="45"/>
        <v>4477586.8857465023</v>
      </c>
      <c r="DS26" s="205">
        <f t="shared" si="45"/>
        <v>4483504.760228307</v>
      </c>
      <c r="DT26" s="205">
        <f t="shared" si="45"/>
        <v>87383.593535808221</v>
      </c>
      <c r="DU26" s="205">
        <f t="shared" si="45"/>
        <v>4266792.3037592024</v>
      </c>
      <c r="DV26" s="205">
        <f t="shared" si="45"/>
        <v>4266792.3037592024</v>
      </c>
      <c r="DW26" s="205">
        <f t="shared" si="45"/>
        <v>4266792.3037592024</v>
      </c>
      <c r="DX26" s="205">
        <f t="shared" si="45"/>
        <v>314807.85719528713</v>
      </c>
      <c r="DY26" s="205">
        <f t="shared" si="45"/>
        <v>88288.993535808215</v>
      </c>
      <c r="DZ26" s="205">
        <f t="shared" si="45"/>
        <v>4577821.5558254244</v>
      </c>
      <c r="EA26" s="205">
        <f t="shared" si="45"/>
        <v>5822076.083031496</v>
      </c>
      <c r="EB26" s="163">
        <f t="shared" si="35"/>
        <v>37181628.15808291</v>
      </c>
    </row>
    <row r="28" spans="2:136" ht="14.5" thickBot="1">
      <c r="B28" s="148" t="s">
        <v>222</v>
      </c>
      <c r="C28" s="243">
        <f t="shared" ref="C28:N28" si="46">C10-C26</f>
        <v>-15179.814883578962</v>
      </c>
      <c r="D28" s="243">
        <f t="shared" si="46"/>
        <v>-19972.81852570951</v>
      </c>
      <c r="E28" s="243">
        <f t="shared" si="46"/>
        <v>-22502.0868356967</v>
      </c>
      <c r="F28" s="243">
        <f t="shared" si="46"/>
        <v>-9730.7329197830441</v>
      </c>
      <c r="G28" s="243">
        <f t="shared" si="46"/>
        <v>-23985.966271168349</v>
      </c>
      <c r="H28" s="243">
        <f t="shared" si="46"/>
        <v>3005.7978316182998</v>
      </c>
      <c r="I28" s="243">
        <f t="shared" si="46"/>
        <v>45048.432650356524</v>
      </c>
      <c r="J28" s="243">
        <f t="shared" si="46"/>
        <v>181799.74162651869</v>
      </c>
      <c r="K28" s="243">
        <f t="shared" si="46"/>
        <v>398654.27581198816</v>
      </c>
      <c r="L28" s="243">
        <f t="shared" si="46"/>
        <v>888712.57932336815</v>
      </c>
      <c r="M28" s="243">
        <f t="shared" si="46"/>
        <v>-1365580.5086479867</v>
      </c>
      <c r="N28" s="243">
        <f t="shared" si="46"/>
        <v>33512.097859425237</v>
      </c>
      <c r="O28" s="244">
        <f>SUM(C28:N28)</f>
        <v>93780.997019351693</v>
      </c>
      <c r="P28" s="243">
        <f t="shared" ref="P28:AA28" si="47">P10-P26</f>
        <v>1292971.911016501</v>
      </c>
      <c r="Q28" s="243">
        <f t="shared" si="47"/>
        <v>573019.81942353549</v>
      </c>
      <c r="R28" s="243">
        <f t="shared" si="47"/>
        <v>-1846072.5311353682</v>
      </c>
      <c r="S28" s="243">
        <f t="shared" si="47"/>
        <v>1309876.9845404406</v>
      </c>
      <c r="T28" s="243">
        <f t="shared" si="47"/>
        <v>780497.87468905631</v>
      </c>
      <c r="U28" s="243">
        <f t="shared" si="47"/>
        <v>-1066494.6135463677</v>
      </c>
      <c r="V28" s="243">
        <f t="shared" si="47"/>
        <v>-170087.43051926978</v>
      </c>
      <c r="W28" s="243">
        <f t="shared" si="47"/>
        <v>-861132.48221563641</v>
      </c>
      <c r="X28" s="243">
        <f t="shared" si="47"/>
        <v>1244307.2774165249</v>
      </c>
      <c r="Y28" s="243">
        <f t="shared" si="47"/>
        <v>-746866.45283768326</v>
      </c>
      <c r="Z28" s="243">
        <f t="shared" si="47"/>
        <v>1244427.0623212517</v>
      </c>
      <c r="AA28" s="243">
        <f t="shared" si="47"/>
        <v>231336.94460607343</v>
      </c>
      <c r="AB28" s="163">
        <f>SUM(P28:AA28)</f>
        <v>1985784.3637590578</v>
      </c>
      <c r="AC28" s="243">
        <f t="shared" ref="AC28:AN28" si="48">AC10-AC26</f>
        <v>-1017281.4683257872</v>
      </c>
      <c r="AD28" s="243">
        <f t="shared" si="48"/>
        <v>1384304.2633971814</v>
      </c>
      <c r="AE28" s="243">
        <f t="shared" si="48"/>
        <v>-1161328.9586285548</v>
      </c>
      <c r="AF28" s="243">
        <f t="shared" si="48"/>
        <v>-1175751.76784646</v>
      </c>
      <c r="AG28" s="243">
        <f t="shared" si="48"/>
        <v>1364391.6499746172</v>
      </c>
      <c r="AH28" s="243">
        <f t="shared" si="48"/>
        <v>-1051725.6804297031</v>
      </c>
      <c r="AI28" s="243">
        <f t="shared" si="48"/>
        <v>2648332.6669809567</v>
      </c>
      <c r="AJ28" s="243">
        <f t="shared" si="48"/>
        <v>-1051608.5490989718</v>
      </c>
      <c r="AK28" s="243">
        <f t="shared" si="48"/>
        <v>1226235.3791837187</v>
      </c>
      <c r="AL28" s="243">
        <f t="shared" si="48"/>
        <v>-3057148.0200178754</v>
      </c>
      <c r="AM28" s="243">
        <f t="shared" si="48"/>
        <v>1226355.1640884452</v>
      </c>
      <c r="AN28" s="243">
        <f t="shared" si="48"/>
        <v>1404771.8956883354</v>
      </c>
      <c r="AO28" s="163">
        <f>SUM(AC28:AN28)</f>
        <v>739546.57496590237</v>
      </c>
      <c r="AP28" s="243">
        <f t="shared" ref="AP28:BA28" si="49">AP10-AP26</f>
        <v>-1222791.2526747654</v>
      </c>
      <c r="AQ28" s="243">
        <f t="shared" si="49"/>
        <v>1244883.4516938822</v>
      </c>
      <c r="AR28" s="243">
        <f t="shared" si="49"/>
        <v>-1377204.4164959001</v>
      </c>
      <c r="AS28" s="243">
        <f t="shared" si="49"/>
        <v>-1271344.9949638059</v>
      </c>
      <c r="AT28" s="243">
        <f t="shared" si="49"/>
        <v>1476111.893224617</v>
      </c>
      <c r="AU28" s="243">
        <f t="shared" si="49"/>
        <v>-1136953.2340286819</v>
      </c>
      <c r="AV28" s="243">
        <f t="shared" si="49"/>
        <v>863105.11338197766</v>
      </c>
      <c r="AW28" s="243">
        <f t="shared" si="49"/>
        <v>-1136836.1026979506</v>
      </c>
      <c r="AX28" s="243">
        <f t="shared" si="49"/>
        <v>90046.996867534705</v>
      </c>
      <c r="AY28" s="243">
        <f t="shared" si="49"/>
        <v>1475503.730081439</v>
      </c>
      <c r="AZ28" s="243">
        <f t="shared" si="49"/>
        <v>-725723.62918664259</v>
      </c>
      <c r="BA28" s="243">
        <f t="shared" si="49"/>
        <v>1326939.6777557137</v>
      </c>
      <c r="BB28" s="163">
        <f>SUM(AP28:BA28)</f>
        <v>-394262.76704258192</v>
      </c>
      <c r="BC28" s="243">
        <f t="shared" ref="BC28:BN28" si="50">BC10-BC26</f>
        <v>-702704.75819594599</v>
      </c>
      <c r="BD28" s="243">
        <f t="shared" si="50"/>
        <v>1345407.3981448219</v>
      </c>
      <c r="BE28" s="243">
        <f t="shared" si="50"/>
        <v>-1489410.1092270992</v>
      </c>
      <c r="BF28" s="243">
        <f t="shared" si="50"/>
        <v>-1376391.4981750043</v>
      </c>
      <c r="BG28" s="243">
        <f t="shared" si="50"/>
        <v>1594991.3259946173</v>
      </c>
      <c r="BH28" s="243">
        <f t="shared" si="50"/>
        <v>-1230803.4404408203</v>
      </c>
      <c r="BI28" s="243">
        <f t="shared" si="50"/>
        <v>1269254.9069698397</v>
      </c>
      <c r="BJ28" s="243">
        <f t="shared" si="50"/>
        <v>-1230686.309110089</v>
      </c>
      <c r="BK28" s="243">
        <f t="shared" si="50"/>
        <v>1433521.9394912417</v>
      </c>
      <c r="BL28" s="243">
        <f t="shared" si="50"/>
        <v>1594383.1628514393</v>
      </c>
      <c r="BM28" s="243">
        <f t="shared" si="50"/>
        <v>-2509645.9468369083</v>
      </c>
      <c r="BN28" s="243">
        <f t="shared" si="50"/>
        <v>1433702.2916122968</v>
      </c>
      <c r="BO28" s="163">
        <f>SUM(BC28:BN28)</f>
        <v>131618.96307838988</v>
      </c>
      <c r="BP28" s="243">
        <f t="shared" ref="BP28:CA28" si="51">BP10-BP26</f>
        <v>-533770.91217812896</v>
      </c>
      <c r="BQ28" s="243">
        <f t="shared" si="51"/>
        <v>1452170.012001405</v>
      </c>
      <c r="BR28" s="243">
        <f t="shared" si="51"/>
        <v>-1612867.05472544</v>
      </c>
      <c r="BS28" s="243">
        <f t="shared" si="51"/>
        <v>-1490832.8286124452</v>
      </c>
      <c r="BT28" s="243">
        <f t="shared" si="51"/>
        <v>1722886.3738255175</v>
      </c>
      <c r="BU28" s="243">
        <f t="shared" si="51"/>
        <v>-1333127.9519648438</v>
      </c>
      <c r="BV28" s="243">
        <f t="shared" si="51"/>
        <v>1286246.9052601554</v>
      </c>
      <c r="BW28" s="243">
        <f t="shared" si="51"/>
        <v>-1213753.0947398448</v>
      </c>
      <c r="BX28" s="243">
        <f t="shared" si="51"/>
        <v>1667523.3406591087</v>
      </c>
      <c r="BY28" s="243">
        <f t="shared" si="51"/>
        <v>1841413.742815092</v>
      </c>
      <c r="BZ28" s="243">
        <f t="shared" si="51"/>
        <v>-2062613.6456422617</v>
      </c>
      <c r="CA28" s="243">
        <f t="shared" si="51"/>
        <v>-1655068.1630614337</v>
      </c>
      <c r="CB28" s="163">
        <f>SUM(BP28:CA28)</f>
        <v>-1931793.2763631195</v>
      </c>
      <c r="CC28" s="243">
        <f t="shared" ref="CC28:CN28" si="52">CC10-CC26</f>
        <v>-436336.39379836014</v>
      </c>
      <c r="CD28" s="243">
        <f t="shared" si="52"/>
        <v>1686576.8427510771</v>
      </c>
      <c r="CE28" s="243">
        <f t="shared" si="52"/>
        <v>-1627267.6554380117</v>
      </c>
      <c r="CF28" s="243">
        <f t="shared" si="52"/>
        <v>3815.4226916432381</v>
      </c>
      <c r="CG28" s="243">
        <f t="shared" si="52"/>
        <v>1979320.095426552</v>
      </c>
      <c r="CH28" s="243">
        <f t="shared" si="52"/>
        <v>-1325502.945537131</v>
      </c>
      <c r="CI28" s="243">
        <f t="shared" si="52"/>
        <v>174497.05446286872</v>
      </c>
      <c r="CJ28" s="243">
        <f t="shared" si="52"/>
        <v>-1325502.945537131</v>
      </c>
      <c r="CK28" s="243">
        <f t="shared" si="52"/>
        <v>1790377.086677257</v>
      </c>
      <c r="CL28" s="243">
        <f t="shared" si="52"/>
        <v>419236.61323477118</v>
      </c>
      <c r="CM28" s="243">
        <f t="shared" si="52"/>
        <v>724623.66201972286</v>
      </c>
      <c r="CN28" s="243">
        <f t="shared" si="52"/>
        <v>-2081701.877483892</v>
      </c>
      <c r="CO28" s="163">
        <f>SUM(CC28:CN28)</f>
        <v>-17865.04053063388</v>
      </c>
      <c r="CP28" s="243">
        <f t="shared" ref="CP28:DA28" si="53">CP10-CP26</f>
        <v>431867.63354018005</v>
      </c>
      <c r="CQ28" s="243">
        <f t="shared" si="53"/>
        <v>1809430.5887692254</v>
      </c>
      <c r="CR28" s="243">
        <f t="shared" si="53"/>
        <v>-1773210.8346927825</v>
      </c>
      <c r="CS28" s="243">
        <f t="shared" si="53"/>
        <v>-633040.69087862736</v>
      </c>
      <c r="CT28" s="243">
        <f t="shared" si="53"/>
        <v>2125408.1137225116</v>
      </c>
      <c r="CU28" s="243">
        <f t="shared" si="53"/>
        <v>-1448211.8525140905</v>
      </c>
      <c r="CV28" s="243">
        <f t="shared" si="53"/>
        <v>851788.14748590905</v>
      </c>
      <c r="CW28" s="243">
        <f t="shared" si="53"/>
        <v>-1448211.8525140905</v>
      </c>
      <c r="CX28" s="243">
        <f t="shared" si="53"/>
        <v>-184067.43404627824</v>
      </c>
      <c r="CY28" s="243">
        <f t="shared" si="53"/>
        <v>1085050.6589279913</v>
      </c>
      <c r="CZ28" s="243">
        <f t="shared" si="53"/>
        <v>1921138.0454057772</v>
      </c>
      <c r="DA28" s="243">
        <f t="shared" si="53"/>
        <v>-2412247.5577850672</v>
      </c>
      <c r="DB28" s="163">
        <f>SUM(CP28:DA28)</f>
        <v>325692.96542065823</v>
      </c>
      <c r="DC28" s="243">
        <f t="shared" ref="DC28:DN28" si="54">DC10-DC26</f>
        <v>1286741.5200547851</v>
      </c>
      <c r="DD28" s="243">
        <f t="shared" si="54"/>
        <v>1940191.5474977456</v>
      </c>
      <c r="DE28" s="243">
        <f t="shared" si="54"/>
        <v>-1933664.0077456171</v>
      </c>
      <c r="DF28" s="243">
        <f t="shared" si="54"/>
        <v>-1782460.8116449565</v>
      </c>
      <c r="DG28" s="243">
        <f t="shared" si="54"/>
        <v>2282529.1843049768</v>
      </c>
      <c r="DH28" s="243">
        <f t="shared" si="54"/>
        <v>-1582304.9137129798</v>
      </c>
      <c r="DI28" s="243">
        <f t="shared" si="54"/>
        <v>717695.08628702071</v>
      </c>
      <c r="DJ28" s="243">
        <f t="shared" si="54"/>
        <v>-1582304.9137129798</v>
      </c>
      <c r="DK28" s="243">
        <f t="shared" si="54"/>
        <v>2061702.5574511141</v>
      </c>
      <c r="DL28" s="243">
        <f t="shared" si="54"/>
        <v>-63746.07870872179</v>
      </c>
      <c r="DM28" s="243">
        <f t="shared" si="54"/>
        <v>2061702.5574511141</v>
      </c>
      <c r="DN28" s="243">
        <f t="shared" si="54"/>
        <v>-3714884.1310482542</v>
      </c>
      <c r="DO28" s="163">
        <f>SUM(DC28:DN28)</f>
        <v>-308802.40352675272</v>
      </c>
      <c r="DP28" s="243">
        <f t="shared" ref="DP28:EA28" si="55">DP10-DP26</f>
        <v>2129287.9784318144</v>
      </c>
      <c r="DQ28" s="243">
        <f t="shared" si="55"/>
        <v>2080756.0595430825</v>
      </c>
      <c r="DR28" s="243">
        <f t="shared" si="55"/>
        <v>-2107674.1079057171</v>
      </c>
      <c r="DS28" s="243">
        <f t="shared" si="55"/>
        <v>-1945476.1962318164</v>
      </c>
      <c r="DT28" s="243">
        <f t="shared" si="55"/>
        <v>2450644.9704606822</v>
      </c>
      <c r="DU28" s="243">
        <f t="shared" si="55"/>
        <v>-1728763.7397627118</v>
      </c>
      <c r="DV28" s="243">
        <f t="shared" si="55"/>
        <v>1271236.2602372877</v>
      </c>
      <c r="DW28" s="243">
        <f t="shared" si="55"/>
        <v>-1728763.7397627118</v>
      </c>
      <c r="DX28" s="243">
        <f t="shared" si="55"/>
        <v>2223220.7068012035</v>
      </c>
      <c r="DY28" s="243">
        <f t="shared" si="55"/>
        <v>2449739.5704606823</v>
      </c>
      <c r="DZ28" s="243">
        <f t="shared" si="55"/>
        <v>-2039792.9918289338</v>
      </c>
      <c r="EA28" s="243">
        <f t="shared" si="55"/>
        <v>-3284047.5190350055</v>
      </c>
      <c r="EB28" s="163">
        <f>SUM(DP28:EA28)</f>
        <v>-229632.74859214388</v>
      </c>
    </row>
    <row r="29" spans="2:136" ht="14.5" thickTop="1">
      <c r="B29" s="222" t="s">
        <v>223</v>
      </c>
      <c r="C29" s="245">
        <f>C28</f>
        <v>-15179.814883578962</v>
      </c>
      <c r="D29" s="246">
        <f t="shared" ref="D29:N29" si="56">C29+D28</f>
        <v>-35152.633409288472</v>
      </c>
      <c r="E29" s="246">
        <f t="shared" si="56"/>
        <v>-57654.720244985176</v>
      </c>
      <c r="F29" s="246">
        <f t="shared" si="56"/>
        <v>-67385.453164768216</v>
      </c>
      <c r="G29" s="246">
        <f t="shared" si="56"/>
        <v>-91371.419435936565</v>
      </c>
      <c r="H29" s="246">
        <f t="shared" si="56"/>
        <v>-88365.621604318265</v>
      </c>
      <c r="I29" s="246">
        <f t="shared" si="56"/>
        <v>-43317.18895396174</v>
      </c>
      <c r="J29" s="246">
        <f t="shared" si="56"/>
        <v>138482.55267255695</v>
      </c>
      <c r="K29" s="246">
        <f t="shared" si="56"/>
        <v>537136.82848454511</v>
      </c>
      <c r="L29" s="246">
        <f t="shared" si="56"/>
        <v>1425849.4078079131</v>
      </c>
      <c r="M29" s="246">
        <f t="shared" si="56"/>
        <v>60268.899159926455</v>
      </c>
      <c r="N29" s="246">
        <f t="shared" si="56"/>
        <v>93780.997019351693</v>
      </c>
      <c r="O29" s="247"/>
      <c r="P29" s="245">
        <f>N29+P28</f>
        <v>1386752.9080358527</v>
      </c>
      <c r="Q29" s="246">
        <f t="shared" ref="Q29" si="57">P29+Q28</f>
        <v>1959772.7274593883</v>
      </c>
      <c r="R29" s="246">
        <f t="shared" ref="R29" si="58">Q29+R28</f>
        <v>113700.19632402016</v>
      </c>
      <c r="S29" s="246">
        <f t="shared" ref="S29" si="59">R29+S28</f>
        <v>1423577.1808644608</v>
      </c>
      <c r="T29" s="246">
        <f t="shared" ref="T29" si="60">S29+T28</f>
        <v>2204075.0555535173</v>
      </c>
      <c r="U29" s="246">
        <f t="shared" ref="U29" si="61">T29+U28</f>
        <v>1137580.4420071496</v>
      </c>
      <c r="V29" s="246">
        <f t="shared" ref="V29" si="62">U29+V28</f>
        <v>967493.01148787979</v>
      </c>
      <c r="W29" s="246">
        <f t="shared" ref="W29" si="63">V29+W28</f>
        <v>106360.52927224338</v>
      </c>
      <c r="X29" s="246">
        <f t="shared" ref="X29" si="64">W29+X28</f>
        <v>1350667.8066887683</v>
      </c>
      <c r="Y29" s="246">
        <f t="shared" ref="Y29" si="65">X29+Y28</f>
        <v>603801.35385108506</v>
      </c>
      <c r="Z29" s="246">
        <f t="shared" ref="Z29" si="66">Y29+Z28</f>
        <v>1848228.4161723368</v>
      </c>
      <c r="AA29" s="246">
        <f t="shared" ref="AA29" si="67">Z29+AA28</f>
        <v>2079565.3607784102</v>
      </c>
      <c r="AC29" s="245">
        <f>AA29+AC28</f>
        <v>1062283.892452623</v>
      </c>
      <c r="AD29" s="246">
        <f t="shared" ref="AD29" si="68">AC29+AD28</f>
        <v>2446588.1558498042</v>
      </c>
      <c r="AE29" s="246">
        <f t="shared" ref="AE29" si="69">AD29+AE28</f>
        <v>1285259.1972212493</v>
      </c>
      <c r="AF29" s="246">
        <f t="shared" ref="AF29" si="70">AE29+AF28</f>
        <v>109507.42937478935</v>
      </c>
      <c r="AG29" s="246">
        <f t="shared" ref="AG29" si="71">AF29+AG28</f>
        <v>1473899.0793494065</v>
      </c>
      <c r="AH29" s="246">
        <f t="shared" ref="AH29" si="72">AG29+AH28</f>
        <v>422173.39891970344</v>
      </c>
      <c r="AI29" s="246">
        <f t="shared" ref="AI29" si="73">AH29+AI28</f>
        <v>3070506.0659006601</v>
      </c>
      <c r="AJ29" s="246">
        <f t="shared" ref="AJ29" si="74">AI29+AJ28</f>
        <v>2018897.5168016884</v>
      </c>
      <c r="AK29" s="246">
        <f t="shared" ref="AK29" si="75">AJ29+AK28</f>
        <v>3245132.8959854068</v>
      </c>
      <c r="AL29" s="246">
        <f t="shared" ref="AL29" si="76">AK29+AL28</f>
        <v>187984.87596753146</v>
      </c>
      <c r="AM29" s="246">
        <f t="shared" ref="AM29" si="77">AL29+AM28</f>
        <v>1414340.0400559767</v>
      </c>
      <c r="AN29" s="246">
        <f t="shared" ref="AN29" si="78">AM29+AN28</f>
        <v>2819111.9357443121</v>
      </c>
      <c r="AP29" s="245">
        <f>AN29+AP28</f>
        <v>1596320.6830695467</v>
      </c>
      <c r="AQ29" s="246">
        <f t="shared" ref="AQ29" si="79">AP29+AQ28</f>
        <v>2841204.1347634289</v>
      </c>
      <c r="AR29" s="246">
        <f t="shared" ref="AR29" si="80">AQ29+AR28</f>
        <v>1463999.7182675288</v>
      </c>
      <c r="AS29" s="246">
        <f t="shared" ref="AS29" si="81">AR29+AS28</f>
        <v>192654.72330372292</v>
      </c>
      <c r="AT29" s="246">
        <f t="shared" ref="AT29" si="82">AS29+AT28</f>
        <v>1668766.6165283399</v>
      </c>
      <c r="AU29" s="246">
        <f t="shared" ref="AU29" si="83">AT29+AU28</f>
        <v>531813.38249965804</v>
      </c>
      <c r="AV29" s="246">
        <f t="shared" ref="AV29" si="84">AU29+AV28</f>
        <v>1394918.4958816357</v>
      </c>
      <c r="AW29" s="246">
        <f t="shared" ref="AW29" si="85">AV29+AW28</f>
        <v>258082.39318368514</v>
      </c>
      <c r="AX29" s="246">
        <f t="shared" ref="AX29" si="86">AW29+AX28</f>
        <v>348129.39005121985</v>
      </c>
      <c r="AY29" s="246">
        <f t="shared" ref="AY29" si="87">AX29+AY28</f>
        <v>1823633.1201326589</v>
      </c>
      <c r="AZ29" s="246">
        <f t="shared" ref="AZ29" si="88">AY29+AZ28</f>
        <v>1097909.4909460163</v>
      </c>
      <c r="BA29" s="246">
        <f t="shared" ref="BA29" si="89">AZ29+BA28</f>
        <v>2424849.1687017297</v>
      </c>
      <c r="BC29" s="245">
        <f>BA29+BC28</f>
        <v>1722144.4105057837</v>
      </c>
      <c r="BD29" s="246">
        <f t="shared" ref="BD29" si="90">BC29+BD28</f>
        <v>3067551.8086506054</v>
      </c>
      <c r="BE29" s="246">
        <f t="shared" ref="BE29" si="91">BD29+BE28</f>
        <v>1578141.6994235062</v>
      </c>
      <c r="BF29" s="246">
        <f t="shared" ref="BF29" si="92">BE29+BF28</f>
        <v>201750.20124850189</v>
      </c>
      <c r="BG29" s="246">
        <f t="shared" ref="BG29" si="93">BF29+BG28</f>
        <v>1796741.5272431192</v>
      </c>
      <c r="BH29" s="246">
        <f t="shared" ref="BH29" si="94">BG29+BH28</f>
        <v>565938.0868022989</v>
      </c>
      <c r="BI29" s="246">
        <f t="shared" ref="BI29" si="95">BH29+BI28</f>
        <v>1835192.9937721386</v>
      </c>
      <c r="BJ29" s="246">
        <f t="shared" ref="BJ29" si="96">BI29+BJ28</f>
        <v>604506.68466204964</v>
      </c>
      <c r="BK29" s="246">
        <f t="shared" ref="BK29" si="97">BJ29+BK28</f>
        <v>2038028.6241532913</v>
      </c>
      <c r="BL29" s="246">
        <f t="shared" ref="BL29" si="98">BK29+BL28</f>
        <v>3632411.7870047307</v>
      </c>
      <c r="BM29" s="246">
        <f t="shared" ref="BM29" si="99">BL29+BM28</f>
        <v>1122765.8401678223</v>
      </c>
      <c r="BN29" s="246">
        <f t="shared" ref="BN29" si="100">BM29+BN28</f>
        <v>2556468.1317801191</v>
      </c>
      <c r="BP29" s="245">
        <f>BN29+BP28</f>
        <v>2022697.2196019902</v>
      </c>
      <c r="BQ29" s="246">
        <f t="shared" ref="BQ29" si="101">BP29+BQ28</f>
        <v>3474867.2316033952</v>
      </c>
      <c r="BR29" s="246">
        <f t="shared" ref="BR29" si="102">BQ29+BR28</f>
        <v>1862000.1768779552</v>
      </c>
      <c r="BS29" s="246">
        <f t="shared" ref="BS29" si="103">BR29+BS28</f>
        <v>371167.34826551005</v>
      </c>
      <c r="BT29" s="246">
        <f t="shared" ref="BT29" si="104">BS29+BT28</f>
        <v>2094053.7220910275</v>
      </c>
      <c r="BU29" s="246">
        <f t="shared" ref="BU29" si="105">BT29+BU28</f>
        <v>760925.77012618375</v>
      </c>
      <c r="BV29" s="246">
        <f t="shared" ref="BV29" si="106">BU29+BV28</f>
        <v>2047172.6753863392</v>
      </c>
      <c r="BW29" s="246">
        <f t="shared" ref="BW29" si="107">BV29+BW28</f>
        <v>833419.5806464944</v>
      </c>
      <c r="BX29" s="246">
        <f t="shared" ref="BX29" si="108">BW29+BX28</f>
        <v>2500942.9213056033</v>
      </c>
      <c r="BY29" s="246">
        <f t="shared" ref="BY29" si="109">BX29+BY28</f>
        <v>4342356.6641206956</v>
      </c>
      <c r="BZ29" s="246">
        <f t="shared" ref="BZ29" si="110">BY29+BZ28</f>
        <v>2279743.0184784336</v>
      </c>
      <c r="CA29" s="246">
        <f t="shared" ref="CA29" si="111">BZ29+CA28</f>
        <v>624674.8554169999</v>
      </c>
      <c r="CC29" s="245">
        <f>CA29+CC28</f>
        <v>188338.46161863976</v>
      </c>
      <c r="CD29" s="246">
        <f t="shared" ref="CD29" si="112">CC29+CD28</f>
        <v>1874915.3043697169</v>
      </c>
      <c r="CE29" s="246">
        <f t="shared" ref="CE29" si="113">CD29+CE28</f>
        <v>247647.64893170516</v>
      </c>
      <c r="CF29" s="246">
        <f t="shared" ref="CF29" si="114">CE29+CF28</f>
        <v>251463.0716233484</v>
      </c>
      <c r="CG29" s="246">
        <f t="shared" ref="CG29" si="115">CF29+CG28</f>
        <v>2230783.1670499006</v>
      </c>
      <c r="CH29" s="246">
        <f t="shared" ref="CH29" si="116">CG29+CH28</f>
        <v>905280.22151276958</v>
      </c>
      <c r="CI29" s="246">
        <f t="shared" ref="CI29" si="117">CH29+CI28</f>
        <v>1079777.2759756383</v>
      </c>
      <c r="CJ29" s="246">
        <f t="shared" ref="CJ29" si="118">CI29+CJ28</f>
        <v>-245725.66956149274</v>
      </c>
      <c r="CK29" s="246">
        <f t="shared" ref="CK29" si="119">CJ29+CK28</f>
        <v>1544651.4171157642</v>
      </c>
      <c r="CL29" s="246">
        <f t="shared" ref="CL29" si="120">CK29+CL28</f>
        <v>1963888.0303505354</v>
      </c>
      <c r="CM29" s="246">
        <f t="shared" ref="CM29" si="121">CL29+CM28</f>
        <v>2688511.6923702583</v>
      </c>
      <c r="CN29" s="246">
        <f t="shared" ref="CN29" si="122">CM29+CN28</f>
        <v>606809.81488636625</v>
      </c>
      <c r="CP29" s="245">
        <f>CN29+CP28</f>
        <v>1038677.4484265463</v>
      </c>
      <c r="CQ29" s="246">
        <f t="shared" ref="CQ29" si="123">CP29+CQ28</f>
        <v>2848108.0371957719</v>
      </c>
      <c r="CR29" s="246">
        <f t="shared" ref="CR29" si="124">CQ29+CR28</f>
        <v>1074897.2025029894</v>
      </c>
      <c r="CS29" s="246">
        <f t="shared" ref="CS29" si="125">CR29+CS28</f>
        <v>441856.51162436209</v>
      </c>
      <c r="CT29" s="246">
        <f t="shared" ref="CT29" si="126">CS29+CT28</f>
        <v>2567264.6253468739</v>
      </c>
      <c r="CU29" s="246">
        <f t="shared" ref="CU29" si="127">CT29+CU28</f>
        <v>1119052.7728327834</v>
      </c>
      <c r="CV29" s="246">
        <f t="shared" ref="CV29" si="128">CU29+CV28</f>
        <v>1970840.9203186925</v>
      </c>
      <c r="CW29" s="246">
        <f t="shared" ref="CW29" si="129">CV29+CW28</f>
        <v>522629.06780460197</v>
      </c>
      <c r="CX29" s="246">
        <f t="shared" ref="CX29" si="130">CW29+CX28</f>
        <v>338561.63375832373</v>
      </c>
      <c r="CY29" s="246">
        <f t="shared" ref="CY29" si="131">CX29+CY28</f>
        <v>1423612.292686315</v>
      </c>
      <c r="CZ29" s="246">
        <f t="shared" ref="CZ29" si="132">CY29+CZ28</f>
        <v>3344750.3380920924</v>
      </c>
      <c r="DA29" s="246">
        <f t="shared" ref="DA29" si="133">CZ29+DA28</f>
        <v>932502.78030702518</v>
      </c>
      <c r="DC29" s="245">
        <f>DA29+DC28</f>
        <v>2219244.3003618103</v>
      </c>
      <c r="DD29" s="246">
        <f t="shared" ref="DD29" si="134">DC29+DD28</f>
        <v>4159435.8478595559</v>
      </c>
      <c r="DE29" s="246">
        <f t="shared" ref="DE29" si="135">DD29+DE28</f>
        <v>2225771.8401139388</v>
      </c>
      <c r="DF29" s="246">
        <f t="shared" ref="DF29" si="136">DE29+DF28</f>
        <v>443311.02846898232</v>
      </c>
      <c r="DG29" s="246">
        <f t="shared" ref="DG29" si="137">DF29+DG28</f>
        <v>2725840.2127739592</v>
      </c>
      <c r="DH29" s="246">
        <f t="shared" ref="DH29" si="138">DG29+DH28</f>
        <v>1143535.2990609794</v>
      </c>
      <c r="DI29" s="246">
        <f t="shared" ref="DI29" si="139">DH29+DI28</f>
        <v>1861230.3853480001</v>
      </c>
      <c r="DJ29" s="246">
        <f t="shared" ref="DJ29" si="140">DI29+DJ28</f>
        <v>278925.47163502034</v>
      </c>
      <c r="DK29" s="246">
        <f t="shared" ref="DK29" si="141">DJ29+DK28</f>
        <v>2340628.0290861344</v>
      </c>
      <c r="DL29" s="246">
        <f t="shared" ref="DL29" si="142">DK29+DL28</f>
        <v>2276881.9503774126</v>
      </c>
      <c r="DM29" s="246">
        <f t="shared" ref="DM29" si="143">DL29+DM28</f>
        <v>4338584.5078285262</v>
      </c>
      <c r="DN29" s="246">
        <f t="shared" ref="DN29" si="144">DM29+DN28</f>
        <v>623700.376780272</v>
      </c>
      <c r="DP29" s="245">
        <f>DN29+DP28</f>
        <v>2752988.3552120863</v>
      </c>
      <c r="DQ29" s="246">
        <f t="shared" ref="DQ29" si="145">DP29+DQ28</f>
        <v>4833744.4147551693</v>
      </c>
      <c r="DR29" s="246">
        <f t="shared" ref="DR29" si="146">DQ29+DR28</f>
        <v>2726070.3068494522</v>
      </c>
      <c r="DS29" s="246">
        <f t="shared" ref="DS29" si="147">DR29+DS28</f>
        <v>780594.11061763577</v>
      </c>
      <c r="DT29" s="246">
        <f t="shared" ref="DT29" si="148">DS29+DT28</f>
        <v>3231239.0810783179</v>
      </c>
      <c r="DU29" s="246">
        <f t="shared" ref="DU29" si="149">DT29+DU28</f>
        <v>1502475.3413156061</v>
      </c>
      <c r="DV29" s="246">
        <f t="shared" ref="DV29" si="150">DU29+DV28</f>
        <v>2773711.6015528939</v>
      </c>
      <c r="DW29" s="246">
        <f t="shared" ref="DW29" si="151">DV29+DW28</f>
        <v>1044947.8617901821</v>
      </c>
      <c r="DX29" s="246">
        <f t="shared" ref="DX29" si="152">DW29+DX28</f>
        <v>3268168.5685913856</v>
      </c>
      <c r="DY29" s="246">
        <f t="shared" ref="DY29" si="153">DX29+DY28</f>
        <v>5717908.1390520679</v>
      </c>
      <c r="DZ29" s="246">
        <f t="shared" ref="DZ29" si="154">DY29+DZ28</f>
        <v>3678115.1472231341</v>
      </c>
      <c r="EA29" s="246">
        <f t="shared" ref="EA29" si="155">DZ29+EA28</f>
        <v>394067.62818812858</v>
      </c>
      <c r="EF29" s="119">
        <f>+EA29+EF16</f>
        <v>8687709.911156036</v>
      </c>
    </row>
    <row r="31" spans="2:136">
      <c r="N31" s="72">
        <v>0</v>
      </c>
      <c r="AA31" s="119">
        <f>+V8</f>
        <v>3900000</v>
      </c>
      <c r="AN31" s="119">
        <f>+AA31+AO8-AO16</f>
        <v>4000000</v>
      </c>
      <c r="BA31" s="119">
        <f>+AN31+BB8-BB16</f>
        <v>3000000</v>
      </c>
      <c r="BN31" s="119">
        <f>+BA31+BO8-BO16</f>
        <v>2500000</v>
      </c>
      <c r="CA31" s="119">
        <f>+BN31+CB8-CB16</f>
        <v>0</v>
      </c>
      <c r="CN31" s="119">
        <f>+CA31+CO8-CO16</f>
        <v>0</v>
      </c>
      <c r="DA31" s="119">
        <f>+CN31+DB8-DB16</f>
        <v>0</v>
      </c>
      <c r="DN31" s="119">
        <f>+DA31+DO8-DO16</f>
        <v>0</v>
      </c>
    </row>
    <row r="32" spans="2:136">
      <c r="N32" s="119">
        <f>+L7-Ej_Deuda!O6-Ej_Deuda!O12</f>
        <v>5420379.4772930872</v>
      </c>
      <c r="AA32" s="119">
        <f>+N32-Ej_Deuda!AD6-Ej_Deuda!AD12</f>
        <v>4483035.8637266923</v>
      </c>
      <c r="AB32" s="119"/>
      <c r="AN32" s="119">
        <f>+AA32-Ej_Deuda!AD6-Ej_Deuda!AD12</f>
        <v>3545692.2501602974</v>
      </c>
      <c r="BA32" s="119">
        <f>+AN32-Ej_Deuda!AD6-Ej_Deuda!AD12</f>
        <v>2608348.6365939025</v>
      </c>
      <c r="BN32" s="119">
        <f>+BA32-Ej_Deuda!AD6-Ej_Deuda!AD12</f>
        <v>1671005.0230275074</v>
      </c>
      <c r="CA32" s="119">
        <v>0</v>
      </c>
      <c r="CN32" s="119">
        <v>0</v>
      </c>
      <c r="DA32" s="72">
        <v>0</v>
      </c>
      <c r="DN32" s="72">
        <v>0</v>
      </c>
    </row>
    <row r="33" spans="12:124" hidden="1">
      <c r="AK33" s="72">
        <v>2027</v>
      </c>
      <c r="AX33" s="72">
        <v>2028</v>
      </c>
    </row>
    <row r="34" spans="12:124" hidden="1">
      <c r="L34" s="72">
        <v>193922.22595383023</v>
      </c>
      <c r="M34" s="119">
        <v>74928.082191780821</v>
      </c>
      <c r="BJ34" s="72">
        <v>2029</v>
      </c>
    </row>
    <row r="35" spans="12:124" hidden="1"/>
    <row r="36" spans="12:124">
      <c r="N36" s="119">
        <f>+N31+N32</f>
        <v>5420379.4772930872</v>
      </c>
      <c r="AA36" s="119">
        <f>+AA31+AA32</f>
        <v>8383035.8637266923</v>
      </c>
      <c r="AN36" s="119">
        <f>+AN31+AN32</f>
        <v>7545692.2501602974</v>
      </c>
      <c r="BA36" s="119">
        <f>+BA31+BA32</f>
        <v>5608348.6365939025</v>
      </c>
      <c r="BN36" s="119">
        <f>+BN31+BN32</f>
        <v>4171005.0230275076</v>
      </c>
      <c r="CA36" s="119">
        <f>+CA31+CA32</f>
        <v>0</v>
      </c>
    </row>
    <row r="37" spans="12:124">
      <c r="O37" s="132">
        <v>2900000</v>
      </c>
      <c r="T37" s="72">
        <v>14000</v>
      </c>
      <c r="AJ37" s="72" t="s">
        <v>463</v>
      </c>
      <c r="AK37" s="190">
        <f>+Resultados!D14</f>
        <v>1480799.445797248</v>
      </c>
      <c r="AX37" s="190">
        <f>+Resultados!E14</f>
        <v>1582364.1727693735</v>
      </c>
    </row>
    <row r="38" spans="12:124">
      <c r="M38" s="248"/>
      <c r="O38" s="132">
        <f>+O37/2</f>
        <v>1450000</v>
      </c>
      <c r="T38" s="72">
        <f>+T37*70%</f>
        <v>9800</v>
      </c>
      <c r="AK38" s="56">
        <f>+AK37*AL38</f>
        <v>592319.77831889922</v>
      </c>
      <c r="AL38" s="308">
        <v>0.4</v>
      </c>
      <c r="AW38" s="72" t="s">
        <v>463</v>
      </c>
      <c r="AX38" s="56">
        <f>+AX37*AY38</f>
        <v>791182.08638468676</v>
      </c>
      <c r="AY38" s="308">
        <v>0.5</v>
      </c>
      <c r="BJ38" s="190">
        <f>+Resultados!F14</f>
        <v>1957769.1648346798</v>
      </c>
    </row>
    <row r="39" spans="12:124">
      <c r="T39" s="72">
        <f>+T37-T38</f>
        <v>4200</v>
      </c>
      <c r="AF39" s="56">
        <f>+AF40*12</f>
        <v>18854496.150000002</v>
      </c>
      <c r="AK39" s="56">
        <f>+AK37*AL39</f>
        <v>888479.66747834883</v>
      </c>
      <c r="AL39" s="308">
        <v>0.6</v>
      </c>
      <c r="AS39" s="56">
        <f>+AS40*12</f>
        <v>20195139.068999998</v>
      </c>
      <c r="AX39" s="56">
        <f>+AX37*AY39</f>
        <v>791182.08638468676</v>
      </c>
      <c r="AY39" s="308">
        <v>0.5</v>
      </c>
      <c r="AZ39" s="72" t="s">
        <v>463</v>
      </c>
      <c r="BF39" s="56">
        <f>+BF40*12</f>
        <v>21621692.26224</v>
      </c>
      <c r="BI39" s="72" t="s">
        <v>463</v>
      </c>
      <c r="BJ39" s="56">
        <f>+BJ38*BK39</f>
        <v>978884.5824173399</v>
      </c>
      <c r="BK39" s="308">
        <v>0.5</v>
      </c>
      <c r="BS39" s="56">
        <f>+BS40*12</f>
        <v>23156432.836210802</v>
      </c>
      <c r="CE39" s="56">
        <f>+Ingresos!J28</f>
        <v>24800444.267548323</v>
      </c>
      <c r="CS39" s="119">
        <f>+Ingresos!K28</f>
        <v>26553500.487099838</v>
      </c>
      <c r="DF39" s="119">
        <f>+Ingresos!L28</f>
        <v>28438953.334089424</v>
      </c>
      <c r="DS39" s="119">
        <f>+Ingresos!M28</f>
        <v>30456342.767957889</v>
      </c>
    </row>
    <row r="40" spans="12:124">
      <c r="O40" s="132">
        <v>14100000</v>
      </c>
      <c r="AF40" s="56">
        <f>+Ingresos!F28/12</f>
        <v>1571208.0125000002</v>
      </c>
      <c r="AS40" s="119">
        <f>+Ingresos!G28/12</f>
        <v>1682928.2557499998</v>
      </c>
      <c r="BF40" s="56">
        <f>+Ingresos!H28/12</f>
        <v>1801807.6885200001</v>
      </c>
      <c r="BJ40" s="56">
        <f>+BJ38*BK40</f>
        <v>978884.5824173399</v>
      </c>
      <c r="BK40" s="308">
        <v>0.5</v>
      </c>
      <c r="BL40" s="72" t="s">
        <v>463</v>
      </c>
      <c r="BS40" s="56">
        <f>+Ingresos!I28/12</f>
        <v>1929702.7363509003</v>
      </c>
      <c r="CE40" s="56">
        <f>+CE39/12</f>
        <v>2066703.6889623601</v>
      </c>
      <c r="CS40" s="56">
        <f>+CS39/12</f>
        <v>2212791.7072583199</v>
      </c>
      <c r="DF40" s="56">
        <f>+DF39/12</f>
        <v>2369912.7778407852</v>
      </c>
      <c r="DS40" s="56">
        <f>+DS39/12</f>
        <v>2538028.5639964906</v>
      </c>
    </row>
    <row r="41" spans="12:124">
      <c r="O41" s="132">
        <f>+O40/6</f>
        <v>2350000</v>
      </c>
      <c r="AF41" s="119">
        <f>+Costos!F6</f>
        <v>15254335.845277237</v>
      </c>
      <c r="AS41" s="119">
        <f>+'Materia Prima'!G28</f>
        <v>16498216.667481313</v>
      </c>
      <c r="BF41" s="119">
        <f>+'Materia Prima'!H28</f>
        <v>17841772.283368502</v>
      </c>
      <c r="BS41" s="119">
        <f>+'Materia Prima'!I28</f>
        <v>19295790.552978549</v>
      </c>
      <c r="CE41" s="56">
        <f>+'Materia Prima'!J28</f>
        <v>20866848.258717999</v>
      </c>
      <c r="CS41" s="119">
        <f>+'Materia Prima'!K28</f>
        <v>22564513.049915385</v>
      </c>
      <c r="DF41" s="119">
        <f>+'Materia Prima'!L28</f>
        <v>24403760.19800815</v>
      </c>
      <c r="DS41" s="119">
        <f>+'Materia Prima'!M28</f>
        <v>26390547.222463541</v>
      </c>
    </row>
    <row r="42" spans="12:124">
      <c r="AF42" s="56">
        <f>+AF41*5%</f>
        <v>762716.79226386186</v>
      </c>
      <c r="AG42" s="56">
        <f>+AF42/6</f>
        <v>127119.46537731031</v>
      </c>
      <c r="AS42" s="56">
        <f>+AS41*5%</f>
        <v>824910.8333740657</v>
      </c>
      <c r="AT42" s="56">
        <f>+AS42/6</f>
        <v>137485.13889567761</v>
      </c>
      <c r="BF42" s="56">
        <f>+BF41*5%</f>
        <v>892088.61416842509</v>
      </c>
      <c r="BG42" s="56">
        <f>+BF42/6</f>
        <v>148681.43569473751</v>
      </c>
      <c r="BS42" s="56">
        <f>+BS41*5%</f>
        <v>964789.52764892753</v>
      </c>
      <c r="BT42" s="56">
        <f>+BS42/6</f>
        <v>160798.25460815459</v>
      </c>
      <c r="CE42" s="56">
        <f>+CE41*5%</f>
        <v>1043342.4129359</v>
      </c>
      <c r="CF42" s="56">
        <f>+CE42/6</f>
        <v>173890.40215598335</v>
      </c>
      <c r="CS42" s="56">
        <f>+CS41*5%</f>
        <v>1128225.6524957693</v>
      </c>
      <c r="CT42" s="56">
        <f>+CS42/6</f>
        <v>188037.60874929489</v>
      </c>
      <c r="DF42" s="56">
        <f>+DF41*5%</f>
        <v>1220188.0099004076</v>
      </c>
      <c r="DG42" s="56">
        <f>+DF42/6</f>
        <v>203364.66831673461</v>
      </c>
      <c r="DS42" s="56">
        <f>+DS41*5%</f>
        <v>1319527.3611231772</v>
      </c>
      <c r="DT42" s="56">
        <f>+DS42/6</f>
        <v>219921.22685386287</v>
      </c>
    </row>
    <row r="43" spans="12:124">
      <c r="AF43" s="56">
        <f>+AF41*95%</f>
        <v>14491619.053013375</v>
      </c>
      <c r="AG43" s="56">
        <f>+AF43/6</f>
        <v>2415269.842168896</v>
      </c>
      <c r="AS43" s="56">
        <f>+AS41*95%</f>
        <v>15673305.834107246</v>
      </c>
      <c r="AT43" s="56">
        <f>+AS43/6</f>
        <v>2612217.6390178744</v>
      </c>
      <c r="BF43" s="56">
        <f>+BF41*95%</f>
        <v>16949683.669200078</v>
      </c>
      <c r="BG43" s="56">
        <f>+BF43/6</f>
        <v>2824947.2782000131</v>
      </c>
      <c r="BS43" s="56">
        <f>+BS41*95%</f>
        <v>18331001.02532962</v>
      </c>
      <c r="BT43" s="56">
        <f>+BS43/6</f>
        <v>3055166.8375549368</v>
      </c>
      <c r="CE43" s="56">
        <f>+CE41*95%</f>
        <v>19823505.845782097</v>
      </c>
      <c r="CF43" s="56">
        <f>+CE43/6</f>
        <v>3303917.6409636829</v>
      </c>
      <c r="CS43" s="56">
        <f>+CS41*95%</f>
        <v>21436287.397419613</v>
      </c>
      <c r="CT43" s="56">
        <f>+CS43/6</f>
        <v>3572714.5662366021</v>
      </c>
      <c r="DF43" s="56">
        <f>+DF41*95%</f>
        <v>23183572.18810774</v>
      </c>
      <c r="DG43" s="56">
        <f>+DF43/6</f>
        <v>3863928.6980179567</v>
      </c>
      <c r="DS43" s="56">
        <f>+DS41*95%</f>
        <v>25071019.861340363</v>
      </c>
      <c r="DT43" s="56">
        <f>+DS43/6</f>
        <v>4178503.3102233936</v>
      </c>
    </row>
  </sheetData>
  <mergeCells count="10">
    <mergeCell ref="C3:O3"/>
    <mergeCell ref="P3:AB3"/>
    <mergeCell ref="AC3:AO3"/>
    <mergeCell ref="AP3:BB3"/>
    <mergeCell ref="BC3:BO3"/>
    <mergeCell ref="CC3:CO3"/>
    <mergeCell ref="CP3:DB3"/>
    <mergeCell ref="DC3:DO3"/>
    <mergeCell ref="DP3:EB3"/>
    <mergeCell ref="BP3:CB3"/>
  </mergeCells>
  <pageMargins left="0.75" right="0.75" top="1" bottom="1" header="0.511811023622047" footer="0.511811023622047"/>
  <pageSetup paperSize="9" orientation="portrait" horizontalDpi="300" verticalDpi="300"/>
  <ignoredErrors>
    <ignoredError sqref="O10 O26 O28" formula="1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2E75B6"/>
    <pageSetUpPr fitToPage="1"/>
  </sheetPr>
  <dimension ref="A1:O116"/>
  <sheetViews>
    <sheetView showGridLines="0" zoomScale="100" zoomScaleNormal="100" workbookViewId="0">
      <pane ySplit="3" topLeftCell="A4" activePane="bottomLeft" state="frozen"/>
      <selection pane="bottomLeft" activeCell="B4" sqref="B4"/>
    </sheetView>
  </sheetViews>
  <sheetFormatPr defaultRowHeight="13.2"/>
  <cols>
    <col min="1" max="1" width="2" customWidth="1"/>
    <col min="2" max="2" width="6" customWidth="1"/>
    <col min="3" max="3" width="44" customWidth="1"/>
    <col min="4" max="4" width="40" customWidth="1"/>
    <col min="5" max="5" width="13.5" customWidth="1"/>
    <col min="6" max="6" width="13.5" customWidth="1"/>
    <col min="7" max="7" width="13.5" customWidth="1"/>
    <col min="8" max="8" width="13.5" customWidth="1"/>
    <col min="9" max="9" width="13.5" customWidth="1"/>
    <col min="10" max="10" width="13.5" customWidth="1"/>
    <col min="11" max="11" width="13.5" customWidth="1"/>
    <col min="12" max="12" width="13.5" customWidth="1"/>
    <col min="13" max="13" width="13.5" customWidth="1"/>
    <col min="14" max="14" width="13.5" customWidth="1"/>
    <col min="15" max="15" width="15" customWidth="1"/>
  </cols>
  <sheetData>
    <row r="2" ht="30" customHeight="1">
      <c r="B2" s="337" t="inlineStr">
        <is>
          <t>CONTROLES DEL MODELO Y DATOS PARA EL POWERPOINT</t>
        </is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7"/>
    </row>
    <row r="3" ht="30" customHeight="1">
      <c r="B3" s="338" t="inlineStr">
        <is>
          <t>Las celdas de las columnas «Valor», «Libro» y de los años son fórmulas vivas: se recalculan al cargar la nueva prospección. Los valores en fuente azul son referencias fijas (plan original y PPT de junio 2026). Ver la hoja «PASO A PASO».</t>
        </is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</row>
    <row r="5" ht="20" customHeight="1">
      <c r="B5" s="339" t="inlineStr">
        <is>
          <t>1. CONTROLES (todos en OK antes de pasar al PowerPoint, salvo el 13 si depende de la decisión de dividendos: ver paso E5)</t>
        </is>
      </c>
      <c r="C5" s="339"/>
      <c r="D5" s="339"/>
      <c r="E5" s="339"/>
      <c r="F5" s="339"/>
      <c r="G5" s="339"/>
      <c r="H5" s="339"/>
      <c r="I5" s="339"/>
      <c r="J5" s="339"/>
      <c r="K5" s="339"/>
      <c r="L5" s="339"/>
      <c r="M5" s="339"/>
      <c r="N5" s="339"/>
      <c r="O5" s="339"/>
    </row>
    <row r="6" ht="28" customHeight="1">
      <c r="B6" s="340" t="inlineStr">
        <is>
          <t>#</t>
        </is>
      </c>
      <c r="C6" s="340" t="inlineStr">
        <is>
          <t>Control</t>
        </is>
      </c>
      <c r="D6" s="340" t="inlineStr">
        <is>
          <t>Qué compara</t>
        </is>
      </c>
      <c r="E6" s="340" t="inlineStr">
        <is>
          <t>Valor</t>
        </is>
      </c>
      <c r="F6" s="340" t="inlineStr">
        <is>
          <t>Esperado</t>
        </is>
      </c>
      <c r="G6" s="340" t="inlineStr">
        <is>
          <t>Estado</t>
        </is>
      </c>
      <c r="H6" s="341" t="inlineStr">
        <is>
          <t>Si da REVISAR: qué hacer (paso de la hoja PASO A PASO)</t>
        </is>
      </c>
      <c r="I6" s="341"/>
      <c r="J6" s="341"/>
      <c r="K6" s="341"/>
      <c r="L6" s="341"/>
      <c r="M6" s="341"/>
      <c r="N6" s="341"/>
      <c r="O6" s="341"/>
    </row>
    <row r="7" ht="30.4" customHeight="1">
      <c r="B7" s="344">
        <v>1</v>
      </c>
      <c r="C7" s="343" t="inlineStr">
        <is>
          <t>Producción año 1 = detalle mensual (Tn)</t>
        </is>
      </c>
      <c r="D7" s="342" t="inlineStr">
        <is>
          <t>Producción!D28 − SUMA(Ej_Producción!C22:N32)</t>
        </is>
      </c>
      <c r="E7" s="350">
        <f>ROUND('Producción'!D28-SUM('Ej_Producción'!C22:N32),2)</f>
        <v>0.0</v>
      </c>
      <c r="F7" s="344" t="inlineStr">
        <is>
          <t>0</t>
        </is>
      </c>
      <c r="G7" s="344" t="str">
        <f>IF(ABS(E7)&lt;0.5,"OK","REVISAR")</f>
        <v>OK</v>
      </c>
      <c r="H7" s="342" t="inlineStr">
        <is>
          <t>B4 (totales Ej_Producción!O31:O32 y Producción!D26) y C1-C2: revisar que Producción!D6:D26 (filas pares) tomen Ej_Producción!O22:O32.</t>
        </is>
      </c>
      <c r="I7" s="342"/>
      <c r="J7" s="342"/>
      <c r="K7" s="342"/>
      <c r="L7" s="342"/>
      <c r="M7" s="342"/>
      <c r="N7" s="342"/>
      <c r="O7" s="342"/>
    </row>
    <row r="8" ht="30.4" customHeight="1">
      <c r="B8" s="344">
        <v>2</v>
      </c>
      <c r="C8" s="343" t="inlineStr">
        <is>
          <t>Producción año 2 = detalle mensual (Tn)</t>
        </is>
      </c>
      <c r="D8" s="342" t="inlineStr">
        <is>
          <t>Producción!E28 − SUMA(Ej_Producción!R22:AC32)</t>
        </is>
      </c>
      <c r="E8" s="350">
        <f>ROUND('Producción'!E28-SUM('Ej_Producción'!R22:AC32),2)</f>
        <v>0.0</v>
      </c>
      <c r="F8" s="344" t="inlineStr">
        <is>
          <t>0</t>
        </is>
      </c>
      <c r="G8" s="344" t="str">
        <f>IF(ABS(E8)&lt;0.5,"OK","REVISAR")</f>
        <v>OK</v>
      </c>
      <c r="H8" s="342" t="inlineStr">
        <is>
          <t>C3: revisar Ej_Producción!R22:AC32 y que Producción!E6:E26 tomen la columna AD.</t>
        </is>
      </c>
      <c r="I8" s="342"/>
      <c r="J8" s="342"/>
      <c r="K8" s="342"/>
      <c r="L8" s="342"/>
      <c r="M8" s="342"/>
      <c r="N8" s="342"/>
      <c r="O8" s="342"/>
    </row>
    <row r="9" ht="30.4" customHeight="1">
      <c r="B9" s="344">
        <v>3</v>
      </c>
      <c r="C9" s="343" t="inlineStr">
        <is>
          <t>Ventas años 1 y 2 = detalle mensual (Tn)</t>
        </is>
      </c>
      <c r="D9" s="342" t="inlineStr">
        <is>
          <t>|Producción!D29 − SUMA(Ej_Producción!C37:N47)| + |E29 − SUMA(R37:AC47)|</t>
        </is>
      </c>
      <c r="E9" s="350">
        <f>ROUND(ABS('Producción'!D29-SUM('Ej_Producción'!C37:N47))+ABS('Producción'!E29-SUM('Ej_Producción'!R37:AC47)),2)</f>
        <v>0.0</v>
      </c>
      <c r="F9" s="344" t="inlineStr">
        <is>
          <t>0</t>
        </is>
      </c>
      <c r="G9" s="344" t="str">
        <f>IF(ABS(E9)&lt;0.5,"OK","REVISAR")</f>
        <v>OK</v>
      </c>
      <c r="H9" s="342" t="inlineStr">
        <is>
          <t>B4 (totales Ej_Producción!O46:O47) y C1-C3: revisar Ej_Producción filas 37-47 (ventas).</t>
        </is>
      </c>
      <c r="I9" s="342"/>
      <c r="J9" s="342"/>
      <c r="K9" s="342"/>
      <c r="L9" s="342"/>
      <c r="M9" s="342"/>
      <c r="N9" s="342"/>
      <c r="O9" s="342"/>
    </row>
    <row r="10" ht="30.4" customHeight="1">
      <c r="B10" s="344">
        <v>4</v>
      </c>
      <c r="C10" s="343" t="inlineStr">
        <is>
          <t>Ingresos años 1 y 2 = detalle mensual (USD)</t>
        </is>
      </c>
      <c r="D10" s="342" t="inlineStr">
        <is>
          <t>|Ingresos!D28 − Ej_Ingresos!O34| + |E28 − AD34|</t>
        </is>
      </c>
      <c r="E10" s="350">
        <f>ROUND(ABS('Ingresos'!D28-'Ej_Ingresos'!O34)+ABS('Ingresos'!E28-'Ej_Ingresos'!AD34),2)</f>
        <v>0.0</v>
      </c>
      <c r="F10" s="344" t="inlineStr">
        <is>
          <t>0</t>
        </is>
      </c>
      <c r="G10" s="344" t="str">
        <f>IF(ABS(E10)&lt;1,"OK","REVISAR")</f>
        <v>OK</v>
      </c>
      <c r="H10" s="342" t="inlineStr">
        <is>
          <t>C1-C3: revisar precios Ej_Ingresos!C8:AC18 y que Ingresos!D/E tomen las columnas O/AD. Si Steel Frame o Accesorios venden en 2026, verificar los totales Ej_Producción!O46:O47 (paso B4).</t>
        </is>
      </c>
      <c r="I10" s="342"/>
      <c r="J10" s="342"/>
      <c r="K10" s="342"/>
      <c r="L10" s="342"/>
      <c r="M10" s="342"/>
      <c r="N10" s="342"/>
      <c r="O10" s="342"/>
    </row>
    <row r="11" ht="30.4" customHeight="1">
      <c r="B11" s="344">
        <v>5</v>
      </c>
      <c r="C11" s="343" t="inlineStr">
        <is>
          <t>Meses con venta y sin precio (cantidad)</t>
        </is>
      </c>
      <c r="D11" s="342" t="inlineStr">
        <is>
          <t>Tn vendidas &gt; 0 con precio = 0 (2026 y 2027)</t>
        </is>
      </c>
      <c r="E11" s="350">
        <f>SUMPRODUCT(('Ej_Producción'!C37:N47&gt;0)*('Ej_Ingresos'!C8:N18=0))+SUMPRODUCT(('Ej_Producción'!R37:AC47&gt;0)*('Ej_Ingresos'!R8:AC18=0))</f>
        <v>0.0</v>
      </c>
      <c r="F11" s="344" t="inlineStr">
        <is>
          <t>0</t>
        </is>
      </c>
      <c r="G11" s="344" t="str">
        <f>IF(E11=0,"OK","REVISAR")</f>
        <v>OK</v>
      </c>
      <c r="H11" s="342" t="inlineStr">
        <is>
          <t>C1-C3: cargar el precio USD/Tn de cada mes con venta.</t>
        </is>
      </c>
      <c r="I11" s="342"/>
      <c r="J11" s="342"/>
      <c r="K11" s="342"/>
      <c r="L11" s="342"/>
      <c r="M11" s="342"/>
      <c r="N11" s="342"/>
      <c r="O11" s="342"/>
    </row>
    <row r="12" ht="30.4" customHeight="1">
      <c r="B12" s="344">
        <v>6</v>
      </c>
      <c r="C12" s="343" t="inlineStr">
        <is>
          <t>Meses con producción y sin costo de chapa (cantidad)</t>
        </is>
      </c>
      <c r="D12" s="342" t="inlineStr">
        <is>
          <t>Tn producidas &gt; 0 con USD/Tn = 0 (2026 y 2027)</t>
        </is>
      </c>
      <c r="E12" s="350">
        <f>SUMPRODUCT(('Ej_Producción'!C22:N32&gt;0)*('Ej_Costos'!C9:N19=0))+SUMPRODUCT(('Ej_Producción'!R22:AC32&gt;0)*('Ej_Costos'!R9:AC19=0))</f>
        <v>0.0</v>
      </c>
      <c r="F12" s="344" t="inlineStr">
        <is>
          <t>0</t>
        </is>
      </c>
      <c r="G12" s="344" t="str">
        <f>IF(E12=0,"OK","REVISAR")</f>
        <v>OK</v>
      </c>
      <c r="H12" s="342" t="inlineStr">
        <is>
          <t>D3: cargar el costo USD/Tn de chapa en Ej_Costos para cada mes con producción.</t>
        </is>
      </c>
      <c r="I12" s="342"/>
      <c r="J12" s="342"/>
      <c r="K12" s="342"/>
      <c r="L12" s="342"/>
      <c r="M12" s="342"/>
      <c r="N12" s="342"/>
      <c r="O12" s="342"/>
    </row>
    <row r="13" ht="30.4" customHeight="1">
      <c r="B13" s="344">
        <v>7</v>
      </c>
      <c r="C13" s="343" t="inlineStr">
        <is>
          <t>Venta ≤ producción, años 1 y 2 (Tn)</t>
        </is>
      </c>
      <c r="D13" s="342" t="inlineStr">
        <is>
          <t>Mínimo de (producción − venta) año 1 y año 2</t>
        </is>
      </c>
      <c r="E13" s="350">
        <f>ROUND(MIN('Producción'!D28-'Producción'!D29,'Producción'!E28-'Producción'!E29),2)</f>
        <v>0.0</v>
      </c>
      <c r="F13" s="344" t="inlineStr">
        <is>
          <t>≥ 0</t>
        </is>
      </c>
      <c r="G13" s="344" t="str">
        <f>IF(E13&gt;=0,"OK","REVISAR")</f>
        <v>OK</v>
      </c>
      <c r="H13" s="342" t="inlineStr">
        <is>
          <t>C2-C3: la venta no puede superar la producción (salvo stock inicial documentado).</t>
        </is>
      </c>
      <c r="I13" s="342"/>
      <c r="J13" s="342"/>
      <c r="K13" s="342"/>
      <c r="L13" s="342"/>
      <c r="M13" s="342"/>
      <c r="N13" s="342"/>
      <c r="O13" s="342"/>
    </row>
    <row r="14" ht="30.4" customHeight="1">
      <c r="B14" s="344">
        <v>8</v>
      </c>
      <c r="C14" s="343" t="inlineStr">
        <is>
          <t>Materia prima igual en Ej_Costos, Costos y Materia Prima (USD)</t>
        </is>
      </c>
      <c r="D14" s="342" t="inlineStr">
        <is>
          <t>Años 1 y 2: Materia Prima!D28/E28 vs Costos!D6/E6 vs Ej_Costos!O22/AD22</t>
        </is>
      </c>
      <c r="E14" s="350">
        <f>ROUND(ABS('Materia Prima'!D28-'Costos'!D6)+ABS('Costos'!D6-'Ej_Costos'!O22)+ABS('Materia Prima'!E28-'Costos'!E6)+ABS('Costos'!E6-'Ej_Costos'!AD22),2)</f>
        <v>0.0</v>
      </c>
      <c r="F14" s="344" t="inlineStr">
        <is>
          <t>0</t>
        </is>
      </c>
      <c r="G14" s="344" t="str">
        <f>IF(ABS(E14)&lt;1,"OK","REVISAR")</f>
        <v>OK</v>
      </c>
      <c r="H14" s="342" t="inlineStr">
        <is>
          <t>B4 (totales Ej_Producción!O31:O32 y Producción!D26) y B5 (Ej_Costos!O18:O19 con fórmula).</t>
        </is>
      </c>
      <c r="I14" s="342"/>
      <c r="J14" s="342"/>
      <c r="K14" s="342"/>
      <c r="L14" s="342"/>
      <c r="M14" s="342"/>
      <c r="N14" s="342"/>
      <c r="O14" s="342"/>
    </row>
    <row r="15" ht="30.4" customHeight="1">
      <c r="B15" s="344">
        <v>9</v>
      </c>
      <c r="C15" s="343" t="inlineStr">
        <is>
          <t>Steel Frame y Accesorios del año 1 vinculados</t>
        </is>
      </c>
      <c r="D15" s="342" t="inlineStr">
        <is>
          <t>¿Producción!D26 y Ej_Producción!O31, O32, O46 y O47 son fórmulas?</t>
        </is>
      </c>
      <c r="E15" s="344" t="b">
        <f>AND(_xlfn.ISFORMULA('Producción'!D26),_xlfn.ISFORMULA('Ej_Producción'!O31),_xlfn.ISFORMULA('Ej_Producción'!O32),_xlfn.ISFORMULA('Ej_Producción'!O46),_xlfn.ISFORMULA('Ej_Producción'!O47))</f>
        <v>0</v>
      </c>
      <c r="F15" s="344" t="inlineStr">
        <is>
          <t>VERDADERO</t>
        </is>
      </c>
      <c r="G15" s="344" t="str">
        <f>IF(E15=TRUE,"OK","REVISAR")</f>
        <v>REVISAR</v>
      </c>
      <c r="H15" s="342" t="inlineStr">
        <is>
          <t>B4: crear los totales Ej_Producción!O31, O32, O46 y O47 (hoy vacíos) y escribir =+Ej_Producción!O32 en Producción!D26.</t>
        </is>
      </c>
      <c r="I15" s="342"/>
      <c r="J15" s="342"/>
      <c r="K15" s="342"/>
      <c r="L15" s="342"/>
      <c r="M15" s="342"/>
      <c r="N15" s="342"/>
      <c r="O15" s="342"/>
    </row>
    <row r="16" ht="30.4" customHeight="1">
      <c r="B16" s="344">
        <v>10</v>
      </c>
      <c r="C16" s="343" t="inlineStr">
        <is>
          <t>Cobros 2026-2036 = ventas de los 10 años (USD)</t>
        </is>
      </c>
      <c r="D16" s="342" t="inlineStr">
        <is>
          <t>Suma de cobros de Ej_Flujo (totales) − SUMA(Ingresos!D28:M28)</t>
        </is>
      </c>
      <c r="E16" s="350">
        <f>ROUND(('Ej_Flujo'!O6+'Ej_Flujo'!AB6+'Ej_Flujo'!AO6+'Ej_Flujo'!BB6+'Ej_Flujo'!BO6+'Ej_Flujo'!CB6+'Ej_Flujo'!CO6+'Ej_Flujo'!DB6+'Ej_Flujo'!DO6+'Ej_Flujo'!EB6+'Ej_Flujo'!EF6)-SUM('Ingresos'!D28:M28),2)</f>
        <v>0.0</v>
      </c>
      <c r="F16" s="344" t="inlineStr">
        <is>
          <t>0</t>
        </is>
      </c>
      <c r="G16" s="344" t="str">
        <f>IF(ABS(E16)&lt;1,"OK","REVISAR")</f>
        <v>OK</v>
      </c>
      <c r="H16" s="342" t="inlineStr">
        <is>
          <t>B1: vincular los cobros 2028-2036 (Ej_Flujo!AC6:EE6).</t>
        </is>
      </c>
      <c r="I16" s="342"/>
      <c r="J16" s="342"/>
      <c r="K16" s="342"/>
      <c r="L16" s="342"/>
      <c r="M16" s="342"/>
      <c r="N16" s="342"/>
      <c r="O16" s="342"/>
    </row>
    <row r="17" ht="17.2" customHeight="1">
      <c r="B17" s="344">
        <v>11</v>
      </c>
      <c r="C17" s="343" t="inlineStr">
        <is>
          <t>Cobros 2028-2036 vinculados a las ventas</t>
        </is>
      </c>
      <c r="D17" s="342" t="inlineStr">
        <is>
          <t>¿Ej_Flujo!AF6 es fórmula?</t>
        </is>
      </c>
      <c r="E17" s="344" t="b">
        <f>_xlfn.ISFORMULA('Ej_Flujo'!AF6)</f>
        <v>0</v>
      </c>
      <c r="F17" s="344" t="inlineStr">
        <is>
          <t>VERDADERO</t>
        </is>
      </c>
      <c r="G17" s="344" t="str">
        <f>IF(E17=TRUE,"OK","REVISAR")</f>
        <v>REVISAR</v>
      </c>
      <c r="H17" s="342" t="inlineStr">
        <is>
          <t>B1: hoy son valores pegados; no cambian con la nueva prospección.</t>
        </is>
      </c>
      <c r="I17" s="342"/>
      <c r="J17" s="342"/>
      <c r="K17" s="342"/>
      <c r="L17" s="342"/>
      <c r="M17" s="342"/>
      <c r="N17" s="342"/>
      <c r="O17" s="342"/>
    </row>
    <row r="18" ht="43.6" customHeight="1">
      <c r="B18" s="344">
        <v>12</v>
      </c>
      <c r="C18" s="343" t="inlineStr">
        <is>
          <t>Impuesto maquila pagado 2028-2035 = Resultados (USD)</t>
        </is>
      </c>
      <c r="D18" s="342" t="inlineStr">
        <is>
          <t>Ej_Flujo fila 24 (totales 2028-2035) − (impuesto dic-2027 + SUMA(Resultados!E13:L13) − 1/12 de L13)</t>
        </is>
      </c>
      <c r="E18" s="350">
        <f>ROUND(('Ej_Flujo'!AO24+'Ej_Flujo'!BB24+'Ej_Flujo'!BO24+'Ej_Flujo'!CB24+'Ej_Flujo'!CO24+'Ej_Flujo'!DB24+'Ej_Flujo'!DO24+'Ej_Flujo'!EB24)-('Ej_Resultados'!AC18+SUM('Resultados'!E13:L13)-'Resultados'!L13/12),2)</f>
        <v>-612871.03</v>
      </c>
      <c r="F18" s="344" t="inlineStr">
        <is>
          <t>0</t>
        </is>
      </c>
      <c r="G18" s="344" t="str">
        <f>IF(ABS(E18)&lt;1,"OK","REVISAR")</f>
        <v>REVISAR</v>
      </c>
      <c r="H18" s="342" t="inlineStr">
        <is>
          <t>B2: vincular Ej_Flujo!AC24:EA24 al 1% de las ventas de cada año (se paga al mes siguiente).</t>
        </is>
      </c>
      <c r="I18" s="342"/>
      <c r="J18" s="342"/>
      <c r="K18" s="342"/>
      <c r="L18" s="342"/>
      <c r="M18" s="342"/>
      <c r="N18" s="342"/>
      <c r="O18" s="342"/>
    </row>
    <row r="19" ht="30.4" customHeight="1">
      <c r="B19" s="344">
        <v>13</v>
      </c>
      <c r="C19" s="343" t="inlineStr">
        <is>
          <t>Saldo de caja mensual mínimo, ago-2026 a dic-2035 (USD)</t>
        </is>
      </c>
      <c r="D19" s="342" t="inlineStr">
        <is>
          <t>MIN(Ej_Flujo!J29:EA29)</t>
        </is>
      </c>
      <c r="E19" s="350">
        <f>ROUND(MIN('Ej_Flujo'!J29:EA29),2)</f>
        <v>-245725.67</v>
      </c>
      <c r="F19" s="344" t="inlineStr">
        <is>
          <t>≥ 0</t>
        </is>
      </c>
      <c r="G19" s="344" t="str">
        <f>IF(E19&gt;=0,"OK","REVISAR")</f>
        <v>REVISAR</v>
      </c>
      <c r="H19" s="342" t="inlineStr">
        <is>
          <t>E3: redimensionar los préstamos CP (Ej_Flujo fila 8) hasta que el saldo no sea negativo. Es normal que siga en REVISAR hasta terminar la fase E: la fase B lo empeora.</t>
        </is>
      </c>
      <c r="I19" s="342"/>
      <c r="J19" s="342"/>
      <c r="K19" s="342"/>
      <c r="L19" s="342"/>
      <c r="M19" s="342"/>
      <c r="N19" s="342"/>
      <c r="O19" s="342"/>
    </row>
    <row r="20" ht="30.4" customHeight="1">
      <c r="B20" s="344">
        <v>14</v>
      </c>
      <c r="C20" s="343" t="inlineStr">
        <is>
          <t>Préstamos CP: desembolsado − devuelto (USD)</t>
        </is>
      </c>
      <c r="D20" s="342" t="inlineStr">
        <is>
          <t>Ej_Flujo fila 8 − fila 16, 2026-2035 (sin L16, que es la devolución a CIE S.A.)</t>
        </is>
      </c>
      <c r="E20" s="350">
        <f>ROUND(('Ej_Flujo'!O8+'Ej_Flujo'!AB8+'Ej_Flujo'!AO8+'Ej_Flujo'!BB8+'Ej_Flujo'!BO8+'Ej_Flujo'!CB8+'Ej_Flujo'!CO8+'Ej_Flujo'!DB8+'Ej_Flujo'!DO8+'Ej_Flujo'!EB8)-(SUM('Ej_Flujo'!C16:K16)+SUM('Ej_Flujo'!M16:N16)+'Ej_Flujo'!AB16+'Ej_Flujo'!AO16+'Ej_Flujo'!BB16+'Ej_Flujo'!BO16+'Ej_Flujo'!CB16+'Ej_Flujo'!CO16+'Ej_Flujo'!DB16+'Ej_Flujo'!DO16+'Ej_Flujo'!EB16),2)</f>
        <v>0.0</v>
      </c>
      <c r="F20" s="344" t="inlineStr">
        <is>
          <t>0</t>
        </is>
      </c>
      <c r="G20" s="344" t="str">
        <f>IF(ABS(E20)&lt;1,"OK","REVISAR")</f>
        <v>OK</v>
      </c>
      <c r="H20" s="342" t="inlineStr">
        <is>
          <t>E3: cada desembolso de la fila 8 necesita su devolución en la fila 16, a más tardar en dic-2035 (EA16).</t>
        </is>
      </c>
      <c r="I20" s="342"/>
      <c r="J20" s="342"/>
      <c r="K20" s="342"/>
      <c r="L20" s="342"/>
      <c r="M20" s="342"/>
      <c r="N20" s="342"/>
      <c r="O20" s="342"/>
    </row>
    <row r="21" ht="30.4" customHeight="1">
      <c r="B21" s="344">
        <v>15</v>
      </c>
      <c r="C21" s="343" t="inlineStr">
        <is>
          <t>Intereses 2027 completos en Ej_Costos (USD)</t>
        </is>
      </c>
      <c r="D21" s="342" t="inlineStr">
        <is>
          <t>Ej_Costos!AD63 − (Ej_Deuda!AD7 + AD13 + Ej_Flujo!AB17)</t>
        </is>
      </c>
      <c r="E21" s="350">
        <f>ROUND('Ej_Costos'!AD63-('Ej_Deuda'!AD7+'Ej_Deuda'!AD13+'Ej_Flujo'!AB17),2)</f>
        <v>0.0</v>
      </c>
      <c r="F21" s="344" t="inlineStr">
        <is>
          <t>0</t>
        </is>
      </c>
      <c r="G21" s="344" t="str">
        <f>IF(ABS(E21)&lt;1,"OK","REVISAR")</f>
        <v>OK</v>
      </c>
      <c r="H21" s="342" t="inlineStr">
        <is>
          <t>E4: vincular Ej_Costos!R62:AC62 a Ej_Flujo fila 17 del mismo mes.</t>
        </is>
      </c>
      <c r="I21" s="342"/>
      <c r="J21" s="342"/>
      <c r="K21" s="342"/>
      <c r="L21" s="342"/>
      <c r="M21" s="342"/>
      <c r="N21" s="342"/>
      <c r="O21" s="342"/>
    </row>
    <row r="22" ht="30.4" customHeight="1">
      <c r="B22" s="344">
        <v>16</v>
      </c>
      <c r="C22" s="343" t="inlineStr">
        <is>
          <t>Intereses 2028 (LP + CP) en Resultados (USD)</t>
        </is>
      </c>
      <c r="D22" s="342" t="inlineStr">
        <is>
          <t>Resultados!E11 − ('Servicio Deuda'!F24 + Ej_Flujo!AO17)</t>
        </is>
      </c>
      <c r="E22" s="350">
        <f>ROUND('Resultados'!E11-('Servicio Deuda'!F24+'Ej_Flujo'!AO17),2)</f>
        <v>0.0</v>
      </c>
      <c r="F22" s="344" t="inlineStr">
        <is>
          <t>0</t>
        </is>
      </c>
      <c r="G22" s="344" t="str">
        <f>IF(ABS(E22)&lt;1,"OK","REVISAR")</f>
        <v>OK</v>
      </c>
      <c r="H22" s="342" t="inlineStr">
        <is>
          <t>E3-E4: revisar Costos!F34 y los intereses CP de Ej_Flujo fila 17.</t>
        </is>
      </c>
      <c r="I22" s="342"/>
      <c r="J22" s="342"/>
      <c r="K22" s="342"/>
      <c r="L22" s="342"/>
      <c r="M22" s="342"/>
      <c r="N22" s="342"/>
      <c r="O22" s="342"/>
    </row>
    <row r="23" ht="30.4" customHeight="1">
      <c r="B23" s="344">
        <v>17</v>
      </c>
      <c r="C23" s="343" t="inlineStr">
        <is>
          <t>Cuotas LP del flujo = Servicio Deuda (USD)</t>
        </is>
      </c>
      <c r="D23" s="342" t="inlineStr">
        <is>
          <t>Ej_Flujo fila 23 (2026-2031) − SUMA('Servicio Deuda'!D23:I25)</t>
        </is>
      </c>
      <c r="E23" s="350">
        <f>ROUND(('Ej_Flujo'!O23+'Ej_Flujo'!AB23+'Ej_Flujo'!AO23+'Ej_Flujo'!BB23+'Ej_Flujo'!BO23+'Ej_Flujo'!CB23)-SUM('Servicio Deuda'!D23:I25),2)</f>
        <v>-387346.81</v>
      </c>
      <c r="F23" s="344" t="inlineStr">
        <is>
          <t>≈ 0 (± 1.000)</t>
        </is>
      </c>
      <c r="G23" s="344" t="str">
        <f>IF(ABS(E23)&lt;1000,"OK","REVISAR")</f>
        <v>REVISAR</v>
      </c>
      <c r="H23" s="342" t="inlineStr">
        <is>
          <t>B3: faltan las cuotas de jul-oct 2031 (Ej_Flujo!BV23:BY23).</t>
        </is>
      </c>
      <c r="I23" s="342"/>
      <c r="J23" s="342"/>
      <c r="K23" s="342"/>
      <c r="L23" s="342"/>
      <c r="M23" s="342"/>
      <c r="N23" s="342"/>
      <c r="O23" s="342"/>
    </row>
    <row r="24" ht="30.4" customHeight="1">
      <c r="B24" s="344">
        <v>18</v>
      </c>
      <c r="C24" s="343" t="inlineStr">
        <is>
          <t>Capital de trabajo sigue a las ventas (USD)</t>
        </is>
      </c>
      <c r="D24" s="342" t="inlineStr">
        <is>
          <t>Capital Trabajo!D9 − Ingresos!E28 × Supuestos!B80 / 365</t>
        </is>
      </c>
      <c r="E24" s="350">
        <f>ROUND('Capital Trabajo'!D9-'Ingresos'!E28*'Supuestos'!B80/365,2)</f>
        <v>0.0</v>
      </c>
      <c r="F24" s="344" t="inlineStr">
        <is>
          <t>0</t>
        </is>
      </c>
      <c r="G24" s="344" t="str">
        <f>IF(ABS(E24)&lt;1,"OK","REVISAR")</f>
        <v>OK</v>
      </c>
      <c r="H24" s="342" t="inlineStr">
        <is>
          <t>E1: no escribir valores en Capital Trabajo; revisar Supuestos!B77:B83.</t>
        </is>
      </c>
      <c r="I24" s="342"/>
      <c r="J24" s="342"/>
      <c r="K24" s="342"/>
      <c r="L24" s="342"/>
      <c r="M24" s="342"/>
      <c r="N24" s="342"/>
      <c r="O24" s="342"/>
    </row>
    <row r="25" ht="30.4" customHeight="1">
      <c r="B25" s="344">
        <v>19</v>
      </c>
      <c r="C25" s="343" t="inlineStr">
        <is>
          <t>Recupero de CT del VAN = CT neto año 10 (USD)</t>
        </is>
      </c>
      <c r="D25" s="342" t="inlineStr">
        <is>
          <t>VAN-TIR!M6 − Capital Trabajo!L18</t>
        </is>
      </c>
      <c r="E25" s="350">
        <f>ROUND('VAN-TIR'!M6-'Capital Trabajo'!L18,2)</f>
        <v>0.0</v>
      </c>
      <c r="F25" s="344" t="inlineStr">
        <is>
          <t>0</t>
        </is>
      </c>
      <c r="G25" s="344" t="str">
        <f>IF(ABS(E25)&lt;1,"OK","REVISAR")</f>
        <v>OK</v>
      </c>
      <c r="H25" s="342" t="inlineStr">
        <is>
          <t>F2: no modificar VAN-TIR; revisar la hoja Capital Trabajo.</t>
        </is>
      </c>
      <c r="I25" s="342"/>
      <c r="J25" s="342"/>
      <c r="K25" s="342"/>
      <c r="L25" s="342"/>
      <c r="M25" s="342"/>
      <c r="N25" s="342"/>
      <c r="O25" s="342"/>
    </row>
    <row r="26" ht="30.4" customHeight="1">
      <c r="B26" s="344">
        <v>20</v>
      </c>
      <c r="C26" s="343" t="inlineStr">
        <is>
          <t>VAN reproducible (USD)</t>
        </is>
      </c>
      <c r="D26" s="342" t="inlineStr">
        <is>
          <t>VNA(WACC; flujos años 1-10) + flujo año 0 − VAN-TIR!C24</t>
        </is>
      </c>
      <c r="E26" s="350">
        <f>ROUND(NPV('VAN-TIR'!C22,'VAN-TIR'!D15:M15)+'VAN-TIR'!C15-'VAN-TIR'!C24,2)</f>
        <v>0.0</v>
      </c>
      <c r="F26" s="344" t="inlineStr">
        <is>
          <t>0</t>
        </is>
      </c>
      <c r="G26" s="344" t="str">
        <f>IF(ABS(E26)&lt;1,"OK","REVISAR")</f>
        <v>OK</v>
      </c>
      <c r="H26" s="342" t="inlineStr">
        <is>
          <t>F2: la fórmula de VAN-TIR!C24 fue alterada; restituir =VNA(C22;D15:M15)+C15.</t>
        </is>
      </c>
      <c r="I26" s="342"/>
      <c r="J26" s="342"/>
      <c r="K26" s="342"/>
      <c r="L26" s="342"/>
      <c r="M26" s="342"/>
      <c r="N26" s="342"/>
      <c r="O26" s="342"/>
    </row>
    <row r="27" ht="30.4" customHeight="1">
      <c r="B27" s="344">
        <v>21</v>
      </c>
      <c r="C27" s="343" t="inlineStr">
        <is>
          <t>Payback del Dashboard calculado con fórmula</t>
        </is>
      </c>
      <c r="D27" s="342" t="inlineStr">
        <is>
          <t>¿Dashboard!C12 es fórmula y da un número?</t>
        </is>
      </c>
      <c r="E27" s="344" t="b">
        <f>AND(_xlfn.ISFORMULA('Dashboard'!C12),ISNUMBER('Dashboard'!C12))</f>
        <v>0</v>
      </c>
      <c r="F27" s="344" t="inlineStr">
        <is>
          <t>VERDADERO</t>
        </is>
      </c>
      <c r="G27" s="344" t="str">
        <f>IF(E27=TRUE,"OK","REVISAR")</f>
        <v>REVISAR</v>
      </c>
      <c r="H27" s="342" t="inlineStr">
        <is>
          <t>B7: hoy dice «4 Años» tipeado; vincular a Payback!C8.</t>
        </is>
      </c>
      <c r="I27" s="342"/>
      <c r="J27" s="342"/>
      <c r="K27" s="342"/>
      <c r="L27" s="342"/>
      <c r="M27" s="342"/>
      <c r="N27" s="342"/>
      <c r="O27" s="342"/>
    </row>
    <row r="28" ht="30.4" customHeight="1">
      <c r="B28" s="344">
        <v>22</v>
      </c>
      <c r="C28" s="343" t="inlineStr">
        <is>
          <t>Payback total descontado correctamente (USD)</t>
        </is>
      </c>
      <c r="D28" s="342" t="inlineStr">
        <is>
          <t>Payback!M12 − (VNA(Ke; VAN-TIR!D28:M28) + C28)</t>
        </is>
      </c>
      <c r="E28" s="350">
        <f>ROUND('Payback'!M12-(NPV('Supuestos'!B73,'VAN-TIR'!D28:M28)+'VAN-TIR'!C28),2)</f>
        <v>7774618.4</v>
      </c>
      <c r="F28" s="344" t="inlineStr">
        <is>
          <t>0</t>
        </is>
      </c>
      <c r="G28" s="344" t="str">
        <f>IF(ABS(E28)&lt;1,"OK","REVISAR")</f>
        <v>REVISAR</v>
      </c>
      <c r="H28" s="342" t="inlineStr">
        <is>
          <t>B6: corregir los exponentes de Payback!D11:M11 (^1 … ^10).</t>
        </is>
      </c>
      <c r="I28" s="342"/>
      <c r="J28" s="342"/>
      <c r="K28" s="342"/>
      <c r="L28" s="342"/>
      <c r="M28" s="342"/>
      <c r="N28" s="342"/>
      <c r="O28" s="342"/>
    </row>
    <row r="29" ht="30.4" customHeight="1">
      <c r="B29" s="344">
        <v>23</v>
      </c>
      <c r="C29" s="343" t="inlineStr">
        <is>
          <t>Dividendos no negativos (USD)</t>
        </is>
      </c>
      <c r="D29" s="342" t="inlineStr">
        <is>
          <t>Mínimo de Resultados!C18:L18, H30 e I31</t>
        </is>
      </c>
      <c r="E29" s="350">
        <f>ROUND(MIN(MIN('Resultados'!C18:L18),'Resultados'!H30,'Resultados'!I31),2)</f>
        <v>0.0</v>
      </c>
      <c r="F29" s="344" t="inlineStr">
        <is>
          <t>≥ 0</t>
        </is>
      </c>
      <c r="G29" s="344" t="str">
        <f>IF(E29&gt;=0,"OK","REVISAR")</f>
        <v>OK</v>
      </c>
      <c r="H29" s="342" t="inlineStr">
        <is>
          <t>E5: con utilidades menores a 500.000 (año 6) u 800.000 (año 7) el calendario fijo da negativo; la Gerencia lo presenta a la Dirección.</t>
        </is>
      </c>
      <c r="I29" s="342"/>
      <c r="J29" s="342"/>
      <c r="K29" s="342"/>
      <c r="L29" s="342"/>
      <c r="M29" s="342"/>
      <c r="N29" s="342"/>
      <c r="O29" s="342"/>
    </row>
    <row r="30" ht="30.4" customHeight="1">
      <c r="B30" s="344">
        <v>24</v>
      </c>
      <c r="C30" s="343" t="inlineStr">
        <is>
          <t>Plan original intacto</t>
        </is>
      </c>
      <c r="D30" s="342" t="inlineStr">
        <is>
          <t>Ej_Producción!P18, AE18; Ej_Ingresos!P34, AE34; Ej_Resultados!P13; Supuestos!E11</t>
        </is>
      </c>
      <c r="E30" s="344" t="b">
        <f>AND('Ej_Producción'!P18=11087,'Ej_Producción'!AE18=12587,'Ej_Ingresos'!P34=10820400,'Ej_Ingresos'!AE34=13591134,ROUND('Ej_Resultados'!P13,0)=841163,'Supuestos'!E11=0.05)</f>
        <v>1</v>
      </c>
      <c r="F30" s="344" t="inlineStr">
        <is>
          <t>VERDADERO</t>
        </is>
      </c>
      <c r="G30" s="344" t="str">
        <f>IF(E30=TRUE,"OK","REVISAR")</f>
        <v>OK</v>
      </c>
      <c r="H30" s="342" t="inlineStr">
        <is>
          <t>No escribir en columnas P/AE de las hojas Ej_ ni en la columna E de Supuestos; restaurar desde la copia.</t>
        </is>
      </c>
      <c r="I30" s="342"/>
      <c r="J30" s="342"/>
      <c r="K30" s="342"/>
      <c r="L30" s="342"/>
      <c r="M30" s="342"/>
      <c r="N30" s="342"/>
      <c r="O30" s="342"/>
    </row>
    <row r="31" ht="56.8" customHeight="1">
      <c r="B31" s="344">
        <v>25</v>
      </c>
      <c r="C31" s="343" t="inlineStr">
        <is>
          <t>Errores de fórmula en hojas de resultados (cantidad)</t>
        </is>
      </c>
      <c r="D31" s="342" t="inlineStr">
        <is>
          <t>Celdas con error (REF, DIV/0, VALOR, N/A) en Resultados, VAN-TIR, Payback, Dashboard, Capital Trabajo, Materia Prima y Costos</t>
        </is>
      </c>
      <c r="E31" s="350">
        <f>SUMPRODUCT(--ISERROR('Resultados'!C5:L22))+SUMPRODUCT(--ISERROR('VAN-TIR'!C5:M28))+SUMPRODUCT(--ISERROR('Payback'!C6:M12))+SUMPRODUCT(--ISERROR('Dashboard'!C6:L26))+SUMPRODUCT(--ISERROR('Capital Trabajo'!C6:L20))+SUMPRODUCT(--ISERROR('Materia Prima'!D6:M28))+SUMPRODUCT(--ISERROR('Costos'!D6:M38))</f>
        <v>0.0</v>
      </c>
      <c r="F31" s="344" t="inlineStr">
        <is>
          <t>0</t>
        </is>
      </c>
      <c r="G31" s="344" t="str">
        <f>IF(E31=0,"OK","REVISAR")</f>
        <v>OK</v>
      </c>
      <c r="H31" s="342" t="inlineStr">
        <is>
          <t>B5 (división por cero en Ej_Costos) o referencias borradas; usar Ctrl+B «#» en valores.</t>
        </is>
      </c>
      <c r="I31" s="342"/>
      <c r="J31" s="342"/>
      <c r="K31" s="342"/>
      <c r="L31" s="342"/>
      <c r="M31" s="342"/>
      <c r="N31" s="342"/>
      <c r="O31" s="342"/>
    </row>
    <row r="32" ht="43.6" customHeight="1">
      <c r="B32" s="344">
        <v>26</v>
      </c>
      <c r="C32" s="343" t="inlineStr">
        <is>
          <t>Egresos operativos 2028-2035 del flujo = Costos (USD)</t>
        </is>
      </c>
      <c r="D32" s="342" t="inlineStr">
        <is>
          <t>Ej_Flujo filas 13, 19, 21 y 22 (totales 2028-2035) − Costos!F:M filas 7-16 y 20-27</t>
        </is>
      </c>
      <c r="E32" s="350">
        <f>ROUND(('Ej_Flujo'!AO13+'Ej_Flujo'!AO19+'Ej_Flujo'!AO21+'Ej_Flujo'!AO22+'Ej_Flujo'!BB13+'Ej_Flujo'!BB19+'Ej_Flujo'!BB21+'Ej_Flujo'!BB22+'Ej_Flujo'!BO13+'Ej_Flujo'!BO19+'Ej_Flujo'!BO21+'Ej_Flujo'!BO22+'Ej_Flujo'!CB13+'Ej_Flujo'!CB19+'Ej_Flujo'!CB21+'Ej_Flujo'!CB22+'Ej_Flujo'!CO13+'Ej_Flujo'!CO19+'Ej_Flujo'!CO21+'Ej_Flujo'!CO22+'Ej_Flujo'!DB13+'Ej_Flujo'!DB19+'Ej_Flujo'!DB21+'Ej_Flujo'!DB22+'Ej_Flujo'!DO13+'Ej_Flujo'!DO19+'Ej_Flujo'!DO21+'Ej_Flujo'!DO22+'Ej_Flujo'!EB13+'Ej_Flujo'!EB19+'Ej_Flujo'!EB21+'Ej_Flujo'!EB22)-(SUM('Costos'!F7:M16)+SUM('Costos'!F20:M27)),2)</f>
        <v>-1617237.59</v>
      </c>
      <c r="F32" s="344" t="inlineStr">
        <is>
          <t>0</t>
        </is>
      </c>
      <c r="G32" s="344" t="str">
        <f>IF(ABS(E32)&lt;1,"OK","REVISAR")</f>
        <v>REVISAR</v>
      </c>
      <c r="H32" s="342" t="inlineStr">
        <is>
          <t>B8: vincular Ej_Flujo filas 13, 19, 21 y 22 de 2028-2035 a la hoja Costos (hoy son valores pegados).</t>
        </is>
      </c>
      <c r="I32" s="342"/>
      <c r="J32" s="342"/>
      <c r="K32" s="342"/>
      <c r="L32" s="342"/>
      <c r="M32" s="342"/>
      <c r="N32" s="342"/>
      <c r="O32" s="342"/>
    </row>
    <row r="34">
      <c r="C34" s="343" t="inlineStr">
        <is>
          <t>Resumen de controles</t>
        </is>
      </c>
      <c r="D34" s="343" t="str">
        <f>COUNTIF(G7:G32,"OK")&amp;" de "&amp;ROWS(G7:G32)&amp;" en OK"</f>
        <v>18 de 26 en OK</v>
      </c>
      <c r="E34" s="349" t="inlineStr">
        <is>
          <t>Con el libro tal como llegó (09/06/2026) hay 8 controles en REVISAR: el 9, 11, 12, 17, 21, 22 y 26 se corrigen en la fase B (verificado: después de B1-B8 quedan 25 de 26 en OK); el 13 (caja) se corrige en E3 y E5, y empeora con la fase B.</t>
        </is>
      </c>
      <c r="F34" s="349"/>
      <c r="G34" s="349"/>
      <c r="H34" s="349"/>
      <c r="I34" s="349"/>
      <c r="J34" s="349"/>
      <c r="K34" s="349"/>
      <c r="L34" s="349"/>
      <c r="M34" s="349"/>
      <c r="N34" s="349"/>
      <c r="O34" s="349"/>
    </row>
    <row r="36" ht="20" customHeight="1">
      <c r="B36" s="339" t="inlineStr">
        <is>
          <t>2. INDICADORES PARA EL POWERPOINT (tablas y textos)</t>
        </is>
      </c>
      <c r="C36" s="339"/>
      <c r="D36" s="339"/>
      <c r="E36" s="339"/>
      <c r="F36" s="339"/>
      <c r="G36" s="339"/>
      <c r="H36" s="339"/>
      <c r="I36" s="339"/>
      <c r="J36" s="339"/>
      <c r="K36" s="339"/>
      <c r="L36" s="339"/>
      <c r="M36" s="339"/>
      <c r="N36" s="339"/>
      <c r="O36" s="339"/>
    </row>
    <row r="37" ht="28" customHeight="1">
      <c r="B37" s="340" t="inlineStr">
        <is>
          <t>#</t>
        </is>
      </c>
      <c r="C37" s="340" t="inlineStr">
        <is>
          <t>Dato</t>
        </is>
      </c>
      <c r="D37" s="340" t="inlineStr">
        <is>
          <t>Celda o cálculo de origen</t>
        </is>
      </c>
      <c r="E37" s="340" t="inlineStr">
        <is>
          <t>Libro (vivo)</t>
        </is>
      </c>
      <c r="F37" s="340" t="inlineStr">
        <is>
          <t>PPT jun-2026</t>
        </is>
      </c>
      <c r="G37" s="340" t="inlineStr">
        <is>
          <t>Diferencia</t>
        </is>
      </c>
      <c r="H37" s="341" t="inlineStr">
        <is>
          <t>Diapositivas y observaciones</t>
        </is>
      </c>
      <c r="I37" s="341"/>
      <c r="J37" s="341"/>
      <c r="K37" s="341"/>
      <c r="L37" s="341"/>
      <c r="M37" s="341"/>
      <c r="N37" s="341"/>
      <c r="O37" s="341"/>
    </row>
    <row r="38" ht="17.2" customHeight="1">
      <c r="B38" s="344">
        <v>1</v>
      </c>
      <c r="C38" s="343" t="inlineStr">
        <is>
          <t>Inversión total (USD)</t>
        </is>
      </c>
      <c r="D38" s="342" t="inlineStr">
        <is>
          <t>Inversión!C7</t>
        </is>
      </c>
      <c r="E38" s="350">
        <f>'Inversión'!C7</f>
        <v>5074594</v>
      </c>
      <c r="F38" s="352">
        <v>5074594</v>
      </c>
      <c r="G38" s="350">
        <f>IF(ISNUMBER(E38),E38-F38,"")</f>
        <v>0</v>
      </c>
      <c r="H38" s="342" t="inlineStr">
        <is>
          <t>Diap. 3. Igual en plan y actualizado.</t>
        </is>
      </c>
      <c r="I38" s="342"/>
      <c r="J38" s="342"/>
      <c r="K38" s="342"/>
      <c r="L38" s="342"/>
      <c r="M38" s="342"/>
      <c r="N38" s="342"/>
      <c r="O38" s="342"/>
    </row>
    <row r="39" ht="17.2" customHeight="1">
      <c r="B39" s="344">
        <v>2</v>
      </c>
      <c r="C39" s="343" t="inlineStr">
        <is>
          <t>VAN con financiamiento (USD)</t>
        </is>
      </c>
      <c r="D39" s="342" t="inlineStr">
        <is>
          <t>VAN-TIR!C24</t>
        </is>
      </c>
      <c r="E39" s="350">
        <f>'VAN-TIR'!C24</f>
        <v>2844947.7596976636</v>
      </c>
      <c r="F39" s="352">
        <v>2844948</v>
      </c>
      <c r="G39" s="350">
        <f>IF(ISNUMBER(E39),E39-F39,"")</f>
        <v>-0.24030233640223742</v>
      </c>
      <c r="H39" s="342" t="inlineStr">
        <is>
          <t>Diap. 2, 3, 9 y 13.</t>
        </is>
      </c>
      <c r="I39" s="342"/>
      <c r="J39" s="342"/>
      <c r="K39" s="342"/>
      <c r="L39" s="342"/>
      <c r="M39" s="342"/>
      <c r="N39" s="342"/>
      <c r="O39" s="342"/>
    </row>
    <row r="40" ht="17.2" customHeight="1">
      <c r="B40" s="344">
        <v>3</v>
      </c>
      <c r="C40" s="343" t="inlineStr">
        <is>
          <t>TIR con financiamiento</t>
        </is>
      </c>
      <c r="D40" s="342" t="inlineStr">
        <is>
          <t>VAN-TIR!C23</t>
        </is>
      </c>
      <c r="E40" s="357">
        <f>'VAN-TIR'!C23</f>
        <v>0.1491544557454163</v>
      </c>
      <c r="F40" s="353">
        <v>0.149</v>
      </c>
      <c r="G40" s="357">
        <f>IF(ISNUMBER(E40),E40-F40,"")</f>
        <v>0.0001544557454163098</v>
      </c>
      <c r="H40" s="342" t="inlineStr">
        <is>
          <t>Diap. 2, 3, 9 y 13. Mostrar con 1 decimal (14,9%).</t>
        </is>
      </c>
      <c r="I40" s="342"/>
      <c r="J40" s="342"/>
      <c r="K40" s="342"/>
      <c r="L40" s="342"/>
      <c r="M40" s="342"/>
      <c r="N40" s="342"/>
      <c r="O40" s="342"/>
    </row>
    <row r="41" ht="17.2" customHeight="1">
      <c r="B41" s="344">
        <v>4</v>
      </c>
      <c r="C41" s="343" t="inlineStr">
        <is>
          <t>WACC</t>
        </is>
      </c>
      <c r="D41" s="342" t="inlineStr">
        <is>
          <t>VAN-TIR!C22</t>
        </is>
      </c>
      <c r="E41" s="357">
        <f>'VAN-TIR'!C22</f>
        <v>0.09874142837830967</v>
      </c>
      <c r="F41" s="353">
        <v>0.0987</v>
      </c>
      <c r="G41" s="357">
        <f>IF(ISNUMBER(E41),E41-F41,"")</f>
        <v>4.142837830967139e-05</v>
      </c>
      <c r="H41" s="342" t="inlineStr">
        <is>
          <t>Diap. 3, 9 y 13. No cambia si no cambia el financiamiento.</t>
        </is>
      </c>
      <c r="I41" s="342"/>
      <c r="J41" s="342"/>
      <c r="K41" s="342"/>
      <c r="L41" s="342"/>
      <c r="M41" s="342"/>
      <c r="N41" s="342"/>
      <c r="O41" s="342"/>
    </row>
    <row r="42" ht="17.2" customHeight="1">
      <c r="B42" s="344">
        <v>5</v>
      </c>
      <c r="C42" s="343" t="inlineStr">
        <is>
          <t>Spread TIR − WACC (puntos porcentuales)</t>
        </is>
      </c>
      <c r="D42" s="342" t="inlineStr">
        <is>
          <t>VAN-TIR!C23 − C22</t>
        </is>
      </c>
      <c r="E42" s="357">
        <f>'VAN-TIR'!C23-'VAN-TIR'!C22</f>
        <v>0.050413027367106636</v>
      </c>
      <c r="F42" s="353">
        <v>0.05</v>
      </c>
      <c r="G42" s="357">
        <f>IF(ISNUMBER(E42),E42-F42,"")</f>
        <v>0.0004130273671066331</v>
      </c>
      <c r="H42" s="342" t="inlineStr">
        <is>
          <t>Diap. 9 y 13 («5,0 pp»). Plan: 5,3 pp.</t>
        </is>
      </c>
      <c r="I42" s="342"/>
      <c r="J42" s="342"/>
      <c r="K42" s="342"/>
      <c r="L42" s="342"/>
      <c r="M42" s="342"/>
      <c r="N42" s="342"/>
      <c r="O42" s="342"/>
    </row>
    <row r="43" ht="17.2" customHeight="1">
      <c r="B43" s="344">
        <v>6</v>
      </c>
      <c r="C43" s="343" t="inlineStr">
        <is>
          <t>VAN actualizado − VAN plan (USD)</t>
        </is>
      </c>
      <c r="D43" s="342" t="inlineStr">
        <is>
          <t>VAN-TIR!C24 − VAN plan (sección 4)</t>
        </is>
      </c>
      <c r="E43" s="350">
        <f>'VAN-TIR'!C24-E103</f>
        <v>1419.7596976635978</v>
      </c>
      <c r="F43" s="352">
        <v>1400</v>
      </c>
      <c r="G43" s="350">
        <f>IF(ISNUMBER(E43),E43-F43,"")</f>
        <v>19.759697663597763</v>
      </c>
      <c r="H43" s="342" t="inlineStr">
        <is>
          <t>Diap. 9 («Mejora VAN +USD 1,4K»).</t>
        </is>
      </c>
      <c r="I43" s="342"/>
      <c r="J43" s="342"/>
      <c r="K43" s="342"/>
      <c r="L43" s="342"/>
      <c r="M43" s="342"/>
      <c r="N43" s="342"/>
      <c r="O43" s="342"/>
    </row>
    <row r="44" ht="17.2" customHeight="1">
      <c r="B44" s="344">
        <v>7</v>
      </c>
      <c r="C44" s="343" t="inlineStr">
        <is>
          <t>VAN actualizado vs plan (%)</t>
        </is>
      </c>
      <c r="D44" s="342" t="inlineStr">
        <is>
          <t>VAN-TIR!C24 / VAN plan − 1</t>
        </is>
      </c>
      <c r="E44" s="357">
        <f>'VAN-TIR'!C24/E103-1</f>
        <v>0.0004992951353612884</v>
      </c>
      <c r="F44" s="353">
        <v>0.0005</v>
      </c>
      <c r="G44" s="357">
        <f>IF(ISNUMBER(E44),E44-F44,"")</f>
        <v>-7.048646387115658e-07</v>
      </c>
      <c r="H44" s="342" t="inlineStr">
        <is>
          <t>Diap. 2, 3, 9 y 13 («+0,05%»).</t>
        </is>
      </c>
      <c r="I44" s="342"/>
      <c r="J44" s="342"/>
      <c r="K44" s="342"/>
      <c r="L44" s="342"/>
      <c r="M44" s="342"/>
      <c r="N44" s="342"/>
      <c r="O44" s="342"/>
    </row>
    <row r="45" ht="17.2" customHeight="1">
      <c r="B45" s="344">
        <v>8</v>
      </c>
      <c r="C45" s="343" t="inlineStr">
        <is>
          <t>TIR actualizada − TIR plan (pp)</t>
        </is>
      </c>
      <c r="D45" s="342" t="inlineStr">
        <is>
          <t>VAN-TIR!C23 − TIR plan (sección 4)</t>
        </is>
      </c>
      <c r="E45" s="357">
        <f>'VAN-TIR'!C23-E104</f>
        <v>-0.002745544254583704</v>
      </c>
      <c r="F45" s="353">
        <v>-0.0029</v>
      </c>
      <c r="G45" s="357">
        <f>IF(ISNUMBER(E45),E45-F45,"")</f>
        <v>0.00015445574541629592</v>
      </c>
      <c r="H45" s="342" t="inlineStr">
        <is>
          <t>Diap. 3, 9 y 13. Hoy −0,27 pp (el PPT dice −0,29).</t>
        </is>
      </c>
      <c r="I45" s="342"/>
      <c r="J45" s="342"/>
      <c r="K45" s="342"/>
      <c r="L45" s="342"/>
      <c r="M45" s="342"/>
      <c r="N45" s="342"/>
      <c r="O45" s="342"/>
    </row>
    <row r="46" ht="17.2" customHeight="1">
      <c r="B46" s="344">
        <v>9</v>
      </c>
      <c r="C46" s="343" t="inlineStr">
        <is>
          <t>Producción año 1 (Tn)</t>
        </is>
      </c>
      <c r="D46" s="342" t="inlineStr">
        <is>
          <t>Producción!D28</t>
        </is>
      </c>
      <c r="E46" s="350">
        <f>'Producción'!D28</f>
        <v>4315.166</v>
      </c>
      <c r="F46" s="352">
        <v>4315</v>
      </c>
      <c r="G46" s="350">
        <f>IF(ISNUMBER(E46),E46-F46,"")</f>
        <v>0.16600000000016735</v>
      </c>
      <c r="H46" s="342" t="inlineStr">
        <is>
          <t>Diap. 2 y 4. Es real hasta el corte + proyección: rotularlo así.</t>
        </is>
      </c>
      <c r="I46" s="342"/>
      <c r="J46" s="342"/>
      <c r="K46" s="342"/>
      <c r="L46" s="342"/>
      <c r="M46" s="342"/>
      <c r="N46" s="342"/>
      <c r="O46" s="342"/>
    </row>
    <row r="47" ht="17.2" customHeight="1">
      <c r="B47" s="344">
        <v>10</v>
      </c>
      <c r="C47" s="343" t="inlineStr">
        <is>
          <t>Producción año 1 / plan</t>
        </is>
      </c>
      <c r="D47" s="342" t="inlineStr">
        <is>
          <t>Ej_Producción!P33</t>
        </is>
      </c>
      <c r="E47" s="355">
        <f>'Ej_Producción'!P33</f>
        <v>0.3892095246685307</v>
      </c>
      <c r="F47" s="353">
        <v>0.39</v>
      </c>
      <c r="G47" s="357">
        <f>IF(ISNUMBER(E47),E47-F47,"")</f>
        <v>-0.0007904753314693092</v>
      </c>
      <c r="H47" s="342" t="inlineStr">
        <is>
          <t>Diap. 2 y 4 («39% del Plan»; la diap. 4 dice además «61% inferior al Plan» = 1 − este valor).</t>
        </is>
      </c>
      <c r="I47" s="342"/>
      <c r="J47" s="342"/>
      <c r="K47" s="342"/>
      <c r="L47" s="342"/>
      <c r="M47" s="342"/>
      <c r="N47" s="342"/>
      <c r="O47" s="342"/>
    </row>
    <row r="48" ht="17.2" customHeight="1">
      <c r="B48" s="344">
        <v>11</v>
      </c>
      <c r="C48" s="343" t="inlineStr">
        <is>
          <t>Utilidad neta año 1 (USD)</t>
        </is>
      </c>
      <c r="D48" s="342" t="inlineStr">
        <is>
          <t>Resultados!C14</t>
        </is>
      </c>
      <c r="E48" s="350">
        <f>'Resultados'!C14</f>
        <v>-334777.752861543</v>
      </c>
      <c r="F48" s="352">
        <v>-335000</v>
      </c>
      <c r="G48" s="350">
        <f>IF(ISNUMBER(E48),E48-F48,"")</f>
        <v>222.24713845702354</v>
      </c>
      <c r="H48" s="342" t="inlineStr">
        <is>
          <t>Diap. 7 y 13 («pérdida de USD 335K»).</t>
        </is>
      </c>
      <c r="I48" s="342"/>
      <c r="J48" s="342"/>
      <c r="K48" s="342"/>
      <c r="L48" s="342"/>
      <c r="M48" s="342"/>
      <c r="N48" s="342"/>
      <c r="O48" s="342"/>
    </row>
    <row r="49" ht="17.2" customHeight="1">
      <c r="B49" s="344">
        <v>12</v>
      </c>
      <c r="C49" s="343" t="inlineStr">
        <is>
          <t>Producción acumulada 10 años (Tn)</t>
        </is>
      </c>
      <c r="D49" s="342" t="inlineStr">
        <is>
          <t>SUMA(Producción!D28:M28)</t>
        </is>
      </c>
      <c r="E49" s="350">
        <f>SUM('Producción'!D28:M28)</f>
        <v>161292.166</v>
      </c>
      <c r="F49" s="352">
        <v>161000</v>
      </c>
      <c r="G49" s="350">
        <f>IF(ISNUMBER(E49),E49-F49,"")</f>
        <v>292.16599999999744</v>
      </c>
      <c r="H49" s="342" t="inlineStr">
        <is>
          <t>Diap. 3 y 4.</t>
        </is>
      </c>
      <c r="I49" s="342"/>
      <c r="J49" s="342"/>
      <c r="K49" s="342"/>
      <c r="L49" s="342"/>
      <c r="M49" s="342"/>
      <c r="N49" s="342"/>
      <c r="O49" s="342"/>
    </row>
    <row r="50" ht="30.4" customHeight="1">
      <c r="B50" s="344">
        <v>13</v>
      </c>
      <c r="C50" s="343" t="inlineStr">
        <is>
          <t>Producción acumulada vs plan</t>
        </is>
      </c>
      <c r="D50" s="342" t="inlineStr">
        <is>
          <t>Acumulado / rótulo plan del PPT (150K Tn) − 1</t>
        </is>
      </c>
      <c r="E50" s="355">
        <f>O81/E107-1</f>
        <v>0.07528110666666654</v>
      </c>
      <c r="F50" s="353">
        <v>0.07</v>
      </c>
      <c r="G50" s="357">
        <f>IF(ISNUMBER(E50),E50-F50,"")</f>
        <v>0.005281106666666535</v>
      </c>
      <c r="H50" s="342" t="inlineStr">
        <is>
          <t>Diap. 3, 4 y 13. Hoy +7,5% (el PPT dice +7%). Contra la suma de la serie plan del gráfico (149.875 Tn) daría +7,6%: ver sección 4.</t>
        </is>
      </c>
      <c r="I50" s="342"/>
      <c r="J50" s="342"/>
      <c r="K50" s="342"/>
      <c r="L50" s="342"/>
      <c r="M50" s="342"/>
      <c r="N50" s="342"/>
      <c r="O50" s="342"/>
    </row>
    <row r="51" ht="17.2" customHeight="1">
      <c r="B51" s="344">
        <v>14</v>
      </c>
      <c r="C51" s="343" t="inlineStr">
        <is>
          <t>Ingresos acumulados 10 años (USD)</t>
        </is>
      </c>
      <c r="D51" s="342" t="inlineStr">
        <is>
          <t>SUMA(Ingresos!D28:M28)</t>
        </is>
      </c>
      <c r="E51" s="350">
        <f>SUM('Ingresos'!D28:M28)</f>
        <v>215640953.40509626</v>
      </c>
      <c r="F51" s="352">
        <v>217000000</v>
      </c>
      <c r="G51" s="350">
        <f>IF(ISNUMBER(E51),E51-F51,"")</f>
        <v>-1359046.5949037373</v>
      </c>
      <c r="H51" s="342" t="inlineStr">
        <is>
          <t>Diap. 3 y 5. El PPT de junio dice 217M; el libro da 215,6M.</t>
        </is>
      </c>
      <c r="I51" s="342"/>
      <c r="J51" s="342"/>
      <c r="K51" s="342"/>
      <c r="L51" s="342"/>
      <c r="M51" s="342"/>
      <c r="N51" s="342"/>
      <c r="O51" s="342"/>
    </row>
    <row r="52" ht="30.4" customHeight="1">
      <c r="B52" s="344">
        <v>15</v>
      </c>
      <c r="C52" s="343" t="inlineStr">
        <is>
          <t>Ingresos acumulados vs plan</t>
        </is>
      </c>
      <c r="D52" s="342" t="inlineStr">
        <is>
          <t>Acumulado / rótulo plan del PPT (USD 180M) − 1</t>
        </is>
      </c>
      <c r="E52" s="355">
        <f>O84/E108-1</f>
        <v>0.19800529669497924</v>
      </c>
      <c r="F52" s="353">
        <v>0.21</v>
      </c>
      <c r="G52" s="357">
        <f>IF(ISNUMBER(E52),E52-F52,"")</f>
        <v>-0.011994703305020754</v>
      </c>
      <c r="H52" s="342" t="inlineStr">
        <is>
          <t>Diap. 3, 5, 9 y 13. Hoy +19,8% (el PPT dice +21%). Contra la serie plan del gráfico (179,2M) daría +20,3%.</t>
        </is>
      </c>
      <c r="I52" s="342"/>
      <c r="J52" s="342"/>
      <c r="K52" s="342"/>
      <c r="L52" s="342"/>
      <c r="M52" s="342"/>
      <c r="N52" s="342"/>
      <c r="O52" s="342"/>
    </row>
    <row r="53" ht="17.2" customHeight="1">
      <c r="B53" s="344">
        <v>16</v>
      </c>
      <c r="C53" s="343" t="inlineStr">
        <is>
          <t>EBITDA acumulado 10 años (USD)</t>
        </is>
      </c>
      <c r="D53" s="342" t="inlineStr">
        <is>
          <t>SUMA(Resultados!C9:L9)</t>
        </is>
      </c>
      <c r="E53" s="350">
        <f>SUM('Resultados'!C9:L9)</f>
        <v>25409763.624551408</v>
      </c>
      <c r="F53" s="352">
        <v>26400000</v>
      </c>
      <c r="G53" s="350">
        <f>IF(ISNUMBER(E53),E53-F53,"")</f>
        <v>-990236.375448592</v>
      </c>
      <c r="H53" s="342" t="inlineStr">
        <is>
          <t>Diap. 3, 7 y 13. El PPT de junio dice 26,4M; el libro da 25,4M.</t>
        </is>
      </c>
      <c r="I53" s="342"/>
      <c r="J53" s="342"/>
      <c r="K53" s="342"/>
      <c r="L53" s="342"/>
      <c r="M53" s="342"/>
      <c r="N53" s="342"/>
      <c r="O53" s="342"/>
    </row>
    <row r="54" ht="30.4" customHeight="1">
      <c r="B54" s="344">
        <v>17</v>
      </c>
      <c r="C54" s="343" t="inlineStr">
        <is>
          <t>EBITDA acumulado vs plan</t>
        </is>
      </c>
      <c r="D54" s="342" t="inlineStr">
        <is>
          <t>Acumulado / rótulo plan del PPT (USD 21,1M) − 1</t>
        </is>
      </c>
      <c r="E54" s="355">
        <f>O88/E109-1</f>
        <v>0.20425420021570662</v>
      </c>
      <c r="F54" s="353">
        <v>0.25</v>
      </c>
      <c r="G54" s="357">
        <f>IF(ISNUMBER(E54),E54-F54,"")</f>
        <v>-0.045745799784293384</v>
      </c>
      <c r="H54" s="342" t="inlineStr">
        <is>
          <t>Diap. 3, 7, 9 y 13. Hoy +20,4% (el PPT dice +25%). Contra la serie plan del gráfico (21,6M) daría +17,5%: ver sección 4.</t>
        </is>
      </c>
      <c r="I54" s="342"/>
      <c r="J54" s="342"/>
      <c r="K54" s="342"/>
      <c r="L54" s="342"/>
      <c r="M54" s="342"/>
      <c r="N54" s="342"/>
      <c r="O54" s="342"/>
    </row>
    <row r="55" ht="17.2" customHeight="1">
      <c r="B55" s="344">
        <v>18</v>
      </c>
      <c r="C55" s="343" t="inlineStr">
        <is>
          <t>Utilidad neta acumulada 10 años (USD)</t>
        </is>
      </c>
      <c r="D55" s="342" t="inlineStr">
        <is>
          <t>SUMA(Resultados!C14:L14)</t>
        </is>
      </c>
      <c r="E55" s="350">
        <f>SUM('Resultados'!C14:L14)</f>
        <v>18029154.14481669</v>
      </c>
      <c r="F55" s="352">
        <v>19600000</v>
      </c>
      <c r="G55" s="350">
        <f>IF(ISNUMBER(E55),E55-F55,"")</f>
        <v>-1570845.8551833108</v>
      </c>
      <c r="H55" s="342" t="inlineStr">
        <is>
          <t>Diap. 3. El PPT de junio dice 19,6M; el libro da 18,0M.</t>
        </is>
      </c>
      <c r="I55" s="342"/>
      <c r="J55" s="342"/>
      <c r="K55" s="342"/>
      <c r="L55" s="342"/>
      <c r="M55" s="342"/>
      <c r="N55" s="342"/>
      <c r="O55" s="342"/>
    </row>
    <row r="56" ht="30.4" customHeight="1">
      <c r="B56" s="344">
        <v>19</v>
      </c>
      <c r="C56" s="343" t="inlineStr">
        <is>
          <t>Utilidad neta acumulada vs plan (base 17,8M)</t>
        </is>
      </c>
      <c r="D56" s="342" t="inlineStr">
        <is>
          <t>Acumulado / 17,8M − 1</t>
        </is>
      </c>
      <c r="E56" s="355">
        <f>O90/E110-1</f>
        <v>0.012873828360488115</v>
      </c>
      <c r="F56" s="353">
        <v>0.1</v>
      </c>
      <c r="G56" s="357">
        <f>IF(ISNUMBER(E56),E56-F56,"")</f>
        <v>-0.08712617163951189</v>
      </c>
      <c r="H56" s="342" t="inlineStr">
        <is>
          <t>Diap. 3. Hoy +1,3% (el PPT dice +10%). No hay serie anual del plan.</t>
        </is>
      </c>
      <c r="I56" s="342"/>
      <c r="J56" s="342"/>
      <c r="K56" s="342"/>
      <c r="L56" s="342"/>
      <c r="M56" s="342"/>
      <c r="N56" s="342"/>
      <c r="O56" s="342"/>
    </row>
    <row r="57" ht="17.2" customHeight="1">
      <c r="B57" s="344">
        <v>20</v>
      </c>
      <c r="C57" s="343" t="inlineStr">
        <is>
          <t>Materia prima acumulada 10 años (USD)</t>
        </is>
      </c>
      <c r="D57" s="342" t="inlineStr">
        <is>
          <t>SUMA(Costos!D6:M6)</t>
        </is>
      </c>
      <c r="E57" s="350">
        <f>SUM('Costos'!D6:M6)</f>
        <v>181094065.8413827</v>
      </c>
      <c r="F57" s="352">
        <v>183000000</v>
      </c>
      <c r="G57" s="350">
        <f>IF(ISNUMBER(E57),E57-F57,"")</f>
        <v>-1905934.1586172879</v>
      </c>
      <c r="H57" s="342" t="inlineStr">
        <is>
          <t>Diap. 6. El PPT dice 183M; el libro da 181,1M.</t>
        </is>
      </c>
      <c r="I57" s="342"/>
      <c r="J57" s="342"/>
      <c r="K57" s="342"/>
      <c r="L57" s="342"/>
      <c r="M57" s="342"/>
      <c r="N57" s="342"/>
      <c r="O57" s="342"/>
    </row>
    <row r="58" ht="17.2" customHeight="1">
      <c r="B58" s="344">
        <v>21</v>
      </c>
      <c r="C58" s="343" t="inlineStr">
        <is>
          <t>Materia prima año 2 (USD)</t>
        </is>
      </c>
      <c r="D58" s="342" t="inlineStr">
        <is>
          <t>Costos!E6</t>
        </is>
      </c>
      <c r="E58" s="350">
        <f>'Costos'!E6</f>
        <v>14101733.588170895</v>
      </c>
      <c r="F58" s="352">
        <v>14100000</v>
      </c>
      <c r="G58" s="350">
        <f>IF(ISNUMBER(E58),E58-F58,"")</f>
        <v>1733.588170895353</v>
      </c>
      <c r="H58" s="342" t="inlineStr">
        <is>
          <t>Diap. 6 («14,1M»). Plan año 2 = Ej_Costos!AE22 (11,1M).</t>
        </is>
      </c>
      <c r="I58" s="342"/>
      <c r="J58" s="342"/>
      <c r="K58" s="342"/>
      <c r="L58" s="342"/>
      <c r="M58" s="342"/>
      <c r="N58" s="342"/>
      <c r="O58" s="342"/>
    </row>
    <row r="59" ht="30.4" customHeight="1">
      <c r="B59" s="344">
        <v>22</v>
      </c>
      <c r="C59" s="343" t="inlineStr">
        <is>
          <t>Materia prima / costo de producción año 2</t>
        </is>
      </c>
      <c r="D59" s="342" t="inlineStr">
        <is>
          <t>Costos!E6 / Costos!E17</t>
        </is>
      </c>
      <c r="E59" s="355">
        <f>'Costos'!E6/'Costos'!E17</f>
        <v>0.9613831886330262</v>
      </c>
      <c r="F59" s="353">
        <v>0.961</v>
      </c>
      <c r="G59" s="357">
        <f>IF(ISNUMBER(E59),E59-F59,"")</f>
        <v>0.0003831886330262213</v>
      </c>
      <c r="H59" s="342" t="inlineStr">
        <is>
          <t>Diap. 6 (tabla «96.1%» y texto «&gt;96% de los costos variables»), 11 y 13 («&gt;96% de costos variables»). Plan en el libro: Ej_Costos!AE22/AE44 = 96,45% (el PPT dice 95,3%).</t>
        </is>
      </c>
      <c r="I59" s="342"/>
      <c r="J59" s="342"/>
      <c r="K59" s="342"/>
      <c r="L59" s="342"/>
      <c r="M59" s="342"/>
      <c r="N59" s="342"/>
      <c r="O59" s="342"/>
    </row>
    <row r="60" ht="17.2" customHeight="1">
      <c r="B60" s="344">
        <v>23</v>
      </c>
      <c r="C60" s="343" t="inlineStr">
        <is>
          <t>Desvío costo MP/Tn año 2 vs plan — mínimo</t>
        </is>
      </c>
      <c r="D60" s="342" t="inlineStr">
        <is>
          <t>MÍN(Ej_Costos!AF9:AF11; AF13:AF19)</t>
        </is>
      </c>
      <c r="E60" s="355">
        <f>MIN('Ej_Costos'!AF9:AF11,'Ej_Costos'!AF13:AF19)</f>
        <v>0.026610462000214583</v>
      </c>
      <c r="F60" s="353">
        <v>0.06</v>
      </c>
      <c r="G60" s="357">
        <f>IF(ISNUMBER(E60),E60-F60,"")</f>
        <v>-0.03338953799978542</v>
      </c>
      <c r="H60" s="342" t="inlineStr">
        <is>
          <t>Diap. 2, 6, 11 y 13 («6-16%»). Hoy 2,7% (Accesorios); sin Accesorios 5,9%.</t>
        </is>
      </c>
      <c r="I60" s="342"/>
      <c r="J60" s="342"/>
      <c r="K60" s="342"/>
      <c r="L60" s="342"/>
      <c r="M60" s="342"/>
      <c r="N60" s="342"/>
      <c r="O60" s="342"/>
    </row>
    <row r="61" ht="17.2" customHeight="1">
      <c r="B61" s="344">
        <v>24</v>
      </c>
      <c r="C61" s="343" t="inlineStr">
        <is>
          <t>Desvío costo MP/Tn año 2 vs plan — máximo</t>
        </is>
      </c>
      <c r="D61" s="342" t="inlineStr">
        <is>
          <t>MÁX(Ej_Costos!AF9:AF11; AF13:AF19)</t>
        </is>
      </c>
      <c r="E61" s="355">
        <f>MAX('Ej_Costos'!AF9:AF11,'Ej_Costos'!AF13:AF19)</f>
        <v>0.15778067896859566</v>
      </c>
      <c r="F61" s="353">
        <v>0.16</v>
      </c>
      <c r="G61" s="357">
        <f>IF(ISNUMBER(E61),E61-F61,"")</f>
        <v>-0.0022193210314043477</v>
      </c>
      <c r="H61" s="342" t="inlineStr">
        <is>
          <t>Idem. El producto 4 (AF12) no tiene plan.</t>
        </is>
      </c>
      <c r="I61" s="342"/>
      <c r="J61" s="342"/>
      <c r="K61" s="342"/>
      <c r="L61" s="342"/>
      <c r="M61" s="342"/>
      <c r="N61" s="342"/>
      <c r="O61" s="342"/>
    </row>
    <row r="62" ht="17.2" customHeight="1">
      <c r="B62" s="344">
        <v>25</v>
      </c>
      <c r="C62" s="343" t="inlineStr">
        <is>
          <t>Precio promedio año 2 (USD/Tn)</t>
        </is>
      </c>
      <c r="D62" s="342" t="inlineStr">
        <is>
          <t>Ingresos!E29</t>
        </is>
      </c>
      <c r="E62" s="350">
        <f>'Ingresos'!E29</f>
        <v>1219.2023182297155</v>
      </c>
      <c r="F62" s="352">
        <v>1219</v>
      </c>
      <c r="G62" s="350">
        <f>IF(ISNUMBER(E62),E62-F62,"")</f>
        <v>0.20231822971550173</v>
      </c>
      <c r="H62" s="342" t="inlineStr">
        <is>
          <t>Diap. 5.</t>
        </is>
      </c>
      <c r="I62" s="342"/>
      <c r="J62" s="342"/>
      <c r="K62" s="342"/>
      <c r="L62" s="342"/>
      <c r="M62" s="342"/>
      <c r="N62" s="342"/>
      <c r="O62" s="342"/>
    </row>
    <row r="63" ht="17.2" customHeight="1">
      <c r="B63" s="344">
        <v>26</v>
      </c>
      <c r="C63" s="343" t="inlineStr">
        <is>
          <t>Precio promedio plan año 2 (USD/Tn)</t>
        </is>
      </c>
      <c r="D63" s="342" t="inlineStr">
        <is>
          <t>Ej_Ingresos!AE34 / Ej_Producción!AE48</t>
        </is>
      </c>
      <c r="E63" s="350">
        <f>'Ej_Ingresos'!AE34/'Ej_Producción'!AE48</f>
        <v>1096.3244333306445</v>
      </c>
      <c r="F63" s="352">
        <v>1096</v>
      </c>
      <c r="G63" s="350">
        <f>IF(ISNUMBER(E63),E63-F63,"")</f>
        <v>0.3244333306445242</v>
      </c>
      <c r="H63" s="342" t="inlineStr">
        <is>
          <t>Diap. 5. Es plan: no debería cambiar.</t>
        </is>
      </c>
      <c r="I63" s="342"/>
      <c r="J63" s="342"/>
      <c r="K63" s="342"/>
      <c r="L63" s="342"/>
      <c r="M63" s="342"/>
      <c r="N63" s="342"/>
      <c r="O63" s="342"/>
    </row>
    <row r="64" ht="30.4" customHeight="1">
      <c r="B64" s="344">
        <v>27</v>
      </c>
      <c r="C64" s="343" t="inlineStr">
        <is>
          <t>Precio Accesorios Metálicos año 2 (USD/Tn)</t>
        </is>
      </c>
      <c r="D64" s="342" t="inlineStr">
        <is>
          <t>Ingresos!E26</t>
        </is>
      </c>
      <c r="E64" s="350">
        <f>'Ingresos'!E26</f>
        <v>5202</v>
      </c>
      <c r="F64" s="352">
        <v>5202</v>
      </c>
      <c r="G64" s="350">
        <f>IF(ISNUMBER(E64),E64-F64,"")</f>
        <v>0</v>
      </c>
      <c r="H64" s="342" t="inlineStr">
        <is>
          <t>Diap. 5.</t>
        </is>
      </c>
      <c r="I64" s="342"/>
      <c r="J64" s="342"/>
      <c r="K64" s="342"/>
      <c r="L64" s="342"/>
      <c r="M64" s="342"/>
      <c r="N64" s="342"/>
      <c r="O64" s="342"/>
    </row>
    <row r="65" ht="17.2" customHeight="1">
      <c r="B65" s="344">
        <v>28</v>
      </c>
      <c r="C65" s="343" t="inlineStr">
        <is>
          <t>Capital de trabajo neto año 1 (USD)</t>
        </is>
      </c>
      <c r="D65" s="342" t="inlineStr">
        <is>
          <t>Capital Trabajo!C18</t>
        </is>
      </c>
      <c r="E65" s="350">
        <f>'Capital Trabajo'!C18</f>
        <v>1541094.4312681279</v>
      </c>
      <c r="F65" s="352">
        <v>1540000</v>
      </c>
      <c r="G65" s="350">
        <f>IF(ISNUMBER(E65),E65-F65,"")</f>
        <v>1094.431268127868</v>
      </c>
      <c r="H65" s="342" t="inlineStr">
        <is>
          <t>Diap. 8.</t>
        </is>
      </c>
      <c r="I65" s="342"/>
      <c r="J65" s="342"/>
      <c r="K65" s="342"/>
      <c r="L65" s="342"/>
      <c r="M65" s="342"/>
      <c r="N65" s="342"/>
      <c r="O65" s="342"/>
    </row>
    <row r="66" ht="17.2" customHeight="1">
      <c r="B66" s="344">
        <v>29</v>
      </c>
      <c r="C66" s="343" t="inlineStr">
        <is>
          <t>Capital de trabajo neto año 2 (USD)</t>
        </is>
      </c>
      <c r="D66" s="342" t="inlineStr">
        <is>
          <t>Capital Trabajo!D18</t>
        </is>
      </c>
      <c r="E66" s="350">
        <f>'Capital Trabajo'!D18</f>
        <v>6115600.303155011</v>
      </c>
      <c r="F66" s="352">
        <v>6120000</v>
      </c>
      <c r="G66" s="350">
        <f>IF(ISNUMBER(E66),E66-F66,"")</f>
        <v>-4399.696844989434</v>
      </c>
      <c r="H66" s="342" t="inlineStr">
        <is>
          <t>Diap. 8.</t>
        </is>
      </c>
      <c r="I66" s="342"/>
      <c r="J66" s="342"/>
      <c r="K66" s="342"/>
      <c r="L66" s="342"/>
      <c r="M66" s="342"/>
      <c r="N66" s="342"/>
      <c r="O66" s="342"/>
    </row>
    <row r="67" ht="17.2" customHeight="1">
      <c r="B67" s="344">
        <v>30</v>
      </c>
      <c r="C67" s="343" t="inlineStr">
        <is>
          <t>Capital de trabajo neto año 10 (USD)</t>
        </is>
      </c>
      <c r="D67" s="342" t="inlineStr">
        <is>
          <t>Capital Trabajo!L18</t>
        </is>
      </c>
      <c r="E67" s="350">
        <f>'Capital Trabajo'!L18</f>
        <v>10928040.580366578</v>
      </c>
      <c r="F67" s="352">
        <v>10930000</v>
      </c>
      <c r="G67" s="350">
        <f>IF(ISNUMBER(E67),E67-F67,"")</f>
        <v>-1959.419633422047</v>
      </c>
      <c r="H67" s="342" t="inlineStr">
        <is>
          <t>Diap. 8.</t>
        </is>
      </c>
      <c r="I67" s="342"/>
      <c r="J67" s="342"/>
      <c r="K67" s="342"/>
      <c r="L67" s="342"/>
      <c r="M67" s="342"/>
      <c r="N67" s="342"/>
      <c r="O67" s="342"/>
    </row>
    <row r="68" ht="17.2" customHeight="1">
      <c r="B68" s="344">
        <v>31</v>
      </c>
      <c r="C68" s="343" t="inlineStr">
        <is>
          <t>Ventas a crédito año 2 (USD)</t>
        </is>
      </c>
      <c r="D68" s="342" t="inlineStr">
        <is>
          <t>Capital Trabajo!D9</t>
        </is>
      </c>
      <c r="E68" s="350">
        <f>'Capital Trabajo'!D9</f>
        <v>4279400.136986301</v>
      </c>
      <c r="F68" s="352">
        <v>4280000</v>
      </c>
      <c r="G68" s="350">
        <f>IF(ISNUMBER(E68),E68-F68,"")</f>
        <v>-599.8630136987194</v>
      </c>
      <c r="H68" s="342" t="inlineStr">
        <is>
          <t>Diap. 8 y 13 («USD 4-7M adicionales»).</t>
        </is>
      </c>
      <c r="I68" s="342"/>
      <c r="J68" s="342"/>
      <c r="K68" s="342"/>
      <c r="L68" s="342"/>
      <c r="M68" s="342"/>
      <c r="N68" s="342"/>
      <c r="O68" s="342"/>
    </row>
    <row r="69" ht="17.2" customHeight="1">
      <c r="B69" s="344">
        <v>32</v>
      </c>
      <c r="C69" s="343" t="inlineStr">
        <is>
          <t>Cuentas por cobrar año 10 (USD)</t>
        </is>
      </c>
      <c r="D69" s="342" t="inlineStr">
        <is>
          <t>Capital Trabajo!L9</t>
        </is>
      </c>
      <c r="E69" s="350">
        <f>'Capital Trabajo'!L9</f>
        <v>7509783.1482635895</v>
      </c>
      <c r="F69" s="352">
        <v>7500000</v>
      </c>
      <c r="G69" s="350">
        <f>IF(ISNUMBER(E69),E69-F69,"")</f>
        <v>9783.148263589479</v>
      </c>
      <c r="H69" s="342" t="inlineStr">
        <is>
          <t>Diap. 8 y 13.</t>
        </is>
      </c>
      <c r="I69" s="342"/>
      <c r="J69" s="342"/>
      <c r="K69" s="342"/>
      <c r="L69" s="342"/>
      <c r="M69" s="342"/>
      <c r="N69" s="342"/>
      <c r="O69" s="342"/>
    </row>
    <row r="70" ht="30.4" customHeight="1">
      <c r="B70" s="344">
        <v>33</v>
      </c>
      <c r="C70" s="343" t="inlineStr">
        <is>
          <t>Préstamos CP por año, años 2-10 — mínimo (USD)</t>
        </is>
      </c>
      <c r="D70" s="342" t="inlineStr">
        <is>
          <t>MÍN de la serie «Préstamos CP» (sección 3)</t>
        </is>
      </c>
      <c r="E70" s="350">
        <f>MIN(F95:N95)</f>
        <v>4000000</v>
      </c>
      <c r="F70" s="352">
        <v>5000000</v>
      </c>
      <c r="G70" s="350">
        <f>IF(ISNUMBER(E70),E70-F70,"")</f>
        <v>-1000000</v>
      </c>
      <c r="H70" s="342" t="inlineStr">
        <is>
          <t>Diap. 8 («USD 5-11.9M/año»), 11 y 13 («USD 5-12M/año»); el máximo también va en la diap. 2 («hasta USD 11.9M/año»). Hoy el año 7 es 4,0M.</t>
        </is>
      </c>
      <c r="I70" s="342"/>
      <c r="J70" s="342"/>
      <c r="K70" s="342"/>
      <c r="L70" s="342"/>
      <c r="M70" s="342"/>
      <c r="N70" s="342"/>
      <c r="O70" s="342"/>
    </row>
    <row r="71" ht="30.4" customHeight="1">
      <c r="B71" s="344">
        <v>34</v>
      </c>
      <c r="C71" s="343" t="inlineStr">
        <is>
          <t>Préstamos CP por año, años 2-10 — máximo (USD)</t>
        </is>
      </c>
      <c r="D71" s="342" t="inlineStr">
        <is>
          <t>MÁX de la serie «Préstamos CP» (sección 3)</t>
        </is>
      </c>
      <c r="E71" s="350">
        <f>MAX(F95:N95)</f>
        <v>11900000</v>
      </c>
      <c r="F71" s="352">
        <v>11900000</v>
      </c>
      <c r="G71" s="350">
        <f>IF(ISNUMBER(E71),E71-F71,"")</f>
        <v>0</v>
      </c>
      <c r="H71" s="342" t="inlineStr">
        <is>
          <t>Idem.</t>
        </is>
      </c>
      <c r="I71" s="342"/>
      <c r="J71" s="342"/>
      <c r="K71" s="342"/>
      <c r="L71" s="342"/>
      <c r="M71" s="342"/>
      <c r="N71" s="342"/>
      <c r="O71" s="342"/>
    </row>
    <row r="72" ht="30.4" customHeight="1">
      <c r="B72" s="344">
        <v>35</v>
      </c>
      <c r="C72" s="343" t="inlineStr">
        <is>
          <t>Margen de seguridad años 2-10 — mínimo</t>
        </is>
      </c>
      <c r="D72" s="342" t="inlineStr">
        <is>
          <t>MÍN de la serie «Margen de seguridad» (sección 3)</t>
        </is>
      </c>
      <c r="E72" s="355">
        <f>MIN(F94:N94)</f>
        <v>0.5039954967106854</v>
      </c>
      <c r="F72" s="353">
        <v>0.52</v>
      </c>
      <c r="G72" s="357">
        <f>IF(ISNUMBER(E72),E72-F72,"")</f>
        <v>-0.016004503289314576</v>
      </c>
      <c r="H72" s="342" t="inlineStr">
        <is>
          <t>Diap. 10 («52-69%»). Hoy el año 3 da 50,4%.</t>
        </is>
      </c>
      <c r="I72" s="342"/>
      <c r="J72" s="342"/>
      <c r="K72" s="342"/>
      <c r="L72" s="342"/>
      <c r="M72" s="342"/>
      <c r="N72" s="342"/>
      <c r="O72" s="342"/>
    </row>
    <row r="73" ht="30.4" customHeight="1">
      <c r="B73" s="344">
        <v>36</v>
      </c>
      <c r="C73" s="343" t="inlineStr">
        <is>
          <t>Margen de seguridad años 2-10 — máximo</t>
        </is>
      </c>
      <c r="D73" s="342" t="inlineStr">
        <is>
          <t>MÁX de la serie «Margen de seguridad» (sección 3)</t>
        </is>
      </c>
      <c r="E73" s="355">
        <f>MAX(F94:N94)</f>
        <v>0.6931320917474184</v>
      </c>
      <c r="F73" s="353">
        <v>0.69</v>
      </c>
      <c r="G73" s="357">
        <f>IF(ISNUMBER(E73),E73-F73,"")</f>
        <v>0.003132091747418464</v>
      </c>
      <c r="H73" s="342" t="inlineStr">
        <is>
          <t>Idem.</t>
        </is>
      </c>
      <c r="I73" s="342"/>
      <c r="J73" s="342"/>
      <c r="K73" s="342"/>
      <c r="L73" s="342"/>
      <c r="M73" s="342"/>
      <c r="N73" s="342"/>
      <c r="O73" s="342"/>
    </row>
    <row r="74" ht="30.4" customHeight="1">
      <c r="B74" s="344">
        <v>37</v>
      </c>
      <c r="C74" s="343" t="inlineStr">
        <is>
          <t>Concentración Slitter DW 0,43/0,48 (año 2, % de Tn)</t>
        </is>
      </c>
      <c r="D74" s="342" t="inlineStr">
        <is>
          <t>Producción!E8 / Producción!E28</t>
        </is>
      </c>
      <c r="E74" s="355">
        <f>'Producción'!E8/'Producción'!E28</f>
        <v>0.3350895679662803</v>
      </c>
      <c r="F74" s="353">
        <v>0.33</v>
      </c>
      <c r="G74" s="357">
        <f>IF(ISNUMBER(E74),E74-F74,"")</f>
        <v>0.005089567966280295</v>
      </c>
      <c r="H74" s="342" t="inlineStr">
        <is>
          <t>Diap. 11.</t>
        </is>
      </c>
      <c r="I74" s="342"/>
      <c r="J74" s="342"/>
      <c r="K74" s="342"/>
      <c r="L74" s="342"/>
      <c r="M74" s="342"/>
      <c r="N74" s="342"/>
      <c r="O74" s="342"/>
    </row>
    <row r="75" ht="30.4" customHeight="1">
      <c r="B75" s="344">
        <v>38</v>
      </c>
      <c r="C75" s="343" t="inlineStr">
        <is>
          <t>Payback inversión propia (años, calculado)</t>
        </is>
      </c>
      <c r="D75" s="342" t="inlineStr">
        <is>
          <t>Payback filas 6-7 (dividendos descontados a Ke)</t>
        </is>
      </c>
      <c r="E75" s="358">
        <f>IFERROR(COUNTIF('Payback'!D7:M7,"&lt;0")+(-INDEX('Payback'!C7:M7,COUNTIF('Payback'!C7:M7,"&lt;0")))/INDEX('Payback'!C6:M6,COUNTIF('Payback'!C7:M7,"&lt;0")+1),"No recupera en 10 años")</f>
        <v>6.3809271306571045</v>
      </c>
      <c r="F75" s="352">
        <v>6</v>
      </c>
      <c r="G75" s="358">
        <f>IF(ISNUMBER(E75),E75-F75,"")</f>
        <v>0.3809271306571045</v>
      </c>
      <c r="H75" s="342" t="inlineStr">
        <is>
          <t>Diap. 9 («Actual: 6 Años»). Se recupera durante el año 7 (6,4 años).</t>
        </is>
      </c>
      <c r="I75" s="342"/>
      <c r="J75" s="342"/>
      <c r="K75" s="342"/>
      <c r="L75" s="342"/>
      <c r="M75" s="342"/>
      <c r="N75" s="342"/>
      <c r="O75" s="342"/>
    </row>
    <row r="76" ht="30.4" customHeight="1">
      <c r="B76" s="344">
        <v>39</v>
      </c>
      <c r="C76" s="343" t="inlineStr">
        <is>
          <t>Payback inversión total (años, calculado)</t>
        </is>
      </c>
      <c r="D76" s="342" t="inlineStr">
        <is>
          <t>Payback filas 11-12 (flujo sin financiamiento a Ke)</t>
        </is>
      </c>
      <c r="E76" s="358">
        <f>IFERROR(COUNTIF('Payback'!D12:M12,"&lt;0")+(-INDEX('Payback'!C12:M12,COUNTIF('Payback'!C12:M12,"&lt;0")))/INDEX('Payback'!C11:M11,COUNTIF('Payback'!C12:M12,"&lt;0")+1),"No recupera en 10 años")</f>
        <v>5.02442781532552</v>
      </c>
      <c r="F76" s="342"/>
      <c r="G76" s="342"/>
      <c r="H76" s="342" t="inlineStr">
        <is>
          <t>No está en el PPT. Hoy 5,0 por el error de exponentes; corregido (paso B6) ≈ 8,1.</t>
        </is>
      </c>
      <c r="I76" s="342"/>
      <c r="J76" s="342"/>
      <c r="K76" s="342"/>
      <c r="L76" s="342"/>
      <c r="M76" s="342"/>
      <c r="N76" s="342"/>
      <c r="O76" s="342"/>
    </row>
    <row r="77" ht="17.2" customHeight="1">
      <c r="B77" s="344">
        <v>40</v>
      </c>
      <c r="C77" s="343" t="inlineStr">
        <is>
          <t>Payback tipeado en el Dashboard</t>
        </is>
      </c>
      <c r="D77" s="342" t="inlineStr">
        <is>
          <t>Dashboard!C12 (texto)</t>
        </is>
      </c>
      <c r="E77" s="344" t="str">
        <f>'Dashboard'!C12</f>
        <v>4 Años</v>
      </c>
      <c r="F77" s="342"/>
      <c r="G77" s="342"/>
      <c r="H77" s="342" t="inlineStr">
        <is>
          <t>Hoy «4 Años» en INFORME2 («6 Años» en ORIGINAL). Reemplazar por fórmula (paso B7).</t>
        </is>
      </c>
      <c r="I77" s="342"/>
      <c r="J77" s="342"/>
      <c r="K77" s="342"/>
      <c r="L77" s="342"/>
      <c r="M77" s="342"/>
      <c r="N77" s="342"/>
      <c r="O77" s="342"/>
    </row>
    <row r="79" ht="20" customHeight="1">
      <c r="B79" s="339" t="inlineStr">
        <is>
          <t>3. SERIES ANUALES PARA LOS GRÁFICOS (copiar E:N de la fila «Actualizado»; en el PPT: Editar datos &gt; primera celda de la serie &gt; Pegado especial &gt; Valores + Transponer; ver paso G1)</t>
        </is>
      </c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39"/>
    </row>
    <row r="80" ht="28" customHeight="1">
      <c r="B80" s="340" t="inlineStr">
        <is>
          <t>#</t>
        </is>
      </c>
      <c r="C80" s="340" t="inlineStr">
        <is>
          <t>Serie</t>
        </is>
      </c>
      <c r="D80" s="340" t="inlineStr">
        <is>
          <t>Origen</t>
        </is>
      </c>
      <c r="E80" s="340" t="inlineStr">
        <is>
          <t xml:space="preserve">Año 1
2026</t>
        </is>
      </c>
      <c r="F80" s="340" t="inlineStr">
        <is>
          <t xml:space="preserve">Año 2
2027</t>
        </is>
      </c>
      <c r="G80" s="340" t="inlineStr">
        <is>
          <t xml:space="preserve">Año 3
2028</t>
        </is>
      </c>
      <c r="H80" s="340" t="inlineStr">
        <is>
          <t xml:space="preserve">Año 4
2029</t>
        </is>
      </c>
      <c r="I80" s="340" t="inlineStr">
        <is>
          <t xml:space="preserve">Año 5
2030</t>
        </is>
      </c>
      <c r="J80" s="340" t="inlineStr">
        <is>
          <t xml:space="preserve">Año 6
2031</t>
        </is>
      </c>
      <c r="K80" s="340" t="inlineStr">
        <is>
          <t xml:space="preserve">Año 7
2032</t>
        </is>
      </c>
      <c r="L80" s="340" t="inlineStr">
        <is>
          <t xml:space="preserve">Año 8
2033</t>
        </is>
      </c>
      <c r="M80" s="340" t="inlineStr">
        <is>
          <t xml:space="preserve">Año 9
2034</t>
        </is>
      </c>
      <c r="N80" s="340" t="inlineStr">
        <is>
          <t xml:space="preserve">Año 10
2035</t>
        </is>
      </c>
      <c r="O80" s="340" t="inlineStr">
        <is>
          <t>Total 10 años</t>
        </is>
      </c>
    </row>
    <row r="81" ht="17.2" customHeight="1">
      <c r="B81" s="344">
        <v>1</v>
      </c>
      <c r="C81" s="343" t="inlineStr">
        <is>
          <t>Producción (Tn) — Actualizado</t>
        </is>
      </c>
      <c r="D81" s="342" t="inlineStr">
        <is>
          <t>Producción!D28:M28</t>
        </is>
      </c>
      <c r="E81" s="350">
        <f>'Producción'!D28</f>
        <v>4315.166</v>
      </c>
      <c r="F81" s="350">
        <f>'Producción'!E28</f>
        <v>14235</v>
      </c>
      <c r="G81" s="350">
        <f>'Producción'!F28</f>
        <v>14950</v>
      </c>
      <c r="H81" s="350">
        <f>'Producción'!G28</f>
        <v>15698</v>
      </c>
      <c r="I81" s="350">
        <f>'Producción'!H28</f>
        <v>16482</v>
      </c>
      <c r="J81" s="350">
        <f>'Producción'!I28</f>
        <v>17306</v>
      </c>
      <c r="K81" s="350">
        <f>'Producción'!J28</f>
        <v>18170</v>
      </c>
      <c r="L81" s="350">
        <f>'Producción'!K28</f>
        <v>19076</v>
      </c>
      <c r="M81" s="350">
        <f>'Producción'!L28</f>
        <v>20030</v>
      </c>
      <c r="N81" s="350">
        <f>'Producción'!M28</f>
        <v>21030</v>
      </c>
      <c r="O81" s="351">
        <f>SUM(E81:N81)</f>
        <v>161292.166</v>
      </c>
    </row>
    <row r="82" ht="17.2" customHeight="1">
      <c r="B82" s="344">
        <v>2</v>
      </c>
      <c r="C82" s="343" t="inlineStr">
        <is>
          <t>Producción (Tn) — Plan original</t>
        </is>
      </c>
      <c r="D82" s="342" t="inlineStr">
        <is>
          <t>PPT jun-2026 (fijo)</t>
        </is>
      </c>
      <c r="E82" s="352">
        <v>11087</v>
      </c>
      <c r="F82" s="352">
        <v>12587</v>
      </c>
      <c r="G82" s="352">
        <v>13216</v>
      </c>
      <c r="H82" s="352">
        <v>13876</v>
      </c>
      <c r="I82" s="352">
        <v>14570</v>
      </c>
      <c r="J82" s="352">
        <v>15299</v>
      </c>
      <c r="K82" s="352">
        <v>16065</v>
      </c>
      <c r="L82" s="352">
        <v>16868</v>
      </c>
      <c r="M82" s="352">
        <v>17711</v>
      </c>
      <c r="N82" s="352">
        <v>18596</v>
      </c>
      <c r="O82" s="351">
        <f>SUM(E82:N82)</f>
        <v>149875</v>
      </c>
    </row>
    <row r="83" ht="17.2" customHeight="1">
      <c r="B83" s="344">
        <v>3</v>
      </c>
      <c r="C83" s="343" t="inlineStr">
        <is>
          <t>Ventas (Tn) — Actualizado</t>
        </is>
      </c>
      <c r="D83" s="342" t="inlineStr">
        <is>
          <t>Producción!D29:M29</t>
        </is>
      </c>
      <c r="E83" s="350">
        <f>'Producción'!D29</f>
        <v>4195.166</v>
      </c>
      <c r="F83" s="350">
        <f>'Producción'!E29</f>
        <v>14235</v>
      </c>
      <c r="G83" s="350">
        <f>'Producción'!F29</f>
        <v>14726</v>
      </c>
      <c r="H83" s="350">
        <f>'Producción'!G29</f>
        <v>15464</v>
      </c>
      <c r="I83" s="350">
        <f>'Producción'!H29</f>
        <v>16235</v>
      </c>
      <c r="J83" s="350">
        <f>'Producción'!I29</f>
        <v>17046</v>
      </c>
      <c r="K83" s="350">
        <f>'Producción'!J29</f>
        <v>17897</v>
      </c>
      <c r="L83" s="350">
        <f>'Producción'!K29</f>
        <v>18789</v>
      </c>
      <c r="M83" s="350">
        <f>'Producción'!L29</f>
        <v>19728</v>
      </c>
      <c r="N83" s="350">
        <f>'Producción'!M29</f>
        <v>20713</v>
      </c>
      <c r="O83" s="351">
        <f>SUM(E83:N83)</f>
        <v>159028.166</v>
      </c>
    </row>
    <row r="84" ht="17.2" customHeight="1">
      <c r="B84" s="344">
        <v>4</v>
      </c>
      <c r="C84" s="343" t="inlineStr">
        <is>
          <t>Ingresos (USD) — Actualizado</t>
        </is>
      </c>
      <c r="D84" s="342" t="inlineStr">
        <is>
          <t>Ingresos!D28:M28</t>
        </is>
      </c>
      <c r="E84" s="350">
        <f>'Ingresos'!D28</f>
        <v>4208607.23095</v>
      </c>
      <c r="F84" s="350">
        <f>'Ingresos'!E28</f>
        <v>17355345</v>
      </c>
      <c r="G84" s="350">
        <f>'Ingresos'!F28</f>
        <v>18854496.150000002</v>
      </c>
      <c r="H84" s="350">
        <f>'Ingresos'!G28</f>
        <v>20195139.069</v>
      </c>
      <c r="I84" s="350">
        <f>'Ingresos'!H28</f>
        <v>21621692.26224</v>
      </c>
      <c r="J84" s="350">
        <f>'Ingresos'!I28</f>
        <v>23156432.836210802</v>
      </c>
      <c r="K84" s="350">
        <f>'Ingresos'!J28</f>
        <v>24800444.267548323</v>
      </c>
      <c r="L84" s="350">
        <f>'Ingresos'!K28</f>
        <v>26553500.487099838</v>
      </c>
      <c r="M84" s="350">
        <f>'Ingresos'!L28</f>
        <v>28438953.334089424</v>
      </c>
      <c r="N84" s="350">
        <f>'Ingresos'!M28</f>
        <v>30456342.76795789</v>
      </c>
      <c r="O84" s="351">
        <f>SUM(E84:N84)</f>
        <v>215640953.40509626</v>
      </c>
    </row>
    <row r="85" ht="17.2" customHeight="1">
      <c r="B85" s="344">
        <v>5</v>
      </c>
      <c r="C85" s="343" t="inlineStr">
        <is>
          <t>Ingresos (USD) — Plan original</t>
        </is>
      </c>
      <c r="D85" s="342" t="inlineStr">
        <is>
          <t>PPT jun-2026 (fijo)</t>
        </is>
      </c>
      <c r="E85" s="352">
        <v>10820400</v>
      </c>
      <c r="F85" s="352">
        <v>13591134</v>
      </c>
      <c r="G85" s="352">
        <v>14986567</v>
      </c>
      <c r="H85" s="352">
        <v>16104783</v>
      </c>
      <c r="I85" s="352">
        <v>17250523</v>
      </c>
      <c r="J85" s="352">
        <v>18474024</v>
      </c>
      <c r="K85" s="352">
        <v>19789483</v>
      </c>
      <c r="L85" s="352">
        <v>21195174</v>
      </c>
      <c r="M85" s="352">
        <v>22699886</v>
      </c>
      <c r="N85" s="352">
        <v>24308765</v>
      </c>
      <c r="O85" s="351">
        <f>SUM(E85:N85)</f>
        <v>179220739</v>
      </c>
    </row>
    <row r="86" ht="17.2" customHeight="1">
      <c r="B86" s="344">
        <v>6</v>
      </c>
      <c r="C86" s="343" t="inlineStr">
        <is>
          <t>Costos de producción (USD) — Actualizado</t>
        </is>
      </c>
      <c r="D86" s="342" t="inlineStr">
        <is>
          <t>Resultados!C6:L6</t>
        </is>
      </c>
      <c r="E86" s="350">
        <f>'Resultados'!C6</f>
        <v>4032136.443023058</v>
      </c>
      <c r="F86" s="350">
        <f>'Resultados'!D6</f>
        <v>14668171.60410502</v>
      </c>
      <c r="G86" s="350">
        <f>'Resultados'!E6</f>
        <v>15861608.209453648</v>
      </c>
      <c r="H86" s="350">
        <f>'Resultados'!F6</f>
        <v>17138115.4123965</v>
      </c>
      <c r="I86" s="350">
        <f>'Resultados'!G6</f>
        <v>18516472.728581738</v>
      </c>
      <c r="J86" s="350">
        <f>'Resultados'!H6</f>
        <v>20007681.209758777</v>
      </c>
      <c r="K86" s="350">
        <f>'Resultados'!I6</f>
        <v>21618460.33938418</v>
      </c>
      <c r="L86" s="350">
        <f>'Resultados'!J6</f>
        <v>23358574.7747177</v>
      </c>
      <c r="M86" s="350">
        <f>'Resultados'!K6</f>
        <v>25243293.25831479</v>
      </c>
      <c r="N86" s="350">
        <f>'Resultados'!L6</f>
        <v>27278714.81756568</v>
      </c>
      <c r="O86" s="351">
        <f>SUM(E86:N86)</f>
        <v>187723228.79730108</v>
      </c>
    </row>
    <row r="87" ht="30.4" customHeight="1">
      <c r="B87" s="344">
        <v>7</v>
      </c>
      <c r="C87" s="343" t="inlineStr">
        <is>
          <t>Costos de producción (USD) — Plan original</t>
        </is>
      </c>
      <c r="D87" s="342" t="inlineStr">
        <is>
          <t>PPT jun-2026 (fijo)</t>
        </is>
      </c>
      <c r="E87" s="352">
        <v>9852158</v>
      </c>
      <c r="F87" s="352">
        <v>11621795</v>
      </c>
      <c r="G87" s="352">
        <v>12557052</v>
      </c>
      <c r="H87" s="352">
        <v>13563820</v>
      </c>
      <c r="I87" s="352">
        <v>14652622</v>
      </c>
      <c r="J87" s="352">
        <v>15829707</v>
      </c>
      <c r="K87" s="352">
        <v>17102792</v>
      </c>
      <c r="L87" s="352">
        <v>18477528</v>
      </c>
      <c r="M87" s="352">
        <v>19963439</v>
      </c>
      <c r="N87" s="352">
        <v>21569494</v>
      </c>
      <c r="O87" s="351">
        <f>SUM(E87:N87)</f>
        <v>155190407</v>
      </c>
    </row>
    <row r="88" ht="17.2" customHeight="1">
      <c r="B88" s="344">
        <v>8</v>
      </c>
      <c r="C88" s="343" t="inlineStr">
        <is>
          <t>EBITDA (USD) — Actualizado</t>
        </is>
      </c>
      <c r="D88" s="342" t="inlineStr">
        <is>
          <t>Resultados!C9:L9</t>
        </is>
      </c>
      <c r="E88" s="350">
        <f>'Resultados'!C9</f>
        <v>-23859.585545666167</v>
      </c>
      <c r="F88" s="350">
        <f>'Resultados'!D9</f>
        <v>2449376.1146034813</v>
      </c>
      <c r="G88" s="350">
        <f>'Resultados'!E9</f>
        <v>2750225.2471809983</v>
      </c>
      <c r="H88" s="350">
        <f>'Resultados'!F9</f>
        <v>2810091.8644371796</v>
      </c>
      <c r="I88" s="350">
        <f>'Resultados'!G9</f>
        <v>2853865.5314269564</v>
      </c>
      <c r="J88" s="350">
        <f>'Resultados'!H9</f>
        <v>2892816.4576387797</v>
      </c>
      <c r="K88" s="350">
        <f>'Resultados'!I9</f>
        <v>2921302.5530457506</v>
      </c>
      <c r="L88" s="350">
        <f>'Resultados'!J9</f>
        <v>2929326.759807406</v>
      </c>
      <c r="M88" s="350">
        <f>'Resultados'!K9</f>
        <v>2924965.5842097355</v>
      </c>
      <c r="N88" s="350">
        <f>'Resultados'!L9</f>
        <v>2901653.097746788</v>
      </c>
      <c r="O88" s="351">
        <f>SUM(E88:N88)</f>
        <v>25409763.624551408</v>
      </c>
    </row>
    <row r="89" ht="17.2" customHeight="1">
      <c r="B89" s="344">
        <v>9</v>
      </c>
      <c r="C89" s="343" t="inlineStr">
        <is>
          <t>EBITDA (USD) — Plan original</t>
        </is>
      </c>
      <c r="D89" s="342" t="inlineStr">
        <is>
          <t>PPT jun-2026 (fijo)</t>
        </is>
      </c>
      <c r="E89" s="352">
        <v>732980</v>
      </c>
      <c r="F89" s="352">
        <v>1734077</v>
      </c>
      <c r="G89" s="352">
        <v>2192768</v>
      </c>
      <c r="H89" s="352">
        <v>2302686</v>
      </c>
      <c r="I89" s="352">
        <v>2358049</v>
      </c>
      <c r="J89" s="352">
        <v>2402842</v>
      </c>
      <c r="K89" s="352">
        <v>2443544</v>
      </c>
      <c r="L89" s="352">
        <v>2472777</v>
      </c>
      <c r="M89" s="352">
        <v>2489805</v>
      </c>
      <c r="N89" s="352">
        <v>2490803</v>
      </c>
      <c r="O89" s="351">
        <f>SUM(E89:N89)</f>
        <v>21620331</v>
      </c>
    </row>
    <row r="90" ht="17.2" customHeight="1">
      <c r="B90" s="344">
        <v>10</v>
      </c>
      <c r="C90" s="343" t="inlineStr">
        <is>
          <t>Utilidad neta (USD) — Actualizado</t>
        </is>
      </c>
      <c r="D90" s="342" t="inlineStr">
        <is>
          <t>Resultados!C14:L14</t>
        </is>
      </c>
      <c r="E90" s="350">
        <f>'Resultados'!C14</f>
        <v>-334777.752861543</v>
      </c>
      <c r="F90" s="350">
        <f>'Resultados'!D14</f>
        <v>1480799.445797248</v>
      </c>
      <c r="G90" s="350">
        <f>'Resultados'!E14</f>
        <v>1582364.1727693735</v>
      </c>
      <c r="H90" s="350">
        <f>'Resultados'!F14</f>
        <v>1957769.1648346798</v>
      </c>
      <c r="I90" s="350">
        <f>'Resultados'!G14</f>
        <v>2059600.387129505</v>
      </c>
      <c r="J90" s="350">
        <f>'Resultados'!H14</f>
        <v>2108638.0888499077</v>
      </c>
      <c r="K90" s="350">
        <f>'Resultados'!I14</f>
        <v>2403682.9350278014</v>
      </c>
      <c r="L90" s="350">
        <f>'Resultados'!J14</f>
        <v>2348149.1823336678</v>
      </c>
      <c r="M90" s="350">
        <f>'Resultados'!K14</f>
        <v>2282851.2864852794</v>
      </c>
      <c r="N90" s="350">
        <f>'Resultados'!L14</f>
        <v>2140077.2344507705</v>
      </c>
      <c r="O90" s="351">
        <f>SUM(E90:N90)</f>
        <v>18029154.14481669</v>
      </c>
    </row>
    <row r="91" ht="17.2" customHeight="1">
      <c r="B91" s="344">
        <v>11</v>
      </c>
      <c r="C91" s="343" t="inlineStr">
        <is>
          <t>Margen EBITDA — Actualizado</t>
        </is>
      </c>
      <c r="D91" s="342" t="inlineStr">
        <is>
          <t>EBITDA / Ingresos</t>
        </is>
      </c>
      <c r="E91" s="355">
        <f>IF('Ingresos'!D28=0,0,'Resultados'!C9/'Ingresos'!D28)</f>
        <v>-0.005669235506274696</v>
      </c>
      <c r="F91" s="355">
        <f>IF('Ingresos'!E28=0,0,'Resultados'!D9/'Ingresos'!E28)</f>
        <v>0.14113093773724933</v>
      </c>
      <c r="G91" s="355">
        <f>IF('Ingresos'!F28=0,0,'Resultados'!E9/'Ingresos'!F28)</f>
        <v>0.14586575134658256</v>
      </c>
      <c r="H91" s="355">
        <f>IF('Ingresos'!G28=0,0,'Resultados'!F9/'Ingresos'!G28)</f>
        <v>0.13914694297652722</v>
      </c>
      <c r="I91" s="355">
        <f>IF('Ingresos'!H28=0,0,'Resultados'!G9/'Ingresos'!H28)</f>
        <v>0.13199084959741708</v>
      </c>
      <c r="J91" s="355">
        <f>IF('Ingresos'!I28=0,0,'Resultados'!H9/'Ingresos'!I28)</f>
        <v>0.12492496051097933</v>
      </c>
      <c r="K91" s="355">
        <f>IF('Ingresos'!J28=0,0,'Resultados'!I9/'Ingresos'!J28)</f>
        <v>0.11779234765033261</v>
      </c>
      <c r="L91" s="355">
        <f>IF('Ingresos'!K28=0,0,'Resultados'!J9/'Ingresos'!K28)</f>
        <v>0.11031791312149315</v>
      </c>
      <c r="M91" s="355">
        <f>IF('Ingresos'!L28=0,0,'Resultados'!K9/'Ingresos'!L28)</f>
        <v>0.10285067631879459</v>
      </c>
      <c r="N91" s="355">
        <f>IF('Ingresos'!M28=0,0,'Resultados'!L9/'Ingresos'!M28)</f>
        <v>0.09527253878950698</v>
      </c>
      <c r="O91" s="356">
        <f>IF(O84=0,0,O88/O84)</f>
        <v>0.11783366389044585</v>
      </c>
    </row>
    <row r="92" ht="17.2" customHeight="1">
      <c r="B92" s="344">
        <v>12</v>
      </c>
      <c r="C92" s="343" t="inlineStr">
        <is>
          <t>Margen neto — Actualizado</t>
        </is>
      </c>
      <c r="D92" s="342" t="inlineStr">
        <is>
          <t>Utilidad neta / Ingresos</t>
        </is>
      </c>
      <c r="E92" s="355">
        <f>IF('Ingresos'!D28=0,0,'Resultados'!C14/'Ingresos'!D28)</f>
        <v>-0.07954597197847192</v>
      </c>
      <c r="F92" s="355">
        <f>IF('Ingresos'!E28=0,0,'Resultados'!D14/'Ingresos'!E28)</f>
        <v>0.08532238603134931</v>
      </c>
      <c r="G92" s="355">
        <f>IF('Ingresos'!F28=0,0,'Resultados'!E14/'Ingresos'!F28)</f>
        <v>0.08392503094119401</v>
      </c>
      <c r="H92" s="355">
        <f>IF('Ingresos'!G28=0,0,'Resultados'!F14/'Ingresos'!G28)</f>
        <v>0.09694259386606059</v>
      </c>
      <c r="I92" s="355">
        <f>IF('Ingresos'!H28=0,0,'Resultados'!G14/'Ingresos'!H28)</f>
        <v>0.09525620669046239</v>
      </c>
      <c r="J92" s="355">
        <f>IF('Ingresos'!I28=0,0,'Resultados'!H14/'Ingresos'!I28)</f>
        <v>0.09106057499290354</v>
      </c>
      <c r="K92" s="355">
        <f>IF('Ingresos'!J28=0,0,'Resultados'!I14/'Ingresos'!J28)</f>
        <v>0.09692096274956853</v>
      </c>
      <c r="L92" s="355">
        <f>IF('Ingresos'!K28=0,0,'Resultados'!J14/'Ingresos'!K28)</f>
        <v>0.0884308712320035</v>
      </c>
      <c r="M92" s="355">
        <f>IF('Ingresos'!L28=0,0,'Resultados'!K14/'Ingresos'!L28)</f>
        <v>0.0802719867945651</v>
      </c>
      <c r="N92" s="355">
        <f>IF('Ingresos'!M28=0,0,'Resultados'!L14/'Ingresos'!M28)</f>
        <v>0.07026704587466999</v>
      </c>
      <c r="O92" s="356">
        <f>IF(O84=0,0,O90/O84)</f>
        <v>0.08360728266187774</v>
      </c>
    </row>
    <row r="93" ht="17.2" customHeight="1">
      <c r="B93" s="344">
        <v>13</v>
      </c>
      <c r="C93" s="343" t="inlineStr">
        <is>
          <t>Punto de equilibrio (Tn) — Actualizado</t>
        </is>
      </c>
      <c r="D93" s="342" t="inlineStr">
        <is>
          <t>Pto Equilibrio!C14:L14</t>
        </is>
      </c>
      <c r="E93" s="350">
        <f>'Pto Equilibrio'!C14</f>
        <v>8239.515130848906</v>
      </c>
      <c r="F93" s="350">
        <f>'Pto Equilibrio'!D14</f>
        <v>6815.949572386749</v>
      </c>
      <c r="G93" s="350">
        <f>'Pto Equilibrio'!E14</f>
        <v>7304.162315438446</v>
      </c>
      <c r="H93" s="350">
        <f>'Pto Equilibrio'!F14</f>
        <v>6201.196467253019</v>
      </c>
      <c r="I93" s="350">
        <f>'Pto Equilibrio'!G14</f>
        <v>6204.048889092515</v>
      </c>
      <c r="J93" s="350">
        <f>'Pto Equilibrio'!H14</f>
        <v>6432.656678767174</v>
      </c>
      <c r="K93" s="350">
        <f>'Pto Equilibrio'!I14</f>
        <v>5492.014953996452</v>
      </c>
      <c r="L93" s="350">
        <f>'Pto Equilibrio'!J14</f>
        <v>6115.221619788001</v>
      </c>
      <c r="M93" s="350">
        <f>'Pto Equilibrio'!K14</f>
        <v>6789.379819778335</v>
      </c>
      <c r="N93" s="350">
        <f>'Pto Equilibrio'!L14</f>
        <v>7854.421027770492</v>
      </c>
      <c r="O93" s="342"/>
    </row>
    <row r="94" ht="17.2" customHeight="1">
      <c r="B94" s="344">
        <v>14</v>
      </c>
      <c r="C94" s="343" t="inlineStr">
        <is>
          <t>Margen de seguridad — Actualizado</t>
        </is>
      </c>
      <c r="D94" s="342" t="inlineStr">
        <is>
          <t>1 − punto de equilibrio / ventas (Tn)</t>
        </is>
      </c>
      <c r="E94" s="355">
        <f>IF(E83=0,0,1-E93/E83)</f>
        <v>-0.9640498447138697</v>
      </c>
      <c r="F94" s="355">
        <f>IF(F83=0,0,1-F93/F83)</f>
        <v>0.5211837321821743</v>
      </c>
      <c r="G94" s="355">
        <f>IF(G83=0,0,1-G93/G83)</f>
        <v>0.5039954967106854</v>
      </c>
      <c r="H94" s="355">
        <f>IF(H83=0,0,1-H93/H83)</f>
        <v>0.598991433829991</v>
      </c>
      <c r="I94" s="355">
        <f>IF(I83=0,0,1-I93/I83)</f>
        <v>0.6178596310999375</v>
      </c>
      <c r="J94" s="355">
        <f>IF(J83=0,0,1-J93/J83)</f>
        <v>0.6226295507000368</v>
      </c>
      <c r="K94" s="355">
        <f>IF(K83=0,0,1-K93/K83)</f>
        <v>0.6931320917474184</v>
      </c>
      <c r="L94" s="355">
        <f>IF(L83=0,0,1-L93/L83)</f>
        <v>0.6745318207574644</v>
      </c>
      <c r="M94" s="355">
        <f>IF(M83=0,0,1-M93/M83)</f>
        <v>0.6558505768563293</v>
      </c>
      <c r="N94" s="355">
        <f>IF(N83=0,0,1-N93/N83)</f>
        <v>0.6207975171259358</v>
      </c>
      <c r="O94" s="342"/>
    </row>
    <row r="95" ht="17.2" customHeight="1">
      <c r="B95" s="344">
        <v>15</v>
      </c>
      <c r="C95" s="343" t="inlineStr">
        <is>
          <t>Préstamos CP para chapas (USD/año)</t>
        </is>
      </c>
      <c r="D95" s="342" t="inlineStr">
        <is>
          <t>Ej_Flujo!O8, AB8, AO8 … EB8</t>
        </is>
      </c>
      <c r="E95" s="350">
        <f>'Ej_Flujo'!O8</f>
        <v>0</v>
      </c>
      <c r="F95" s="350">
        <f>'Ej_Flujo'!AB8</f>
        <v>10900000</v>
      </c>
      <c r="G95" s="350">
        <f>'Ej_Flujo'!AO8</f>
        <v>11900000</v>
      </c>
      <c r="H95" s="350">
        <f>'Ej_Flujo'!BB8</f>
        <v>5000000</v>
      </c>
      <c r="I95" s="350">
        <f>'Ej_Flujo'!BO8</f>
        <v>6200000</v>
      </c>
      <c r="J95" s="350">
        <f>'Ej_Flujo'!CB8</f>
        <v>6000000</v>
      </c>
      <c r="K95" s="350">
        <f>'Ej_Flujo'!CO8</f>
        <v>4000000</v>
      </c>
      <c r="L95" s="350">
        <f>'Ej_Flujo'!DB8</f>
        <v>5300000</v>
      </c>
      <c r="M95" s="350">
        <f>'Ej_Flujo'!DO8</f>
        <v>5300000</v>
      </c>
      <c r="N95" s="350">
        <f>'Ej_Flujo'!EB8</f>
        <v>7000000</v>
      </c>
      <c r="O95" s="351">
        <f>SUM(E95:N95)</f>
        <v>61600000</v>
      </c>
    </row>
    <row r="96" ht="17.2" customHeight="1">
      <c r="B96" s="344">
        <v>16</v>
      </c>
      <c r="C96" s="343" t="inlineStr">
        <is>
          <t>Capital de trabajo neto (USD)</t>
        </is>
      </c>
      <c r="D96" s="342" t="inlineStr">
        <is>
          <t>Capital Trabajo!C18:L18</t>
        </is>
      </c>
      <c r="E96" s="350">
        <f>'Capital Trabajo'!C18</f>
        <v>1541094.4312681279</v>
      </c>
      <c r="F96" s="350">
        <f>'Capital Trabajo'!D18</f>
        <v>6115600.303155011</v>
      </c>
      <c r="G96" s="350">
        <f>'Capital Trabajo'!E18</f>
        <v>6634952.553563189</v>
      </c>
      <c r="H96" s="350">
        <f>'Capital Trabajo'!F18</f>
        <v>7125811.3987322375</v>
      </c>
      <c r="I96" s="350">
        <f>'Capital Trabajo'!G18</f>
        <v>7650561.367870811</v>
      </c>
      <c r="J96" s="350">
        <f>'Capital Trabajo'!H18</f>
        <v>8216141.11296786</v>
      </c>
      <c r="K96" s="350">
        <f>'Capital Trabajo'!I18</f>
        <v>8823630.459126458</v>
      </c>
      <c r="L96" s="350">
        <f>'Capital Trabajo'!J18</f>
        <v>9474146.132618628</v>
      </c>
      <c r="M96" s="350">
        <f>'Capital Trabajo'!K18</f>
        <v>10175411.345889574</v>
      </c>
      <c r="N96" s="350">
        <f>'Capital Trabajo'!L18</f>
        <v>10928040.580366578</v>
      </c>
      <c r="O96" s="342"/>
    </row>
    <row r="97" ht="17.2" customHeight="1">
      <c r="B97" s="344">
        <v>17</v>
      </c>
      <c r="C97" s="343" t="inlineStr">
        <is>
          <t>Cuentas por cobrar (USD)</t>
        </is>
      </c>
      <c r="D97" s="342" t="inlineStr">
        <is>
          <t>Capital Trabajo!C9:L9</t>
        </is>
      </c>
      <c r="E97" s="350">
        <f>'Capital Trabajo'!C9</f>
        <v>1037738.7692753423</v>
      </c>
      <c r="F97" s="350">
        <f>'Capital Trabajo'!D9</f>
        <v>4279400.136986301</v>
      </c>
      <c r="G97" s="350">
        <f>'Capital Trabajo'!E9</f>
        <v>4649053.84520548</v>
      </c>
      <c r="H97" s="350">
        <f>'Capital Trabajo'!F9</f>
        <v>4979623.3320821915</v>
      </c>
      <c r="I97" s="350">
        <f>'Capital Trabajo'!G9</f>
        <v>5331376.1742509585</v>
      </c>
      <c r="J97" s="350">
        <f>'Capital Trabajo'!H9</f>
        <v>5709805.356873896</v>
      </c>
      <c r="K97" s="350">
        <f>'Capital Trabajo'!I9</f>
        <v>6115178.038573558</v>
      </c>
      <c r="L97" s="350">
        <f>'Capital Trabajo'!J9</f>
        <v>6547438.476271193</v>
      </c>
      <c r="M97" s="350">
        <f>'Capital Trabajo'!K9</f>
        <v>7012344.657720679</v>
      </c>
      <c r="N97" s="350">
        <f>'Capital Trabajo'!L9</f>
        <v>7509783.1482635895</v>
      </c>
      <c r="O97" s="342"/>
    </row>
    <row r="98" ht="17.2" customHeight="1">
      <c r="B98" s="344">
        <v>18</v>
      </c>
      <c r="C98" s="343" t="inlineStr">
        <is>
          <t>Gastos financieros LP + CP (USD)</t>
        </is>
      </c>
      <c r="D98" s="342" t="inlineStr">
        <is>
          <t>Resultados!C11:L11</t>
        </is>
      </c>
      <c r="E98" s="350">
        <f>'Resultados'!C11</f>
        <v>229420.38749922696</v>
      </c>
      <c r="F98" s="350">
        <f>'Resultados'!D11</f>
        <v>699654.618806233</v>
      </c>
      <c r="G98" s="350">
        <f>'Resultados'!E11</f>
        <v>883947.5129116247</v>
      </c>
      <c r="H98" s="350">
        <f>'Resultados'!F11</f>
        <v>555002.7089125</v>
      </c>
      <c r="I98" s="350">
        <f>'Resultados'!G11</f>
        <v>482679.6216750512</v>
      </c>
      <c r="J98" s="350">
        <f>'Resultados'!H11</f>
        <v>457245.44042676385</v>
      </c>
      <c r="K98" s="350">
        <f>'Resultados'!I11</f>
        <v>174246.57534246577</v>
      </c>
      <c r="L98" s="350">
        <f>'Resultados'!J11</f>
        <v>220273.97260273976</v>
      </c>
      <c r="M98" s="350">
        <f>'Resultados'!K11</f>
        <v>262356.16438356164</v>
      </c>
      <c r="N98" s="350">
        <f>'Resultados'!L11</f>
        <v>361643.8356164384</v>
      </c>
      <c r="O98" s="351">
        <f>SUM(E98:N98)</f>
        <v>4326470.838176605</v>
      </c>
    </row>
    <row r="99" ht="17.2" customHeight="1">
      <c r="B99" s="344">
        <v>19</v>
      </c>
      <c r="C99" s="343" t="inlineStr">
        <is>
          <t>Materia prima (USD)</t>
        </is>
      </c>
      <c r="D99" s="342" t="inlineStr">
        <is>
          <t>Costos!D6:M6</t>
        </is>
      </c>
      <c r="E99" s="350">
        <f>'Costos'!D6</f>
        <v>3876548.1750011332</v>
      </c>
      <c r="F99" s="350">
        <f>'Costos'!E6</f>
        <v>14101733.588170895</v>
      </c>
      <c r="G99" s="350">
        <f>'Costos'!F6</f>
        <v>15254335.845277237</v>
      </c>
      <c r="H99" s="350">
        <f>'Costos'!G6</f>
        <v>16498216.667481313</v>
      </c>
      <c r="I99" s="350">
        <f>'Costos'!H6</f>
        <v>17841772.2833685</v>
      </c>
      <c r="J99" s="350">
        <f>'Costos'!I6</f>
        <v>19295790.55297855</v>
      </c>
      <c r="K99" s="350">
        <f>'Costos'!J6</f>
        <v>20866848.258718</v>
      </c>
      <c r="L99" s="350">
        <f>'Costos'!K6</f>
        <v>22564513.049915385</v>
      </c>
      <c r="M99" s="350">
        <f>'Costos'!L6</f>
        <v>24403760.19800815</v>
      </c>
      <c r="N99" s="350">
        <f>'Costos'!M6</f>
        <v>26390547.22246354</v>
      </c>
      <c r="O99" s="351">
        <f>SUM(E99:N99)</f>
        <v>181094065.8413827</v>
      </c>
    </row>
    <row r="101" ht="20" customHeight="1">
      <c r="B101" s="339" t="inlineStr">
        <is>
          <t>4. PLAN ORIGINAL — VALORES DE REFERENCIA (fijos; no están en el Excel: vienen del PPT de junio 2026)</t>
        </is>
      </c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39"/>
    </row>
    <row r="102" ht="20" customHeight="1">
      <c r="B102" s="340" t="inlineStr">
        <is>
          <t>#</t>
        </is>
      </c>
      <c r="C102" s="340" t="inlineStr">
        <is>
          <t>Dato</t>
        </is>
      </c>
      <c r="D102" s="340" t="inlineStr">
        <is>
          <t>Fuente</t>
        </is>
      </c>
      <c r="E102" s="340" t="inlineStr">
        <is>
          <t>Valor</t>
        </is>
      </c>
      <c r="F102" s="341" t="inlineStr">
        <is>
          <t>Observación</t>
        </is>
      </c>
      <c r="G102" s="341"/>
      <c r="H102" s="341"/>
      <c r="I102" s="341"/>
      <c r="J102" s="341"/>
      <c r="K102" s="341"/>
      <c r="L102" s="341"/>
      <c r="M102" s="341"/>
      <c r="N102" s="341"/>
      <c r="O102" s="341"/>
    </row>
    <row r="103" ht="17.2" customHeight="1">
      <c r="B103" s="344">
        <v>1</v>
      </c>
      <c r="C103" s="343" t="inlineStr">
        <is>
          <t>VAN con financiamiento — plan</t>
        </is>
      </c>
      <c r="D103" s="342" t="inlineStr">
        <is>
          <t>PPT «Plan vs Actualizado 10 años», jun-2026</t>
        </is>
      </c>
      <c r="E103" s="350">
        <v>2843528</v>
      </c>
      <c r="F103" s="342" t="inlineStr">
        <is>
          <t>PPT jun-2026. No está en ningún Excel (plan de negocio original, PDF ene-2026).</t>
        </is>
      </c>
      <c r="G103" s="342"/>
      <c r="H103" s="342"/>
      <c r="I103" s="342"/>
      <c r="J103" s="342"/>
      <c r="K103" s="342"/>
      <c r="L103" s="342"/>
      <c r="M103" s="342"/>
      <c r="N103" s="342"/>
      <c r="O103" s="342"/>
    </row>
    <row r="104" ht="17.2" customHeight="1">
      <c r="B104" s="344">
        <v>2</v>
      </c>
      <c r="C104" s="343" t="inlineStr">
        <is>
          <t>TIR con financiamiento — plan</t>
        </is>
      </c>
      <c r="D104" s="342" t="inlineStr">
        <is>
          <t>PPT «Plan vs Actualizado 10 años», jun-2026</t>
        </is>
      </c>
      <c r="E104" s="353">
        <v>0.1519</v>
      </c>
      <c r="F104" s="342" t="inlineStr">
        <is>
          <t>Idem.</t>
        </is>
      </c>
      <c r="G104" s="342"/>
      <c r="H104" s="342"/>
      <c r="I104" s="342"/>
      <c r="J104" s="342"/>
      <c r="K104" s="342"/>
      <c r="L104" s="342"/>
      <c r="M104" s="342"/>
      <c r="N104" s="342"/>
      <c r="O104" s="342"/>
    </row>
    <row r="105" ht="17.2" customHeight="1">
      <c r="B105" s="344">
        <v>3</v>
      </c>
      <c r="C105" s="343" t="inlineStr">
        <is>
          <t>WACC — plan</t>
        </is>
      </c>
      <c r="D105" s="342" t="inlineStr">
        <is>
          <t>PPT «Plan vs Actualizado 10 años», jun-2026</t>
        </is>
      </c>
      <c r="E105" s="353">
        <v>0.0987</v>
      </c>
      <c r="F105" s="342" t="inlineStr">
        <is>
          <t>Igual al actual (VAN-TIR!C22).</t>
        </is>
      </c>
      <c r="G105" s="342"/>
      <c r="H105" s="342"/>
      <c r="I105" s="342"/>
      <c r="J105" s="342"/>
      <c r="K105" s="342"/>
      <c r="L105" s="342"/>
      <c r="M105" s="342"/>
      <c r="N105" s="342"/>
      <c r="O105" s="342"/>
    </row>
    <row r="106" ht="17.2" customHeight="1">
      <c r="B106" s="344">
        <v>4</v>
      </c>
      <c r="C106" s="343" t="inlineStr">
        <is>
          <t>Payback inversión propia — plan (años)</t>
        </is>
      </c>
      <c r="D106" s="342" t="inlineStr">
        <is>
          <t>PPT «Plan vs Actualizado 10 años», jun-2026</t>
        </is>
      </c>
      <c r="E106" s="352">
        <v>3</v>
      </c>
      <c r="F106" s="342" t="inlineStr">
        <is>
          <t>PPT jun-2026. Sin cálculo de respaldo en el libro.</t>
        </is>
      </c>
      <c r="G106" s="342"/>
      <c r="H106" s="342"/>
      <c r="I106" s="342"/>
      <c r="J106" s="342"/>
      <c r="K106" s="342"/>
      <c r="L106" s="342"/>
      <c r="M106" s="342"/>
      <c r="N106" s="342"/>
      <c r="O106" s="342"/>
    </row>
    <row r="107" ht="30.4" customHeight="1">
      <c r="B107" s="344">
        <v>5</v>
      </c>
      <c r="C107" s="343" t="inlineStr">
        <is>
          <t>Producción acumulada — plan (rótulo PPT, Tn)</t>
        </is>
      </c>
      <c r="D107" s="342" t="inlineStr">
        <is>
          <t>PPT «Plan vs Actualizado 10 años», jun-2026</t>
        </is>
      </c>
      <c r="E107" s="352">
        <v>150000</v>
      </c>
      <c r="F107" s="342" t="inlineStr">
        <is>
          <t>Base del indicador 13, con el mismo criterio que el PPT de junio. La serie plan del gráfico suma 149.875 Tn (sección 3).</t>
        </is>
      </c>
      <c r="G107" s="342"/>
      <c r="H107" s="342"/>
      <c r="I107" s="342"/>
      <c r="J107" s="342"/>
      <c r="K107" s="342"/>
      <c r="L107" s="342"/>
      <c r="M107" s="342"/>
      <c r="N107" s="342"/>
      <c r="O107" s="342"/>
    </row>
    <row r="108" ht="30.4" customHeight="1">
      <c r="B108" s="344">
        <v>6</v>
      </c>
      <c r="C108" s="343" t="inlineStr">
        <is>
          <t>Ingresos acumulados — plan (rótulo PPT, USD)</t>
        </is>
      </c>
      <c r="D108" s="342" t="inlineStr">
        <is>
          <t>PPT «Plan vs Actualizado 10 años», jun-2026</t>
        </is>
      </c>
      <c r="E108" s="352">
        <v>180000000</v>
      </c>
      <c r="F108" s="342" t="inlineStr">
        <is>
          <t>Base del indicador 15. La serie plan del gráfico suma 179.220.739.</t>
        </is>
      </c>
      <c r="G108" s="342"/>
      <c r="H108" s="342"/>
      <c r="I108" s="342"/>
      <c r="J108" s="342"/>
      <c r="K108" s="342"/>
      <c r="L108" s="342"/>
      <c r="M108" s="342"/>
      <c r="N108" s="342"/>
      <c r="O108" s="342"/>
    </row>
    <row r="109" ht="30.4" customHeight="1">
      <c r="B109" s="344">
        <v>7</v>
      </c>
      <c r="C109" s="343" t="inlineStr">
        <is>
          <t>EBITDA acumulado — plan (rótulo PPT, USD)</t>
        </is>
      </c>
      <c r="D109" s="342" t="inlineStr">
        <is>
          <t>PPT «Plan vs Actualizado 10 años», jun-2026</t>
        </is>
      </c>
      <c r="E109" s="352">
        <v>21100000</v>
      </c>
      <c r="F109" s="342" t="inlineStr">
        <is>
          <t>Base del indicador 17. La serie plan del gráfico suma 21.620.331: si la Gerencia adopta la serie como plan oficial, cambiar este valor y el rótulo de las diap. 3, 7 y 13.</t>
        </is>
      </c>
      <c r="G109" s="342"/>
      <c r="H109" s="342"/>
      <c r="I109" s="342"/>
      <c r="J109" s="342"/>
      <c r="K109" s="342"/>
      <c r="L109" s="342"/>
      <c r="M109" s="342"/>
      <c r="N109" s="342"/>
      <c r="O109" s="342"/>
    </row>
    <row r="110" ht="17.2" customHeight="1">
      <c r="B110" s="344">
        <v>8</v>
      </c>
      <c r="C110" s="343" t="inlineStr">
        <is>
          <t>Utilidad neta acumulada — plan (USD)</t>
        </is>
      </c>
      <c r="D110" s="342" t="inlineStr">
        <is>
          <t>PPT «Plan vs Actualizado 10 años», jun-2026</t>
        </is>
      </c>
      <c r="E110" s="352">
        <v>17800000</v>
      </c>
      <c r="F110" s="342" t="inlineStr">
        <is>
          <t>Base del indicador 19. Sin serie anual del plan.</t>
        </is>
      </c>
      <c r="G110" s="342"/>
      <c r="H110" s="342"/>
      <c r="I110" s="342"/>
      <c r="J110" s="342"/>
      <c r="K110" s="342"/>
      <c r="L110" s="342"/>
      <c r="M110" s="342"/>
      <c r="N110" s="342"/>
      <c r="O110" s="342"/>
    </row>
    <row r="111" ht="17.2" customHeight="1">
      <c r="B111" s="344">
        <v>9</v>
      </c>
      <c r="C111" s="343" t="inlineStr">
        <is>
          <t>Materia prima acumulada — plan (USD)</t>
        </is>
      </c>
      <c r="D111" s="342" t="inlineStr">
        <is>
          <t>PPT «Plan vs Actualizado 10 años», jun-2026</t>
        </is>
      </c>
      <c r="E111" s="352">
        <v>156000000</v>
      </c>
      <c r="F111" s="342" t="inlineStr">
        <is>
          <t>Inconsistente: supera el costo de producción total del plan (155,2M).</t>
        </is>
      </c>
      <c r="G111" s="342"/>
      <c r="H111" s="342"/>
      <c r="I111" s="342"/>
      <c r="J111" s="342"/>
      <c r="K111" s="342"/>
      <c r="L111" s="342"/>
      <c r="M111" s="342"/>
      <c r="N111" s="342"/>
      <c r="O111" s="342"/>
    </row>
    <row r="112" ht="30.4" customHeight="1">
      <c r="B112" s="344">
        <v>10</v>
      </c>
      <c r="C112" s="343" t="inlineStr">
        <is>
          <t>Utilidad neta plan año 1 / año 2 / año 10 (USD)</t>
        </is>
      </c>
      <c r="D112" s="342" t="inlineStr">
        <is>
          <t>PPT «Plan vs Actualizado 10 años», jun-2026</t>
        </is>
      </c>
      <c r="E112" s="352">
        <v>253000</v>
      </c>
      <c r="F112" s="342" t="inlineStr">
        <is>
          <t>PPT: 253K / 1.204K / 2.152K. El libro tiene 360.858 (Ej_Resultados!P20) y 1.243.444 (AE20) para los años 1 y 2.</t>
        </is>
      </c>
      <c r="G112" s="342"/>
      <c r="H112" s="342"/>
      <c r="I112" s="342"/>
      <c r="J112" s="342"/>
      <c r="K112" s="342"/>
      <c r="L112" s="342"/>
      <c r="M112" s="342"/>
      <c r="N112" s="342"/>
      <c r="O112" s="342"/>
    </row>
    <row r="113" ht="30.4" customHeight="1">
      <c r="B113" s="344">
        <v>11</v>
      </c>
      <c r="C113" s="343" t="inlineStr">
        <is>
          <t>Capital de trabajo neto plan año 1 / 2 / 10 (USD)</t>
        </is>
      </c>
      <c r="D113" s="342" t="inlineStr">
        <is>
          <t>PPT «Plan vs Actualizado 10 años», jun-2026</t>
        </is>
      </c>
      <c r="E113" s="352">
        <v>4040000</v>
      </c>
      <c r="F113" s="342" t="inlineStr">
        <is>
          <t>PPT: 4,04M / 4,75M / 8,82M. En el libro solo Inversión!C18 = 4.024.908 (capital operativo inicial).</t>
        </is>
      </c>
      <c r="G113" s="342"/>
      <c r="H113" s="342"/>
      <c r="I113" s="342"/>
      <c r="J113" s="342"/>
      <c r="K113" s="342"/>
      <c r="L113" s="342"/>
      <c r="M113" s="342"/>
      <c r="N113" s="342"/>
      <c r="O113" s="342"/>
    </row>
    <row r="114" ht="17.2" customHeight="1">
      <c r="B114" s="344">
        <v>12</v>
      </c>
      <c r="C114" s="343" t="inlineStr">
        <is>
          <t>EBITDA plan año 1 / año 2 (USD)</t>
        </is>
      </c>
      <c r="D114" s="342" t="inlineStr">
        <is>
          <t>PPT «Plan vs Actualizado 10 años», jun-2026</t>
        </is>
      </c>
      <c r="E114" s="352">
        <v>732980</v>
      </c>
      <c r="F114" s="342" t="inlineStr">
        <is>
          <t>PPT: 732.980 / 1.734.077. El libro tiene 841.163 (Ej_Resultados!P13) y 1.868.908 (AE13): definir la fuente oficial del plan.</t>
        </is>
      </c>
      <c r="G114" s="342"/>
      <c r="H114" s="342"/>
      <c r="I114" s="342"/>
      <c r="J114" s="342"/>
      <c r="K114" s="342"/>
      <c r="L114" s="342"/>
      <c r="M114" s="342"/>
      <c r="N114" s="342"/>
      <c r="O114" s="342"/>
    </row>
    <row r="116" ht="30.4" customHeight="1">
      <c r="B116" s="349" t="inlineStr">
        <is>
          <t>Las series «Plan original» de la sección 3 y los valores de esta sección se copiaron de los gráficos y tablas del PPT de junio 2026. Solo los años 1 y 2 de producción e ingresos coinciden con el libro (Ej_Producción!P18/AE18 y Ej_Ingresos!P34/AE34). Confirmar contra el plan de negocio original (PDF de enero 2026) y no modificarlos al actualizar la prospección.</t>
        </is>
      </c>
      <c r="C116" s="349"/>
      <c r="D116" s="349"/>
      <c r="E116" s="349"/>
      <c r="F116" s="349"/>
      <c r="G116" s="349"/>
      <c r="H116" s="349"/>
      <c r="I116" s="349"/>
      <c r="J116" s="349"/>
      <c r="K116" s="349"/>
      <c r="L116" s="349"/>
      <c r="M116" s="349"/>
      <c r="N116" s="349"/>
      <c r="O116" s="349"/>
    </row>
  </sheetData>
  <mergeCells count="89">
    <mergeCell ref="B2:O2"/>
    <mergeCell ref="B3:O3"/>
    <mergeCell ref="B5:O5"/>
    <mergeCell ref="H6:O6"/>
    <mergeCell ref="H7:O7"/>
    <mergeCell ref="H8:O8"/>
    <mergeCell ref="H9:O9"/>
    <mergeCell ref="H10:O10"/>
    <mergeCell ref="H11:O11"/>
    <mergeCell ref="H12:O12"/>
    <mergeCell ref="H13:O13"/>
    <mergeCell ref="H14:O14"/>
    <mergeCell ref="H15:O15"/>
    <mergeCell ref="H16:O16"/>
    <mergeCell ref="H17:O17"/>
    <mergeCell ref="H18:O18"/>
    <mergeCell ref="H19:O19"/>
    <mergeCell ref="H20:O20"/>
    <mergeCell ref="H21:O21"/>
    <mergeCell ref="H22:O22"/>
    <mergeCell ref="H23:O23"/>
    <mergeCell ref="H24:O24"/>
    <mergeCell ref="H25:O25"/>
    <mergeCell ref="H26:O26"/>
    <mergeCell ref="H27:O27"/>
    <mergeCell ref="H28:O28"/>
    <mergeCell ref="H29:O29"/>
    <mergeCell ref="H30:O30"/>
    <mergeCell ref="H31:O31"/>
    <mergeCell ref="H32:O32"/>
    <mergeCell ref="E34:O34"/>
    <mergeCell ref="B36:O36"/>
    <mergeCell ref="H37:O37"/>
    <mergeCell ref="H38:O38"/>
    <mergeCell ref="H39:O39"/>
    <mergeCell ref="H40:O40"/>
    <mergeCell ref="H41:O41"/>
    <mergeCell ref="H42:O42"/>
    <mergeCell ref="H43:O43"/>
    <mergeCell ref="H44:O44"/>
    <mergeCell ref="H45:O45"/>
    <mergeCell ref="H46:O46"/>
    <mergeCell ref="H47:O47"/>
    <mergeCell ref="H48:O48"/>
    <mergeCell ref="H49:O49"/>
    <mergeCell ref="H50:O50"/>
    <mergeCell ref="H51:O51"/>
    <mergeCell ref="H52:O52"/>
    <mergeCell ref="H53:O53"/>
    <mergeCell ref="H54:O54"/>
    <mergeCell ref="H55:O55"/>
    <mergeCell ref="H56:O56"/>
    <mergeCell ref="H57:O57"/>
    <mergeCell ref="H58:O58"/>
    <mergeCell ref="H59:O59"/>
    <mergeCell ref="H60:O60"/>
    <mergeCell ref="H61:O61"/>
    <mergeCell ref="H62:O62"/>
    <mergeCell ref="H63:O63"/>
    <mergeCell ref="H64:O64"/>
    <mergeCell ref="H65:O65"/>
    <mergeCell ref="H66:O66"/>
    <mergeCell ref="H67:O67"/>
    <mergeCell ref="H68:O68"/>
    <mergeCell ref="H69:O69"/>
    <mergeCell ref="H70:O70"/>
    <mergeCell ref="H71:O71"/>
    <mergeCell ref="H72:O72"/>
    <mergeCell ref="H73:O73"/>
    <mergeCell ref="H74:O74"/>
    <mergeCell ref="H75:O75"/>
    <mergeCell ref="H76:O76"/>
    <mergeCell ref="H77:O77"/>
    <mergeCell ref="B79:O79"/>
    <mergeCell ref="B101:O101"/>
    <mergeCell ref="F102:O102"/>
    <mergeCell ref="F103:O103"/>
    <mergeCell ref="F104:O104"/>
    <mergeCell ref="F105:O105"/>
    <mergeCell ref="F106:O106"/>
    <mergeCell ref="F107:O107"/>
    <mergeCell ref="F108:O108"/>
    <mergeCell ref="F109:O109"/>
    <mergeCell ref="F110:O110"/>
    <mergeCell ref="F111:O111"/>
    <mergeCell ref="F112:O112"/>
    <mergeCell ref="F113:O113"/>
    <mergeCell ref="F114:O114"/>
    <mergeCell ref="B116:O116"/>
  </mergeCells>
  <conditionalFormatting sqref="G7:G32">
    <cfRule type="cellIs" dxfId="0" priority="1" operator="equal">
      <formula>"REVISAR"</formula>
    </cfRule>
  </conditionalFormatting>
  <conditionalFormatting sqref="G7:G32">
    <cfRule type="cellIs" dxfId="1" priority="2" operator="equal">
      <formula>"OK"</formula>
    </cfRule>
  </conditionalFormatting>
  <pageMargins left="0.4" right="0.4" top="0.5" bottom="0.5" header="0.3" footer="0.3"/>
  <pageSetup paperSize="9" orientation="landscape" fitToHeight="0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F100"/>
  <sheetViews>
    <sheetView showGridLines="0" tabSelected="1" zoomScale="100" zoomScaleNormal="100" workbookViewId="0">
      <pane ySplit="3" topLeftCell="A4" activePane="bottomLeft" state="frozen"/>
      <selection pane="bottomLeft" activeCell="B4" sqref="B4"/>
    </sheetView>
  </sheetViews>
  <sheetFormatPr defaultRowHeight="13.2"/>
  <cols>
    <col min="1" max="1" width="2" customWidth="1"/>
    <col min="2" max="2" width="7" customWidth="1"/>
    <col min="3" max="3" width="30" customWidth="1"/>
    <col min="4" max="4" width="32" customWidth="1"/>
    <col min="5" max="5" width="80" customWidth="1"/>
    <col min="6" max="6" width="42" customWidth="1"/>
  </cols>
  <sheetData>
    <row r="2" ht="32" customHeight="1">
      <c r="B2" s="362" t="inlineStr">
        <is>
          <t>PASO A PASO — ACTUALIZAR EL PLAN DE NEGOCIOS CON NUEVAS PROYECCIONES DE VENTAS</t>
        </is>
      </c>
      <c r="C2" s="362"/>
      <c r="D2" s="362"/>
      <c r="E2" s="362"/>
      <c r="F2" s="362"/>
    </row>
    <row r="3" ht="30" customHeight="1">
      <c r="B3" s="363" t="inlineStr">
        <is>
          <t>Alianza del Acero · Modelo a 10 años (Año 1 = 2026 … Año 10 = 2035) · Libro base: INFORME2 ajustado a 10 años (09/06/2026) · Guía preparada el 13/10/2026 y actualizada el 16/10/2026 · Controles y datos para el PowerPoint en la hoja «CONTROLES Y PPT».</t>
        </is>
      </c>
      <c r="C3" s="363"/>
      <c r="D3" s="363"/>
      <c r="E3" s="363"/>
      <c r="F3" s="363"/>
    </row>
    <row r="5" ht="20" customHeight="1">
      <c r="B5" s="364" t="inlineStr">
        <is>
          <t>CÓMO USAR ESTA GUÍA</t>
        </is>
      </c>
      <c r="C5" s="364"/>
      <c r="D5" s="364"/>
      <c r="E5" s="364"/>
      <c r="F5" s="364"/>
    </row>
    <row r="6" ht="43.6" customHeight="1">
      <c r="B6" s="369" t="inlineStr">
        <is>
          <t>•</t>
        </is>
      </c>
      <c r="C6" s="367" t="inlineStr">
        <is>
          <t>Seguir las fases en orden: A Preparar → B Correcciones únicas → C Ventas → D Costos → E Caja y préstamos CP → F Resultados y controles → G PowerPoint. Al terminar cada fase presionar F9 y revisar en «CONTROLES Y PPT» los controles que indica cada paso (columna «Control / resultado esperado»). Los controles 13, 14 y 23 (caja, préstamos CP y dividendos) recién deben quedar en OK al terminar la fase E; en el paso F1, todos (salvo el 13 si depende de la decisión de dividendos: paso E5).</t>
        </is>
      </c>
      <c r="D6" s="367"/>
      <c r="E6" s="367"/>
      <c r="F6" s="367"/>
    </row>
    <row r="7" ht="17.2" customHeight="1">
      <c r="B7" s="369" t="inlineStr">
        <is>
          <t>•</t>
        </is>
      </c>
      <c r="C7" s="367" t="inlineStr">
        <is>
          <t>Columna «Dónde»: hacer clic para ir a la celda. Los vínculos a hojas ocultas funcionan después del paso A3.</t>
        </is>
      </c>
      <c r="D7" s="367"/>
      <c r="E7" s="367"/>
      <c r="F7" s="367"/>
    </row>
    <row r="8" ht="30.4" customHeight="1">
      <c r="B8" s="369" t="inlineStr">
        <is>
          <t>•</t>
        </is>
      </c>
      <c r="C8" s="367" t="inlineStr">
        <is>
          <t>Colores del modelo: relleno azul claro = dato real; relleno amarillo = proyección cargada a mano; fuente verde = plan original (no se toca). En estas dos hojas, fuente azul sobre amarillo = dato de entrada o referencia fija.</t>
        </is>
      </c>
      <c r="D8" s="367"/>
      <c r="E8" s="367"/>
      <c r="F8" s="367"/>
    </row>
    <row r="9" ht="17.2" customHeight="1">
      <c r="B9" s="369" t="inlineStr">
        <is>
          <t>•</t>
        </is>
      </c>
      <c r="C9" s="367" t="inlineStr">
        <is>
          <t>Las fórmulas de esta guía están escritas para Excel en español (separador «;»). Si su Excel usa «,» como separador, reemplazarlo.</t>
        </is>
      </c>
      <c r="D9" s="367"/>
      <c r="E9" s="367"/>
      <c r="F9" s="367"/>
    </row>
    <row r="10" ht="56.8" customHeight="1">
      <c r="B10" s="369" t="inlineStr">
        <is>
          <t>•</t>
        </is>
      </c>
      <c r="C10" s="367" t="inlineStr">
        <is>
          <t>Escribir solo en las celdas indicadas. No escribir en columnas de total o promedio (O y AD de Ej_Producción, Ej_Ingresos, Ej_Costos, Ej_Resultados y Ej_Deuda; O, AB, AO, BB, BO, CB, CO, DB, DO, EB y EF de Ej_Flujo), salvo las celdas que un paso indica expresamente: Ej_Producción!O31:O32 y O46:O47 (B4), Ej_Costos!O9:O19 y AD9:AD19 (B5), Ej_Costos!O1 (D2) y Ej_Flujo!O37 y O40 (E2). Tampoco en el plan original (columnas P y AE de esas cinco hojas, salvo el rótulo Ej_Costos!P1, que se actualiza en el paso D2; columna E de Supuestos). En Ej_Flujo no hay columnas de plan: P, AD y AE son meses (ene-2027, feb-2028 y mar-2028) y se editan cuando un paso lo indica. El auxiliar Ej_Costos!O88:P114 (paso D5) no es plan ni total.</t>
        </is>
      </c>
      <c r="D10" s="367"/>
      <c r="E10" s="367"/>
      <c r="F10" s="367"/>
    </row>
    <row r="11" ht="17.2" customHeight="1">
      <c r="B11" s="369" t="inlineStr">
        <is>
          <t>•</t>
        </is>
      </c>
      <c r="C11" s="367" t="inlineStr">
        <is>
          <t>Trabajar sobre este libro (INFORME2). El libro «ORIGINAL» es casi idéntico, pero tiene #¡REF! en Payback y depende de este archivo por un vínculo externo: no copiar celdas desde él.</t>
        </is>
      </c>
      <c r="D11" s="367"/>
      <c r="E11" s="367"/>
      <c r="F11" s="367"/>
    </row>
    <row r="13" ht="20" customHeight="1">
      <c r="B13" s="364" t="inlineStr">
        <is>
          <t>CRITERIOS DEL MODELO (mantenerlos; si alguno cambia, anotarlo en el registro del final)</t>
        </is>
      </c>
      <c r="C13" s="364"/>
      <c r="D13" s="364"/>
      <c r="E13" s="364"/>
      <c r="F13" s="364"/>
    </row>
    <row r="14" ht="18" customHeight="1">
      <c r="B14" s="365" t="inlineStr">
        <is>
          <t>#</t>
        </is>
      </c>
      <c r="C14" s="365" t="inlineStr">
        <is>
          <t>Tema</t>
        </is>
      </c>
      <c r="D14" s="366" t="inlineStr">
        <is>
          <t>Criterio</t>
        </is>
      </c>
      <c r="E14" s="366"/>
      <c r="F14" s="366"/>
    </row>
    <row r="15" ht="17.2" customHeight="1">
      <c r="B15" s="369">
        <v>1</v>
      </c>
      <c r="C15" s="368" t="inlineStr">
        <is>
          <t>Horizonte</t>
        </is>
      </c>
      <c r="D15" s="367" t="inlineStr">
        <is>
          <t>Año 1 = 2026 (real hasta el corte + proyección); Año 2 = 2027 (proyección mensual); Años 3-10 = 2028-2035 (proyección anual).</t>
        </is>
      </c>
      <c r="E15" s="367"/>
      <c r="F15" s="367"/>
    </row>
    <row r="16" ht="17.2" customHeight="1">
      <c r="B16" s="369">
        <v>2</v>
      </c>
      <c r="C16" s="368" t="inlineStr">
        <is>
          <t>Volumen años 1 y 2</t>
        </is>
      </c>
      <c r="D16" s="367" t="inlineStr">
        <is>
          <t>Tn producidas y vendidas por producto y mes en Ej_Producción (filas 22-32 producción; 37-47 ventas). El modelo a 10 años toma los totales (columnas O y AD).</t>
        </is>
      </c>
      <c r="E16" s="367"/>
      <c r="F16" s="367"/>
    </row>
    <row r="17" ht="17.2" customHeight="1">
      <c r="B17" s="369">
        <v>3</v>
      </c>
      <c r="C17" s="368" t="inlineStr">
        <is>
          <t>Volumen años 3-10</t>
        </is>
      </c>
      <c r="D17" s="367" t="inlineStr">
        <is>
          <t>Producción = año anterior × (1 + Supuestos!B11, hoy 5%). Venta = producción × (1 − Supuestos!B8, merma 1,5%). Igual para los 11 productos.</t>
        </is>
      </c>
      <c r="E17" s="367"/>
      <c r="F17" s="367"/>
    </row>
    <row r="18" ht="30.4" customHeight="1">
      <c r="B18" s="369">
        <v>4</v>
      </c>
      <c r="C18" s="368" t="inlineStr">
        <is>
          <t>Precio</t>
        </is>
      </c>
      <c r="D18" s="367" t="inlineStr">
        <is>
          <t>Años 1 y 2: promedio ponderado por Tn de Ej_Ingresos (filas 8-18, USD/Tn sin IVA, régimen maquila). Año 3 = año 2 × (1 + B14, 5%); años 4-10 = año anterior × (1 + B15, 2%).</t>
        </is>
      </c>
      <c r="E18" s="367"/>
      <c r="F18" s="367"/>
    </row>
    <row r="19" ht="17.2" customHeight="1">
      <c r="B19" s="369">
        <v>5</v>
      </c>
      <c r="C19" s="368" t="inlineStr">
        <is>
          <t>Costo de materia prima</t>
        </is>
      </c>
      <c r="D19" s="367" t="inlineStr">
        <is>
          <t>USD/Tn por producto y mes en Ej_Costos (filas 9-19) × Tn PRODUCIDAS. Años 3-10: costo/Tn promedio de 2027 × (1 + B18, 3%) por año.</t>
        </is>
      </c>
      <c r="E19" s="367"/>
      <c r="F19" s="367"/>
    </row>
    <row r="20" ht="56.8" customHeight="1">
      <c r="B20" s="369">
        <v>6</v>
      </c>
      <c r="C20" s="368" t="inlineStr">
        <is>
          <t>Otros costos</t>
        </is>
      </c>
      <c r="D20" s="367" t="inlineStr">
        <is>
          <t>Insumos, packaging, mantenimiento y movimiento de carga: en 2026, tarifa del plan por Tn × Tn del mes (el mantenimiento 2026 está tipeado); en 2027, plan × (2 − MP plan / MP proyectada), repartido por las Tn de cada mes. Años 3-10: insumos (Supuestos!B61 × Tn producidas), packaging (B62 × MP) y seguro caución (20% × 1,8% × MP) siguen al volumen; mantenimiento, movimiento de carga y energía crecen 10% anual fijo (Costos filas 11, 15 y 16) y no cambian con la prospección. Mano de obra y gastos fijos no siguen al volumen: la MO crece 3% anual desde el año 3 (cargas 43,09%; en los años 1-2 el factor 1,42 está incluido).</t>
        </is>
      </c>
      <c r="E20" s="367"/>
      <c r="F20" s="367"/>
    </row>
    <row r="21" ht="30.4" customHeight="1">
      <c r="B21" s="369">
        <v>7</v>
      </c>
      <c r="C21" s="368" t="inlineStr">
        <is>
          <t>Capital de trabajo</t>
        </is>
      </c>
      <c r="D21" s="367" t="inlineStr">
        <is>
          <t>Días de Supuestos!B77:B83: caja 2, sueldos 15, stock MP 45, ventas a crédito 90, producto terminado 0, crédito de proveedores de MP 0 (sin crédito del proveedor de chapa) y proveedores menores 15. En el flujo mensual, las ventas se cobran a los 3 meses.</t>
        </is>
      </c>
      <c r="E21" s="367"/>
      <c r="F21" s="367"/>
    </row>
    <row r="22" ht="17.2" customHeight="1">
      <c r="B22" s="369">
        <v>8</v>
      </c>
      <c r="C22" s="368" t="inlineStr">
        <is>
          <t>Impuesto</t>
        </is>
      </c>
      <c r="D22" s="367" t="inlineStr">
        <is>
          <t>Tributo maquila: 1% de las ventas (Supuestos!B68).</t>
        </is>
      </c>
      <c r="E22" s="367"/>
      <c r="F22" s="367"/>
    </row>
    <row r="23" ht="30.4" customHeight="1">
      <c r="B23" s="369">
        <v>9</v>
      </c>
      <c r="C23" s="368" t="inlineStr">
        <is>
          <t>Préstamos CP para chapas</t>
        </is>
      </c>
      <c r="D23" s="367" t="inlineStr">
        <is>
          <t>Desembolsos tipeados en Ej_Flujo fila 8; devolución en la fila 16; interés 8% sobre la devolución (fila 17). El interés baja la utilidad, pero no entra al VAN.</t>
        </is>
      </c>
      <c r="E23" s="367"/>
      <c r="F23" s="367"/>
    </row>
    <row r="24" ht="30.4" customHeight="1">
      <c r="B24" s="369">
        <v>10</v>
      </c>
      <c r="C24" s="368" t="inlineStr">
        <is>
          <t>Valuación</t>
        </is>
      </c>
      <c r="D24" s="367" t="inlineStr">
        <is>
          <t>VAN a 10 años al WACC (9,87%), sin valor terminal, con recupero del capital de trabajo en el año 10; TIR del mismo flujo (VAN-TIR fila 15). Es el método con que se calculó el VAN del plan: no cambiarlo.</t>
        </is>
      </c>
      <c r="E24" s="367"/>
      <c r="F24" s="367"/>
    </row>
    <row r="25" ht="30.4" customHeight="1">
      <c r="B25" s="369">
        <v>11</v>
      </c>
      <c r="C25" s="368" t="inlineStr">
        <is>
          <t>Payback</t>
        </is>
      </c>
      <c r="D25" s="367" t="inlineStr">
        <is>
          <t>Inversión propia: dividendos descontados a Ke (16,32%) contra el aporte propio (USD 606.000). Los dividendos siguen un calendario fijo que empieza en el año 6 (Resultados filas 18 y 26-31).</t>
        </is>
      </c>
      <c r="E25" s="367"/>
      <c r="F25" s="367"/>
    </row>
    <row r="26" ht="43.6" customHeight="1">
      <c r="B26" s="369">
        <v>12</v>
      </c>
      <c r="C26" s="368" t="inlineStr">
        <is>
          <t>Plan original</t>
        </is>
      </c>
      <c r="D26" s="367" t="inlineStr">
        <is>
          <t>En el libro solo están el plan de los años 1 y 2 (columnas P y AE de Ej_Producción, Ej_Ingresos, Ej_Costos, Ej_Resultados y Ej_Deuda) y los supuestos originales (Supuestos, columna E). En «CONTROLES Y PPT», el VAN, la TIR, el payback y los rótulos acumulados del plan están en la sección 4, y las series plan de los gráficos (los 10 años, copiadas del PPT de junio) en la sección 3, filas 82, 85, 87 y 89.</t>
        </is>
      </c>
      <c r="E26" s="367"/>
      <c r="F26" s="367"/>
    </row>
    <row r="28" ht="20" customHeight="1">
      <c r="B28" s="364" t="inlineStr">
        <is>
          <t>FASE A — PREPARAR LA ACTUALIZACIÓN</t>
        </is>
      </c>
      <c r="C28" s="364"/>
      <c r="D28" s="364"/>
      <c r="E28" s="364"/>
      <c r="F28" s="364"/>
    </row>
    <row r="29" ht="18" customHeight="1">
      <c r="B29" s="365" t="inlineStr">
        <is>
          <t>Paso</t>
        </is>
      </c>
      <c r="C29" s="365" t="inlineStr">
        <is>
          <t>Qué hacer</t>
        </is>
      </c>
      <c r="D29" s="365" t="inlineStr">
        <is>
          <t>Dónde</t>
        </is>
      </c>
      <c r="E29" s="365" t="inlineStr">
        <is>
          <t>Cómo / criterio</t>
        </is>
      </c>
      <c r="F29" s="365" t="inlineStr">
        <is>
          <t>Control / resultado esperado</t>
        </is>
      </c>
    </row>
    <row r="30" ht="70.0" customHeight="1">
      <c r="B30" s="370" t="inlineStr">
        <is>
          <t>A1</t>
        </is>
      </c>
      <c r="C30" s="368" t="inlineStr">
        <is>
          <t>Guardar una copia con versión</t>
        </is>
      </c>
      <c r="D30" s="367" t="inlineStr">
        <is>
          <t>(libro)</t>
        </is>
      </c>
      <c r="E30" s="367" t="inlineStr">
        <is>
          <t>Archivo &gt; Guardar como: «…_RV01_PROSPECCION_AAAAMMDD.xlsx». Trabajar siempre sobre la copia y conservar la versión anterior para comparar. Antes de la fase G, hacer lo mismo con el PowerPoint (Informe_Ejecutivo_Plan_vs_Actualizado_ALIANZA_DEL_ACERO_10_AÑOS.pptx): guardarlo con un nombre nuevo («…_RV01_AAAAMMDD.pptx») y editar solo la copia.</t>
        </is>
      </c>
      <c r="F30" s="367" t="inlineStr">
        <is>
          <t>El nombre del libro indica versión y fecha (y, antes de empezar la fase G, también el del PPT).</t>
        </is>
      </c>
    </row>
    <row r="31" ht="56.8" customHeight="1">
      <c r="B31" s="370" t="inlineStr">
        <is>
          <t>A2</t>
        </is>
      </c>
      <c r="C31" s="368" t="inlineStr">
        <is>
          <t>Abrir sin actualizar vínculos y con cálculo automático</t>
        </is>
      </c>
      <c r="D31" s="371" t="inlineStr">
        <is>
          <t>Servicio Deuda!D18</t>
        </is>
      </c>
      <c r="E31" s="367" t="inlineStr">
        <is>
          <t>Al abrir el libro, ante el aviso de vínculos externos, elegir «No actualizar»: la deuda LP de 'Servicio Deuda'!D18:I20 viene del archivo CALCULADORA PRESTAMO, que no está en este equipo. En Datos &gt; Editar vínculos se puede confirmar que el vínculo quedó sin actualizar. Fórmulas &gt; Opciones para el cálculo &gt; Automático.</t>
        </is>
      </c>
      <c r="F31" s="367" t="inlineStr">
        <is>
          <t>Después del paso A3 (la hoja Servicio Deuda está oculta): 'Servicio Deuda'!D18 sigue en 29.277,76, sin error.</t>
        </is>
      </c>
    </row>
    <row r="32" ht="83.2" customHeight="1">
      <c r="B32" s="370" t="inlineStr">
        <is>
          <t>A3</t>
        </is>
      </c>
      <c r="C32" s="368" t="inlineStr">
        <is>
          <t>Mostrar las hojas ocultas y expandir los grupos</t>
        </is>
      </c>
      <c r="D32" s="371" t="inlineStr">
        <is>
          <t>Ej_Producción!B6</t>
        </is>
      </c>
      <c r="E32" s="367" t="inlineStr">
        <is>
          <t>Hojas ocultas: Ej_Producción, Ej_Ingresos, Ej_Costos, Ej_Resultados, Ej_Deuda, Dashboard Ejec., Productos, Maquinaria, Mano de Obra, Servicio Deuda, Depreciación, IVA y Estr. Costos. Clic derecho en una pestaña &gt; Mostrar (una vez por hoja). En Ej_Producción y Ej_Ingresos expandir filas y columnas con los botones de nivel «2». En Ej_Costos mostrar las filas 22-34. En Ej_Ingresos: Vista &gt; Inmovilizar &gt; Movilizar paneles y volver a inmovilizar en C8.</t>
        </is>
      </c>
      <c r="F32" s="367" t="inlineStr">
        <is>
          <t>Se ven los meses ene…dic de 2026 y 2027.</t>
        </is>
      </c>
    </row>
    <row r="33" ht="43.6" customHeight="1">
      <c r="B33" s="370" t="inlineStr">
        <is>
          <t>A4</t>
        </is>
      </c>
      <c r="C33" s="368" t="inlineStr">
        <is>
          <t>Guardar la foto «antes»</t>
        </is>
      </c>
      <c r="D33" s="371" t="inlineStr">
        <is>
          <t>CONTROLES Y PPT, sección 2</t>
        </is>
      </c>
      <c r="E33" s="367" t="inlineStr">
        <is>
          <t>La columna «PPT jun-2026» de la sección 2 ya guarda las cifras de la versión anterior. Antes de cargar, copiar la columna «Libro (vivo)» y pegarla como valores en una hoja «Foto_antes». Sirve para explicar las variaciones.</t>
        </is>
      </c>
      <c r="F33" s="367" t="inlineStr">
        <is>
          <t>Hoy: VAN 2.844.948; TIR 14,92%; EBITDA acumulado 25,4M.</t>
        </is>
      </c>
    </row>
    <row r="34" ht="70.0" customHeight="1">
      <c r="B34" s="370" t="inlineStr">
        <is>
          <t>A5</t>
        </is>
      </c>
      <c r="C34" s="368" t="inlineStr">
        <is>
          <t>Definir el corte y reunir la prospección</t>
        </is>
      </c>
      <c r="D34" s="367" t="inlineStr">
        <is>
          <t>—</t>
        </is>
      </c>
      <c r="E34" s="367" t="inlineStr">
        <is>
          <t>Definir el último mes real (hoy el libro tiene volúmenes reales hasta mayo-2026 y precios hasta abril-2026). Reunir por producto y mes: Tn producidas, Tn vendidas y precio USD/Tn sin IVA del resto de 2026 y de 2027; costo de chapa USD/Tn; dotación de personal. Para 2028-2035: tasas de crecimiento, o Tn y precio por producto y año.</t>
        </is>
      </c>
      <c r="F34" s="367" t="inlineStr">
        <is>
          <t>Información con fuente y fecha (Comercial, Compras, RR. HH.).</t>
        </is>
      </c>
    </row>
    <row r="36" ht="20" customHeight="1">
      <c r="B36" s="364" t="inlineStr">
        <is>
          <t>FASE B — CORRECCIONES ÚNICAS (una sola vez, antes de cargar; sin ellas la nueva prospección no llega a la caja ni al payback)</t>
        </is>
      </c>
      <c r="C36" s="364"/>
      <c r="D36" s="364"/>
      <c r="E36" s="364"/>
      <c r="F36" s="364"/>
    </row>
    <row r="37" ht="18" customHeight="1">
      <c r="B37" s="365" t="inlineStr">
        <is>
          <t>Paso</t>
        </is>
      </c>
      <c r="C37" s="365" t="inlineStr">
        <is>
          <t>Qué hacer</t>
        </is>
      </c>
      <c r="D37" s="365" t="inlineStr">
        <is>
          <t>Dónde</t>
        </is>
      </c>
      <c r="E37" s="365" t="inlineStr">
        <is>
          <t>Cómo / criterio</t>
        </is>
      </c>
      <c r="F37" s="365" t="inlineStr">
        <is>
          <t>Control / resultado esperado</t>
        </is>
      </c>
    </row>
    <row r="38" ht="83.2" customHeight="1">
      <c r="B38" s="370" t="inlineStr">
        <is>
          <t>B1</t>
        </is>
      </c>
      <c r="C38" s="368" t="inlineStr">
        <is>
          <t>Vincular los cobros 2028-2036 (hoy son valores pegados)</t>
        </is>
      </c>
      <c r="D38" s="371" t="inlineStr">
        <is>
          <t>Ej_Flujo!AC6</t>
        </is>
      </c>
      <c r="E38" s="367" t="inlineStr">
        <is>
          <t>Mismo criterio del modelo (venta anual / 12, cobrada a 90 días). AC6 =Ej_Ingresos!AA34; AD6 =Ej_Ingresos!AB34; AE6 =Ej_Ingresos!AC34. AF6:AN6 y AP6:AR6 =$AF$40; AS6:BA6 y BC6:BE6 =$AS$40; BF6:BN6 y BP6:BR6 =$BF$40; BS6:CA6 y CC6:CE6 =$BS$40; CF6:CN6 y CP6:CR6 =$CE$40; CS6:DA6 y DC6:DE6 =$CS$40; DF6:DN6 y DP6:DR6 =$DF$40; DS6:EA6 y EC6:EE6 =$DS$40. No escribir en las columnas de total. Con los datos actuales los valores no cambian (se verificó celda por celda).</t>
        </is>
      </c>
      <c r="F38" s="367" t="inlineStr">
        <is>
          <t>Controles 10 y 11 en OK.</t>
        </is>
      </c>
    </row>
    <row r="39" ht="70.0" customHeight="1">
      <c r="B39" s="370" t="inlineStr">
        <is>
          <t>B2</t>
        </is>
      </c>
      <c r="C39" s="368" t="inlineStr">
        <is>
          <t>Vincular el impuesto maquila 2028-2035 (hoy repite el de 2027)</t>
        </is>
      </c>
      <c r="D39" s="371" t="inlineStr">
        <is>
          <t>Ej_Flujo!AC24</t>
        </is>
      </c>
      <c r="E39" s="367" t="inlineStr">
        <is>
          <t>Se paga al mes siguiente. AC24 =Ej_Resultados!AC18; AD24:AN24 y AP24 =Resultados!$E$13/12; AQ24:BA24 y BC24 =Resultados!$F$13/12; BD24:BN24 y BP24 =Resultados!$G$13/12; BQ24:CA24 y CC24 =Resultados!$H$13/12; CD24:CN24 y CP24 =Resultados!$I$13/12; CQ24:DA24 y DC24 =Resultados!$J$13/12; DD24:DN24 y DP24 =Resultados!$K$13/12; DQ24:EA24 =Resultados!$L$13/12.</t>
        </is>
      </c>
      <c r="F39" s="367" t="inlineStr">
        <is>
          <t>Control 12 en OK.</t>
        </is>
      </c>
    </row>
    <row r="40" ht="83.2" customHeight="1">
      <c r="B40" s="370" t="inlineStr">
        <is>
          <t>B3</t>
        </is>
      </c>
      <c r="C40" s="368" t="inlineStr">
        <is>
          <t>Completar las cuotas LP de jul-oct 2031 (faltan)</t>
        </is>
      </c>
      <c r="D40" s="371" t="inlineStr">
        <is>
          <t>Ej_Flujo!AC23</t>
        </is>
      </c>
      <c r="E40" s="367" t="inlineStr">
        <is>
          <t>AC23:AN23 =('Servicio Deuda'!$F$23+'Servicio Deuda'!$F$24+'Servicio Deuda'!$F$25)/12; AP23:BA23 igual con la columna G; BC23:BN23 con la H; BP23:BY23 =('Servicio Deuda'!$I$23+'Servicio Deuda'!$I$24+'Servicio Deuda'!$I$25)/10. Agrega unos USD 464.000 de egresos en jul-oct 2031 (4 × 116.058) y, neto de la baja de las cuotas de ene-2028 a jun-2031 (≈ USD 77.000), unos USD 387.000 (≈ valor actual del control 17). Después hay que revisar los préstamos CP (paso E3).</t>
        </is>
      </c>
      <c r="F40" s="367" t="inlineStr">
        <is>
          <t>Control 17 en OK.</t>
        </is>
      </c>
    </row>
    <row r="41" ht="83.2" customHeight="1">
      <c r="B41" s="370" t="inlineStr">
        <is>
          <t>B4</t>
        </is>
      </c>
      <c r="C41" s="368" t="inlineStr">
        <is>
          <t>Crear los totales 2026 de Steel Frame y Accesorios y vincular Producción!D26</t>
        </is>
      </c>
      <c r="D41" s="371" t="inlineStr">
        <is>
          <t>Ej_Producción!O31</t>
        </is>
      </c>
      <c r="E41" s="367" t="inlineStr">
        <is>
          <t>En Ej_Producción escribir O31 =SUMA(C31:N31) y copiarla a O32; escribir O46 =SUMA(C46:N46) y copiarla a O47 (hoy las cuatro están vacías, a diferencia de O30 y O45). Luego Producción!D26 =+Ej_Producción!O32 (hoy es un 0 tipeado; D24, D25 y D27 ya apuntan a O31, O46 y O47). Sin esto, si Steel Frame o Accesorios producen o venden en 2026, su volumen no llega al modelo anual: Tn, precio promedio (Ej_Ingresos!O17:O18) y costo/Tn (Ej_Costos!O18:O19) quedan en 0.</t>
        </is>
      </c>
      <c r="F41" s="367" t="inlineStr">
        <is>
          <t>Control 9 en OK.</t>
        </is>
      </c>
    </row>
    <row r="42" ht="56.8" customHeight="1">
      <c r="B42" s="370" t="inlineStr">
        <is>
          <t>B5</t>
        </is>
      </c>
      <c r="C42" s="368" t="inlineStr">
        <is>
          <t>Proteger el costo/Tn y reparar los productos 4, 10 y 11</t>
        </is>
      </c>
      <c r="D42" s="371" t="inlineStr">
        <is>
          <t>Ej_Costos!O9</t>
        </is>
      </c>
      <c r="E42" s="367" t="inlineStr">
        <is>
          <t>O9 =SI(Ej_Producción!O22=0;0;O23/Ej_Producción!O22) y copiar a O10:O19 (reemplaza los 0 tipeados de O18:O19). AD9 =SI(Ej_Producción!AD22=0;0;AD23/Ej_Producción!AD22) y copiar a AD10:AD19. Copiar E26 en C26:D26 (falta la fórmula de ene-feb del producto 4).</t>
        </is>
      </c>
      <c r="F42" s="367" t="inlineStr">
        <is>
          <t>Control 25 en OK (sin #¡DIV/0! si un producto queda en 0 Tn).</t>
        </is>
      </c>
    </row>
    <row r="43" ht="43.6" customHeight="1">
      <c r="B43" s="370" t="inlineStr">
        <is>
          <t>B6</t>
        </is>
      </c>
      <c r="C43" s="368" t="inlineStr">
        <is>
          <t>Corregir los exponentes del payback de la inversión total</t>
        </is>
      </c>
      <c r="D43" s="371" t="inlineStr">
        <is>
          <t>Payback!D11</t>
        </is>
      </c>
      <c r="E43" s="367" t="inlineStr">
        <is>
          <t>Hoy todas las columnas descuentan con ^1. D11 ='VAN-TIR'!D28/(1+Supuestos!$B$73)^(COLUMNA()-COLUMNA($C$11)) y copiar hasta M11 (equivale a ^1, ^2 … ^10).</t>
        </is>
      </c>
      <c r="F43" s="367" t="inlineStr">
        <is>
          <t>Control 22 en OK (Payback!M12 ≈ 986.333 con los datos actuales).</t>
        </is>
      </c>
    </row>
    <row r="44" ht="96.4" customHeight="1">
      <c r="B44" s="370" t="inlineStr">
        <is>
          <t>B7</t>
        </is>
      </c>
      <c r="C44" s="368" t="inlineStr">
        <is>
          <t>Calcular el payback con fórmula (hoy es texto tipeado)</t>
        </is>
      </c>
      <c r="D44" s="371" t="inlineStr">
        <is>
          <t>Payback!C8</t>
        </is>
      </c>
      <c r="E44" s="367" t="inlineStr">
        <is>
          <t>En Payback!B8 escribir el rótulo «Payback inversión propia (años)» y en Payback!C8: =SI.ERROR(CONTAR.SI(D7:M7;"&lt;0")+(-INDICE(C7:M7;CONTAR.SI(C7:M7;"&lt;0")))/INDICE(C6:M6;CONTAR.SI(C7:M7;"&lt;0")+1);"No recupera en 10 años"). En Payback!B13 escribir «Payback inversión total (años)» y en Payback!C13: =SI.ERROR(CONTAR.SI(D12:M12;"&lt;0")+(-INDICE(C12:M12;CONTAR.SI(C12:M12;"&lt;0")))/INDICE(C11:M11;CONTAR.SI(C12:M12;"&lt;0")+1);"No recupera en 10 años"). Luego Dashboard!C12 =Payback!C8 y Dashboard!C13 =Payback!C13 (hoy dicen «4 Años» y «7 Años» tipeados), con formato 0,0 "años".</t>
        </is>
      </c>
      <c r="F44" s="367" t="inlineStr">
        <is>
          <t>Control 21 en OK. Hoy: propia 6,4 años (recupera en el año 7); total ≈ 8,1 años después de B6.</t>
        </is>
      </c>
    </row>
    <row r="45" ht="202.0" customHeight="1">
      <c r="B45" s="370" t="inlineStr">
        <is>
          <t>B8</t>
        </is>
      </c>
      <c r="C45" s="368" t="inlineStr">
        <is>
          <t>Vincular los demás egresos operativos 2028-2035 (hoy son valores pegados)</t>
        </is>
      </c>
      <c r="D45" s="371" t="inlineStr">
        <is>
          <t>Ej_Flujo!AC13</t>
        </is>
      </c>
      <c r="E45" s="367" t="inlineStr">
        <is>
          <t>Mismo mapeo que 2027, con el costo anual de la hoja Costos / 12. Para 2028: AC13:AN13 =(Costos!$F$10+Costos!$F$13+Costos!$F$27)/12 (insumos, packaging y honorarios); AC19:AN19 =(Costos!$F$7+Costos!$F$8+Costos!$F$14+Costos!$F$20+Costos!$F$21)/12 (nómina y alimentación); AC21:AN21 =(Costos!$F$16+Costos!$F$22+Costos!$F$23)/12 (energía, servicios y alquileres); AC22:AN22 =(Costos!$F$9+Costos!$F$11+Costos!$F$12+Costos!$F$15+Costos!$F$24+Costos!$F$25+Costos!$F$26)/12 (otros). Repetir con la columna G de Costos en AP:BA, H en BC:BN, I en BP:CA, J en CC:CN, K en CP:DA, L en DC:DN y M en DP:EA, sin escribir en las columnas de total. Hoy esas filas son valores pegados, iguales en los ocho años 2028-2035 (parecidos a 2027, pero no iguales en las filas 13 y 22), y no siguen al volumen: el cambio agrega ≈ USD 1,62M de egresos en 2028-2035. Atención: la fila 25 («Inversiones / CAPEX») repite desde feb-2027 los servicios de terceros de Steel Frame que ya están en la fila 22 (USD 3.750/mes; 371.250 en 2027-2035). Confirmarlo con quien armó el modelo; si es una duplicación, dejar en 0 las columnas de mes de la fila 25 desde feb-2027 y anotarlo en el registro.</t>
        </is>
      </c>
      <c r="F45" s="367" t="inlineStr">
        <is>
          <t>Control 26 en OK. Con B2, B3 y B8 la caja empeora: es esperable y se resuelve en E3 y E5.</t>
        </is>
      </c>
    </row>
    <row r="47" ht="20" customHeight="1">
      <c r="B47" s="364" t="inlineStr">
        <is>
          <t>FASE C — CARGAR LA PROSPECCIÓN DE VENTAS</t>
        </is>
      </c>
      <c r="C47" s="364"/>
      <c r="D47" s="364"/>
      <c r="E47" s="364"/>
      <c r="F47" s="364"/>
    </row>
    <row r="48" ht="18" customHeight="1">
      <c r="B48" s="365" t="inlineStr">
        <is>
          <t>Paso</t>
        </is>
      </c>
      <c r="C48" s="365" t="inlineStr">
        <is>
          <t>Qué hacer</t>
        </is>
      </c>
      <c r="D48" s="365" t="inlineStr">
        <is>
          <t>Dónde</t>
        </is>
      </c>
      <c r="E48" s="365" t="inlineStr">
        <is>
          <t>Cómo / criterio</t>
        </is>
      </c>
      <c r="F48" s="365" t="inlineStr">
        <is>
          <t>Control / resultado esperado</t>
        </is>
      </c>
    </row>
    <row r="49" ht="136.0" customHeight="1">
      <c r="B49" s="370" t="inlineStr">
        <is>
          <t>C1</t>
        </is>
      </c>
      <c r="C49" s="368" t="inlineStr">
        <is>
          <t>Actualizar los meses reales hasta el corte</t>
        </is>
      </c>
      <c r="D49" s="371" t="inlineStr">
        <is>
          <t>Ej_Producción!H22</t>
        </is>
      </c>
      <c r="E49" s="367" t="inlineStr">
        <is>
          <t>Rangos (ejemplo con corte a setiembre; si el corte es otro, terminar en la columna de ese mes): Ej_Producción!H22:K32 (producción) y H37:K47 (ventas); Ej_Ingresos!G8:K18 (precio). Desde el primer mes no real (hoy: volumen desde junio, columna H; precio desde mayo, columna G) hasta el mes del corte (setiembre = columna K). Producción en Tn producidas y ventas en Tn facturadas, por producto y mes. Precio = facturación del mes en USD sin IVA ÷ Tn vendidas del mismo producto (si se facturó en Gs, convertir con el TC del mes). Mes sin venta: Tn = 0. Pasar los meses reales a formato azul (Copiar formato desde C22 y C8) y actualizar los títulos B2: en Ej_Producción y Ej_Ingresos, «…EJECUTADO A ABRIL…» → mes del corte; en Ej_Costos, «…EJECUTADO &amp; PROYECTADO» → «…EJECUTADO A &lt;MES&gt; &amp; PROYECTADO».</t>
        </is>
      </c>
      <c r="F49" s="367" t="inlineStr">
        <is>
          <t>Controles 1 a 5 en OK; totales iguales a la facturación contable.</t>
        </is>
      </c>
    </row>
    <row r="50" ht="96.4" customHeight="1">
      <c r="B50" s="370" t="inlineStr">
        <is>
          <t>C2</t>
        </is>
      </c>
      <c r="C50" s="368" t="inlineStr">
        <is>
          <t>Cargar la prospección del resto de 2026</t>
        </is>
      </c>
      <c r="D50" s="371" t="inlineStr">
        <is>
          <t>Ej_Producción!L22</t>
        </is>
      </c>
      <c r="E50" s="367" t="inlineStr">
        <is>
          <t>Rangos: Ej_Producción!L22:N32 y L37:N47; Ej_Ingresos!L8:N18. Meses posteriores al corte (con corte a setiembre: oct-dic, columnas L:N), en las celdas amarillas. Criterio del modelo: Tn vendidas tipeadas según la prospección comercial (hoy sin merma en los años 1 y 2; la merma de 1,5% se aplica desde el año 3). Si se decide aplicar la merma también en 2026, anotarlo en el registro, igual que en C3 (b). La venta acumulada no puede superar a la producción acumulada más el stock inicial. Si hay Tn vendidas, el precio no puede quedar vacío.</t>
        </is>
      </c>
      <c r="F50" s="367" t="inlineStr">
        <is>
          <t>Controles 5 y 7 en OK.</t>
        </is>
      </c>
    </row>
    <row r="51" ht="83.2" customHeight="1">
      <c r="B51" s="370" t="inlineStr">
        <is>
          <t>C3</t>
        </is>
      </c>
      <c r="C51" s="368" t="inlineStr">
        <is>
          <t>Cargar 2027 mes a mes</t>
        </is>
      </c>
      <c r="D51" s="371" t="inlineStr">
        <is>
          <t>Ej_Producción!R22</t>
        </is>
      </c>
      <c r="E51" s="367" t="inlineStr">
        <is>
          <t>Rangos: Ej_Producción!R22:AC32 y R37:AC47; Ej_Ingresos!R8:AC18. Si la prospección trae un total anual por producto, repartirlo en 12 meses según la rampa comercial (o /12). El total (columna AD) y el precio promedio ponderado (Ej_Ingresos!AD8:AD18) son la base de los años 3-10. Decidir y anotar en el registro: (a) si el precio 2027 lleva +5% (el plan sí; la proyección actual no); (b) si la venta lleva la merma de 1,5% (hoy venta = producción). No tocar AD, AE ni AF.</t>
        </is>
      </c>
      <c r="F51" s="367" t="inlineStr">
        <is>
          <t>Controles 2 a 5 en OK.</t>
        </is>
      </c>
    </row>
    <row r="52" ht="56.8" customHeight="1">
      <c r="B52" s="370" t="inlineStr">
        <is>
          <t>C4</t>
        </is>
      </c>
      <c r="C52" s="368" t="inlineStr">
        <is>
          <t>Años 2028-2035, si la prospección viene como tasas</t>
        </is>
      </c>
      <c r="D52" s="371" t="inlineStr">
        <is>
          <t>Supuestos!B11</t>
        </is>
      </c>
      <c r="E52" s="367" t="inlineStr">
        <is>
          <t>Escribir la tasa como fracción (5% = 0,05): B11 crecimiento anual de la producción; B8 merma producción-venta; B14 aumento de precio del año 3; B15 aumento de precio de los años 4-10. Son iguales para los 11 productos. No modificar la columna E (ORIGINALES).</t>
        </is>
      </c>
      <c r="F52" s="367" t="inlineStr">
        <is>
          <t>Producción!F6/E6 − 1 ≈ B11 en cada producto (por el redondeo a Tn enteras difiere hasta ±0,2 puntos; hoy da entre 4,96% y 5,15% con B11 = 5%).</t>
        </is>
      </c>
    </row>
    <row r="53" ht="83.2" customHeight="1">
      <c r="B53" s="370" t="inlineStr">
        <is>
          <t>C5</t>
        </is>
      </c>
      <c r="C53" s="368" t="inlineStr">
        <is>
          <t>Años 2028-2035, si la prospección trae Tn por producto y año</t>
        </is>
      </c>
      <c r="D53" s="371" t="inlineStr">
        <is>
          <t>Producción!F6</t>
        </is>
      </c>
      <c r="E53" s="367" t="inlineStr">
        <is>
          <t>Crear una hoja «Prosp_Tn» con la misma grilla que Producción (rótulos en B:C, años en F:M). Cargar solo las Tn de PRODUCCIÓN que traiga la prospección y dejar vacío lo demás. En Producción!F6: =SI(ESNUMERO(Prosp_Tn!F6);Prosp_Tn!F6;REDONDEAR(E6*(1+Supuestos!$B$11);0)); copiar a G6:M6 y pegar solo fórmulas en las filas pares 8 a 26. Las filas impares (venta) no se tocan: siguen aplicando la merma. Si el dato viene en Tn vendidas, cargar =REDONDEAR(venta/(1-Supuestos!$B$8);0).</t>
        </is>
      </c>
      <c r="F53" s="367" t="inlineStr">
        <is>
          <t>Las celdas con dato coinciden con Prosp_Tn; las vacías siguen la tasa B11.</t>
        </is>
      </c>
    </row>
    <row r="54" ht="70.0" customHeight="1">
      <c r="B54" s="370" t="inlineStr">
        <is>
          <t>C6</t>
        </is>
      </c>
      <c r="C54" s="368" t="inlineStr">
        <is>
          <t>Precios por producto y año (opcional)</t>
        </is>
      </c>
      <c r="D54" s="371" t="inlineStr">
        <is>
          <t>Ingresos!F6</t>
        </is>
      </c>
      <c r="E54" s="367" t="inlineStr">
        <is>
          <t>Crear una hoja «Prosp_Precio» con la misma grilla que Ingresos. Ingresos!F6: =SI(ESNUMERO(Prosp_Precio!F6);Prosp_Precio!F6;E6*(1+Supuestos!$B$14)); Ingresos!G6: =SI(ESNUMERO(Prosp_Precio!G6);Prosp_Precio!G6;F6*(1+Supuestos!$B$15)), copiada a H6:M6. Repetir en las filas pares 8 a 26. No tocar las filas impares (ingreso = precio × venta) ni las filas 28-29.</t>
        </is>
      </c>
      <c r="F54" s="367" t="inlineStr">
        <is>
          <t>Las celdas con dato coinciden con Prosp_Precio; los años vacíos siguen B14/B15 a partir del último precio cargado. Ingresos!F28:M28 cambia desde el primer año con dato nuevo en adelante.</t>
        </is>
      </c>
    </row>
    <row r="55" ht="83.2" customHeight="1">
      <c r="B55" s="370" t="inlineStr">
        <is>
          <t>C7</t>
        </is>
      </c>
      <c r="C55" s="368" t="inlineStr">
        <is>
          <t>Productos 10 y 11 en 2026, o productos que arrancan después de 2027</t>
        </is>
      </c>
      <c r="D55" s="371" t="inlineStr">
        <is>
          <t>Ej_Producción!C31</t>
        </is>
      </c>
      <c r="E55" s="367" t="inlineStr">
        <is>
          <t>Rangos: Ej_Producción!C31:N32 y C46:N47; Ej_Ingresos!C17:N18; Ej_Costos!C18:N19. Steel Frame y Accesorios Metálicos arrancan hoy en ene-2027. Si venden en 2026, primero aplicar B4 (crea los totales Ej_Producción!O31, O32, O46 y O47, hoy vacíos) y B5; después cargar Tn, precio y costo de chapa en esas filas. Un producto con 2027 = 0 queda en 0 en los años 3-10: cargarlo con los pasos C5 y C6 y escribir su costo/Tn en su fila par de Materia Prima (columnas F:M).</t>
        </is>
      </c>
      <c r="F55" s="367" t="inlineStr">
        <is>
          <t>Controles 5, 6 y 9 en OK.</t>
        </is>
      </c>
    </row>
    <row r="56" ht="96.4" customHeight="1">
      <c r="B56" s="370" t="inlineStr">
        <is>
          <t>C8</t>
        </is>
      </c>
      <c r="C56" s="368" t="inlineStr">
        <is>
          <t>Producto nuevo (12.°)</t>
        </is>
      </c>
      <c r="D56" s="371" t="inlineStr">
        <is>
          <t>Producción!D28</t>
        </is>
      </c>
      <c r="E56" s="367" t="inlineStr">
        <is>
          <t>Primero evaluar asimilarlo a la fila del producto más parecido en precio y costo (más simple y sin riesgo). Si se agrega: insertar filas dentro de cada bloque (Ej_Producción filas 17, 32 y 47; Ej_Ingresos 18 y 33; Ej_Costos 19 y 33; un par de filas antes de la 26 en Producción, Ingresos y Materia Prima), copiar las fórmulas de la fila vecina y sumar la fila nueva A MANO en Producción!D28:M28 y D29:M29, Ingresos!D28:M28 y Materia Prima!D28:M28: son sumas celda por celda, no SUMA de rango.</t>
        </is>
      </c>
      <c r="F56" s="367" t="inlineStr">
        <is>
          <t>Controles 1 a 4 y 8 en OK.</t>
        </is>
      </c>
    </row>
    <row r="58" ht="20" customHeight="1">
      <c r="B58" s="364" t="inlineStr">
        <is>
          <t>FASE D — COSTOS QUE ACOMPAÑAN A LAS VENTAS</t>
        </is>
      </c>
      <c r="C58" s="364"/>
      <c r="D58" s="364"/>
      <c r="E58" s="364"/>
      <c r="F58" s="364"/>
    </row>
    <row r="59" ht="18" customHeight="1">
      <c r="B59" s="365" t="inlineStr">
        <is>
          <t>Paso</t>
        </is>
      </c>
      <c r="C59" s="365" t="inlineStr">
        <is>
          <t>Qué hacer</t>
        </is>
      </c>
      <c r="D59" s="365" t="inlineStr">
        <is>
          <t>Dónde</t>
        </is>
      </c>
      <c r="E59" s="365" t="inlineStr">
        <is>
          <t>Cómo / criterio</t>
        </is>
      </c>
      <c r="F59" s="365" t="inlineStr">
        <is>
          <t>Control / resultado esperado</t>
        </is>
      </c>
    </row>
    <row r="60" ht="30.4" customHeight="1">
      <c r="B60" s="370" t="inlineStr">
        <is>
          <t>D1</t>
        </is>
      </c>
      <c r="C60" s="368" t="inlineStr">
        <is>
          <t>Confirmar que la producción está cargada</t>
        </is>
      </c>
      <c r="D60" s="371" t="inlineStr">
        <is>
          <t>Ej_Producción!C22</t>
        </is>
      </c>
      <c r="E60" s="367" t="inlineStr">
        <is>
          <t>El costo de chapa se calcula sobre Tn PRODUCIDAS, no vendidas: si solo se cargan ventas, el costo no cambia y el margen se infla.</t>
        </is>
      </c>
      <c r="F60" s="367" t="inlineStr">
        <is>
          <t>Control 7 en OK (venta ≤ producción).</t>
        </is>
      </c>
    </row>
    <row r="61" ht="70.0" customHeight="1">
      <c r="B61" s="370" t="inlineStr">
        <is>
          <t>D2</t>
        </is>
      </c>
      <c r="C61" s="368" t="inlineStr">
        <is>
          <t>Tipo de cambio</t>
        </is>
      </c>
      <c r="D61" s="371" t="inlineStr">
        <is>
          <t>Ej_Costos!O1</t>
        </is>
      </c>
      <c r="E61" s="367" t="inlineStr">
        <is>
          <t>Ej_Costos!O1 (hoy 6.028,12, «TC cierre de mayo-2026») convierte los gastos reales cargados en Gs (fórmulas =MontoGs/USD). Cambiarlo solo con un nuevo cierre, y actualizar el rótulo P1: revalúa también los meses ya cerrados. Supuestos!B6 (6.145) es informativo: no recalcula nada. Los meses proyectados están en USD calculados a 6.145. No tocar Supuestos!E6 (7.800).</t>
        </is>
      </c>
      <c r="F61" s="367" t="inlineStr">
        <is>
          <t>Un único TC de proyección, anotado en el registro.</t>
        </is>
      </c>
    </row>
    <row r="62" ht="96.4" customHeight="1">
      <c r="B62" s="370" t="inlineStr">
        <is>
          <t>D3</t>
        </is>
      </c>
      <c r="C62" s="368" t="inlineStr">
        <is>
          <t>Costo de chapa (USD/Tn) por producto y mes</t>
        </is>
      </c>
      <c r="D62" s="371" t="inlineStr">
        <is>
          <t>Ej_Costos!G9</t>
        </is>
      </c>
      <c r="E62" s="367" t="inlineStr">
        <is>
          <t>Rangos: G9:N19 (2026) y R9:AC19 (2027). USD/Tn sin IVA, una fila por producto (mismo orden que Ej_Producción 22-32). Criterio vigente para 2027 (productos 2 a 9): enero = dic-2026 y feb-dic = dic-2026 × 1,07. Producto 1: todo 2027 = dic-2026 × 1,07. Productos 10 y 11: valor fijo todo el año (986,54 y 957,72), sin dato de 2026. Documentar toda cotización nueva. Todo mes con Tn producidas debe tener costo &gt; 0. No escribir en los promedios (O, AD), ya corregidos en B5, ni en el plan (P, AE). El promedio 2027 (AD9:AD19) es la base de los años 3-10.</t>
        </is>
      </c>
      <c r="F62" s="367" t="inlineStr">
        <is>
          <t>Controles 6 y 8 en OK.</t>
        </is>
      </c>
    </row>
    <row r="63" ht="70.0" customHeight="1">
      <c r="B63" s="370" t="inlineStr">
        <is>
          <t>D4</t>
        </is>
      </c>
      <c r="C63" s="368" t="inlineStr">
        <is>
          <t>Gastos reales de los meses cerrados</t>
        </is>
      </c>
      <c r="D63" s="371" t="inlineStr">
        <is>
          <t>Ej_Costos!G34</t>
        </is>
      </c>
      <c r="E63" s="367" t="inlineStr">
        <is>
          <t>Rango (ejemplo con corte a setiembre): G34:K54 (may-sep, meses cerrados). Mismo criterio que ene-abr: los montos en Gs se cargan como =MontoGs/USD (p. ej. =29898626/USD), encima de la fórmula de proyección del mes. Los meses sin gasto, en 0. Las filas 35 y 48 quedan en 0 porque las cargas sociales ya están en las filas 34 y 47.</t>
        </is>
      </c>
      <c r="F63" s="367" t="inlineStr">
        <is>
          <t>Ej_Costos!O65 cambia solo con lo cargado.</t>
        </is>
      </c>
    </row>
    <row r="64" ht="109.6" customHeight="1">
      <c r="B64" s="370" t="inlineStr">
        <is>
          <t>D5</t>
        </is>
      </c>
      <c r="C64" s="368" t="inlineStr">
        <is>
          <t>Mano de obra según la dotación que requiere el nuevo volumen</t>
        </is>
      </c>
      <c r="D64" s="371" t="inlineStr">
        <is>
          <t>Ej_Costos!R34</t>
        </is>
      </c>
      <c r="E64" s="367" t="inlineStr">
        <is>
          <t>Rangos: G34:N34 y R34:AC34 (fábrica); G47:N47 y R47:AC47 (administración). USD/mes con cargas = salario Gs × 1,42 / TC × N.° de personas (auxiliar Ej_Costos!O88:P114). Recalcular todo R34:AC34: en R34:T34 cambiar la constante «+6702»; U34:AC34 son valores tipeados que repiten T34 (18.379,63 = 11.677,63 + 6.702): reemplazarlos también. Si cambia la administración, recalcular R47:AC47 (todo tipeado: R47:S47 = 7.304,97 y T47:AC47 = 8.228,97). Actualizar las notas de ingreso de personal (filas 68-71). Desde 2028 la MO solo crece 3% (Supuestos!B21): si la dotación crece después, ajustarlo en Mano de Obra y documentarlo.</t>
        </is>
      </c>
      <c r="F64" s="367" t="inlineStr">
        <is>
          <t>=(Costos!F7+Costos!F8+Costos!F20+Costos!F21)/(Costos!E7+Costos!E8+Costos!E20+Costos!E21)-1 ≈ 3,8% (= 1,03 × 1,4309 / 1,42 − 1, cualquiera sea la dotación de 2027).</t>
        </is>
      </c>
    </row>
    <row r="65" ht="96.4" customHeight="1">
      <c r="B65" s="370" t="inlineStr">
        <is>
          <t>D6</t>
        </is>
      </c>
      <c r="C65" s="368" t="inlineStr">
        <is>
          <t>Insumos, packaging, mantenimiento y movimiento de carga (automáticos)</t>
        </is>
      </c>
      <c r="D65" s="371" t="inlineStr">
        <is>
          <t>Ej_Costos!AJ37</t>
        </is>
      </c>
      <c r="E65" s="367" t="inlineStr">
        <is>
          <t>No se cargan. En 2026: tarifa del plan por Tn × Tn del mes (el mantenimiento 2026 está tipeado). En 2027: plan × (2 − MP plan / MP proyectada), repartido por las Tn de cada mes. Verificar que Ej_Costos!AM37/AE37 sea &gt; 0 y razonable frente a AD22/AE22; si la MP 2027 se aleja mucho del plan, revisar el criterio y documentarlo. En los años 3-10 solo insumos, packaging y seguro caución siguen al volumen; mantenimiento, movimiento de carga y energía crecen 10% anual fijo (Costos filas 11, 15 y 16): si el nuevo volumen exige más, ajustarlo y documentarlo.</t>
        </is>
      </c>
      <c r="F65" s="367" t="inlineStr">
        <is>
          <t>Ningún costo negativo en Ej_Costos filas 37-42.</t>
        </is>
      </c>
    </row>
    <row r="66" ht="43.6" customHeight="1">
      <c r="B66" s="370" t="inlineStr">
        <is>
          <t>D7</t>
        </is>
      </c>
      <c r="C66" s="368" t="inlineStr">
        <is>
          <t>Servicios de terceros de Steel Frame</t>
        </is>
      </c>
      <c r="D66" s="371" t="inlineStr">
        <is>
          <t>Ej_Costos!R36</t>
        </is>
      </c>
      <c r="E66" s="367" t="inlineStr">
        <is>
          <t>Si cambia el volumen de Steel Frame, tipear los meses 2027 en R36:AC36 (sin tocar AE36, que es plan) y poner Mano de Obra!D13 =Ej_Costos!AD36, que es la base de los años 3-10.</t>
        </is>
      </c>
      <c r="F66" s="367" t="inlineStr">
        <is>
          <t>Mano de Obra!D13 = Ej_Costos!AD36.</t>
        </is>
      </c>
    </row>
    <row r="67" ht="56.8" customHeight="1">
      <c r="B67" s="370" t="inlineStr">
        <is>
          <t>D8</t>
        </is>
      </c>
      <c r="C67" s="368" t="inlineStr">
        <is>
          <t>Parámetros de costos de los años 3-10</t>
        </is>
      </c>
      <c r="D67" s="371" t="inlineStr">
        <is>
          <t>Supuestos!B18</t>
        </is>
      </c>
      <c r="E67" s="367" t="inlineStr">
        <is>
          <t>Solo la columna B: B18 costo MP/Tn (+3%); B21 salarios (+3%); B22 cargas (43,09%); B61 insumos (5 USD/Tn); B62 packaging (0,95% de la MP); B64 alimentación; B56 seguros; B58 honorarios. No tienen ningún efecto: B6, B53, B54, B55, B57, B63, B65, B75, B86 y B87.</t>
        </is>
      </c>
      <c r="F67" s="367" t="inlineStr">
        <is>
          <t>Costos!F17/E17 − 1 razonable (hoy 8,1%).</t>
        </is>
      </c>
    </row>
    <row r="69" ht="20" customHeight="1">
      <c r="B69" s="364" t="inlineStr">
        <is>
          <t>FASE E — CAPITAL DE TRABAJO, CAJA Y PRÉSTAMOS CP</t>
        </is>
      </c>
      <c r="C69" s="364"/>
      <c r="D69" s="364"/>
      <c r="E69" s="364"/>
      <c r="F69" s="364"/>
    </row>
    <row r="70" ht="18" customHeight="1">
      <c r="B70" s="365" t="inlineStr">
        <is>
          <t>Paso</t>
        </is>
      </c>
      <c r="C70" s="365" t="inlineStr">
        <is>
          <t>Qué hacer</t>
        </is>
      </c>
      <c r="D70" s="365" t="inlineStr">
        <is>
          <t>Dónde</t>
        </is>
      </c>
      <c r="E70" s="365" t="inlineStr">
        <is>
          <t>Cómo / criterio</t>
        </is>
      </c>
      <c r="F70" s="365" t="inlineStr">
        <is>
          <t>Control / resultado esperado</t>
        </is>
      </c>
    </row>
    <row r="71" ht="96.4" customHeight="1">
      <c r="B71" s="370" t="inlineStr">
        <is>
          <t>E1</t>
        </is>
      </c>
      <c r="C71" s="368" t="inlineStr">
        <is>
          <t>Días de capital de trabajo</t>
        </is>
      </c>
      <c r="D71" s="371" t="inlineStr">
        <is>
          <t>Supuestos!B77</t>
        </is>
      </c>
      <c r="E71" s="367" t="inlineStr">
        <is>
          <t>Mantener B77 caja 2, B78 sueldos 15, B79 stock MP 45, B80 ventas a crédito 90, B81 producto terminado 0, B82 crédito de proveedores de MP 0 y B83 proveedores menores 15 (días), salvo un cambio de política. Si cambia B80 (cobro), también hay que mover el desfase de los cobros de Ej_Flujo fila 6 (hoy cada mes cobra la venta de 3 meses antes; p. ej. F6 =+Ej_Ingresos!C34 cobra en abril la venta de enero) y corregir los rótulos de Capital Trabajo!B7:B15. Ese desfase solo afecta la caja mensual: el VAN toma el capital de trabajo de la hoja Capital Trabajo.</t>
        </is>
      </c>
      <c r="F71" s="367" t="inlineStr">
        <is>
          <t>Control 18 en OK.</t>
        </is>
      </c>
    </row>
    <row r="72" ht="30.4" customHeight="1">
      <c r="B72" s="370" t="inlineStr">
        <is>
          <t>E2</t>
        </is>
      </c>
      <c r="C72" s="368" t="inlineStr">
        <is>
          <t>Base de compra de chapas 2027</t>
        </is>
      </c>
      <c r="D72" s="371" t="inlineStr">
        <is>
          <t>Ej_Flujo!O40</t>
        </is>
      </c>
      <c r="E72" s="367" t="inlineStr">
        <is>
          <t>O40 = MP 2027 redondeada: =REDONDEAR(Costos!E6;-5) (hoy 14.100.000). O37 (órdenes hasta ene-2027) solo cambia si esas órdenes no se emitieron.</t>
        </is>
      </c>
      <c r="F72" s="367" t="inlineStr">
        <is>
          <t>Ej_Flujo!O40 − Costos!E6 entre −100.000 y +100.000.</t>
        </is>
      </c>
    </row>
    <row r="73" ht="202.0" customHeight="1">
      <c r="B73" s="370" t="inlineStr">
        <is>
          <t>E3</t>
        </is>
      </c>
      <c r="C73" s="368" t="inlineStr">
        <is>
          <t>Redimensionar los préstamos CP para chapas</t>
        </is>
      </c>
      <c r="D73" s="371" t="inlineStr">
        <is>
          <t>Ej_Flujo!P8</t>
        </is>
      </c>
      <c r="E73" s="367" t="inlineStr">
        <is>
          <t>Se escribe en las filas 8, 16 y 17 (solo columnas de mes); la fila 29 (saldo acumulado) es fórmula y solo se lee. Con la fase B completa (B1-B8) y la prospección cargada, recorrer el saldo mensual (fila 29) desde ago-2026. Para cada préstamo: (a) monto en la fila 8 del mes de desembolso (múltiplos de 100.000); (b) en la fila 16 del mes de devolución =+&lt;celda de la fila 8&gt; (ej. V16 =+P8); (c) en la fila 17 de esa columna =((8%/365)*DÍAS)*&lt;celda fila 16&gt;, con DÍAS = 30 × meses (ene→jul = 180); (d) si se mueve o elimina un desembolso, mover o borrar también su devolución y su interés; (e) un préstamo CP en 2026 se carga igual; si se devuelve dentro de 2026, sumar su interés en Ej_Costos (paso E4). L16 (2.779.626) y L17 (125.862) son la devolución a CIE S.A., no préstamos CP: no tocarlas. Meta: saldo ≥ 0 todos los meses, con un colchón de 100.000 a 400.000, y todo devuelto a más tardar en dic-2035 (columna EA). Antes de la fase B el único déficit es ago-2032 (CJ29 = −245.726). Después de la fase B, con los datos actuales, hay faltantes de calce desde abr-2030 (máximo −736.000 en ago-2032 sin contar dividendos) y el saldo de dic-2035 queda en ≈ −2,22M después de los dividendos: ver E5.</t>
        </is>
      </c>
      <c r="F73" s="367" t="inlineStr">
        <is>
          <t>Controles 13 y 14 en OK (el 13, salvo que dependa de la decisión de dividendos: paso E5).</t>
        </is>
      </c>
    </row>
    <row r="74" ht="83.2" customHeight="1">
      <c r="B74" s="370" t="inlineStr">
        <is>
          <t>E4</t>
        </is>
      </c>
      <c r="C74" s="368" t="inlineStr">
        <is>
          <t>Intereses CP de 2027 en Resultados</t>
        </is>
      </c>
      <c r="D74" s="371" t="inlineStr">
        <is>
          <t>Ej_Costos!R62</t>
        </is>
      </c>
      <c r="E74" s="367" t="inlineStr">
        <is>
          <t>Hoy solo X62, AA62 y AC62 suman Ej_Flujo!V17, Y17 y AA17. Si una devolución de 2027 cambió de mes: R62 =+Ej_Deuda!R7+Ej_Deuda!R13+Ej_Flujo!P17 y copiar hasta AC62 (columna de Ej_Costos = columna de Ej_Flujo + 2). Si un préstamo CP se devuelve dentro de 2026, sumar su interés en la misma columna de Ej_Costos (en 2026 coinciden; p. ej. M62 =+Ej_Deuda!M7+Ej_Deuda!M13+Ej_Flujo!M17), sin incluir L17. Para 2028-2035 no hay que hacer nada: Costos!F34:M34 ya toman los totales de la fila 17.</t>
        </is>
      </c>
      <c r="F74" s="367" t="inlineStr">
        <is>
          <t>Controles 15 y 16 en OK.</t>
        </is>
      </c>
    </row>
    <row r="75" ht="175.6" customHeight="1">
      <c r="B75" s="370" t="inlineStr">
        <is>
          <t>E5</t>
        </is>
      </c>
      <c r="C75" s="368" t="inlineStr">
        <is>
          <t>Iterar dividendos y caja</t>
        </is>
      </c>
      <c r="D75" s="371" t="inlineStr">
        <is>
          <t>Resultados!H18</t>
        </is>
      </c>
      <c r="E75" s="367" t="inlineStr">
        <is>
          <t>Las nuevas utilidades cambian los dividendos (Resultados fila 18, calculados en las filas 25-31 sobre la retención de utilidades de la fila 17). El calendario es fijo: en 2031 se paga el 50% de la utilidad de 2027; en 2032, el otro 50% de 2027 y la de 2028; en 2033, la de 2029; en 2034, la de 2030 y 500.000 de la de 2031 (H29, tipeado); en 2035, el resto de 2031 y 800.000 de la de 2032 (I30, tipeado). Se pagan en diciembre en Ej_Flujo fila 20 (CA20, CN20, DA20, DN20 y EA20; esa fila no tiene totales anuales). Si cambia la caja, volver a E3 hasta que el saldo mínimo se estabilice (2 o 3 vueltas). Si con todos los CP devueltos el saldo de dic-2035 sigue negativo (hoy ≈ −2,22M después de la fase B, con ≈ USD 10M de dividendos en 2031-2035), el calendario de dividendos excede la caja disponible: la Gerencia presenta a la Dirección las alternativas (diferir o reducir dividendos, mantener deuda CP al cierre o refinanciar a largo plazo). No cambiar la política sin instrucción de la Dirección.</t>
        </is>
      </c>
      <c r="F75" s="367" t="inlineStr">
        <is>
          <t>Control 23 en OK.</t>
        </is>
      </c>
    </row>
    <row r="77" ht="20" customHeight="1">
      <c r="B77" s="364" t="inlineStr">
        <is>
          <t>FASE F — RESULTADOS Y CONTROLES</t>
        </is>
      </c>
      <c r="C77" s="364"/>
      <c r="D77" s="364"/>
      <c r="E77" s="364"/>
      <c r="F77" s="364"/>
    </row>
    <row r="78" ht="18" customHeight="1">
      <c r="B78" s="365" t="inlineStr">
        <is>
          <t>Paso</t>
        </is>
      </c>
      <c r="C78" s="365" t="inlineStr">
        <is>
          <t>Qué hacer</t>
        </is>
      </c>
      <c r="D78" s="365" t="inlineStr">
        <is>
          <t>Dónde</t>
        </is>
      </c>
      <c r="E78" s="365" t="inlineStr">
        <is>
          <t>Cómo / criterio</t>
        </is>
      </c>
      <c r="F78" s="365" t="inlineStr">
        <is>
          <t>Control / resultado esperado</t>
        </is>
      </c>
    </row>
    <row r="79" ht="122.8" customHeight="1">
      <c r="B79" s="370" t="inlineStr">
        <is>
          <t>F1</t>
        </is>
      </c>
      <c r="C79" s="368" t="inlineStr">
        <is>
          <t>Recalcular y revisar los controles</t>
        </is>
      </c>
      <c r="D79" s="371" t="inlineStr">
        <is>
          <t>CONTROLES Y PPT, sección 1</t>
        </is>
      </c>
      <c r="E79" s="367" t="inlineStr">
        <is>
          <t>Presionar F9 (o Ctrl+Alt+F9). Todos los controles deben quedar en OK; la última columna indica qué paso revisar. Con el libro tal como llegó hay 8 controles en REVISAR: el 9, 11, 12, 17, 21, 22 y 26 se corrigen en la fase B; el 13 (déficit de caja) se corrige en E3 y E5, y empeora después de la fase B. Excepción: si el control 13 solo puede pasar a OK cambiando la política de dividendos o dejando préstamos CP sin devolver al cierre (control 14), no forzarlo: dejarlo en REVISAR, anotar en el registro el saldo de dic-2035 y las alternativas presentadas (paso E5) y seguir con la fase G, aclarando en el PPT que la caja 2031-2035 depende de esa decisión.</t>
        </is>
      </c>
      <c r="F79" s="367" t="inlineStr">
        <is>
          <t>26 de 26 controles en OK, o 25 de 26 con el control 13 pendiente de la decisión de dividendos y anotado en el registro.</t>
        </is>
      </c>
    </row>
    <row r="80" ht="96.4" customHeight="1">
      <c r="B80" s="370" t="inlineStr">
        <is>
          <t>F2</t>
        </is>
      </c>
      <c r="C80" s="368" t="inlineStr">
        <is>
          <t>Leer resultados y valuación (sin editar)</t>
        </is>
      </c>
      <c r="D80" s="371" t="inlineStr">
        <is>
          <t>VAN-TIR!C22</t>
        </is>
      </c>
      <c r="E80" s="367" t="inlineStr">
        <is>
          <t>Confirmar que ingresos, EBITDA, gastos financieros y utilidad reflejan la prospección. El WACC debe seguir en 9,87% si no cambió el financiamiento. Para explicar el cambio del VAN, separar el efecto EBITDA (VAN-TIR fila 5) del efecto capital de trabajo (fila 9 y recupero en M6): cada USD 1M de ventas anuales adicionales inmoviliza ≈ USD 252.000 de capital de trabajo si viene de precio (caja 2 días + crédito 90 días) y ≈ USD 350.000 si viene de volumen (se suma el stock de MP de 45 días, con MP ≈ 81% de las ventas).</t>
        </is>
      </c>
      <c r="F80" s="367" t="inlineStr">
        <is>
          <t>VAN y TIR se mueven en el sentido esperado frente a la foto del paso A4.</t>
        </is>
      </c>
    </row>
    <row r="81" ht="30.4" customHeight="1">
      <c r="B81" s="370" t="inlineStr">
        <is>
          <t>F3</t>
        </is>
      </c>
      <c r="C81" s="368" t="inlineStr">
        <is>
          <t>Registrar la actualización</t>
        </is>
      </c>
      <c r="D81" s="371" t="inlineStr">
        <is>
          <t>Registro de actualizaciones</t>
        </is>
      </c>
      <c r="E81" s="367" t="inlineStr">
        <is>
          <t>Fecha, versión, corte de reales, fuente de la prospección y criterios modificados (precio 2027, merma, TC, dotación, préstamos CP).</t>
        </is>
      </c>
      <c r="F81" s="367" t="inlineStr">
        <is>
          <t>—</t>
        </is>
      </c>
    </row>
    <row r="83" ht="20" customHeight="1">
      <c r="B83" s="364" t="inlineStr">
        <is>
          <t>FASE G — ACTUALIZAR EL POWERPOINT «PLAN ORIGINAL VS PROYECCIÓN ACTUALIZADA A 10 AÑOS»</t>
        </is>
      </c>
      <c r="C83" s="364"/>
      <c r="D83" s="364"/>
      <c r="E83" s="364"/>
      <c r="F83" s="364"/>
    </row>
    <row r="84" ht="18" customHeight="1">
      <c r="B84" s="365" t="inlineStr">
        <is>
          <t>Paso</t>
        </is>
      </c>
      <c r="C84" s="365" t="inlineStr">
        <is>
          <t>Qué hacer</t>
        </is>
      </c>
      <c r="D84" s="365" t="inlineStr">
        <is>
          <t>Dónde</t>
        </is>
      </c>
      <c r="E84" s="365" t="inlineStr">
        <is>
          <t>Cómo / criterio</t>
        </is>
      </c>
      <c r="F84" s="365" t="inlineStr">
        <is>
          <t>Control / resultado esperado</t>
        </is>
      </c>
    </row>
    <row r="85" ht="109.6" customHeight="1">
      <c r="B85" s="370" t="inlineStr">
        <is>
          <t>G1</t>
        </is>
      </c>
      <c r="C85" s="368" t="inlineStr">
        <is>
          <t>Series de los gráficos</t>
        </is>
      </c>
      <c r="D85" s="371" t="inlineStr">
        <is>
          <t>CONTROLES Y PPT, sección 3</t>
        </is>
      </c>
      <c r="E85" s="367" t="inlineStr">
        <is>
          <t>Copiar las celdas E:N de la fila «Actualizado» de la sección 3. En el PPT: clic derecho en el gráfico &gt; Editar datos; seleccionar la primera celda de la serie &gt; Pegado especial &gt; Valores + Transponer (en el gráfico los años van en filas). Destinos: diap. 4 producción (fila 81) → C2; diap. 5 ingresos (fila 84) → C2; diap. 6 costos de producción (fila 86) → C2; diap. 7 EBITDA (fila 88) → C2; diap. 8 préstamos CP (fila 95) → B2; diap. 10 ventas (fila 83) → B2 y punto de equilibrio (fila 93) → C2. La serie «Plan original» (columna B de las diap. 4 a 7; filas 82, 85, 87 y 89 de la sección 3) no se toca.</t>
        </is>
      </c>
      <c r="F85" s="367" t="inlineStr">
        <is>
          <t>Los datos de cada gráfico coinciden con la sección 3 (años en A2:A11).</t>
        </is>
      </c>
    </row>
    <row r="86" ht="83.2" customHeight="1">
      <c r="B86" s="370" t="inlineStr">
        <is>
          <t>G2</t>
        </is>
      </c>
      <c r="C86" s="368" t="inlineStr">
        <is>
          <t>Tablas e indicadores</t>
        </is>
      </c>
      <c r="D86" s="371" t="inlineStr">
        <is>
          <t>CONTROLES Y PPT, sección 2</t>
        </is>
      </c>
      <c r="E86" s="367" t="inlineStr">
        <is>
          <t>Copiar cada valor de la columna «Libro (vivo)» con el redondeo de la diapositiva (USD con separador de miles; % con 1 decimal; diferencias de TIR en puntos porcentuales). Las variaciones contra el plan se calculan contra los rótulos plan del PPT (sección 4 de «CONTROLES Y PPT»: 150K Tn, USD 180M, USD 21,1M y USD 17,8M), con el mismo criterio que la versión de junio; así la tabla de la diap. 3 queda coherente.</t>
        </is>
      </c>
      <c r="F86" s="367" t="inlineStr">
        <is>
          <t>Columna «Diferencia» explicada.</t>
        </is>
      </c>
    </row>
    <row r="87" ht="320.8" customHeight="1">
      <c r="B87" s="370" t="inlineStr">
        <is>
          <t>G3</t>
        </is>
      </c>
      <c r="C87" s="368" t="inlineStr">
        <is>
          <t>Textos y conclusiones</t>
        </is>
      </c>
      <c r="D87" s="367" t="inlineStr">
        <is>
          <t>Diapositivas 2 a 14</t>
        </is>
      </c>
      <c r="E87" s="367" t="inlineStr">
        <is>
          <t>Buscar (Ctrl+F) cada cifra que cambió y reemplazarla en todas las diapositivas donde se repite, siempre con el valor vivo de las secciones 2 y 3 de «CONTROLES Y PPT» (con el libro ya actualizado). La versión de junio, además, tenía cifras que no coincidían con el libro de ese momento; como referencia (PPT de junio → libro de junio): ingresos acumulados 217M → 215,6M; EBITDA acumulado 26,4M → 25,4M; utilidad neta acumulada 19,6M → 18,0M; variaciones contra el plan +7% → +7,5% (producción, indicador 13; diap. 3, 4 y 13), +21% → +19,8% (ingresos, indicador 15; diap. 3, 5, 9 y 13), +25% → +20,4% (EBITDA, indicador 17; diap. 3, 7, 9 y 13) y +10% → +1,3% (utilidad neta, indicador 19; diap. 3); el «+25%» de la diap. 5 es otro dato (ingresos del año 10 contra el plan, hoy +25,3%): no reemplazarlo por el del EBITDA; TIR −0,29 → −0,27 pp; margen de seguridad 52-69% → 50-69% (diap. 10); préstamos CP «5-12M» → «4-12M» (diap. 11 y 13) y «5-11.9M» → «4-11.9M» (diap. 8); «11 vs 8 productos activos en Año 1» → «9 vs 8» (diap. 4); materia prima acumulada 183M → 181,1M (diap. 6); desvío del costo de MP 6-16% → 2,7-15,8%, o «5,9-15,8% sin Accesorios» si se documenta (diap. 2, 6, 11 y 13). Revisar también dos frases que no coinciden con las series: diap. 7, «los márgenes EBITDA actualizados son superiores en años 2-5» (solo el año 2 supera al plan: 14,1% frente a 12,8%; el año 3 queda igual y los años 4 a 10, por debajo); diap. 10, «a partir del Año 6 (fin de deuda LP), el PE baja significativamente» (sube de 6.204 Tn en el año 5 a 6.433 en el año 6, baja a 5.492 en el año 7 y vuelve a subir hasta 7.854 en el año 10). En la diap. 13, «USD 4-7M adicionales» = indicadores 31 y 32. El 95,3% de MP/costos del plan (diap. 6) es un valor plan: no cambiarlo sin definir la fuente oficial del plan (sección 4 de «CONTROLES Y PPT»). Rotular el año 1 como «real a &lt;mes&gt; + proyección».</t>
        </is>
      </c>
      <c r="F87" s="367" t="inlineStr">
        <is>
          <t>Cada cifra del PPT = celda de la sección 2 o 3 de «CONTROLES Y PPT».</t>
        </is>
      </c>
    </row>
    <row r="88" ht="96.4" customHeight="1">
      <c r="B88" s="370" t="inlineStr">
        <is>
          <t>G4</t>
        </is>
      </c>
      <c r="C88" s="368" t="inlineStr">
        <is>
          <t>Payback</t>
        </is>
      </c>
      <c r="D88" s="367" t="inlineStr">
        <is>
          <t>Diapositiva 9</t>
        </is>
      </c>
      <c r="E88" s="367" t="inlineStr">
        <is>
          <t>Usar el valor calculado de la sección 2 de «CONTROLES Y PPT» (indicador 38: hoy 6,4 años; se recupera durante el año 7), no el texto del Dashboard. Actualizar también la diferencia contra el plan («(+3)»; plan = 3 años, sección 4 de «CONTROLES Y PPT») y la frase de la conclusión «extienden el Payback de inversión propia en 3 años más». En la nota «El Payback es considerado desde el año 6…», indicar el criterio del modelo: dividendos descontados a Ke (16,32%) contra el aporte propio (USD 606.000), con dividendos desde 2031 (año 6).</t>
        </is>
      </c>
      <c r="F88" s="367" t="inlineStr">
        <is>
          <t>—</t>
        </is>
      </c>
    </row>
    <row r="89" ht="228.4" customHeight="1">
      <c r="B89" s="370" t="inlineStr">
        <is>
          <t>G5</t>
        </is>
      </c>
      <c r="C89" s="368" t="inlineStr">
        <is>
          <t>Sensibilidad del VAN (diapositiva 12)</t>
        </is>
      </c>
      <c r="D89" s="367" t="inlineStr">
        <is>
          <t>Copia del libro</t>
        </is>
      </c>
      <c r="E89" s="367" t="inlineStr">
        <is>
          <t>El libro no tiene cálculo de sensibilidad. Para cada variable, en una COPIA del libro ya actualizado, aplicar el cambio a todos los meses posteriores al corte (con corte a setiembre: L:N de 2026 y R:AC de 2027; los años 3-10 se ajustan solos porque parten de 2027; si se usaron Prosp_Tn o Prosp_Precio, aplicar el mismo factor en esas hojas): precio, Ej_Ingresos!L8:N18 y R8:AC18 × 1,05; costo de MP, Ej_Costos!L9:N19 y R9:AC19 × 1,05; volumen, Ej_Producción!L22:N32, L37:N47, R22:AC32 y R37:AC47 × 1,10; cobranza, Supuestos!B80 = 60 (el VAN toma el capital de trabajo de la hoja Capital Trabajo y no depende de Ej_Flujo: no hace falta cambiar el desfase de la fila 6). Anotar VAN-TIR!C24 y restar el VAN base. Atención: con los datos actuales y este método, el VAN cambia ≈ ±USD 5,8M por ±5% de precio (≈ ±5,9M si el cambio se aplica a todo el año 1) y ≈ ∓USD 5,2M por ±5% de MP, muy por encima de lo que muestra la diapositiva de junio (±1,2M y ±1,0M); con un precio 5% menor, el VAN sería negativo (≈ −USD 3,0M). Tasa CP +2% y tipo de cambio ±10%: con este libro el VAN no cambia (el interés CP no entra al VAN y las proyecciones están en USD); informar ≈ 0 en VAN y, si se quiere mostrar, el efecto en la utilidad neta acumulada y en la caja (la tasa CP exige cambiar el 8% de cada fórmula de Ej_Flujo fila 17).</t>
        </is>
      </c>
      <c r="F89" s="367" t="inlineStr">
        <is>
          <t>Diferencias documentadas por escenario.</t>
        </is>
      </c>
    </row>
    <row r="90" ht="30.4" customHeight="1">
      <c r="B90" s="370" t="inlineStr">
        <is>
          <t>G6</t>
        </is>
      </c>
      <c r="C90" s="368" t="inlineStr">
        <is>
          <t>Fecha y fuente</t>
        </is>
      </c>
      <c r="D90" s="367" t="inlineStr">
        <is>
          <t>Portada y cierre</t>
        </is>
      </c>
      <c r="E90" s="367" t="inlineStr">
        <is>
          <t>Cambiar «Junio 2026» por la fecha de la nueva versión y citar el archivo y la versión del libro usados.</t>
        </is>
      </c>
      <c r="F90" s="367" t="inlineStr">
        <is>
          <t>—</t>
        </is>
      </c>
    </row>
    <row r="92" ht="20" customHeight="1">
      <c r="B92" s="364" t="inlineStr">
        <is>
          <t>REGISTRO DE ACTUALIZACIONES</t>
        </is>
      </c>
      <c r="C92" s="364"/>
      <c r="D92" s="364"/>
      <c r="E92" s="364"/>
      <c r="F92" s="364"/>
    </row>
    <row r="93" ht="18" customHeight="1">
      <c r="B93" s="365" t="inlineStr">
        <is>
          <t>N.°</t>
        </is>
      </c>
      <c r="C93" s="365" t="inlineStr">
        <is>
          <t>Fecha y versión</t>
        </is>
      </c>
      <c r="D93" s="365" t="inlineStr">
        <is>
          <t>Corte de reales y fuente de la prospección</t>
        </is>
      </c>
      <c r="E93" s="365" t="inlineStr">
        <is>
          <t>Criterios modificados y observaciones</t>
        </is>
      </c>
      <c r="F93" s="365" t="inlineStr">
        <is>
          <t>Responsable</t>
        </is>
      </c>
    </row>
    <row r="94" ht="43.6" customHeight="1">
      <c r="B94" s="369">
        <v>0</v>
      </c>
      <c r="C94" s="367" t="inlineStr">
        <is>
          <t>09/06/2026 · INFORME2 ajustado a 10 años</t>
        </is>
      </c>
      <c r="D94" s="367" t="inlineStr">
        <is>
          <t>Volumen real a mayo-2026; precio real a abril-2026</t>
        </is>
      </c>
      <c r="E94" s="367" t="inlineStr">
        <is>
          <t>Versión base usada en el PPT «Plan vs Actualizado 10 años» de junio 2026. Guía y controles agregados el 13/10/2026 y actualizados el 16/10/2026, sin modificar el modelo.</t>
        </is>
      </c>
      <c r="F94" s="367" t="inlineStr">
        <is>
          <t>—</t>
        </is>
      </c>
    </row>
    <row r="95" ht="18" customHeight="1">
      <c r="B95" s="369">
        <v>1</v>
      </c>
      <c r="C95" s="379"/>
      <c r="D95" s="379"/>
      <c r="E95" s="379"/>
      <c r="F95" s="379"/>
    </row>
    <row r="96" ht="18" customHeight="1">
      <c r="B96" s="369">
        <v>2</v>
      </c>
      <c r="C96" s="379"/>
      <c r="D96" s="379"/>
      <c r="E96" s="379"/>
      <c r="F96" s="379"/>
    </row>
    <row r="97" ht="18" customHeight="1">
      <c r="B97" s="369">
        <v>3</v>
      </c>
      <c r="C97" s="379"/>
      <c r="D97" s="379"/>
      <c r="E97" s="379"/>
      <c r="F97" s="379"/>
    </row>
    <row r="98" ht="18" customHeight="1">
      <c r="B98" s="369">
        <v>4</v>
      </c>
      <c r="C98" s="379"/>
      <c r="D98" s="379"/>
      <c r="E98" s="379"/>
      <c r="F98" s="379"/>
    </row>
    <row r="99" ht="18" customHeight="1">
      <c r="B99" s="369">
        <v>5</v>
      </c>
      <c r="C99" s="379"/>
      <c r="D99" s="379"/>
      <c r="E99" s="379"/>
      <c r="F99" s="379"/>
    </row>
    <row r="100" ht="18" customHeight="1">
      <c r="B100" s="369">
        <v>6</v>
      </c>
      <c r="C100" s="379"/>
      <c r="D100" s="379"/>
      <c r="E100" s="379"/>
      <c r="F100" s="379"/>
    </row>
  </sheetData>
  <mergeCells count="31">
    <mergeCell ref="B2:F2"/>
    <mergeCell ref="B3:F3"/>
    <mergeCell ref="B5:F5"/>
    <mergeCell ref="C6:F6"/>
    <mergeCell ref="C7:F7"/>
    <mergeCell ref="C8:F8"/>
    <mergeCell ref="C9:F9"/>
    <mergeCell ref="C10:F10"/>
    <mergeCell ref="C11:F11"/>
    <mergeCell ref="B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B28:F28"/>
    <mergeCell ref="B36:F36"/>
    <mergeCell ref="B47:F47"/>
    <mergeCell ref="B58:F58"/>
    <mergeCell ref="B69:F69"/>
    <mergeCell ref="B77:F77"/>
    <mergeCell ref="B83:F83"/>
    <mergeCell ref="B92:F92"/>
  </mergeCells>
  <hyperlinks>
    <hyperlink ref="D31" location="'Servicio Deuda'!D18" tooltip="Ir a 'Servicio Deuda'!D18"/>
    <hyperlink ref="D32" location="'Ej_Producción'!B6" tooltip="Ir a 'Ej_Producción'!B6"/>
    <hyperlink ref="D33" location="'CONTROLES Y PPT'!B36" tooltip="Ir a 'CONTROLES Y PPT'!B36"/>
    <hyperlink ref="D38" location="'Ej_Flujo'!AC6" tooltip="Ir a 'Ej_Flujo'!AC6"/>
    <hyperlink ref="D39" location="'Ej_Flujo'!AC24" tooltip="Ir a 'Ej_Flujo'!AC24"/>
    <hyperlink ref="D40" location="'Ej_Flujo'!AC23" tooltip="Ir a 'Ej_Flujo'!AC23"/>
    <hyperlink ref="D41" location="'Ej_Producción'!O31" tooltip="Ir a 'Ej_Producción'!O31"/>
    <hyperlink ref="D42" location="'Ej_Costos'!O9" tooltip="Ir a 'Ej_Costos'!O9"/>
    <hyperlink ref="D43" location="'Payback'!D11" tooltip="Ir a 'Payback'!D11"/>
    <hyperlink ref="D44" location="'Payback'!C8" tooltip="Ir a 'Payback'!C8"/>
    <hyperlink ref="D45" location="'Ej_Flujo'!AC13" tooltip="Ir a 'Ej_Flujo'!AC13"/>
    <hyperlink ref="D49" location="'Ej_Producción'!H22" tooltip="Ir a 'Ej_Producción'!H22"/>
    <hyperlink ref="D50" location="'Ej_Producción'!L22" tooltip="Ir a 'Ej_Producción'!L22"/>
    <hyperlink ref="D51" location="'Ej_Producción'!R22" tooltip="Ir a 'Ej_Producción'!R22"/>
    <hyperlink ref="D52" location="'Supuestos'!B11" tooltip="Ir a 'Supuestos'!B11"/>
    <hyperlink ref="D53" location="'Producción'!F6" tooltip="Ir a 'Producción'!F6"/>
    <hyperlink ref="D54" location="'Ingresos'!F6" tooltip="Ir a 'Ingresos'!F6"/>
    <hyperlink ref="D55" location="'Ej_Producción'!C31" tooltip="Ir a 'Ej_Producción'!C31"/>
    <hyperlink ref="D56" location="'Producción'!D28" tooltip="Ir a 'Producción'!D28"/>
    <hyperlink ref="D60" location="'Ej_Producción'!C22" tooltip="Ir a 'Ej_Producción'!C22"/>
    <hyperlink ref="D61" location="'Ej_Costos'!O1" tooltip="Ir a 'Ej_Costos'!O1"/>
    <hyperlink ref="D62" location="'Ej_Costos'!G9" tooltip="Ir a 'Ej_Costos'!G9"/>
    <hyperlink ref="D63" location="'Ej_Costos'!G34" tooltip="Ir a 'Ej_Costos'!G34"/>
    <hyperlink ref="D64" location="'Ej_Costos'!R34" tooltip="Ir a 'Ej_Costos'!R34"/>
    <hyperlink ref="D65" location="'Ej_Costos'!AJ37" tooltip="Ir a 'Ej_Costos'!AJ37"/>
    <hyperlink ref="D66" location="'Ej_Costos'!R36" tooltip="Ir a 'Ej_Costos'!R36"/>
    <hyperlink ref="D67" location="'Supuestos'!B18" tooltip="Ir a 'Supuestos'!B18"/>
    <hyperlink ref="D71" location="'Supuestos'!B77" tooltip="Ir a 'Supuestos'!B77"/>
    <hyperlink ref="D72" location="'Ej_Flujo'!O40" tooltip="Ir a 'Ej_Flujo'!O40"/>
    <hyperlink ref="D73" location="'Ej_Flujo'!P8" tooltip="Ir a 'Ej_Flujo'!P8"/>
    <hyperlink ref="D74" location="'Ej_Costos'!R62" tooltip="Ir a 'Ej_Costos'!R62"/>
    <hyperlink ref="D75" location="'Resultados'!H18" tooltip="Ir a 'Resultados'!H18"/>
    <hyperlink ref="D79" location="'CONTROLES Y PPT'!B5" tooltip="Ir a 'CONTROLES Y PPT'!B5"/>
    <hyperlink ref="D80" location="'VAN-TIR'!C22" tooltip="Ir a 'VAN-TIR'!C22"/>
    <hyperlink ref="D85" location="'CONTROLES Y PPT'!B79" tooltip="Ir a 'CONTROLES Y PPT'!B79"/>
    <hyperlink ref="D86" location="'CONTROLES Y PPT'!B36" tooltip="Ir a 'CONTROLES Y PPT'!B36"/>
    <hyperlink ref="D81" location="'PASO A PASO'!B92" tooltip="Ir al registro de actualizaciones"/>
  </hyperlinks>
  <pageMargins left="0.4" right="0.4" top="0.5" bottom="0.5" header="0.3" footer="0.3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29</vt:i4>
      </vt:variant>
      <vt:variant>
        <vt:lpstr>Rangos con nombre</vt:lpstr>
      </vt:variant>
      <vt:variant>
        <vt:i4>1</vt:i4>
      </vt:variant>
    </vt:vector>
  </HeadingPairs>
  <TitlesOfParts>
    <vt:vector size="30" baseType="lpstr">
      <vt:lpstr>PASO A PASO</vt:lpstr>
      <vt:lpstr>CONTROLES Y PPT</vt:lpstr>
      <vt:lpstr>Ej_Producción</vt:lpstr>
      <vt:lpstr>Ej_Ingresos</vt:lpstr>
      <vt:lpstr>Ej_Costos</vt:lpstr>
      <vt:lpstr>Ej_Resultados</vt:lpstr>
      <vt:lpstr>Ej_Deuda</vt:lpstr>
      <vt:lpstr>Dashboard Ejec.</vt:lpstr>
      <vt:lpstr>Supuestos</vt:lpstr>
      <vt:lpstr>Productos</vt:lpstr>
      <vt:lpstr>Inversión</vt:lpstr>
      <vt:lpstr>Maquinaria</vt:lpstr>
      <vt:lpstr>Mano de Obra</vt:lpstr>
      <vt:lpstr>Producción</vt:lpstr>
      <vt:lpstr>Ingresos</vt:lpstr>
      <vt:lpstr>Materia Prima</vt:lpstr>
      <vt:lpstr>Costos</vt:lpstr>
      <vt:lpstr>Servicio Deuda</vt:lpstr>
      <vt:lpstr>Depreciación</vt:lpstr>
      <vt:lpstr>Capital Trabajo</vt:lpstr>
      <vt:lpstr>Resultados</vt:lpstr>
      <vt:lpstr>IVA</vt:lpstr>
      <vt:lpstr>Pto Equilibrio</vt:lpstr>
      <vt:lpstr>Flujo Fondos</vt:lpstr>
      <vt:lpstr>VAN-TIR</vt:lpstr>
      <vt:lpstr>Payback</vt:lpstr>
      <vt:lpstr>Estr. Costos</vt:lpstr>
      <vt:lpstr>Dashboard</vt:lpstr>
      <vt:lpstr>Ej_Flujo</vt:lpstr>
      <vt:lpstr>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Rodrigo Santacruz</cp:lastModifiedBy>
  <cp:revision>2</cp:revision>
  <dcterms:created xsi:type="dcterms:W3CDTF">2026-05-06T11:28:37Z</dcterms:created>
  <dcterms:modified xsi:type="dcterms:W3CDTF">2026-06-09T21:19:03Z</dcterms:modified>
  <dc:language>en-US</dc:language>
</cp:coreProperties>
</file>