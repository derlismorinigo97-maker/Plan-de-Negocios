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ja anual" sheetId="2" state="visible" r:id="rId2"/>
    <sheet name="Deuda anual" sheetId="3" state="visible" r:id="rId3"/>
    <sheet name="Linea anual" sheetId="4" state="visible" r:id="rId4"/>
    <sheet name="EBITDA anual" sheetId="5" state="visible" r:id="rId5"/>
    <sheet name="FCFF anual" sheetId="6" state="visible" r:id="rId6"/>
    <sheet name="Verificaciones" sheetId="7" state="visible" r:id="rId7"/>
    <sheet name="Supues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0.0%;[Red]-0.0%;&quot;-&quot;"/>
    <numFmt numFmtId="166" formatCode="0.00;[Red]-0.00;&quot;-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166" fontId="6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9" customWidth="1" min="12" max="12"/>
    <col width="14" customWidth="1" min="13" max="13"/>
    <col width="14" customWidth="1" min="14" max="14"/>
    <col width="9" customWidth="1" min="15" max="15"/>
    <col width="13" customWidth="1" min="16" max="16"/>
    <col width="13" customWidth="1" min="17" max="17"/>
    <col width="12" customWidth="1" min="18" max="18"/>
    <col width="11" customWidth="1" min="19" max="19"/>
    <col width="10" customWidth="1" min="20" max="20"/>
    <col width="10" customWidth="1" min="21" max="21"/>
  </cols>
  <sheetData>
    <row r="1">
      <c r="A1" s="1" t="inlineStr">
        <is>
          <t>Ecostar v6 (proyección 24 meses) — batería de escenarios (resultados del modelo, vigente)</t>
        </is>
      </c>
    </row>
    <row r="2">
      <c r="A2" s="2" t="inlineStr">
        <is>
          <t>Valores fijos de las corridas del 27/10/2026 sobre Modelo_Maquila_ECOSTAR_v6.xlsx (supuestos Oct-2025, sin reales). Cada escenario modifica solo entradas vigentes; el presupuesto original queda como referencia. USD.</t>
        </is>
      </c>
    </row>
    <row r="4" ht="48" customHeight="1">
      <c r="A4" s="3" t="inlineStr">
        <is>
          <t>Id</t>
        </is>
      </c>
      <c r="B4" s="3" t="inlineStr">
        <is>
          <t>Escenario</t>
        </is>
      </c>
      <c r="C4" s="3" t="inlineStr">
        <is>
          <t>Qué cambia</t>
        </is>
      </c>
      <c r="D4" s="3" t="inlineStr">
        <is>
          <t>Ventas 10 años</t>
        </is>
      </c>
      <c r="E4" s="3" t="inlineStr">
        <is>
          <t>EBITDA 10 años</t>
        </is>
      </c>
      <c r="F4" s="3" t="inlineStr">
        <is>
          <t>Resultado neto 10 años</t>
        </is>
      </c>
      <c r="G4" s="3" t="inlineStr">
        <is>
          <t>VAN proyecto (9,49%)</t>
        </is>
      </c>
      <c r="H4" s="3" t="inlineStr">
        <is>
          <t>Δ VAN proyecto vs base</t>
        </is>
      </c>
      <c r="I4" s="3" t="inlineStr">
        <is>
          <t>TIR proyecto</t>
        </is>
      </c>
      <c r="J4" s="3" t="inlineStr">
        <is>
          <t>VAN socios (16,32%)</t>
        </is>
      </c>
      <c r="K4" s="3" t="inlineStr">
        <is>
          <t>Δ VAN socios vs base</t>
        </is>
      </c>
      <c r="L4" s="3" t="inlineStr">
        <is>
          <t>TIR socios</t>
        </is>
      </c>
      <c r="M4" s="3" t="inlineStr">
        <is>
          <t>Necesidad de fondos antes de financiar</t>
        </is>
      </c>
      <c r="N4" s="3" t="inlineStr">
        <is>
          <t>Aporte adicional necesario (caja negativa)</t>
        </is>
      </c>
      <c r="O4" s="3" t="inlineStr">
        <is>
          <t>Meses bajo caja mínima</t>
        </is>
      </c>
      <c r="P4" s="3" t="inlineStr">
        <is>
          <t>Deuda máxima</t>
        </is>
      </c>
      <c r="Q4" s="3" t="inlineStr">
        <is>
          <t>Línea rotativa: uso máximo</t>
        </is>
      </c>
      <c r="R4" s="3" t="inlineStr">
        <is>
          <t>Intereses totales</t>
        </is>
      </c>
      <c r="S4" s="3" t="inlineStr">
        <is>
          <t>Cancelación de la deuda (años)</t>
        </is>
      </c>
      <c r="T4" s="3" t="inlineStr">
        <is>
          <t>DSCR mínimo desde año 2</t>
        </is>
      </c>
      <c r="U4" s="3" t="inlineStr">
        <is>
          <t>Recupero (años)</t>
        </is>
      </c>
    </row>
    <row r="5">
      <c r="A5" s="4" t="inlineStr">
        <is>
          <t>Referencia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6" t="inlineStr">
        <is>
          <t>E00</t>
        </is>
      </c>
      <c r="B6" s="6" t="inlineStr">
        <is>
          <t>Plan base (Oct-2025)</t>
        </is>
      </c>
      <c r="C6" s="7" t="inlineStr">
        <is>
          <t>Sin cambios: vigente = presupuesto.</t>
        </is>
      </c>
      <c r="D6" s="8" t="n">
        <v>81222447.7216454</v>
      </c>
      <c r="E6" s="8" t="n">
        <v>16309504.016261</v>
      </c>
      <c r="F6" s="8" t="n">
        <v>14751245.7980366</v>
      </c>
      <c r="G6" s="8" t="n">
        <v>6989921.75871111</v>
      </c>
      <c r="H6" s="8" t="n">
        <v>0</v>
      </c>
      <c r="I6" s="9" t="n">
        <v>0.349257269740243</v>
      </c>
      <c r="J6" s="8" t="n">
        <v>3695678.09104638</v>
      </c>
      <c r="K6" s="8" t="n">
        <v>0</v>
      </c>
      <c r="L6" s="9" t="n">
        <v>0.436297177538501</v>
      </c>
      <c r="M6" s="8" t="n">
        <v>3207787.01305363</v>
      </c>
      <c r="N6" s="8" t="n">
        <v>311740.118672618</v>
      </c>
      <c r="O6" s="10" t="n">
        <v>12</v>
      </c>
      <c r="P6" s="8" t="n">
        <v>2791587</v>
      </c>
      <c r="Q6" s="8" t="n">
        <v>0</v>
      </c>
      <c r="R6" s="8" t="n">
        <v>813214.128224454</v>
      </c>
      <c r="S6" s="11" t="n">
        <v>5</v>
      </c>
      <c r="T6" s="11" t="n">
        <v>0.399863944695061</v>
      </c>
      <c r="U6" s="11" t="n">
        <v>4.12764300579957</v>
      </c>
    </row>
    <row r="7">
      <c r="A7" s="4" t="inlineStr">
        <is>
          <t>Financiamiento y cobranza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12" t="inlineStr">
        <is>
          <t>F1</t>
        </is>
      </c>
      <c r="B8" s="12" t="inlineStr">
        <is>
          <t>Más financiamiento</t>
        </is>
      </c>
      <c r="C8" s="13" t="inlineStr">
        <is>
          <t>Préstamo LP USD 3,8 M (+1,0 M), mismas condiciones.</t>
        </is>
      </c>
      <c r="D8" s="14" t="n">
        <v>81222447.7216454</v>
      </c>
      <c r="E8" s="14" t="n">
        <v>16309504.016261</v>
      </c>
      <c r="F8" s="14" t="n">
        <v>14457486.1198731</v>
      </c>
      <c r="G8" s="14" t="n">
        <v>6989921.75871111</v>
      </c>
      <c r="H8" s="14" t="n">
        <v>0</v>
      </c>
      <c r="I8" s="15" t="n">
        <v>0.349257269740243</v>
      </c>
      <c r="J8" s="14" t="n">
        <v>3593000.79850299</v>
      </c>
      <c r="K8" s="14" t="n">
        <v>-102677.2925433898</v>
      </c>
      <c r="L8" s="15" t="n">
        <v>0.43470024395067</v>
      </c>
      <c r="M8" s="14" t="n">
        <v>3207787.01305363</v>
      </c>
      <c r="N8" s="14" t="n">
        <v>0</v>
      </c>
      <c r="O8" s="16" t="n">
        <v>1</v>
      </c>
      <c r="P8" s="14" t="n">
        <v>3800000</v>
      </c>
      <c r="Q8" s="14" t="n">
        <v>0</v>
      </c>
      <c r="R8" s="14" t="n">
        <v>1106973.80638788</v>
      </c>
      <c r="S8" s="17" t="n">
        <v>5</v>
      </c>
      <c r="T8" s="17" t="n">
        <v>0.293751313099856</v>
      </c>
      <c r="U8" s="17" t="n">
        <v>4.12764300579957</v>
      </c>
    </row>
    <row r="9">
      <c r="A9" s="12" t="inlineStr">
        <is>
          <t>F2</t>
        </is>
      </c>
      <c r="B9" s="12" t="inlineStr">
        <is>
          <t>Menos financiamiento</t>
        </is>
      </c>
      <c r="C9" s="13" t="inlineStr">
        <is>
          <t>Préstamo LP USD 1,8 M (−1,0 M).</t>
        </is>
      </c>
      <c r="D9" s="14" t="n">
        <v>81222447.7216454</v>
      </c>
      <c r="E9" s="14" t="n">
        <v>16309504.016261</v>
      </c>
      <c r="F9" s="14" t="n">
        <v>15040103.9127089</v>
      </c>
      <c r="G9" s="14" t="n">
        <v>6989921.75871111</v>
      </c>
      <c r="H9" s="14" t="n">
        <v>0</v>
      </c>
      <c r="I9" s="15" t="n">
        <v>0.349257269740243</v>
      </c>
      <c r="J9" s="14" t="n">
        <v>3680996.29127262</v>
      </c>
      <c r="K9" s="14" t="n">
        <v>-14681.79977375967</v>
      </c>
      <c r="L9" s="15" t="n">
        <v>0.39925862851767</v>
      </c>
      <c r="M9" s="14" t="n">
        <v>3207787.01305363</v>
      </c>
      <c r="N9" s="14" t="n">
        <v>816529.1481536269</v>
      </c>
      <c r="O9" s="16" t="n">
        <v>41</v>
      </c>
      <c r="P9" s="14" t="n">
        <v>1800000</v>
      </c>
      <c r="Q9" s="14" t="n">
        <v>0</v>
      </c>
      <c r="R9" s="14" t="n">
        <v>524356.013552153</v>
      </c>
      <c r="S9" s="17" t="n">
        <v>5</v>
      </c>
      <c r="T9" s="17" t="n">
        <v>0.620141660988584</v>
      </c>
      <c r="U9" s="17" t="n">
        <v>4.12764300579957</v>
      </c>
    </row>
    <row r="10">
      <c r="A10" s="12" t="inlineStr">
        <is>
          <t>F3</t>
        </is>
      </c>
      <c r="B10" s="12" t="inlineStr">
        <is>
          <t>Cobro a 180 días</t>
        </is>
      </c>
      <c r="C10" s="13" t="inlineStr">
        <is>
          <t>Días de cobro 120 → 180.</t>
        </is>
      </c>
      <c r="D10" s="14" t="n">
        <v>81222447.7216454</v>
      </c>
      <c r="E10" s="14" t="n">
        <v>16309504.016261</v>
      </c>
      <c r="F10" s="14" t="n">
        <v>14751245.7980366</v>
      </c>
      <c r="G10" s="14" t="n">
        <v>6230649.82812064</v>
      </c>
      <c r="H10" s="14" t="n">
        <v>-759271.9305904703</v>
      </c>
      <c r="I10" s="15" t="n">
        <v>0.271993350320965</v>
      </c>
      <c r="J10" s="14" t="n">
        <v>2932499.00468147</v>
      </c>
      <c r="K10" s="14" t="n">
        <v>-763179.08636491</v>
      </c>
      <c r="L10" s="15" t="n">
        <v>0.320301718632182</v>
      </c>
      <c r="M10" s="14" t="n">
        <v>4223874.68428651</v>
      </c>
      <c r="N10" s="14" t="n">
        <v>1632135.30864089</v>
      </c>
      <c r="O10" s="16" t="n">
        <v>57</v>
      </c>
      <c r="P10" s="14" t="n">
        <v>2791587</v>
      </c>
      <c r="Q10" s="14" t="n">
        <v>0</v>
      </c>
      <c r="R10" s="14" t="n">
        <v>813214.128224454</v>
      </c>
      <c r="S10" s="17" t="n">
        <v>5</v>
      </c>
      <c r="T10" s="17" t="n">
        <v>0.118338914854396</v>
      </c>
      <c r="U10" s="17" t="n">
        <v>4.92498049345782</v>
      </c>
    </row>
    <row r="11">
      <c r="A11" s="12" t="inlineStr">
        <is>
          <t>F4</t>
        </is>
      </c>
      <c r="B11" s="12" t="inlineStr">
        <is>
          <t>Cobro al contado</t>
        </is>
      </c>
      <c r="C11" s="13" t="inlineStr">
        <is>
          <t>Días de cobro 120 → 0.</t>
        </is>
      </c>
      <c r="D11" s="14" t="n">
        <v>81222447.7216454</v>
      </c>
      <c r="E11" s="14" t="n">
        <v>16309504.016261</v>
      </c>
      <c r="F11" s="14" t="n">
        <v>14751245.7980366</v>
      </c>
      <c r="G11" s="14" t="n">
        <v>8508465.619892061</v>
      </c>
      <c r="H11" s="14" t="n">
        <v>1518543.861180951</v>
      </c>
      <c r="I11" s="15" t="n">
        <v>0.783164400821914</v>
      </c>
      <c r="J11" s="14" t="n">
        <v>3895389.81382666</v>
      </c>
      <c r="K11" s="14" t="n">
        <v>199711.7227802803</v>
      </c>
      <c r="L11" s="15" t="n">
        <v>0.467429024817066</v>
      </c>
      <c r="M11" s="14" t="n">
        <v>1406089.92893824</v>
      </c>
      <c r="N11" s="14" t="n">
        <v>0</v>
      </c>
      <c r="O11" s="16" t="n">
        <v>0</v>
      </c>
      <c r="P11" s="14" t="n">
        <v>2791587</v>
      </c>
      <c r="Q11" s="14" t="n">
        <v>0</v>
      </c>
      <c r="R11" s="14" t="n">
        <v>813214.128224454</v>
      </c>
      <c r="S11" s="17" t="n">
        <v>5</v>
      </c>
      <c r="T11" s="17" t="n">
        <v>0.962914004376393</v>
      </c>
      <c r="U11" s="17" t="n">
        <v>2.28052596771845</v>
      </c>
    </row>
    <row r="12">
      <c r="A12" s="12" t="inlineStr">
        <is>
          <t>F5</t>
        </is>
      </c>
      <c r="B12" s="12" t="inlineStr">
        <is>
          <t>Más financiamiento + cobro 180 días</t>
        </is>
      </c>
      <c r="C12" s="13" t="inlineStr">
        <is>
          <t>F1 + F3.</t>
        </is>
      </c>
      <c r="D12" s="14" t="n">
        <v>81222447.7216454</v>
      </c>
      <c r="E12" s="14" t="n">
        <v>16309504.016261</v>
      </c>
      <c r="F12" s="14" t="n">
        <v>14457486.1198731</v>
      </c>
      <c r="G12" s="14" t="n">
        <v>6230649.82812064</v>
      </c>
      <c r="H12" s="14" t="n">
        <v>-759271.9305904703</v>
      </c>
      <c r="I12" s="15" t="n">
        <v>0.271993350320965</v>
      </c>
      <c r="J12" s="14" t="n">
        <v>2954155.31175213</v>
      </c>
      <c r="K12" s="14" t="n">
        <v>-741522.7792942501</v>
      </c>
      <c r="L12" s="15" t="n">
        <v>0.340083679808999</v>
      </c>
      <c r="M12" s="14" t="n">
        <v>4223874.68428651</v>
      </c>
      <c r="N12" s="14" t="n">
        <v>1397533.8958826</v>
      </c>
      <c r="O12" s="16" t="n">
        <v>48</v>
      </c>
      <c r="P12" s="14" t="n">
        <v>3800000</v>
      </c>
      <c r="Q12" s="14" t="n">
        <v>0</v>
      </c>
      <c r="R12" s="14" t="n">
        <v>1106973.80638788</v>
      </c>
      <c r="S12" s="17" t="n">
        <v>5</v>
      </c>
      <c r="T12" s="17" t="n">
        <v>0.0869350990267467</v>
      </c>
      <c r="U12" s="17" t="n">
        <v>4.92498049345782</v>
      </c>
    </row>
    <row r="13">
      <c r="A13" s="12" t="inlineStr">
        <is>
          <t>F6</t>
        </is>
      </c>
      <c r="B13" s="12" t="inlineStr">
        <is>
          <t>Menos financiamiento + contado</t>
        </is>
      </c>
      <c r="C13" s="13" t="inlineStr">
        <is>
          <t>F2 + F4.</t>
        </is>
      </c>
      <c r="D13" s="14" t="n">
        <v>81222447.7216454</v>
      </c>
      <c r="E13" s="14" t="n">
        <v>16309504.016261</v>
      </c>
      <c r="F13" s="14" t="n">
        <v>15040103.9127089</v>
      </c>
      <c r="G13" s="14" t="n">
        <v>8508465.619892061</v>
      </c>
      <c r="H13" s="14" t="n">
        <v>1518543.861180951</v>
      </c>
      <c r="I13" s="15" t="n">
        <v>0.783164400821914</v>
      </c>
      <c r="J13" s="14" t="n">
        <v>3975861.40635339</v>
      </c>
      <c r="K13" s="14" t="n">
        <v>280183.31530701</v>
      </c>
      <c r="L13" s="15" t="n">
        <v>0.471226605854597</v>
      </c>
      <c r="M13" s="14" t="n">
        <v>1406089.92893824</v>
      </c>
      <c r="N13" s="14" t="n">
        <v>0</v>
      </c>
      <c r="O13" s="16" t="n">
        <v>0</v>
      </c>
      <c r="P13" s="14" t="n">
        <v>1800000</v>
      </c>
      <c r="Q13" s="14" t="n">
        <v>0</v>
      </c>
      <c r="R13" s="14" t="n">
        <v>524356.013552153</v>
      </c>
      <c r="S13" s="17" t="n">
        <v>5</v>
      </c>
      <c r="T13" s="17" t="n">
        <v>1.49336567596393</v>
      </c>
      <c r="U13" s="17" t="n">
        <v>2.28052596771845</v>
      </c>
    </row>
    <row r="14">
      <c r="A14" s="12" t="inlineStr">
        <is>
          <t>F7</t>
        </is>
      </c>
      <c r="B14" s="12" t="inlineStr">
        <is>
          <t>Más financiamiento + contado</t>
        </is>
      </c>
      <c r="C14" s="13" t="inlineStr">
        <is>
          <t>F1 + F4.</t>
        </is>
      </c>
      <c r="D14" s="14" t="n">
        <v>81222447.7216454</v>
      </c>
      <c r="E14" s="14" t="n">
        <v>16309504.016261</v>
      </c>
      <c r="F14" s="14" t="n">
        <v>14457486.1198731</v>
      </c>
      <c r="G14" s="14" t="n">
        <v>8508465.619892061</v>
      </c>
      <c r="H14" s="14" t="n">
        <v>1518543.861180951</v>
      </c>
      <c r="I14" s="15" t="n">
        <v>0.783164400821914</v>
      </c>
      <c r="J14" s="14" t="n">
        <v>3813552.71830739</v>
      </c>
      <c r="K14" s="14" t="n">
        <v>117874.62726101</v>
      </c>
      <c r="L14" s="15" t="n">
        <v>0.463530423932026</v>
      </c>
      <c r="M14" s="14" t="n">
        <v>1406089.92893824</v>
      </c>
      <c r="N14" s="14" t="n">
        <v>0</v>
      </c>
      <c r="O14" s="16" t="n">
        <v>0</v>
      </c>
      <c r="P14" s="14" t="n">
        <v>3800000</v>
      </c>
      <c r="Q14" s="14" t="n">
        <v>0</v>
      </c>
      <c r="R14" s="14" t="n">
        <v>1106973.80638788</v>
      </c>
      <c r="S14" s="17" t="n">
        <v>5</v>
      </c>
      <c r="T14" s="17" t="n">
        <v>0.7073837412460739</v>
      </c>
      <c r="U14" s="17" t="n">
        <v>2.28052596771845</v>
      </c>
    </row>
    <row r="15">
      <c r="A15" s="12" t="inlineStr">
        <is>
          <t>F8</t>
        </is>
      </c>
      <c r="B15" s="12" t="inlineStr">
        <is>
          <t>Menos financiamiento + cobro 180 días</t>
        </is>
      </c>
      <c r="C15" s="13" t="inlineStr">
        <is>
          <t>F2 + F3.</t>
        </is>
      </c>
      <c r="D15" s="14" t="n">
        <v>81222447.7216454</v>
      </c>
      <c r="E15" s="14" t="n">
        <v>16309504.016261</v>
      </c>
      <c r="F15" s="14" t="n">
        <v>15040103.9127089</v>
      </c>
      <c r="G15" s="14" t="n">
        <v>6230649.82812064</v>
      </c>
      <c r="H15" s="14" t="n">
        <v>-759271.9305904703</v>
      </c>
      <c r="I15" s="15" t="n">
        <v>0.271993350320965</v>
      </c>
      <c r="J15" s="14" t="n">
        <v>2810934.90233576</v>
      </c>
      <c r="K15" s="14" t="n">
        <v>-884743.1887106197</v>
      </c>
      <c r="L15" s="15" t="n">
        <v>0.292098466592182</v>
      </c>
      <c r="M15" s="14" t="n">
        <v>4223874.68428651</v>
      </c>
      <c r="N15" s="14" t="n">
        <v>2055741.03856459</v>
      </c>
      <c r="O15" s="16" t="n">
        <v>55</v>
      </c>
      <c r="P15" s="14" t="n">
        <v>1800000</v>
      </c>
      <c r="Q15" s="14" t="n">
        <v>0</v>
      </c>
      <c r="R15" s="14" t="n">
        <v>524356.013552153</v>
      </c>
      <c r="S15" s="17" t="n">
        <v>5</v>
      </c>
      <c r="T15" s="17" t="n">
        <v>0.18352965350091</v>
      </c>
      <c r="U15" s="17" t="n">
        <v>4.92498049345782</v>
      </c>
    </row>
    <row r="16">
      <c r="A16" s="4" t="inlineStr">
        <is>
          <t>Costos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12" t="inlineStr">
        <is>
          <t>C1</t>
        </is>
      </c>
      <c r="B17" s="12" t="inlineStr">
        <is>
          <t>Costos variables +10%</t>
        </is>
      </c>
      <c r="C17" s="13" t="inlineStr">
        <is>
          <t>Materia prima, insumos y otros variables por unidad +10%.</t>
        </is>
      </c>
      <c r="D17" s="14" t="n">
        <v>81222447.7216454</v>
      </c>
      <c r="E17" s="14" t="n">
        <v>11126326.2289635</v>
      </c>
      <c r="F17" s="14" t="n">
        <v>9568068.01073901</v>
      </c>
      <c r="G17" s="14" t="n">
        <v>3619713.07948354</v>
      </c>
      <c r="H17" s="14" t="n">
        <v>-3370208.67922757</v>
      </c>
      <c r="I17" s="15" t="n">
        <v>0.218059721939987</v>
      </c>
      <c r="J17" s="14" t="n">
        <v>1330718.97949997</v>
      </c>
      <c r="K17" s="14" t="n">
        <v>-2364959.11154641</v>
      </c>
      <c r="L17" s="15" t="n">
        <v>0.248624015006133</v>
      </c>
      <c r="M17" s="14" t="n">
        <v>3757166.83197156</v>
      </c>
      <c r="N17" s="14" t="n">
        <v>1601513.94079626</v>
      </c>
      <c r="O17" s="16" t="n">
        <v>55</v>
      </c>
      <c r="P17" s="14" t="n">
        <v>2791587</v>
      </c>
      <c r="Q17" s="14" t="n">
        <v>0</v>
      </c>
      <c r="R17" s="14" t="n">
        <v>813214.128224454</v>
      </c>
      <c r="S17" s="17" t="n">
        <v>5</v>
      </c>
      <c r="T17" s="17" t="n">
        <v>-0.145682408999101</v>
      </c>
      <c r="U17" s="17" t="n">
        <v>5.74777514024903</v>
      </c>
    </row>
    <row r="18">
      <c r="A18" s="12" t="inlineStr">
        <is>
          <t>C2</t>
        </is>
      </c>
      <c r="B18" s="12" t="inlineStr">
        <is>
          <t>Costos variables +20%</t>
        </is>
      </c>
      <c r="C18" s="13" t="inlineStr">
        <is>
          <t>Idem +20%.</t>
        </is>
      </c>
      <c r="D18" s="14" t="n">
        <v>81222447.7216454</v>
      </c>
      <c r="E18" s="14" t="n">
        <v>5943148.44166591</v>
      </c>
      <c r="F18" s="14" t="n">
        <v>4384890.22344146</v>
      </c>
      <c r="G18" s="14" t="n">
        <v>249504.400255968</v>
      </c>
      <c r="H18" s="14" t="n">
        <v>-6740417.358455142</v>
      </c>
      <c r="I18" s="15" t="n">
        <v>0.102886406494324</v>
      </c>
      <c r="J18" s="14" t="n">
        <v>-1129352.31124794</v>
      </c>
      <c r="K18" s="14" t="n">
        <v>-4825030.40229432</v>
      </c>
      <c r="L18" s="15" t="n">
        <v>0.100895996678073</v>
      </c>
      <c r="M18" s="14" t="n">
        <v>4787792.17309131</v>
      </c>
      <c r="N18" s="14" t="n">
        <v>3186572.51472449</v>
      </c>
      <c r="O18" s="16" t="n">
        <v>104</v>
      </c>
      <c r="P18" s="14" t="n">
        <v>2791587</v>
      </c>
      <c r="Q18" s="14" t="n">
        <v>0</v>
      </c>
      <c r="R18" s="14" t="n">
        <v>813214.128224454</v>
      </c>
      <c r="S18" s="17" t="n">
        <v>5</v>
      </c>
      <c r="T18" s="17" t="n">
        <v>-0.6912287626932641</v>
      </c>
      <c r="U18" s="17" t="n">
        <v>9.487437547348341</v>
      </c>
    </row>
    <row r="19">
      <c r="A19" s="12" t="inlineStr">
        <is>
          <t>C3</t>
        </is>
      </c>
      <c r="B19" s="12" t="inlineStr">
        <is>
          <t>Costos variables +30%</t>
        </is>
      </c>
      <c r="C19" s="13" t="inlineStr">
        <is>
          <t>Idem +30%.</t>
        </is>
      </c>
      <c r="D19" s="14" t="n">
        <v>81222447.7216454</v>
      </c>
      <c r="E19" s="14" t="n">
        <v>759970.654368363</v>
      </c>
      <c r="F19" s="14" t="n">
        <v>-798287.563856091</v>
      </c>
      <c r="G19" s="14" t="n">
        <v>-3120704.2789716</v>
      </c>
      <c r="H19" s="14" t="n">
        <v>-10110626.03768271</v>
      </c>
      <c r="I19" s="15" t="n">
        <v>0.000279760889569491</v>
      </c>
      <c r="J19" s="14" t="n">
        <v>-3725161.82043349</v>
      </c>
      <c r="K19" s="14" t="n">
        <v>-7420839.91147987</v>
      </c>
      <c r="L19" s="15" t="n">
        <v>-0.0162917986324216</v>
      </c>
      <c r="M19" s="14" t="n">
        <v>6184913.94442478</v>
      </c>
      <c r="N19" s="14" t="n">
        <v>5685501.36247163</v>
      </c>
      <c r="O19" s="16" t="n">
        <v>117</v>
      </c>
      <c r="P19" s="14" t="n">
        <v>2791587</v>
      </c>
      <c r="Q19" s="14" t="n">
        <v>0</v>
      </c>
      <c r="R19" s="14" t="n">
        <v>813214.128224454</v>
      </c>
      <c r="S19" s="17" t="n">
        <v>5</v>
      </c>
      <c r="T19" s="17" t="n">
        <v>-1.23677511638743</v>
      </c>
      <c r="U19" s="17" t="n">
        <v>9.916417128941371</v>
      </c>
    </row>
    <row r="20">
      <c r="A20" s="12" t="inlineStr">
        <is>
          <t>C4</t>
        </is>
      </c>
      <c r="B20" s="12" t="inlineStr">
        <is>
          <t>Costos que no se cubren con las ventas</t>
        </is>
      </c>
      <c r="C20" s="13" t="inlineStr">
        <is>
          <t>Variables +30%, salarios +30% y costos fijos ×2.</t>
        </is>
      </c>
      <c r="D20" s="14" t="n">
        <v>81222447.7216454</v>
      </c>
      <c r="E20" s="14" t="n">
        <v>-5252404.44516457</v>
      </c>
      <c r="F20" s="14" t="n">
        <v>-6810662.66338902</v>
      </c>
      <c r="G20" s="14" t="n">
        <v>-7020642.13296118</v>
      </c>
      <c r="H20" s="14" t="n">
        <v>-14010563.89167229</v>
      </c>
      <c r="I20" s="15" t="n">
        <v>-0.107088020592894</v>
      </c>
      <c r="J20" s="14" t="n">
        <v>-6753822.67054623</v>
      </c>
      <c r="K20" s="14" t="n">
        <v>-10449500.76159261</v>
      </c>
      <c r="L20" s="15" t="n">
        <v>-0.126065124156136</v>
      </c>
      <c r="M20" s="14" t="n">
        <v>10927676.1859059</v>
      </c>
      <c r="N20" s="14" t="n">
        <v>10601180.3141303</v>
      </c>
      <c r="O20" s="16" t="n">
        <v>118</v>
      </c>
      <c r="P20" s="14" t="n">
        <v>2791587</v>
      </c>
      <c r="Q20" s="14" t="n">
        <v>0</v>
      </c>
      <c r="R20" s="14" t="n">
        <v>813214.128224454</v>
      </c>
      <c r="S20" s="17" t="n">
        <v>5</v>
      </c>
      <c r="T20" s="17" t="n">
        <v>-1.95175323932718</v>
      </c>
      <c r="U20" s="12" t="inlineStr">
        <is>
          <t>No recupera</t>
        </is>
      </c>
    </row>
    <row r="21">
      <c r="A21" s="4" t="inlineStr">
        <is>
          <t>Ventas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12" t="inlineStr">
        <is>
          <t>V1</t>
        </is>
      </c>
      <c r="B22" s="12" t="inlineStr">
        <is>
          <t>Volumen −10%</t>
        </is>
      </c>
      <c r="C22" s="13" t="inlineStr">
        <is>
          <t>Unidades vendidas −10% todos los años.</t>
        </is>
      </c>
      <c r="D22" s="14" t="n">
        <v>73100202.94948091</v>
      </c>
      <c r="E22" s="14" t="n">
        <v>13460187.8361265</v>
      </c>
      <c r="F22" s="14" t="n">
        <v>11901929.617902</v>
      </c>
      <c r="G22" s="14" t="n">
        <v>5422991.00843464</v>
      </c>
      <c r="H22" s="14" t="n">
        <v>-1566930.75027647</v>
      </c>
      <c r="I22" s="15" t="n">
        <v>0.306248552473539</v>
      </c>
      <c r="J22" s="14" t="n">
        <v>2690585.868078</v>
      </c>
      <c r="K22" s="14" t="n">
        <v>-1005092.22296838</v>
      </c>
      <c r="L22" s="15" t="n">
        <v>0.373425246358953</v>
      </c>
      <c r="M22" s="14" t="n">
        <v>3082618.38819433</v>
      </c>
      <c r="N22" s="14" t="n">
        <v>430518.812498173</v>
      </c>
      <c r="O22" s="16" t="n">
        <v>21</v>
      </c>
      <c r="P22" s="14" t="n">
        <v>2791587</v>
      </c>
      <c r="Q22" s="14" t="n">
        <v>0</v>
      </c>
      <c r="R22" s="14" t="n">
        <v>813214.128224454</v>
      </c>
      <c r="S22" s="17" t="n">
        <v>5</v>
      </c>
      <c r="T22" s="17" t="n">
        <v>0.215130384438385</v>
      </c>
      <c r="U22" s="17" t="n">
        <v>4.49993796514789</v>
      </c>
    </row>
    <row r="23">
      <c r="A23" s="12" t="inlineStr">
        <is>
          <t>V2</t>
        </is>
      </c>
      <c r="B23" s="12" t="inlineStr">
        <is>
          <t>Volumen −20%</t>
        </is>
      </c>
      <c r="C23" s="13" t="inlineStr">
        <is>
          <t>Idem −20%.</t>
        </is>
      </c>
      <c r="D23" s="14" t="n">
        <v>64977958.1773163</v>
      </c>
      <c r="E23" s="14" t="n">
        <v>10610871.6559919</v>
      </c>
      <c r="F23" s="14" t="n">
        <v>9052613.437767429</v>
      </c>
      <c r="G23" s="14" t="n">
        <v>3856060.25815816</v>
      </c>
      <c r="H23" s="14" t="n">
        <v>-3133861.50055295</v>
      </c>
      <c r="I23" s="15" t="n">
        <v>0.256974275545897</v>
      </c>
      <c r="J23" s="14" t="n">
        <v>1656795.06754771</v>
      </c>
      <c r="K23" s="14" t="n">
        <v>-2038883.02349867</v>
      </c>
      <c r="L23" s="15" t="n">
        <v>0.298450889289204</v>
      </c>
      <c r="M23" s="14" t="n">
        <v>2957449.76333504</v>
      </c>
      <c r="N23" s="14" t="n">
        <v>656645.455533546</v>
      </c>
      <c r="O23" s="16" t="n">
        <v>33</v>
      </c>
      <c r="P23" s="14" t="n">
        <v>2791587</v>
      </c>
      <c r="Q23" s="14" t="n">
        <v>0</v>
      </c>
      <c r="R23" s="14" t="n">
        <v>813214.128224454</v>
      </c>
      <c r="S23" s="17" t="n">
        <v>5</v>
      </c>
      <c r="T23" s="17" t="n">
        <v>0.0303968241817097</v>
      </c>
      <c r="U23" s="17" t="n">
        <v>5.08115761182395</v>
      </c>
    </row>
    <row r="24">
      <c r="A24" s="12" t="inlineStr">
        <is>
          <t>V3</t>
        </is>
      </c>
      <c r="B24" s="12" t="inlineStr">
        <is>
          <t>Volumen −30%</t>
        </is>
      </c>
      <c r="C24" s="13" t="inlineStr">
        <is>
          <t>Idem −30%.</t>
        </is>
      </c>
      <c r="D24" s="14" t="n">
        <v>56855713.4051518</v>
      </c>
      <c r="E24" s="14" t="n">
        <v>7761555.47585732</v>
      </c>
      <c r="F24" s="14" t="n">
        <v>6203297.25763287</v>
      </c>
      <c r="G24" s="14" t="n">
        <v>2289129.50788168</v>
      </c>
      <c r="H24" s="14" t="n">
        <v>-4700792.25082943</v>
      </c>
      <c r="I24" s="15" t="n">
        <v>0.19962283801557</v>
      </c>
      <c r="J24" s="14" t="n">
        <v>626407.4949376259</v>
      </c>
      <c r="K24" s="14" t="n">
        <v>-3069270.596108754</v>
      </c>
      <c r="L24" s="15" t="n">
        <v>0.216832365885843</v>
      </c>
      <c r="M24" s="14" t="n">
        <v>2936407.75007338</v>
      </c>
      <c r="N24" s="14" t="n">
        <v>882772.098568916</v>
      </c>
      <c r="O24" s="16" t="n">
        <v>45</v>
      </c>
      <c r="P24" s="14" t="n">
        <v>2791587</v>
      </c>
      <c r="Q24" s="14" t="n">
        <v>0</v>
      </c>
      <c r="R24" s="14" t="n">
        <v>813214.128224454</v>
      </c>
      <c r="S24" s="17" t="n">
        <v>5</v>
      </c>
      <c r="T24" s="17" t="n">
        <v>-0.154336736074967</v>
      </c>
      <c r="U24" s="17" t="n">
        <v>6.02059137721472</v>
      </c>
    </row>
    <row r="25">
      <c r="A25" s="12" t="inlineStr">
        <is>
          <t>V4</t>
        </is>
      </c>
      <c r="B25" s="12" t="inlineStr">
        <is>
          <t>Vendo más: volumen +10%</t>
        </is>
      </c>
      <c r="C25" s="13" t="inlineStr">
        <is>
          <t>Unidades +10% (desde el año 4 supera la capacidad instalada).</t>
        </is>
      </c>
      <c r="D25" s="14" t="n">
        <v>89344692.49380989</v>
      </c>
      <c r="E25" s="14" t="n">
        <v>19158820.1963956</v>
      </c>
      <c r="F25" s="14" t="n">
        <v>17600561.9781711</v>
      </c>
      <c r="G25" s="14" t="n">
        <v>8556852.508987591</v>
      </c>
      <c r="H25" s="14" t="n">
        <v>1566930.750276481</v>
      </c>
      <c r="I25" s="15" t="n">
        <v>0.387238601592171</v>
      </c>
      <c r="J25" s="14" t="n">
        <v>4713190.89518048</v>
      </c>
      <c r="K25" s="14" t="n">
        <v>1017512.8041341</v>
      </c>
      <c r="L25" s="15" t="n">
        <v>0.496042240483402</v>
      </c>
      <c r="M25" s="14" t="n">
        <v>3332955.63791293</v>
      </c>
      <c r="N25" s="14" t="n">
        <v>290460.36194393</v>
      </c>
      <c r="O25" s="16" t="n">
        <v>8</v>
      </c>
      <c r="P25" s="14" t="n">
        <v>2791587</v>
      </c>
      <c r="Q25" s="14" t="n">
        <v>0</v>
      </c>
      <c r="R25" s="14" t="n">
        <v>813214.128224454</v>
      </c>
      <c r="S25" s="17" t="n">
        <v>5</v>
      </c>
      <c r="T25" s="17" t="n">
        <v>0.584597504951738</v>
      </c>
      <c r="U25" s="17" t="n">
        <v>3.84215429068236</v>
      </c>
    </row>
    <row r="26">
      <c r="A26" s="12" t="inlineStr">
        <is>
          <t>V5</t>
        </is>
      </c>
      <c r="B26" s="12" t="inlineStr">
        <is>
          <t>Vendo más dentro de la capacidad</t>
        </is>
      </c>
      <c r="C26" s="13" t="inlineStr">
        <is>
          <t>Años 1-2 a capacidad inicial (15.000 / 90.000), año 3 = 21.000 / 120.000.</t>
        </is>
      </c>
      <c r="D26" s="14" t="n">
        <v>83553351.7216454</v>
      </c>
      <c r="E26" s="14" t="n">
        <v>17105107.591322</v>
      </c>
      <c r="F26" s="14" t="n">
        <v>15546849.3730976</v>
      </c>
      <c r="G26" s="14" t="n">
        <v>7601968.89416915</v>
      </c>
      <c r="H26" s="14" t="n">
        <v>612047.1354580401</v>
      </c>
      <c r="I26" s="15" t="n">
        <v>0.37735033624605</v>
      </c>
      <c r="J26" s="14" t="n">
        <v>4106060.0131062</v>
      </c>
      <c r="K26" s="14" t="n">
        <v>410381.92205982</v>
      </c>
      <c r="L26" s="15" t="n">
        <v>0.474521750127837</v>
      </c>
      <c r="M26" s="14" t="n">
        <v>3594279.08370249</v>
      </c>
      <c r="N26" s="14" t="n">
        <v>378599.804682879</v>
      </c>
      <c r="O26" s="16" t="n">
        <v>8</v>
      </c>
      <c r="P26" s="14" t="n">
        <v>2791587</v>
      </c>
      <c r="Q26" s="14" t="n">
        <v>0</v>
      </c>
      <c r="R26" s="14" t="n">
        <v>813214.128224454</v>
      </c>
      <c r="S26" s="17" t="n">
        <v>5</v>
      </c>
      <c r="T26" s="17" t="n">
        <v>0.762567563362167</v>
      </c>
      <c r="U26" s="17" t="n">
        <v>3.66599753434157</v>
      </c>
    </row>
    <row r="27">
      <c r="A27" s="4" t="inlineStr">
        <is>
          <t>Plan no sale como se esperaba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12" t="inlineStr">
        <is>
          <t>P1</t>
        </is>
      </c>
      <c r="B28" s="12" t="inlineStr">
        <is>
          <t>Desfavorable combinado</t>
        </is>
      </c>
      <c r="C28" s="13" t="inlineStr">
        <is>
          <t>Volumen −30%, precio −5%, inicio 6 meses después, CAPEX +15%.</t>
        </is>
      </c>
      <c r="D28" s="14" t="n">
        <v>50947355.2576917</v>
      </c>
      <c r="E28" s="14" t="n">
        <v>4152263.99828668</v>
      </c>
      <c r="F28" s="14" t="n">
        <v>2516413.71673722</v>
      </c>
      <c r="G28" s="14" t="n">
        <v>-105270.366055277</v>
      </c>
      <c r="H28" s="14" t="n">
        <v>-7095192.124766387</v>
      </c>
      <c r="I28" s="15" t="n">
        <v>0.09027888479551779</v>
      </c>
      <c r="J28" s="14" t="n">
        <v>-1158115.52571791</v>
      </c>
      <c r="K28" s="14" t="n">
        <v>-4853793.61676429</v>
      </c>
      <c r="L28" s="15" t="n">
        <v>0.0778986386726626</v>
      </c>
      <c r="M28" s="14" t="n">
        <v>3794577.843771</v>
      </c>
      <c r="N28" s="14" t="n">
        <v>2635012.32874277</v>
      </c>
      <c r="O28" s="16" t="n">
        <v>94</v>
      </c>
      <c r="P28" s="14" t="n">
        <v>2791587</v>
      </c>
      <c r="Q28" s="14" t="n">
        <v>0</v>
      </c>
      <c r="R28" s="14" t="n">
        <v>813214.128224454</v>
      </c>
      <c r="S28" s="17" t="n">
        <v>5</v>
      </c>
      <c r="T28" s="17" t="n">
        <v>-0.5842617466398</v>
      </c>
      <c r="U28" s="17" t="n">
        <v>9.58665091773849</v>
      </c>
    </row>
    <row r="29">
      <c r="A29" s="12" t="inlineStr">
        <is>
          <t>P2</t>
        </is>
      </c>
      <c r="B29" s="12" t="inlineStr">
        <is>
          <t>Selector «Conservador» del modelo</t>
        </is>
      </c>
      <c r="C29" s="13" t="inlineStr">
        <is>
          <t>Volumen −10%, precio −5%, materiales +10%, atraso 3 meses, CAPEX pendiente +10%, cobro 150 días.</t>
        </is>
      </c>
      <c r="D29" s="14" t="n">
        <v>67474467.638091</v>
      </c>
      <c r="E29" s="14" t="n">
        <v>4767077.34889778</v>
      </c>
      <c r="F29" s="14" t="n">
        <v>3150654.28914833</v>
      </c>
      <c r="G29" s="14" t="n">
        <v>-486490.296964816</v>
      </c>
      <c r="H29" s="14" t="n">
        <v>-7476412.055675926</v>
      </c>
      <c r="I29" s="15" t="n">
        <v>0.07910075703806289</v>
      </c>
      <c r="J29" s="14" t="n">
        <v>-1723353.63244126</v>
      </c>
      <c r="K29" s="14" t="n">
        <v>-5419031.72348764</v>
      </c>
      <c r="L29" s="15" t="n">
        <v>0.07088585392900119</v>
      </c>
      <c r="M29" s="14" t="n">
        <v>5107339.32618104</v>
      </c>
      <c r="N29" s="14" t="n">
        <v>3802827.95416403</v>
      </c>
      <c r="O29" s="16" t="n">
        <v>117</v>
      </c>
      <c r="P29" s="14" t="n">
        <v>2791587</v>
      </c>
      <c r="Q29" s="14" t="n">
        <v>0</v>
      </c>
      <c r="R29" s="14" t="n">
        <v>813214.128224454</v>
      </c>
      <c r="S29" s="17" t="n">
        <v>5</v>
      </c>
      <c r="T29" s="17" t="n">
        <v>-0.812846786864984</v>
      </c>
      <c r="U29" s="17" t="n">
        <v>9.84768172170749</v>
      </c>
    </row>
    <row r="30">
      <c r="A30" s="12" t="inlineStr">
        <is>
          <t>P3</t>
        </is>
      </c>
      <c r="B30" s="12" t="inlineStr">
        <is>
          <t>Selector «Optimista» del modelo</t>
        </is>
      </c>
      <c r="C30" s="13" t="inlineStr">
        <is>
          <t>Volumen +5%, precio +2%, materiales −3%, cobro e inventario 90 días.</t>
        </is>
      </c>
      <c r="D30" s="14" t="n">
        <v>86989241.5098822</v>
      </c>
      <c r="E30" s="14" t="n">
        <v>21053686.8424878</v>
      </c>
      <c r="F30" s="14" t="n">
        <v>19495428.6242633</v>
      </c>
      <c r="G30" s="14" t="n">
        <v>10466057.0980348</v>
      </c>
      <c r="H30" s="14" t="n">
        <v>3476135.339323689</v>
      </c>
      <c r="I30" s="15" t="n">
        <v>0.577056716281567</v>
      </c>
      <c r="J30" s="14" t="n">
        <v>5389993.03022817</v>
      </c>
      <c r="K30" s="14" t="n">
        <v>1694314.93918179</v>
      </c>
      <c r="L30" s="15" t="n">
        <v>0.534767149355868</v>
      </c>
      <c r="M30" s="14" t="n">
        <v>2477972.22291348</v>
      </c>
      <c r="N30" s="14" t="n">
        <v>0</v>
      </c>
      <c r="O30" s="16" t="n">
        <v>0</v>
      </c>
      <c r="P30" s="14" t="n">
        <v>2791587</v>
      </c>
      <c r="Q30" s="14" t="n">
        <v>0</v>
      </c>
      <c r="R30" s="14" t="n">
        <v>813214.128224454</v>
      </c>
      <c r="S30" s="17" t="n">
        <v>5</v>
      </c>
      <c r="T30" s="17" t="n">
        <v>1.03789887333644</v>
      </c>
      <c r="U30" s="17" t="n">
        <v>2.77024275476507</v>
      </c>
    </row>
    <row r="31">
      <c r="A31" s="4" t="inlineStr">
        <is>
          <t>Plazo del préstamo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12" t="inlineStr">
        <is>
          <t>L1</t>
        </is>
      </c>
      <c r="B32" s="12" t="inlineStr">
        <is>
          <t>LP a 3 años (6 meses de gracia + 30 cuotas)</t>
        </is>
      </c>
      <c r="C32" s="13" t="inlineStr">
        <is>
          <t>Mismo monto y tasa.</t>
        </is>
      </c>
      <c r="D32" s="14" t="n">
        <v>81222447.7216454</v>
      </c>
      <c r="E32" s="14" t="n">
        <v>16309504.016261</v>
      </c>
      <c r="F32" s="14" t="n">
        <v>15056420.9484448</v>
      </c>
      <c r="G32" s="14" t="n">
        <v>6989921.75871111</v>
      </c>
      <c r="H32" s="14" t="n">
        <v>0</v>
      </c>
      <c r="I32" s="15" t="n">
        <v>0.349257269740243</v>
      </c>
      <c r="J32" s="14" t="n">
        <v>3636649.01788407</v>
      </c>
      <c r="K32" s="14" t="n">
        <v>-59029.07316230983</v>
      </c>
      <c r="L32" s="15" t="n">
        <v>0.397155984441649</v>
      </c>
      <c r="M32" s="14" t="n">
        <v>3207787.01305363</v>
      </c>
      <c r="N32" s="14" t="n">
        <v>1361877.60824064</v>
      </c>
      <c r="O32" s="16" t="n">
        <v>34</v>
      </c>
      <c r="P32" s="14" t="n">
        <v>2791587</v>
      </c>
      <c r="Q32" s="14" t="n">
        <v>0</v>
      </c>
      <c r="R32" s="14" t="n">
        <v>508038.977816244</v>
      </c>
      <c r="S32" s="17" t="n">
        <v>3</v>
      </c>
      <c r="T32" s="17" t="n">
        <v>0.245265636235295</v>
      </c>
      <c r="U32" s="17" t="n">
        <v>4.12764300579957</v>
      </c>
    </row>
    <row r="33">
      <c r="A33" s="12" t="inlineStr">
        <is>
          <t>L2</t>
        </is>
      </c>
      <c r="B33" s="12" t="inlineStr">
        <is>
          <t>LP a 7 años (6 + 78 cuotas)</t>
        </is>
      </c>
      <c r="C33" s="13" t="inlineStr">
        <is>
          <t>Mismo monto y tasa.</t>
        </is>
      </c>
      <c r="D33" s="14" t="n">
        <v>81222447.7216454</v>
      </c>
      <c r="E33" s="14" t="n">
        <v>16309504.016261</v>
      </c>
      <c r="F33" s="14" t="n">
        <v>14429825.204246</v>
      </c>
      <c r="G33" s="14" t="n">
        <v>6989921.75871111</v>
      </c>
      <c r="H33" s="14" t="n">
        <v>0</v>
      </c>
      <c r="I33" s="15" t="n">
        <v>0.349257269740243</v>
      </c>
      <c r="J33" s="14" t="n">
        <v>3696157.51560339</v>
      </c>
      <c r="K33" s="14" t="n">
        <v>479.4245570101775</v>
      </c>
      <c r="L33" s="15" t="n">
        <v>0.452458449040765</v>
      </c>
      <c r="M33" s="14" t="n">
        <v>3207787.01305363</v>
      </c>
      <c r="N33" s="14" t="n">
        <v>16353.4707302917</v>
      </c>
      <c r="O33" s="16" t="n">
        <v>2</v>
      </c>
      <c r="P33" s="14" t="n">
        <v>2791587</v>
      </c>
      <c r="Q33" s="14" t="n">
        <v>0</v>
      </c>
      <c r="R33" s="14" t="n">
        <v>1134634.72201505</v>
      </c>
      <c r="S33" s="17" t="n">
        <v>7</v>
      </c>
      <c r="T33" s="17" t="n">
        <v>0.52581705868842</v>
      </c>
      <c r="U33" s="17" t="n">
        <v>4.12764300579957</v>
      </c>
    </row>
    <row r="34">
      <c r="A34" s="12" t="inlineStr">
        <is>
          <t>L3</t>
        </is>
      </c>
      <c r="B34" s="12" t="inlineStr">
        <is>
          <t>LP a 8 años (12 + 84 cuotas)</t>
        </is>
      </c>
      <c r="C34" s="13" t="inlineStr">
        <is>
          <t>Mismo monto y tasa.</t>
        </is>
      </c>
      <c r="D34" s="14" t="n">
        <v>81222447.7216454</v>
      </c>
      <c r="E34" s="14" t="n">
        <v>16309504.016261</v>
      </c>
      <c r="F34" s="14" t="n">
        <v>14208779.211007</v>
      </c>
      <c r="G34" s="14" t="n">
        <v>6989921.75871111</v>
      </c>
      <c r="H34" s="14" t="n">
        <v>0</v>
      </c>
      <c r="I34" s="15" t="n">
        <v>0.349257269740243</v>
      </c>
      <c r="J34" s="14" t="n">
        <v>3645605.60558119</v>
      </c>
      <c r="K34" s="14" t="n">
        <v>-50072.48546518991</v>
      </c>
      <c r="L34" s="15" t="n">
        <v>0.451191535139223</v>
      </c>
      <c r="M34" s="14" t="n">
        <v>3207787.01305363</v>
      </c>
      <c r="N34" s="14" t="n">
        <v>0</v>
      </c>
      <c r="O34" s="16" t="n">
        <v>0</v>
      </c>
      <c r="P34" s="14" t="n">
        <v>2791587</v>
      </c>
      <c r="Q34" s="14" t="n">
        <v>0</v>
      </c>
      <c r="R34" s="14" t="n">
        <v>1355680.71525406</v>
      </c>
      <c r="S34" s="17" t="n">
        <v>8</v>
      </c>
      <c r="T34" s="17" t="n">
        <v>0.552184504170306</v>
      </c>
      <c r="U34" s="17" t="n">
        <v>4.12764300579957</v>
      </c>
    </row>
    <row r="35">
      <c r="A35" s="12" t="inlineStr">
        <is>
          <t>L4</t>
        </is>
      </c>
      <c r="B35" s="12" t="inlineStr">
        <is>
          <t>Repago acelerado con todo el excedente</t>
        </is>
      </c>
      <c r="C35" s="13" t="inlineStr">
        <is>
          <t>Sin cuotas fijas: línea de USD 4 M al 9% que se usa según la necesidad y se devuelve con todo el excedente de caja.</t>
        </is>
      </c>
      <c r="D35" s="14" t="n">
        <v>81222447.7216454</v>
      </c>
      <c r="E35" s="14" t="n">
        <v>16309504.016261</v>
      </c>
      <c r="F35" s="14" t="n">
        <v>14921811.6826202</v>
      </c>
      <c r="G35" s="14" t="n">
        <v>6989921.75871111</v>
      </c>
      <c r="H35" s="14" t="n">
        <v>0</v>
      </c>
      <c r="I35" s="15" t="n">
        <v>0.349257269740243</v>
      </c>
      <c r="J35" s="14" t="n">
        <v>3760140.78709672</v>
      </c>
      <c r="K35" s="14" t="n">
        <v>64462.69605034031</v>
      </c>
      <c r="L35" s="15" t="n">
        <v>0.441826023168424</v>
      </c>
      <c r="M35" s="14" t="n">
        <v>3207787.01305363</v>
      </c>
      <c r="N35" s="14" t="n">
        <v>0</v>
      </c>
      <c r="O35" s="16" t="n">
        <v>0</v>
      </c>
      <c r="P35" s="14" t="n">
        <v>2330584.89720127</v>
      </c>
      <c r="Q35" s="14" t="n">
        <v>2330584.89720127</v>
      </c>
      <c r="R35" s="14" t="n">
        <v>642648.2436408231</v>
      </c>
      <c r="S35" s="17" t="n">
        <v>4</v>
      </c>
      <c r="T35" s="17" t="n">
        <v>1.55792344183329</v>
      </c>
      <c r="U35" s="17" t="n">
        <v>4.12764300579957</v>
      </c>
    </row>
    <row r="36">
      <c r="A36" s="4" t="inlineStr">
        <is>
          <t>Corto vs largo plazo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12" t="inlineStr">
        <is>
          <t>K1</t>
        </is>
      </c>
      <c r="B37" s="12" t="inlineStr">
        <is>
          <t>Solo LP, ampliado para cubrir la brecha</t>
        </is>
      </c>
      <c r="C37" s="13" t="inlineStr">
        <is>
          <t>Préstamo LP USD 3,25 M (6 + 54) al 9%.</t>
        </is>
      </c>
      <c r="D37" s="14" t="n">
        <v>81222447.7216454</v>
      </c>
      <c r="E37" s="14" t="n">
        <v>16309504.016261</v>
      </c>
      <c r="F37" s="14" t="n">
        <v>14617706.012903</v>
      </c>
      <c r="G37" s="14" t="n">
        <v>6989921.75871111</v>
      </c>
      <c r="H37" s="14" t="n">
        <v>0</v>
      </c>
      <c r="I37" s="15" t="n">
        <v>0.349257269740243</v>
      </c>
      <c r="J37" s="14" t="n">
        <v>3654335.63054824</v>
      </c>
      <c r="K37" s="14" t="n">
        <v>-41342.46049813973</v>
      </c>
      <c r="L37" s="15" t="n">
        <v>0.437154653475736</v>
      </c>
      <c r="M37" s="14" t="n">
        <v>3207787.01305363</v>
      </c>
      <c r="N37" s="14" t="n">
        <v>97745.05421660539</v>
      </c>
      <c r="O37" s="16" t="n">
        <v>7</v>
      </c>
      <c r="P37" s="14" t="n">
        <v>3250000</v>
      </c>
      <c r="Q37" s="14" t="n">
        <v>0</v>
      </c>
      <c r="R37" s="14" t="n">
        <v>946753.913358054</v>
      </c>
      <c r="S37" s="17" t="n">
        <v>5</v>
      </c>
      <c r="T37" s="17" t="n">
        <v>0.343463073778293</v>
      </c>
      <c r="U37" s="17" t="n">
        <v>4.12764300579957</v>
      </c>
    </row>
    <row r="38">
      <c r="A38" s="12" t="inlineStr">
        <is>
          <t>K2</t>
        </is>
      </c>
      <c r="B38" s="12" t="inlineStr">
        <is>
          <t>LP + préstamo CP de 12 meses</t>
        </is>
      </c>
      <c r="C38" s="13" t="inlineStr">
        <is>
          <t>LP base + CP USD 500 mil al 10% en el mes 25, 12 cuotas.</t>
        </is>
      </c>
      <c r="D38" s="14" t="n">
        <v>81222447.7216454</v>
      </c>
      <c r="E38" s="14" t="n">
        <v>16309504.016261</v>
      </c>
      <c r="F38" s="14" t="n">
        <v>14721000.9423185</v>
      </c>
      <c r="G38" s="14" t="n">
        <v>6989921.75871111</v>
      </c>
      <c r="H38" s="14" t="n">
        <v>0</v>
      </c>
      <c r="I38" s="15" t="n">
        <v>0.349257269740243</v>
      </c>
      <c r="J38" s="14" t="n">
        <v>3691088.18407642</v>
      </c>
      <c r="K38" s="14" t="n">
        <v>-4589.906969959848</v>
      </c>
      <c r="L38" s="15" t="n">
        <v>0.438291264230512</v>
      </c>
      <c r="M38" s="14" t="n">
        <v>3207787.01305363</v>
      </c>
      <c r="N38" s="14" t="n">
        <v>234637.025180866</v>
      </c>
      <c r="O38" s="16" t="n">
        <v>4</v>
      </c>
      <c r="P38" s="14" t="n">
        <v>2791587</v>
      </c>
      <c r="Q38" s="14" t="n">
        <v>0</v>
      </c>
      <c r="R38" s="14" t="n">
        <v>843458.983942517</v>
      </c>
      <c r="S38" s="17" t="n">
        <v>5</v>
      </c>
      <c r="T38" s="17" t="n">
        <v>0.399863944695061</v>
      </c>
      <c r="U38" s="17" t="n">
        <v>4.12764300579957</v>
      </c>
    </row>
    <row r="39">
      <c r="A39" s="12" t="inlineStr">
        <is>
          <t>K3</t>
        </is>
      </c>
      <c r="B39" s="12" t="inlineStr">
        <is>
          <t>LP + línea rotativa a la par</t>
        </is>
      </c>
      <c r="C39" s="13" t="inlineStr">
        <is>
          <t>LP base + línea USD 1 M al 10%, renovada hasta el final.</t>
        </is>
      </c>
      <c r="D39" s="14" t="n">
        <v>81222447.7216454</v>
      </c>
      <c r="E39" s="14" t="n">
        <v>16309504.016261</v>
      </c>
      <c r="F39" s="14" t="n">
        <v>14730668.0370374</v>
      </c>
      <c r="G39" s="14" t="n">
        <v>6989921.75871111</v>
      </c>
      <c r="H39" s="14" t="n">
        <v>0</v>
      </c>
      <c r="I39" s="15" t="n">
        <v>0.349257269740243</v>
      </c>
      <c r="J39" s="14" t="n">
        <v>3698759.79021748</v>
      </c>
      <c r="K39" s="14" t="n">
        <v>3081.699171100277</v>
      </c>
      <c r="L39" s="15" t="n">
        <v>0.439491863838634</v>
      </c>
      <c r="M39" s="14" t="n">
        <v>3207787.01305363</v>
      </c>
      <c r="N39" s="14" t="n">
        <v>0</v>
      </c>
      <c r="O39" s="16" t="n">
        <v>0</v>
      </c>
      <c r="P39" s="14" t="n">
        <v>2791587</v>
      </c>
      <c r="Q39" s="14" t="n">
        <v>373700.713193166</v>
      </c>
      <c r="R39" s="14" t="n">
        <v>833791.889223666</v>
      </c>
      <c r="S39" s="17" t="n">
        <v>5</v>
      </c>
      <c r="T39" s="17" t="n">
        <v>0.399863944695061</v>
      </c>
      <c r="U39" s="17" t="n">
        <v>4.12764300579957</v>
      </c>
    </row>
    <row r="40">
      <c r="A40" s="12" t="inlineStr">
        <is>
          <t>K4</t>
        </is>
      </c>
      <c r="B40" s="12" t="inlineStr">
        <is>
          <t>Solo CP: línea rotativa renovada</t>
        </is>
      </c>
      <c r="C40" s="13" t="inlineStr">
        <is>
          <t>Sin LP; línea USD 4 M al 10% renovada hasta el final.</t>
        </is>
      </c>
      <c r="D40" s="14" t="n">
        <v>81222447.7216454</v>
      </c>
      <c r="E40" s="14" t="n">
        <v>16309504.016261</v>
      </c>
      <c r="F40" s="14" t="n">
        <v>14829526.2901279</v>
      </c>
      <c r="G40" s="14" t="n">
        <v>6989921.75871111</v>
      </c>
      <c r="H40" s="14" t="n">
        <v>0</v>
      </c>
      <c r="I40" s="15" t="n">
        <v>0.349257269740243</v>
      </c>
      <c r="J40" s="14" t="n">
        <v>3711577.00785918</v>
      </c>
      <c r="K40" s="14" t="n">
        <v>15898.91681280034</v>
      </c>
      <c r="L40" s="15" t="n">
        <v>0.437657025321064</v>
      </c>
      <c r="M40" s="14" t="n">
        <v>3207787.01305363</v>
      </c>
      <c r="N40" s="14" t="n">
        <v>0</v>
      </c>
      <c r="O40" s="16" t="n">
        <v>0</v>
      </c>
      <c r="P40" s="14" t="n">
        <v>2355361.56614428</v>
      </c>
      <c r="Q40" s="14" t="n">
        <v>2355361.56614428</v>
      </c>
      <c r="R40" s="14" t="n">
        <v>734933.636133075</v>
      </c>
      <c r="S40" s="17" t="n">
        <v>4.08333333333333</v>
      </c>
      <c r="T40" s="17" t="n">
        <v>1.37823283263345</v>
      </c>
      <c r="U40" s="17" t="n">
        <v>4.12764300579957</v>
      </c>
    </row>
    <row r="41">
      <c r="A41" s="12" t="inlineStr">
        <is>
          <t>K5</t>
        </is>
      </c>
      <c r="B41" s="12" t="inlineStr">
        <is>
          <t>Solo CP sin renovación</t>
        </is>
      </c>
      <c r="C41" s="13" t="inlineStr">
        <is>
          <t>Sin LP; línea USD 4 M al 10% que vence en el mes 24.</t>
        </is>
      </c>
      <c r="D41" s="14" t="n">
        <v>81222447.7216454</v>
      </c>
      <c r="E41" s="14" t="n">
        <v>16309504.016261</v>
      </c>
      <c r="F41" s="14" t="n">
        <v>15105639.5930817</v>
      </c>
      <c r="G41" s="14" t="n">
        <v>6989921.75871111</v>
      </c>
      <c r="H41" s="14" t="n">
        <v>0</v>
      </c>
      <c r="I41" s="15" t="n">
        <v>0.349257269740243</v>
      </c>
      <c r="J41" s="14" t="n">
        <v>3645095.87977607</v>
      </c>
      <c r="K41" s="14" t="n">
        <v>-50582.21127030998</v>
      </c>
      <c r="L41" s="15" t="n">
        <v>0.396048564371789</v>
      </c>
      <c r="M41" s="14" t="n">
        <v>3207787.01305363</v>
      </c>
      <c r="N41" s="14" t="n">
        <v>2191678.8130666</v>
      </c>
      <c r="O41" s="16" t="n">
        <v>22</v>
      </c>
      <c r="P41" s="14" t="n">
        <v>2355361.56614428</v>
      </c>
      <c r="Q41" s="14" t="n">
        <v>2355361.56614428</v>
      </c>
      <c r="R41" s="14" t="n">
        <v>458820.33317928</v>
      </c>
      <c r="S41" s="17" t="n">
        <v>2.08333333333333</v>
      </c>
      <c r="T41" s="17" t="n">
        <v>1.37823283263345</v>
      </c>
      <c r="U41" s="17" t="n">
        <v>4.12764300579957</v>
      </c>
    </row>
    <row r="42">
      <c r="A42" s="12" t="inlineStr">
        <is>
          <t>K6</t>
        </is>
      </c>
      <c r="B42" s="12" t="inlineStr">
        <is>
          <t>LP para CAPEX + CP para capital de trabajo</t>
        </is>
      </c>
      <c r="C42" s="13" t="inlineStr">
        <is>
          <t>LP USD 0,76 M (6 + 54) al 9% + línea USD 3 M al 10% renovada.</t>
        </is>
      </c>
      <c r="D42" s="14" t="n">
        <v>81222447.7216454</v>
      </c>
      <c r="E42" s="14" t="n">
        <v>16309504.016261</v>
      </c>
      <c r="F42" s="14" t="n">
        <v>14838042.5985165</v>
      </c>
      <c r="G42" s="14" t="n">
        <v>6989921.75871111</v>
      </c>
      <c r="H42" s="14" t="n">
        <v>0</v>
      </c>
      <c r="I42" s="15" t="n">
        <v>0.349257269740243</v>
      </c>
      <c r="J42" s="14" t="n">
        <v>3739865.09991623</v>
      </c>
      <c r="K42" s="14" t="n">
        <v>44187.00886985008</v>
      </c>
      <c r="L42" s="15" t="n">
        <v>0.441474516963137</v>
      </c>
      <c r="M42" s="14" t="n">
        <v>3207787.01305363</v>
      </c>
      <c r="N42" s="14" t="n">
        <v>0</v>
      </c>
      <c r="O42" s="16" t="n">
        <v>0</v>
      </c>
      <c r="P42" s="14" t="n">
        <v>2353789.45883777</v>
      </c>
      <c r="Q42" s="14" t="n">
        <v>1718056.14462693</v>
      </c>
      <c r="R42" s="14" t="n">
        <v>726417.327744499</v>
      </c>
      <c r="S42" s="17" t="n">
        <v>5</v>
      </c>
      <c r="T42" s="17" t="n">
        <v>0.844129655223521</v>
      </c>
      <c r="U42" s="17" t="n">
        <v>4.12764300579957</v>
      </c>
    </row>
    <row r="43">
      <c r="A43" s="12" t="inlineStr">
        <is>
          <t>K7</t>
        </is>
      </c>
      <c r="B43" s="12" t="inlineStr">
        <is>
          <t>Solo CP renovado con tasa 7,99%</t>
        </is>
      </c>
      <c r="C43" s="13" t="inlineStr">
        <is>
          <t>K4 con la tasa activa promedio ME del BCP (mar-2026).</t>
        </is>
      </c>
      <c r="D43" s="14" t="n">
        <v>81222447.7216454</v>
      </c>
      <c r="E43" s="14" t="n">
        <v>16309504.016261</v>
      </c>
      <c r="F43" s="14" t="n">
        <v>15010049.5020525</v>
      </c>
      <c r="G43" s="14" t="n">
        <v>6989921.75871111</v>
      </c>
      <c r="H43" s="14" t="n">
        <v>0</v>
      </c>
      <c r="I43" s="15" t="n">
        <v>0.349257269740243</v>
      </c>
      <c r="J43" s="14" t="n">
        <v>3806552.07227545</v>
      </c>
      <c r="K43" s="14" t="n">
        <v>110873.9812290701</v>
      </c>
      <c r="L43" s="15" t="n">
        <v>0.445810862458035</v>
      </c>
      <c r="M43" s="14" t="n">
        <v>3207787.01305363</v>
      </c>
      <c r="N43" s="14" t="n">
        <v>0</v>
      </c>
      <c r="O43" s="16" t="n">
        <v>0</v>
      </c>
      <c r="P43" s="14" t="n">
        <v>2305821.37835152</v>
      </c>
      <c r="Q43" s="14" t="n">
        <v>2305821.37835152</v>
      </c>
      <c r="R43" s="14" t="n">
        <v>554410.424208561</v>
      </c>
      <c r="S43" s="17" t="n">
        <v>3.91666666666667</v>
      </c>
      <c r="T43" s="17" t="n">
        <v>1.78564979005631</v>
      </c>
      <c r="U43" s="17" t="n">
        <v>4.12764300579957</v>
      </c>
    </row>
    <row r="44">
      <c r="A44" s="12" t="inlineStr">
        <is>
          <t>K8</t>
        </is>
      </c>
      <c r="B44" s="12" t="inlineStr">
        <is>
          <t>Solo CP renovado con tasa 11,24%</t>
        </is>
      </c>
      <c r="C44" s="13" t="inlineStr">
        <is>
          <t>K4 con el tope legal ME del BCP (jul-2026).</t>
        </is>
      </c>
      <c r="D44" s="14" t="n">
        <v>81222447.7216454</v>
      </c>
      <c r="E44" s="14" t="n">
        <v>16309504.016261</v>
      </c>
      <c r="F44" s="14" t="n">
        <v>14706958.792366</v>
      </c>
      <c r="G44" s="14" t="n">
        <v>6989921.75871111</v>
      </c>
      <c r="H44" s="14" t="n">
        <v>0</v>
      </c>
      <c r="I44" s="15" t="n">
        <v>0.349257269740243</v>
      </c>
      <c r="J44" s="14" t="n">
        <v>3646770.36346772</v>
      </c>
      <c r="K44" s="14" t="n">
        <v>-48907.72757866001</v>
      </c>
      <c r="L44" s="15" t="n">
        <v>0.432088647141413</v>
      </c>
      <c r="M44" s="14" t="n">
        <v>3207787.01305363</v>
      </c>
      <c r="N44" s="14" t="n">
        <v>0</v>
      </c>
      <c r="O44" s="16" t="n">
        <v>0</v>
      </c>
      <c r="P44" s="14" t="n">
        <v>2386445.2300281</v>
      </c>
      <c r="Q44" s="14" t="n">
        <v>2386445.2300281</v>
      </c>
      <c r="R44" s="14" t="n">
        <v>857501.13389499</v>
      </c>
      <c r="S44" s="17" t="n">
        <v>4.16666666666667</v>
      </c>
      <c r="T44" s="17" t="n">
        <v>1.20037497564171</v>
      </c>
      <c r="U44" s="17" t="n">
        <v>4.12764300579957</v>
      </c>
    </row>
    <row r="45">
      <c r="A45" s="4" t="inlineStr">
        <is>
          <t>Tipo de cambio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12" t="inlineStr">
        <is>
          <t>T1</t>
        </is>
      </c>
      <c r="B46" s="12" t="inlineStr">
        <is>
          <t>Sube el TC: Gs 8.760 (+20%)</t>
        </is>
      </c>
      <c r="C46" s="13" t="inlineStr">
        <is>
          <t>TC vigente de todos los años.</t>
        </is>
      </c>
      <c r="D46" s="14" t="n">
        <v>81222447.7216454</v>
      </c>
      <c r="E46" s="14" t="n">
        <v>17836949.5153976</v>
      </c>
      <c r="F46" s="14" t="n">
        <v>16278691.2971732</v>
      </c>
      <c r="G46" s="14" t="n">
        <v>7989367.2698763</v>
      </c>
      <c r="H46" s="14" t="n">
        <v>999445.5111651905</v>
      </c>
      <c r="I46" s="15" t="n">
        <v>0.393335287134682</v>
      </c>
      <c r="J46" s="14" t="n">
        <v>4356428.24391935</v>
      </c>
      <c r="K46" s="14" t="n">
        <v>660750.1528729703</v>
      </c>
      <c r="L46" s="15" t="n">
        <v>0.488327135614996</v>
      </c>
      <c r="M46" s="14" t="n">
        <v>3052425.85470916</v>
      </c>
      <c r="N46" s="14" t="n">
        <v>13960.4790487336</v>
      </c>
      <c r="O46" s="16" t="n">
        <v>2</v>
      </c>
      <c r="P46" s="14" t="n">
        <v>2791587</v>
      </c>
      <c r="Q46" s="14" t="n">
        <v>0</v>
      </c>
      <c r="R46" s="14" t="n">
        <v>813214.128224454</v>
      </c>
      <c r="S46" s="17" t="n">
        <v>5</v>
      </c>
      <c r="T46" s="17" t="n">
        <v>0.582322185317466</v>
      </c>
      <c r="U46" s="17" t="n">
        <v>3.79350871264908</v>
      </c>
    </row>
    <row r="47">
      <c r="A47" s="12" t="inlineStr">
        <is>
          <t>T2</t>
        </is>
      </c>
      <c r="B47" s="12" t="inlineStr">
        <is>
          <t>Baja el TC: Gs 6.145 (−16%)</t>
        </is>
      </c>
      <c r="C47" s="13" t="inlineStr">
        <is>
          <t>Nivel usado en el archivo de Alianza del Acero (jun-2026).</t>
        </is>
      </c>
      <c r="D47" s="14" t="n">
        <v>81222447.7216454</v>
      </c>
      <c r="E47" s="14" t="n">
        <v>14586933.258081</v>
      </c>
      <c r="F47" s="14" t="n">
        <v>13028675.0398565</v>
      </c>
      <c r="G47" s="14" t="n">
        <v>5862800.94628235</v>
      </c>
      <c r="H47" s="14" t="n">
        <v>-1127120.812428759</v>
      </c>
      <c r="I47" s="15" t="n">
        <v>0.30232341492283</v>
      </c>
      <c r="J47" s="14" t="n">
        <v>2934836.82699481</v>
      </c>
      <c r="K47" s="14" t="n">
        <v>-760841.2640515701</v>
      </c>
      <c r="L47" s="15" t="n">
        <v>0.37350630386666</v>
      </c>
      <c r="M47" s="14" t="n">
        <v>3382994.95891648</v>
      </c>
      <c r="N47" s="14" t="n">
        <v>707017.9210396369</v>
      </c>
      <c r="O47" s="16" t="n">
        <v>35</v>
      </c>
      <c r="P47" s="14" t="n">
        <v>2791587</v>
      </c>
      <c r="Q47" s="14" t="n">
        <v>0</v>
      </c>
      <c r="R47" s="14" t="n">
        <v>813214.128224454</v>
      </c>
      <c r="S47" s="17" t="n">
        <v>5</v>
      </c>
      <c r="T47" s="17" t="n">
        <v>0.194097369021624</v>
      </c>
      <c r="U47" s="17" t="n">
        <v>4.55357844662481</v>
      </c>
    </row>
    <row r="48">
      <c r="A48" s="12" t="inlineStr">
        <is>
          <t>T3</t>
        </is>
      </c>
      <c r="B48" s="12" t="inlineStr">
        <is>
          <t>Baja el TC: Gs 5.840 (−20%)</t>
        </is>
      </c>
      <c r="C48" s="13" t="inlineStr">
        <is>
          <t>TC vigente de todos los años.</t>
        </is>
      </c>
      <c r="D48" s="14" t="n">
        <v>81222447.7216454</v>
      </c>
      <c r="E48" s="14" t="n">
        <v>14018335.7675561</v>
      </c>
      <c r="F48" s="14" t="n">
        <v>12460077.5493317</v>
      </c>
      <c r="G48" s="14" t="n">
        <v>5490753.49196333</v>
      </c>
      <c r="H48" s="14" t="n">
        <v>-1499168.26674778</v>
      </c>
      <c r="I48" s="15" t="n">
        <v>0.287426687405257</v>
      </c>
      <c r="J48" s="14" t="n">
        <v>2660071.11841997</v>
      </c>
      <c r="K48" s="14" t="n">
        <v>-1035606.97262641</v>
      </c>
      <c r="L48" s="15" t="n">
        <v>0.348983901915775</v>
      </c>
      <c r="M48" s="14" t="n">
        <v>3440828.75057034</v>
      </c>
      <c r="N48" s="14" t="n">
        <v>872927.936441081</v>
      </c>
      <c r="O48" s="16" t="n">
        <v>39</v>
      </c>
      <c r="P48" s="14" t="n">
        <v>2791587</v>
      </c>
      <c r="Q48" s="14" t="n">
        <v>0</v>
      </c>
      <c r="R48" s="14" t="n">
        <v>813214.128224454</v>
      </c>
      <c r="S48" s="17" t="n">
        <v>5</v>
      </c>
      <c r="T48" s="17" t="n">
        <v>0.126176583761454</v>
      </c>
      <c r="U48" s="17" t="n">
        <v>4.71520473121242</v>
      </c>
    </row>
    <row r="49">
      <c r="A49" s="4" t="inlineStr">
        <is>
          <t>Estructura de 25 productos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12" t="inlineStr">
        <is>
          <t>X1</t>
        </is>
      </c>
      <c r="B50" s="12" t="inlineStr">
        <is>
          <t>Partición en los 25 espacios</t>
        </is>
      </c>
      <c r="C50" s="13" t="inlineStr">
        <is>
          <t>Gabinetes repartidos en los productos 1-13 y cajas en 14-25: mismo precio, costos, capacidad y volumen total.</t>
        </is>
      </c>
      <c r="D50" s="14" t="n">
        <v>81222447.7216454</v>
      </c>
      <c r="E50" s="14" t="n">
        <v>16309504.016261</v>
      </c>
      <c r="F50" s="14" t="n">
        <v>14751245.7980366</v>
      </c>
      <c r="G50" s="14" t="n">
        <v>6989921.75871111</v>
      </c>
      <c r="H50" s="14" t="n">
        <v>0</v>
      </c>
      <c r="I50" s="15" t="n">
        <v>0.349257269740243</v>
      </c>
      <c r="J50" s="14" t="n">
        <v>3695678.09104638</v>
      </c>
      <c r="K50" s="14" t="n">
        <v>0</v>
      </c>
      <c r="L50" s="15" t="n">
        <v>0.436297177538498</v>
      </c>
      <c r="M50" s="14" t="n">
        <v>3207787.01305363</v>
      </c>
      <c r="N50" s="14" t="n">
        <v>311740.118672618</v>
      </c>
      <c r="O50" s="16" t="n">
        <v>12</v>
      </c>
      <c r="P50" s="14" t="n">
        <v>2791587</v>
      </c>
      <c r="Q50" s="14" t="n">
        <v>0</v>
      </c>
      <c r="R50" s="14" t="n">
        <v>813214.128224454</v>
      </c>
      <c r="S50" s="17" t="n">
        <v>5</v>
      </c>
      <c r="T50" s="17" t="n">
        <v>0.399863944695061</v>
      </c>
      <c r="U50" s="17" t="n">
        <v>4.12764300579958</v>
      </c>
    </row>
    <row r="51">
      <c r="A51" s="12" t="inlineStr">
        <is>
          <t>X2</t>
        </is>
      </c>
      <c r="B51" s="12" t="inlineStr">
        <is>
          <t>Productos nuevos 3, 13 y 25</t>
        </is>
      </c>
      <c r="C51" s="13" t="inlineStr">
        <is>
          <t>Cargados solo en vigente (no estaban en el presupuesto). P3: precio 100, MP 30, INS 10, OV 5, 1.200 u/año. P13: 50 / 20 / 0 / 0, 600 u. P25: 200 / 80 / 20 / 0, 300 u. Datos de prueba, no comerciales.</t>
        </is>
      </c>
      <c r="D51" s="14" t="n">
        <v>83419512.3552807</v>
      </c>
      <c r="E51" s="14" t="n">
        <v>17399520.0868616</v>
      </c>
      <c r="F51" s="14" t="n">
        <v>15841261.8686371</v>
      </c>
      <c r="G51" s="14" t="n">
        <v>7641309.21738147</v>
      </c>
      <c r="H51" s="14" t="n">
        <v>651387.45867036</v>
      </c>
      <c r="I51" s="15" t="n">
        <v>0.371007668106041</v>
      </c>
      <c r="J51" s="14" t="n">
        <v>4132976.37554804</v>
      </c>
      <c r="K51" s="14" t="n">
        <v>437298.2845016601</v>
      </c>
      <c r="L51" s="15" t="n">
        <v>0.46854356736133</v>
      </c>
      <c r="M51" s="14" t="n">
        <v>3197106.81399541</v>
      </c>
      <c r="N51" s="14" t="n">
        <v>197575.029507379</v>
      </c>
      <c r="O51" s="16" t="n">
        <v>6</v>
      </c>
      <c r="P51" s="14" t="n">
        <v>2791587</v>
      </c>
      <c r="Q51" s="14" t="n">
        <v>0</v>
      </c>
      <c r="R51" s="14" t="n">
        <v>813214.128224454</v>
      </c>
      <c r="S51" s="17" t="n">
        <v>5</v>
      </c>
      <c r="T51" s="17" t="n">
        <v>0.532871317671479</v>
      </c>
      <c r="U51" s="17" t="n">
        <v>3.9357462666376</v>
      </c>
    </row>
    <row r="52">
      <c r="A52" s="12" t="inlineStr">
        <is>
          <t>X3</t>
        </is>
      </c>
      <c r="B52" s="12" t="inlineStr">
        <is>
          <t>Producto con volumen y sin precio</t>
        </is>
      </c>
      <c r="C52" s="13" t="inlineStr">
        <is>
          <t>Producto 25 con 500 u/año y MP 10, sin precio.</t>
        </is>
      </c>
      <c r="D52" s="14" t="n">
        <v>81222447.7216454</v>
      </c>
      <c r="E52" s="14" t="n">
        <v>16252380.3357865</v>
      </c>
      <c r="F52" s="14" t="n">
        <v>14694122.117562</v>
      </c>
      <c r="G52" s="14" t="n">
        <v>6951414.83370302</v>
      </c>
      <c r="H52" s="14" t="n">
        <v>-38506.92500809021</v>
      </c>
      <c r="I52" s="15" t="n">
        <v>0.347492053722141</v>
      </c>
      <c r="J52" s="14" t="n">
        <v>3672044.15340004</v>
      </c>
      <c r="K52" s="14" t="n">
        <v>-23633.93764633965</v>
      </c>
      <c r="L52" s="15" t="n">
        <v>0.43455178979721</v>
      </c>
      <c r="M52" s="14" t="n">
        <v>3215479.73565637</v>
      </c>
      <c r="N52" s="14" t="n">
        <v>324969.768501386</v>
      </c>
      <c r="O52" s="16" t="n">
        <v>12</v>
      </c>
      <c r="P52" s="14" t="n">
        <v>2791587</v>
      </c>
      <c r="Q52" s="14" t="n">
        <v>0</v>
      </c>
      <c r="R52" s="14" t="n">
        <v>813214.128224454</v>
      </c>
      <c r="S52" s="17" t="n">
        <v>5</v>
      </c>
      <c r="T52" s="17" t="n">
        <v>0.392746735201366</v>
      </c>
      <c r="U52" s="17" t="n">
        <v>4.14157176093753</v>
      </c>
    </row>
    <row r="54">
      <c r="B54" s="2" t="inlineStr">
        <is>
          <t>Lectura: VAN/TIR del proyecto = flujo libre (FCFF) sin financiamiento, a WACC 9,49% (histórico del plan). VAN/TIR de los socios = aportes, dividendos y valor final, a Ke 16,32%.</t>
        </is>
      </c>
    </row>
    <row r="55">
      <c r="B55" s="2" t="inlineStr">
        <is>
          <t>«Aporte adicional necesario» = máximo saldo de caja negativa no cubierto por los préstamos/aportes cargados. En el VAN de los socios se considera aporte implícito (costo Ke) que se devuelve al recuperarse la caja.</t>
        </is>
      </c>
    </row>
    <row r="56">
      <c r="B56" s="2" t="inlineStr">
        <is>
          <t>Naranja: necesidad de fondos no cubierta o DSCR &lt; 1 (la operación no alcanza a pagar las cuotas ese año). Rojo: VAN negativo.</t>
        </is>
      </c>
    </row>
    <row r="57">
      <c r="B57" s="2" t="inlineStr">
        <is>
          <t>Tasas: LP 9% nominal (plan). CP 10% ilustrativa; sensibilidad con 7,99% (tasa activa promedio ME, BCP mar-2026) y 11,24% (tope ME, BCP jul-2026). Las tasas reales dependen de la oferta bancaria.</t>
        </is>
      </c>
    </row>
    <row r="58">
      <c r="B58" s="2" t="inlineStr">
        <is>
          <t>La caja positiva no genera intereses en el modelo: el exceso de financiamiento solo suma costo.</t>
        </is>
      </c>
    </row>
  </sheetData>
  <conditionalFormatting sqref="N5:N52">
    <cfRule type="cellIs" priority="1" operator="greaterThan" dxfId="0">
      <formula>0.5</formula>
    </cfRule>
  </conditionalFormatting>
  <conditionalFormatting sqref="T5:T52">
    <cfRule type="cellIs" priority="2" operator="lessThan" dxfId="0">
      <formula>1</formula>
    </cfRule>
  </conditionalFormatting>
  <conditionalFormatting sqref="G5:G52">
    <cfRule type="cellIs" priority="3" operator="lessThan" dxfId="1">
      <formula>0</formula>
    </cfRule>
  </conditionalFormatting>
  <conditionalFormatting sqref="J5:J52"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Caja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497602.743558918</v>
      </c>
      <c r="D4" s="8" t="n">
        <v>303049.269216285</v>
      </c>
      <c r="E4" s="8" t="n">
        <v>268618.777743545</v>
      </c>
      <c r="F4" s="8" t="n">
        <v>742062.5515235109</v>
      </c>
      <c r="G4" s="8" t="n">
        <v>953271.6724592909</v>
      </c>
      <c r="H4" s="8" t="n">
        <v>1315225.57319639</v>
      </c>
      <c r="I4" s="8" t="n">
        <v>1395939.25727049</v>
      </c>
      <c r="J4" s="8" t="n">
        <v>1476623.20125862</v>
      </c>
      <c r="K4" s="8" t="n">
        <v>1557272.89154073</v>
      </c>
      <c r="L4" s="8" t="n">
        <v>1637883.64417609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1315057.8280259</v>
      </c>
      <c r="D5" s="14" t="n">
        <v>839720.616420139</v>
      </c>
      <c r="E5" s="14" t="n">
        <v>526373.576813602</v>
      </c>
      <c r="F5" s="14" t="n">
        <v>575862.37033253</v>
      </c>
      <c r="G5" s="14" t="n">
        <v>592828.434531903</v>
      </c>
      <c r="H5" s="14" t="n">
        <v>1315225.57319639</v>
      </c>
      <c r="I5" s="14" t="n">
        <v>1395939.25727049</v>
      </c>
      <c r="J5" s="14" t="n">
        <v>1476623.20125862</v>
      </c>
      <c r="K5" s="14" t="n">
        <v>1557272.89154073</v>
      </c>
      <c r="L5" s="14" t="n">
        <v>1637883.64417609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-306212.592857178</v>
      </c>
      <c r="D6" s="14" t="n">
        <v>-224667.381758891</v>
      </c>
      <c r="E6" s="14" t="n">
        <v>15164.7782954199</v>
      </c>
      <c r="F6" s="14" t="n">
        <v>760862.937043087</v>
      </c>
      <c r="G6" s="14" t="n">
        <v>1223086.5122229</v>
      </c>
      <c r="H6" s="14" t="n">
        <v>1341275.82789346</v>
      </c>
      <c r="I6" s="14" t="n">
        <v>1421989.51196757</v>
      </c>
      <c r="J6" s="14" t="n">
        <v>1502673.4559557</v>
      </c>
      <c r="K6" s="14" t="n">
        <v>1583323.1462378</v>
      </c>
      <c r="L6" s="14" t="n">
        <v>1663933.89887317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-299657.530413685</v>
      </c>
      <c r="D7" s="14" t="n">
        <v>-713038.402016593</v>
      </c>
      <c r="E7" s="14" t="n">
        <v>-970593.112667414</v>
      </c>
      <c r="F7" s="14" t="n">
        <v>-685680.587654572</v>
      </c>
      <c r="G7" s="14" t="n">
        <v>316204.480270349</v>
      </c>
      <c r="H7" s="14" t="n">
        <v>1315225.57319639</v>
      </c>
      <c r="I7" s="14" t="n">
        <v>1381374.84950773</v>
      </c>
      <c r="J7" s="14" t="n">
        <v>1447348.74165549</v>
      </c>
      <c r="K7" s="14" t="n">
        <v>1513141.2795788</v>
      </c>
      <c r="L7" s="14" t="n">
        <v>1578746.30833179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2092123.29150412</v>
      </c>
      <c r="D8" s="14" t="n">
        <v>2335224.61168204</v>
      </c>
      <c r="E8" s="14" t="n">
        <v>2747042.55856547</v>
      </c>
      <c r="F8" s="14" t="n">
        <v>3251345.17334758</v>
      </c>
      <c r="G8" s="14" t="n">
        <v>3491109.15706693</v>
      </c>
      <c r="H8" s="14" t="n">
        <v>3652062.22000151</v>
      </c>
      <c r="I8" s="14" t="n">
        <v>3761904.71960112</v>
      </c>
      <c r="J8" s="14" t="n">
        <v>3872008.76727002</v>
      </c>
      <c r="K8" s="14" t="n">
        <v>3982372.7622697</v>
      </c>
      <c r="L8" s="14" t="n">
        <v>4092994.96266981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517797.554053301</v>
      </c>
      <c r="D9" s="14" t="n">
        <v>-176367.054812736</v>
      </c>
      <c r="E9" s="14" t="n">
        <v>-712838.313597355</v>
      </c>
      <c r="F9" s="14" t="n">
        <v>-704799.99236939</v>
      </c>
      <c r="G9" s="14" t="n">
        <v>22444.802106925</v>
      </c>
      <c r="H9" s="14" t="n">
        <v>1315225.57319639</v>
      </c>
      <c r="I9" s="14" t="n">
        <v>1381374.84950773</v>
      </c>
      <c r="J9" s="14" t="n">
        <v>1447348.74165549</v>
      </c>
      <c r="K9" s="14" t="n">
        <v>1513141.2795788</v>
      </c>
      <c r="L9" s="14" t="n">
        <v>1578746.30833179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1288307.95508803</v>
      </c>
      <c r="D10" s="14" t="n">
        <v>1807507.96070686</v>
      </c>
      <c r="E10" s="14" t="n">
        <v>2493588.55911734</v>
      </c>
      <c r="F10" s="14" t="n">
        <v>3252092.31427609</v>
      </c>
      <c r="G10" s="14" t="n">
        <v>3742870.75223946</v>
      </c>
      <c r="H10" s="14" t="n">
        <v>3889900.47932142</v>
      </c>
      <c r="I10" s="14" t="n">
        <v>3999742.97892103</v>
      </c>
      <c r="J10" s="14" t="n">
        <v>4109847.02658993</v>
      </c>
      <c r="K10" s="14" t="n">
        <v>4220211.02158961</v>
      </c>
      <c r="L10" s="14" t="n">
        <v>4330833.22198973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2909578.37597111</v>
      </c>
      <c r="D11" s="14" t="n">
        <v>2871895.95888589</v>
      </c>
      <c r="E11" s="14" t="n">
        <v>3004797.35763552</v>
      </c>
      <c r="F11" s="14" t="n">
        <v>3250585.35436534</v>
      </c>
      <c r="G11" s="14" t="n">
        <v>3235075.48027132</v>
      </c>
      <c r="H11" s="14" t="n">
        <v>3410188.14077742</v>
      </c>
      <c r="I11" s="14" t="n">
        <v>3520030.64037703</v>
      </c>
      <c r="J11" s="14" t="n">
        <v>3630134.68804592</v>
      </c>
      <c r="K11" s="14" t="n">
        <v>3740498.68304561</v>
      </c>
      <c r="L11" s="14" t="n">
        <v>3851120.88344572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-1103472.86682978</v>
      </c>
      <c r="D12" s="14" t="n">
        <v>-1240755.05299177</v>
      </c>
      <c r="E12" s="14" t="n">
        <v>-1224047.11211554</v>
      </c>
      <c r="F12" s="14" t="n">
        <v>-666880.202134997</v>
      </c>
      <c r="G12" s="14" t="n">
        <v>605062.5949426499</v>
      </c>
      <c r="H12" s="14" t="n">
        <v>1315225.57319639</v>
      </c>
      <c r="I12" s="14" t="n">
        <v>1381374.84950773</v>
      </c>
      <c r="J12" s="14" t="n">
        <v>1447348.74165549</v>
      </c>
      <c r="K12" s="14" t="n">
        <v>1513141.2795788</v>
      </c>
      <c r="L12" s="14" t="n">
        <v>1578746.30833179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99959.2378585041</v>
      </c>
      <c r="D13" s="14" t="n">
        <v>-518643.525214485</v>
      </c>
      <c r="E13" s="14" t="n">
        <v>-1063647.83433542</v>
      </c>
      <c r="F13" s="14" t="n">
        <v>-1167455.60007245</v>
      </c>
      <c r="G13" s="14" t="n">
        <v>-714173.731942141</v>
      </c>
      <c r="H13" s="14" t="n">
        <v>545833.865305493</v>
      </c>
      <c r="I13" s="14" t="n">
        <v>970260.8874322081</v>
      </c>
      <c r="J13" s="14" t="n">
        <v>1046923.81202564</v>
      </c>
      <c r="K13" s="14" t="n">
        <v>1123512.2727191</v>
      </c>
      <c r="L13" s="14" t="n">
        <v>1200021.18346992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-297684.267841909</v>
      </c>
      <c r="D14" s="14" t="n">
        <v>-1340336.31964525</v>
      </c>
      <c r="E14" s="14" t="n">
        <v>-2395914.44641439</v>
      </c>
      <c r="F14" s="14" t="n">
        <v>-3076973.7516684</v>
      </c>
      <c r="G14" s="14" t="n">
        <v>-3186572.51472449</v>
      </c>
      <c r="H14" s="14" t="n">
        <v>-2492437.76533454</v>
      </c>
      <c r="I14" s="14" t="n">
        <v>-1755325.36207788</v>
      </c>
      <c r="J14" s="14" t="n">
        <v>-974960.451061075</v>
      </c>
      <c r="K14" s="14" t="n">
        <v>-151070.008724932</v>
      </c>
      <c r="L14" s="14" t="n">
        <v>681704.139982875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-695327.773542323</v>
      </c>
      <c r="D15" s="14" t="n">
        <v>-2162029.11407602</v>
      </c>
      <c r="E15" s="14" t="n">
        <v>-3728181.05849335</v>
      </c>
      <c r="F15" s="14" t="n">
        <v>-4986491.90326436</v>
      </c>
      <c r="G15" s="14" t="n">
        <v>-5658971.29750685</v>
      </c>
      <c r="H15" s="14" t="n">
        <v>-5530709.39597458</v>
      </c>
      <c r="I15" s="14" t="n">
        <v>-5362491.97941361</v>
      </c>
      <c r="J15" s="14" t="n">
        <v>-5154074.41531887</v>
      </c>
      <c r="K15" s="14" t="n">
        <v>-4905214.20373343</v>
      </c>
      <c r="L15" s="14" t="n">
        <v>-4615671.13456408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-1222847.6071435</v>
      </c>
      <c r="D16" s="14" t="n">
        <v>-3245296.34189466</v>
      </c>
      <c r="E16" s="14" t="n">
        <v>-5383812.79513206</v>
      </c>
      <c r="F16" s="14" t="n">
        <v>-7229048.59240397</v>
      </c>
      <c r="G16" s="14" t="n">
        <v>-8505089.55794828</v>
      </c>
      <c r="H16" s="14" t="n">
        <v>-8988046.88741993</v>
      </c>
      <c r="I16" s="14" t="n">
        <v>-9439138.864903679</v>
      </c>
      <c r="J16" s="14" t="n">
        <v>-9858356.68217008</v>
      </c>
      <c r="K16" s="14" t="n">
        <v>-10245700.6006538</v>
      </c>
      <c r="L16" s="14" t="n">
        <v>-10601180.3141303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574631.019807277</v>
      </c>
      <c r="D17" s="14" t="n">
        <v>236485.46698952</v>
      </c>
      <c r="E17" s="14" t="n">
        <v>11610.4511383321</v>
      </c>
      <c r="F17" s="14" t="n">
        <v>240964.815330776</v>
      </c>
      <c r="G17" s="14" t="n">
        <v>564717.176586524</v>
      </c>
      <c r="H17" s="14" t="n">
        <v>1100411.7849204</v>
      </c>
      <c r="I17" s="14" t="n">
        <v>1179249.65435073</v>
      </c>
      <c r="J17" s="14" t="n">
        <v>1258039.02554865</v>
      </c>
      <c r="K17" s="14" t="n">
        <v>1336775.19731264</v>
      </c>
      <c r="L17" s="14" t="n">
        <v>1415453.2962447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651659.296055636</v>
      </c>
      <c r="D18" s="14" t="n">
        <v>169921.664762756</v>
      </c>
      <c r="E18" s="14" t="n">
        <v>-245397.875466881</v>
      </c>
      <c r="F18" s="14" t="n">
        <v>-260132.920861961</v>
      </c>
      <c r="G18" s="14" t="n">
        <v>152414.940560153</v>
      </c>
      <c r="H18" s="14" t="n">
        <v>885597.996644409</v>
      </c>
      <c r="I18" s="14" t="n">
        <v>962560.051430962</v>
      </c>
      <c r="J18" s="14" t="n">
        <v>1039454.84983867</v>
      </c>
      <c r="K18" s="14" t="n">
        <v>1116277.50308454</v>
      </c>
      <c r="L18" s="14" t="n">
        <v>1193022.94831331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728687.572303996</v>
      </c>
      <c r="D19" s="14" t="n">
        <v>103357.862535991</v>
      </c>
      <c r="E19" s="14" t="n">
        <v>-502406.202072093</v>
      </c>
      <c r="F19" s="14" t="n">
        <v>-761230.657054696</v>
      </c>
      <c r="G19" s="14" t="n">
        <v>-650490.114579874</v>
      </c>
      <c r="H19" s="14" t="n">
        <v>253004.385193414</v>
      </c>
      <c r="I19" s="14" t="n">
        <v>692719.481359715</v>
      </c>
      <c r="J19" s="14" t="n">
        <v>767719.706977207</v>
      </c>
      <c r="K19" s="14" t="n">
        <v>842628.8417049641</v>
      </c>
      <c r="L19" s="14" t="n">
        <v>917441.633230438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420574.467310559</v>
      </c>
      <c r="D20" s="14" t="n">
        <v>369613.07144305</v>
      </c>
      <c r="E20" s="14" t="n">
        <v>525627.104348758</v>
      </c>
      <c r="F20" s="14" t="n">
        <v>967326.8295005</v>
      </c>
      <c r="G20" s="14" t="n">
        <v>1330359.03675228</v>
      </c>
      <c r="H20" s="14" t="n">
        <v>1530039.36147238</v>
      </c>
      <c r="I20" s="14" t="n">
        <v>1612628.86019026</v>
      </c>
      <c r="J20" s="14" t="n">
        <v>1695207.3769686</v>
      </c>
      <c r="K20" s="14" t="n">
        <v>1777770.58576883</v>
      </c>
      <c r="L20" s="14" t="n">
        <v>1860313.99210749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291966.485711994</v>
      </c>
      <c r="D21" s="14" t="n">
        <v>726357.286276786</v>
      </c>
      <c r="E21" s="14" t="n">
        <v>543030.019900408</v>
      </c>
      <c r="F21" s="14" t="n">
        <v>1079773.80265226</v>
      </c>
      <c r="G21" s="14" t="n">
        <v>1290982.92358804</v>
      </c>
      <c r="H21" s="14" t="n">
        <v>1423095.57511123</v>
      </c>
      <c r="I21" s="14" t="n">
        <v>1503809.25918533</v>
      </c>
      <c r="J21" s="14" t="n">
        <v>1584493.20317346</v>
      </c>
      <c r="K21" s="14" t="n">
        <v>1665142.89345557</v>
      </c>
      <c r="L21" s="14" t="n">
        <v>1745753.64609093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163603.915515447</v>
      </c>
      <c r="D22" s="14" t="n">
        <v>-810903.43782565</v>
      </c>
      <c r="E22" s="14" t="n">
        <v>-1786071.04409657</v>
      </c>
      <c r="F22" s="14" t="n">
        <v>-2445152.14621714</v>
      </c>
      <c r="G22" s="14" t="n">
        <v>-2635012.32874277</v>
      </c>
      <c r="H22" s="14" t="n">
        <v>-2051651.53766978</v>
      </c>
      <c r="I22" s="14" t="n">
        <v>-1439528.36652158</v>
      </c>
      <c r="J22" s="14" t="n">
        <v>-798507.88548758</v>
      </c>
      <c r="K22" s="14" t="n">
        <v>-128458.328147938</v>
      </c>
      <c r="L22" s="14" t="n">
        <v>512215.456529333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-509328.445712517</v>
      </c>
      <c r="D23" s="14" t="n">
        <v>-1656513.3200663</v>
      </c>
      <c r="E23" s="14" t="n">
        <v>-2815010.6295849</v>
      </c>
      <c r="F23" s="14" t="n">
        <v>-3614458.48273273</v>
      </c>
      <c r="G23" s="14" t="n">
        <v>-3802827.95416403</v>
      </c>
      <c r="H23" s="14" t="n">
        <v>-3202051.94670317</v>
      </c>
      <c r="I23" s="14" t="n">
        <v>-2564731.00404283</v>
      </c>
      <c r="J23" s="14" t="n">
        <v>-1890653.4851487</v>
      </c>
      <c r="K23" s="14" t="n">
        <v>-1179610.17835717</v>
      </c>
      <c r="L23" s="14" t="n">
        <v>-431394.460673053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1278686.71024407</v>
      </c>
      <c r="D24" s="14" t="n">
        <v>1580073.23411317</v>
      </c>
      <c r="E24" s="14" t="n">
        <v>2123256.83331826</v>
      </c>
      <c r="F24" s="14" t="n">
        <v>2741228.660405</v>
      </c>
      <c r="G24" s="14" t="n">
        <v>3218922.2819445</v>
      </c>
      <c r="H24" s="14" t="n">
        <v>3364431.5782389</v>
      </c>
      <c r="I24" s="14" t="n">
        <v>3458675.87353192</v>
      </c>
      <c r="J24" s="14" t="n">
        <v>3553025.73485117</v>
      </c>
      <c r="K24" s="14" t="n">
        <v>3647478.00163769</v>
      </c>
      <c r="L24" s="14" t="n">
        <v>3742029.35654253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250868.308963213</v>
      </c>
      <c r="D25" s="14" t="n">
        <v>-433636.240819803</v>
      </c>
      <c r="E25" s="14" t="n">
        <v>-952962.11818719</v>
      </c>
      <c r="F25" s="14" t="n">
        <v>286951.770437797</v>
      </c>
      <c r="G25" s="14" t="n">
        <v>1281806.34753948</v>
      </c>
      <c r="H25" s="14" t="n">
        <v>1374721.02312832</v>
      </c>
      <c r="I25" s="14" t="n">
        <v>1455434.70720242</v>
      </c>
      <c r="J25" s="14" t="n">
        <v>1536118.65119055</v>
      </c>
      <c r="K25" s="14" t="n">
        <v>1616768.34147266</v>
      </c>
      <c r="L25" s="14" t="n">
        <v>1697379.09410802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591366.709532411</v>
      </c>
      <c r="D26" s="14" t="n">
        <v>583004.335923421</v>
      </c>
      <c r="E26" s="14" t="n">
        <v>732843.683146801</v>
      </c>
      <c r="F26" s="14" t="n">
        <v>1054178.07879048</v>
      </c>
      <c r="G26" s="14" t="n">
        <v>1476691.66698475</v>
      </c>
      <c r="H26" s="14" t="n">
        <v>1120792.51098036</v>
      </c>
      <c r="I26" s="14" t="n">
        <v>968404.085950278</v>
      </c>
      <c r="J26" s="14" t="n">
        <v>1382764.31016423</v>
      </c>
      <c r="K26" s="14" t="n">
        <v>1463414.00044634</v>
      </c>
      <c r="L26" s="14" t="n">
        <v>1544024.75308171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749863.915348048</v>
      </c>
      <c r="D27" s="14" t="n">
        <v>769727.331215021</v>
      </c>
      <c r="E27" s="14" t="n">
        <v>947358.030290629</v>
      </c>
      <c r="F27" s="14" t="n">
        <v>1302868.06606544</v>
      </c>
      <c r="G27" s="14" t="n">
        <v>1766224.06322099</v>
      </c>
      <c r="H27" s="14" t="n">
        <v>1470362.24397969</v>
      </c>
      <c r="I27" s="14" t="n">
        <v>1125829.51635626</v>
      </c>
      <c r="J27" s="14" t="n">
        <v>1022268.83957503</v>
      </c>
      <c r="K27" s="14" t="n">
        <v>1416882.45660314</v>
      </c>
      <c r="L27" s="14" t="n">
        <v>1497493.2092385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39863.0136986301</v>
      </c>
      <c r="D28" s="14" t="n">
        <v>50804.3835616438</v>
      </c>
      <c r="E28" s="14" t="n">
        <v>61960.594520548</v>
      </c>
      <c r="F28" s="14" t="n">
        <v>152342.504613219</v>
      </c>
      <c r="G28" s="14" t="n">
        <v>1281806.34753948</v>
      </c>
      <c r="H28" s="14" t="n">
        <v>1374721.02312832</v>
      </c>
      <c r="I28" s="14" t="n">
        <v>1455434.70720242</v>
      </c>
      <c r="J28" s="14" t="n">
        <v>1536118.65119055</v>
      </c>
      <c r="K28" s="14" t="n">
        <v>1616768.34147266</v>
      </c>
      <c r="L28" s="14" t="n">
        <v>1697379.09410802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869208.462283056</v>
      </c>
      <c r="D29" s="14" t="n">
        <v>547013.916920906</v>
      </c>
      <c r="E29" s="14" t="n">
        <v>385791.157221103</v>
      </c>
      <c r="F29" s="14" t="n">
        <v>676407.208257762</v>
      </c>
      <c r="G29" s="14" t="n">
        <v>771571.7571959629</v>
      </c>
      <c r="H29" s="14" t="n">
        <v>1315225.57319639</v>
      </c>
      <c r="I29" s="14" t="n">
        <v>1395939.25727049</v>
      </c>
      <c r="J29" s="14" t="n">
        <v>1476623.20125862</v>
      </c>
      <c r="K29" s="14" t="n">
        <v>1557272.89154073</v>
      </c>
      <c r="L29" s="14" t="n">
        <v>1637883.64417609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497602.743558918</v>
      </c>
      <c r="D30" s="14" t="n">
        <v>303049.269216285</v>
      </c>
      <c r="E30" s="14" t="n">
        <v>238373.922025482</v>
      </c>
      <c r="F30" s="14" t="n">
        <v>711817.6958054469</v>
      </c>
      <c r="G30" s="14" t="n">
        <v>923026.816741228</v>
      </c>
      <c r="H30" s="14" t="n">
        <v>1315225.57319639</v>
      </c>
      <c r="I30" s="14" t="n">
        <v>1395939.25727049</v>
      </c>
      <c r="J30" s="14" t="n">
        <v>1476623.20125862</v>
      </c>
      <c r="K30" s="14" t="n">
        <v>1557272.89154073</v>
      </c>
      <c r="L30" s="14" t="n">
        <v>1637883.64417609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497602.743558918</v>
      </c>
      <c r="D31" s="14" t="n">
        <v>303049.269216285</v>
      </c>
      <c r="E31" s="14" t="n">
        <v>254081.759268249</v>
      </c>
      <c r="F31" s="14" t="n">
        <v>721484.790524298</v>
      </c>
      <c r="G31" s="14" t="n">
        <v>935714.2827220371</v>
      </c>
      <c r="H31" s="14" t="n">
        <v>1315225.57319639</v>
      </c>
      <c r="I31" s="14" t="n">
        <v>1395939.25727049</v>
      </c>
      <c r="J31" s="14" t="n">
        <v>1476623.20125862</v>
      </c>
      <c r="K31" s="14" t="n">
        <v>1557272.89154073</v>
      </c>
      <c r="L31" s="14" t="n">
        <v>1637883.64417609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39863.0136986301</v>
      </c>
      <c r="D32" s="14" t="n">
        <v>50804.3835616438</v>
      </c>
      <c r="E32" s="14" t="n">
        <v>61960.594520548</v>
      </c>
      <c r="F32" s="14" t="n">
        <v>71387.1569589041</v>
      </c>
      <c r="G32" s="14" t="n">
        <v>1281806.34753948</v>
      </c>
      <c r="H32" s="14" t="n">
        <v>1374823.93848192</v>
      </c>
      <c r="I32" s="14" t="n">
        <v>1455537.62255603</v>
      </c>
      <c r="J32" s="14" t="n">
        <v>1536221.56654416</v>
      </c>
      <c r="K32" s="14" t="n">
        <v>1616871.25682626</v>
      </c>
      <c r="L32" s="14" t="n">
        <v>1697482.00946163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39863.0136986301</v>
      </c>
      <c r="D33" s="14" t="n">
        <v>50804.3835616438</v>
      </c>
      <c r="E33" s="14" t="n">
        <v>-903743.473550225</v>
      </c>
      <c r="F33" s="14" t="n">
        <v>336170.415074762</v>
      </c>
      <c r="G33" s="14" t="n">
        <v>1281806.34753948</v>
      </c>
      <c r="H33" s="14" t="n">
        <v>1374721.02312832</v>
      </c>
      <c r="I33" s="14" t="n">
        <v>1455434.70720242</v>
      </c>
      <c r="J33" s="14" t="n">
        <v>1536118.65119055</v>
      </c>
      <c r="K33" s="14" t="n">
        <v>1616768.34147266</v>
      </c>
      <c r="L33" s="14" t="n">
        <v>1697379.09410802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39863.0136986301</v>
      </c>
      <c r="D34" s="14" t="n">
        <v>50804.3835616438</v>
      </c>
      <c r="E34" s="14" t="n">
        <v>61960.594520548</v>
      </c>
      <c r="F34" s="14" t="n">
        <v>275558.661498049</v>
      </c>
      <c r="G34" s="14" t="n">
        <v>1144010.76493797</v>
      </c>
      <c r="H34" s="14" t="n">
        <v>1315225.57319639</v>
      </c>
      <c r="I34" s="14" t="n">
        <v>1395939.25727049</v>
      </c>
      <c r="J34" s="14" t="n">
        <v>1476623.20125862</v>
      </c>
      <c r="K34" s="14" t="n">
        <v>1557272.89154073</v>
      </c>
      <c r="L34" s="14" t="n">
        <v>1637883.64417609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39863.0136986301</v>
      </c>
      <c r="D35" s="14" t="n">
        <v>50804.3835616438</v>
      </c>
      <c r="E35" s="14" t="n">
        <v>61960.594520548</v>
      </c>
      <c r="F35" s="14" t="n">
        <v>240580.324045481</v>
      </c>
      <c r="G35" s="14" t="n">
        <v>1281806.34753948</v>
      </c>
      <c r="H35" s="14" t="n">
        <v>1374721.02312832</v>
      </c>
      <c r="I35" s="14" t="n">
        <v>1455434.70720242</v>
      </c>
      <c r="J35" s="14" t="n">
        <v>1536118.65119055</v>
      </c>
      <c r="K35" s="14" t="n">
        <v>1616768.34147266</v>
      </c>
      <c r="L35" s="14" t="n">
        <v>1697379.09410802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39863.0136986301</v>
      </c>
      <c r="D36" s="14" t="n">
        <v>50804.3835616438</v>
      </c>
      <c r="E36" s="14" t="n">
        <v>61960.594520548</v>
      </c>
      <c r="F36" s="14" t="n">
        <v>71387.1569589041</v>
      </c>
      <c r="G36" s="14" t="n">
        <v>1281806.34753948</v>
      </c>
      <c r="H36" s="14" t="n">
        <v>1376303.649859</v>
      </c>
      <c r="I36" s="14" t="n">
        <v>1457017.33393311</v>
      </c>
      <c r="J36" s="14" t="n">
        <v>1537701.27792124</v>
      </c>
      <c r="K36" s="14" t="n">
        <v>1618350.96820335</v>
      </c>
      <c r="L36" s="14" t="n">
        <v>1698961.72083871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641145.277840404</v>
      </c>
      <c r="D37" s="14" t="n">
        <v>588415.292253591</v>
      </c>
      <c r="E37" s="14" t="n">
        <v>701546.635703009</v>
      </c>
      <c r="F37" s="14" t="n">
        <v>936585.937873545</v>
      </c>
      <c r="G37" s="14" t="n">
        <v>1229361.83216764</v>
      </c>
      <c r="H37" s="14" t="n">
        <v>1420162.97549012</v>
      </c>
      <c r="I37" s="14" t="n">
        <v>1500876.65956422</v>
      </c>
      <c r="J37" s="14" t="n">
        <v>1581560.60355235</v>
      </c>
      <c r="K37" s="14" t="n">
        <v>1662210.29383446</v>
      </c>
      <c r="L37" s="14" t="n">
        <v>1742821.04646982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335723.20530494</v>
      </c>
      <c r="D38" s="14" t="n">
        <v>-18771.1603440949</v>
      </c>
      <c r="E38" s="14" t="n">
        <v>-219613.940834012</v>
      </c>
      <c r="F38" s="14" t="n">
        <v>82379.13958562991</v>
      </c>
      <c r="G38" s="14" t="n">
        <v>657321.022615611</v>
      </c>
      <c r="H38" s="14" t="n">
        <v>1196882.82333544</v>
      </c>
      <c r="I38" s="14" t="n">
        <v>1277596.50740954</v>
      </c>
      <c r="J38" s="14" t="n">
        <v>1358280.45139767</v>
      </c>
      <c r="K38" s="14" t="n">
        <v>1438930.14167978</v>
      </c>
      <c r="L38" s="14" t="n">
        <v>1519540.89431514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282288.94213669</v>
      </c>
      <c r="D39" s="14" t="n">
        <v>-124999.765339674</v>
      </c>
      <c r="E39" s="14" t="n">
        <v>-380773.009195651</v>
      </c>
      <c r="F39" s="14" t="n">
        <v>-135373.501800792</v>
      </c>
      <c r="G39" s="14" t="n">
        <v>618257.669035968</v>
      </c>
      <c r="H39" s="14" t="n">
        <v>1157819.46975579</v>
      </c>
      <c r="I39" s="14" t="n">
        <v>1238533.1538299</v>
      </c>
      <c r="J39" s="14" t="n">
        <v>1319217.09781803</v>
      </c>
      <c r="K39" s="14" t="n">
        <v>1399866.78810013</v>
      </c>
      <c r="L39" s="14" t="n">
        <v>1480477.5407355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497602.743558918</v>
      </c>
      <c r="D40" s="14" t="n">
        <v>303049.269216284</v>
      </c>
      <c r="E40" s="14" t="n">
        <v>268618.777743544</v>
      </c>
      <c r="F40" s="14" t="n">
        <v>742062.5515235109</v>
      </c>
      <c r="G40" s="14" t="n">
        <v>953271.672459289</v>
      </c>
      <c r="H40" s="14" t="n">
        <v>1315225.57319639</v>
      </c>
      <c r="I40" s="14" t="n">
        <v>1395939.25727049</v>
      </c>
      <c r="J40" s="14" t="n">
        <v>1476623.20125862</v>
      </c>
      <c r="K40" s="14" t="n">
        <v>1557272.89154073</v>
      </c>
      <c r="L40" s="14" t="n">
        <v>1637883.64417609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500530.39424385</v>
      </c>
      <c r="D41" s="14" t="n">
        <v>409362.602024504</v>
      </c>
      <c r="E41" s="14" t="n">
        <v>479611.839496284</v>
      </c>
      <c r="F41" s="14" t="n">
        <v>833285.471853315</v>
      </c>
      <c r="G41" s="14" t="n">
        <v>1098327.86083265</v>
      </c>
      <c r="H41" s="14" t="n">
        <v>1390119.39701811</v>
      </c>
      <c r="I41" s="14" t="n">
        <v>1471200.07501311</v>
      </c>
      <c r="J41" s="14" t="n">
        <v>1552254.68286134</v>
      </c>
      <c r="K41" s="14" t="n">
        <v>1633278.74364214</v>
      </c>
      <c r="L41" s="14" t="n">
        <v>1714267.6104812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490387.127120562</v>
      </c>
      <c r="D42" s="14" t="n">
        <v>290301.496613544</v>
      </c>
      <c r="E42" s="14" t="n">
        <v>250283.527414777</v>
      </c>
      <c r="F42" s="14" t="n">
        <v>718083.948691456</v>
      </c>
      <c r="G42" s="14" t="n">
        <v>926406.005328914</v>
      </c>
      <c r="H42" s="14" t="n">
        <v>1311399.89661402</v>
      </c>
      <c r="I42" s="14" t="n">
        <v>1392037.74383418</v>
      </c>
      <c r="J42" s="14" t="n">
        <v>1472645.09259983</v>
      </c>
      <c r="K42" s="14" t="n">
        <v>1553217.42170723</v>
      </c>
      <c r="L42" s="14" t="n">
        <v>1633750.03955614</v>
      </c>
    </row>
  </sheetData>
  <conditionalFormatting sqref="C4:L42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Deuda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2534060.6476419</v>
      </c>
      <c r="D4" s="8" t="n">
        <v>1983042.03588878</v>
      </c>
      <c r="E4" s="8" t="n">
        <v>1380334.07760814</v>
      </c>
      <c r="F4" s="8" t="n">
        <v>721087.95555957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3449446.66279045</v>
      </c>
      <c r="D5" s="14" t="n">
        <v>2699382.01330547</v>
      </c>
      <c r="E5" s="14" t="n">
        <v>1878956.12599962</v>
      </c>
      <c r="F5" s="14" t="n">
        <v>981568.631436656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1633948.41921653</v>
      </c>
      <c r="D6" s="14" t="n">
        <v>1278654.63788154</v>
      </c>
      <c r="E6" s="14" t="n">
        <v>890031.849157717</v>
      </c>
      <c r="F6" s="14" t="n">
        <v>464953.562259469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2534060.6476419</v>
      </c>
      <c r="D7" s="14" t="n">
        <v>1983042.03588878</v>
      </c>
      <c r="E7" s="14" t="n">
        <v>1380334.07760814</v>
      </c>
      <c r="F7" s="14" t="n">
        <v>721087.95555957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2534060.6476419</v>
      </c>
      <c r="D8" s="14" t="n">
        <v>1983042.03588878</v>
      </c>
      <c r="E8" s="14" t="n">
        <v>1380334.07760814</v>
      </c>
      <c r="F8" s="14" t="n">
        <v>721087.95555957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3449446.66279045</v>
      </c>
      <c r="D9" s="14" t="n">
        <v>2699382.01330547</v>
      </c>
      <c r="E9" s="14" t="n">
        <v>1878956.12599962</v>
      </c>
      <c r="F9" s="14" t="n">
        <v>981568.631436656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1633948.41921653</v>
      </c>
      <c r="D10" s="14" t="n">
        <v>1278654.63788154</v>
      </c>
      <c r="E10" s="14" t="n">
        <v>890031.849157717</v>
      </c>
      <c r="F10" s="14" t="n">
        <v>464953.562259469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3449446.66279045</v>
      </c>
      <c r="D11" s="14" t="n">
        <v>2699382.01330547</v>
      </c>
      <c r="E11" s="14" t="n">
        <v>1878956.12599962</v>
      </c>
      <c r="F11" s="14" t="n">
        <v>981568.631436656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1633948.41921653</v>
      </c>
      <c r="D12" s="14" t="n">
        <v>1278654.63788154</v>
      </c>
      <c r="E12" s="14" t="n">
        <v>890031.849157717</v>
      </c>
      <c r="F12" s="14" t="n">
        <v>464953.562259469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2534060.6476419</v>
      </c>
      <c r="D13" s="14" t="n">
        <v>1983042.03588878</v>
      </c>
      <c r="E13" s="14" t="n">
        <v>1380334.07760814</v>
      </c>
      <c r="F13" s="14" t="n">
        <v>721087.95555957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2534060.6476419</v>
      </c>
      <c r="D14" s="14" t="n">
        <v>1983042.03588878</v>
      </c>
      <c r="E14" s="14" t="n">
        <v>1380334.07760814</v>
      </c>
      <c r="F14" s="14" t="n">
        <v>721087.95555957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2534060.6476419</v>
      </c>
      <c r="D15" s="14" t="n">
        <v>1983042.03588878</v>
      </c>
      <c r="E15" s="14" t="n">
        <v>1380334.07760814</v>
      </c>
      <c r="F15" s="14" t="n">
        <v>721087.95555957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2534060.6476419</v>
      </c>
      <c r="D16" s="14" t="n">
        <v>1983042.03588878</v>
      </c>
      <c r="E16" s="14" t="n">
        <v>1380334.07760814</v>
      </c>
      <c r="F16" s="14" t="n">
        <v>721087.95555957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2534060.6476419</v>
      </c>
      <c r="D17" s="14" t="n">
        <v>1983042.03588878</v>
      </c>
      <c r="E17" s="14" t="n">
        <v>1380334.07760814</v>
      </c>
      <c r="F17" s="14" t="n">
        <v>721087.95555957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2534060.6476419</v>
      </c>
      <c r="D18" s="14" t="n">
        <v>1983042.03588878</v>
      </c>
      <c r="E18" s="14" t="n">
        <v>1380334.07760814</v>
      </c>
      <c r="F18" s="14" t="n">
        <v>721087.95555957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2534060.6476419</v>
      </c>
      <c r="D19" s="14" t="n">
        <v>1983042.03588878</v>
      </c>
      <c r="E19" s="14" t="n">
        <v>1380334.07760814</v>
      </c>
      <c r="F19" s="14" t="n">
        <v>721087.95555957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2534060.6476419</v>
      </c>
      <c r="D20" s="14" t="n">
        <v>1983042.03588878</v>
      </c>
      <c r="E20" s="14" t="n">
        <v>1380334.07760814</v>
      </c>
      <c r="F20" s="14" t="n">
        <v>721087.95555957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2534060.6476419</v>
      </c>
      <c r="D21" s="14" t="n">
        <v>1983042.03588878</v>
      </c>
      <c r="E21" s="14" t="n">
        <v>1380334.07760814</v>
      </c>
      <c r="F21" s="14" t="n">
        <v>721087.95555957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2534060.6476419</v>
      </c>
      <c r="D22" s="14" t="n">
        <v>1983042.03588878</v>
      </c>
      <c r="E22" s="14" t="n">
        <v>1380334.07760814</v>
      </c>
      <c r="F22" s="14" t="n">
        <v>721087.95555957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2534060.6476419</v>
      </c>
      <c r="D23" s="14" t="n">
        <v>1983042.03588878</v>
      </c>
      <c r="E23" s="14" t="n">
        <v>1380334.07760814</v>
      </c>
      <c r="F23" s="14" t="n">
        <v>721087.95555957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2534060.6476419</v>
      </c>
      <c r="D24" s="14" t="n">
        <v>1983042.03588878</v>
      </c>
      <c r="E24" s="14" t="n">
        <v>1380334.07760814</v>
      </c>
      <c r="F24" s="14" t="n">
        <v>721087.95555957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2282176.38621586</v>
      </c>
      <c r="D25" s="14" t="n">
        <v>1192211.31410037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2629781.64968326</v>
      </c>
      <c r="D26" s="14" t="n">
        <v>2283573.35414626</v>
      </c>
      <c r="E26" s="14" t="n">
        <v>1904888.33245698</v>
      </c>
      <c r="F26" s="14" t="n">
        <v>1490680.04368855</v>
      </c>
      <c r="G26" s="14" t="n">
        <v>1037616.16036116</v>
      </c>
      <c r="H26" s="14" t="n">
        <v>542051.759692056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2791587</v>
      </c>
      <c r="D27" s="14" t="n">
        <v>2491690.61057237</v>
      </c>
      <c r="E27" s="14" t="n">
        <v>2163661.87122981</v>
      </c>
      <c r="F27" s="14" t="n">
        <v>1804861.7735026</v>
      </c>
      <c r="G27" s="14" t="n">
        <v>1412403.75172356</v>
      </c>
      <c r="H27" s="14" t="n">
        <v>983130.460455326</v>
      </c>
      <c r="I27" s="14" t="n">
        <v>513588.373480211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2950184.64580762</v>
      </c>
      <c r="D29" s="14" t="n">
        <v>2308681.98506389</v>
      </c>
      <c r="E29" s="14" t="n">
        <v>1607001.9498681</v>
      </c>
      <c r="F29" s="14" t="n">
        <v>839499.487412927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2534060.6476419</v>
      </c>
      <c r="D30" s="14" t="n">
        <v>1983042.03588878</v>
      </c>
      <c r="E30" s="14" t="n">
        <v>1380334.07760814</v>
      </c>
      <c r="F30" s="14" t="n">
        <v>721087.95555957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2534060.6476419</v>
      </c>
      <c r="D31" s="14" t="n">
        <v>1983042.03588878</v>
      </c>
      <c r="E31" s="14" t="n">
        <v>1380334.07760814</v>
      </c>
      <c r="F31" s="14" t="n">
        <v>721087.95555957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11227.1294843313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2022222.40739349</v>
      </c>
      <c r="D34" s="14" t="n">
        <v>1668614.83502248</v>
      </c>
      <c r="E34" s="14" t="n">
        <v>1128350.41992155</v>
      </c>
      <c r="F34" s="14" t="n">
        <v>196313.726287332</v>
      </c>
      <c r="G34" s="14" t="n">
        <v>6.11180439591408e-10</v>
      </c>
      <c r="H34" s="14" t="n">
        <v>6.11180439591408e-10</v>
      </c>
      <c r="I34" s="14" t="n">
        <v>6.11180439591408e-10</v>
      </c>
      <c r="J34" s="14" t="n">
        <v>6.11180439591408e-10</v>
      </c>
      <c r="K34" s="14" t="n">
        <v>6.11180439591408e-10</v>
      </c>
      <c r="L34" s="14" t="n">
        <v>6.11180439591408e-10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132314.915869164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2534060.6476419</v>
      </c>
      <c r="D37" s="14" t="n">
        <v>1983042.03588878</v>
      </c>
      <c r="E37" s="14" t="n">
        <v>1380334.07760814</v>
      </c>
      <c r="F37" s="14" t="n">
        <v>721087.95555957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2534060.6476419</v>
      </c>
      <c r="D38" s="14" t="n">
        <v>1983042.03588878</v>
      </c>
      <c r="E38" s="14" t="n">
        <v>1380334.07760814</v>
      </c>
      <c r="F38" s="14" t="n">
        <v>721087.95555957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2534060.6476419</v>
      </c>
      <c r="D39" s="14" t="n">
        <v>1983042.03588878</v>
      </c>
      <c r="E39" s="14" t="n">
        <v>1380334.07760814</v>
      </c>
      <c r="F39" s="14" t="n">
        <v>721087.95555957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2534060.6476419</v>
      </c>
      <c r="D40" s="14" t="n">
        <v>1983042.03588878</v>
      </c>
      <c r="E40" s="14" t="n">
        <v>1380334.07760814</v>
      </c>
      <c r="F40" s="14" t="n">
        <v>721087.95555957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2534060.6476419</v>
      </c>
      <c r="D41" s="14" t="n">
        <v>1983042.03588878</v>
      </c>
      <c r="E41" s="14" t="n">
        <v>1380334.07760814</v>
      </c>
      <c r="F41" s="14" t="n">
        <v>721087.95555957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2534060.6476419</v>
      </c>
      <c r="D42" s="14" t="n">
        <v>1983042.03588878</v>
      </c>
      <c r="E42" s="14" t="n">
        <v>1380334.07760814</v>
      </c>
      <c r="F42" s="14" t="n">
        <v>721087.95555957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Línea rotativa anual por escenario (USD, saldo al cierre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2000419.02894776</v>
      </c>
      <c r="D28" s="14" t="n">
        <v>1628124.64345636</v>
      </c>
      <c r="E28" s="14" t="n">
        <v>1068927.54111467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2023153.58039266</v>
      </c>
      <c r="D32" s="14" t="n">
        <v>1676869.98863182</v>
      </c>
      <c r="E32" s="14" t="n">
        <v>1142969.18589983</v>
      </c>
      <c r="F32" s="14" t="n">
        <v>11227.1294843313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2023153.58039266</v>
      </c>
      <c r="D33" s="14" t="n">
        <v>1676869.98863182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1332333.0748354</v>
      </c>
      <c r="D34" s="14" t="n">
        <v>1128738.43236138</v>
      </c>
      <c r="E34" s="14" t="n">
        <v>752559.194721629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1977674.15198532</v>
      </c>
      <c r="D35" s="14" t="n">
        <v>1579936.79622231</v>
      </c>
      <c r="E35" s="14" t="n">
        <v>996698.605389892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2051644.04627331</v>
      </c>
      <c r="D36" s="14" t="n">
        <v>1738774.60762135</v>
      </c>
      <c r="E36" s="14" t="n">
        <v>1238394.7985978</v>
      </c>
      <c r="F36" s="14" t="n">
        <v>132314.915869164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EBITDA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509970.0057070765</v>
      </c>
      <c r="D4" s="8" t="n">
        <v>965956.8359275778</v>
      </c>
      <c r="E4" s="8" t="n">
        <v>1405020.3703815</v>
      </c>
      <c r="F4" s="8" t="n">
        <v>1798722.958558297</v>
      </c>
      <c r="G4" s="8" t="n">
        <v>1814557.978516488</v>
      </c>
      <c r="H4" s="8" t="n">
        <v>1863605.301573912</v>
      </c>
      <c r="I4" s="8" t="n">
        <v>1912992.2698728</v>
      </c>
      <c r="J4" s="8" t="n">
        <v>1962717.822555444</v>
      </c>
      <c r="K4" s="8" t="n">
        <v>2012780.755786896</v>
      </c>
      <c r="L4" s="8" t="n">
        <v>2063179.717381032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509970.0057070765</v>
      </c>
      <c r="D5" s="14" t="n">
        <v>965956.8359275778</v>
      </c>
      <c r="E5" s="14" t="n">
        <v>1405020.3703815</v>
      </c>
      <c r="F5" s="14" t="n">
        <v>1798722.958558297</v>
      </c>
      <c r="G5" s="14" t="n">
        <v>1814557.978516488</v>
      </c>
      <c r="H5" s="14" t="n">
        <v>1863605.301573912</v>
      </c>
      <c r="I5" s="14" t="n">
        <v>1912992.2698728</v>
      </c>
      <c r="J5" s="14" t="n">
        <v>1962717.822555444</v>
      </c>
      <c r="K5" s="14" t="n">
        <v>2012780.755786896</v>
      </c>
      <c r="L5" s="14" t="n">
        <v>2063179.717381032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509970.0057070765</v>
      </c>
      <c r="D6" s="14" t="n">
        <v>965956.8359275778</v>
      </c>
      <c r="E6" s="14" t="n">
        <v>1405020.3703815</v>
      </c>
      <c r="F6" s="14" t="n">
        <v>1798722.958558297</v>
      </c>
      <c r="G6" s="14" t="n">
        <v>1814557.978516488</v>
      </c>
      <c r="H6" s="14" t="n">
        <v>1863605.301573912</v>
      </c>
      <c r="I6" s="14" t="n">
        <v>1912992.2698728</v>
      </c>
      <c r="J6" s="14" t="n">
        <v>1962717.822555444</v>
      </c>
      <c r="K6" s="14" t="n">
        <v>2012780.755786896</v>
      </c>
      <c r="L6" s="14" t="n">
        <v>2063179.717381032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509970.0057070765</v>
      </c>
      <c r="D7" s="14" t="n">
        <v>965956.8359275778</v>
      </c>
      <c r="E7" s="14" t="n">
        <v>1405020.3703815</v>
      </c>
      <c r="F7" s="14" t="n">
        <v>1798722.958558297</v>
      </c>
      <c r="G7" s="14" t="n">
        <v>1814557.978516488</v>
      </c>
      <c r="H7" s="14" t="n">
        <v>1863605.301573912</v>
      </c>
      <c r="I7" s="14" t="n">
        <v>1912992.2698728</v>
      </c>
      <c r="J7" s="14" t="n">
        <v>1962717.822555444</v>
      </c>
      <c r="K7" s="14" t="n">
        <v>2012780.755786896</v>
      </c>
      <c r="L7" s="14" t="n">
        <v>2063179.717381032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509970.0057070765</v>
      </c>
      <c r="D8" s="14" t="n">
        <v>965956.8359275778</v>
      </c>
      <c r="E8" s="14" t="n">
        <v>1405020.3703815</v>
      </c>
      <c r="F8" s="14" t="n">
        <v>1798722.958558297</v>
      </c>
      <c r="G8" s="14" t="n">
        <v>1814557.978516488</v>
      </c>
      <c r="H8" s="14" t="n">
        <v>1863605.301573912</v>
      </c>
      <c r="I8" s="14" t="n">
        <v>1912992.2698728</v>
      </c>
      <c r="J8" s="14" t="n">
        <v>1962717.822555444</v>
      </c>
      <c r="K8" s="14" t="n">
        <v>2012780.755786896</v>
      </c>
      <c r="L8" s="14" t="n">
        <v>2063179.717381032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509970.0057070765</v>
      </c>
      <c r="D9" s="14" t="n">
        <v>965956.8359275778</v>
      </c>
      <c r="E9" s="14" t="n">
        <v>1405020.3703815</v>
      </c>
      <c r="F9" s="14" t="n">
        <v>1798722.958558297</v>
      </c>
      <c r="G9" s="14" t="n">
        <v>1814557.978516488</v>
      </c>
      <c r="H9" s="14" t="n">
        <v>1863605.301573912</v>
      </c>
      <c r="I9" s="14" t="n">
        <v>1912992.2698728</v>
      </c>
      <c r="J9" s="14" t="n">
        <v>1962717.822555444</v>
      </c>
      <c r="K9" s="14" t="n">
        <v>2012780.755786896</v>
      </c>
      <c r="L9" s="14" t="n">
        <v>2063179.717381032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509970.0057070765</v>
      </c>
      <c r="D10" s="14" t="n">
        <v>965956.8359275778</v>
      </c>
      <c r="E10" s="14" t="n">
        <v>1405020.3703815</v>
      </c>
      <c r="F10" s="14" t="n">
        <v>1798722.958558297</v>
      </c>
      <c r="G10" s="14" t="n">
        <v>1814557.978516488</v>
      </c>
      <c r="H10" s="14" t="n">
        <v>1863605.301573912</v>
      </c>
      <c r="I10" s="14" t="n">
        <v>1912992.2698728</v>
      </c>
      <c r="J10" s="14" t="n">
        <v>1962717.822555444</v>
      </c>
      <c r="K10" s="14" t="n">
        <v>2012780.755786896</v>
      </c>
      <c r="L10" s="14" t="n">
        <v>2063179.717381032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509970.0057070765</v>
      </c>
      <c r="D11" s="14" t="n">
        <v>965956.8359275778</v>
      </c>
      <c r="E11" s="14" t="n">
        <v>1405020.3703815</v>
      </c>
      <c r="F11" s="14" t="n">
        <v>1798722.958558297</v>
      </c>
      <c r="G11" s="14" t="n">
        <v>1814557.978516488</v>
      </c>
      <c r="H11" s="14" t="n">
        <v>1863605.301573912</v>
      </c>
      <c r="I11" s="14" t="n">
        <v>1912992.2698728</v>
      </c>
      <c r="J11" s="14" t="n">
        <v>1962717.822555444</v>
      </c>
      <c r="K11" s="14" t="n">
        <v>2012780.755786896</v>
      </c>
      <c r="L11" s="14" t="n">
        <v>2063179.717381032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509970.0057070765</v>
      </c>
      <c r="D12" s="14" t="n">
        <v>965956.8359275778</v>
      </c>
      <c r="E12" s="14" t="n">
        <v>1405020.3703815</v>
      </c>
      <c r="F12" s="14" t="n">
        <v>1798722.958558297</v>
      </c>
      <c r="G12" s="14" t="n">
        <v>1814557.978516488</v>
      </c>
      <c r="H12" s="14" t="n">
        <v>1863605.301573912</v>
      </c>
      <c r="I12" s="14" t="n">
        <v>1912992.2698728</v>
      </c>
      <c r="J12" s="14" t="n">
        <v>1962717.822555444</v>
      </c>
      <c r="K12" s="14" t="n">
        <v>2012780.755786896</v>
      </c>
      <c r="L12" s="14" t="n">
        <v>2063179.717381032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193190.7895312764</v>
      </c>
      <c r="D13" s="14" t="n">
        <v>563829.7096578275</v>
      </c>
      <c r="E13" s="14" t="n">
        <v>916654.9958417962</v>
      </c>
      <c r="F13" s="14" t="n">
        <v>1239745.089181032</v>
      </c>
      <c r="G13" s="14" t="n">
        <v>1252626.92008602</v>
      </c>
      <c r="H13" s="14" t="n">
        <v>1298691.522199716</v>
      </c>
      <c r="I13" s="14" t="n">
        <v>1345065.942345444</v>
      </c>
      <c r="J13" s="14" t="n">
        <v>1391748.821393388</v>
      </c>
      <c r="K13" s="14" t="n">
        <v>1438738.654253784</v>
      </c>
      <c r="L13" s="14" t="n">
        <v>1486033.784473176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-123588.4266445224</v>
      </c>
      <c r="D14" s="14" t="n">
        <v>161702.5833880764</v>
      </c>
      <c r="E14" s="14" t="n">
        <v>428289.6213020976</v>
      </c>
      <c r="F14" s="14" t="n">
        <v>680767.2198037608</v>
      </c>
      <c r="G14" s="14" t="n">
        <v>690695.8616555519</v>
      </c>
      <c r="H14" s="14" t="n">
        <v>733777.7428255235</v>
      </c>
      <c r="I14" s="14" t="n">
        <v>777139.6148180783</v>
      </c>
      <c r="J14" s="14" t="n">
        <v>820779.8202313354</v>
      </c>
      <c r="K14" s="14" t="n">
        <v>864696.5527206886</v>
      </c>
      <c r="L14" s="14" t="n">
        <v>908887.8515653223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-440367.6428203235</v>
      </c>
      <c r="D15" s="14" t="n">
        <v>-240424.5428816724</v>
      </c>
      <c r="E15" s="14" t="n">
        <v>-60075.7532376025</v>
      </c>
      <c r="F15" s="14" t="n">
        <v>121789.3504264908</v>
      </c>
      <c r="G15" s="14" t="n">
        <v>128764.8032250864</v>
      </c>
      <c r="H15" s="14" t="n">
        <v>168863.9634513288</v>
      </c>
      <c r="I15" s="14" t="n">
        <v>209213.2872907188</v>
      </c>
      <c r="J15" s="14" t="n">
        <v>249810.8190692797</v>
      </c>
      <c r="K15" s="14" t="n">
        <v>290654.4511875876</v>
      </c>
      <c r="L15" s="14" t="n">
        <v>331741.9186574675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-989650.9763534031</v>
      </c>
      <c r="D16" s="14" t="n">
        <v>-796732.1852547514</v>
      </c>
      <c r="E16" s="14" t="n">
        <v>-632808.1509426492</v>
      </c>
      <c r="F16" s="14" t="n">
        <v>-465566.1366445824</v>
      </c>
      <c r="G16" s="14" t="n">
        <v>-475204.4721520597</v>
      </c>
      <c r="H16" s="14" t="n">
        <v>-442984.3592297304</v>
      </c>
      <c r="I16" s="14" t="n">
        <v>-410743.7011564115</v>
      </c>
      <c r="J16" s="14" t="n">
        <v>-378491.2071008051</v>
      </c>
      <c r="K16" s="14" t="n">
        <v>-346235.9380607184</v>
      </c>
      <c r="L16" s="14" t="n">
        <v>-313987.318269456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347108.4718828776</v>
      </c>
      <c r="D17" s="14" t="n">
        <v>756794.1881973277</v>
      </c>
      <c r="E17" s="14" t="n">
        <v>1147861.930516198</v>
      </c>
      <c r="F17" s="14" t="n">
        <v>1498754.493295716</v>
      </c>
      <c r="G17" s="14" t="n">
        <v>1508953.2389607</v>
      </c>
      <c r="H17" s="14" t="n">
        <v>1552307.924982</v>
      </c>
      <c r="I17" s="14" t="n">
        <v>1595945.329874388</v>
      </c>
      <c r="J17" s="14" t="n">
        <v>1639863.823516476</v>
      </c>
      <c r="K17" s="14" t="n">
        <v>1684061.627116956</v>
      </c>
      <c r="L17" s="14" t="n">
        <v>1728536.80778382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184246.9380586776</v>
      </c>
      <c r="D18" s="14" t="n">
        <v>547631.5404670775</v>
      </c>
      <c r="E18" s="14" t="n">
        <v>890703.4906508975</v>
      </c>
      <c r="F18" s="14" t="n">
        <v>1198786.028033141</v>
      </c>
      <c r="G18" s="14" t="n">
        <v>1203348.499404924</v>
      </c>
      <c r="H18" s="14" t="n">
        <v>1241010.548390076</v>
      </c>
      <c r="I18" s="14" t="n">
        <v>1278898.389875976</v>
      </c>
      <c r="J18" s="14" t="n">
        <v>1317009.824477508</v>
      </c>
      <c r="K18" s="14" t="n">
        <v>1355342.498447016</v>
      </c>
      <c r="L18" s="14" t="n">
        <v>1393893.898186608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21385.40423447783</v>
      </c>
      <c r="D19" s="14" t="n">
        <v>338468.8927368277</v>
      </c>
      <c r="E19" s="14" t="n">
        <v>633545.0507855975</v>
      </c>
      <c r="F19" s="14" t="n">
        <v>898817.5627705605</v>
      </c>
      <c r="G19" s="14" t="n">
        <v>897743.759849137</v>
      </c>
      <c r="H19" s="14" t="n">
        <v>929713.171798163</v>
      </c>
      <c r="I19" s="14" t="n">
        <v>961851.4498775614</v>
      </c>
      <c r="J19" s="14" t="n">
        <v>994155.8254385315</v>
      </c>
      <c r="K19" s="14" t="n">
        <v>1026623.369777072</v>
      </c>
      <c r="L19" s="14" t="n">
        <v>1059250.988589388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672831.5395312776</v>
      </c>
      <c r="D20" s="14" t="n">
        <v>1175119.483657828</v>
      </c>
      <c r="E20" s="14" t="n">
        <v>1662178.8102468</v>
      </c>
      <c r="F20" s="14" t="n">
        <v>2098691.423820876</v>
      </c>
      <c r="G20" s="14" t="n">
        <v>2120162.718072264</v>
      </c>
      <c r="H20" s="14" t="n">
        <v>2174902.678165824</v>
      </c>
      <c r="I20" s="14" t="n">
        <v>2230039.209871212</v>
      </c>
      <c r="J20" s="14" t="n">
        <v>2285571.821594424</v>
      </c>
      <c r="K20" s="14" t="n">
        <v>2341499.884456836</v>
      </c>
      <c r="L20" s="14" t="n">
        <v>2397822.626978244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933278.0227675774</v>
      </c>
      <c r="D21" s="14" t="n">
        <v>965956.8359275778</v>
      </c>
      <c r="E21" s="14" t="n">
        <v>1777315.928382</v>
      </c>
      <c r="F21" s="14" t="n">
        <v>1798722.958558297</v>
      </c>
      <c r="G21" s="14" t="n">
        <v>1814557.978516488</v>
      </c>
      <c r="H21" s="14" t="n">
        <v>1863605.301573912</v>
      </c>
      <c r="I21" s="14" t="n">
        <v>1912992.2698728</v>
      </c>
      <c r="J21" s="14" t="n">
        <v>1962717.822555444</v>
      </c>
      <c r="K21" s="14" t="n">
        <v>2012780.755786896</v>
      </c>
      <c r="L21" s="14" t="n">
        <v>2063179.717381032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-501100.5712458529</v>
      </c>
      <c r="D22" s="14" t="n">
        <v>-10985.69321434739</v>
      </c>
      <c r="E22" s="14" t="n">
        <v>248564.5937903376</v>
      </c>
      <c r="F22" s="14" t="n">
        <v>485399.0306952305</v>
      </c>
      <c r="G22" s="14" t="n">
        <v>596146.2881002818</v>
      </c>
      <c r="H22" s="14" t="n">
        <v>608572.7488819873</v>
      </c>
      <c r="I22" s="14" t="n">
        <v>637575.036726783</v>
      </c>
      <c r="J22" s="14" t="n">
        <v>666714.2908058562</v>
      </c>
      <c r="K22" s="14" t="n">
        <v>695987.3572870903</v>
      </c>
      <c r="L22" s="14" t="n">
        <v>725390.9164593115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-329301.4411880525</v>
      </c>
      <c r="D23" s="14" t="n">
        <v>51391.74214707886</v>
      </c>
      <c r="E23" s="14" t="n">
        <v>309585.3767748013</v>
      </c>
      <c r="F23" s="14" t="n">
        <v>550073.2644382385</v>
      </c>
      <c r="G23" s="14" t="n">
        <v>611905.2730266645</v>
      </c>
      <c r="H23" s="14" t="n">
        <v>640398.9218402199</v>
      </c>
      <c r="I23" s="14" t="n">
        <v>677327.8743749902</v>
      </c>
      <c r="J23" s="14" t="n">
        <v>714471.9454634117</v>
      </c>
      <c r="K23" s="14" t="n">
        <v>751828.7297043835</v>
      </c>
      <c r="L23" s="14" t="n">
        <v>789395.6623160463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791910.7832145541</v>
      </c>
      <c r="D24" s="14" t="n">
        <v>1325579.057107668</v>
      </c>
      <c r="E24" s="14" t="n">
        <v>1843994.684319204</v>
      </c>
      <c r="F24" s="14" t="n">
        <v>2305163.950317804</v>
      </c>
      <c r="G24" s="14" t="n">
        <v>2326551.149277085</v>
      </c>
      <c r="H24" s="14" t="n">
        <v>2381206.173125628</v>
      </c>
      <c r="I24" s="14" t="n">
        <v>2436256.91922354</v>
      </c>
      <c r="J24" s="14" t="n">
        <v>2491702.887483204</v>
      </c>
      <c r="K24" s="14" t="n">
        <v>2547543.440447425</v>
      </c>
      <c r="L24" s="14" t="n">
        <v>2603777.797971684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509970.0057070765</v>
      </c>
      <c r="D25" s="14" t="n">
        <v>965956.8359275778</v>
      </c>
      <c r="E25" s="14" t="n">
        <v>1405020.3703815</v>
      </c>
      <c r="F25" s="14" t="n">
        <v>1798722.958558297</v>
      </c>
      <c r="G25" s="14" t="n">
        <v>1814557.978516488</v>
      </c>
      <c r="H25" s="14" t="n">
        <v>1863605.301573912</v>
      </c>
      <c r="I25" s="14" t="n">
        <v>1912992.2698728</v>
      </c>
      <c r="J25" s="14" t="n">
        <v>1962717.822555444</v>
      </c>
      <c r="K25" s="14" t="n">
        <v>2012780.755786896</v>
      </c>
      <c r="L25" s="14" t="n">
        <v>2063179.717381032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509970.0057070765</v>
      </c>
      <c r="D26" s="14" t="n">
        <v>965956.8359275778</v>
      </c>
      <c r="E26" s="14" t="n">
        <v>1405020.3703815</v>
      </c>
      <c r="F26" s="14" t="n">
        <v>1798722.958558297</v>
      </c>
      <c r="G26" s="14" t="n">
        <v>1814557.978516488</v>
      </c>
      <c r="H26" s="14" t="n">
        <v>1863605.301573912</v>
      </c>
      <c r="I26" s="14" t="n">
        <v>1912992.2698728</v>
      </c>
      <c r="J26" s="14" t="n">
        <v>1962717.822555444</v>
      </c>
      <c r="K26" s="14" t="n">
        <v>2012780.755786896</v>
      </c>
      <c r="L26" s="14" t="n">
        <v>2063179.717381032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509970.0057070765</v>
      </c>
      <c r="D27" s="14" t="n">
        <v>965956.8359275778</v>
      </c>
      <c r="E27" s="14" t="n">
        <v>1405020.3703815</v>
      </c>
      <c r="F27" s="14" t="n">
        <v>1798722.958558297</v>
      </c>
      <c r="G27" s="14" t="n">
        <v>1814557.978516488</v>
      </c>
      <c r="H27" s="14" t="n">
        <v>1863605.301573912</v>
      </c>
      <c r="I27" s="14" t="n">
        <v>1912992.2698728</v>
      </c>
      <c r="J27" s="14" t="n">
        <v>1962717.822555444</v>
      </c>
      <c r="K27" s="14" t="n">
        <v>2012780.755786896</v>
      </c>
      <c r="L27" s="14" t="n">
        <v>2063179.717381032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509970.0057070765</v>
      </c>
      <c r="D28" s="14" t="n">
        <v>965956.8359275778</v>
      </c>
      <c r="E28" s="14" t="n">
        <v>1405020.3703815</v>
      </c>
      <c r="F28" s="14" t="n">
        <v>1798722.958558297</v>
      </c>
      <c r="G28" s="14" t="n">
        <v>1814557.978516488</v>
      </c>
      <c r="H28" s="14" t="n">
        <v>1863605.301573912</v>
      </c>
      <c r="I28" s="14" t="n">
        <v>1912992.2698728</v>
      </c>
      <c r="J28" s="14" t="n">
        <v>1962717.822555444</v>
      </c>
      <c r="K28" s="14" t="n">
        <v>2012780.755786896</v>
      </c>
      <c r="L28" s="14" t="n">
        <v>2063179.717381032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509970.0057070765</v>
      </c>
      <c r="D29" s="14" t="n">
        <v>965956.8359275778</v>
      </c>
      <c r="E29" s="14" t="n">
        <v>1405020.3703815</v>
      </c>
      <c r="F29" s="14" t="n">
        <v>1798722.958558297</v>
      </c>
      <c r="G29" s="14" t="n">
        <v>1814557.978516488</v>
      </c>
      <c r="H29" s="14" t="n">
        <v>1863605.301573912</v>
      </c>
      <c r="I29" s="14" t="n">
        <v>1912992.2698728</v>
      </c>
      <c r="J29" s="14" t="n">
        <v>1962717.822555444</v>
      </c>
      <c r="K29" s="14" t="n">
        <v>2012780.755786896</v>
      </c>
      <c r="L29" s="14" t="n">
        <v>2063179.717381032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509970.0057070765</v>
      </c>
      <c r="D30" s="14" t="n">
        <v>965956.8359275778</v>
      </c>
      <c r="E30" s="14" t="n">
        <v>1405020.3703815</v>
      </c>
      <c r="F30" s="14" t="n">
        <v>1798722.958558297</v>
      </c>
      <c r="G30" s="14" t="n">
        <v>1814557.978516488</v>
      </c>
      <c r="H30" s="14" t="n">
        <v>1863605.301573912</v>
      </c>
      <c r="I30" s="14" t="n">
        <v>1912992.2698728</v>
      </c>
      <c r="J30" s="14" t="n">
        <v>1962717.822555444</v>
      </c>
      <c r="K30" s="14" t="n">
        <v>2012780.755786896</v>
      </c>
      <c r="L30" s="14" t="n">
        <v>2063179.717381032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509970.0057070765</v>
      </c>
      <c r="D31" s="14" t="n">
        <v>965956.8359275778</v>
      </c>
      <c r="E31" s="14" t="n">
        <v>1405020.3703815</v>
      </c>
      <c r="F31" s="14" t="n">
        <v>1798722.958558297</v>
      </c>
      <c r="G31" s="14" t="n">
        <v>1814557.978516488</v>
      </c>
      <c r="H31" s="14" t="n">
        <v>1863605.301573912</v>
      </c>
      <c r="I31" s="14" t="n">
        <v>1912992.2698728</v>
      </c>
      <c r="J31" s="14" t="n">
        <v>1962717.822555444</v>
      </c>
      <c r="K31" s="14" t="n">
        <v>2012780.755786896</v>
      </c>
      <c r="L31" s="14" t="n">
        <v>2063179.717381032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509970.0057070765</v>
      </c>
      <c r="D32" s="14" t="n">
        <v>965956.8359275778</v>
      </c>
      <c r="E32" s="14" t="n">
        <v>1405020.3703815</v>
      </c>
      <c r="F32" s="14" t="n">
        <v>1798722.958558297</v>
      </c>
      <c r="G32" s="14" t="n">
        <v>1814557.978516488</v>
      </c>
      <c r="H32" s="14" t="n">
        <v>1863605.301573912</v>
      </c>
      <c r="I32" s="14" t="n">
        <v>1912992.2698728</v>
      </c>
      <c r="J32" s="14" t="n">
        <v>1962717.822555444</v>
      </c>
      <c r="K32" s="14" t="n">
        <v>2012780.755786896</v>
      </c>
      <c r="L32" s="14" t="n">
        <v>2063179.717381032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509970.0057070765</v>
      </c>
      <c r="D33" s="14" t="n">
        <v>965956.8359275778</v>
      </c>
      <c r="E33" s="14" t="n">
        <v>1405020.3703815</v>
      </c>
      <c r="F33" s="14" t="n">
        <v>1798722.958558297</v>
      </c>
      <c r="G33" s="14" t="n">
        <v>1814557.978516488</v>
      </c>
      <c r="H33" s="14" t="n">
        <v>1863605.301573912</v>
      </c>
      <c r="I33" s="14" t="n">
        <v>1912992.2698728</v>
      </c>
      <c r="J33" s="14" t="n">
        <v>1962717.822555444</v>
      </c>
      <c r="K33" s="14" t="n">
        <v>2012780.755786896</v>
      </c>
      <c r="L33" s="14" t="n">
        <v>2063179.717381032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509970.0057070765</v>
      </c>
      <c r="D34" s="14" t="n">
        <v>965956.8359275778</v>
      </c>
      <c r="E34" s="14" t="n">
        <v>1405020.3703815</v>
      </c>
      <c r="F34" s="14" t="n">
        <v>1798722.958558297</v>
      </c>
      <c r="G34" s="14" t="n">
        <v>1814557.978516488</v>
      </c>
      <c r="H34" s="14" t="n">
        <v>1863605.301573912</v>
      </c>
      <c r="I34" s="14" t="n">
        <v>1912992.2698728</v>
      </c>
      <c r="J34" s="14" t="n">
        <v>1962717.822555444</v>
      </c>
      <c r="K34" s="14" t="n">
        <v>2012780.755786896</v>
      </c>
      <c r="L34" s="14" t="n">
        <v>2063179.717381032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509970.0057070765</v>
      </c>
      <c r="D35" s="14" t="n">
        <v>965956.8359275778</v>
      </c>
      <c r="E35" s="14" t="n">
        <v>1405020.3703815</v>
      </c>
      <c r="F35" s="14" t="n">
        <v>1798722.958558297</v>
      </c>
      <c r="G35" s="14" t="n">
        <v>1814557.978516488</v>
      </c>
      <c r="H35" s="14" t="n">
        <v>1863605.301573912</v>
      </c>
      <c r="I35" s="14" t="n">
        <v>1912992.2698728</v>
      </c>
      <c r="J35" s="14" t="n">
        <v>1962717.822555444</v>
      </c>
      <c r="K35" s="14" t="n">
        <v>2012780.755786896</v>
      </c>
      <c r="L35" s="14" t="n">
        <v>2063179.717381032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509970.0057070765</v>
      </c>
      <c r="D36" s="14" t="n">
        <v>965956.8359275778</v>
      </c>
      <c r="E36" s="14" t="n">
        <v>1405020.3703815</v>
      </c>
      <c r="F36" s="14" t="n">
        <v>1798722.958558297</v>
      </c>
      <c r="G36" s="14" t="n">
        <v>1814557.978516488</v>
      </c>
      <c r="H36" s="14" t="n">
        <v>1863605.301573912</v>
      </c>
      <c r="I36" s="14" t="n">
        <v>1912992.2698728</v>
      </c>
      <c r="J36" s="14" t="n">
        <v>1962717.822555444</v>
      </c>
      <c r="K36" s="14" t="n">
        <v>2012780.755786896</v>
      </c>
      <c r="L36" s="14" t="n">
        <v>2063179.717381032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651793.4944628975</v>
      </c>
      <c r="D37" s="14" t="n">
        <v>1107780.324683398</v>
      </c>
      <c r="E37" s="14" t="n">
        <v>1552454.790383952</v>
      </c>
      <c r="F37" s="14" t="n">
        <v>1950650.439537227</v>
      </c>
      <c r="G37" s="14" t="n">
        <v>1971964.08195708</v>
      </c>
      <c r="H37" s="14" t="n">
        <v>2021011.405014504</v>
      </c>
      <c r="I37" s="14" t="n">
        <v>2070398.373313392</v>
      </c>
      <c r="J37" s="14" t="n">
        <v>2120123.925996048</v>
      </c>
      <c r="K37" s="14" t="n">
        <v>2170186.859227488</v>
      </c>
      <c r="L37" s="14" t="n">
        <v>2220585.820821625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350029.114400676</v>
      </c>
      <c r="D38" s="14" t="n">
        <v>806015.9446211761</v>
      </c>
      <c r="E38" s="14" t="n">
        <v>1238751.773047572</v>
      </c>
      <c r="F38" s="14" t="n">
        <v>1627387.329073523</v>
      </c>
      <c r="G38" s="14" t="n">
        <v>1637043.85372506</v>
      </c>
      <c r="H38" s="14" t="n">
        <v>1686091.176782484</v>
      </c>
      <c r="I38" s="14" t="n">
        <v>1735478.145081372</v>
      </c>
      <c r="J38" s="14" t="n">
        <v>1785203.697764028</v>
      </c>
      <c r="K38" s="14" t="n">
        <v>1835266.630995468</v>
      </c>
      <c r="L38" s="14" t="n">
        <v>1885665.592589604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297234.7725733464</v>
      </c>
      <c r="D39" s="14" t="n">
        <v>753221.6027938464</v>
      </c>
      <c r="E39" s="14" t="n">
        <v>1183868.740377822</v>
      </c>
      <c r="F39" s="14" t="n">
        <v>1570831.737089904</v>
      </c>
      <c r="G39" s="14" t="n">
        <v>1578448.8233556</v>
      </c>
      <c r="H39" s="14" t="n">
        <v>1627496.146413024</v>
      </c>
      <c r="I39" s="14" t="n">
        <v>1676883.114711911</v>
      </c>
      <c r="J39" s="14" t="n">
        <v>1726608.667394556</v>
      </c>
      <c r="K39" s="14" t="n">
        <v>1776671.600625996</v>
      </c>
      <c r="L39" s="14" t="n">
        <v>1827070.562220144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509970.0057070774</v>
      </c>
      <c r="D40" s="14" t="n">
        <v>965956.8359275778</v>
      </c>
      <c r="E40" s="14" t="n">
        <v>1405020.3703815</v>
      </c>
      <c r="F40" s="14" t="n">
        <v>1798722.958558297</v>
      </c>
      <c r="G40" s="14" t="n">
        <v>1814557.978516488</v>
      </c>
      <c r="H40" s="14" t="n">
        <v>1863605.301573912</v>
      </c>
      <c r="I40" s="14" t="n">
        <v>1912992.2698728</v>
      </c>
      <c r="J40" s="14" t="n">
        <v>1962717.822555456</v>
      </c>
      <c r="K40" s="14" t="n">
        <v>2012780.755786896</v>
      </c>
      <c r="L40" s="14" t="n">
        <v>2063179.717381032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613006.5057070764</v>
      </c>
      <c r="D41" s="14" t="n">
        <v>1070283.890927578</v>
      </c>
      <c r="E41" s="14" t="n">
        <v>1510650.8859315</v>
      </c>
      <c r="F41" s="14" t="n">
        <v>1905669.969263809</v>
      </c>
      <c r="G41" s="14" t="n">
        <v>1922834.64932904</v>
      </c>
      <c r="H41" s="14" t="n">
        <v>1973224.929094596</v>
      </c>
      <c r="I41" s="14" t="n">
        <v>2023968.283668685</v>
      </c>
      <c r="J41" s="14" t="n">
        <v>2075063.786489303</v>
      </c>
      <c r="K41" s="14" t="n">
        <v>2126510.369360076</v>
      </c>
      <c r="L41" s="14" t="n">
        <v>2178306.817089948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504510.0057070765</v>
      </c>
      <c r="D42" s="14" t="n">
        <v>960442.2359275776</v>
      </c>
      <c r="E42" s="14" t="n">
        <v>1399450.6243815</v>
      </c>
      <c r="F42" s="14" t="n">
        <v>1793097.515098295</v>
      </c>
      <c r="G42" s="14" t="n">
        <v>1808876.280621888</v>
      </c>
      <c r="H42" s="14" t="n">
        <v>1857866.786700373</v>
      </c>
      <c r="I42" s="14" t="n">
        <v>1907196.369850512</v>
      </c>
      <c r="J42" s="14" t="n">
        <v>1956863.963532949</v>
      </c>
      <c r="K42" s="14" t="n">
        <v>2006868.358174165</v>
      </c>
      <c r="L42" s="14" t="n">
        <v>2057208.19579218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FCFF anual por escenario (USD, suma del año)</t>
        </is>
      </c>
    </row>
    <row r="3">
      <c r="A3" s="3" t="inlineStr">
        <is>
          <t>Id</t>
        </is>
      </c>
      <c r="B3" s="3" t="inlineStr">
        <is>
          <t>Escenario</t>
        </is>
      </c>
      <c r="C3" s="3" t="inlineStr">
        <is>
          <t>Año 1</t>
        </is>
      </c>
      <c r="D3" s="3" t="inlineStr">
        <is>
          <t>Año 2</t>
        </is>
      </c>
      <c r="E3" s="3" t="inlineStr">
        <is>
          <t>Año 3</t>
        </is>
      </c>
      <c r="F3" s="3" t="inlineStr">
        <is>
          <t>Año 4</t>
        </is>
      </c>
      <c r="G3" s="3" t="inlineStr">
        <is>
          <t>Año 5</t>
        </is>
      </c>
      <c r="H3" s="3" t="inlineStr">
        <is>
          <t>Año 6</t>
        </is>
      </c>
      <c r="I3" s="3" t="inlineStr">
        <is>
          <t>Año 7</t>
        </is>
      </c>
      <c r="J3" s="3" t="inlineStr">
        <is>
          <t>Año 8</t>
        </is>
      </c>
      <c r="K3" s="3" t="inlineStr">
        <is>
          <t>Año 9</t>
        </is>
      </c>
      <c r="L3" s="3" t="inlineStr">
        <is>
          <t>Año 10</t>
        </is>
      </c>
    </row>
    <row r="4">
      <c r="A4" s="12" t="inlineStr">
        <is>
          <t>E00</t>
        </is>
      </c>
      <c r="B4" s="12" t="inlineStr">
        <is>
          <t>Plan base (Oct-2025)</t>
        </is>
      </c>
      <c r="C4" s="8" t="n">
        <v>-2533137.971651954</v>
      </c>
      <c r="D4" s="8" t="n">
        <v>210811.3915319337</v>
      </c>
      <c r="E4" s="8" t="n">
        <v>737693.439749077</v>
      </c>
      <c r="F4" s="8" t="n">
        <v>1239913.888624984</v>
      </c>
      <c r="G4" s="8" t="n">
        <v>1776448.430810628</v>
      </c>
      <c r="H4" s="8" t="n">
        <v>1825880.445105316</v>
      </c>
      <c r="I4" s="8" t="n">
        <v>1874902.37664802</v>
      </c>
      <c r="J4" s="8" t="n">
        <v>1924259.604860926</v>
      </c>
      <c r="K4" s="8" t="n">
        <v>1973950.90383756</v>
      </c>
      <c r="L4" s="8" t="n">
        <v>6533737.416744538</v>
      </c>
    </row>
    <row r="5">
      <c r="A5" s="12" t="inlineStr">
        <is>
          <t>F1</t>
        </is>
      </c>
      <c r="B5" s="12" t="inlineStr">
        <is>
          <t>Más financiamiento</t>
        </is>
      </c>
      <c r="C5" s="14" t="n">
        <v>-2533137.971651954</v>
      </c>
      <c r="D5" s="14" t="n">
        <v>210811.3915319337</v>
      </c>
      <c r="E5" s="14" t="n">
        <v>737693.439749077</v>
      </c>
      <c r="F5" s="14" t="n">
        <v>1239913.888624984</v>
      </c>
      <c r="G5" s="14" t="n">
        <v>1776448.430810628</v>
      </c>
      <c r="H5" s="14" t="n">
        <v>1825880.445105316</v>
      </c>
      <c r="I5" s="14" t="n">
        <v>1874902.37664802</v>
      </c>
      <c r="J5" s="14" t="n">
        <v>1924259.604860926</v>
      </c>
      <c r="K5" s="14" t="n">
        <v>1973950.90383756</v>
      </c>
      <c r="L5" s="14" t="n">
        <v>6533737.416744538</v>
      </c>
    </row>
    <row r="6">
      <c r="A6" s="12" t="inlineStr">
        <is>
          <t>F2</t>
        </is>
      </c>
      <c r="B6" s="12" t="inlineStr">
        <is>
          <t>Menos financiamiento</t>
        </is>
      </c>
      <c r="C6" s="14" t="n">
        <v>-2533137.971651954</v>
      </c>
      <c r="D6" s="14" t="n">
        <v>210811.3915319337</v>
      </c>
      <c r="E6" s="14" t="n">
        <v>737693.439749077</v>
      </c>
      <c r="F6" s="14" t="n">
        <v>1239913.888624984</v>
      </c>
      <c r="G6" s="14" t="n">
        <v>1776448.430810628</v>
      </c>
      <c r="H6" s="14" t="n">
        <v>1825880.445105316</v>
      </c>
      <c r="I6" s="14" t="n">
        <v>1874902.37664802</v>
      </c>
      <c r="J6" s="14" t="n">
        <v>1924259.604860926</v>
      </c>
      <c r="K6" s="14" t="n">
        <v>1973950.90383756</v>
      </c>
      <c r="L6" s="14" t="n">
        <v>6533737.416744538</v>
      </c>
    </row>
    <row r="7">
      <c r="A7" s="12" t="inlineStr">
        <is>
          <t>F3</t>
        </is>
      </c>
      <c r="B7" s="12" t="inlineStr">
        <is>
          <t>Cobro a 180 días</t>
        </is>
      </c>
      <c r="C7" s="14" t="n">
        <v>-3330398.245624554</v>
      </c>
      <c r="D7" s="14" t="n">
        <v>-8016.005728340038</v>
      </c>
      <c r="E7" s="14" t="n">
        <v>514569.220570994</v>
      </c>
      <c r="F7" s="14" t="n">
        <v>1051382.639857861</v>
      </c>
      <c r="G7" s="14" t="n">
        <v>1762170.999418846</v>
      </c>
      <c r="H7" s="14" t="n">
        <v>1811460.239399617</v>
      </c>
      <c r="I7" s="14" t="n">
        <v>1860337.968885263</v>
      </c>
      <c r="J7" s="14" t="n">
        <v>1909549.553020544</v>
      </c>
      <c r="K7" s="14" t="n">
        <v>1959093.751478771</v>
      </c>
      <c r="L7" s="14" t="n">
        <v>8034309.804982023</v>
      </c>
    </row>
    <row r="8">
      <c r="A8" s="12" t="inlineStr">
        <is>
          <t>F4</t>
        </is>
      </c>
      <c r="B8" s="12" t="inlineStr">
        <is>
          <t>Cobro al contado</t>
        </is>
      </c>
      <c r="C8" s="14" t="n">
        <v>-938617.4237067539</v>
      </c>
      <c r="D8" s="14" t="n">
        <v>648466.1860524819</v>
      </c>
      <c r="E8" s="14" t="n">
        <v>1183941.878105241</v>
      </c>
      <c r="F8" s="14" t="n">
        <v>1616976.386159231</v>
      </c>
      <c r="G8" s="14" t="n">
        <v>1805003.29359419</v>
      </c>
      <c r="H8" s="14" t="n">
        <v>1854720.856516711</v>
      </c>
      <c r="I8" s="14" t="n">
        <v>1904031.192173532</v>
      </c>
      <c r="J8" s="14" t="n">
        <v>1953679.708541692</v>
      </c>
      <c r="K8" s="14" t="n">
        <v>2003665.208555134</v>
      </c>
      <c r="L8" s="14" t="n">
        <v>3532592.640269558</v>
      </c>
    </row>
    <row r="9">
      <c r="A9" s="12" t="inlineStr">
        <is>
          <t>F5</t>
        </is>
      </c>
      <c r="B9" s="12" t="inlineStr">
        <is>
          <t>Más financiamiento + cobro 180 días</t>
        </is>
      </c>
      <c r="C9" s="14" t="n">
        <v>-3330398.245624554</v>
      </c>
      <c r="D9" s="14" t="n">
        <v>-8016.005728340038</v>
      </c>
      <c r="E9" s="14" t="n">
        <v>514569.220570994</v>
      </c>
      <c r="F9" s="14" t="n">
        <v>1051382.639857861</v>
      </c>
      <c r="G9" s="14" t="n">
        <v>1762170.999418846</v>
      </c>
      <c r="H9" s="14" t="n">
        <v>1811460.239399617</v>
      </c>
      <c r="I9" s="14" t="n">
        <v>1860337.968885263</v>
      </c>
      <c r="J9" s="14" t="n">
        <v>1909549.553020544</v>
      </c>
      <c r="K9" s="14" t="n">
        <v>1959093.751478771</v>
      </c>
      <c r="L9" s="14" t="n">
        <v>8034309.804982023</v>
      </c>
    </row>
    <row r="10">
      <c r="A10" s="12" t="inlineStr">
        <is>
          <t>F6</t>
        </is>
      </c>
      <c r="B10" s="12" t="inlineStr">
        <is>
          <t>Menos financiamiento + contado</t>
        </is>
      </c>
      <c r="C10" s="14" t="n">
        <v>-938617.4237067539</v>
      </c>
      <c r="D10" s="14" t="n">
        <v>648466.1860524819</v>
      </c>
      <c r="E10" s="14" t="n">
        <v>1183941.878105241</v>
      </c>
      <c r="F10" s="14" t="n">
        <v>1616976.386159231</v>
      </c>
      <c r="G10" s="14" t="n">
        <v>1805003.29359419</v>
      </c>
      <c r="H10" s="14" t="n">
        <v>1854720.856516711</v>
      </c>
      <c r="I10" s="14" t="n">
        <v>1904031.192173532</v>
      </c>
      <c r="J10" s="14" t="n">
        <v>1953679.708541692</v>
      </c>
      <c r="K10" s="14" t="n">
        <v>2003665.208555134</v>
      </c>
      <c r="L10" s="14" t="n">
        <v>3532592.640269558</v>
      </c>
    </row>
    <row r="11">
      <c r="A11" s="12" t="inlineStr">
        <is>
          <t>F7</t>
        </is>
      </c>
      <c r="B11" s="12" t="inlineStr">
        <is>
          <t>Más financiamiento + contado</t>
        </is>
      </c>
      <c r="C11" s="14" t="n">
        <v>-938617.4237067539</v>
      </c>
      <c r="D11" s="14" t="n">
        <v>648466.1860524819</v>
      </c>
      <c r="E11" s="14" t="n">
        <v>1183941.878105241</v>
      </c>
      <c r="F11" s="14" t="n">
        <v>1616976.386159231</v>
      </c>
      <c r="G11" s="14" t="n">
        <v>1805003.29359419</v>
      </c>
      <c r="H11" s="14" t="n">
        <v>1854720.856516711</v>
      </c>
      <c r="I11" s="14" t="n">
        <v>1904031.192173532</v>
      </c>
      <c r="J11" s="14" t="n">
        <v>1953679.708541692</v>
      </c>
      <c r="K11" s="14" t="n">
        <v>2003665.208555134</v>
      </c>
      <c r="L11" s="14" t="n">
        <v>3532592.640269558</v>
      </c>
    </row>
    <row r="12">
      <c r="A12" s="12" t="inlineStr">
        <is>
          <t>F8</t>
        </is>
      </c>
      <c r="B12" s="12" t="inlineStr">
        <is>
          <t>Menos financiamiento + cobro 180 días</t>
        </is>
      </c>
      <c r="C12" s="14" t="n">
        <v>-3330398.245624554</v>
      </c>
      <c r="D12" s="14" t="n">
        <v>-8016.005728340038</v>
      </c>
      <c r="E12" s="14" t="n">
        <v>514569.220570994</v>
      </c>
      <c r="F12" s="14" t="n">
        <v>1051382.639857861</v>
      </c>
      <c r="G12" s="14" t="n">
        <v>1762170.999418846</v>
      </c>
      <c r="H12" s="14" t="n">
        <v>1811460.239399617</v>
      </c>
      <c r="I12" s="14" t="n">
        <v>1860337.968885263</v>
      </c>
      <c r="J12" s="14" t="n">
        <v>1909549.553020544</v>
      </c>
      <c r="K12" s="14" t="n">
        <v>1959093.751478771</v>
      </c>
      <c r="L12" s="14" t="n">
        <v>8034309.804982023</v>
      </c>
    </row>
    <row r="13">
      <c r="A13" s="12" t="inlineStr">
        <is>
          <t>C1</t>
        </is>
      </c>
      <c r="B13" s="12" t="inlineStr">
        <is>
          <t>Costos variables +10%</t>
        </is>
      </c>
      <c r="C13" s="14" t="n">
        <v>-2930781.477352362</v>
      </c>
      <c r="D13" s="14" t="n">
        <v>-213237.8971984229</v>
      </c>
      <c r="E13" s="14" t="n">
        <v>227119.6221008775</v>
      </c>
      <c r="F13" s="14" t="n">
        <v>662662.3491079961</v>
      </c>
      <c r="G13" s="14" t="n">
        <v>1213567.799624233</v>
      </c>
      <c r="H13" s="14" t="n">
        <v>1260007.597247633</v>
      </c>
      <c r="I13" s="14" t="n">
        <v>1306007.38995234</v>
      </c>
      <c r="J13" s="14" t="n">
        <v>1352312.257938865</v>
      </c>
      <c r="K13" s="14" t="n">
        <v>1398920.673086845</v>
      </c>
      <c r="L13" s="14" t="n">
        <v>6104703.824455459</v>
      </c>
    </row>
    <row r="14">
      <c r="A14" s="12" t="inlineStr">
        <is>
          <t>C2</t>
        </is>
      </c>
      <c r="B14" s="12" t="inlineStr">
        <is>
          <t>Costos variables +20%</t>
        </is>
      </c>
      <c r="C14" s="14" t="n">
        <v>-3328424.983052781</v>
      </c>
      <c r="D14" s="14" t="n">
        <v>-637287.1859287781</v>
      </c>
      <c r="E14" s="14" t="n">
        <v>-283454.1955473173</v>
      </c>
      <c r="F14" s="14" t="n">
        <v>85410.80959100451</v>
      </c>
      <c r="G14" s="14" t="n">
        <v>650687.1684378359</v>
      </c>
      <c r="H14" s="14" t="n">
        <v>694134.7493899525</v>
      </c>
      <c r="I14" s="14" t="n">
        <v>737112.4032566547</v>
      </c>
      <c r="J14" s="14" t="n">
        <v>780364.9110168072</v>
      </c>
      <c r="K14" s="14" t="n">
        <v>823890.4423361424</v>
      </c>
      <c r="L14" s="14" t="n">
        <v>5675670.232166394</v>
      </c>
    </row>
    <row r="15">
      <c r="A15" s="12" t="inlineStr">
        <is>
          <t>C3</t>
        </is>
      </c>
      <c r="B15" s="12" t="inlineStr">
        <is>
          <t>Costos variables +30%</t>
        </is>
      </c>
      <c r="C15" s="14" t="n">
        <v>-3726068.488753194</v>
      </c>
      <c r="D15" s="14" t="n">
        <v>-1061336.474659134</v>
      </c>
      <c r="E15" s="14" t="n">
        <v>-794028.0131955141</v>
      </c>
      <c r="F15" s="14" t="n">
        <v>-491840.7299259868</v>
      </c>
      <c r="G15" s="14" t="n">
        <v>87806.53725144209</v>
      </c>
      <c r="H15" s="14" t="n">
        <v>128261.9015322711</v>
      </c>
      <c r="I15" s="14" t="n">
        <v>168217.4165609744</v>
      </c>
      <c r="J15" s="14" t="n">
        <v>208417.5640947458</v>
      </c>
      <c r="K15" s="14" t="n">
        <v>248860.2115854362</v>
      </c>
      <c r="L15" s="14" t="n">
        <v>5246636.639877324</v>
      </c>
    </row>
    <row r="16">
      <c r="A16" s="12" t="inlineStr">
        <is>
          <t>C4</t>
        </is>
      </c>
      <c r="B16" s="12" t="inlineStr">
        <is>
          <t>Costos que no se cubren con las ventas</t>
        </is>
      </c>
      <c r="C16" s="14" t="n">
        <v>-4253588.322354366</v>
      </c>
      <c r="D16" s="14" t="n">
        <v>-1617083.868876596</v>
      </c>
      <c r="E16" s="14" t="n">
        <v>-1366392.522015575</v>
      </c>
      <c r="F16" s="14" t="n">
        <v>-1078765.68242689</v>
      </c>
      <c r="G16" s="14" t="n">
        <v>-515755.0340503908</v>
      </c>
      <c r="H16" s="14" t="n">
        <v>-482957.3294716458</v>
      </c>
      <c r="I16" s="14" t="n">
        <v>-451091.9774837403</v>
      </c>
      <c r="J16" s="14" t="n">
        <v>-419217.8172663872</v>
      </c>
      <c r="K16" s="14" t="n">
        <v>-387343.9184837003</v>
      </c>
      <c r="L16" s="14" t="n">
        <v>4574747.937264734</v>
      </c>
    </row>
    <row r="17">
      <c r="A17" s="12" t="inlineStr">
        <is>
          <t>V1</t>
        </is>
      </c>
      <c r="B17" s="12" t="inlineStr">
        <is>
          <t>Volumen −10%</t>
        </is>
      </c>
      <c r="C17" s="14" t="n">
        <v>-2456109.69540359</v>
      </c>
      <c r="D17" s="14" t="n">
        <v>67219.31305680942</v>
      </c>
      <c r="E17" s="14" t="n">
        <v>547248.9153706257</v>
      </c>
      <c r="F17" s="14" t="n">
        <v>995824.4790374619</v>
      </c>
      <c r="G17" s="14" t="n">
        <v>1474641.111863329</v>
      </c>
      <c r="H17" s="14" t="n">
        <v>1518418.463327975</v>
      </c>
      <c r="I17" s="14" t="n">
        <v>1561729.185412328</v>
      </c>
      <c r="J17" s="14" t="n">
        <v>1605318.092072304</v>
      </c>
      <c r="K17" s="14" t="n">
        <v>1649183.386280471</v>
      </c>
      <c r="L17" s="14" t="n">
        <v>5751670.495108746</v>
      </c>
    </row>
    <row r="18">
      <c r="A18" s="12" t="inlineStr">
        <is>
          <t>V2</t>
        </is>
      </c>
      <c r="B18" s="12" t="inlineStr">
        <is>
          <t>Volumen −20%</t>
        </is>
      </c>
      <c r="C18" s="14" t="n">
        <v>-2379081.419155232</v>
      </c>
      <c r="D18" s="14" t="n">
        <v>-76372.7654183133</v>
      </c>
      <c r="E18" s="14" t="n">
        <v>356804.3909921777</v>
      </c>
      <c r="F18" s="14" t="n">
        <v>751735.0694499414</v>
      </c>
      <c r="G18" s="14" t="n">
        <v>1172833.792916041</v>
      </c>
      <c r="H18" s="14" t="n">
        <v>1210956.481550628</v>
      </c>
      <c r="I18" s="14" t="n">
        <v>1248555.994176635</v>
      </c>
      <c r="J18" s="14" t="n">
        <v>1286376.579283684</v>
      </c>
      <c r="K18" s="14" t="n">
        <v>1324415.868723381</v>
      </c>
      <c r="L18" s="14" t="n">
        <v>4969603.573472963</v>
      </c>
    </row>
    <row r="19">
      <c r="A19" s="12" t="inlineStr">
        <is>
          <t>V3</t>
        </is>
      </c>
      <c r="B19" s="12" t="inlineStr">
        <is>
          <t>Volumen −30%</t>
        </is>
      </c>
      <c r="C19" s="14" t="n">
        <v>-2302053.142906873</v>
      </c>
      <c r="D19" s="14" t="n">
        <v>-219964.8438934386</v>
      </c>
      <c r="E19" s="14" t="n">
        <v>166359.8666137297</v>
      </c>
      <c r="F19" s="14" t="n">
        <v>507645.6598624173</v>
      </c>
      <c r="G19" s="14" t="n">
        <v>871026.4739687452</v>
      </c>
      <c r="H19" s="14" t="n">
        <v>903494.4997732876</v>
      </c>
      <c r="I19" s="14" t="n">
        <v>935382.8029409408</v>
      </c>
      <c r="J19" s="14" t="n">
        <v>967435.0664950534</v>
      </c>
      <c r="K19" s="14" t="n">
        <v>999648.3511662885</v>
      </c>
      <c r="L19" s="14" t="n">
        <v>4187536.651837174</v>
      </c>
    </row>
    <row r="20">
      <c r="A20" s="12" t="inlineStr">
        <is>
          <t>V4</t>
        </is>
      </c>
      <c r="B20" s="12" t="inlineStr">
        <is>
          <t>Vendo más: volumen +10%</t>
        </is>
      </c>
      <c r="C20" s="14" t="n">
        <v>-2610166.247900312</v>
      </c>
      <c r="D20" s="14" t="n">
        <v>354403.4700070583</v>
      </c>
      <c r="E20" s="14" t="n">
        <v>928137.9641275241</v>
      </c>
      <c r="F20" s="14" t="n">
        <v>1484003.298212508</v>
      </c>
      <c r="G20" s="14" t="n">
        <v>2078255.749757915</v>
      </c>
      <c r="H20" s="14" t="n">
        <v>2133342.426882652</v>
      </c>
      <c r="I20" s="14" t="n">
        <v>2188075.567883712</v>
      </c>
      <c r="J20" s="14" t="n">
        <v>2243201.117649557</v>
      </c>
      <c r="K20" s="14" t="n">
        <v>2298718.42139465</v>
      </c>
      <c r="L20" s="14" t="n">
        <v>7315804.338380321</v>
      </c>
    </row>
    <row r="21">
      <c r="A21" s="12" t="inlineStr">
        <is>
          <t>V5</t>
        </is>
      </c>
      <c r="B21" s="12" t="inlineStr">
        <is>
          <t>Vendo más dentro de la capacidad</t>
        </is>
      </c>
      <c r="C21" s="14" t="n">
        <v>-2738774.229498878</v>
      </c>
      <c r="D21" s="14" t="n">
        <v>839755.6664393586</v>
      </c>
      <c r="E21" s="14" t="n">
        <v>588796.66484544</v>
      </c>
      <c r="F21" s="14" t="n">
        <v>1761106.221529122</v>
      </c>
      <c r="G21" s="14" t="n">
        <v>1776448.430810628</v>
      </c>
      <c r="H21" s="14" t="n">
        <v>1825880.445105316</v>
      </c>
      <c r="I21" s="14" t="n">
        <v>1874902.37664802</v>
      </c>
      <c r="J21" s="14" t="n">
        <v>1924259.604860926</v>
      </c>
      <c r="K21" s="14" t="n">
        <v>1973950.90383756</v>
      </c>
      <c r="L21" s="14" t="n">
        <v>6533737.416744538</v>
      </c>
    </row>
    <row r="22">
      <c r="A22" s="12" t="inlineStr">
        <is>
          <t>P1</t>
        </is>
      </c>
      <c r="B22" s="12" t="inlineStr">
        <is>
          <t>Desfavorable combinado</t>
        </is>
      </c>
      <c r="C22" s="14" t="n">
        <v>-2867136.79969543</v>
      </c>
      <c r="D22" s="14" t="n">
        <v>-569142.4874665303</v>
      </c>
      <c r="E22" s="14" t="n">
        <v>-203043.6750491047</v>
      </c>
      <c r="F22" s="14" t="n">
        <v>107389.0127244538</v>
      </c>
      <c r="G22" s="14" t="n">
        <v>570425.7489682861</v>
      </c>
      <c r="H22" s="14" t="n">
        <v>583360.7910729931</v>
      </c>
      <c r="I22" s="14" t="n">
        <v>612123.1711482015</v>
      </c>
      <c r="J22" s="14" t="n">
        <v>641020.4810339981</v>
      </c>
      <c r="K22" s="14" t="n">
        <v>670049.5573396417</v>
      </c>
      <c r="L22" s="14" t="n">
        <v>3784582.044885169</v>
      </c>
    </row>
    <row r="23">
      <c r="A23" s="12" t="inlineStr">
        <is>
          <t>P2</t>
        </is>
      </c>
      <c r="B23" s="12" t="inlineStr">
        <is>
          <t>Selector «Conservador» del modelo</t>
        </is>
      </c>
      <c r="C23" s="14" t="n">
        <v>-3540069.160923385</v>
      </c>
      <c r="D23" s="14" t="n">
        <v>-741820.0084792158</v>
      </c>
      <c r="E23" s="14" t="n">
        <v>-386373.3782967876</v>
      </c>
      <c r="F23" s="14" t="n">
        <v>-32977.73830281131</v>
      </c>
      <c r="G23" s="14" t="n">
        <v>571916.4600626265</v>
      </c>
      <c r="H23" s="14" t="n">
        <v>600776.0074608597</v>
      </c>
      <c r="I23" s="14" t="n">
        <v>637320.9426603427</v>
      </c>
      <c r="J23" s="14" t="n">
        <v>674077.518894125</v>
      </c>
      <c r="K23" s="14" t="n">
        <v>711043.3067915326</v>
      </c>
      <c r="L23" s="14" t="n">
        <v>5469974.467505503</v>
      </c>
    </row>
    <row r="24">
      <c r="A24" s="12" t="inlineStr">
        <is>
          <t>P3</t>
        </is>
      </c>
      <c r="B24" s="12" t="inlineStr">
        <is>
          <t>Selector «Optimista» del modelo</t>
        </is>
      </c>
      <c r="C24" s="14" t="n">
        <v>-1752054.004966805</v>
      </c>
      <c r="D24" s="14" t="n">
        <v>706751.389743662</v>
      </c>
      <c r="E24" s="14" t="n">
        <v>1315307.530426911</v>
      </c>
      <c r="F24" s="14" t="n">
        <v>1862337.892645176</v>
      </c>
      <c r="G24" s="14" t="n">
        <v>2296153.427294093</v>
      </c>
      <c r="H24" s="14" t="n">
        <v>2351270.260637127</v>
      </c>
      <c r="I24" s="14" t="n">
        <v>2406033.859418659</v>
      </c>
      <c r="J24" s="14" t="n">
        <v>2461190.171542782</v>
      </c>
      <c r="K24" s="14" t="n">
        <v>2516738.545269726</v>
      </c>
      <c r="L24" s="14" t="n">
        <v>6144913.680476463</v>
      </c>
    </row>
    <row r="25">
      <c r="A25" s="12" t="inlineStr">
        <is>
          <t>L1</t>
        </is>
      </c>
      <c r="B25" s="12" t="inlineStr">
        <is>
          <t>LP a 3 años (6 meses de gracia + 30 cuotas)</t>
        </is>
      </c>
      <c r="C25" s="14" t="n">
        <v>-2533137.971651954</v>
      </c>
      <c r="D25" s="14" t="n">
        <v>210811.3915319337</v>
      </c>
      <c r="E25" s="14" t="n">
        <v>737693.439749077</v>
      </c>
      <c r="F25" s="14" t="n">
        <v>1239913.888624984</v>
      </c>
      <c r="G25" s="14" t="n">
        <v>1776448.430810628</v>
      </c>
      <c r="H25" s="14" t="n">
        <v>1825880.445105316</v>
      </c>
      <c r="I25" s="14" t="n">
        <v>1874902.37664802</v>
      </c>
      <c r="J25" s="14" t="n">
        <v>1924259.604860926</v>
      </c>
      <c r="K25" s="14" t="n">
        <v>1973950.90383756</v>
      </c>
      <c r="L25" s="14" t="n">
        <v>6533737.416744538</v>
      </c>
    </row>
    <row r="26">
      <c r="A26" s="12" t="inlineStr">
        <is>
          <t>L2</t>
        </is>
      </c>
      <c r="B26" s="12" t="inlineStr">
        <is>
          <t>LP a 7 años (6 + 78 cuotas)</t>
        </is>
      </c>
      <c r="C26" s="14" t="n">
        <v>-2533137.971651954</v>
      </c>
      <c r="D26" s="14" t="n">
        <v>210811.3915319337</v>
      </c>
      <c r="E26" s="14" t="n">
        <v>737693.439749077</v>
      </c>
      <c r="F26" s="14" t="n">
        <v>1239913.888624984</v>
      </c>
      <c r="G26" s="14" t="n">
        <v>1776448.430810628</v>
      </c>
      <c r="H26" s="14" t="n">
        <v>1825880.445105316</v>
      </c>
      <c r="I26" s="14" t="n">
        <v>1874902.37664802</v>
      </c>
      <c r="J26" s="14" t="n">
        <v>1924259.604860926</v>
      </c>
      <c r="K26" s="14" t="n">
        <v>1973950.90383756</v>
      </c>
      <c r="L26" s="14" t="n">
        <v>6533737.416744538</v>
      </c>
    </row>
    <row r="27">
      <c r="A27" s="12" t="inlineStr">
        <is>
          <t>L3</t>
        </is>
      </c>
      <c r="B27" s="12" t="inlineStr">
        <is>
          <t>LP a 8 años (12 + 84 cuotas)</t>
        </is>
      </c>
      <c r="C27" s="14" t="n">
        <v>-2533137.971651954</v>
      </c>
      <c r="D27" s="14" t="n">
        <v>210811.3915319337</v>
      </c>
      <c r="E27" s="14" t="n">
        <v>737693.439749077</v>
      </c>
      <c r="F27" s="14" t="n">
        <v>1239913.888624984</v>
      </c>
      <c r="G27" s="14" t="n">
        <v>1776448.430810628</v>
      </c>
      <c r="H27" s="14" t="n">
        <v>1825880.445105316</v>
      </c>
      <c r="I27" s="14" t="n">
        <v>1874902.37664802</v>
      </c>
      <c r="J27" s="14" t="n">
        <v>1924259.604860926</v>
      </c>
      <c r="K27" s="14" t="n">
        <v>1973950.90383756</v>
      </c>
      <c r="L27" s="14" t="n">
        <v>6533737.416744538</v>
      </c>
    </row>
    <row r="28">
      <c r="A28" s="12" t="inlineStr">
        <is>
          <t>L4</t>
        </is>
      </c>
      <c r="B28" s="12" t="inlineStr">
        <is>
          <t>Repago acelerado con todo el excedente</t>
        </is>
      </c>
      <c r="C28" s="14" t="n">
        <v>-2533137.971651954</v>
      </c>
      <c r="D28" s="14" t="n">
        <v>210811.3915319337</v>
      </c>
      <c r="E28" s="14" t="n">
        <v>737693.439749077</v>
      </c>
      <c r="F28" s="14" t="n">
        <v>1239913.888624984</v>
      </c>
      <c r="G28" s="14" t="n">
        <v>1776448.430810628</v>
      </c>
      <c r="H28" s="14" t="n">
        <v>1825880.445105316</v>
      </c>
      <c r="I28" s="14" t="n">
        <v>1874902.37664802</v>
      </c>
      <c r="J28" s="14" t="n">
        <v>1924259.604860926</v>
      </c>
      <c r="K28" s="14" t="n">
        <v>1973950.90383756</v>
      </c>
      <c r="L28" s="14" t="n">
        <v>6533737.416744538</v>
      </c>
    </row>
    <row r="29">
      <c r="A29" s="12" t="inlineStr">
        <is>
          <t>K1</t>
        </is>
      </c>
      <c r="B29" s="12" t="inlineStr">
        <is>
          <t>Solo LP, ampliado para cubrir la brecha</t>
        </is>
      </c>
      <c r="C29" s="14" t="n">
        <v>-2533137.971651954</v>
      </c>
      <c r="D29" s="14" t="n">
        <v>210811.3915319337</v>
      </c>
      <c r="E29" s="14" t="n">
        <v>737693.439749077</v>
      </c>
      <c r="F29" s="14" t="n">
        <v>1239913.888624984</v>
      </c>
      <c r="G29" s="14" t="n">
        <v>1776448.430810628</v>
      </c>
      <c r="H29" s="14" t="n">
        <v>1825880.445105316</v>
      </c>
      <c r="I29" s="14" t="n">
        <v>1874902.37664802</v>
      </c>
      <c r="J29" s="14" t="n">
        <v>1924259.604860926</v>
      </c>
      <c r="K29" s="14" t="n">
        <v>1973950.90383756</v>
      </c>
      <c r="L29" s="14" t="n">
        <v>6533737.416744538</v>
      </c>
    </row>
    <row r="30">
      <c r="A30" s="12" t="inlineStr">
        <is>
          <t>K2</t>
        </is>
      </c>
      <c r="B30" s="12" t="inlineStr">
        <is>
          <t>LP + préstamo CP de 12 meses</t>
        </is>
      </c>
      <c r="C30" s="14" t="n">
        <v>-2533137.971651954</v>
      </c>
      <c r="D30" s="14" t="n">
        <v>210811.3915319337</v>
      </c>
      <c r="E30" s="14" t="n">
        <v>737693.439749077</v>
      </c>
      <c r="F30" s="14" t="n">
        <v>1239913.888624984</v>
      </c>
      <c r="G30" s="14" t="n">
        <v>1776448.430810628</v>
      </c>
      <c r="H30" s="14" t="n">
        <v>1825880.445105316</v>
      </c>
      <c r="I30" s="14" t="n">
        <v>1874902.37664802</v>
      </c>
      <c r="J30" s="14" t="n">
        <v>1924259.604860926</v>
      </c>
      <c r="K30" s="14" t="n">
        <v>1973950.90383756</v>
      </c>
      <c r="L30" s="14" t="n">
        <v>6533737.416744538</v>
      </c>
    </row>
    <row r="31">
      <c r="A31" s="12" t="inlineStr">
        <is>
          <t>K3</t>
        </is>
      </c>
      <c r="B31" s="12" t="inlineStr">
        <is>
          <t>LP + línea rotativa a la par</t>
        </is>
      </c>
      <c r="C31" s="14" t="n">
        <v>-2533137.971651954</v>
      </c>
      <c r="D31" s="14" t="n">
        <v>210811.3915319337</v>
      </c>
      <c r="E31" s="14" t="n">
        <v>737693.439749077</v>
      </c>
      <c r="F31" s="14" t="n">
        <v>1239913.888624984</v>
      </c>
      <c r="G31" s="14" t="n">
        <v>1776448.430810628</v>
      </c>
      <c r="H31" s="14" t="n">
        <v>1825880.445105316</v>
      </c>
      <c r="I31" s="14" t="n">
        <v>1874902.37664802</v>
      </c>
      <c r="J31" s="14" t="n">
        <v>1924259.604860926</v>
      </c>
      <c r="K31" s="14" t="n">
        <v>1973950.90383756</v>
      </c>
      <c r="L31" s="14" t="n">
        <v>6533737.416744538</v>
      </c>
    </row>
    <row r="32">
      <c r="A32" s="12" t="inlineStr">
        <is>
          <t>K4</t>
        </is>
      </c>
      <c r="B32" s="12" t="inlineStr">
        <is>
          <t>Solo CP: línea rotativa renovada</t>
        </is>
      </c>
      <c r="C32" s="14" t="n">
        <v>-2533137.971651954</v>
      </c>
      <c r="D32" s="14" t="n">
        <v>210811.3915319337</v>
      </c>
      <c r="E32" s="14" t="n">
        <v>737693.439749077</v>
      </c>
      <c r="F32" s="14" t="n">
        <v>1239913.888624984</v>
      </c>
      <c r="G32" s="14" t="n">
        <v>1776448.430810628</v>
      </c>
      <c r="H32" s="14" t="n">
        <v>1825880.445105316</v>
      </c>
      <c r="I32" s="14" t="n">
        <v>1874902.37664802</v>
      </c>
      <c r="J32" s="14" t="n">
        <v>1924259.604860926</v>
      </c>
      <c r="K32" s="14" t="n">
        <v>1973950.90383756</v>
      </c>
      <c r="L32" s="14" t="n">
        <v>6533737.416744538</v>
      </c>
    </row>
    <row r="33">
      <c r="A33" s="12" t="inlineStr">
        <is>
          <t>K5</t>
        </is>
      </c>
      <c r="B33" s="12" t="inlineStr">
        <is>
          <t>Solo CP sin renovación</t>
        </is>
      </c>
      <c r="C33" s="14" t="n">
        <v>-2533137.971651954</v>
      </c>
      <c r="D33" s="14" t="n">
        <v>210811.3915319337</v>
      </c>
      <c r="E33" s="14" t="n">
        <v>737693.439749077</v>
      </c>
      <c r="F33" s="14" t="n">
        <v>1239913.888624984</v>
      </c>
      <c r="G33" s="14" t="n">
        <v>1776448.430810628</v>
      </c>
      <c r="H33" s="14" t="n">
        <v>1825880.445105316</v>
      </c>
      <c r="I33" s="14" t="n">
        <v>1874902.37664802</v>
      </c>
      <c r="J33" s="14" t="n">
        <v>1924259.604860926</v>
      </c>
      <c r="K33" s="14" t="n">
        <v>1973950.90383756</v>
      </c>
      <c r="L33" s="14" t="n">
        <v>6533737.416744538</v>
      </c>
    </row>
    <row r="34">
      <c r="A34" s="12" t="inlineStr">
        <is>
          <t>K6</t>
        </is>
      </c>
      <c r="B34" s="12" t="inlineStr">
        <is>
          <t>LP para CAPEX + CP para capital de trabajo</t>
        </is>
      </c>
      <c r="C34" s="14" t="n">
        <v>-2533137.971651954</v>
      </c>
      <c r="D34" s="14" t="n">
        <v>210811.3915319337</v>
      </c>
      <c r="E34" s="14" t="n">
        <v>737693.439749077</v>
      </c>
      <c r="F34" s="14" t="n">
        <v>1239913.888624984</v>
      </c>
      <c r="G34" s="14" t="n">
        <v>1776448.430810628</v>
      </c>
      <c r="H34" s="14" t="n">
        <v>1825880.445105316</v>
      </c>
      <c r="I34" s="14" t="n">
        <v>1874902.37664802</v>
      </c>
      <c r="J34" s="14" t="n">
        <v>1924259.604860926</v>
      </c>
      <c r="K34" s="14" t="n">
        <v>1973950.90383756</v>
      </c>
      <c r="L34" s="14" t="n">
        <v>6533737.416744538</v>
      </c>
    </row>
    <row r="35">
      <c r="A35" s="12" t="inlineStr">
        <is>
          <t>K7</t>
        </is>
      </c>
      <c r="B35" s="12" t="inlineStr">
        <is>
          <t>Solo CP renovado con tasa 7,99%</t>
        </is>
      </c>
      <c r="C35" s="14" t="n">
        <v>-2533137.971651954</v>
      </c>
      <c r="D35" s="14" t="n">
        <v>210811.3915319337</v>
      </c>
      <c r="E35" s="14" t="n">
        <v>737693.439749077</v>
      </c>
      <c r="F35" s="14" t="n">
        <v>1239913.888624984</v>
      </c>
      <c r="G35" s="14" t="n">
        <v>1776448.430810628</v>
      </c>
      <c r="H35" s="14" t="n">
        <v>1825880.445105316</v>
      </c>
      <c r="I35" s="14" t="n">
        <v>1874902.37664802</v>
      </c>
      <c r="J35" s="14" t="n">
        <v>1924259.604860926</v>
      </c>
      <c r="K35" s="14" t="n">
        <v>1973950.90383756</v>
      </c>
      <c r="L35" s="14" t="n">
        <v>6533737.416744538</v>
      </c>
    </row>
    <row r="36">
      <c r="A36" s="12" t="inlineStr">
        <is>
          <t>K8</t>
        </is>
      </c>
      <c r="B36" s="12" t="inlineStr">
        <is>
          <t>Solo CP renovado con tasa 11,24%</t>
        </is>
      </c>
      <c r="C36" s="14" t="n">
        <v>-2533137.971651954</v>
      </c>
      <c r="D36" s="14" t="n">
        <v>210811.3915319337</v>
      </c>
      <c r="E36" s="14" t="n">
        <v>737693.439749077</v>
      </c>
      <c r="F36" s="14" t="n">
        <v>1239913.888624984</v>
      </c>
      <c r="G36" s="14" t="n">
        <v>1776448.430810628</v>
      </c>
      <c r="H36" s="14" t="n">
        <v>1825880.445105316</v>
      </c>
      <c r="I36" s="14" t="n">
        <v>1874902.37664802</v>
      </c>
      <c r="J36" s="14" t="n">
        <v>1924259.604860926</v>
      </c>
      <c r="K36" s="14" t="n">
        <v>1973950.90383756</v>
      </c>
      <c r="L36" s="14" t="n">
        <v>6533737.416744538</v>
      </c>
    </row>
    <row r="37">
      <c r="A37" s="12" t="inlineStr">
        <is>
          <t>T1</t>
        </is>
      </c>
      <c r="B37" s="12" t="inlineStr">
        <is>
          <t>Sube el TC: Gs 8.760 (+20%)</t>
        </is>
      </c>
      <c r="C37" s="14" t="n">
        <v>-2389595.437370467</v>
      </c>
      <c r="D37" s="14" t="n">
        <v>352634.8802877538</v>
      </c>
      <c r="E37" s="14" t="n">
        <v>885255.2746712358</v>
      </c>
      <c r="F37" s="14" t="n">
        <v>1391943.399548393</v>
      </c>
      <c r="G37" s="14" t="n">
        <v>1933978.944658403</v>
      </c>
      <c r="H37" s="14" t="n">
        <v>1983286.548545906</v>
      </c>
      <c r="I37" s="14" t="n">
        <v>2032308.480088612</v>
      </c>
      <c r="J37" s="14" t="n">
        <v>2081665.708301529</v>
      </c>
      <c r="K37" s="14" t="n">
        <v>2131357.007278153</v>
      </c>
      <c r="L37" s="14" t="n">
        <v>6689070.619388094</v>
      </c>
    </row>
    <row r="38">
      <c r="A38" s="12" t="inlineStr">
        <is>
          <t>T2</t>
        </is>
      </c>
      <c r="B38" s="12" t="inlineStr">
        <is>
          <t>Baja el TC: Gs 6.145 (−16%)</t>
        </is>
      </c>
      <c r="C38" s="14" t="n">
        <v>-2695017.509905927</v>
      </c>
      <c r="D38" s="14" t="n">
        <v>50870.50022553197</v>
      </c>
      <c r="E38" s="14" t="n">
        <v>571281.1507318978</v>
      </c>
      <c r="F38" s="14" t="n">
        <v>1068463.195264666</v>
      </c>
      <c r="G38" s="14" t="n">
        <v>1598794.002663338</v>
      </c>
      <c r="H38" s="14" t="n">
        <v>1648366.320313888</v>
      </c>
      <c r="I38" s="14" t="n">
        <v>1697388.251856591</v>
      </c>
      <c r="J38" s="14" t="n">
        <v>1746745.480069509</v>
      </c>
      <c r="K38" s="14" t="n">
        <v>1796436.779046132</v>
      </c>
      <c r="L38" s="14" t="n">
        <v>6358560.997815339</v>
      </c>
    </row>
    <row r="39">
      <c r="A39" s="12" t="inlineStr">
        <is>
          <t>T3</t>
        </is>
      </c>
      <c r="B39" s="12" t="inlineStr">
        <is>
          <t>Baja el TC: Gs 5.840 (−20%)</t>
        </is>
      </c>
      <c r="C39" s="14" t="n">
        <v>-2748451.773074184</v>
      </c>
      <c r="D39" s="14" t="n">
        <v>-1923.841601797947</v>
      </c>
      <c r="E39" s="14" t="n">
        <v>516350.6873658365</v>
      </c>
      <c r="F39" s="14" t="n">
        <v>1011869.622239876</v>
      </c>
      <c r="G39" s="14" t="n">
        <v>1540152.660038966</v>
      </c>
      <c r="H39" s="14" t="n">
        <v>1589771.289944427</v>
      </c>
      <c r="I39" s="14" t="n">
        <v>1638793.221487131</v>
      </c>
      <c r="J39" s="14" t="n">
        <v>1688150.449700038</v>
      </c>
      <c r="K39" s="14" t="n">
        <v>1737841.748676659</v>
      </c>
      <c r="L39" s="14" t="n">
        <v>6300737.612779194</v>
      </c>
    </row>
    <row r="40">
      <c r="A40" s="12" t="inlineStr">
        <is>
          <t>X1</t>
        </is>
      </c>
      <c r="B40" s="12" t="inlineStr">
        <is>
          <t>Partición en los 25 espacios</t>
        </is>
      </c>
      <c r="C40" s="14" t="n">
        <v>-2533137.971651954</v>
      </c>
      <c r="D40" s="14" t="n">
        <v>210811.3915319337</v>
      </c>
      <c r="E40" s="14" t="n">
        <v>737693.439749077</v>
      </c>
      <c r="F40" s="14" t="n">
        <v>1239913.888624985</v>
      </c>
      <c r="G40" s="14" t="n">
        <v>1776448.430810627</v>
      </c>
      <c r="H40" s="14" t="n">
        <v>1825880.445105316</v>
      </c>
      <c r="I40" s="14" t="n">
        <v>1874902.37664802</v>
      </c>
      <c r="J40" s="14" t="n">
        <v>1924259.604860936</v>
      </c>
      <c r="K40" s="14" t="n">
        <v>1973950.90383756</v>
      </c>
      <c r="L40" s="14" t="n">
        <v>6533737.416744538</v>
      </c>
    </row>
    <row r="41">
      <c r="A41" s="12" t="inlineStr">
        <is>
          <t>X2</t>
        </is>
      </c>
      <c r="B41" s="12" t="inlineStr">
        <is>
          <t>Productos nuevos 3, 13 y 25</t>
        </is>
      </c>
      <c r="C41" s="14" t="n">
        <v>-2530210.320967024</v>
      </c>
      <c r="D41" s="14" t="n">
        <v>314197.0736552208</v>
      </c>
      <c r="E41" s="14" t="n">
        <v>842373.1686935971</v>
      </c>
      <c r="F41" s="14" t="n">
        <v>1345900.604858961</v>
      </c>
      <c r="G41" s="14" t="n">
        <v>1883755.20420693</v>
      </c>
      <c r="H41" s="14" t="n">
        <v>1934520.476235586</v>
      </c>
      <c r="I41" s="14" t="n">
        <v>1984888.998089589</v>
      </c>
      <c r="J41" s="14" t="n">
        <v>2035606.282516924</v>
      </c>
      <c r="K41" s="14" t="n">
        <v>2086671.238270102</v>
      </c>
      <c r="L41" s="14" t="n">
        <v>6756773.271301718</v>
      </c>
    </row>
    <row r="42">
      <c r="A42" s="12" t="inlineStr">
        <is>
          <t>X3</t>
        </is>
      </c>
      <c r="B42" s="12" t="inlineStr">
        <is>
          <t>Producto con volumen y sin precio</t>
        </is>
      </c>
      <c r="C42" s="14" t="n">
        <v>-2540353.588090314</v>
      </c>
      <c r="D42" s="14" t="n">
        <v>205279.2353675498</v>
      </c>
      <c r="E42" s="14" t="n">
        <v>732105.9620230491</v>
      </c>
      <c r="F42" s="14" t="n">
        <v>1234270.536121697</v>
      </c>
      <c r="G42" s="14" t="n">
        <v>1770748.644782306</v>
      </c>
      <c r="H42" s="14" t="n">
        <v>1820123.661216718</v>
      </c>
      <c r="I42" s="14" t="n">
        <v>1869088.024920523</v>
      </c>
      <c r="J42" s="14" t="n">
        <v>1918387.109616169</v>
      </c>
      <c r="K42" s="14" t="n">
        <v>1968019.683640345</v>
      </c>
      <c r="L42" s="14" t="n">
        <v>6529666.97618847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1" customWidth="1" min="3" max="3"/>
    <col width="8" customWidth="1" min="4" max="4"/>
    <col width="10" customWidth="1" min="5" max="5"/>
    <col width="50" customWidth="1" min="6" max="6"/>
  </cols>
  <sheetData>
    <row r="1">
      <c r="A1" s="1" t="inlineStr">
        <is>
          <t>Verificaciones automáticas del motor sobre los 39 escenarios</t>
        </is>
      </c>
    </row>
    <row r="3">
      <c r="A3" s="3" t="inlineStr">
        <is>
          <t>#</t>
        </is>
      </c>
      <c r="B3" s="3" t="inlineStr">
        <is>
          <t>Verificación</t>
        </is>
      </c>
      <c r="C3" s="3" t="inlineStr">
        <is>
          <t>Escenarios</t>
        </is>
      </c>
      <c r="D3" s="3" t="inlineStr">
        <is>
          <t>OK</t>
        </is>
      </c>
      <c r="E3" s="3" t="inlineStr">
        <is>
          <t>Estado</t>
        </is>
      </c>
      <c r="F3" s="3" t="inlineStr">
        <is>
          <t>Detalle de fallas</t>
        </is>
      </c>
    </row>
    <row r="4">
      <c r="A4" s="12" t="n">
        <v>1</v>
      </c>
      <c r="B4" s="12" t="inlineStr">
        <is>
          <t>Sin errores de fórmula (#¡VALOR!, #¡REF!, etc.) después de recalcular</t>
        </is>
      </c>
      <c r="C4" s="12" t="n">
        <v>39</v>
      </c>
      <c r="D4" s="12" t="n">
        <v>39</v>
      </c>
      <c r="E4" s="18" t="inlineStr">
        <is>
          <t>OK</t>
        </is>
      </c>
      <c r="F4" s="12" t="inlineStr"/>
    </row>
    <row r="5">
      <c r="A5" s="12" t="n">
        <v>2</v>
      </c>
      <c r="B5" s="12" t="inlineStr">
        <is>
          <t>Balance mensual cuadra (activo − pasivo − patrimonio = 0) en presupuesto y vigente</t>
        </is>
      </c>
      <c r="C5" s="12" t="n">
        <v>39</v>
      </c>
      <c r="D5" s="12" t="n">
        <v>39</v>
      </c>
      <c r="E5" s="18" t="inlineStr">
        <is>
          <t>OK</t>
        </is>
      </c>
      <c r="F5" s="12" t="inlineStr"/>
    </row>
    <row r="6">
      <c r="A6" s="12" t="n">
        <v>3</v>
      </c>
      <c r="B6" s="12" t="inlineStr">
        <is>
          <t>Caja final = suma de flujos operativos, de inversión y de financiamiento</t>
        </is>
      </c>
      <c r="C6" s="12" t="n">
        <v>39</v>
      </c>
      <c r="D6" s="12" t="n">
        <v>39</v>
      </c>
      <c r="E6" s="18" t="inlineStr">
        <is>
          <t>OK</t>
        </is>
      </c>
      <c r="F6" s="12" t="inlineStr"/>
    </row>
    <row r="7">
      <c r="A7" s="12" t="n">
        <v>4</v>
      </c>
      <c r="B7" s="12" t="inlineStr">
        <is>
          <t>El presupuesto original (bloque P) no cambia con ningún escenario (salvo X1, que lo reorganiza a propósito)</t>
        </is>
      </c>
      <c r="C7" s="12" t="n">
        <v>38</v>
      </c>
      <c r="D7" s="12" t="n">
        <v>38</v>
      </c>
      <c r="E7" s="18" t="inlineStr">
        <is>
          <t>OK</t>
        </is>
      </c>
      <c r="F7" s="12" t="inlineStr"/>
    </row>
    <row r="8">
      <c r="A8" s="12" t="n">
        <v>5</v>
      </c>
      <c r="B8" s="12" t="inlineStr">
        <is>
          <t>Saldos de deuda y de línea nunca negativos</t>
        </is>
      </c>
      <c r="C8" s="12" t="n">
        <v>39</v>
      </c>
      <c r="D8" s="12" t="n">
        <v>39</v>
      </c>
      <c r="E8" s="18" t="inlineStr">
        <is>
          <t>OK</t>
        </is>
      </c>
      <c r="F8" s="12" t="inlineStr"/>
    </row>
    <row r="9">
      <c r="A9" s="12" t="n">
        <v>6</v>
      </c>
      <c r="B9" s="12" t="inlineStr">
        <is>
          <t>Línea rotativa dentro del límite</t>
        </is>
      </c>
      <c r="C9" s="12" t="n">
        <v>39</v>
      </c>
      <c r="D9" s="12" t="n">
        <v>39</v>
      </c>
      <c r="E9" s="18" t="inlineStr">
        <is>
          <t>OK</t>
        </is>
      </c>
      <c r="F9" s="12" t="inlineStr"/>
    </row>
    <row r="10">
      <c r="A10" s="12" t="n">
        <v>7</v>
      </c>
      <c r="B10" s="12" t="inlineStr">
        <is>
          <t>Con línea disponible y sin agotar no hay brecha de caja</t>
        </is>
      </c>
      <c r="C10" s="12" t="n">
        <v>39</v>
      </c>
      <c r="D10" s="12" t="n">
        <v>39</v>
      </c>
      <c r="E10" s="18" t="inlineStr">
        <is>
          <t>OK</t>
        </is>
      </c>
      <c r="F10" s="12" t="inlineStr"/>
    </row>
    <row r="11">
      <c r="A11" s="12" t="n">
        <v>8</v>
      </c>
      <c r="B11" s="12" t="inlineStr">
        <is>
          <t>Dividendos pagados ≤ dividendos según política</t>
        </is>
      </c>
      <c r="C11" s="12" t="n">
        <v>39</v>
      </c>
      <c r="D11" s="12" t="n">
        <v>39</v>
      </c>
      <c r="E11" s="18" t="inlineStr">
        <is>
          <t>OK</t>
        </is>
      </c>
      <c r="F11" s="12" t="inlineStr"/>
    </row>
    <row r="12">
      <c r="A12" s="12" t="n">
        <v>9</v>
      </c>
      <c r="B12" s="12" t="inlineStr">
        <is>
          <t>Cambios de financiamiento no alteran ventas, EBITDA, flujo operativo, CAPEX ni FCFF</t>
        </is>
      </c>
      <c r="C12" s="12" t="n">
        <v>14</v>
      </c>
      <c r="D12" s="12" t="n">
        <v>14</v>
      </c>
      <c r="E12" s="18" t="inlineStr">
        <is>
          <t>OK</t>
        </is>
      </c>
      <c r="F12" s="12" t="inlineStr"/>
    </row>
    <row r="13">
      <c r="A13" s="12" t="n">
        <v>10</v>
      </c>
      <c r="B13" s="12" t="inlineStr">
        <is>
          <t>Cambios de financiamiento no alteran el VAN del proyecto</t>
        </is>
      </c>
      <c r="C13" s="12" t="n">
        <v>14</v>
      </c>
      <c r="D13" s="12" t="n">
        <v>14</v>
      </c>
      <c r="E13" s="18" t="inlineStr">
        <is>
          <t>OK</t>
        </is>
      </c>
      <c r="F13" s="12" t="inlineStr"/>
    </row>
    <row r="14">
      <c r="A14" s="12" t="n">
        <v>11</v>
      </c>
      <c r="B14" s="12" t="inlineStr">
        <is>
          <t>Cuotas pagadas = monto de los préstamos (se cancelan dentro del horizonte)</t>
        </is>
      </c>
      <c r="C14" s="12" t="n">
        <v>7</v>
      </c>
      <c r="D14" s="12" t="n">
        <v>7</v>
      </c>
      <c r="E14" s="18" t="inlineStr">
        <is>
          <t>OK</t>
        </is>
      </c>
      <c r="F14" s="12" t="inlineStr"/>
    </row>
    <row r="15">
      <c r="A15" s="12" t="n">
        <v>12</v>
      </c>
      <c r="B15" s="12" t="inlineStr">
        <is>
          <t>Interés mensual del préstamo 1 = saldo anterior × 9% / 12</t>
        </is>
      </c>
      <c r="C15" s="12" t="n">
        <v>14</v>
      </c>
      <c r="D15" s="12" t="n">
        <v>14</v>
      </c>
      <c r="E15" s="18" t="inlineStr">
        <is>
          <t>OK</t>
        </is>
      </c>
      <c r="F15" s="12" t="inlineStr"/>
    </row>
    <row r="16">
      <c r="A16" s="12" t="n">
        <v>13</v>
      </c>
      <c r="B16" s="12" t="inlineStr">
        <is>
          <t>Interés de la línea = saldo usado del mes anterior × tasa / 12</t>
        </is>
      </c>
      <c r="C16" s="12" t="n">
        <v>7</v>
      </c>
      <c r="D16" s="12" t="n">
        <v>7</v>
      </c>
      <c r="E16" s="18" t="inlineStr">
        <is>
          <t>OK</t>
        </is>
      </c>
      <c r="F16" s="12" t="inlineStr"/>
    </row>
    <row r="17">
      <c r="A17" s="12" t="n">
        <v>14</v>
      </c>
      <c r="B17" s="12" t="inlineStr">
        <is>
          <t>Línea sin renovación se cancela al vencer (K5, mes 25)</t>
        </is>
      </c>
      <c r="C17" s="12" t="n">
        <v>1</v>
      </c>
      <c r="D17" s="12" t="n">
        <v>1</v>
      </c>
      <c r="E17" s="18" t="inlineStr">
        <is>
          <t>OK</t>
        </is>
      </c>
      <c r="F17" s="12" t="inlineStr"/>
    </row>
    <row r="18">
      <c r="A18" s="12" t="n">
        <v>15</v>
      </c>
      <c r="B18" s="12" t="inlineStr">
        <is>
          <t>Días de cobro no alteran el EBITDA</t>
        </is>
      </c>
      <c r="C18" s="12" t="n">
        <v>2</v>
      </c>
      <c r="D18" s="12" t="n">
        <v>2</v>
      </c>
      <c r="E18" s="18" t="inlineStr">
        <is>
          <t>OK</t>
        </is>
      </c>
      <c r="F18" s="12" t="inlineStr"/>
    </row>
    <row r="19">
      <c r="A19" s="12" t="n">
        <v>16</v>
      </c>
      <c r="B19" s="12" t="inlineStr">
        <is>
          <t>Cuentas por cobrar = ventas del mes × días / (365/12)</t>
        </is>
      </c>
      <c r="C19" s="12" t="n">
        <v>2</v>
      </c>
      <c r="D19" s="12" t="n">
        <v>2</v>
      </c>
      <c r="E19" s="18" t="inlineStr">
        <is>
          <t>OK</t>
        </is>
      </c>
      <c r="F19" s="12" t="inlineStr"/>
    </row>
    <row r="20">
      <c r="A20" s="12" t="n">
        <v>17</v>
      </c>
      <c r="B20" s="12" t="inlineStr">
        <is>
          <t>Más días de cobro bajan el VAN del proyecto; contado lo sube</t>
        </is>
      </c>
      <c r="C20" s="12" t="n">
        <v>2</v>
      </c>
      <c r="D20" s="12" t="n">
        <v>2</v>
      </c>
      <c r="E20" s="18" t="inlineStr">
        <is>
          <t>OK</t>
        </is>
      </c>
      <c r="F20" s="12" t="inlineStr"/>
    </row>
    <row r="21">
      <c r="A21" s="12" t="n">
        <v>18</v>
      </c>
      <c r="B21" s="12" t="inlineStr">
        <is>
          <t>El tipo de cambio no altera ventas ni materiales (en USD)</t>
        </is>
      </c>
      <c r="C21" s="12" t="n">
        <v>3</v>
      </c>
      <c r="D21" s="12" t="n">
        <v>3</v>
      </c>
      <c r="E21" s="18" t="inlineStr">
        <is>
          <t>OK</t>
        </is>
      </c>
      <c r="F21" s="12" t="inlineStr"/>
    </row>
    <row r="22">
      <c r="A22" s="12" t="n">
        <v>19</v>
      </c>
      <c r="B22" s="12" t="inlineStr">
        <is>
          <t>Personal administrativo (en Gs) escala exactamente con 7.300 / TC</t>
        </is>
      </c>
      <c r="C22" s="12" t="n">
        <v>3</v>
      </c>
      <c r="D22" s="12" t="n">
        <v>3</v>
      </c>
      <c r="E22" s="18" t="inlineStr">
        <is>
          <t>OK</t>
        </is>
      </c>
      <c r="F22" s="12" t="inlineStr"/>
    </row>
    <row r="23">
      <c r="A23" s="12" t="n">
        <v>20</v>
      </c>
      <c r="B23" s="12" t="inlineStr">
        <is>
          <t>Volumen sobre la capacidad activa el control C10 (V4)</t>
        </is>
      </c>
      <c r="C23" s="12" t="n">
        <v>1</v>
      </c>
      <c r="D23" s="12" t="n">
        <v>1</v>
      </c>
      <c r="E23" s="18" t="inlineStr">
        <is>
          <t>OK</t>
        </is>
      </c>
      <c r="F23" s="12" t="inlineStr"/>
    </row>
    <row r="24">
      <c r="A24" s="12" t="n">
        <v>21</v>
      </c>
      <c r="B24" s="12" t="inlineStr">
        <is>
          <t>Caja bajo el mínimo activa el control C13</t>
        </is>
      </c>
      <c r="C24" s="12" t="n">
        <v>28</v>
      </c>
      <c r="D24" s="12" t="n">
        <v>28</v>
      </c>
      <c r="E24" s="18" t="inlineStr">
        <is>
          <t>OK</t>
        </is>
      </c>
      <c r="F24" s="12" t="inlineStr"/>
    </row>
    <row r="25">
      <c r="A25" s="12" t="n">
        <v>22</v>
      </c>
      <c r="B25" s="12" t="inlineStr">
        <is>
          <t>Inicio atrasado: sin ventas antes del nuevo mes de inicio (P1: mes 7)</t>
        </is>
      </c>
      <c r="C25" s="12" t="n">
        <v>1</v>
      </c>
      <c r="D25" s="12" t="n">
        <v>1</v>
      </c>
      <c r="E25" s="18" t="inlineStr">
        <is>
          <t>OK</t>
        </is>
      </c>
      <c r="F25" s="12" t="inlineStr"/>
    </row>
    <row r="26">
      <c r="A26" s="12" t="n">
        <v>23</v>
      </c>
      <c r="B26" s="12" t="inlineStr">
        <is>
          <t>Selector de escenario aplica el atraso de 3 meses (P2)</t>
        </is>
      </c>
      <c r="C26" s="12" t="n">
        <v>1</v>
      </c>
      <c r="D26" s="12" t="n">
        <v>1</v>
      </c>
      <c r="E26" s="18" t="inlineStr">
        <is>
          <t>OK</t>
        </is>
      </c>
      <c r="F26" s="12" t="inlineStr"/>
    </row>
    <row r="27">
      <c r="A27" s="12" t="n">
        <v>24</v>
      </c>
      <c r="B27" s="12" t="inlineStr">
        <is>
          <t>Partición en los 25 espacios: todos los indicadores iguales a la base</t>
        </is>
      </c>
      <c r="C27" s="12" t="n">
        <v>1</v>
      </c>
      <c r="D27" s="12" t="n">
        <v>1</v>
      </c>
      <c r="E27" s="18" t="inlineStr">
        <is>
          <t>OK</t>
        </is>
      </c>
      <c r="F27" s="12" t="inlineStr"/>
    </row>
    <row r="28">
      <c r="A28" s="12" t="n">
        <v>25</v>
      </c>
      <c r="B28" s="12" t="inlineStr">
        <is>
          <t>Partición: ventas, materiales, EBITDA y caja mes a mes iguales a la base</t>
        </is>
      </c>
      <c r="C28" s="12" t="n">
        <v>1</v>
      </c>
      <c r="D28" s="12" t="n">
        <v>1</v>
      </c>
      <c r="E28" s="18" t="inlineStr">
        <is>
          <t>OK</t>
        </is>
      </c>
      <c r="F28" s="12" t="inlineStr"/>
    </row>
    <row r="29">
      <c r="A29" s="12" t="n">
        <v>26</v>
      </c>
      <c r="B29" s="12" t="inlineStr">
        <is>
          <t>Partición: sin alertas de capacidad ni de precio (C10, C11 en OK)</t>
        </is>
      </c>
      <c r="C29" s="12" t="n">
        <v>1</v>
      </c>
      <c r="D29" s="12" t="n">
        <v>1</v>
      </c>
      <c r="E29" s="18" t="inlineStr">
        <is>
          <t>OK</t>
        </is>
      </c>
      <c r="F29" s="12" t="inlineStr"/>
    </row>
    <row r="30">
      <c r="A30" s="12" t="n">
        <v>27</v>
      </c>
      <c r="B30" s="12" t="inlineStr">
        <is>
          <t>Productos nuevos 3, 13 y 25 (solo vigente): Δ ventas = Σ volumen × precio × índice; presupuesto sin cambio</t>
        </is>
      </c>
      <c r="C30" s="12" t="n">
        <v>1</v>
      </c>
      <c r="D30" s="12" t="n">
        <v>1</v>
      </c>
      <c r="E30" s="18" t="inlineStr">
        <is>
          <t>OK</t>
        </is>
      </c>
      <c r="F30" s="12" t="inlineStr"/>
    </row>
    <row r="31">
      <c r="A31" s="12" t="n">
        <v>28</v>
      </c>
      <c r="B31" s="12" t="inlineStr">
        <is>
          <t>Productos nuevos 3, 13 y 25: Δ materiales = Σ volumen × (MP × índice + insumos); presupuesto sin cambio</t>
        </is>
      </c>
      <c r="C31" s="12" t="n">
        <v>1</v>
      </c>
      <c r="D31" s="12" t="n">
        <v>1</v>
      </c>
      <c r="E31" s="18" t="inlineStr">
        <is>
          <t>OK</t>
        </is>
      </c>
      <c r="F31" s="12" t="inlineStr"/>
    </row>
    <row r="32">
      <c r="A32" s="12" t="n">
        <v>29</v>
      </c>
      <c r="B32" s="12" t="inlineStr">
        <is>
          <t>Producto con volumen y sin precio activa C11 y no suma ventas</t>
        </is>
      </c>
      <c r="C32" s="12" t="n">
        <v>1</v>
      </c>
      <c r="D32" s="12" t="n">
        <v>1</v>
      </c>
      <c r="E32" s="18" t="inlineStr">
        <is>
          <t>OK</t>
        </is>
      </c>
      <c r="F32" s="12" t="inlineStr"/>
    </row>
    <row r="33">
      <c r="A33" s="12" t="n">
        <v>30</v>
      </c>
      <c r="B33" s="12" t="inlineStr">
        <is>
          <t>Regresión: cada escenario da los mismos indicadores que la corrida de referencia (12 productos)</t>
        </is>
      </c>
      <c r="C33" s="12" t="n">
        <v>39</v>
      </c>
      <c r="D33" s="12" t="n">
        <v>39</v>
      </c>
      <c r="E33" s="18" t="inlineStr">
        <is>
          <t>OK</t>
        </is>
      </c>
      <c r="F33" s="12" t="inlineStr"/>
    </row>
    <row r="34">
      <c r="A34" s="12" t="n">
        <v>31</v>
      </c>
      <c r="B34" s="12" t="inlineStr">
        <is>
          <t>Regresión: caja, deuda y FCFF mes a mes iguales a la referencia</t>
        </is>
      </c>
      <c r="C34" s="12" t="n">
        <v>39</v>
      </c>
      <c r="D34" s="12" t="n">
        <v>39</v>
      </c>
      <c r="E34" s="18" t="inlineStr">
        <is>
          <t>OK</t>
        </is>
      </c>
      <c r="F34" s="12" t="inlineStr"/>
    </row>
    <row r="36">
      <c r="B36" s="6" t="inlineStr">
        <is>
          <t>Total: 495 de 495 comprobaciones correctas (31 tipos de verificación).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Supuestos de las pruebas</t>
        </is>
      </c>
    </row>
    <row r="3" ht="30" customHeight="1">
      <c r="A3" s="6" t="inlineStr">
        <is>
          <t>Base</t>
        </is>
      </c>
      <c r="B3" s="13" t="inlineStr">
        <is>
          <t>Plan Ecostar Oct-2025 cargado en la plantilla v2: ventas USD 81,2 M en 10 años, CAPEX USD 755 mil, préstamo LP USD 2,79 M al 9% (6 meses de gracia + 54 cuotas), aportes USD 1,14 M.</t>
        </is>
      </c>
    </row>
    <row r="4" ht="30" customHeight="1">
      <c r="A4" s="6" t="inlineStr">
        <is>
          <t>Escenarios</t>
        </is>
      </c>
      <c r="B4" s="13" t="inlineStr">
        <is>
          <t>Se modifican solo entradas vigentes, como haría el usuario; el presupuesto original no cambia. Sin datos reales (todo es proyección).</t>
        </is>
      </c>
    </row>
    <row r="5" ht="30" customHeight="1">
      <c r="A5" s="6" t="inlineStr">
        <is>
          <t>Más / menos financiamiento</t>
        </is>
      </c>
      <c r="B5" s="13" t="inlineStr">
        <is>
          <t>± USD 1,0 M sobre el préstamo LP (3,8 M / 1,8 M), mismas condiciones. Magnitud ilustrativa.</t>
        </is>
      </c>
    </row>
    <row r="6" ht="30" customHeight="1">
      <c r="A6" s="6" t="inlineStr">
        <is>
          <t>Cobranza</t>
        </is>
      </c>
      <c r="B6" s="13" t="inlineStr">
        <is>
          <t>180 días (vs 120 del plan) o contado (0 días). Magnitudes ilustrativas.</t>
        </is>
      </c>
    </row>
    <row r="7" ht="30" customHeight="1">
      <c r="A7" s="6" t="inlineStr">
        <is>
          <t>Costos</t>
        </is>
      </c>
      <c r="B7" s="13" t="inlineStr">
        <is>
          <t>Costos variables por unidad +10/20/30%; caso extremo: además salarios +30% y costos fijos ×2. Ilustrativo.</t>
        </is>
      </c>
    </row>
    <row r="8" ht="30" customHeight="1">
      <c r="A8" s="6" t="inlineStr">
        <is>
          <t>Ventas</t>
        </is>
      </c>
      <c r="B8" s="13" t="inlineStr">
        <is>
          <t>Volumen ±10/20/30%; «dentro de la capacidad» lleva los años 1-2 a la capacidad inicial (15.000 gabinetes / 90.000 cajas).</t>
        </is>
      </c>
    </row>
    <row r="9" ht="30" customHeight="1">
      <c r="A9" s="6" t="inlineStr">
        <is>
          <t>Plan desfavorable</t>
        </is>
      </c>
      <c r="B9" s="13" t="inlineStr">
        <is>
          <t>Volumen −30%, precio −5%, inicio 6 meses después, CAPEX +15%. Ilustrativo.</t>
        </is>
      </c>
    </row>
    <row r="10" ht="30" customHeight="1">
      <c r="A10" s="6" t="inlineStr">
        <is>
          <t>Tasas de financiamiento</t>
        </is>
      </c>
      <c r="B10" s="13" t="inlineStr">
        <is>
          <t>LP 9% (plan). CP 10% ilustrativa. Referencias BCP: tasa activa promedio ponderada ME 7,99% (mar-2026); tope legal ME 11,24% (jul-2026). Fuente: BCP, Indicadores Financieros e informes de tasas máximas (consulta 01/10/2026; no se pudo abrir el sitio del BCP desde este entorno).</t>
        </is>
      </c>
    </row>
    <row r="11" ht="30" customHeight="1">
      <c r="A11" s="6" t="inlineStr">
        <is>
          <t>Tipo de cambio</t>
        </is>
      </c>
      <c r="B11" s="13" t="inlineStr">
        <is>
          <t>Base Gs 7.300 (plan). Sube a 8.760 (+20%); baja a 6.145 (nivel del archivo de Alianza del Acero, jun-2026) y 5.840 (−20%). Ventas y materiales en USD; nómina y parte de los fijos en Gs.</t>
        </is>
      </c>
    </row>
    <row r="12" ht="30" customHeight="1">
      <c r="A12" s="6" t="inlineStr">
        <is>
          <t>Línea rotativa</t>
        </is>
      </c>
      <c r="B12" s="13" t="inlineStr">
        <is>
          <t>Se usa automáticamente cuando la caja cae bajo el mínimo (3 días de ventas) y se devuelve con el excedente; los dividendos esperan a que se cancele. Al vencer se paga todo el saldo. Supone renovación garantizada hasta el vencimiento cargado.</t>
        </is>
      </c>
    </row>
    <row r="13" ht="30" customHeight="1">
      <c r="A13" s="6" t="inlineStr">
        <is>
          <t>Estructura de 25 productos</t>
        </is>
      </c>
      <c r="B13" s="13" t="inlineStr">
        <is>
          <t>X1-X3 son pruebas técnicas de la ampliación a 25 productos con datos de prueba (no comerciales): partición del volumen actual en los 25 espacios (debe dar lo mismo que la base), productos nuevos 3, 13 y 25 (sumas exactas) y producto sin precio (alerta C11).</t>
        </is>
      </c>
    </row>
    <row r="14" ht="30" customHeight="1">
      <c r="A14" s="6" t="inlineStr">
        <is>
          <t>Limitaciones</t>
        </is>
      </c>
      <c r="B14" s="13" t="inlineStr">
        <is>
          <t>La caja positiva no genera intereses. No se modelan comisiones de apertura ni garantías. El volumen sobre capacidad no se limita (solo se alerta). Los resultados usan supuestos de 2025 y no acreditan la situación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2026-10-27T21:07:12Z</dcterms:created>
  <dcterms:modified xsi:type="dcterms:W3CDTF">2026-10-27T21:07:12Z</dcterms:modified>
</cp:coreProperties>
</file>